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drawings/drawing1.xml" ContentType="application/vnd.openxmlformats-officedocument.drawing+xml"/>
  <Override PartName="/xl/tables/table1.xml" ContentType="application/vnd.openxmlformats-officedocument.spreadsheetml.table+xml"/>
  <Override PartName="/xl/customProperty2.bin" ContentType="application/vnd.openxmlformats-officedocument.spreadsheetml.customProperty"/>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ustomProperty5.bin" ContentType="application/vnd.openxmlformats-officedocument.spreadsheetml.customProperty"/>
  <Override PartName="/xl/drawings/drawing2.xml" ContentType="application/vnd.openxmlformats-officedocument.drawing+xml"/>
  <Override PartName="/xl/slicers/slicer1.xml" ContentType="application/vnd.ms-excel.slicer+xml"/>
  <Override PartName="/xl/pivotTables/pivotTable4.xml" ContentType="application/vnd.openxmlformats-officedocument.spreadsheetml.pivotTable+xml"/>
  <Override PartName="/xl/pivotTables/pivotTable5.xml" ContentType="application/vnd.openxmlformats-officedocument.spreadsheetml.pivotTable+xml"/>
  <Override PartName="/xl/customProperty6.bin" ContentType="application/vnd.openxmlformats-officedocument.spreadsheetml.customProperty"/>
  <Override PartName="/xl/drawings/drawing3.xml" ContentType="application/vnd.openxmlformats-officedocument.drawing+xml"/>
  <Override PartName="/xl/slicers/slicer2.xml" ContentType="application/vnd.ms-excel.slicer+xml"/>
  <Override PartName="/xl/customProperty7.bin" ContentType="application/vnd.openxmlformats-officedocument.spreadsheetml.customProperty"/>
  <Override PartName="/xl/tables/table2.xml" ContentType="application/vnd.openxmlformats-officedocument.spreadsheetml.table+xml"/>
  <Override PartName="/xl/queryTables/queryTable1.xml" ContentType="application/vnd.openxmlformats-officedocument.spreadsheetml.queryTable+xml"/>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tables/table3.xml" ContentType="application/vnd.openxmlformats-officedocument.spreadsheetml.table+xml"/>
  <Override PartName="/xl/queryTables/queryTable2.xml" ContentType="application/vnd.openxmlformats-officedocument.spreadsheetml.queryTable+xml"/>
  <Override PartName="/xl/customProperty11.bin" ContentType="application/vnd.openxmlformats-officedocument.spreadsheetml.customProperty"/>
  <Override PartName="/xl/tables/table4.xml" ContentType="application/vnd.openxmlformats-officedocument.spreadsheetml.table+xml"/>
  <Override PartName="/xl/queryTables/queryTable3.xml" ContentType="application/vnd.openxmlformats-officedocument.spreadsheetml.queryTable+xml"/>
  <Override PartName="/xl/customProperty12.bin" ContentType="application/vnd.openxmlformats-officedocument.spreadsheetml.customProperty"/>
  <Override PartName="/xl/tables/table5.xml" ContentType="application/vnd.openxmlformats-officedocument.spreadsheetml.table+xml"/>
  <Override PartName="/xl/queryTables/queryTable4.xml" ContentType="application/vnd.openxmlformats-officedocument.spreadsheetml.queryTable+xml"/>
  <Override PartName="/xl/customProperty13.bin" ContentType="application/vnd.openxmlformats-officedocument.spreadsheetml.customProperty"/>
  <Override PartName="/xl/tables/table6.xml" ContentType="application/vnd.openxmlformats-officedocument.spreadsheetml.table+xml"/>
  <Override PartName="/xl/queryTables/queryTable5.xml" ContentType="application/vnd.openxmlformats-officedocument.spreadsheetml.queryTable+xml"/>
  <Override PartName="/xl/customProperty14.bin" ContentType="application/vnd.openxmlformats-officedocument.spreadsheetml.customProperty"/>
  <Override PartName="/xl/tables/table7.xml" ContentType="application/vnd.openxmlformats-officedocument.spreadsheetml.table+xml"/>
  <Override PartName="/xl/queryTables/queryTable6.xml" ContentType="application/vnd.openxmlformats-officedocument.spreadsheetml.queryTable+xml"/>
  <Override PartName="/xl/customProperty15.bin" ContentType="application/vnd.openxmlformats-officedocument.spreadsheetml.customProperty"/>
  <Override PartName="/xl/tables/table8.xml" ContentType="application/vnd.openxmlformats-officedocument.spreadsheetml.table+xml"/>
  <Override PartName="/xl/queryTables/queryTable7.xml" ContentType="application/vnd.openxmlformats-officedocument.spreadsheetml.queryTable+xml"/>
  <Override PartName="/xl/customProperty16.bin" ContentType="application/vnd.openxmlformats-officedocument.spreadsheetml.customProperty"/>
  <Override PartName="/xl/tables/table9.xml" ContentType="application/vnd.openxmlformats-officedocument.spreadsheetml.table+xml"/>
  <Override PartName="/xl/queryTables/queryTable8.xml" ContentType="application/vnd.openxmlformats-officedocument.spreadsheetml.queryTable+xml"/>
  <Override PartName="/xl/customProperty17.bin" ContentType="application/vnd.openxmlformats-officedocument.spreadsheetml.customProperty"/>
  <Override PartName="/xl/tables/table10.xml" ContentType="application/vnd.openxmlformats-officedocument.spreadsheetml.table+xml"/>
  <Override PartName="/xl/queryTables/queryTable9.xml" ContentType="application/vnd.openxmlformats-officedocument.spreadsheetml.queryTable+xml"/>
  <Override PartName="/xl/pivotTables/pivotTable6.xml" ContentType="application/vnd.openxmlformats-officedocument.spreadsheetml.pivotTable+xml"/>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tables/table11.xml" ContentType="application/vnd.openxmlformats-officedocument.spreadsheetml.table+xml"/>
  <Override PartName="/xl/customProperty21.bin" ContentType="application/vnd.openxmlformats-officedocument.spreadsheetml.customProperty"/>
  <Override PartName="/xl/tables/table12.xml" ContentType="application/vnd.openxmlformats-officedocument.spreadsheetml.table+xml"/>
  <Override PartName="/xl/customProperty22.bin" ContentType="application/vnd.openxmlformats-officedocument.spreadsheetml.customProperty"/>
  <Override PartName="/xl/tables/table13.xml" ContentType="application/vnd.openxmlformats-officedocument.spreadsheetml.table+xml"/>
  <Override PartName="/xl/customProperty23.bin" ContentType="application/vnd.openxmlformats-officedocument.spreadsheetml.customProperty"/>
  <Override PartName="/xl/tables/table14.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mc:AlternateContent xmlns:mc="http://schemas.openxmlformats.org/markup-compatibility/2006">
    <mc:Choice Requires="x15">
      <x15ac:absPath xmlns:x15ac="http://schemas.microsoft.com/office/spreadsheetml/2010/11/ac" url="https://jticorp-my.sharepoint.com/personal/tkr9739_corp_jti_com/Documents/Documents/Md Rakib/Excel Refresh/ExcelAutomationThree/"/>
    </mc:Choice>
  </mc:AlternateContent>
  <xr:revisionPtr revIDLastSave="42" documentId="13_ncr:1_{2210331E-D065-45B3-9EE2-5DD2D172601D}" xr6:coauthVersionLast="47" xr6:coauthVersionMax="47" xr10:uidLastSave="{6640B083-8C08-4A57-978D-F002EFAC76C2}"/>
  <bookViews>
    <workbookView xWindow="-120" yWindow="-120" windowWidth="29040" windowHeight="15720" tabRatio="777" xr2:uid="{00000000-000D-0000-FFFF-FFFF00000000}"/>
  </bookViews>
  <sheets>
    <sheet name="Cover" sheetId="2" r:id="rId1"/>
    <sheet name="Daily Sales Volume" sheetId="32" r:id="rId2"/>
    <sheet name="master_Daily" sheetId="26" state="hidden" r:id="rId3"/>
    <sheet name="Sheet1" sheetId="42" state="hidden" r:id="rId4"/>
    <sheet name="Distributor Stock (MMU)" sheetId="38" r:id="rId5"/>
    <sheet name="Distributor Stock (Pack)" sheetId="34" r:id="rId6"/>
    <sheet name="SCD_Rawdata" sheetId="36" state="hidden" r:id="rId7"/>
    <sheet name="Target 2019" sheetId="33" state="hidden" r:id="rId8"/>
    <sheet name="% Growth" sheetId="30" state="hidden" r:id="rId9"/>
    <sheet name="Prod_Dim" sheetId="9" state="hidden" r:id="rId10"/>
    <sheet name="Cust_Cat" sheetId="16" state="hidden" r:id="rId11"/>
    <sheet name="TME_MTD" sheetId="28" state="hidden" r:id="rId12"/>
    <sheet name="TME_Yesterday" sheetId="29" state="hidden" r:id="rId13"/>
    <sheet name="TME_MTD_Dist" sheetId="37" state="hidden" r:id="rId14"/>
    <sheet name="Daily_Vol_yesterday" sheetId="24" state="hidden" r:id="rId15"/>
    <sheet name="Daily_Vol" sheetId="20" state="hidden" r:id="rId16"/>
    <sheet name="Weekly_Vol" sheetId="25" state="hidden" r:id="rId17"/>
    <sheet name="Weekly by Dist" sheetId="41" state="hidden" r:id="rId18"/>
    <sheet name="Weekly_Vol_Dist" sheetId="39" state="hidden" r:id="rId19"/>
    <sheet name="Dist_Name" sheetId="40" state="hidden" r:id="rId20"/>
    <sheet name="Cust_map" sheetId="3" state="hidden" r:id="rId21"/>
    <sheet name="Prod_map" sheetId="14" state="hidden" r:id="rId22"/>
    <sheet name="Date_Dim" sheetId="7" state="hidden" r:id="rId23"/>
  </sheets>
  <definedNames>
    <definedName name="_xlnm._FilterDatabase" localSheetId="1" hidden="1">'Daily Sales Volume'!$B$177:$BG$180</definedName>
    <definedName name="_xlnm._FilterDatabase" localSheetId="6" hidden="1">SCD_Rawdata!$F$1:$G$1</definedName>
    <definedName name="_xlnm._FilterDatabase" localSheetId="18" hidden="1">Weekly_Vol_Dist!$A$2:$J$6018</definedName>
    <definedName name="_xlcn.WorksheetConnection_Vol_Reader.xlsmCust_map1" hidden="1">Cust_map[]</definedName>
    <definedName name="_xlcn.WorksheetConnection_Vol_Reader.xlsmProd_map1" hidden="1">Prod_map2[]</definedName>
    <definedName name="_xlcn.WorksheetConnection_Vol_Reader.xlsmTable_Date_Dim1" hidden="1">Table_Date_Dim[]</definedName>
    <definedName name="_xlcn.WorksheetConnection_Vol_Reader.xlsmWorking_sheet1" hidden="1">Map_Product[]</definedName>
    <definedName name="ExternalData_1" localSheetId="10" hidden="1">Cust_Cat!$A$1:$D$27</definedName>
    <definedName name="ExternalData_1" localSheetId="15" hidden="1">Daily_Vol!$A$2:$H$3</definedName>
    <definedName name="ExternalData_1" localSheetId="14" hidden="1">Daily_Vol_yesterday!$A$2:$H$64</definedName>
    <definedName name="ExternalData_1" localSheetId="9" hidden="1">Prod_Dim!$A$1:$E$14</definedName>
    <definedName name="ExternalData_1" localSheetId="6" hidden="1">SCD_Rawdata!$A$2:$I$124</definedName>
    <definedName name="ExternalData_1" localSheetId="11" hidden="1">TME_MTD!$A$1:$I$2</definedName>
    <definedName name="ExternalData_1" localSheetId="13" hidden="1">TME_MTD_Dist!$A$1:$K$2</definedName>
    <definedName name="ExternalData_1" localSheetId="12" hidden="1">TME_Yesterday!$A$1:$I$2</definedName>
    <definedName name="ExternalData_1" localSheetId="16" hidden="1">Weekly_Vol!$A$2:$H$526</definedName>
    <definedName name="Slicer_Dist_Name">#N/A</definedName>
    <definedName name="Slicer_Dist_Name1">#N/A</definedName>
    <definedName name="Slicer_Region">#N/A</definedName>
    <definedName name="Slicer_Region1">#N/A</definedName>
  </definedNames>
  <calcPr calcId="191029"/>
  <pivotCaches>
    <pivotCache cacheId="17" r:id="rId24"/>
    <pivotCache cacheId="25" r:id="rId25"/>
  </pivotCaches>
  <extLst>
    <ext xmlns:x14="http://schemas.microsoft.com/office/spreadsheetml/2009/9/main" uri="{BBE1A952-AA13-448e-AADC-164F8A28A991}">
      <x14:slicerCaches>
        <x14:slicerCache r:id="rId26"/>
        <x14:slicerCache r:id="rId27"/>
        <x14:slicerCache r:id="rId28"/>
        <x14:slicerCache r:id="rId2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 i="36" l="1"/>
  <c r="J114" i="36"/>
  <c r="J66" i="36"/>
  <c r="J90" i="36"/>
  <c r="J4" i="36"/>
  <c r="K4" i="36" s="1"/>
  <c r="L4" i="36" s="1"/>
  <c r="M4" i="36" s="1"/>
  <c r="J5" i="36"/>
  <c r="K5" i="36" s="1"/>
  <c r="L5" i="36" s="1"/>
  <c r="M5" i="36" s="1"/>
  <c r="J27" i="36"/>
  <c r="K27" i="36" s="1"/>
  <c r="L27" i="36" s="1"/>
  <c r="M27" i="36" s="1"/>
  <c r="J91" i="36"/>
  <c r="K91" i="36" s="1"/>
  <c r="L91" i="36" s="1"/>
  <c r="M91" i="36" s="1"/>
  <c r="J101" i="36"/>
  <c r="K101" i="36" s="1"/>
  <c r="L101" i="36" s="1"/>
  <c r="M101" i="36" s="1"/>
  <c r="J15" i="36"/>
  <c r="K15" i="36" s="1"/>
  <c r="L15" i="36" s="1"/>
  <c r="M15" i="36" s="1"/>
  <c r="J54" i="36"/>
  <c r="K54" i="36" s="1"/>
  <c r="L54" i="36" s="1"/>
  <c r="M54" i="36" s="1"/>
  <c r="J115" i="36"/>
  <c r="K115" i="36" s="1"/>
  <c r="L115" i="36" s="1"/>
  <c r="M115" i="36" s="1"/>
  <c r="J6" i="36"/>
  <c r="K6" i="36" s="1"/>
  <c r="L6" i="36" s="1"/>
  <c r="M6" i="36" s="1"/>
  <c r="J102" i="36"/>
  <c r="K102" i="36" s="1"/>
  <c r="L102" i="36" s="1"/>
  <c r="M102" i="36" s="1"/>
  <c r="J116" i="36"/>
  <c r="J67" i="36"/>
  <c r="J40" i="36"/>
  <c r="J28" i="36"/>
  <c r="J79" i="36"/>
  <c r="K79" i="36" s="1"/>
  <c r="J103" i="36"/>
  <c r="K103" i="36" s="1"/>
  <c r="J41" i="36"/>
  <c r="K41" i="36" s="1"/>
  <c r="L41" i="36" s="1"/>
  <c r="M41" i="36" s="1"/>
  <c r="J7" i="36"/>
  <c r="K7" i="36" s="1"/>
  <c r="L7" i="36" s="1"/>
  <c r="M7" i="36" s="1"/>
  <c r="J42" i="36"/>
  <c r="K42" i="36" s="1"/>
  <c r="L42" i="36" s="1"/>
  <c r="M42" i="36" s="1"/>
  <c r="J43" i="36"/>
  <c r="K43" i="36" s="1"/>
  <c r="L43" i="36" s="1"/>
  <c r="M43" i="36" s="1"/>
  <c r="J29" i="36"/>
  <c r="K29" i="36" s="1"/>
  <c r="L29" i="36" s="1"/>
  <c r="M29" i="36" s="1"/>
  <c r="J92" i="36"/>
  <c r="K92" i="36" s="1"/>
  <c r="L92" i="36" s="1"/>
  <c r="M92" i="36" s="1"/>
  <c r="J68" i="36"/>
  <c r="K68" i="36" s="1"/>
  <c r="L68" i="36" s="1"/>
  <c r="M68" i="36" s="1"/>
  <c r="J117" i="36"/>
  <c r="K117" i="36" s="1"/>
  <c r="L117" i="36" s="1"/>
  <c r="M117" i="36" s="1"/>
  <c r="J44" i="36"/>
  <c r="J104" i="36"/>
  <c r="J80" i="36"/>
  <c r="J30" i="36"/>
  <c r="J93" i="36"/>
  <c r="K93" i="36" s="1"/>
  <c r="J94" i="36"/>
  <c r="K94" i="36" s="1"/>
  <c r="J105" i="36"/>
  <c r="K105" i="36" s="1"/>
  <c r="L105" i="36" s="1"/>
  <c r="M105" i="36" s="1"/>
  <c r="J8" i="36"/>
  <c r="K8" i="36" s="1"/>
  <c r="L8" i="36" s="1"/>
  <c r="M8" i="36" s="1"/>
  <c r="J81" i="36"/>
  <c r="K81" i="36" s="1"/>
  <c r="L81" i="36" s="1"/>
  <c r="M81" i="36" s="1"/>
  <c r="J55" i="36"/>
  <c r="K55" i="36" s="1"/>
  <c r="L55" i="36" s="1"/>
  <c r="M55" i="36" s="1"/>
  <c r="J31" i="36"/>
  <c r="K31" i="36" s="1"/>
  <c r="L31" i="36" s="1"/>
  <c r="M31" i="36" s="1"/>
  <c r="J45" i="36"/>
  <c r="K45" i="36" s="1"/>
  <c r="L45" i="36" s="1"/>
  <c r="M45" i="36" s="1"/>
  <c r="J56" i="36"/>
  <c r="K56" i="36" s="1"/>
  <c r="L56" i="36" s="1"/>
  <c r="M56" i="36" s="1"/>
  <c r="J32" i="36"/>
  <c r="K32" i="36" s="1"/>
  <c r="L32" i="36" s="1"/>
  <c r="M32" i="36" s="1"/>
  <c r="J82" i="36"/>
  <c r="J69" i="36"/>
  <c r="J9" i="36"/>
  <c r="J16" i="36"/>
  <c r="J46" i="36"/>
  <c r="K46" i="36" s="1"/>
  <c r="L46" i="36" s="1"/>
  <c r="M46" i="36" s="1"/>
  <c r="J70" i="36"/>
  <c r="K70" i="36" s="1"/>
  <c r="L70" i="36" s="1"/>
  <c r="M70" i="36" s="1"/>
  <c r="J71" i="36"/>
  <c r="K71" i="36" s="1"/>
  <c r="L71" i="36" s="1"/>
  <c r="M71" i="36" s="1"/>
  <c r="J95" i="36"/>
  <c r="K95" i="36" s="1"/>
  <c r="L95" i="36" s="1"/>
  <c r="M95" i="36" s="1"/>
  <c r="J83" i="36"/>
  <c r="K83" i="36" s="1"/>
  <c r="L83" i="36" s="1"/>
  <c r="M83" i="36" s="1"/>
  <c r="J33" i="36"/>
  <c r="K33" i="36" s="1"/>
  <c r="L33" i="36" s="1"/>
  <c r="M33" i="36" s="1"/>
  <c r="J118" i="36"/>
  <c r="K118" i="36" s="1"/>
  <c r="L118" i="36" s="1"/>
  <c r="M118" i="36" s="1"/>
  <c r="J96" i="36"/>
  <c r="K96" i="36" s="1"/>
  <c r="L96" i="36" s="1"/>
  <c r="M96" i="36" s="1"/>
  <c r="J34" i="36"/>
  <c r="K34" i="36" s="1"/>
  <c r="L34" i="36" s="1"/>
  <c r="M34" i="36" s="1"/>
  <c r="J35" i="36"/>
  <c r="K35" i="36" s="1"/>
  <c r="L35" i="36" s="1"/>
  <c r="M35" i="36" s="1"/>
  <c r="J97" i="36"/>
  <c r="J84" i="36"/>
  <c r="J57" i="36"/>
  <c r="K57" i="36" s="1"/>
  <c r="L57" i="36" s="1"/>
  <c r="M57" i="36" s="1"/>
  <c r="J10" i="36"/>
  <c r="K10" i="36" s="1"/>
  <c r="L10" i="36" s="1"/>
  <c r="M10" i="36" s="1"/>
  <c r="J47" i="36"/>
  <c r="K47" i="36" s="1"/>
  <c r="L47" i="36" s="1"/>
  <c r="M47" i="36" s="1"/>
  <c r="J58" i="36"/>
  <c r="K58" i="36" s="1"/>
  <c r="L58" i="36" s="1"/>
  <c r="M58" i="36" s="1"/>
  <c r="J17" i="36"/>
  <c r="K17" i="36" s="1"/>
  <c r="L17" i="36" s="1"/>
  <c r="M17" i="36" s="1"/>
  <c r="J119" i="36"/>
  <c r="K119" i="36" s="1"/>
  <c r="L119" i="36" s="1"/>
  <c r="M119" i="36" s="1"/>
  <c r="J18" i="36"/>
  <c r="K18" i="36" s="1"/>
  <c r="L18" i="36" s="1"/>
  <c r="M18" i="36" s="1"/>
  <c r="J120" i="36"/>
  <c r="K120" i="36" s="1"/>
  <c r="L120" i="36" s="1"/>
  <c r="M120" i="36" s="1"/>
  <c r="J59" i="36"/>
  <c r="K59" i="36" s="1"/>
  <c r="L59" i="36" s="1"/>
  <c r="M59" i="36" s="1"/>
  <c r="J19" i="36"/>
  <c r="K19" i="36" s="1"/>
  <c r="L19" i="36" s="1"/>
  <c r="M19" i="36" s="1"/>
  <c r="J60" i="36"/>
  <c r="K60" i="36" s="1"/>
  <c r="L60" i="36" s="1"/>
  <c r="M60" i="36" s="1"/>
  <c r="J98" i="36"/>
  <c r="K98" i="36" s="1"/>
  <c r="L98" i="36" s="1"/>
  <c r="M98" i="36" s="1"/>
  <c r="J106" i="36"/>
  <c r="J36" i="36"/>
  <c r="J20" i="36"/>
  <c r="J11" i="36"/>
  <c r="J72" i="36"/>
  <c r="K72" i="36" s="1"/>
  <c r="J61" i="36"/>
  <c r="K61" i="36" s="1"/>
  <c r="L61" i="36" s="1"/>
  <c r="M61" i="36" s="1"/>
  <c r="J21" i="36"/>
  <c r="K21" i="36" s="1"/>
  <c r="L21" i="36" s="1"/>
  <c r="M21" i="36" s="1"/>
  <c r="J85" i="36"/>
  <c r="K85" i="36" s="1"/>
  <c r="L85" i="36" s="1"/>
  <c r="M85" i="36" s="1"/>
  <c r="J107" i="36"/>
  <c r="K107" i="36" s="1"/>
  <c r="L107" i="36" s="1"/>
  <c r="M107" i="36" s="1"/>
  <c r="J22" i="36"/>
  <c r="K22" i="36" s="1"/>
  <c r="L22" i="36" s="1"/>
  <c r="M22" i="36" s="1"/>
  <c r="J48" i="36"/>
  <c r="K48" i="36" s="1"/>
  <c r="L48" i="36" s="1"/>
  <c r="M48" i="36" s="1"/>
  <c r="J73" i="36"/>
  <c r="K73" i="36" s="1"/>
  <c r="L73" i="36" s="1"/>
  <c r="M73" i="36" s="1"/>
  <c r="J74" i="36"/>
  <c r="K74" i="36" s="1"/>
  <c r="L74" i="36" s="1"/>
  <c r="M74" i="36" s="1"/>
  <c r="J12" i="36"/>
  <c r="K12" i="36" s="1"/>
  <c r="L12" i="36" s="1"/>
  <c r="M12" i="36" s="1"/>
  <c r="J62" i="36"/>
  <c r="J108" i="36"/>
  <c r="J75" i="36"/>
  <c r="J63" i="36"/>
  <c r="J23" i="36"/>
  <c r="K23" i="36" s="1"/>
  <c r="L23" i="36" s="1"/>
  <c r="M23" i="36" s="1"/>
  <c r="J121" i="36"/>
  <c r="K121" i="36" s="1"/>
  <c r="L121" i="36" s="1"/>
  <c r="M121" i="36" s="1"/>
  <c r="J86" i="36"/>
  <c r="K86" i="36" s="1"/>
  <c r="L86" i="36" s="1"/>
  <c r="M86" i="36" s="1"/>
  <c r="J24" i="36"/>
  <c r="K24" i="36" s="1"/>
  <c r="L24" i="36" s="1"/>
  <c r="M24" i="36" s="1"/>
  <c r="J109" i="36"/>
  <c r="K109" i="36" s="1"/>
  <c r="L109" i="36" s="1"/>
  <c r="M109" i="36" s="1"/>
  <c r="J110" i="36"/>
  <c r="K110" i="36" s="1"/>
  <c r="L110" i="36" s="1"/>
  <c r="M110" i="36" s="1"/>
  <c r="J49" i="36"/>
  <c r="K49" i="36" s="1"/>
  <c r="L49" i="36" s="1"/>
  <c r="M49" i="36" s="1"/>
  <c r="J50" i="36"/>
  <c r="K50" i="36" s="1"/>
  <c r="L50" i="36" s="1"/>
  <c r="M50" i="36" s="1"/>
  <c r="J87" i="36"/>
  <c r="K87" i="36" s="1"/>
  <c r="L87" i="36" s="1"/>
  <c r="M87" i="36" s="1"/>
  <c r="J76" i="36"/>
  <c r="K76" i="36" s="1"/>
  <c r="L76" i="36" s="1"/>
  <c r="M76" i="36" s="1"/>
  <c r="J111" i="36"/>
  <c r="J64" i="36"/>
  <c r="J122" i="36"/>
  <c r="J65" i="36"/>
  <c r="J99" i="36"/>
  <c r="K99" i="36" s="1"/>
  <c r="L99" i="36" s="1"/>
  <c r="M99" i="36" s="1"/>
  <c r="J100" i="36"/>
  <c r="K100" i="36" s="1"/>
  <c r="J37" i="36"/>
  <c r="K37" i="36" s="1"/>
  <c r="L37" i="36" s="1"/>
  <c r="M37" i="36" s="1"/>
  <c r="J88" i="36"/>
  <c r="K88" i="36" s="1"/>
  <c r="L88" i="36" s="1"/>
  <c r="M88" i="36" s="1"/>
  <c r="J123" i="36"/>
  <c r="K123" i="36" s="1"/>
  <c r="L123" i="36" s="1"/>
  <c r="M123" i="36" s="1"/>
  <c r="J51" i="36"/>
  <c r="K51" i="36" s="1"/>
  <c r="L51" i="36" s="1"/>
  <c r="M51" i="36" s="1"/>
  <c r="J77" i="36"/>
  <c r="K77" i="36" s="1"/>
  <c r="L77" i="36" s="1"/>
  <c r="M77" i="36" s="1"/>
  <c r="J38" i="36"/>
  <c r="K38" i="36" s="1"/>
  <c r="L38" i="36" s="1"/>
  <c r="M38" i="36" s="1"/>
  <c r="J25" i="36"/>
  <c r="K25" i="36" s="1"/>
  <c r="L25" i="36" s="1"/>
  <c r="M25" i="36" s="1"/>
  <c r="J52" i="36"/>
  <c r="K52" i="36" s="1"/>
  <c r="L52" i="36" s="1"/>
  <c r="M52" i="36" s="1"/>
  <c r="J13" i="36"/>
  <c r="J89" i="36"/>
  <c r="J53" i="36"/>
  <c r="J78" i="36"/>
  <c r="J26" i="36"/>
  <c r="K26" i="36" s="1"/>
  <c r="L26" i="36" s="1"/>
  <c r="M26" i="36" s="1"/>
  <c r="J14" i="36"/>
  <c r="K14" i="36" s="1"/>
  <c r="L14" i="36" s="1"/>
  <c r="M14" i="36" s="1"/>
  <c r="J112" i="36"/>
  <c r="K112" i="36" s="1"/>
  <c r="L112" i="36" s="1"/>
  <c r="M112" i="36" s="1"/>
  <c r="J124" i="36"/>
  <c r="K124" i="36" s="1"/>
  <c r="L124" i="36" s="1"/>
  <c r="M124" i="36" s="1"/>
  <c r="J113" i="36"/>
  <c r="K113" i="36" s="1"/>
  <c r="L113" i="36" s="1"/>
  <c r="M113" i="36" s="1"/>
  <c r="J39" i="36"/>
  <c r="K39" i="36" s="1"/>
  <c r="L39" i="36" s="1"/>
  <c r="M39" i="36" s="1"/>
  <c r="K3" i="36"/>
  <c r="L3" i="36" s="1"/>
  <c r="M3" i="36" s="1"/>
  <c r="K114" i="36"/>
  <c r="L114" i="36" s="1"/>
  <c r="M114" i="36" s="1"/>
  <c r="K66" i="36"/>
  <c r="L66" i="36" s="1"/>
  <c r="M66" i="36" s="1"/>
  <c r="K90" i="36"/>
  <c r="L90" i="36" s="1"/>
  <c r="M90" i="36" s="1"/>
  <c r="K116" i="36"/>
  <c r="L116" i="36" s="1"/>
  <c r="M116" i="36" s="1"/>
  <c r="K67" i="36"/>
  <c r="L67" i="36" s="1"/>
  <c r="M67" i="36" s="1"/>
  <c r="K40" i="36"/>
  <c r="L40" i="36" s="1"/>
  <c r="M40" i="36" s="1"/>
  <c r="K28" i="36"/>
  <c r="L28" i="36" s="1"/>
  <c r="M28" i="36" s="1"/>
  <c r="K44" i="36"/>
  <c r="L44" i="36" s="1"/>
  <c r="M44" i="36" s="1"/>
  <c r="K104" i="36"/>
  <c r="L104" i="36" s="1"/>
  <c r="M104" i="36" s="1"/>
  <c r="K80" i="36"/>
  <c r="L80" i="36" s="1"/>
  <c r="M80" i="36" s="1"/>
  <c r="K30" i="36"/>
  <c r="L30" i="36" s="1"/>
  <c r="M30" i="36" s="1"/>
  <c r="K82" i="36"/>
  <c r="L82" i="36" s="1"/>
  <c r="M82" i="36" s="1"/>
  <c r="K69" i="36"/>
  <c r="L69" i="36" s="1"/>
  <c r="M69" i="36" s="1"/>
  <c r="K9" i="36"/>
  <c r="L9" i="36" s="1"/>
  <c r="M9" i="36" s="1"/>
  <c r="K16" i="36"/>
  <c r="L16" i="36" s="1"/>
  <c r="M16" i="36" s="1"/>
  <c r="K97" i="36"/>
  <c r="L97" i="36" s="1"/>
  <c r="M97" i="36" s="1"/>
  <c r="K84" i="36"/>
  <c r="L84" i="36" s="1"/>
  <c r="M84" i="36" s="1"/>
  <c r="K106" i="36"/>
  <c r="L106" i="36" s="1"/>
  <c r="M106" i="36" s="1"/>
  <c r="K36" i="36"/>
  <c r="L36" i="36" s="1"/>
  <c r="M36" i="36" s="1"/>
  <c r="K20" i="36"/>
  <c r="L20" i="36" s="1"/>
  <c r="M20" i="36" s="1"/>
  <c r="K11" i="36"/>
  <c r="L11" i="36" s="1"/>
  <c r="M11" i="36" s="1"/>
  <c r="K62" i="36"/>
  <c r="L62" i="36" s="1"/>
  <c r="M62" i="36" s="1"/>
  <c r="K108" i="36"/>
  <c r="L108" i="36" s="1"/>
  <c r="M108" i="36" s="1"/>
  <c r="K75" i="36"/>
  <c r="L75" i="36" s="1"/>
  <c r="M75" i="36" s="1"/>
  <c r="K63" i="36"/>
  <c r="L63" i="36" s="1"/>
  <c r="M63" i="36" s="1"/>
  <c r="K111" i="36"/>
  <c r="L111" i="36" s="1"/>
  <c r="M111" i="36" s="1"/>
  <c r="K64" i="36"/>
  <c r="L64" i="36" s="1"/>
  <c r="M64" i="36" s="1"/>
  <c r="K122" i="36"/>
  <c r="L122" i="36" s="1"/>
  <c r="M122" i="36" s="1"/>
  <c r="K65" i="36"/>
  <c r="L65" i="36" s="1"/>
  <c r="M65" i="36" s="1"/>
  <c r="K13" i="36"/>
  <c r="L13" i="36" s="1"/>
  <c r="M13" i="36" s="1"/>
  <c r="K89" i="36"/>
  <c r="L89" i="36" s="1"/>
  <c r="M89" i="36" s="1"/>
  <c r="K53" i="36"/>
  <c r="L53" i="36" s="1"/>
  <c r="M53" i="36" s="1"/>
  <c r="K78" i="36"/>
  <c r="L79" i="36"/>
  <c r="M79" i="36" s="1"/>
  <c r="L103" i="36"/>
  <c r="M103" i="36" s="1"/>
  <c r="L93" i="36"/>
  <c r="M93" i="36" s="1"/>
  <c r="L94" i="36"/>
  <c r="M94" i="36" s="1"/>
  <c r="L72" i="36"/>
  <c r="M72" i="36" s="1"/>
  <c r="L100" i="36"/>
  <c r="M100" i="36" s="1"/>
  <c r="L78" i="36"/>
  <c r="M78" i="36" s="1"/>
  <c r="K63" i="32"/>
  <c r="H72" i="30" l="1"/>
  <c r="U71" i="30"/>
  <c r="U70" i="30"/>
  <c r="U69" i="30"/>
  <c r="U68" i="30"/>
  <c r="U67" i="30"/>
  <c r="U66" i="30"/>
  <c r="U64" i="30"/>
  <c r="U63" i="30"/>
  <c r="U62" i="30"/>
  <c r="U61" i="30"/>
  <c r="U60" i="30"/>
  <c r="U59" i="30"/>
  <c r="C55" i="30"/>
  <c r="C54" i="30"/>
  <c r="C53" i="30"/>
  <c r="C52" i="30"/>
  <c r="C51" i="30"/>
  <c r="C50" i="30"/>
  <c r="U33" i="30"/>
  <c r="C38" i="30"/>
  <c r="C37" i="30"/>
  <c r="C36" i="30"/>
  <c r="C35" i="30"/>
  <c r="C34" i="30"/>
  <c r="C33" i="30"/>
  <c r="U72" i="30" l="1"/>
  <c r="AO82" i="32"/>
  <c r="AP82" i="32"/>
  <c r="AQ63" i="32" l="1"/>
  <c r="AG82" i="32"/>
  <c r="AQ67" i="32" l="1"/>
  <c r="AA101" i="32" l="1"/>
  <c r="S72" i="30" l="1"/>
  <c r="R72" i="30"/>
  <c r="Q72" i="30"/>
  <c r="P72" i="30"/>
  <c r="O72" i="30"/>
  <c r="N72" i="30"/>
  <c r="M72" i="30"/>
  <c r="L72" i="30"/>
  <c r="K72" i="30"/>
  <c r="J72" i="30"/>
  <c r="I72" i="30"/>
  <c r="U65" i="30"/>
  <c r="T67" i="30"/>
  <c r="T68" i="30"/>
  <c r="T69" i="30"/>
  <c r="T70" i="30"/>
  <c r="T71" i="30"/>
  <c r="T72" i="30" s="1"/>
  <c r="T66" i="30"/>
  <c r="U5" i="30" l="1"/>
  <c r="AO174" i="32" l="1"/>
  <c r="R174" i="32"/>
  <c r="EQ324" i="26" l="1"/>
  <c r="T49" i="30" l="1"/>
  <c r="F55" i="30"/>
  <c r="E55" i="30"/>
  <c r="U108" i="32" s="1"/>
  <c r="F54" i="30"/>
  <c r="E54" i="30"/>
  <c r="U107" i="32" s="1"/>
  <c r="F53" i="30"/>
  <c r="E53" i="30"/>
  <c r="U106" i="32" s="1"/>
  <c r="F52" i="30"/>
  <c r="E52" i="30"/>
  <c r="U105" i="32" s="1"/>
  <c r="F51" i="30"/>
  <c r="E51" i="30"/>
  <c r="U104" i="32" s="1"/>
  <c r="F50" i="30"/>
  <c r="E50" i="30"/>
  <c r="U103" i="32" s="1"/>
  <c r="S49" i="30"/>
  <c r="R49" i="30"/>
  <c r="Q49" i="30"/>
  <c r="P49" i="30"/>
  <c r="O49" i="30"/>
  <c r="N49" i="30"/>
  <c r="M49" i="30"/>
  <c r="L49" i="30"/>
  <c r="K49" i="30"/>
  <c r="J49" i="30"/>
  <c r="I49" i="30"/>
  <c r="H49" i="30"/>
  <c r="E45" i="30"/>
  <c r="P116" i="32" s="1"/>
  <c r="E44" i="30"/>
  <c r="P115" i="32" s="1"/>
  <c r="E43" i="30"/>
  <c r="P114" i="32" s="1"/>
  <c r="S42" i="30"/>
  <c r="R42" i="30"/>
  <c r="Q42" i="30"/>
  <c r="P42" i="30"/>
  <c r="O42" i="30"/>
  <c r="N42" i="30"/>
  <c r="M42" i="30"/>
  <c r="L42" i="30"/>
  <c r="K42" i="30"/>
  <c r="J42" i="30"/>
  <c r="I42" i="30"/>
  <c r="H42" i="30"/>
  <c r="W38" i="30"/>
  <c r="X38" i="30" s="1"/>
  <c r="U38" i="30"/>
  <c r="F38" i="30"/>
  <c r="E38" i="30"/>
  <c r="P108" i="32" s="1"/>
  <c r="X37" i="30"/>
  <c r="U37" i="30"/>
  <c r="F37" i="30"/>
  <c r="E37" i="30"/>
  <c r="P107" i="32" s="1"/>
  <c r="X36" i="30"/>
  <c r="U36" i="30"/>
  <c r="F36" i="30"/>
  <c r="E36" i="30"/>
  <c r="P106" i="32" s="1"/>
  <c r="X35" i="30"/>
  <c r="U35" i="30"/>
  <c r="F35" i="30"/>
  <c r="E35" i="30"/>
  <c r="P105" i="32" s="1"/>
  <c r="X34" i="30"/>
  <c r="U34" i="30"/>
  <c r="F34" i="30"/>
  <c r="E34" i="30"/>
  <c r="P104" i="32" s="1"/>
  <c r="X33" i="30"/>
  <c r="F33" i="30"/>
  <c r="E33" i="30"/>
  <c r="P103" i="32" s="1"/>
  <c r="T32" i="30"/>
  <c r="S32" i="30"/>
  <c r="R32" i="30"/>
  <c r="Q32" i="30"/>
  <c r="P32" i="30"/>
  <c r="O32" i="30"/>
  <c r="N32" i="30"/>
  <c r="M32" i="30"/>
  <c r="L32" i="30"/>
  <c r="K32" i="30"/>
  <c r="J32" i="30"/>
  <c r="I32" i="30"/>
  <c r="H32" i="30"/>
  <c r="V37" i="30" l="1"/>
  <c r="V33" i="30"/>
  <c r="V36" i="30"/>
  <c r="V34" i="30"/>
  <c r="V35" i="30"/>
  <c r="V38" i="30"/>
  <c r="AM166" i="32"/>
  <c r="AM167" i="32"/>
  <c r="AM168" i="32"/>
  <c r="AM169" i="32"/>
  <c r="AM165" i="32"/>
  <c r="AL170" i="32"/>
  <c r="AK170" i="32"/>
  <c r="AJ170" i="32"/>
  <c r="AI170" i="32"/>
  <c r="AH170" i="32"/>
  <c r="AG170" i="32"/>
  <c r="AF170" i="32"/>
  <c r="AE170" i="32"/>
  <c r="AD170" i="32"/>
  <c r="AC170" i="32"/>
  <c r="AB170" i="32"/>
  <c r="AA170" i="32"/>
  <c r="P170" i="32"/>
  <c r="O170" i="32"/>
  <c r="N170" i="32"/>
  <c r="M170" i="32"/>
  <c r="L170" i="32"/>
  <c r="K170" i="32"/>
  <c r="J170" i="32"/>
  <c r="I170" i="32"/>
  <c r="H170" i="32"/>
  <c r="G170" i="32"/>
  <c r="F170" i="32"/>
  <c r="E170" i="32"/>
  <c r="Q165" i="32"/>
  <c r="Q169" i="32"/>
  <c r="Q168" i="32"/>
  <c r="Q167" i="32"/>
  <c r="Q166" i="32"/>
  <c r="Q170" i="32" l="1"/>
  <c r="S170" i="32" s="1"/>
  <c r="AM170" i="32"/>
  <c r="AO166" i="32" s="1"/>
  <c r="AO165" i="32" l="1"/>
  <c r="S168" i="32"/>
  <c r="S169" i="32"/>
  <c r="S167" i="32"/>
  <c r="S166" i="32"/>
  <c r="S165" i="32"/>
  <c r="AO167" i="32"/>
  <c r="AO170" i="32"/>
  <c r="AO168" i="32"/>
  <c r="AO169" i="32"/>
  <c r="U49" i="32"/>
  <c r="Q49" i="32"/>
  <c r="Q48" i="32"/>
  <c r="Q47" i="32"/>
  <c r="Q46" i="32"/>
  <c r="Q45" i="32"/>
  <c r="Q50" i="32" l="1"/>
  <c r="S50" i="32" s="1"/>
  <c r="S45" i="32" l="1"/>
  <c r="S46" i="32"/>
  <c r="S48" i="32"/>
  <c r="S47" i="32"/>
  <c r="S49" i="32"/>
  <c r="AB110" i="32"/>
  <c r="AB109" i="32"/>
  <c r="Q137" i="26" l="1"/>
  <c r="Q134" i="26"/>
  <c r="AA109" i="32" l="1"/>
  <c r="M1" i="36" l="1"/>
  <c r="C15" i="2" l="1"/>
  <c r="AL198" i="32"/>
  <c r="AL197" i="32"/>
  <c r="AL196" i="32"/>
  <c r="AL193" i="32"/>
  <c r="AL192" i="32"/>
  <c r="AL191" i="32"/>
  <c r="AL190" i="32"/>
  <c r="AL187" i="32"/>
  <c r="AL186" i="32"/>
  <c r="AL185" i="32"/>
  <c r="AL182" i="32"/>
  <c r="AL179" i="32"/>
  <c r="AL178" i="32"/>
  <c r="AL177" i="32"/>
  <c r="AK198" i="32"/>
  <c r="AK197" i="32"/>
  <c r="AK196" i="32"/>
  <c r="AK193" i="32"/>
  <c r="AK192" i="32"/>
  <c r="AK191" i="32"/>
  <c r="AK190" i="32"/>
  <c r="AK187" i="32"/>
  <c r="AK186" i="32"/>
  <c r="AK185" i="32"/>
  <c r="AK182" i="32"/>
  <c r="AK179" i="32"/>
  <c r="AK178" i="32"/>
  <c r="AK177" i="32"/>
  <c r="AJ198" i="32"/>
  <c r="AJ197" i="32"/>
  <c r="AJ196" i="32"/>
  <c r="AJ193" i="32"/>
  <c r="AJ192" i="32"/>
  <c r="AJ191" i="32"/>
  <c r="AJ190" i="32"/>
  <c r="AJ187" i="32"/>
  <c r="AJ186" i="32"/>
  <c r="AJ185" i="32"/>
  <c r="AJ182" i="32"/>
  <c r="AJ179" i="32"/>
  <c r="AJ178" i="32"/>
  <c r="AJ177" i="32"/>
  <c r="AI198" i="32"/>
  <c r="AI197" i="32"/>
  <c r="AI196" i="32"/>
  <c r="AI193" i="32"/>
  <c r="AI192" i="32"/>
  <c r="AI191" i="32"/>
  <c r="AI190" i="32"/>
  <c r="AI187" i="32"/>
  <c r="AI186" i="32"/>
  <c r="AI185" i="32"/>
  <c r="AI182" i="32"/>
  <c r="AI179" i="32"/>
  <c r="AI178" i="32"/>
  <c r="AI177" i="32"/>
  <c r="AH198" i="32"/>
  <c r="AH197" i="32"/>
  <c r="AH196" i="32"/>
  <c r="AH193" i="32"/>
  <c r="AH192" i="32"/>
  <c r="AH191" i="32"/>
  <c r="AH190" i="32"/>
  <c r="AH187" i="32"/>
  <c r="AH186" i="32"/>
  <c r="AH185" i="32"/>
  <c r="AH182" i="32"/>
  <c r="AH179" i="32"/>
  <c r="AH178" i="32"/>
  <c r="AH177" i="32"/>
  <c r="AG198" i="32"/>
  <c r="AG197" i="32"/>
  <c r="AG196" i="32"/>
  <c r="AG193" i="32"/>
  <c r="AG192" i="32"/>
  <c r="AG191" i="32"/>
  <c r="AG190" i="32"/>
  <c r="AG187" i="32"/>
  <c r="AG186" i="32"/>
  <c r="AG185" i="32"/>
  <c r="AG182" i="32"/>
  <c r="AG179" i="32"/>
  <c r="AG178" i="32"/>
  <c r="AG177" i="32"/>
  <c r="AF198" i="32"/>
  <c r="AF197" i="32"/>
  <c r="AF196" i="32"/>
  <c r="AF193" i="32"/>
  <c r="AF192" i="32"/>
  <c r="AF191" i="32"/>
  <c r="AF190" i="32"/>
  <c r="AF187" i="32"/>
  <c r="AF186" i="32"/>
  <c r="AF185" i="32"/>
  <c r="AF182" i="32"/>
  <c r="AF179" i="32"/>
  <c r="AF178" i="32"/>
  <c r="AF177" i="32"/>
  <c r="AE198" i="32"/>
  <c r="AE197" i="32"/>
  <c r="AE196" i="32"/>
  <c r="AE193" i="32"/>
  <c r="AE192" i="32"/>
  <c r="AE191" i="32"/>
  <c r="AE190" i="32"/>
  <c r="AE187" i="32"/>
  <c r="AE186" i="32"/>
  <c r="AE185" i="32"/>
  <c r="AE182" i="32"/>
  <c r="AE178" i="32"/>
  <c r="AE179" i="32"/>
  <c r="AE177" i="32"/>
  <c r="AB177" i="32"/>
  <c r="EQ134" i="26" l="1"/>
  <c r="EQ165" i="26"/>
  <c r="Q142" i="26" l="1"/>
  <c r="Q148" i="26"/>
  <c r="Q189" i="26" l="1"/>
  <c r="Q236" i="32" s="1"/>
  <c r="AD198" i="32"/>
  <c r="AD197" i="32"/>
  <c r="AD196" i="32"/>
  <c r="AD193" i="32"/>
  <c r="AD192" i="32"/>
  <c r="AD191" i="32"/>
  <c r="AD190" i="32"/>
  <c r="AD187" i="32"/>
  <c r="AD186" i="32"/>
  <c r="AD185" i="32"/>
  <c r="AD182" i="32"/>
  <c r="AD179" i="32"/>
  <c r="AD178" i="32"/>
  <c r="AD177" i="32"/>
  <c r="J107" i="32"/>
  <c r="I104" i="32"/>
  <c r="I105" i="32"/>
  <c r="I106" i="32"/>
  <c r="I107" i="32"/>
  <c r="J104" i="32"/>
  <c r="J105" i="32"/>
  <c r="J106" i="32"/>
  <c r="I103" i="32"/>
  <c r="J108" i="32"/>
  <c r="I108" i="32"/>
  <c r="AB197" i="32"/>
  <c r="AB198" i="32"/>
  <c r="AB196" i="32"/>
  <c r="AB191" i="32"/>
  <c r="AB192" i="32"/>
  <c r="AB193" i="32"/>
  <c r="AB190" i="32"/>
  <c r="AB186" i="32"/>
  <c r="AB187" i="32"/>
  <c r="AB185" i="32"/>
  <c r="AB182" i="32"/>
  <c r="AB178" i="32"/>
  <c r="AB179" i="32"/>
  <c r="AA197" i="32"/>
  <c r="AA198" i="32"/>
  <c r="AA196" i="32"/>
  <c r="AA191" i="32"/>
  <c r="AA192" i="32"/>
  <c r="AA193" i="32"/>
  <c r="AA190" i="32"/>
  <c r="AA186" i="32"/>
  <c r="AA187" i="32"/>
  <c r="AA185" i="32"/>
  <c r="AA182" i="32"/>
  <c r="AA178" i="32"/>
  <c r="AA179" i="32"/>
  <c r="AA177" i="32"/>
  <c r="AC191" i="32"/>
  <c r="AC192" i="32"/>
  <c r="AC193" i="32"/>
  <c r="AC190" i="32"/>
  <c r="AC186" i="32"/>
  <c r="AC187" i="32"/>
  <c r="AC185" i="32"/>
  <c r="AC182" i="32"/>
  <c r="AC178" i="32"/>
  <c r="AC179" i="32"/>
  <c r="AC177" i="32"/>
  <c r="AC197" i="32"/>
  <c r="AC198" i="32"/>
  <c r="AC196" i="32"/>
  <c r="E198" i="32"/>
  <c r="F198" i="32"/>
  <c r="G198" i="32"/>
  <c r="H198" i="32"/>
  <c r="I198" i="32"/>
  <c r="J198" i="32"/>
  <c r="K198" i="32"/>
  <c r="L198" i="32"/>
  <c r="M198" i="32"/>
  <c r="N198" i="32"/>
  <c r="O198" i="32"/>
  <c r="P198" i="32"/>
  <c r="EZ151" i="26"/>
  <c r="AO198" i="32" s="1"/>
  <c r="AP198" i="32" s="1"/>
  <c r="ER151" i="26"/>
  <c r="AN198" i="32" s="1"/>
  <c r="T151" i="26"/>
  <c r="S151" i="26"/>
  <c r="S198" i="32" s="1"/>
  <c r="T198" i="32" s="1"/>
  <c r="R151" i="26"/>
  <c r="R198" i="32" s="1"/>
  <c r="T51" i="26"/>
  <c r="T52" i="26"/>
  <c r="S51" i="26"/>
  <c r="S79" i="32" s="1"/>
  <c r="Y79" i="32" s="1"/>
  <c r="S52" i="26"/>
  <c r="S80" i="32" s="1"/>
  <c r="Y80" i="32" s="1"/>
  <c r="S50" i="26"/>
  <c r="S78" i="32" s="1"/>
  <c r="Y78" i="32" s="1"/>
  <c r="R51" i="26"/>
  <c r="R79" i="32" s="1"/>
  <c r="R52" i="26"/>
  <c r="R80" i="32" s="1"/>
  <c r="R50" i="26"/>
  <c r="R78" i="32" s="1"/>
  <c r="AF82" i="32"/>
  <c r="AD63" i="32" s="1"/>
  <c r="AD65" i="32"/>
  <c r="AH82" i="32"/>
  <c r="AI82" i="32"/>
  <c r="AJ82" i="32"/>
  <c r="AK82" i="32"/>
  <c r="AL82" i="32"/>
  <c r="AM82" i="32"/>
  <c r="AN82" i="32"/>
  <c r="AE82" i="32"/>
  <c r="E74" i="32"/>
  <c r="FU134" i="26"/>
  <c r="H21" i="30"/>
  <c r="E5" i="30"/>
  <c r="E27" i="30"/>
  <c r="F5" i="30"/>
  <c r="I27" i="30"/>
  <c r="J27" i="30"/>
  <c r="K27" i="30"/>
  <c r="L27" i="30"/>
  <c r="M27" i="30"/>
  <c r="N27" i="30"/>
  <c r="O27" i="30"/>
  <c r="P27" i="30"/>
  <c r="Q27" i="30"/>
  <c r="R27" i="30"/>
  <c r="S27" i="30"/>
  <c r="T27" i="30"/>
  <c r="H27" i="30"/>
  <c r="I199" i="32"/>
  <c r="K199" i="32"/>
  <c r="M199" i="32"/>
  <c r="O199" i="32"/>
  <c r="I195" i="32"/>
  <c r="K195" i="32"/>
  <c r="L195" i="32"/>
  <c r="N195" i="32"/>
  <c r="I189" i="32"/>
  <c r="J189" i="32"/>
  <c r="K189" i="32"/>
  <c r="L189" i="32"/>
  <c r="N189" i="32"/>
  <c r="P189" i="32"/>
  <c r="I184" i="32"/>
  <c r="K184" i="32"/>
  <c r="L184" i="32"/>
  <c r="N184" i="32"/>
  <c r="T137" i="26"/>
  <c r="K181" i="32"/>
  <c r="J181" i="32"/>
  <c r="O181" i="32"/>
  <c r="P181" i="32"/>
  <c r="H181" i="32"/>
  <c r="AN160" i="32"/>
  <c r="AN156" i="32"/>
  <c r="AN157" i="32"/>
  <c r="AN158" i="32"/>
  <c r="AN155" i="32"/>
  <c r="AM156" i="32"/>
  <c r="AN166" i="32" s="1"/>
  <c r="AP166" i="32" s="1"/>
  <c r="AM157" i="32"/>
  <c r="AN167" i="32" s="1"/>
  <c r="AP167" i="32" s="1"/>
  <c r="AM158" i="32"/>
  <c r="AN168" i="32" s="1"/>
  <c r="AP168" i="32" s="1"/>
  <c r="AM159" i="32"/>
  <c r="AN169" i="32" s="1"/>
  <c r="AP169" i="32" s="1"/>
  <c r="AM155" i="32"/>
  <c r="AN165" i="32" s="1"/>
  <c r="AP165" i="32" s="1"/>
  <c r="AB160" i="32"/>
  <c r="AC160" i="32"/>
  <c r="AD160" i="32"/>
  <c r="AE160" i="32"/>
  <c r="AF160" i="32"/>
  <c r="AG160" i="32"/>
  <c r="AH160" i="32"/>
  <c r="AI160" i="32"/>
  <c r="AJ160" i="32"/>
  <c r="AK160" i="32"/>
  <c r="AL160" i="32"/>
  <c r="AA160" i="32"/>
  <c r="R160" i="32"/>
  <c r="R156" i="32"/>
  <c r="R157" i="32"/>
  <c r="R158" i="32"/>
  <c r="R159" i="32"/>
  <c r="R155" i="32"/>
  <c r="Q156" i="32"/>
  <c r="R166" i="32" s="1"/>
  <c r="U166" i="32" s="1"/>
  <c r="Q157" i="32"/>
  <c r="R167" i="32" s="1"/>
  <c r="U167" i="32" s="1"/>
  <c r="Q158" i="32"/>
  <c r="R168" i="32" s="1"/>
  <c r="U168" i="32" s="1"/>
  <c r="Q159" i="32"/>
  <c r="R169" i="32" s="1"/>
  <c r="U169" i="32" s="1"/>
  <c r="Q155" i="32"/>
  <c r="R165" i="32" s="1"/>
  <c r="F160" i="32"/>
  <c r="G160" i="32"/>
  <c r="H160" i="32"/>
  <c r="I160" i="32"/>
  <c r="J160" i="32"/>
  <c r="K160" i="32"/>
  <c r="L160" i="32"/>
  <c r="M160" i="32"/>
  <c r="N160" i="32"/>
  <c r="O160" i="32"/>
  <c r="P160" i="32"/>
  <c r="E160" i="32"/>
  <c r="Q40" i="32"/>
  <c r="S40" i="32" s="1"/>
  <c r="T50" i="32" s="1"/>
  <c r="Q36" i="32"/>
  <c r="R46" i="32" s="1"/>
  <c r="V46" i="32" s="1"/>
  <c r="Q37" i="32"/>
  <c r="R47" i="32" s="1"/>
  <c r="V47" i="32" s="1"/>
  <c r="Q38" i="32"/>
  <c r="Q39" i="32"/>
  <c r="R49" i="32" s="1"/>
  <c r="V49" i="32" s="1"/>
  <c r="Q35" i="32"/>
  <c r="X5" i="30"/>
  <c r="V5" i="30" s="1"/>
  <c r="U6" i="30"/>
  <c r="U7" i="30"/>
  <c r="U8" i="30"/>
  <c r="U9" i="30"/>
  <c r="E10" i="30"/>
  <c r="P197" i="32"/>
  <c r="O197" i="32"/>
  <c r="N197" i="32"/>
  <c r="M197" i="32"/>
  <c r="L197" i="32"/>
  <c r="K197" i="32"/>
  <c r="J197" i="32"/>
  <c r="I197" i="32"/>
  <c r="H197" i="32"/>
  <c r="G197" i="32"/>
  <c r="F197" i="32"/>
  <c r="E197" i="32"/>
  <c r="E79" i="32"/>
  <c r="F79" i="32"/>
  <c r="G79" i="32"/>
  <c r="H79" i="32"/>
  <c r="I79" i="32"/>
  <c r="J79" i="32"/>
  <c r="K79" i="32"/>
  <c r="L79" i="32"/>
  <c r="M79" i="32"/>
  <c r="N79" i="32"/>
  <c r="O79" i="32"/>
  <c r="P79" i="32"/>
  <c r="Q79" i="32"/>
  <c r="EZ150" i="26"/>
  <c r="AO197" i="32" s="1"/>
  <c r="AP197" i="32" s="1"/>
  <c r="ER150" i="26"/>
  <c r="AN197" i="32" s="1"/>
  <c r="T150" i="26"/>
  <c r="S150" i="26"/>
  <c r="V150" i="26" s="1"/>
  <c r="R150" i="26"/>
  <c r="R197" i="32" s="1"/>
  <c r="AB111" i="32"/>
  <c r="Q159" i="26"/>
  <c r="Q206" i="32" s="1"/>
  <c r="W10" i="30"/>
  <c r="X10" i="30" s="1"/>
  <c r="AQ64" i="32"/>
  <c r="AQ65" i="32"/>
  <c r="AQ66" i="32"/>
  <c r="AQ68" i="32"/>
  <c r="AQ69" i="32"/>
  <c r="AQ70" i="32"/>
  <c r="AQ71" i="32"/>
  <c r="AQ73" i="32"/>
  <c r="AQ74" i="32"/>
  <c r="AQ75" i="32"/>
  <c r="AQ76" i="32"/>
  <c r="AQ78" i="32"/>
  <c r="AQ79" i="32"/>
  <c r="AQ80" i="32"/>
  <c r="AP83" i="32"/>
  <c r="AP84" i="32"/>
  <c r="FE127" i="26"/>
  <c r="P196" i="32"/>
  <c r="O196" i="32"/>
  <c r="N196" i="32"/>
  <c r="M196" i="32"/>
  <c r="L196" i="32"/>
  <c r="K196" i="32"/>
  <c r="J196" i="32"/>
  <c r="I196" i="32"/>
  <c r="H196" i="32"/>
  <c r="G196" i="32"/>
  <c r="F196" i="32"/>
  <c r="E196" i="32"/>
  <c r="EZ149" i="26"/>
  <c r="AO196" i="32" s="1"/>
  <c r="AP196" i="32" s="1"/>
  <c r="ER149" i="26"/>
  <c r="AN196" i="32" s="1"/>
  <c r="EZ146" i="26"/>
  <c r="AO193" i="32" s="1"/>
  <c r="AP193" i="32" s="1"/>
  <c r="ER146" i="26"/>
  <c r="AN193" i="32" s="1"/>
  <c r="EZ145" i="26"/>
  <c r="AO192" i="32" s="1"/>
  <c r="AP192" i="32" s="1"/>
  <c r="ER145" i="26"/>
  <c r="AN192" i="32" s="1"/>
  <c r="EZ144" i="26"/>
  <c r="AO191" i="32" s="1"/>
  <c r="AP191" i="32" s="1"/>
  <c r="ER144" i="26"/>
  <c r="AN191" i="32" s="1"/>
  <c r="EZ143" i="26"/>
  <c r="AO190" i="32" s="1"/>
  <c r="AP190" i="32" s="1"/>
  <c r="ER143" i="26"/>
  <c r="AN190" i="32" s="1"/>
  <c r="EZ140" i="26"/>
  <c r="AO187" i="32" s="1"/>
  <c r="AP187" i="32" s="1"/>
  <c r="ER140" i="26"/>
  <c r="AN187" i="32" s="1"/>
  <c r="EZ139" i="26"/>
  <c r="AO186" i="32" s="1"/>
  <c r="AP186" i="32" s="1"/>
  <c r="ER139" i="26"/>
  <c r="AN186" i="32" s="1"/>
  <c r="EZ138" i="26"/>
  <c r="AO185" i="32" s="1"/>
  <c r="AP185" i="32" s="1"/>
  <c r="ER138" i="26"/>
  <c r="AN185" i="32" s="1"/>
  <c r="EZ135" i="26"/>
  <c r="AO182" i="32" s="1"/>
  <c r="AP182" i="32" s="1"/>
  <c r="ER135" i="26"/>
  <c r="AN182" i="32" s="1"/>
  <c r="EZ132" i="26"/>
  <c r="AO179" i="32" s="1"/>
  <c r="AP179" i="32" s="1"/>
  <c r="ER132" i="26"/>
  <c r="AN179" i="32" s="1"/>
  <c r="EZ131" i="26"/>
  <c r="AO178" i="32" s="1"/>
  <c r="AP178" i="32" s="1"/>
  <c r="ER131" i="26"/>
  <c r="AN178" i="32" s="1"/>
  <c r="EZ130" i="26"/>
  <c r="AO177" i="32" s="1"/>
  <c r="AP177" i="32" s="1"/>
  <c r="ER130" i="26"/>
  <c r="AN177" i="32" s="1"/>
  <c r="E191" i="32"/>
  <c r="F191" i="32"/>
  <c r="G191" i="32"/>
  <c r="H191" i="32"/>
  <c r="I191" i="32"/>
  <c r="J191" i="32"/>
  <c r="K191" i="32"/>
  <c r="L191" i="32"/>
  <c r="M191" i="32"/>
  <c r="N191" i="32"/>
  <c r="O191" i="32"/>
  <c r="P191" i="32"/>
  <c r="E192" i="32"/>
  <c r="F192" i="32"/>
  <c r="G192" i="32"/>
  <c r="H192" i="32"/>
  <c r="I192" i="32"/>
  <c r="J192" i="32"/>
  <c r="K192" i="32"/>
  <c r="L192" i="32"/>
  <c r="M192" i="32"/>
  <c r="N192" i="32"/>
  <c r="O192" i="32"/>
  <c r="P192" i="32"/>
  <c r="E193" i="32"/>
  <c r="F193" i="32"/>
  <c r="G193" i="32"/>
  <c r="H193" i="32"/>
  <c r="I193" i="32"/>
  <c r="J193" i="32"/>
  <c r="K193" i="32"/>
  <c r="L193" i="32"/>
  <c r="M193" i="32"/>
  <c r="N193" i="32"/>
  <c r="O193" i="32"/>
  <c r="P193" i="32"/>
  <c r="P190" i="32"/>
  <c r="O190" i="32"/>
  <c r="N190" i="32"/>
  <c r="M190" i="32"/>
  <c r="L190" i="32"/>
  <c r="K190" i="32"/>
  <c r="J190" i="32"/>
  <c r="I190" i="32"/>
  <c r="H190" i="32"/>
  <c r="G190" i="32"/>
  <c r="F190" i="32"/>
  <c r="E190" i="32"/>
  <c r="P187" i="32"/>
  <c r="O187" i="32"/>
  <c r="N187" i="32"/>
  <c r="M187" i="32"/>
  <c r="L187" i="32"/>
  <c r="K187" i="32"/>
  <c r="J187" i="32"/>
  <c r="I187" i="32"/>
  <c r="H187" i="32"/>
  <c r="G187" i="32"/>
  <c r="F187" i="32"/>
  <c r="E187" i="32"/>
  <c r="P186" i="32"/>
  <c r="O186" i="32"/>
  <c r="N186" i="32"/>
  <c r="M186" i="32"/>
  <c r="L186" i="32"/>
  <c r="K186" i="32"/>
  <c r="J186" i="32"/>
  <c r="I186" i="32"/>
  <c r="H186" i="32"/>
  <c r="G186" i="32"/>
  <c r="F186" i="32"/>
  <c r="E186" i="32"/>
  <c r="P185" i="32"/>
  <c r="O185" i="32"/>
  <c r="N185" i="32"/>
  <c r="M185" i="32"/>
  <c r="L185" i="32"/>
  <c r="K185" i="32"/>
  <c r="J185" i="32"/>
  <c r="I185" i="32"/>
  <c r="H185" i="32"/>
  <c r="G185" i="32"/>
  <c r="F185" i="32"/>
  <c r="E185" i="32"/>
  <c r="P182" i="32"/>
  <c r="O182" i="32"/>
  <c r="N182" i="32"/>
  <c r="M182" i="32"/>
  <c r="L182" i="32"/>
  <c r="K182" i="32"/>
  <c r="J182" i="32"/>
  <c r="I182" i="32"/>
  <c r="H182" i="32"/>
  <c r="G182" i="32"/>
  <c r="F182" i="32"/>
  <c r="E182" i="32"/>
  <c r="E178" i="32"/>
  <c r="F178" i="32"/>
  <c r="G178" i="32"/>
  <c r="H178" i="32"/>
  <c r="I178" i="32"/>
  <c r="J178" i="32"/>
  <c r="K178" i="32"/>
  <c r="L178" i="32"/>
  <c r="M178" i="32"/>
  <c r="N178" i="32"/>
  <c r="O178" i="32"/>
  <c r="P178" i="32"/>
  <c r="E179" i="32"/>
  <c r="F179" i="32"/>
  <c r="G179" i="32"/>
  <c r="H179" i="32"/>
  <c r="I179" i="32"/>
  <c r="J179" i="32"/>
  <c r="K179" i="32"/>
  <c r="L179" i="32"/>
  <c r="M179" i="32"/>
  <c r="N179" i="32"/>
  <c r="O179" i="32"/>
  <c r="P179" i="32"/>
  <c r="F177" i="32"/>
  <c r="G177" i="32"/>
  <c r="H177" i="32"/>
  <c r="I177" i="32"/>
  <c r="J177" i="32"/>
  <c r="K177" i="32"/>
  <c r="L177" i="32"/>
  <c r="M177" i="32"/>
  <c r="N177" i="32"/>
  <c r="O177" i="32"/>
  <c r="P177" i="32"/>
  <c r="E177" i="32"/>
  <c r="T149" i="26"/>
  <c r="S149" i="26"/>
  <c r="V149" i="26" s="1"/>
  <c r="R149" i="26"/>
  <c r="R196" i="32" s="1"/>
  <c r="R144" i="26"/>
  <c r="R191" i="32" s="1"/>
  <c r="S144" i="26"/>
  <c r="V144" i="26" s="1"/>
  <c r="T144" i="26"/>
  <c r="R145" i="26"/>
  <c r="R192" i="32" s="1"/>
  <c r="S145" i="26"/>
  <c r="S192" i="32" s="1"/>
  <c r="T192" i="32" s="1"/>
  <c r="T145" i="26"/>
  <c r="R146" i="26"/>
  <c r="R193" i="32" s="1"/>
  <c r="S146" i="26"/>
  <c r="S193" i="32" s="1"/>
  <c r="T193" i="32" s="1"/>
  <c r="T146" i="26"/>
  <c r="T143" i="26"/>
  <c r="S143" i="26"/>
  <c r="V143" i="26" s="1"/>
  <c r="R143" i="26"/>
  <c r="R190" i="32" s="1"/>
  <c r="T140" i="26"/>
  <c r="S140" i="26"/>
  <c r="S187" i="32" s="1"/>
  <c r="T187" i="32" s="1"/>
  <c r="R140" i="26"/>
  <c r="R187" i="32" s="1"/>
  <c r="T139" i="26"/>
  <c r="S139" i="26"/>
  <c r="S186" i="32" s="1"/>
  <c r="T186" i="32" s="1"/>
  <c r="R139" i="26"/>
  <c r="R186" i="32" s="1"/>
  <c r="T138" i="26"/>
  <c r="S138" i="26"/>
  <c r="V138" i="26" s="1"/>
  <c r="R138" i="26"/>
  <c r="R185" i="32" s="1"/>
  <c r="T135" i="26"/>
  <c r="S135" i="26"/>
  <c r="V135" i="26" s="1"/>
  <c r="R135" i="26"/>
  <c r="R182" i="32" s="1"/>
  <c r="T131" i="26"/>
  <c r="T132" i="26"/>
  <c r="T130" i="26"/>
  <c r="R131" i="26"/>
  <c r="R178" i="32" s="1"/>
  <c r="R132" i="26"/>
  <c r="R179" i="32" s="1"/>
  <c r="R130" i="26"/>
  <c r="R177" i="32" s="1"/>
  <c r="S132" i="26"/>
  <c r="S179" i="32" s="1"/>
  <c r="T179" i="32" s="1"/>
  <c r="S131" i="26"/>
  <c r="V131" i="26" s="1"/>
  <c r="S130" i="26"/>
  <c r="V130" i="26" s="1"/>
  <c r="F78" i="32"/>
  <c r="AA113" i="32"/>
  <c r="I491" i="39"/>
  <c r="J491" i="39" s="1"/>
  <c r="I492" i="39"/>
  <c r="J492" i="39" s="1"/>
  <c r="I493" i="39"/>
  <c r="J493" i="39" s="1"/>
  <c r="I494" i="39"/>
  <c r="J494" i="39" s="1"/>
  <c r="I495" i="39"/>
  <c r="I496" i="39"/>
  <c r="I497" i="39"/>
  <c r="I498" i="39"/>
  <c r="J498" i="39" s="1"/>
  <c r="I499" i="39"/>
  <c r="J499" i="39" s="1"/>
  <c r="I500" i="39"/>
  <c r="J500" i="39" s="1"/>
  <c r="I501" i="39"/>
  <c r="J501" i="39" s="1"/>
  <c r="I502" i="39"/>
  <c r="J502" i="39" s="1"/>
  <c r="I503" i="39"/>
  <c r="I504" i="39"/>
  <c r="J504" i="39" s="1"/>
  <c r="I505" i="39"/>
  <c r="J505" i="39" s="1"/>
  <c r="I506" i="39"/>
  <c r="J506" i="39" s="1"/>
  <c r="I507" i="39"/>
  <c r="J507" i="39" s="1"/>
  <c r="I508" i="39"/>
  <c r="J508" i="39" s="1"/>
  <c r="I509" i="39"/>
  <c r="I510" i="39"/>
  <c r="I511" i="39"/>
  <c r="J511" i="39" s="1"/>
  <c r="I512" i="39"/>
  <c r="I513" i="39"/>
  <c r="I514" i="39"/>
  <c r="J514" i="39" s="1"/>
  <c r="I515" i="39"/>
  <c r="J515" i="39" s="1"/>
  <c r="I516" i="39"/>
  <c r="J516" i="39" s="1"/>
  <c r="I517" i="39"/>
  <c r="J517" i="39" s="1"/>
  <c r="I518" i="39"/>
  <c r="J518" i="39" s="1"/>
  <c r="I519" i="39"/>
  <c r="J519" i="39" s="1"/>
  <c r="I520" i="39"/>
  <c r="J520" i="39" s="1"/>
  <c r="I521" i="39"/>
  <c r="J521" i="39" s="1"/>
  <c r="I522" i="39"/>
  <c r="J522" i="39" s="1"/>
  <c r="I523" i="39"/>
  <c r="J523" i="39" s="1"/>
  <c r="I524" i="39"/>
  <c r="J524" i="39" s="1"/>
  <c r="I525" i="39"/>
  <c r="I526" i="39"/>
  <c r="I527" i="39"/>
  <c r="I528" i="39"/>
  <c r="J528" i="39" s="1"/>
  <c r="I529" i="39"/>
  <c r="J529" i="39" s="1"/>
  <c r="I530" i="39"/>
  <c r="J530" i="39" s="1"/>
  <c r="I531" i="39"/>
  <c r="J531" i="39" s="1"/>
  <c r="I532" i="39"/>
  <c r="J532" i="39" s="1"/>
  <c r="I533" i="39"/>
  <c r="J533" i="39" s="1"/>
  <c r="I534" i="39"/>
  <c r="J534" i="39" s="1"/>
  <c r="I535" i="39"/>
  <c r="J535" i="39" s="1"/>
  <c r="I536" i="39"/>
  <c r="J536" i="39" s="1"/>
  <c r="I537" i="39"/>
  <c r="I538" i="39"/>
  <c r="J538" i="39" s="1"/>
  <c r="I539" i="39"/>
  <c r="J539" i="39" s="1"/>
  <c r="I540" i="39"/>
  <c r="J540" i="39" s="1"/>
  <c r="I541" i="39"/>
  <c r="I542" i="39"/>
  <c r="I543" i="39"/>
  <c r="J543" i="39" s="1"/>
  <c r="I544" i="39"/>
  <c r="J544" i="39" s="1"/>
  <c r="I545" i="39"/>
  <c r="I546" i="39"/>
  <c r="J546" i="39" s="1"/>
  <c r="I547" i="39"/>
  <c r="J547" i="39" s="1"/>
  <c r="I548" i="39"/>
  <c r="J548" i="39" s="1"/>
  <c r="I549" i="39"/>
  <c r="J549" i="39" s="1"/>
  <c r="I550" i="39"/>
  <c r="J550" i="39" s="1"/>
  <c r="I551" i="39"/>
  <c r="I552" i="39"/>
  <c r="J552" i="39" s="1"/>
  <c r="I553" i="39"/>
  <c r="I554" i="39"/>
  <c r="J554" i="39" s="1"/>
  <c r="I555" i="39"/>
  <c r="J555" i="39" s="1"/>
  <c r="I556" i="39"/>
  <c r="J556" i="39" s="1"/>
  <c r="I557" i="39"/>
  <c r="J557" i="39" s="1"/>
  <c r="I558" i="39"/>
  <c r="J558" i="39" s="1"/>
  <c r="I559" i="39"/>
  <c r="J559" i="39" s="1"/>
  <c r="I560" i="39"/>
  <c r="J560" i="39" s="1"/>
  <c r="I561" i="39"/>
  <c r="J561" i="39" s="1"/>
  <c r="I562" i="39"/>
  <c r="J562" i="39" s="1"/>
  <c r="I563" i="39"/>
  <c r="J563" i="39" s="1"/>
  <c r="I564" i="39"/>
  <c r="J564" i="39" s="1"/>
  <c r="I565" i="39"/>
  <c r="I566" i="39"/>
  <c r="I567" i="39"/>
  <c r="I568" i="39"/>
  <c r="J568" i="39" s="1"/>
  <c r="I569" i="39"/>
  <c r="J569" i="39" s="1"/>
  <c r="I570" i="39"/>
  <c r="J570" i="39" s="1"/>
  <c r="I571" i="39"/>
  <c r="J571" i="39" s="1"/>
  <c r="I572" i="39"/>
  <c r="J572" i="39" s="1"/>
  <c r="I573" i="39"/>
  <c r="I574" i="39"/>
  <c r="J574" i="39" s="1"/>
  <c r="I575" i="39"/>
  <c r="J575" i="39" s="1"/>
  <c r="I576" i="39"/>
  <c r="J576" i="39" s="1"/>
  <c r="I577" i="39"/>
  <c r="J577" i="39" s="1"/>
  <c r="I578" i="39"/>
  <c r="J578" i="39" s="1"/>
  <c r="I579" i="39"/>
  <c r="J579" i="39" s="1"/>
  <c r="I580" i="39"/>
  <c r="J580" i="39" s="1"/>
  <c r="I581" i="39"/>
  <c r="I582" i="39"/>
  <c r="J582" i="39" s="1"/>
  <c r="I583" i="39"/>
  <c r="J583" i="39" s="1"/>
  <c r="I584" i="39"/>
  <c r="I585" i="39"/>
  <c r="J585" i="39" s="1"/>
  <c r="I586" i="39"/>
  <c r="J586" i="39" s="1"/>
  <c r="I587" i="39"/>
  <c r="J587" i="39" s="1"/>
  <c r="I588" i="39"/>
  <c r="J588" i="39" s="1"/>
  <c r="I589" i="39"/>
  <c r="J589" i="39" s="1"/>
  <c r="I590" i="39"/>
  <c r="J590" i="39" s="1"/>
  <c r="I591" i="39"/>
  <c r="J591" i="39" s="1"/>
  <c r="I592" i="39"/>
  <c r="J592" i="39" s="1"/>
  <c r="I593" i="39"/>
  <c r="I594" i="39"/>
  <c r="J594" i="39" s="1"/>
  <c r="I595" i="39"/>
  <c r="J595" i="39" s="1"/>
  <c r="I596" i="39"/>
  <c r="J596" i="39" s="1"/>
  <c r="I597" i="39"/>
  <c r="J597" i="39" s="1"/>
  <c r="I598" i="39"/>
  <c r="J598" i="39" s="1"/>
  <c r="I599" i="39"/>
  <c r="J599" i="39" s="1"/>
  <c r="I600" i="39"/>
  <c r="J600" i="39" s="1"/>
  <c r="I601" i="39"/>
  <c r="J601" i="39" s="1"/>
  <c r="I602" i="39"/>
  <c r="J602" i="39" s="1"/>
  <c r="I603" i="39"/>
  <c r="J603" i="39" s="1"/>
  <c r="I604" i="39"/>
  <c r="J604" i="39" s="1"/>
  <c r="I605" i="39"/>
  <c r="J605" i="39" s="1"/>
  <c r="I606" i="39"/>
  <c r="J606" i="39" s="1"/>
  <c r="I607" i="39"/>
  <c r="J607" i="39" s="1"/>
  <c r="I608" i="39"/>
  <c r="J608" i="39" s="1"/>
  <c r="I609" i="39"/>
  <c r="I610" i="39"/>
  <c r="J610" i="39" s="1"/>
  <c r="I611" i="39"/>
  <c r="J611" i="39" s="1"/>
  <c r="I612" i="39"/>
  <c r="J612" i="39" s="1"/>
  <c r="I613" i="39"/>
  <c r="J613" i="39" s="1"/>
  <c r="I614" i="39"/>
  <c r="J614" i="39" s="1"/>
  <c r="I615" i="39"/>
  <c r="J615" i="39" s="1"/>
  <c r="I616" i="39"/>
  <c r="J616" i="39" s="1"/>
  <c r="I617" i="39"/>
  <c r="J617" i="39" s="1"/>
  <c r="I618" i="39"/>
  <c r="J618" i="39" s="1"/>
  <c r="I619" i="39"/>
  <c r="J619" i="39" s="1"/>
  <c r="I620" i="39"/>
  <c r="J620" i="39" s="1"/>
  <c r="I621" i="39"/>
  <c r="I622" i="39"/>
  <c r="I623" i="39"/>
  <c r="I624" i="39"/>
  <c r="J624" i="39" s="1"/>
  <c r="I625" i="39"/>
  <c r="J625" i="39" s="1"/>
  <c r="I626" i="39"/>
  <c r="J626" i="39" s="1"/>
  <c r="I627" i="39"/>
  <c r="J627" i="39" s="1"/>
  <c r="I628" i="39"/>
  <c r="J628" i="39" s="1"/>
  <c r="I629" i="39"/>
  <c r="J629" i="39" s="1"/>
  <c r="I630" i="39"/>
  <c r="J630" i="39" s="1"/>
  <c r="I631" i="39"/>
  <c r="J631" i="39" s="1"/>
  <c r="I632" i="39"/>
  <c r="J632" i="39" s="1"/>
  <c r="I633" i="39"/>
  <c r="J633" i="39" s="1"/>
  <c r="I634" i="39"/>
  <c r="J634" i="39" s="1"/>
  <c r="I635" i="39"/>
  <c r="J635" i="39" s="1"/>
  <c r="I636" i="39"/>
  <c r="J636" i="39" s="1"/>
  <c r="I637" i="39"/>
  <c r="I638" i="39"/>
  <c r="I639" i="39"/>
  <c r="I640" i="39"/>
  <c r="J640" i="39" s="1"/>
  <c r="I641" i="39"/>
  <c r="J641" i="39" s="1"/>
  <c r="I642" i="39"/>
  <c r="J642" i="39" s="1"/>
  <c r="I643" i="39"/>
  <c r="J643" i="39" s="1"/>
  <c r="I644" i="39"/>
  <c r="J644" i="39" s="1"/>
  <c r="I645" i="39"/>
  <c r="I646" i="39"/>
  <c r="J646" i="39" s="1"/>
  <c r="I647" i="39"/>
  <c r="J647" i="39" s="1"/>
  <c r="I648" i="39"/>
  <c r="J648" i="39" s="1"/>
  <c r="I649" i="39"/>
  <c r="I650" i="39"/>
  <c r="J650" i="39" s="1"/>
  <c r="I651" i="39"/>
  <c r="J651" i="39" s="1"/>
  <c r="I652" i="39"/>
  <c r="J652" i="39" s="1"/>
  <c r="I653" i="39"/>
  <c r="J653" i="39" s="1"/>
  <c r="I654" i="39"/>
  <c r="J654" i="39" s="1"/>
  <c r="I655" i="39"/>
  <c r="J655" i="39" s="1"/>
  <c r="I656" i="39"/>
  <c r="J656" i="39" s="1"/>
  <c r="I657" i="39"/>
  <c r="J657" i="39" s="1"/>
  <c r="I658" i="39"/>
  <c r="J658" i="39" s="1"/>
  <c r="I659" i="39"/>
  <c r="J659" i="39" s="1"/>
  <c r="I660" i="39"/>
  <c r="J660" i="39" s="1"/>
  <c r="I661" i="39"/>
  <c r="J661" i="39" s="1"/>
  <c r="I662" i="39"/>
  <c r="J662" i="39" s="1"/>
  <c r="I663" i="39"/>
  <c r="I664" i="39"/>
  <c r="I665" i="39"/>
  <c r="J665" i="39" s="1"/>
  <c r="I666" i="39"/>
  <c r="J666" i="39" s="1"/>
  <c r="I667" i="39"/>
  <c r="J667" i="39" s="1"/>
  <c r="I668" i="39"/>
  <c r="J668" i="39" s="1"/>
  <c r="I669" i="39"/>
  <c r="J669" i="39" s="1"/>
  <c r="I670" i="39"/>
  <c r="J670" i="39" s="1"/>
  <c r="I671" i="39"/>
  <c r="I672" i="39"/>
  <c r="J672" i="39" s="1"/>
  <c r="I673" i="39"/>
  <c r="J673" i="39" s="1"/>
  <c r="I674" i="39"/>
  <c r="J674" i="39" s="1"/>
  <c r="I675" i="39"/>
  <c r="J675" i="39" s="1"/>
  <c r="I676" i="39"/>
  <c r="J676" i="39" s="1"/>
  <c r="I677" i="39"/>
  <c r="I678" i="39"/>
  <c r="J678" i="39" s="1"/>
  <c r="I679" i="39"/>
  <c r="I680" i="39"/>
  <c r="J680" i="39" s="1"/>
  <c r="I681" i="39"/>
  <c r="I682" i="39"/>
  <c r="J682" i="39" s="1"/>
  <c r="I683" i="39"/>
  <c r="J683" i="39" s="1"/>
  <c r="I684" i="39"/>
  <c r="J684" i="39" s="1"/>
  <c r="I685" i="39"/>
  <c r="I686" i="39"/>
  <c r="J686" i="39" s="1"/>
  <c r="I687" i="39"/>
  <c r="J687" i="39" s="1"/>
  <c r="I688" i="39"/>
  <c r="J688" i="39" s="1"/>
  <c r="I689" i="39"/>
  <c r="J689" i="39" s="1"/>
  <c r="I690" i="39"/>
  <c r="J690" i="39" s="1"/>
  <c r="I691" i="39"/>
  <c r="J691" i="39" s="1"/>
  <c r="I692" i="39"/>
  <c r="J692" i="39" s="1"/>
  <c r="I693" i="39"/>
  <c r="I694" i="39"/>
  <c r="I695" i="39"/>
  <c r="J695" i="39" s="1"/>
  <c r="I696" i="39"/>
  <c r="J696" i="39" s="1"/>
  <c r="I697" i="39"/>
  <c r="J697" i="39" s="1"/>
  <c r="I698" i="39"/>
  <c r="J698" i="39" s="1"/>
  <c r="I699" i="39"/>
  <c r="J699" i="39" s="1"/>
  <c r="I700" i="39"/>
  <c r="J700" i="39" s="1"/>
  <c r="I701" i="39"/>
  <c r="J701" i="39" s="1"/>
  <c r="I702" i="39"/>
  <c r="J702" i="39" s="1"/>
  <c r="I703" i="39"/>
  <c r="J703" i="39" s="1"/>
  <c r="I704" i="39"/>
  <c r="J704" i="39" s="1"/>
  <c r="I705" i="39"/>
  <c r="I706" i="39"/>
  <c r="J706" i="39" s="1"/>
  <c r="I707" i="39"/>
  <c r="J707" i="39" s="1"/>
  <c r="I708" i="39"/>
  <c r="J708" i="39" s="1"/>
  <c r="I709" i="39"/>
  <c r="I710" i="39"/>
  <c r="J710" i="39" s="1"/>
  <c r="I711" i="39"/>
  <c r="J711" i="39" s="1"/>
  <c r="I712" i="39"/>
  <c r="J712" i="39" s="1"/>
  <c r="I713" i="39"/>
  <c r="J713" i="39" s="1"/>
  <c r="I714" i="39"/>
  <c r="J714" i="39" s="1"/>
  <c r="I715" i="39"/>
  <c r="J715" i="39" s="1"/>
  <c r="I716" i="39"/>
  <c r="J716" i="39" s="1"/>
  <c r="I717" i="39"/>
  <c r="J717" i="39" s="1"/>
  <c r="I718" i="39"/>
  <c r="J718" i="39" s="1"/>
  <c r="I719" i="39"/>
  <c r="I720" i="39"/>
  <c r="J720" i="39" s="1"/>
  <c r="I721" i="39"/>
  <c r="I722" i="39"/>
  <c r="J722" i="39" s="1"/>
  <c r="I723" i="39"/>
  <c r="J723" i="39" s="1"/>
  <c r="I724" i="39"/>
  <c r="J724" i="39" s="1"/>
  <c r="I725" i="39"/>
  <c r="I726" i="39"/>
  <c r="J726" i="39" s="1"/>
  <c r="I727" i="39"/>
  <c r="J727" i="39" s="1"/>
  <c r="I728" i="39"/>
  <c r="J728" i="39" s="1"/>
  <c r="I729" i="39"/>
  <c r="J729" i="39" s="1"/>
  <c r="I730" i="39"/>
  <c r="J730" i="39" s="1"/>
  <c r="I731" i="39"/>
  <c r="J731" i="39" s="1"/>
  <c r="I732" i="39"/>
  <c r="J732" i="39" s="1"/>
  <c r="I733" i="39"/>
  <c r="I734" i="39"/>
  <c r="I735" i="39"/>
  <c r="I736" i="39"/>
  <c r="I737" i="39"/>
  <c r="J737" i="39" s="1"/>
  <c r="I738" i="39"/>
  <c r="J738" i="39" s="1"/>
  <c r="I739" i="39"/>
  <c r="J739" i="39" s="1"/>
  <c r="I740" i="39"/>
  <c r="J740" i="39" s="1"/>
  <c r="I741" i="39"/>
  <c r="J741" i="39" s="1"/>
  <c r="I742" i="39"/>
  <c r="I743" i="39"/>
  <c r="J743" i="39" s="1"/>
  <c r="I744" i="39"/>
  <c r="J744" i="39" s="1"/>
  <c r="I745" i="39"/>
  <c r="J745" i="39" s="1"/>
  <c r="I746" i="39"/>
  <c r="J746" i="39" s="1"/>
  <c r="I747" i="39"/>
  <c r="J747" i="39" s="1"/>
  <c r="I748" i="39"/>
  <c r="J748" i="39" s="1"/>
  <c r="I749" i="39"/>
  <c r="I750" i="39"/>
  <c r="J750" i="39" s="1"/>
  <c r="I751" i="39"/>
  <c r="J751" i="39" s="1"/>
  <c r="I752" i="39"/>
  <c r="I753" i="39"/>
  <c r="J753" i="39" s="1"/>
  <c r="I754" i="39"/>
  <c r="J754" i="39" s="1"/>
  <c r="I755" i="39"/>
  <c r="J755" i="39" s="1"/>
  <c r="I756" i="39"/>
  <c r="J756" i="39" s="1"/>
  <c r="I757" i="39"/>
  <c r="J757" i="39" s="1"/>
  <c r="I758" i="39"/>
  <c r="J758" i="39" s="1"/>
  <c r="I759" i="39"/>
  <c r="J759" i="39" s="1"/>
  <c r="I760" i="39"/>
  <c r="J760" i="39" s="1"/>
  <c r="I761" i="39"/>
  <c r="J761" i="39" s="1"/>
  <c r="I762" i="39"/>
  <c r="J762" i="39" s="1"/>
  <c r="I763" i="39"/>
  <c r="J763" i="39" s="1"/>
  <c r="I764" i="39"/>
  <c r="J764" i="39" s="1"/>
  <c r="I765" i="39"/>
  <c r="I766" i="39"/>
  <c r="I767" i="39"/>
  <c r="I768" i="39"/>
  <c r="J768" i="39" s="1"/>
  <c r="I769" i="39"/>
  <c r="I770" i="39"/>
  <c r="J770" i="39" s="1"/>
  <c r="I771" i="39"/>
  <c r="J771" i="39" s="1"/>
  <c r="I772" i="39"/>
  <c r="J772" i="39" s="1"/>
  <c r="I773" i="39"/>
  <c r="J773" i="39" s="1"/>
  <c r="I774" i="39"/>
  <c r="J774" i="39" s="1"/>
  <c r="I775" i="39"/>
  <c r="I776" i="39"/>
  <c r="I777" i="39"/>
  <c r="I778" i="39"/>
  <c r="J778" i="39" s="1"/>
  <c r="I779" i="39"/>
  <c r="J779" i="39" s="1"/>
  <c r="I780" i="39"/>
  <c r="J780" i="39" s="1"/>
  <c r="I781" i="39"/>
  <c r="J781" i="39" s="1"/>
  <c r="I782" i="39"/>
  <c r="J782" i="39" s="1"/>
  <c r="I783" i="39"/>
  <c r="J783" i="39" s="1"/>
  <c r="I784" i="39"/>
  <c r="J784" i="39" s="1"/>
  <c r="I785" i="39"/>
  <c r="J785" i="39" s="1"/>
  <c r="I786" i="39"/>
  <c r="J786" i="39" s="1"/>
  <c r="I787" i="39"/>
  <c r="J787" i="39" s="1"/>
  <c r="I788" i="39"/>
  <c r="J788" i="39" s="1"/>
  <c r="I789" i="39"/>
  <c r="I790" i="39"/>
  <c r="I791" i="39"/>
  <c r="J791" i="39" s="1"/>
  <c r="I792" i="39"/>
  <c r="I793" i="39"/>
  <c r="J793" i="39" s="1"/>
  <c r="I794" i="39"/>
  <c r="J794" i="39" s="1"/>
  <c r="I795" i="39"/>
  <c r="J795" i="39" s="1"/>
  <c r="I796" i="39"/>
  <c r="J796" i="39" s="1"/>
  <c r="I797" i="39"/>
  <c r="J797" i="39" s="1"/>
  <c r="I798" i="39"/>
  <c r="J798" i="39" s="1"/>
  <c r="I799" i="39"/>
  <c r="J799" i="39" s="1"/>
  <c r="I800" i="39"/>
  <c r="J800" i="39" s="1"/>
  <c r="I801" i="39"/>
  <c r="J801" i="39" s="1"/>
  <c r="I802" i="39"/>
  <c r="J802" i="39" s="1"/>
  <c r="I803" i="39"/>
  <c r="J803" i="39" s="1"/>
  <c r="I804" i="39"/>
  <c r="J804" i="39" s="1"/>
  <c r="I805" i="39"/>
  <c r="I806" i="39"/>
  <c r="J806" i="39" s="1"/>
  <c r="I807" i="39"/>
  <c r="J807" i="39" s="1"/>
  <c r="I808" i="39"/>
  <c r="J808" i="39" s="1"/>
  <c r="I809" i="39"/>
  <c r="J809" i="39" s="1"/>
  <c r="I810" i="39"/>
  <c r="J810" i="39" s="1"/>
  <c r="I811" i="39"/>
  <c r="J811" i="39" s="1"/>
  <c r="I812" i="39"/>
  <c r="J812" i="39" s="1"/>
  <c r="I813" i="39"/>
  <c r="J813" i="39" s="1"/>
  <c r="I814" i="39"/>
  <c r="J814" i="39" s="1"/>
  <c r="I815" i="39"/>
  <c r="J815" i="39" s="1"/>
  <c r="I816" i="39"/>
  <c r="J816" i="39" s="1"/>
  <c r="I817" i="39"/>
  <c r="I818" i="39"/>
  <c r="J818" i="39" s="1"/>
  <c r="I819" i="39"/>
  <c r="J819" i="39" s="1"/>
  <c r="I820" i="39"/>
  <c r="J820" i="39" s="1"/>
  <c r="I821" i="39"/>
  <c r="J821" i="39" s="1"/>
  <c r="I822" i="39"/>
  <c r="J822" i="39" s="1"/>
  <c r="I823" i="39"/>
  <c r="J823" i="39" s="1"/>
  <c r="I824" i="39"/>
  <c r="J824" i="39" s="1"/>
  <c r="I825" i="39"/>
  <c r="I826" i="39"/>
  <c r="J826" i="39" s="1"/>
  <c r="I827" i="39"/>
  <c r="J827" i="39" s="1"/>
  <c r="I828" i="39"/>
  <c r="J828" i="39" s="1"/>
  <c r="I829" i="39"/>
  <c r="J829" i="39" s="1"/>
  <c r="I830" i="39"/>
  <c r="J830" i="39" s="1"/>
  <c r="I831" i="39"/>
  <c r="I832" i="39"/>
  <c r="I833" i="39"/>
  <c r="J833" i="39" s="1"/>
  <c r="I834" i="39"/>
  <c r="J834" i="39" s="1"/>
  <c r="I835" i="39"/>
  <c r="J835" i="39" s="1"/>
  <c r="I836" i="39"/>
  <c r="J836" i="39" s="1"/>
  <c r="I837" i="39"/>
  <c r="I838" i="39"/>
  <c r="I839" i="39"/>
  <c r="J839" i="39" s="1"/>
  <c r="I840" i="39"/>
  <c r="J840" i="39" s="1"/>
  <c r="I841" i="39"/>
  <c r="I842" i="39"/>
  <c r="J842" i="39" s="1"/>
  <c r="I843" i="39"/>
  <c r="J843" i="39" s="1"/>
  <c r="I844" i="39"/>
  <c r="J844" i="39" s="1"/>
  <c r="I845" i="39"/>
  <c r="J845" i="39" s="1"/>
  <c r="I846" i="39"/>
  <c r="I847" i="39"/>
  <c r="J847" i="39" s="1"/>
  <c r="I848" i="39"/>
  <c r="J848" i="39" s="1"/>
  <c r="I849" i="39"/>
  <c r="I850" i="39"/>
  <c r="J850" i="39" s="1"/>
  <c r="I851" i="39"/>
  <c r="J851" i="39" s="1"/>
  <c r="I852" i="39"/>
  <c r="J852" i="39" s="1"/>
  <c r="I853" i="39"/>
  <c r="J853" i="39" s="1"/>
  <c r="I854" i="39"/>
  <c r="J854" i="39" s="1"/>
  <c r="I855" i="39"/>
  <c r="J855" i="39" s="1"/>
  <c r="I856" i="39"/>
  <c r="J856" i="39" s="1"/>
  <c r="I857" i="39"/>
  <c r="J857" i="39" s="1"/>
  <c r="I858" i="39"/>
  <c r="J858" i="39" s="1"/>
  <c r="I859" i="39"/>
  <c r="J859" i="39" s="1"/>
  <c r="I860" i="39"/>
  <c r="J860" i="39" s="1"/>
  <c r="I861" i="39"/>
  <c r="I862" i="39"/>
  <c r="J862" i="39" s="1"/>
  <c r="I863" i="39"/>
  <c r="J863" i="39" s="1"/>
  <c r="I864" i="39"/>
  <c r="I865" i="39"/>
  <c r="J865" i="39" s="1"/>
  <c r="I866" i="39"/>
  <c r="J866" i="39" s="1"/>
  <c r="I867" i="39"/>
  <c r="J867" i="39" s="1"/>
  <c r="I868" i="39"/>
  <c r="J868" i="39" s="1"/>
  <c r="I869" i="39"/>
  <c r="J869" i="39" s="1"/>
  <c r="I870" i="39"/>
  <c r="J870" i="39" s="1"/>
  <c r="I871" i="39"/>
  <c r="J871" i="39" s="1"/>
  <c r="I872" i="39"/>
  <c r="J872" i="39" s="1"/>
  <c r="I873" i="39"/>
  <c r="I874" i="39"/>
  <c r="J874" i="39" s="1"/>
  <c r="I875" i="39"/>
  <c r="J875" i="39" s="1"/>
  <c r="I876" i="39"/>
  <c r="J876" i="39" s="1"/>
  <c r="I877" i="39"/>
  <c r="J877" i="39" s="1"/>
  <c r="I878" i="39"/>
  <c r="I879" i="39"/>
  <c r="J879" i="39" s="1"/>
  <c r="I880" i="39"/>
  <c r="J880" i="39" s="1"/>
  <c r="I881" i="39"/>
  <c r="J881" i="39" s="1"/>
  <c r="I882" i="39"/>
  <c r="J882" i="39" s="1"/>
  <c r="I883" i="39"/>
  <c r="J883" i="39" s="1"/>
  <c r="I884" i="39"/>
  <c r="J884" i="39" s="1"/>
  <c r="I885" i="39"/>
  <c r="J885" i="39" s="1"/>
  <c r="I886" i="39"/>
  <c r="J886" i="39" s="1"/>
  <c r="I887" i="39"/>
  <c r="J887" i="39" s="1"/>
  <c r="I888" i="39"/>
  <c r="I889" i="39"/>
  <c r="I890" i="39"/>
  <c r="J890" i="39" s="1"/>
  <c r="I891" i="39"/>
  <c r="J891" i="39" s="1"/>
  <c r="I892" i="39"/>
  <c r="J892" i="39" s="1"/>
  <c r="I893" i="39"/>
  <c r="I894" i="39"/>
  <c r="J894" i="39" s="1"/>
  <c r="I895" i="39"/>
  <c r="J895" i="39" s="1"/>
  <c r="I896" i="39"/>
  <c r="J896" i="39" s="1"/>
  <c r="I897" i="39"/>
  <c r="J897" i="39" s="1"/>
  <c r="I898" i="39"/>
  <c r="J898" i="39" s="1"/>
  <c r="I899" i="39"/>
  <c r="J899" i="39" s="1"/>
  <c r="I900" i="39"/>
  <c r="J900" i="39" s="1"/>
  <c r="I901" i="39"/>
  <c r="I902" i="39"/>
  <c r="I903" i="39"/>
  <c r="J903" i="39" s="1"/>
  <c r="I904" i="39"/>
  <c r="J904" i="39" s="1"/>
  <c r="I905" i="39"/>
  <c r="J905" i="39" s="1"/>
  <c r="I906" i="39"/>
  <c r="J906" i="39" s="1"/>
  <c r="I907" i="39"/>
  <c r="J907" i="39" s="1"/>
  <c r="I908" i="39"/>
  <c r="J908" i="39" s="1"/>
  <c r="I909" i="39"/>
  <c r="J909" i="39" s="1"/>
  <c r="I910" i="39"/>
  <c r="J910" i="39" s="1"/>
  <c r="I911" i="39"/>
  <c r="J911" i="39" s="1"/>
  <c r="I912" i="39"/>
  <c r="J912" i="39" s="1"/>
  <c r="I913" i="39"/>
  <c r="J913" i="39" s="1"/>
  <c r="I914" i="39"/>
  <c r="J914" i="39" s="1"/>
  <c r="I915" i="39"/>
  <c r="J915" i="39" s="1"/>
  <c r="I916" i="39"/>
  <c r="I917" i="39"/>
  <c r="J917" i="39" s="1"/>
  <c r="I918" i="39"/>
  <c r="J918" i="39" s="1"/>
  <c r="I919" i="39"/>
  <c r="J919" i="39" s="1"/>
  <c r="I920" i="39"/>
  <c r="J920" i="39" s="1"/>
  <c r="I921" i="39"/>
  <c r="I922" i="39"/>
  <c r="J922" i="39" s="1"/>
  <c r="I923" i="39"/>
  <c r="J923" i="39" s="1"/>
  <c r="I924" i="39"/>
  <c r="J924" i="39" s="1"/>
  <c r="I925" i="39"/>
  <c r="J925" i="39" s="1"/>
  <c r="I926" i="39"/>
  <c r="J926" i="39" s="1"/>
  <c r="I927" i="39"/>
  <c r="J927" i="39" s="1"/>
  <c r="I928" i="39"/>
  <c r="J928" i="39" s="1"/>
  <c r="I929" i="39"/>
  <c r="J929" i="39" s="1"/>
  <c r="I930" i="39"/>
  <c r="J930" i="39" s="1"/>
  <c r="I931" i="39"/>
  <c r="J931" i="39" s="1"/>
  <c r="I932" i="39"/>
  <c r="J932" i="39" s="1"/>
  <c r="I933" i="39"/>
  <c r="J933" i="39" s="1"/>
  <c r="I934" i="39"/>
  <c r="I935" i="39"/>
  <c r="J935" i="39" s="1"/>
  <c r="I936" i="39"/>
  <c r="J936" i="39" s="1"/>
  <c r="I937" i="39"/>
  <c r="J937" i="39" s="1"/>
  <c r="I938" i="39"/>
  <c r="J938" i="39" s="1"/>
  <c r="I939" i="39"/>
  <c r="J939" i="39" s="1"/>
  <c r="I940" i="39"/>
  <c r="J940" i="39" s="1"/>
  <c r="I941" i="39"/>
  <c r="J941" i="39" s="1"/>
  <c r="I942" i="39"/>
  <c r="J942" i="39" s="1"/>
  <c r="I943" i="39"/>
  <c r="J943" i="39" s="1"/>
  <c r="I944" i="39"/>
  <c r="J944" i="39" s="1"/>
  <c r="I945" i="39"/>
  <c r="I946" i="39"/>
  <c r="J946" i="39" s="1"/>
  <c r="I947" i="39"/>
  <c r="J947" i="39" s="1"/>
  <c r="I948" i="39"/>
  <c r="J948" i="39" s="1"/>
  <c r="I949" i="39"/>
  <c r="J949" i="39" s="1"/>
  <c r="I950" i="39"/>
  <c r="J950" i="39" s="1"/>
  <c r="I951" i="39"/>
  <c r="J951" i="39" s="1"/>
  <c r="I952" i="39"/>
  <c r="J952" i="39" s="1"/>
  <c r="I953" i="39"/>
  <c r="J953" i="39" s="1"/>
  <c r="I954" i="39"/>
  <c r="J954" i="39" s="1"/>
  <c r="I955" i="39"/>
  <c r="J955" i="39" s="1"/>
  <c r="I956" i="39"/>
  <c r="J956" i="39" s="1"/>
  <c r="I957" i="39"/>
  <c r="I958" i="39"/>
  <c r="I959" i="39"/>
  <c r="J959" i="39" s="1"/>
  <c r="I960" i="39"/>
  <c r="J960" i="39" s="1"/>
  <c r="I961" i="39"/>
  <c r="J961" i="39" s="1"/>
  <c r="I962" i="39"/>
  <c r="J962" i="39" s="1"/>
  <c r="I963" i="39"/>
  <c r="J963" i="39" s="1"/>
  <c r="I964" i="39"/>
  <c r="J964" i="39" s="1"/>
  <c r="I965" i="39"/>
  <c r="J965" i="39" s="1"/>
  <c r="I966" i="39"/>
  <c r="J966" i="39" s="1"/>
  <c r="I967" i="39"/>
  <c r="J967" i="39" s="1"/>
  <c r="I968" i="39"/>
  <c r="J968" i="39" s="1"/>
  <c r="I969" i="39"/>
  <c r="J969" i="39" s="1"/>
  <c r="I970" i="39"/>
  <c r="J970" i="39" s="1"/>
  <c r="I971" i="39"/>
  <c r="J971" i="39" s="1"/>
  <c r="I972" i="39"/>
  <c r="J972" i="39" s="1"/>
  <c r="I973" i="39"/>
  <c r="I974" i="39"/>
  <c r="J974" i="39" s="1"/>
  <c r="I975" i="39"/>
  <c r="J975" i="39" s="1"/>
  <c r="I976" i="39"/>
  <c r="J976" i="39" s="1"/>
  <c r="I977" i="39"/>
  <c r="J977" i="39" s="1"/>
  <c r="I978" i="39"/>
  <c r="J978" i="39" s="1"/>
  <c r="I979" i="39"/>
  <c r="J979" i="39" s="1"/>
  <c r="I980" i="39"/>
  <c r="J980" i="39" s="1"/>
  <c r="I981" i="39"/>
  <c r="J981" i="39" s="1"/>
  <c r="I982" i="39"/>
  <c r="J982" i="39" s="1"/>
  <c r="I983" i="39"/>
  <c r="J983" i="39" s="1"/>
  <c r="I984" i="39"/>
  <c r="J984" i="39" s="1"/>
  <c r="I985" i="39"/>
  <c r="I986" i="39"/>
  <c r="J986" i="39" s="1"/>
  <c r="I987" i="39"/>
  <c r="J987" i="39" s="1"/>
  <c r="I988" i="39"/>
  <c r="J988" i="39" s="1"/>
  <c r="I989" i="39"/>
  <c r="J989" i="39" s="1"/>
  <c r="I990" i="39"/>
  <c r="J990" i="39" s="1"/>
  <c r="I991" i="39"/>
  <c r="J991" i="39" s="1"/>
  <c r="I992" i="39"/>
  <c r="J992" i="39" s="1"/>
  <c r="I993" i="39"/>
  <c r="I994" i="39"/>
  <c r="J994" i="39" s="1"/>
  <c r="I995" i="39"/>
  <c r="J995" i="39" s="1"/>
  <c r="I996" i="39"/>
  <c r="J996" i="39" s="1"/>
  <c r="I997" i="39"/>
  <c r="J997" i="39" s="1"/>
  <c r="I998" i="39"/>
  <c r="J998" i="39" s="1"/>
  <c r="I999" i="39"/>
  <c r="I1000" i="39"/>
  <c r="J1000" i="39" s="1"/>
  <c r="I1001" i="39"/>
  <c r="J1001" i="39" s="1"/>
  <c r="I1002" i="39"/>
  <c r="J1002" i="39" s="1"/>
  <c r="I1003" i="39"/>
  <c r="J1003" i="39" s="1"/>
  <c r="I1004" i="39"/>
  <c r="J1004" i="39" s="1"/>
  <c r="I1005" i="39"/>
  <c r="I1006" i="39"/>
  <c r="J1006" i="39" s="1"/>
  <c r="I1007" i="39"/>
  <c r="J1007" i="39" s="1"/>
  <c r="I1008" i="39"/>
  <c r="J1008" i="39" s="1"/>
  <c r="I1009" i="39"/>
  <c r="J1009" i="39" s="1"/>
  <c r="I1010" i="39"/>
  <c r="J1010" i="39" s="1"/>
  <c r="I1011" i="39"/>
  <c r="J1011" i="39" s="1"/>
  <c r="I1012" i="39"/>
  <c r="J1012" i="39" s="1"/>
  <c r="I1013" i="39"/>
  <c r="I1014" i="39"/>
  <c r="J1014" i="39" s="1"/>
  <c r="I1015" i="39"/>
  <c r="J1015" i="39" s="1"/>
  <c r="I1016" i="39"/>
  <c r="J1016" i="39" s="1"/>
  <c r="I1017" i="39"/>
  <c r="I1018" i="39"/>
  <c r="J1018" i="39" s="1"/>
  <c r="I1019" i="39"/>
  <c r="J1019" i="39" s="1"/>
  <c r="I1020" i="39"/>
  <c r="J1020" i="39" s="1"/>
  <c r="I1021" i="39"/>
  <c r="J1021" i="39" s="1"/>
  <c r="I1022" i="39"/>
  <c r="J1022" i="39" s="1"/>
  <c r="I1023" i="39"/>
  <c r="J1023" i="39" s="1"/>
  <c r="I1024" i="39"/>
  <c r="J1024" i="39" s="1"/>
  <c r="I1025" i="39"/>
  <c r="J1025" i="39" s="1"/>
  <c r="I1026" i="39"/>
  <c r="J1026" i="39" s="1"/>
  <c r="I1027" i="39"/>
  <c r="J1027" i="39" s="1"/>
  <c r="I1028" i="39"/>
  <c r="J1028" i="39" s="1"/>
  <c r="I1029" i="39"/>
  <c r="J1029" i="39" s="1"/>
  <c r="I1030" i="39"/>
  <c r="I1031" i="39"/>
  <c r="J1031" i="39" s="1"/>
  <c r="I1032" i="39"/>
  <c r="J1032" i="39" s="1"/>
  <c r="I1033" i="39"/>
  <c r="J1033" i="39" s="1"/>
  <c r="I1034" i="39"/>
  <c r="J1034" i="39" s="1"/>
  <c r="I1035" i="39"/>
  <c r="J1035" i="39" s="1"/>
  <c r="I1036" i="39"/>
  <c r="J1036" i="39" s="1"/>
  <c r="I1037" i="39"/>
  <c r="J1037" i="39" s="1"/>
  <c r="I1038" i="39"/>
  <c r="J1038" i="39" s="1"/>
  <c r="I1039" i="39"/>
  <c r="J1039" i="39" s="1"/>
  <c r="I1040" i="39"/>
  <c r="J1040" i="39" s="1"/>
  <c r="I1041" i="39"/>
  <c r="I1042" i="39"/>
  <c r="J1042" i="39" s="1"/>
  <c r="I1043" i="39"/>
  <c r="J1043" i="39" s="1"/>
  <c r="I1044" i="39"/>
  <c r="J1044" i="39" s="1"/>
  <c r="I1045" i="39"/>
  <c r="J1045" i="39" s="1"/>
  <c r="I1046" i="39"/>
  <c r="I1047" i="39"/>
  <c r="J1047" i="39" s="1"/>
  <c r="I1048" i="39"/>
  <c r="I1049" i="39"/>
  <c r="J1049" i="39" s="1"/>
  <c r="I1050" i="39"/>
  <c r="J1050" i="39" s="1"/>
  <c r="I1051" i="39"/>
  <c r="J1051" i="39" s="1"/>
  <c r="I1052" i="39"/>
  <c r="J1052" i="39" s="1"/>
  <c r="I1053" i="39"/>
  <c r="J1053" i="39" s="1"/>
  <c r="I1054" i="39"/>
  <c r="J1054" i="39" s="1"/>
  <c r="I1055" i="39"/>
  <c r="J1055" i="39" s="1"/>
  <c r="I1056" i="39"/>
  <c r="J1056" i="39" s="1"/>
  <c r="I1057" i="39"/>
  <c r="I1058" i="39"/>
  <c r="J1058" i="39" s="1"/>
  <c r="I1059" i="39"/>
  <c r="J1059" i="39" s="1"/>
  <c r="I1060" i="39"/>
  <c r="J1060" i="39" s="1"/>
  <c r="I1061" i="39"/>
  <c r="J1061" i="39" s="1"/>
  <c r="I1062" i="39"/>
  <c r="J1062" i="39" s="1"/>
  <c r="I1063" i="39"/>
  <c r="J1063" i="39" s="1"/>
  <c r="I1064" i="39"/>
  <c r="J1064" i="39" s="1"/>
  <c r="I1065" i="39"/>
  <c r="J1065" i="39" s="1"/>
  <c r="I1066" i="39"/>
  <c r="J1066" i="39" s="1"/>
  <c r="I1067" i="39"/>
  <c r="J1067" i="39" s="1"/>
  <c r="I1068" i="39"/>
  <c r="J1068" i="39" s="1"/>
  <c r="I1069" i="39"/>
  <c r="I1070" i="39"/>
  <c r="I1071" i="39"/>
  <c r="I1072" i="39"/>
  <c r="I1073" i="39"/>
  <c r="J1073" i="39" s="1"/>
  <c r="I1074" i="39"/>
  <c r="J1074" i="39" s="1"/>
  <c r="I1075" i="39"/>
  <c r="J1075" i="39" s="1"/>
  <c r="I1076" i="39"/>
  <c r="J1076" i="39" s="1"/>
  <c r="I1077" i="39"/>
  <c r="I1078" i="39"/>
  <c r="J1078" i="39" s="1"/>
  <c r="I1079" i="39"/>
  <c r="J1079" i="39" s="1"/>
  <c r="I1080" i="39"/>
  <c r="J1080" i="39" s="1"/>
  <c r="I1081" i="39"/>
  <c r="J1081" i="39" s="1"/>
  <c r="I1082" i="39"/>
  <c r="J1082" i="39" s="1"/>
  <c r="I1083" i="39"/>
  <c r="J1083" i="39" s="1"/>
  <c r="I1084" i="39"/>
  <c r="J1084" i="39" s="1"/>
  <c r="I1085" i="39"/>
  <c r="I1086" i="39"/>
  <c r="J1086" i="39" s="1"/>
  <c r="I1087" i="39"/>
  <c r="J1087" i="39" s="1"/>
  <c r="I1088" i="39"/>
  <c r="I1089" i="39"/>
  <c r="J1089" i="39" s="1"/>
  <c r="I1090" i="39"/>
  <c r="J1090" i="39" s="1"/>
  <c r="I1091" i="39"/>
  <c r="J1091" i="39" s="1"/>
  <c r="I1092" i="39"/>
  <c r="J1092" i="39" s="1"/>
  <c r="I1093" i="39"/>
  <c r="J1093" i="39" s="1"/>
  <c r="I1094" i="39"/>
  <c r="J1094" i="39" s="1"/>
  <c r="I1095" i="39"/>
  <c r="J1095" i="39" s="1"/>
  <c r="I1096" i="39"/>
  <c r="J1096" i="39" s="1"/>
  <c r="I1097" i="39"/>
  <c r="J1097" i="39" s="1"/>
  <c r="I1098" i="39"/>
  <c r="J1098" i="39" s="1"/>
  <c r="I1099" i="39"/>
  <c r="J1099" i="39" s="1"/>
  <c r="I1100" i="39"/>
  <c r="J1100" i="39" s="1"/>
  <c r="I1101" i="39"/>
  <c r="I1102" i="39"/>
  <c r="I1103" i="39"/>
  <c r="J1103" i="39" s="1"/>
  <c r="I1104" i="39"/>
  <c r="J1104" i="39" s="1"/>
  <c r="I1105" i="39"/>
  <c r="J1105" i="39" s="1"/>
  <c r="I1106" i="39"/>
  <c r="J1106" i="39" s="1"/>
  <c r="I1107" i="39"/>
  <c r="J1107" i="39" s="1"/>
  <c r="I1108" i="39"/>
  <c r="J1108" i="39" s="1"/>
  <c r="I1109" i="39"/>
  <c r="J1109" i="39" s="1"/>
  <c r="I1110" i="39"/>
  <c r="J1110" i="39" s="1"/>
  <c r="I1111" i="39"/>
  <c r="J1111" i="39" s="1"/>
  <c r="I1112" i="39"/>
  <c r="J1112" i="39" s="1"/>
  <c r="I1113" i="39"/>
  <c r="I1114" i="39"/>
  <c r="J1114" i="39" s="1"/>
  <c r="I1115" i="39"/>
  <c r="J1115" i="39" s="1"/>
  <c r="I1116" i="39"/>
  <c r="J1116" i="39" s="1"/>
  <c r="I1117" i="39"/>
  <c r="J1117" i="39" s="1"/>
  <c r="I1118" i="39"/>
  <c r="J1118" i="39" s="1"/>
  <c r="I1119" i="39"/>
  <c r="I1120" i="39"/>
  <c r="J1120" i="39" s="1"/>
  <c r="I1121" i="39"/>
  <c r="J1121" i="39" s="1"/>
  <c r="I1122" i="39"/>
  <c r="J1122" i="39" s="1"/>
  <c r="I1123" i="39"/>
  <c r="J1123" i="39" s="1"/>
  <c r="I1124" i="39"/>
  <c r="J1124" i="39" s="1"/>
  <c r="I1125" i="39"/>
  <c r="J1125" i="39" s="1"/>
  <c r="I1126" i="39"/>
  <c r="I1127" i="39"/>
  <c r="J1127" i="39" s="1"/>
  <c r="I1128" i="39"/>
  <c r="I1129" i="39"/>
  <c r="J1129" i="39" s="1"/>
  <c r="I1130" i="39"/>
  <c r="J1130" i="39" s="1"/>
  <c r="I1131" i="39"/>
  <c r="J1131" i="39" s="1"/>
  <c r="I1132" i="39"/>
  <c r="J1132" i="39" s="1"/>
  <c r="I1133" i="39"/>
  <c r="J1133" i="39" s="1"/>
  <c r="I1134" i="39"/>
  <c r="J1134" i="39" s="1"/>
  <c r="I1135" i="39"/>
  <c r="J1135" i="39" s="1"/>
  <c r="I1136" i="39"/>
  <c r="J1136" i="39" s="1"/>
  <c r="I1137" i="39"/>
  <c r="J1137" i="39" s="1"/>
  <c r="I1138" i="39"/>
  <c r="J1138" i="39" s="1"/>
  <c r="I1139" i="39"/>
  <c r="J1139" i="39" s="1"/>
  <c r="I1140" i="39"/>
  <c r="J1140" i="39" s="1"/>
  <c r="I1141" i="39"/>
  <c r="I1142" i="39"/>
  <c r="I1143" i="39"/>
  <c r="I1144" i="39"/>
  <c r="J1144" i="39" s="1"/>
  <c r="I1145" i="39"/>
  <c r="J1145" i="39" s="1"/>
  <c r="I1146" i="39"/>
  <c r="J1146" i="39" s="1"/>
  <c r="I1147" i="39"/>
  <c r="J1147" i="39" s="1"/>
  <c r="I1148" i="39"/>
  <c r="J1148" i="39" s="1"/>
  <c r="I1149" i="39"/>
  <c r="J1149" i="39" s="1"/>
  <c r="I1150" i="39"/>
  <c r="J1150" i="39" s="1"/>
  <c r="I1151" i="39"/>
  <c r="J1151" i="39" s="1"/>
  <c r="I1152" i="39"/>
  <c r="J1152" i="39" s="1"/>
  <c r="I1153" i="39"/>
  <c r="I1154" i="39"/>
  <c r="J1154" i="39" s="1"/>
  <c r="I1155" i="39"/>
  <c r="J1155" i="39" s="1"/>
  <c r="I1156" i="39"/>
  <c r="J1156" i="39" s="1"/>
  <c r="I1157" i="39"/>
  <c r="J1157" i="39" s="1"/>
  <c r="I1158" i="39"/>
  <c r="J1158" i="39" s="1"/>
  <c r="I1159" i="39"/>
  <c r="J1159" i="39" s="1"/>
  <c r="I1160" i="39"/>
  <c r="J1160" i="39" s="1"/>
  <c r="I1161" i="39"/>
  <c r="J1161" i="39" s="1"/>
  <c r="I1162" i="39"/>
  <c r="J1162" i="39" s="1"/>
  <c r="I1163" i="39"/>
  <c r="J1163" i="39" s="1"/>
  <c r="I1164" i="39"/>
  <c r="J1164" i="39" s="1"/>
  <c r="I1165" i="39"/>
  <c r="J1165" i="39" s="1"/>
  <c r="I1166" i="39"/>
  <c r="J1166" i="39" s="1"/>
  <c r="I1167" i="39"/>
  <c r="I1168" i="39"/>
  <c r="I1169" i="39"/>
  <c r="J1169" i="39" s="1"/>
  <c r="I1170" i="39"/>
  <c r="J1170" i="39" s="1"/>
  <c r="I1171" i="39"/>
  <c r="J1171" i="39" s="1"/>
  <c r="I1172" i="39"/>
  <c r="I1173" i="39"/>
  <c r="J1173" i="39" s="1"/>
  <c r="I1174" i="39"/>
  <c r="J1174" i="39" s="1"/>
  <c r="I1175" i="39"/>
  <c r="J1175" i="39" s="1"/>
  <c r="I1176" i="39"/>
  <c r="J1176" i="39" s="1"/>
  <c r="I1177" i="39"/>
  <c r="J1177" i="39" s="1"/>
  <c r="I1178" i="39"/>
  <c r="J1178" i="39" s="1"/>
  <c r="I1179" i="39"/>
  <c r="J1179" i="39" s="1"/>
  <c r="I1180" i="39"/>
  <c r="J1180" i="39" s="1"/>
  <c r="I1181" i="39"/>
  <c r="J1181" i="39" s="1"/>
  <c r="I1182" i="39"/>
  <c r="J1182" i="39" s="1"/>
  <c r="I1183" i="39"/>
  <c r="J1183" i="39" s="1"/>
  <c r="I1184" i="39"/>
  <c r="J1184" i="39" s="1"/>
  <c r="I1185" i="39"/>
  <c r="J1185" i="39" s="1"/>
  <c r="I1186" i="39"/>
  <c r="J1186" i="39" s="1"/>
  <c r="I1187" i="39"/>
  <c r="J1187" i="39" s="1"/>
  <c r="I1188" i="39"/>
  <c r="J1188" i="39" s="1"/>
  <c r="I1189" i="39"/>
  <c r="J1189" i="39" s="1"/>
  <c r="I1190" i="39"/>
  <c r="J1190" i="39" s="1"/>
  <c r="I1191" i="39"/>
  <c r="J1191" i="39" s="1"/>
  <c r="I1192" i="39"/>
  <c r="J1192" i="39" s="1"/>
  <c r="I1193" i="39"/>
  <c r="J1193" i="39" s="1"/>
  <c r="I1194" i="39"/>
  <c r="J1194" i="39" s="1"/>
  <c r="I1195" i="39"/>
  <c r="J1195" i="39" s="1"/>
  <c r="I1196" i="39"/>
  <c r="J1196" i="39" s="1"/>
  <c r="I1197" i="39"/>
  <c r="I1198" i="39"/>
  <c r="J1198" i="39" s="1"/>
  <c r="I1199" i="39"/>
  <c r="J1199" i="39" s="1"/>
  <c r="I1200" i="39"/>
  <c r="I1201" i="39"/>
  <c r="J1201" i="39" s="1"/>
  <c r="I1202" i="39"/>
  <c r="J1202" i="39" s="1"/>
  <c r="I1203" i="39"/>
  <c r="J1203" i="39" s="1"/>
  <c r="I1204" i="39"/>
  <c r="J1204" i="39" s="1"/>
  <c r="I1205" i="39"/>
  <c r="J1205" i="39" s="1"/>
  <c r="I1206" i="39"/>
  <c r="J1206" i="39" s="1"/>
  <c r="I1207" i="39"/>
  <c r="J1207" i="39" s="1"/>
  <c r="I1208" i="39"/>
  <c r="J1208" i="39" s="1"/>
  <c r="I1209" i="39"/>
  <c r="J1209" i="39" s="1"/>
  <c r="I1210" i="39"/>
  <c r="J1210" i="39" s="1"/>
  <c r="I1211" i="39"/>
  <c r="J1211" i="39" s="1"/>
  <c r="I1212" i="39"/>
  <c r="J1212" i="39" s="1"/>
  <c r="I1213" i="39"/>
  <c r="I1214" i="39"/>
  <c r="I1215" i="39"/>
  <c r="J1215" i="39" s="1"/>
  <c r="I1216" i="39"/>
  <c r="J1216" i="39" s="1"/>
  <c r="I1217" i="39"/>
  <c r="J1217" i="39" s="1"/>
  <c r="I1218" i="39"/>
  <c r="J1218" i="39" s="1"/>
  <c r="I1219" i="39"/>
  <c r="J1219" i="39" s="1"/>
  <c r="I1220" i="39"/>
  <c r="J1220" i="39" s="1"/>
  <c r="I1221" i="39"/>
  <c r="J1221" i="39" s="1"/>
  <c r="I1222" i="39"/>
  <c r="J1222" i="39" s="1"/>
  <c r="I1223" i="39"/>
  <c r="J1223" i="39" s="1"/>
  <c r="I1224" i="39"/>
  <c r="J1224" i="39" s="1"/>
  <c r="I1225" i="39"/>
  <c r="J1225" i="39" s="1"/>
  <c r="I1226" i="39"/>
  <c r="J1226" i="39" s="1"/>
  <c r="I1227" i="39"/>
  <c r="J1227" i="39" s="1"/>
  <c r="I1228" i="39"/>
  <c r="J1228" i="39" s="1"/>
  <c r="I1229" i="39"/>
  <c r="J1229" i="39" s="1"/>
  <c r="I1230" i="39"/>
  <c r="J1230" i="39" s="1"/>
  <c r="I1231" i="39"/>
  <c r="J1231" i="39" s="1"/>
  <c r="I1232" i="39"/>
  <c r="J1232" i="39" s="1"/>
  <c r="I1233" i="39"/>
  <c r="J1233" i="39" s="1"/>
  <c r="I1234" i="39"/>
  <c r="J1234" i="39" s="1"/>
  <c r="I1235" i="39"/>
  <c r="J1235" i="39" s="1"/>
  <c r="I1236" i="39"/>
  <c r="J1236" i="39" s="1"/>
  <c r="I1237" i="39"/>
  <c r="I1238" i="39"/>
  <c r="I1239" i="39"/>
  <c r="I1240" i="39"/>
  <c r="J1240" i="39" s="1"/>
  <c r="I1241" i="39"/>
  <c r="J1241" i="39" s="1"/>
  <c r="I1242" i="39"/>
  <c r="J1242" i="39" s="1"/>
  <c r="I1243" i="39"/>
  <c r="J1243" i="39" s="1"/>
  <c r="I1244" i="39"/>
  <c r="J1244" i="39" s="1"/>
  <c r="I1245" i="39"/>
  <c r="J1245" i="39" s="1"/>
  <c r="I1246" i="39"/>
  <c r="J1246" i="39" s="1"/>
  <c r="I1247" i="39"/>
  <c r="J1247" i="39" s="1"/>
  <c r="I1248" i="39"/>
  <c r="J1248" i="39" s="1"/>
  <c r="I1249" i="39"/>
  <c r="J1249" i="39" s="1"/>
  <c r="I1250" i="39"/>
  <c r="J1250" i="39" s="1"/>
  <c r="I1251" i="39"/>
  <c r="J1251" i="39" s="1"/>
  <c r="I1252" i="39"/>
  <c r="J1252" i="39" s="1"/>
  <c r="I1253" i="39"/>
  <c r="J1253" i="39" s="1"/>
  <c r="I1254" i="39"/>
  <c r="J1254" i="39" s="1"/>
  <c r="I1255" i="39"/>
  <c r="J1255" i="39" s="1"/>
  <c r="I1256" i="39"/>
  <c r="J1256" i="39" s="1"/>
  <c r="I1257" i="39"/>
  <c r="I1258" i="39"/>
  <c r="J1258" i="39" s="1"/>
  <c r="I1259" i="39"/>
  <c r="J1259" i="39" s="1"/>
  <c r="I1260" i="39"/>
  <c r="J1260" i="39" s="1"/>
  <c r="I1261" i="39"/>
  <c r="J1261" i="39" s="1"/>
  <c r="I1262" i="39"/>
  <c r="J1262" i="39" s="1"/>
  <c r="I1263" i="39"/>
  <c r="J1263" i="39" s="1"/>
  <c r="I1264" i="39"/>
  <c r="J1264" i="39" s="1"/>
  <c r="I1265" i="39"/>
  <c r="J1265" i="39" s="1"/>
  <c r="I1266" i="39"/>
  <c r="J1266" i="39" s="1"/>
  <c r="I1267" i="39"/>
  <c r="J1267" i="39" s="1"/>
  <c r="I1268" i="39"/>
  <c r="J1268" i="39" s="1"/>
  <c r="I1269" i="39"/>
  <c r="J1269" i="39" s="1"/>
  <c r="I1270" i="39"/>
  <c r="I1271" i="39"/>
  <c r="J1271" i="39" s="1"/>
  <c r="I1272" i="39"/>
  <c r="J1272" i="39" s="1"/>
  <c r="I1273" i="39"/>
  <c r="J1273" i="39" s="1"/>
  <c r="I1274" i="39"/>
  <c r="J1274" i="39" s="1"/>
  <c r="I1275" i="39"/>
  <c r="J1275" i="39" s="1"/>
  <c r="I1276" i="39"/>
  <c r="J1276" i="39" s="1"/>
  <c r="I1277" i="39"/>
  <c r="J1277" i="39" s="1"/>
  <c r="I1278" i="39"/>
  <c r="J1278" i="39" s="1"/>
  <c r="I1279" i="39"/>
  <c r="J1279" i="39" s="1"/>
  <c r="I1280" i="39"/>
  <c r="I1281" i="39"/>
  <c r="I1282" i="39"/>
  <c r="J1282" i="39" s="1"/>
  <c r="I1283" i="39"/>
  <c r="J1283" i="39" s="1"/>
  <c r="I1284" i="39"/>
  <c r="J1284" i="39" s="1"/>
  <c r="I1285" i="39"/>
  <c r="J1285" i="39" s="1"/>
  <c r="I1286" i="39"/>
  <c r="J1286" i="39" s="1"/>
  <c r="I1287" i="39"/>
  <c r="J1287" i="39" s="1"/>
  <c r="I1288" i="39"/>
  <c r="J1288" i="39" s="1"/>
  <c r="I1289" i="39"/>
  <c r="J1289" i="39" s="1"/>
  <c r="I1290" i="39"/>
  <c r="J1290" i="39" s="1"/>
  <c r="I1291" i="39"/>
  <c r="J1291" i="39" s="1"/>
  <c r="I1292" i="39"/>
  <c r="J1292" i="39" s="1"/>
  <c r="I1293" i="39"/>
  <c r="I1294" i="39"/>
  <c r="I1295" i="39"/>
  <c r="J1295" i="39" s="1"/>
  <c r="I1296" i="39"/>
  <c r="J1296" i="39" s="1"/>
  <c r="I1297" i="39"/>
  <c r="J1297" i="39" s="1"/>
  <c r="I1298" i="39"/>
  <c r="J1298" i="39" s="1"/>
  <c r="I1299" i="39"/>
  <c r="J1299" i="39" s="1"/>
  <c r="I1300" i="39"/>
  <c r="J1300" i="39" s="1"/>
  <c r="I1301" i="39"/>
  <c r="J1301" i="39" s="1"/>
  <c r="I1302" i="39"/>
  <c r="J1302" i="39" s="1"/>
  <c r="I1303" i="39"/>
  <c r="J1303" i="39" s="1"/>
  <c r="I1304" i="39"/>
  <c r="J1304" i="39" s="1"/>
  <c r="I1305" i="39"/>
  <c r="J1305" i="39" s="1"/>
  <c r="I1306" i="39"/>
  <c r="J1306" i="39" s="1"/>
  <c r="I1307" i="39"/>
  <c r="J1307" i="39" s="1"/>
  <c r="I1308" i="39"/>
  <c r="J1308" i="39" s="1"/>
  <c r="I1309" i="39"/>
  <c r="I1310" i="39"/>
  <c r="I1311" i="39"/>
  <c r="I1312" i="39"/>
  <c r="I1313" i="39"/>
  <c r="J1313" i="39" s="1"/>
  <c r="I1314" i="39"/>
  <c r="J1314" i="39" s="1"/>
  <c r="I1315" i="39"/>
  <c r="J1315" i="39" s="1"/>
  <c r="I1316" i="39"/>
  <c r="J1316" i="39" s="1"/>
  <c r="I1317" i="39"/>
  <c r="J1317" i="39" s="1"/>
  <c r="I1318" i="39"/>
  <c r="J1318" i="39" s="1"/>
  <c r="I1319" i="39"/>
  <c r="J1319" i="39" s="1"/>
  <c r="I1320" i="39"/>
  <c r="J1320" i="39" s="1"/>
  <c r="I1321" i="39"/>
  <c r="I1322" i="39"/>
  <c r="J1322" i="39" s="1"/>
  <c r="I1323" i="39"/>
  <c r="J1323" i="39" s="1"/>
  <c r="I1324" i="39"/>
  <c r="J1324" i="39" s="1"/>
  <c r="I1325" i="39"/>
  <c r="J1325" i="39" s="1"/>
  <c r="I1326" i="39"/>
  <c r="J1326" i="39" s="1"/>
  <c r="I1327" i="39"/>
  <c r="J1327" i="39" s="1"/>
  <c r="I1328" i="39"/>
  <c r="I1329" i="39"/>
  <c r="I1330" i="39"/>
  <c r="J1330" i="39" s="1"/>
  <c r="I1331" i="39"/>
  <c r="J1331" i="39" s="1"/>
  <c r="I1332" i="39"/>
  <c r="J1332" i="39" s="1"/>
  <c r="I1333" i="39"/>
  <c r="J1333" i="39" s="1"/>
  <c r="I1334" i="39"/>
  <c r="J1334" i="39" s="1"/>
  <c r="I1335" i="39"/>
  <c r="I1336" i="39"/>
  <c r="I1337" i="39"/>
  <c r="J1337" i="39" s="1"/>
  <c r="I1338" i="39"/>
  <c r="J1338" i="39" s="1"/>
  <c r="I1339" i="39"/>
  <c r="J1339" i="39" s="1"/>
  <c r="I1340" i="39"/>
  <c r="J1340" i="39" s="1"/>
  <c r="I1341" i="39"/>
  <c r="J1341" i="39" s="1"/>
  <c r="I1342" i="39"/>
  <c r="J1342" i="39" s="1"/>
  <c r="I1343" i="39"/>
  <c r="J1343" i="39" s="1"/>
  <c r="I1344" i="39"/>
  <c r="J1344" i="39" s="1"/>
  <c r="I1345" i="39"/>
  <c r="J1345" i="39" s="1"/>
  <c r="I1346" i="39"/>
  <c r="J1346" i="39" s="1"/>
  <c r="I1347" i="39"/>
  <c r="J1347" i="39" s="1"/>
  <c r="I1348" i="39"/>
  <c r="J1348" i="39" s="1"/>
  <c r="I1349" i="39"/>
  <c r="J1349" i="39" s="1"/>
  <c r="I1350" i="39"/>
  <c r="J1350" i="39" s="1"/>
  <c r="I1351" i="39"/>
  <c r="J1351" i="39" s="1"/>
  <c r="I1352" i="39"/>
  <c r="I1353" i="39"/>
  <c r="J1353" i="39" s="1"/>
  <c r="I1354" i="39"/>
  <c r="J1354" i="39" s="1"/>
  <c r="I1355" i="39"/>
  <c r="J1355" i="39" s="1"/>
  <c r="I1356" i="39"/>
  <c r="J1356" i="39" s="1"/>
  <c r="I1357" i="39"/>
  <c r="J1357" i="39" s="1"/>
  <c r="I1358" i="39"/>
  <c r="J1358" i="39" s="1"/>
  <c r="I1359" i="39"/>
  <c r="J1359" i="39" s="1"/>
  <c r="I1360" i="39"/>
  <c r="J1360" i="39" s="1"/>
  <c r="I1361" i="39"/>
  <c r="J1361" i="39" s="1"/>
  <c r="I1362" i="39"/>
  <c r="J1362" i="39" s="1"/>
  <c r="I1363" i="39"/>
  <c r="J1363" i="39" s="1"/>
  <c r="I1364" i="39"/>
  <c r="J1364" i="39" s="1"/>
  <c r="I1365" i="39"/>
  <c r="I1366" i="39"/>
  <c r="J1366" i="39" s="1"/>
  <c r="I1367" i="39"/>
  <c r="J1367" i="39" s="1"/>
  <c r="I1368" i="39"/>
  <c r="I1369" i="39"/>
  <c r="J1369" i="39" s="1"/>
  <c r="I1370" i="39"/>
  <c r="J1370" i="39" s="1"/>
  <c r="I1371" i="39"/>
  <c r="J1371" i="39" s="1"/>
  <c r="I1372" i="39"/>
  <c r="J1372" i="39" s="1"/>
  <c r="I1373" i="39"/>
  <c r="J1373" i="39" s="1"/>
  <c r="I1374" i="39"/>
  <c r="J1374" i="39" s="1"/>
  <c r="I1375" i="39"/>
  <c r="J1375" i="39" s="1"/>
  <c r="I1376" i="39"/>
  <c r="J1376" i="39" s="1"/>
  <c r="I1377" i="39"/>
  <c r="J1377" i="39" s="1"/>
  <c r="I1378" i="39"/>
  <c r="J1378" i="39" s="1"/>
  <c r="I1379" i="39"/>
  <c r="J1379" i="39" s="1"/>
  <c r="I1380" i="39"/>
  <c r="J1380" i="39" s="1"/>
  <c r="I1381" i="39"/>
  <c r="J1381" i="39" s="1"/>
  <c r="I1382" i="39"/>
  <c r="I1383" i="39"/>
  <c r="I1384" i="39"/>
  <c r="I1385" i="39"/>
  <c r="J1385" i="39" s="1"/>
  <c r="I1386" i="39"/>
  <c r="J1386" i="39" s="1"/>
  <c r="I1387" i="39"/>
  <c r="J1387" i="39" s="1"/>
  <c r="I1388" i="39"/>
  <c r="J1388" i="39" s="1"/>
  <c r="I1389" i="39"/>
  <c r="J1389" i="39" s="1"/>
  <c r="I1390" i="39"/>
  <c r="J1390" i="39" s="1"/>
  <c r="I1391" i="39"/>
  <c r="J1391" i="39" s="1"/>
  <c r="I1392" i="39"/>
  <c r="J1392" i="39" s="1"/>
  <c r="I1393" i="39"/>
  <c r="I1394" i="39"/>
  <c r="J1394" i="39" s="1"/>
  <c r="I1395" i="39"/>
  <c r="J1395" i="39" s="1"/>
  <c r="I1396" i="39"/>
  <c r="J1396" i="39" s="1"/>
  <c r="I1397" i="39"/>
  <c r="J1397" i="39" s="1"/>
  <c r="I1398" i="39"/>
  <c r="J1398" i="39" s="1"/>
  <c r="I1399" i="39"/>
  <c r="J1399" i="39" s="1"/>
  <c r="I1400" i="39"/>
  <c r="J1400" i="39" s="1"/>
  <c r="I1401" i="39"/>
  <c r="J1401" i="39" s="1"/>
  <c r="I1402" i="39"/>
  <c r="J1402" i="39" s="1"/>
  <c r="I1403" i="39"/>
  <c r="J1403" i="39" s="1"/>
  <c r="I1404" i="39"/>
  <c r="J1404" i="39" s="1"/>
  <c r="I1405" i="39"/>
  <c r="I1406" i="39"/>
  <c r="I1407" i="39"/>
  <c r="I1408" i="39"/>
  <c r="J1408" i="39" s="1"/>
  <c r="I1409" i="39"/>
  <c r="J1409" i="39" s="1"/>
  <c r="I1410" i="39"/>
  <c r="J1410" i="39" s="1"/>
  <c r="I1411" i="39"/>
  <c r="J1411" i="39" s="1"/>
  <c r="I1412" i="39"/>
  <c r="J1412" i="39" s="1"/>
  <c r="I1413" i="39"/>
  <c r="I1414" i="39"/>
  <c r="J1414" i="39" s="1"/>
  <c r="I1415" i="39"/>
  <c r="J1415" i="39" s="1"/>
  <c r="I1416" i="39"/>
  <c r="J1416" i="39" s="1"/>
  <c r="I1417" i="39"/>
  <c r="J1417" i="39" s="1"/>
  <c r="I1418" i="39"/>
  <c r="J1418" i="39" s="1"/>
  <c r="I1419" i="39"/>
  <c r="J1419" i="39" s="1"/>
  <c r="I1420" i="39"/>
  <c r="J1420" i="39" s="1"/>
  <c r="I1421" i="39"/>
  <c r="I1422" i="39"/>
  <c r="J1422" i="39" s="1"/>
  <c r="I1423" i="39"/>
  <c r="J1423" i="39" s="1"/>
  <c r="I1424" i="39"/>
  <c r="J1424" i="39" s="1"/>
  <c r="I1425" i="39"/>
  <c r="J1425" i="39" s="1"/>
  <c r="I1426" i="39"/>
  <c r="J1426" i="39" s="1"/>
  <c r="I1427" i="39"/>
  <c r="J1427" i="39" s="1"/>
  <c r="I1428" i="39"/>
  <c r="J1428" i="39" s="1"/>
  <c r="I1429" i="39"/>
  <c r="J1429" i="39" s="1"/>
  <c r="I1430" i="39"/>
  <c r="J1430" i="39" s="1"/>
  <c r="I1431" i="39"/>
  <c r="J1431" i="39" s="1"/>
  <c r="I1432" i="39"/>
  <c r="J1432" i="39" s="1"/>
  <c r="I1433" i="39"/>
  <c r="J1433" i="39" s="1"/>
  <c r="I1434" i="39"/>
  <c r="J1434" i="39" s="1"/>
  <c r="I1435" i="39"/>
  <c r="J1435" i="39" s="1"/>
  <c r="I1436" i="39"/>
  <c r="J1436" i="39" s="1"/>
  <c r="I1437" i="39"/>
  <c r="I1438" i="39"/>
  <c r="I1439" i="39"/>
  <c r="J1439" i="39" s="1"/>
  <c r="I1440" i="39"/>
  <c r="J1440" i="39" s="1"/>
  <c r="I1441" i="39"/>
  <c r="J1441" i="39" s="1"/>
  <c r="I1442" i="39"/>
  <c r="J1442" i="39" s="1"/>
  <c r="I1443" i="39"/>
  <c r="J1443" i="39" s="1"/>
  <c r="I1444" i="39"/>
  <c r="J1444" i="39" s="1"/>
  <c r="I1445" i="39"/>
  <c r="J1445" i="39" s="1"/>
  <c r="I1446" i="39"/>
  <c r="J1446" i="39" s="1"/>
  <c r="I1447" i="39"/>
  <c r="J1447" i="39" s="1"/>
  <c r="I1448" i="39"/>
  <c r="I1449" i="39"/>
  <c r="I1450" i="39"/>
  <c r="J1450" i="39" s="1"/>
  <c r="I1451" i="39"/>
  <c r="J1451" i="39" s="1"/>
  <c r="I1452" i="39"/>
  <c r="J1452" i="39" s="1"/>
  <c r="I1453" i="39"/>
  <c r="J1453" i="39" s="1"/>
  <c r="I1454" i="39"/>
  <c r="J1454" i="39" s="1"/>
  <c r="I1455" i="39"/>
  <c r="I1456" i="39"/>
  <c r="J1456" i="39" s="1"/>
  <c r="I1457" i="39"/>
  <c r="J1457" i="39" s="1"/>
  <c r="I1458" i="39"/>
  <c r="J1458" i="39" s="1"/>
  <c r="I1459" i="39"/>
  <c r="J1459" i="39" s="1"/>
  <c r="I1460" i="39"/>
  <c r="J1460" i="39" s="1"/>
  <c r="I1461" i="39"/>
  <c r="I1462" i="39"/>
  <c r="I1463" i="39"/>
  <c r="J1463" i="39" s="1"/>
  <c r="I1464" i="39"/>
  <c r="J1464" i="39" s="1"/>
  <c r="I1465" i="39"/>
  <c r="J1465" i="39" s="1"/>
  <c r="I1466" i="39"/>
  <c r="J1466" i="39" s="1"/>
  <c r="I1467" i="39"/>
  <c r="J1467" i="39" s="1"/>
  <c r="I1468" i="39"/>
  <c r="J1468" i="39" s="1"/>
  <c r="I1469" i="39"/>
  <c r="J1469" i="39" s="1"/>
  <c r="I1470" i="39"/>
  <c r="J1470" i="39" s="1"/>
  <c r="I1471" i="39"/>
  <c r="J1471" i="39" s="1"/>
  <c r="I1472" i="39"/>
  <c r="J1472" i="39" s="1"/>
  <c r="I1473" i="39"/>
  <c r="J1473" i="39" s="1"/>
  <c r="I1474" i="39"/>
  <c r="J1474" i="39" s="1"/>
  <c r="I1475" i="39"/>
  <c r="J1475" i="39" s="1"/>
  <c r="I1476" i="39"/>
  <c r="J1476" i="39" s="1"/>
  <c r="I1477" i="39"/>
  <c r="I1478" i="39"/>
  <c r="I1479" i="39"/>
  <c r="J1479" i="39" s="1"/>
  <c r="I1480" i="39"/>
  <c r="J1480" i="39" s="1"/>
  <c r="I1481" i="39"/>
  <c r="J1481" i="39" s="1"/>
  <c r="I1482" i="39"/>
  <c r="J1482" i="39" s="1"/>
  <c r="I1483" i="39"/>
  <c r="J1483" i="39" s="1"/>
  <c r="I1484" i="39"/>
  <c r="J1484" i="39" s="1"/>
  <c r="I1485" i="39"/>
  <c r="J1485" i="39" s="1"/>
  <c r="I1486" i="39"/>
  <c r="J1486" i="39" s="1"/>
  <c r="I1487" i="39"/>
  <c r="J1487" i="39" s="1"/>
  <c r="I1488" i="39"/>
  <c r="J1488" i="39" s="1"/>
  <c r="I1489" i="39"/>
  <c r="J1489" i="39" s="1"/>
  <c r="I1490" i="39"/>
  <c r="J1490" i="39" s="1"/>
  <c r="I1491" i="39"/>
  <c r="J1491" i="39" s="1"/>
  <c r="I1492" i="39"/>
  <c r="J1492" i="39" s="1"/>
  <c r="I1493" i="39"/>
  <c r="J1493" i="39" s="1"/>
  <c r="I1494" i="39"/>
  <c r="J1494" i="39" s="1"/>
  <c r="I1495" i="39"/>
  <c r="J1495" i="39" s="1"/>
  <c r="I1496" i="39"/>
  <c r="J1496" i="39" s="1"/>
  <c r="I1497" i="39"/>
  <c r="J1497" i="39" s="1"/>
  <c r="I1498" i="39"/>
  <c r="J1498" i="39" s="1"/>
  <c r="I1499" i="39"/>
  <c r="J1499" i="39" s="1"/>
  <c r="I1500" i="39"/>
  <c r="J1500" i="39" s="1"/>
  <c r="I1501" i="39"/>
  <c r="J1501" i="39" s="1"/>
  <c r="I1502" i="39"/>
  <c r="J1502" i="39" s="1"/>
  <c r="I1503" i="39"/>
  <c r="J1503" i="39" s="1"/>
  <c r="I1504" i="39"/>
  <c r="I1505" i="39"/>
  <c r="J1505" i="39" s="1"/>
  <c r="I1506" i="39"/>
  <c r="J1506" i="39" s="1"/>
  <c r="I1507" i="39"/>
  <c r="J1507" i="39" s="1"/>
  <c r="I1508" i="39"/>
  <c r="J1508" i="39" s="1"/>
  <c r="I1509" i="39"/>
  <c r="J1509" i="39" s="1"/>
  <c r="I1510" i="39"/>
  <c r="J1510" i="39" s="1"/>
  <c r="I1511" i="39"/>
  <c r="J1511" i="39" s="1"/>
  <c r="I1512" i="39"/>
  <c r="J1512" i="39" s="1"/>
  <c r="I1513" i="39"/>
  <c r="J1513" i="39" s="1"/>
  <c r="I1514" i="39"/>
  <c r="J1514" i="39" s="1"/>
  <c r="I1515" i="39"/>
  <c r="J1515" i="39" s="1"/>
  <c r="I1516" i="39"/>
  <c r="J1516" i="39" s="1"/>
  <c r="I1517" i="39"/>
  <c r="J1517" i="39" s="1"/>
  <c r="I1518" i="39"/>
  <c r="J1518" i="39" s="1"/>
  <c r="I1519" i="39"/>
  <c r="J1519" i="39" s="1"/>
  <c r="I1520" i="39"/>
  <c r="I1521" i="39"/>
  <c r="I1522" i="39"/>
  <c r="J1522" i="39" s="1"/>
  <c r="I1523" i="39"/>
  <c r="J1523" i="39" s="1"/>
  <c r="I1524" i="39"/>
  <c r="J1524" i="39" s="1"/>
  <c r="I1525" i="39"/>
  <c r="J1525" i="39" s="1"/>
  <c r="I1526" i="39"/>
  <c r="J1526" i="39" s="1"/>
  <c r="I1527" i="39"/>
  <c r="J1527" i="39" s="1"/>
  <c r="I1528" i="39"/>
  <c r="J1528" i="39" s="1"/>
  <c r="I1529" i="39"/>
  <c r="J1529" i="39" s="1"/>
  <c r="I1530" i="39"/>
  <c r="J1530" i="39" s="1"/>
  <c r="I1531" i="39"/>
  <c r="J1531" i="39" s="1"/>
  <c r="I1532" i="39"/>
  <c r="J1532" i="39" s="1"/>
  <c r="I1533" i="39"/>
  <c r="I1534" i="39"/>
  <c r="I1535" i="39"/>
  <c r="J1535" i="39" s="1"/>
  <c r="I1536" i="39"/>
  <c r="J1536" i="39" s="1"/>
  <c r="I1537" i="39"/>
  <c r="J1537" i="39" s="1"/>
  <c r="I1538" i="39"/>
  <c r="J1538" i="39" s="1"/>
  <c r="I1539" i="39"/>
  <c r="J1539" i="39" s="1"/>
  <c r="I1540" i="39"/>
  <c r="J1540" i="39" s="1"/>
  <c r="I1541" i="39"/>
  <c r="J1541" i="39" s="1"/>
  <c r="I1542" i="39"/>
  <c r="J1542" i="39" s="1"/>
  <c r="I1543" i="39"/>
  <c r="J1543" i="39" s="1"/>
  <c r="I1544" i="39"/>
  <c r="J1544" i="39" s="1"/>
  <c r="I1545" i="39"/>
  <c r="J1545" i="39" s="1"/>
  <c r="I1546" i="39"/>
  <c r="J1546" i="39" s="1"/>
  <c r="I1547" i="39"/>
  <c r="J1547" i="39" s="1"/>
  <c r="I1548" i="39"/>
  <c r="J1548" i="39" s="1"/>
  <c r="I1549" i="39"/>
  <c r="J1549" i="39" s="1"/>
  <c r="I1550" i="39"/>
  <c r="J1550" i="39" s="1"/>
  <c r="I1551" i="39"/>
  <c r="J1551" i="39" s="1"/>
  <c r="I1552" i="39"/>
  <c r="J1552" i="39" s="1"/>
  <c r="I1553" i="39"/>
  <c r="J1553" i="39" s="1"/>
  <c r="I1554" i="39"/>
  <c r="J1554" i="39" s="1"/>
  <c r="I1555" i="39"/>
  <c r="J1555" i="39" s="1"/>
  <c r="I1556" i="39"/>
  <c r="J1556" i="39" s="1"/>
  <c r="I1557" i="39"/>
  <c r="J1557" i="39" s="1"/>
  <c r="I1558" i="39"/>
  <c r="J1558" i="39" s="1"/>
  <c r="I1559" i="39"/>
  <c r="J1559" i="39" s="1"/>
  <c r="I1560" i="39"/>
  <c r="J1560" i="39" s="1"/>
  <c r="I1561" i="39"/>
  <c r="J1561" i="39" s="1"/>
  <c r="I1562" i="39"/>
  <c r="J1562" i="39" s="1"/>
  <c r="I1563" i="39"/>
  <c r="J1563" i="39" s="1"/>
  <c r="I1564" i="39"/>
  <c r="J1564" i="39" s="1"/>
  <c r="I1565" i="39"/>
  <c r="J1565" i="39" s="1"/>
  <c r="I1566" i="39"/>
  <c r="J1566" i="39" s="1"/>
  <c r="I1567" i="39"/>
  <c r="J1567" i="39" s="1"/>
  <c r="I1568" i="39"/>
  <c r="J1568" i="39" s="1"/>
  <c r="I1569" i="39"/>
  <c r="J1569" i="39" s="1"/>
  <c r="I1570" i="39"/>
  <c r="J1570" i="39" s="1"/>
  <c r="I1571" i="39"/>
  <c r="J1571" i="39" s="1"/>
  <c r="I1572" i="39"/>
  <c r="J1572" i="39" s="1"/>
  <c r="I1573" i="39"/>
  <c r="I1574" i="39"/>
  <c r="I1575" i="39"/>
  <c r="I1576" i="39"/>
  <c r="J1576" i="39" s="1"/>
  <c r="I1577" i="39"/>
  <c r="J1577" i="39" s="1"/>
  <c r="I1578" i="39"/>
  <c r="J1578" i="39" s="1"/>
  <c r="I1579" i="39"/>
  <c r="J1579" i="39" s="1"/>
  <c r="I1580" i="39"/>
  <c r="J1580" i="39" s="1"/>
  <c r="I1581" i="39"/>
  <c r="I1582" i="39"/>
  <c r="J1582" i="39" s="1"/>
  <c r="I1583" i="39"/>
  <c r="J1583" i="39" s="1"/>
  <c r="I1584" i="39"/>
  <c r="J1584" i="39" s="1"/>
  <c r="I1585" i="39"/>
  <c r="J1585" i="39" s="1"/>
  <c r="I1586" i="39"/>
  <c r="J1586" i="39" s="1"/>
  <c r="I1587" i="39"/>
  <c r="J1587" i="39" s="1"/>
  <c r="I1588" i="39"/>
  <c r="J1588" i="39" s="1"/>
  <c r="I1589" i="39"/>
  <c r="J1589" i="39" s="1"/>
  <c r="I1590" i="39"/>
  <c r="J1590" i="39" s="1"/>
  <c r="I1591" i="39"/>
  <c r="J1591" i="39" s="1"/>
  <c r="I1592" i="39"/>
  <c r="J1592" i="39" s="1"/>
  <c r="I1593" i="39"/>
  <c r="J1593" i="39" s="1"/>
  <c r="I1594" i="39"/>
  <c r="J1594" i="39" s="1"/>
  <c r="I1595" i="39"/>
  <c r="J1595" i="39" s="1"/>
  <c r="I1596" i="39"/>
  <c r="J1596" i="39" s="1"/>
  <c r="I1597" i="39"/>
  <c r="J1597" i="39" s="1"/>
  <c r="I1598" i="39"/>
  <c r="J1598" i="39" s="1"/>
  <c r="I1599" i="39"/>
  <c r="J1599" i="39" s="1"/>
  <c r="I1600" i="39"/>
  <c r="J1600" i="39" s="1"/>
  <c r="I1601" i="39"/>
  <c r="J1601" i="39" s="1"/>
  <c r="I1602" i="39"/>
  <c r="J1602" i="39" s="1"/>
  <c r="I1603" i="39"/>
  <c r="J1603" i="39" s="1"/>
  <c r="I1604" i="39"/>
  <c r="J1604" i="39" s="1"/>
  <c r="I1605" i="39"/>
  <c r="I1606" i="39"/>
  <c r="I1607" i="39"/>
  <c r="J1607" i="39" s="1"/>
  <c r="I1608" i="39"/>
  <c r="J1608" i="39" s="1"/>
  <c r="I1609" i="39"/>
  <c r="J1609" i="39" s="1"/>
  <c r="I1610" i="39"/>
  <c r="J1610" i="39" s="1"/>
  <c r="I1611" i="39"/>
  <c r="J1611" i="39" s="1"/>
  <c r="I1612" i="39"/>
  <c r="J1612" i="39" s="1"/>
  <c r="I1613" i="39"/>
  <c r="J1613" i="39" s="1"/>
  <c r="I1614" i="39"/>
  <c r="J1614" i="39" s="1"/>
  <c r="I1615" i="39"/>
  <c r="J1615" i="39" s="1"/>
  <c r="I1616" i="39"/>
  <c r="J1616" i="39" s="1"/>
  <c r="I1617" i="39"/>
  <c r="J1617" i="39" s="1"/>
  <c r="I1618" i="39"/>
  <c r="J1618" i="39" s="1"/>
  <c r="I1619" i="39"/>
  <c r="J1619" i="39" s="1"/>
  <c r="I1620" i="39"/>
  <c r="J1620" i="39" s="1"/>
  <c r="I1621" i="39"/>
  <c r="J1621" i="39" s="1"/>
  <c r="I1622" i="39"/>
  <c r="J1622" i="39" s="1"/>
  <c r="I1623" i="39"/>
  <c r="I1624" i="39"/>
  <c r="J1624" i="39" s="1"/>
  <c r="I1625" i="39"/>
  <c r="J1625" i="39" s="1"/>
  <c r="I1626" i="39"/>
  <c r="J1626" i="39" s="1"/>
  <c r="I1627" i="39"/>
  <c r="J1627" i="39" s="1"/>
  <c r="I1628" i="39"/>
  <c r="J1628" i="39" s="1"/>
  <c r="I1629" i="39"/>
  <c r="I1630" i="39"/>
  <c r="I1631" i="39"/>
  <c r="J1631" i="39" s="1"/>
  <c r="I1632" i="39"/>
  <c r="J1632" i="39" s="1"/>
  <c r="I1633" i="39"/>
  <c r="J1633" i="39" s="1"/>
  <c r="I1634" i="39"/>
  <c r="J1634" i="39" s="1"/>
  <c r="I1635" i="39"/>
  <c r="J1635" i="39" s="1"/>
  <c r="I1636" i="39"/>
  <c r="J1636" i="39" s="1"/>
  <c r="I1637" i="39"/>
  <c r="J1637" i="39" s="1"/>
  <c r="I1638" i="39"/>
  <c r="J1638" i="39" s="1"/>
  <c r="I1639" i="39"/>
  <c r="J1639" i="39" s="1"/>
  <c r="I1640" i="39"/>
  <c r="J1640" i="39" s="1"/>
  <c r="I1641" i="39"/>
  <c r="J1641" i="39" s="1"/>
  <c r="I1642" i="39"/>
  <c r="J1642" i="39" s="1"/>
  <c r="I1643" i="39"/>
  <c r="J1643" i="39" s="1"/>
  <c r="I1644" i="39"/>
  <c r="J1644" i="39" s="1"/>
  <c r="I1645" i="39"/>
  <c r="I1646" i="39"/>
  <c r="J1646" i="39" s="1"/>
  <c r="I1647" i="39"/>
  <c r="J1647" i="39" s="1"/>
  <c r="I1648" i="39"/>
  <c r="J1648" i="39" s="1"/>
  <c r="I1649" i="39"/>
  <c r="J1649" i="39" s="1"/>
  <c r="I1650" i="39"/>
  <c r="J1650" i="39" s="1"/>
  <c r="I1651" i="39"/>
  <c r="J1651" i="39" s="1"/>
  <c r="I1652" i="39"/>
  <c r="J1652" i="39" s="1"/>
  <c r="I1653" i="39"/>
  <c r="J1653" i="39" s="1"/>
  <c r="I1654" i="39"/>
  <c r="J1654" i="39" s="1"/>
  <c r="I1655" i="39"/>
  <c r="J1655" i="39" s="1"/>
  <c r="I1656" i="39"/>
  <c r="J1656" i="39" s="1"/>
  <c r="I1657" i="39"/>
  <c r="I1658" i="39"/>
  <c r="J1658" i="39" s="1"/>
  <c r="I1659" i="39"/>
  <c r="J1659" i="39" s="1"/>
  <c r="I1660" i="39"/>
  <c r="J1660" i="39" s="1"/>
  <c r="I1661" i="39"/>
  <c r="J1661" i="39" s="1"/>
  <c r="I1662" i="39"/>
  <c r="J1662" i="39" s="1"/>
  <c r="I1663" i="39"/>
  <c r="J1663" i="39" s="1"/>
  <c r="I1664" i="39"/>
  <c r="J1664" i="39" s="1"/>
  <c r="I1665" i="39"/>
  <c r="J1665" i="39" s="1"/>
  <c r="I1666" i="39"/>
  <c r="J1666" i="39" s="1"/>
  <c r="I1667" i="39"/>
  <c r="J1667" i="39" s="1"/>
  <c r="I1668" i="39"/>
  <c r="J1668" i="39" s="1"/>
  <c r="I1669" i="39"/>
  <c r="J1669" i="39" s="1"/>
  <c r="I1670" i="39"/>
  <c r="J1670" i="39" s="1"/>
  <c r="I1671" i="39"/>
  <c r="I1672" i="39"/>
  <c r="J1672" i="39" s="1"/>
  <c r="I1673" i="39"/>
  <c r="J1673" i="39" s="1"/>
  <c r="I1674" i="39"/>
  <c r="J1674" i="39" s="1"/>
  <c r="I1675" i="39"/>
  <c r="J1675" i="39" s="1"/>
  <c r="I1676" i="39"/>
  <c r="J1676" i="39" s="1"/>
  <c r="I1677" i="39"/>
  <c r="J1677" i="39" s="1"/>
  <c r="I1678" i="39"/>
  <c r="J1678" i="39" s="1"/>
  <c r="I1679" i="39"/>
  <c r="J1679" i="39" s="1"/>
  <c r="I1680" i="39"/>
  <c r="J1680" i="39" s="1"/>
  <c r="I1681" i="39"/>
  <c r="J1681" i="39" s="1"/>
  <c r="I1682" i="39"/>
  <c r="J1682" i="39" s="1"/>
  <c r="I1683" i="39"/>
  <c r="J1683" i="39" s="1"/>
  <c r="I1684" i="39"/>
  <c r="J1684" i="39" s="1"/>
  <c r="I1685" i="39"/>
  <c r="J1685" i="39" s="1"/>
  <c r="I1686" i="39"/>
  <c r="J1686" i="39" s="1"/>
  <c r="I1687" i="39"/>
  <c r="J1687" i="39" s="1"/>
  <c r="I1688" i="39"/>
  <c r="J1688" i="39" s="1"/>
  <c r="I1689" i="39"/>
  <c r="J1689" i="39" s="1"/>
  <c r="I1690" i="39"/>
  <c r="J1690" i="39" s="1"/>
  <c r="I1691" i="39"/>
  <c r="J1691" i="39" s="1"/>
  <c r="I1692" i="39"/>
  <c r="J1692" i="39" s="1"/>
  <c r="I1693" i="39"/>
  <c r="J1693" i="39" s="1"/>
  <c r="I1694" i="39"/>
  <c r="J1694" i="39" s="1"/>
  <c r="I1695" i="39"/>
  <c r="J1695" i="39" s="1"/>
  <c r="I1696" i="39"/>
  <c r="J1696" i="39" s="1"/>
  <c r="I1697" i="39"/>
  <c r="J1697" i="39" s="1"/>
  <c r="I1698" i="39"/>
  <c r="J1698" i="39" s="1"/>
  <c r="I1699" i="39"/>
  <c r="J1699" i="39" s="1"/>
  <c r="I1700" i="39"/>
  <c r="J1700" i="39" s="1"/>
  <c r="I1701" i="39"/>
  <c r="I1702" i="39"/>
  <c r="I1703" i="39"/>
  <c r="J1703" i="39" s="1"/>
  <c r="I1704" i="39"/>
  <c r="J1704" i="39" s="1"/>
  <c r="I1705" i="39"/>
  <c r="J1705" i="39" s="1"/>
  <c r="I1706" i="39"/>
  <c r="J1706" i="39" s="1"/>
  <c r="I1707" i="39"/>
  <c r="J1707" i="39" s="1"/>
  <c r="I1708" i="39"/>
  <c r="J1708" i="39" s="1"/>
  <c r="I1709" i="39"/>
  <c r="J1709" i="39" s="1"/>
  <c r="I1710" i="39"/>
  <c r="J1710" i="39" s="1"/>
  <c r="I1711" i="39"/>
  <c r="J1711" i="39" s="1"/>
  <c r="I1712" i="39"/>
  <c r="J1712" i="39" s="1"/>
  <c r="I1713" i="39"/>
  <c r="J1713" i="39" s="1"/>
  <c r="I1714" i="39"/>
  <c r="J1714" i="39" s="1"/>
  <c r="I1715" i="39"/>
  <c r="J1715" i="39" s="1"/>
  <c r="I1716" i="39"/>
  <c r="J1716" i="39" s="1"/>
  <c r="I1717" i="39"/>
  <c r="J1717" i="39" s="1"/>
  <c r="I1718" i="39"/>
  <c r="J1718" i="39" s="1"/>
  <c r="I1719" i="39"/>
  <c r="J1719" i="39" s="1"/>
  <c r="I1720" i="39"/>
  <c r="J1720" i="39" s="1"/>
  <c r="I1721" i="39"/>
  <c r="J1721" i="39" s="1"/>
  <c r="I1722" i="39"/>
  <c r="J1722" i="39" s="1"/>
  <c r="I1723" i="39"/>
  <c r="J1723" i="39" s="1"/>
  <c r="I1724" i="39"/>
  <c r="J1724" i="39" s="1"/>
  <c r="I1725" i="39"/>
  <c r="J1725" i="39" s="1"/>
  <c r="I1726" i="39"/>
  <c r="J1726" i="39" s="1"/>
  <c r="I1727" i="39"/>
  <c r="J1727" i="39" s="1"/>
  <c r="I1728" i="39"/>
  <c r="J1728" i="39" s="1"/>
  <c r="I1729" i="39"/>
  <c r="I1730" i="39"/>
  <c r="J1730" i="39" s="1"/>
  <c r="I1731" i="39"/>
  <c r="J1731" i="39" s="1"/>
  <c r="I1732" i="39"/>
  <c r="J1732" i="39" s="1"/>
  <c r="I1733" i="39"/>
  <c r="J1733" i="39" s="1"/>
  <c r="I1734" i="39"/>
  <c r="J1734" i="39" s="1"/>
  <c r="I1735" i="39"/>
  <c r="J1735" i="39" s="1"/>
  <c r="I1736" i="39"/>
  <c r="J1736" i="39" s="1"/>
  <c r="I1737" i="39"/>
  <c r="J1737" i="39" s="1"/>
  <c r="I1738" i="39"/>
  <c r="J1738" i="39" s="1"/>
  <c r="I1739" i="39"/>
  <c r="J1739" i="39" s="1"/>
  <c r="I1740" i="39"/>
  <c r="J1740" i="39" s="1"/>
  <c r="I1741" i="39"/>
  <c r="I1742" i="39"/>
  <c r="I1743" i="39"/>
  <c r="I1744" i="39"/>
  <c r="I1745" i="39"/>
  <c r="J1745" i="39" s="1"/>
  <c r="I1746" i="39"/>
  <c r="J1746" i="39" s="1"/>
  <c r="I1747" i="39"/>
  <c r="J1747" i="39" s="1"/>
  <c r="I1748" i="39"/>
  <c r="J1748" i="39" s="1"/>
  <c r="I1749" i="39"/>
  <c r="I1750" i="39"/>
  <c r="J1750" i="39" s="1"/>
  <c r="I1751" i="39"/>
  <c r="J1751" i="39" s="1"/>
  <c r="I1752" i="39"/>
  <c r="J1752" i="39" s="1"/>
  <c r="I1753" i="39"/>
  <c r="J1753" i="39" s="1"/>
  <c r="I1754" i="39"/>
  <c r="J1754" i="39" s="1"/>
  <c r="I1755" i="39"/>
  <c r="J1755" i="39" s="1"/>
  <c r="I1756" i="39"/>
  <c r="J1756" i="39" s="1"/>
  <c r="I1757" i="39"/>
  <c r="J1757" i="39" s="1"/>
  <c r="I1758" i="39"/>
  <c r="J1758" i="39" s="1"/>
  <c r="I1759" i="39"/>
  <c r="J1759" i="39" s="1"/>
  <c r="I1760" i="39"/>
  <c r="J1760" i="39" s="1"/>
  <c r="I1761" i="39"/>
  <c r="J1761" i="39" s="1"/>
  <c r="I1762" i="39"/>
  <c r="J1762" i="39" s="1"/>
  <c r="I1763" i="39"/>
  <c r="J1763" i="39" s="1"/>
  <c r="I1764" i="39"/>
  <c r="J1764" i="39" s="1"/>
  <c r="I1765" i="39"/>
  <c r="J1765" i="39" s="1"/>
  <c r="I1766" i="39"/>
  <c r="J1766" i="39" s="1"/>
  <c r="I1767" i="39"/>
  <c r="J1767" i="39" s="1"/>
  <c r="I1768" i="39"/>
  <c r="J1768" i="39" s="1"/>
  <c r="I1769" i="39"/>
  <c r="J1769" i="39" s="1"/>
  <c r="I1770" i="39"/>
  <c r="J1770" i="39" s="1"/>
  <c r="I1771" i="39"/>
  <c r="J1771" i="39" s="1"/>
  <c r="I1772" i="39"/>
  <c r="J1772" i="39" s="1"/>
  <c r="I1773" i="39"/>
  <c r="I1774" i="39"/>
  <c r="I1775" i="39"/>
  <c r="J1775" i="39" s="1"/>
  <c r="I1776" i="39"/>
  <c r="J1776" i="39" s="1"/>
  <c r="I1777" i="39"/>
  <c r="J1777" i="39" s="1"/>
  <c r="I1778" i="39"/>
  <c r="J1778" i="39" s="1"/>
  <c r="I1779" i="39"/>
  <c r="J1779" i="39" s="1"/>
  <c r="I1780" i="39"/>
  <c r="J1780" i="39" s="1"/>
  <c r="I1781" i="39"/>
  <c r="J1781" i="39" s="1"/>
  <c r="I1782" i="39"/>
  <c r="J1782" i="39" s="1"/>
  <c r="I1783" i="39"/>
  <c r="J1783" i="39" s="1"/>
  <c r="I1784" i="39"/>
  <c r="J1784" i="39" s="1"/>
  <c r="I1785" i="39"/>
  <c r="J1785" i="39" s="1"/>
  <c r="I1786" i="39"/>
  <c r="J1786" i="39" s="1"/>
  <c r="I1787" i="39"/>
  <c r="J1787" i="39" s="1"/>
  <c r="I1788" i="39"/>
  <c r="J1788" i="39" s="1"/>
  <c r="I1789" i="39"/>
  <c r="J1789" i="39" s="1"/>
  <c r="I1790" i="39"/>
  <c r="J1790" i="39" s="1"/>
  <c r="I1791" i="39"/>
  <c r="I1792" i="39"/>
  <c r="J1792" i="39" s="1"/>
  <c r="I1793" i="39"/>
  <c r="J1793" i="39" s="1"/>
  <c r="I1794" i="39"/>
  <c r="J1794" i="39" s="1"/>
  <c r="I1795" i="39"/>
  <c r="J1795" i="39" s="1"/>
  <c r="I1796" i="39"/>
  <c r="J1796" i="39" s="1"/>
  <c r="I1797" i="39"/>
  <c r="I1798" i="39"/>
  <c r="J1798" i="39" s="1"/>
  <c r="I1799" i="39"/>
  <c r="J1799" i="39" s="1"/>
  <c r="I1800" i="39"/>
  <c r="J1800" i="39" s="1"/>
  <c r="I1801" i="39"/>
  <c r="J1801" i="39" s="1"/>
  <c r="I1802" i="39"/>
  <c r="J1802" i="39" s="1"/>
  <c r="I1803" i="39"/>
  <c r="J1803" i="39" s="1"/>
  <c r="I1804" i="39"/>
  <c r="J1804" i="39" s="1"/>
  <c r="I1805" i="39"/>
  <c r="J1805" i="39" s="1"/>
  <c r="I1806" i="39"/>
  <c r="J1806" i="39" s="1"/>
  <c r="I1807" i="39"/>
  <c r="J1807" i="39" s="1"/>
  <c r="I1808" i="39"/>
  <c r="J1808" i="39" s="1"/>
  <c r="I1809" i="39"/>
  <c r="J1809" i="39" s="1"/>
  <c r="I1810" i="39"/>
  <c r="J1810" i="39" s="1"/>
  <c r="I1811" i="39"/>
  <c r="J1811" i="39" s="1"/>
  <c r="I1812" i="39"/>
  <c r="J1812" i="39" s="1"/>
  <c r="I1813" i="39"/>
  <c r="I1814" i="39"/>
  <c r="J1814" i="39" s="1"/>
  <c r="I1815" i="39"/>
  <c r="J1815" i="39" s="1"/>
  <c r="I1816" i="39"/>
  <c r="J1816" i="39" s="1"/>
  <c r="I1817" i="39"/>
  <c r="J1817" i="39" s="1"/>
  <c r="I1818" i="39"/>
  <c r="J1818" i="39" s="1"/>
  <c r="I1819" i="39"/>
  <c r="J1819" i="39" s="1"/>
  <c r="I1820" i="39"/>
  <c r="J1820" i="39" s="1"/>
  <c r="I1821" i="39"/>
  <c r="J1821" i="39" s="1"/>
  <c r="I1822" i="39"/>
  <c r="J1822" i="39" s="1"/>
  <c r="I1823" i="39"/>
  <c r="J1823" i="39" s="1"/>
  <c r="I1824" i="39"/>
  <c r="J1824" i="39" s="1"/>
  <c r="I1825" i="39"/>
  <c r="J1825" i="39" s="1"/>
  <c r="I1826" i="39"/>
  <c r="J1826" i="39" s="1"/>
  <c r="I1827" i="39"/>
  <c r="J1827" i="39" s="1"/>
  <c r="I1828" i="39"/>
  <c r="J1828" i="39" s="1"/>
  <c r="I1829" i="39"/>
  <c r="J1829" i="39" s="1"/>
  <c r="I1830" i="39"/>
  <c r="J1830" i="39" s="1"/>
  <c r="I1831" i="39"/>
  <c r="J1831" i="39" s="1"/>
  <c r="I1832" i="39"/>
  <c r="J1832" i="39" s="1"/>
  <c r="I1833" i="39"/>
  <c r="J1833" i="39" s="1"/>
  <c r="I1834" i="39"/>
  <c r="J1834" i="39" s="1"/>
  <c r="I1835" i="39"/>
  <c r="J1835" i="39" s="1"/>
  <c r="I1836" i="39"/>
  <c r="J1836" i="39" s="1"/>
  <c r="I1837" i="39"/>
  <c r="J1837" i="39" s="1"/>
  <c r="I1838" i="39"/>
  <c r="J1838" i="39" s="1"/>
  <c r="I1839" i="39"/>
  <c r="I1840" i="39"/>
  <c r="J1840" i="39" s="1"/>
  <c r="I1841" i="39"/>
  <c r="J1841" i="39" s="1"/>
  <c r="I1842" i="39"/>
  <c r="J1842" i="39" s="1"/>
  <c r="I1843" i="39"/>
  <c r="J1843" i="39" s="1"/>
  <c r="I1844" i="39"/>
  <c r="J1844" i="39" s="1"/>
  <c r="I1845" i="39"/>
  <c r="J1845" i="39" s="1"/>
  <c r="I1846" i="39"/>
  <c r="J1846" i="39" s="1"/>
  <c r="I1847" i="39"/>
  <c r="J1847" i="39" s="1"/>
  <c r="I1848" i="39"/>
  <c r="J1848" i="39" s="1"/>
  <c r="I1849" i="39"/>
  <c r="J1849" i="39" s="1"/>
  <c r="I1850" i="39"/>
  <c r="J1850" i="39" s="1"/>
  <c r="I1851" i="39"/>
  <c r="J1851" i="39" s="1"/>
  <c r="I1852" i="39"/>
  <c r="J1852" i="39" s="1"/>
  <c r="I1853" i="39"/>
  <c r="J1853" i="39" s="1"/>
  <c r="I1854" i="39"/>
  <c r="J1854" i="39" s="1"/>
  <c r="I1855" i="39"/>
  <c r="J1855" i="39" s="1"/>
  <c r="I1856" i="39"/>
  <c r="I1857" i="39"/>
  <c r="J1857" i="39" s="1"/>
  <c r="I1858" i="39"/>
  <c r="J1858" i="39" s="1"/>
  <c r="I1859" i="39"/>
  <c r="J1859" i="39" s="1"/>
  <c r="I1860" i="39"/>
  <c r="J1860" i="39" s="1"/>
  <c r="I1861" i="39"/>
  <c r="J1861" i="39" s="1"/>
  <c r="I1862" i="39"/>
  <c r="J1862" i="39" s="1"/>
  <c r="I1863" i="39"/>
  <c r="J1863" i="39" s="1"/>
  <c r="I1864" i="39"/>
  <c r="J1864" i="39" s="1"/>
  <c r="I1865" i="39"/>
  <c r="J1865" i="39" s="1"/>
  <c r="I1866" i="39"/>
  <c r="J1866" i="39" s="1"/>
  <c r="I1867" i="39"/>
  <c r="J1867" i="39" s="1"/>
  <c r="I1868" i="39"/>
  <c r="J1868" i="39" s="1"/>
  <c r="I1869" i="39"/>
  <c r="I1870" i="39"/>
  <c r="I1871" i="39"/>
  <c r="J1871" i="39" s="1"/>
  <c r="I1872" i="39"/>
  <c r="J1872" i="39" s="1"/>
  <c r="I1873" i="39"/>
  <c r="J1873" i="39" s="1"/>
  <c r="I1874" i="39"/>
  <c r="J1874" i="39" s="1"/>
  <c r="I1875" i="39"/>
  <c r="J1875" i="39" s="1"/>
  <c r="I1876" i="39"/>
  <c r="J1876" i="39" s="1"/>
  <c r="I1877" i="39"/>
  <c r="J1877" i="39" s="1"/>
  <c r="I1878" i="39"/>
  <c r="J1878" i="39" s="1"/>
  <c r="I1879" i="39"/>
  <c r="J1879" i="39" s="1"/>
  <c r="I1880" i="39"/>
  <c r="J1880" i="39" s="1"/>
  <c r="I1881" i="39"/>
  <c r="J1881" i="39" s="1"/>
  <c r="I1882" i="39"/>
  <c r="J1882" i="39" s="1"/>
  <c r="I1883" i="39"/>
  <c r="J1883" i="39" s="1"/>
  <c r="I1884" i="39"/>
  <c r="J1884" i="39" s="1"/>
  <c r="I1885" i="39"/>
  <c r="I1886" i="39"/>
  <c r="J1886" i="39" s="1"/>
  <c r="I1887" i="39"/>
  <c r="J1887" i="39" s="1"/>
  <c r="I1888" i="39"/>
  <c r="J1888" i="39" s="1"/>
  <c r="I1889" i="39"/>
  <c r="J1889" i="39" s="1"/>
  <c r="I1890" i="39"/>
  <c r="J1890" i="39" s="1"/>
  <c r="I1891" i="39"/>
  <c r="J1891" i="39" s="1"/>
  <c r="I1892" i="39"/>
  <c r="J1892" i="39" s="1"/>
  <c r="I1893" i="39"/>
  <c r="J1893" i="39" s="1"/>
  <c r="I1894" i="39"/>
  <c r="J1894" i="39" s="1"/>
  <c r="I1895" i="39"/>
  <c r="J1895" i="39" s="1"/>
  <c r="I1896" i="39"/>
  <c r="J1896" i="39" s="1"/>
  <c r="I1897" i="39"/>
  <c r="J1897" i="39" s="1"/>
  <c r="I1898" i="39"/>
  <c r="J1898" i="39" s="1"/>
  <c r="I1899" i="39"/>
  <c r="J1899" i="39" s="1"/>
  <c r="I1900" i="39"/>
  <c r="J1900" i="39" s="1"/>
  <c r="I1901" i="39"/>
  <c r="J1901" i="39" s="1"/>
  <c r="I1902" i="39"/>
  <c r="J1902" i="39" s="1"/>
  <c r="I1903" i="39"/>
  <c r="J1903" i="39" s="1"/>
  <c r="I1904" i="39"/>
  <c r="J1904" i="39" s="1"/>
  <c r="I1905" i="39"/>
  <c r="J1905" i="39" s="1"/>
  <c r="I1906" i="39"/>
  <c r="J1906" i="39" s="1"/>
  <c r="I1907" i="39"/>
  <c r="J1907" i="39" s="1"/>
  <c r="I1908" i="39"/>
  <c r="J1908" i="39" s="1"/>
  <c r="I1909" i="39"/>
  <c r="I1910" i="39"/>
  <c r="I1911" i="39"/>
  <c r="I1912" i="39"/>
  <c r="J1912" i="39" s="1"/>
  <c r="I1913" i="39"/>
  <c r="J1913" i="39" s="1"/>
  <c r="I1914" i="39"/>
  <c r="J1914" i="39" s="1"/>
  <c r="I1915" i="39"/>
  <c r="J1915" i="39" s="1"/>
  <c r="I1916" i="39"/>
  <c r="J1916" i="39" s="1"/>
  <c r="I1917" i="39"/>
  <c r="J1917" i="39" s="1"/>
  <c r="I1918" i="39"/>
  <c r="J1918" i="39" s="1"/>
  <c r="I1919" i="39"/>
  <c r="J1919" i="39" s="1"/>
  <c r="I1920" i="39"/>
  <c r="J1920" i="39" s="1"/>
  <c r="I1921" i="39"/>
  <c r="J1921" i="39" s="1"/>
  <c r="I1922" i="39"/>
  <c r="J1922" i="39" s="1"/>
  <c r="I1923" i="39"/>
  <c r="J1923" i="39" s="1"/>
  <c r="I1924" i="39"/>
  <c r="J1924" i="39" s="1"/>
  <c r="I1925" i="39"/>
  <c r="J1925" i="39" s="1"/>
  <c r="I1926" i="39"/>
  <c r="J1926" i="39" s="1"/>
  <c r="I1927" i="39"/>
  <c r="J1927" i="39" s="1"/>
  <c r="I1928" i="39"/>
  <c r="J1928" i="39" s="1"/>
  <c r="I1929" i="39"/>
  <c r="J1929" i="39" s="1"/>
  <c r="I1930" i="39"/>
  <c r="J1930" i="39" s="1"/>
  <c r="I1931" i="39"/>
  <c r="J1931" i="39" s="1"/>
  <c r="I1932" i="39"/>
  <c r="J1932" i="39" s="1"/>
  <c r="I1933" i="39"/>
  <c r="J1933" i="39" s="1"/>
  <c r="I1934" i="39"/>
  <c r="J1934" i="39" s="1"/>
  <c r="I1935" i="39"/>
  <c r="J1935" i="39" s="1"/>
  <c r="I1936" i="39"/>
  <c r="J1936" i="39" s="1"/>
  <c r="I1937" i="39"/>
  <c r="J1937" i="39" s="1"/>
  <c r="I1938" i="39"/>
  <c r="J1938" i="39" s="1"/>
  <c r="I1939" i="39"/>
  <c r="J1939" i="39" s="1"/>
  <c r="I1940" i="39"/>
  <c r="J1940" i="39" s="1"/>
  <c r="I1941" i="39"/>
  <c r="I1942" i="39"/>
  <c r="I1943" i="39"/>
  <c r="J1943" i="39" s="1"/>
  <c r="I1944" i="39"/>
  <c r="J1944" i="39" s="1"/>
  <c r="I1945" i="39"/>
  <c r="J1945" i="39" s="1"/>
  <c r="I1946" i="39"/>
  <c r="J1946" i="39" s="1"/>
  <c r="I1947" i="39"/>
  <c r="J1947" i="39" s="1"/>
  <c r="I1948" i="39"/>
  <c r="J1948" i="39" s="1"/>
  <c r="I1949" i="39"/>
  <c r="J1949" i="39" s="1"/>
  <c r="I1950" i="39"/>
  <c r="J1950" i="39" s="1"/>
  <c r="I1951" i="39"/>
  <c r="J1951" i="39" s="1"/>
  <c r="I1952" i="39"/>
  <c r="J1952" i="39" s="1"/>
  <c r="I1953" i="39"/>
  <c r="J1953" i="39" s="1"/>
  <c r="I1954" i="39"/>
  <c r="J1954" i="39" s="1"/>
  <c r="I1955" i="39"/>
  <c r="J1955" i="39" s="1"/>
  <c r="I1956" i="39"/>
  <c r="J1956" i="39" s="1"/>
  <c r="I1957" i="39"/>
  <c r="J1957" i="39" s="1"/>
  <c r="I1958" i="39"/>
  <c r="J1958" i="39" s="1"/>
  <c r="I1959" i="39"/>
  <c r="J1959" i="39" s="1"/>
  <c r="I1960" i="39"/>
  <c r="J1960" i="39" s="1"/>
  <c r="I1961" i="39"/>
  <c r="J1961" i="39" s="1"/>
  <c r="I1962" i="39"/>
  <c r="J1962" i="39" s="1"/>
  <c r="I1963" i="39"/>
  <c r="J1963" i="39" s="1"/>
  <c r="I1964" i="39"/>
  <c r="J1964" i="39" s="1"/>
  <c r="I1965" i="39"/>
  <c r="I1966" i="39"/>
  <c r="I1967" i="39"/>
  <c r="J1967" i="39" s="1"/>
  <c r="I1968" i="39"/>
  <c r="J1968" i="39" s="1"/>
  <c r="I1969" i="39"/>
  <c r="J1969" i="39" s="1"/>
  <c r="I1970" i="39"/>
  <c r="J1970" i="39" s="1"/>
  <c r="I1971" i="39"/>
  <c r="J1971" i="39" s="1"/>
  <c r="I1972" i="39"/>
  <c r="J1972" i="39" s="1"/>
  <c r="I1973" i="39"/>
  <c r="J1973" i="39" s="1"/>
  <c r="I1974" i="39"/>
  <c r="J1974" i="39" s="1"/>
  <c r="I1975" i="39"/>
  <c r="J1975" i="39" s="1"/>
  <c r="I1976" i="39"/>
  <c r="J1976" i="39" s="1"/>
  <c r="I1977" i="39"/>
  <c r="J1977" i="39" s="1"/>
  <c r="I1978" i="39"/>
  <c r="J1978" i="39" s="1"/>
  <c r="I1979" i="39"/>
  <c r="J1979" i="39" s="1"/>
  <c r="I1980" i="39"/>
  <c r="J1980" i="39" s="1"/>
  <c r="I1981" i="39"/>
  <c r="J1981" i="39" s="1"/>
  <c r="I1982" i="39"/>
  <c r="I1983" i="39"/>
  <c r="J1983" i="39" s="1"/>
  <c r="I1984" i="39"/>
  <c r="J1984" i="39" s="1"/>
  <c r="I1985" i="39"/>
  <c r="J1985" i="39" s="1"/>
  <c r="I1986" i="39"/>
  <c r="J1986" i="39" s="1"/>
  <c r="I1987" i="39"/>
  <c r="J1987" i="39" s="1"/>
  <c r="I1988" i="39"/>
  <c r="J1988" i="39" s="1"/>
  <c r="I1989" i="39"/>
  <c r="J1989" i="39" s="1"/>
  <c r="I1990" i="39"/>
  <c r="J1990" i="39" s="1"/>
  <c r="I1991" i="39"/>
  <c r="J1991" i="39" s="1"/>
  <c r="I1992" i="39"/>
  <c r="J1992" i="39" s="1"/>
  <c r="I1993" i="39"/>
  <c r="J1993" i="39" s="1"/>
  <c r="I1994" i="39"/>
  <c r="J1994" i="39" s="1"/>
  <c r="I1995" i="39"/>
  <c r="J1995" i="39" s="1"/>
  <c r="I1996" i="39"/>
  <c r="J1996" i="39" s="1"/>
  <c r="I1997" i="39"/>
  <c r="J1997" i="39" s="1"/>
  <c r="I1998" i="39"/>
  <c r="J1998" i="39" s="1"/>
  <c r="I1999" i="39"/>
  <c r="J1999" i="39" s="1"/>
  <c r="I2000" i="39"/>
  <c r="J2000" i="39" s="1"/>
  <c r="I2001" i="39"/>
  <c r="J2001" i="39" s="1"/>
  <c r="I2002" i="39"/>
  <c r="J2002" i="39" s="1"/>
  <c r="I2003" i="39"/>
  <c r="J2003" i="39" s="1"/>
  <c r="I2004" i="39"/>
  <c r="J2004" i="39" s="1"/>
  <c r="I2005" i="39"/>
  <c r="J2005" i="39" s="1"/>
  <c r="I2006" i="39"/>
  <c r="J2006" i="39" s="1"/>
  <c r="I2007" i="39"/>
  <c r="I2008" i="39"/>
  <c r="I2009" i="39"/>
  <c r="J2009" i="39" s="1"/>
  <c r="I2010" i="39"/>
  <c r="J2010" i="39" s="1"/>
  <c r="I2011" i="39"/>
  <c r="J2011" i="39" s="1"/>
  <c r="I2012" i="39"/>
  <c r="J2012" i="39" s="1"/>
  <c r="I2013" i="39"/>
  <c r="J2013" i="39" s="1"/>
  <c r="I2014" i="39"/>
  <c r="J2014" i="39" s="1"/>
  <c r="I2015" i="39"/>
  <c r="J2015" i="39" s="1"/>
  <c r="I2016" i="39"/>
  <c r="J2016" i="39" s="1"/>
  <c r="I2017" i="39"/>
  <c r="J2017" i="39" s="1"/>
  <c r="I2018" i="39"/>
  <c r="J2018" i="39" s="1"/>
  <c r="I2019" i="39"/>
  <c r="J2019" i="39" s="1"/>
  <c r="I2020" i="39"/>
  <c r="J2020" i="39" s="1"/>
  <c r="I2021" i="39"/>
  <c r="I2022" i="39"/>
  <c r="J2022" i="39" s="1"/>
  <c r="I2023" i="39"/>
  <c r="J2023" i="39" s="1"/>
  <c r="I2024" i="39"/>
  <c r="I2025" i="39"/>
  <c r="J2025" i="39" s="1"/>
  <c r="I2026" i="39"/>
  <c r="J2026" i="39" s="1"/>
  <c r="I2027" i="39"/>
  <c r="J2027" i="39" s="1"/>
  <c r="I2028" i="39"/>
  <c r="J2028" i="39" s="1"/>
  <c r="I2029" i="39"/>
  <c r="J2029" i="39" s="1"/>
  <c r="I2030" i="39"/>
  <c r="J2030" i="39" s="1"/>
  <c r="I2031" i="39"/>
  <c r="J2031" i="39" s="1"/>
  <c r="I2032" i="39"/>
  <c r="J2032" i="39" s="1"/>
  <c r="I2033" i="39"/>
  <c r="J2033" i="39" s="1"/>
  <c r="I2034" i="39"/>
  <c r="J2034" i="39" s="1"/>
  <c r="I2035" i="39"/>
  <c r="J2035" i="39" s="1"/>
  <c r="I2036" i="39"/>
  <c r="J2036" i="39" s="1"/>
  <c r="I2037" i="39"/>
  <c r="I2038" i="39"/>
  <c r="I2039" i="39"/>
  <c r="J2039" i="39" s="1"/>
  <c r="I2040" i="39"/>
  <c r="I2041" i="39"/>
  <c r="J2041" i="39" s="1"/>
  <c r="I2042" i="39"/>
  <c r="J2042" i="39" s="1"/>
  <c r="I2043" i="39"/>
  <c r="J2043" i="39" s="1"/>
  <c r="I2044" i="39"/>
  <c r="J2044" i="39" s="1"/>
  <c r="I2045" i="39"/>
  <c r="J2045" i="39" s="1"/>
  <c r="I2046" i="39"/>
  <c r="J2046" i="39" s="1"/>
  <c r="I2047" i="39"/>
  <c r="J2047" i="39" s="1"/>
  <c r="I2048" i="39"/>
  <c r="J2048" i="39" s="1"/>
  <c r="I2049" i="39"/>
  <c r="J2049" i="39" s="1"/>
  <c r="I2050" i="39"/>
  <c r="J2050" i="39" s="1"/>
  <c r="I2051" i="39"/>
  <c r="J2051" i="39" s="1"/>
  <c r="I2052" i="39"/>
  <c r="J2052" i="39" s="1"/>
  <c r="I2053" i="39"/>
  <c r="J2053" i="39" s="1"/>
  <c r="I2054" i="39"/>
  <c r="J2054" i="39" s="1"/>
  <c r="I2055" i="39"/>
  <c r="J2055" i="39" s="1"/>
  <c r="I2056" i="39"/>
  <c r="J2056" i="39" s="1"/>
  <c r="I2057" i="39"/>
  <c r="J2057" i="39" s="1"/>
  <c r="I2058" i="39"/>
  <c r="J2058" i="39" s="1"/>
  <c r="I2059" i="39"/>
  <c r="J2059" i="39" s="1"/>
  <c r="I2060" i="39"/>
  <c r="J2060" i="39" s="1"/>
  <c r="I2061" i="39"/>
  <c r="J2061" i="39" s="1"/>
  <c r="I2062" i="39"/>
  <c r="J2062" i="39" s="1"/>
  <c r="I2063" i="39"/>
  <c r="J2063" i="39" s="1"/>
  <c r="I2064" i="39"/>
  <c r="J2064" i="39" s="1"/>
  <c r="I2065" i="39"/>
  <c r="J2065" i="39" s="1"/>
  <c r="I2066" i="39"/>
  <c r="J2066" i="39" s="1"/>
  <c r="I2067" i="39"/>
  <c r="J2067" i="39" s="1"/>
  <c r="I2068" i="39"/>
  <c r="J2068" i="39" s="1"/>
  <c r="I2069" i="39"/>
  <c r="J2069" i="39" s="1"/>
  <c r="I2070" i="39"/>
  <c r="J2070" i="39" s="1"/>
  <c r="I2071" i="39"/>
  <c r="J2071" i="39" s="1"/>
  <c r="I2072" i="39"/>
  <c r="J2072" i="39" s="1"/>
  <c r="I2073" i="39"/>
  <c r="J2073" i="39" s="1"/>
  <c r="I2074" i="39"/>
  <c r="J2074" i="39" s="1"/>
  <c r="I2075" i="39"/>
  <c r="J2075" i="39" s="1"/>
  <c r="I2076" i="39"/>
  <c r="J2076" i="39" s="1"/>
  <c r="I2077" i="39"/>
  <c r="I2078" i="39"/>
  <c r="I2079" i="39"/>
  <c r="I2080" i="39"/>
  <c r="J2080" i="39" s="1"/>
  <c r="I2081" i="39"/>
  <c r="J2081" i="39" s="1"/>
  <c r="I2082" i="39"/>
  <c r="J2082" i="39" s="1"/>
  <c r="I2083" i="39"/>
  <c r="J2083" i="39" s="1"/>
  <c r="I2084" i="39"/>
  <c r="J2084" i="39" s="1"/>
  <c r="I2085" i="39"/>
  <c r="J2085" i="39" s="1"/>
  <c r="I2086" i="39"/>
  <c r="J2086" i="39" s="1"/>
  <c r="I2087" i="39"/>
  <c r="J2087" i="39" s="1"/>
  <c r="I2088" i="39"/>
  <c r="J2088" i="39" s="1"/>
  <c r="I2089" i="39"/>
  <c r="J2089" i="39" s="1"/>
  <c r="I2090" i="39"/>
  <c r="J2090" i="39" s="1"/>
  <c r="I2091" i="39"/>
  <c r="J2091" i="39" s="1"/>
  <c r="I2092" i="39"/>
  <c r="J2092" i="39" s="1"/>
  <c r="I2093" i="39"/>
  <c r="J2093" i="39" s="1"/>
  <c r="I2094" i="39"/>
  <c r="J2094" i="39" s="1"/>
  <c r="I2095" i="39"/>
  <c r="J2095" i="39" s="1"/>
  <c r="I2096" i="39"/>
  <c r="I2097" i="39"/>
  <c r="J2097" i="39" s="1"/>
  <c r="I2098" i="39"/>
  <c r="J2098" i="39" s="1"/>
  <c r="I2099" i="39"/>
  <c r="J2099" i="39" s="1"/>
  <c r="I2100" i="39"/>
  <c r="J2100" i="39" s="1"/>
  <c r="I2101" i="39"/>
  <c r="J2101" i="39" s="1"/>
  <c r="I2102" i="39"/>
  <c r="J2102" i="39" s="1"/>
  <c r="I2103" i="39"/>
  <c r="J2103" i="39" s="1"/>
  <c r="I2104" i="39"/>
  <c r="J2104" i="39" s="1"/>
  <c r="I2105" i="39"/>
  <c r="J2105" i="39" s="1"/>
  <c r="I2106" i="39"/>
  <c r="J2106" i="39" s="1"/>
  <c r="I2107" i="39"/>
  <c r="J2107" i="39" s="1"/>
  <c r="I2108" i="39"/>
  <c r="J2108" i="39" s="1"/>
  <c r="I2109" i="39"/>
  <c r="I2110" i="39"/>
  <c r="I2111" i="39"/>
  <c r="J2111" i="39" s="1"/>
  <c r="I2112" i="39"/>
  <c r="J2112" i="39" s="1"/>
  <c r="I2113" i="39"/>
  <c r="J2113" i="39" s="1"/>
  <c r="I2114" i="39"/>
  <c r="J2114" i="39" s="1"/>
  <c r="I2115" i="39"/>
  <c r="J2115" i="39" s="1"/>
  <c r="I2116" i="39"/>
  <c r="J2116" i="39" s="1"/>
  <c r="I2117" i="39"/>
  <c r="J2117" i="39" s="1"/>
  <c r="I2118" i="39"/>
  <c r="J2118" i="39" s="1"/>
  <c r="I2119" i="39"/>
  <c r="J2119" i="39" s="1"/>
  <c r="I2120" i="39"/>
  <c r="J2120" i="39" s="1"/>
  <c r="I2121" i="39"/>
  <c r="J2121" i="39" s="1"/>
  <c r="I2122" i="39"/>
  <c r="J2122" i="39" s="1"/>
  <c r="I2123" i="39"/>
  <c r="J2123" i="39" s="1"/>
  <c r="I2124" i="39"/>
  <c r="J2124" i="39" s="1"/>
  <c r="I2125" i="39"/>
  <c r="J2125" i="39" s="1"/>
  <c r="I2126" i="39"/>
  <c r="J2126" i="39" s="1"/>
  <c r="I2127" i="39"/>
  <c r="J2127" i="39" s="1"/>
  <c r="I2128" i="39"/>
  <c r="J2128" i="39" s="1"/>
  <c r="I2129" i="39"/>
  <c r="J2129" i="39" s="1"/>
  <c r="I2130" i="39"/>
  <c r="J2130" i="39" s="1"/>
  <c r="I2131" i="39"/>
  <c r="J2131" i="39" s="1"/>
  <c r="I2132" i="39"/>
  <c r="J2132" i="39" s="1"/>
  <c r="I2133" i="39"/>
  <c r="I2134" i="39"/>
  <c r="I2135" i="39"/>
  <c r="J2135" i="39" s="1"/>
  <c r="I2136" i="39"/>
  <c r="J2136" i="39" s="1"/>
  <c r="I2137" i="39"/>
  <c r="J2137" i="39" s="1"/>
  <c r="I2138" i="39"/>
  <c r="J2138" i="39" s="1"/>
  <c r="I2139" i="39"/>
  <c r="J2139" i="39" s="1"/>
  <c r="I2140" i="39"/>
  <c r="J2140" i="39" s="1"/>
  <c r="I2141" i="39"/>
  <c r="J2141" i="39" s="1"/>
  <c r="I2142" i="39"/>
  <c r="J2142" i="39" s="1"/>
  <c r="I2143" i="39"/>
  <c r="J2143" i="39" s="1"/>
  <c r="I2144" i="39"/>
  <c r="J2144" i="39" s="1"/>
  <c r="I2145" i="39"/>
  <c r="J2145" i="39" s="1"/>
  <c r="I2146" i="39"/>
  <c r="J2146" i="39" s="1"/>
  <c r="I2147" i="39"/>
  <c r="J2147" i="39" s="1"/>
  <c r="I2148" i="39"/>
  <c r="J2148" i="39" s="1"/>
  <c r="I2149" i="39"/>
  <c r="I2150" i="39"/>
  <c r="I2151" i="39"/>
  <c r="I2152" i="39"/>
  <c r="I2153" i="39"/>
  <c r="J2153" i="39" s="1"/>
  <c r="I2154" i="39"/>
  <c r="J2154" i="39" s="1"/>
  <c r="I2155" i="39"/>
  <c r="J2155" i="39" s="1"/>
  <c r="I2156" i="39"/>
  <c r="J2156" i="39" s="1"/>
  <c r="I2157" i="39"/>
  <c r="J2157" i="39" s="1"/>
  <c r="I2158" i="39"/>
  <c r="J2158" i="39" s="1"/>
  <c r="I2159" i="39"/>
  <c r="J2159" i="39" s="1"/>
  <c r="I2160" i="39"/>
  <c r="J2160" i="39" s="1"/>
  <c r="I2161" i="39"/>
  <c r="J2161" i="39" s="1"/>
  <c r="I2162" i="39"/>
  <c r="J2162" i="39" s="1"/>
  <c r="I2163" i="39"/>
  <c r="J2163" i="39" s="1"/>
  <c r="I2164" i="39"/>
  <c r="J2164" i="39" s="1"/>
  <c r="I2165" i="39"/>
  <c r="J2165" i="39" s="1"/>
  <c r="I2166" i="39"/>
  <c r="J2166" i="39" s="1"/>
  <c r="I2167" i="39"/>
  <c r="J2167" i="39" s="1"/>
  <c r="I2168" i="39"/>
  <c r="J2168" i="39" s="1"/>
  <c r="I2169" i="39"/>
  <c r="J2169" i="39" s="1"/>
  <c r="I2170" i="39"/>
  <c r="J2170" i="39" s="1"/>
  <c r="I2171" i="39"/>
  <c r="J2171" i="39" s="1"/>
  <c r="I2172" i="39"/>
  <c r="J2172" i="39" s="1"/>
  <c r="I2173" i="39"/>
  <c r="J2173" i="39" s="1"/>
  <c r="I2174" i="39"/>
  <c r="J2174" i="39" s="1"/>
  <c r="I2175" i="39"/>
  <c r="I2176" i="39"/>
  <c r="J2176" i="39" s="1"/>
  <c r="I2177" i="39"/>
  <c r="J2177" i="39" s="1"/>
  <c r="I2178" i="39"/>
  <c r="J2178" i="39" s="1"/>
  <c r="I2179" i="39"/>
  <c r="J2179" i="39" s="1"/>
  <c r="I2180" i="39"/>
  <c r="J2180" i="39" s="1"/>
  <c r="I2181" i="39"/>
  <c r="I2182" i="39"/>
  <c r="J2182" i="39" s="1"/>
  <c r="I2183" i="39"/>
  <c r="J2183" i="39" s="1"/>
  <c r="I2184" i="39"/>
  <c r="J2184" i="39" s="1"/>
  <c r="I2185" i="39"/>
  <c r="J2185" i="39" s="1"/>
  <c r="I2186" i="39"/>
  <c r="J2186" i="39" s="1"/>
  <c r="I2187" i="39"/>
  <c r="J2187" i="39" s="1"/>
  <c r="I2188" i="39"/>
  <c r="J2188" i="39" s="1"/>
  <c r="I2189" i="39"/>
  <c r="J2189" i="39" s="1"/>
  <c r="I2190" i="39"/>
  <c r="J2190" i="39" s="1"/>
  <c r="I2191" i="39"/>
  <c r="J2191" i="39" s="1"/>
  <c r="I2192" i="39"/>
  <c r="J2192" i="39" s="1"/>
  <c r="I2193" i="39"/>
  <c r="J2193" i="39" s="1"/>
  <c r="I2194" i="39"/>
  <c r="J2194" i="39" s="1"/>
  <c r="I2195" i="39"/>
  <c r="J2195" i="39" s="1"/>
  <c r="I2196" i="39"/>
  <c r="J2196" i="39" s="1"/>
  <c r="I2197" i="39"/>
  <c r="J2197" i="39" s="1"/>
  <c r="I2198" i="39"/>
  <c r="J2198" i="39" s="1"/>
  <c r="I2199" i="39"/>
  <c r="J2199" i="39" s="1"/>
  <c r="I2200" i="39"/>
  <c r="J2200" i="39" s="1"/>
  <c r="I2201" i="39"/>
  <c r="J2201" i="39" s="1"/>
  <c r="I2202" i="39"/>
  <c r="J2202" i="39" s="1"/>
  <c r="I2203" i="39"/>
  <c r="J2203" i="39" s="1"/>
  <c r="I2204" i="39"/>
  <c r="J2204" i="39" s="1"/>
  <c r="I2205" i="39"/>
  <c r="I2206" i="39"/>
  <c r="J2206" i="39" s="1"/>
  <c r="I2207" i="39"/>
  <c r="J2207" i="39" s="1"/>
  <c r="I2208" i="39"/>
  <c r="J2208" i="39" s="1"/>
  <c r="I2209" i="39"/>
  <c r="J2209" i="39" s="1"/>
  <c r="I2210" i="39"/>
  <c r="J2210" i="39" s="1"/>
  <c r="I2211" i="39"/>
  <c r="J2211" i="39" s="1"/>
  <c r="I2212" i="39"/>
  <c r="J2212" i="39" s="1"/>
  <c r="I2213" i="39"/>
  <c r="J2213" i="39" s="1"/>
  <c r="I2214" i="39"/>
  <c r="J2214" i="39" s="1"/>
  <c r="I2215" i="39"/>
  <c r="J2215" i="39" s="1"/>
  <c r="I2216" i="39"/>
  <c r="J2216" i="39" s="1"/>
  <c r="I2217" i="39"/>
  <c r="J2217" i="39" s="1"/>
  <c r="I2218" i="39"/>
  <c r="J2218" i="39" s="1"/>
  <c r="I2219" i="39"/>
  <c r="J2219" i="39" s="1"/>
  <c r="I2220" i="39"/>
  <c r="J2220" i="39" s="1"/>
  <c r="I2221" i="39"/>
  <c r="J2221" i="39" s="1"/>
  <c r="I2222" i="39"/>
  <c r="I2223" i="39"/>
  <c r="J2223" i="39" s="1"/>
  <c r="I2224" i="39"/>
  <c r="J2224" i="39" s="1"/>
  <c r="I2225" i="39"/>
  <c r="J2225" i="39" s="1"/>
  <c r="I2226" i="39"/>
  <c r="J2226" i="39" s="1"/>
  <c r="I2227" i="39"/>
  <c r="J2227" i="39" s="1"/>
  <c r="I2228" i="39"/>
  <c r="J2228" i="39" s="1"/>
  <c r="I2229" i="39"/>
  <c r="J2229" i="39" s="1"/>
  <c r="I2230" i="39"/>
  <c r="J2230" i="39" s="1"/>
  <c r="I2231" i="39"/>
  <c r="J2231" i="39" s="1"/>
  <c r="I2232" i="39"/>
  <c r="I2233" i="39"/>
  <c r="J2233" i="39" s="1"/>
  <c r="I2234" i="39"/>
  <c r="J2234" i="39" s="1"/>
  <c r="I2235" i="39"/>
  <c r="J2235" i="39" s="1"/>
  <c r="I2236" i="39"/>
  <c r="J2236" i="39" s="1"/>
  <c r="I2237" i="39"/>
  <c r="J2237" i="39" s="1"/>
  <c r="I2238" i="39"/>
  <c r="J2238" i="39" s="1"/>
  <c r="I2239" i="39"/>
  <c r="J2239" i="39" s="1"/>
  <c r="I2240" i="39"/>
  <c r="J2240" i="39" s="1"/>
  <c r="I2241" i="39"/>
  <c r="J2241" i="39" s="1"/>
  <c r="I2242" i="39"/>
  <c r="J2242" i="39" s="1"/>
  <c r="I2243" i="39"/>
  <c r="J2243" i="39" s="1"/>
  <c r="I2244" i="39"/>
  <c r="J2244" i="39" s="1"/>
  <c r="I2245" i="39"/>
  <c r="I2246" i="39"/>
  <c r="I2247" i="39"/>
  <c r="I2248" i="39"/>
  <c r="J2248" i="39" s="1"/>
  <c r="I2249" i="39"/>
  <c r="J2249" i="39" s="1"/>
  <c r="I2250" i="39"/>
  <c r="J2250" i="39" s="1"/>
  <c r="I2251" i="39"/>
  <c r="J2251" i="39" s="1"/>
  <c r="I2252" i="39"/>
  <c r="J2252" i="39" s="1"/>
  <c r="I2253" i="39"/>
  <c r="J2253" i="39" s="1"/>
  <c r="I2254" i="39"/>
  <c r="J2254" i="39" s="1"/>
  <c r="I2255" i="39"/>
  <c r="J2255" i="39" s="1"/>
  <c r="I2256" i="39"/>
  <c r="J2256" i="39" s="1"/>
  <c r="I2257" i="39"/>
  <c r="J2257" i="39" s="1"/>
  <c r="I2258" i="39"/>
  <c r="J2258" i="39" s="1"/>
  <c r="I2259" i="39"/>
  <c r="J2259" i="39" s="1"/>
  <c r="I2260" i="39"/>
  <c r="J2260" i="39" s="1"/>
  <c r="I2261" i="39"/>
  <c r="J2261" i="39" s="1"/>
  <c r="I2262" i="39"/>
  <c r="J2262" i="39" s="1"/>
  <c r="I2263" i="39"/>
  <c r="J2263" i="39" s="1"/>
  <c r="I2264" i="39"/>
  <c r="J2264" i="39" s="1"/>
  <c r="I2265" i="39"/>
  <c r="J2265" i="39" s="1"/>
  <c r="I2266" i="39"/>
  <c r="J2266" i="39" s="1"/>
  <c r="I2267" i="39"/>
  <c r="J2267" i="39" s="1"/>
  <c r="I2268" i="39"/>
  <c r="J2268" i="39" s="1"/>
  <c r="I2269" i="39"/>
  <c r="J2269" i="39" s="1"/>
  <c r="I2270" i="39"/>
  <c r="J2270" i="39" s="1"/>
  <c r="I2271" i="39"/>
  <c r="J2271" i="39" s="1"/>
  <c r="I2272" i="39"/>
  <c r="J2272" i="39" s="1"/>
  <c r="I2273" i="39"/>
  <c r="J2273" i="39" s="1"/>
  <c r="I2274" i="39"/>
  <c r="J2274" i="39" s="1"/>
  <c r="I2275" i="39"/>
  <c r="J2275" i="39" s="1"/>
  <c r="I2276" i="39"/>
  <c r="J2276" i="39" s="1"/>
  <c r="I2277" i="39"/>
  <c r="J2277" i="39" s="1"/>
  <c r="I2278" i="39"/>
  <c r="J2278" i="39" s="1"/>
  <c r="I2279" i="39"/>
  <c r="J2279" i="39" s="1"/>
  <c r="I2280" i="39"/>
  <c r="J2280" i="39" s="1"/>
  <c r="I2281" i="39"/>
  <c r="J2281" i="39" s="1"/>
  <c r="I2282" i="39"/>
  <c r="J2282" i="39" s="1"/>
  <c r="I2283" i="39"/>
  <c r="J2283" i="39" s="1"/>
  <c r="I2284" i="39"/>
  <c r="J2284" i="39" s="1"/>
  <c r="I2285" i="39"/>
  <c r="J2285" i="39" s="1"/>
  <c r="I2286" i="39"/>
  <c r="J2286" i="39" s="1"/>
  <c r="I2287" i="39"/>
  <c r="J2287" i="39" s="1"/>
  <c r="I2288" i="39"/>
  <c r="J2288" i="39" s="1"/>
  <c r="I2289" i="39"/>
  <c r="J2289" i="39" s="1"/>
  <c r="I2290" i="39"/>
  <c r="J2290" i="39" s="1"/>
  <c r="I2291" i="39"/>
  <c r="J2291" i="39" s="1"/>
  <c r="I2292" i="39"/>
  <c r="J2292" i="39" s="1"/>
  <c r="I2293" i="39"/>
  <c r="J2293" i="39" s="1"/>
  <c r="I2294" i="39"/>
  <c r="J2294" i="39" s="1"/>
  <c r="I2295" i="39"/>
  <c r="J2295" i="39" s="1"/>
  <c r="I2296" i="39"/>
  <c r="J2296" i="39" s="1"/>
  <c r="I2297" i="39"/>
  <c r="J2297" i="39" s="1"/>
  <c r="I2298" i="39"/>
  <c r="J2298" i="39" s="1"/>
  <c r="I2299" i="39"/>
  <c r="J2299" i="39" s="1"/>
  <c r="I2300" i="39"/>
  <c r="J2300" i="39" s="1"/>
  <c r="I2301" i="39"/>
  <c r="I2302" i="39"/>
  <c r="J2302" i="39" s="1"/>
  <c r="I2303" i="39"/>
  <c r="J2303" i="39" s="1"/>
  <c r="I2304" i="39"/>
  <c r="J2304" i="39" s="1"/>
  <c r="I2305" i="39"/>
  <c r="J2305" i="39" s="1"/>
  <c r="I2306" i="39"/>
  <c r="J2306" i="39" s="1"/>
  <c r="I2307" i="39"/>
  <c r="J2307" i="39" s="1"/>
  <c r="I2308" i="39"/>
  <c r="J2308" i="39" s="1"/>
  <c r="I2309" i="39"/>
  <c r="J2309" i="39" s="1"/>
  <c r="I2310" i="39"/>
  <c r="J2310" i="39" s="1"/>
  <c r="I2311" i="39"/>
  <c r="J2311" i="39" s="1"/>
  <c r="I2312" i="39"/>
  <c r="J2312" i="39" s="1"/>
  <c r="I2313" i="39"/>
  <c r="J2313" i="39" s="1"/>
  <c r="I2314" i="39"/>
  <c r="J2314" i="39" s="1"/>
  <c r="I2315" i="39"/>
  <c r="J2315" i="39" s="1"/>
  <c r="I2316" i="39"/>
  <c r="J2316" i="39" s="1"/>
  <c r="I2317" i="39"/>
  <c r="I2318" i="39"/>
  <c r="I2319" i="39"/>
  <c r="I2320" i="39"/>
  <c r="J2320" i="39" s="1"/>
  <c r="I2321" i="39"/>
  <c r="J2321" i="39" s="1"/>
  <c r="I2322" i="39"/>
  <c r="J2322" i="39" s="1"/>
  <c r="I2323" i="39"/>
  <c r="J2323" i="39" s="1"/>
  <c r="I2324" i="39"/>
  <c r="J2324" i="39" s="1"/>
  <c r="I2325" i="39"/>
  <c r="J2325" i="39" s="1"/>
  <c r="I2326" i="39"/>
  <c r="J2326" i="39" s="1"/>
  <c r="I2327" i="39"/>
  <c r="J2327" i="39" s="1"/>
  <c r="I2328" i="39"/>
  <c r="J2328" i="39" s="1"/>
  <c r="I2329" i="39"/>
  <c r="J2329" i="39" s="1"/>
  <c r="I2330" i="39"/>
  <c r="J2330" i="39" s="1"/>
  <c r="I2331" i="39"/>
  <c r="J2331" i="39" s="1"/>
  <c r="I2332" i="39"/>
  <c r="J2332" i="39" s="1"/>
  <c r="I2333" i="39"/>
  <c r="J2333" i="39" s="1"/>
  <c r="I2334" i="39"/>
  <c r="I2335" i="39"/>
  <c r="J2335" i="39" s="1"/>
  <c r="I2336" i="39"/>
  <c r="J2336" i="39" s="1"/>
  <c r="I2337" i="39"/>
  <c r="J2337" i="39" s="1"/>
  <c r="I2338" i="39"/>
  <c r="J2338" i="39" s="1"/>
  <c r="I2339" i="39"/>
  <c r="J2339" i="39" s="1"/>
  <c r="I2340" i="39"/>
  <c r="J2340" i="39" s="1"/>
  <c r="I2341" i="39"/>
  <c r="J2341" i="39" s="1"/>
  <c r="I2342" i="39"/>
  <c r="J2342" i="39" s="1"/>
  <c r="I2343" i="39"/>
  <c r="I2344" i="39"/>
  <c r="J2344" i="39" s="1"/>
  <c r="I2345" i="39"/>
  <c r="J2345" i="39" s="1"/>
  <c r="I2346" i="39"/>
  <c r="J2346" i="39" s="1"/>
  <c r="I2347" i="39"/>
  <c r="J2347" i="39" s="1"/>
  <c r="I2348" i="39"/>
  <c r="J2348" i="39" s="1"/>
  <c r="I2349" i="39"/>
  <c r="J2349" i="39" s="1"/>
  <c r="I2350" i="39"/>
  <c r="J2350" i="39" s="1"/>
  <c r="I2351" i="39"/>
  <c r="J2351" i="39" s="1"/>
  <c r="I2352" i="39"/>
  <c r="J2352" i="39" s="1"/>
  <c r="I2353" i="39"/>
  <c r="J2353" i="39" s="1"/>
  <c r="I2354" i="39"/>
  <c r="J2354" i="39" s="1"/>
  <c r="I2355" i="39"/>
  <c r="J2355" i="39" s="1"/>
  <c r="I2356" i="39"/>
  <c r="J2356" i="39" s="1"/>
  <c r="I2357" i="39"/>
  <c r="J2357" i="39" s="1"/>
  <c r="I2358" i="39"/>
  <c r="J2358" i="39" s="1"/>
  <c r="I2359" i="39"/>
  <c r="J2359" i="39" s="1"/>
  <c r="I2360" i="39"/>
  <c r="J2360" i="39" s="1"/>
  <c r="I2361" i="39"/>
  <c r="J2361" i="39" s="1"/>
  <c r="I2362" i="39"/>
  <c r="J2362" i="39" s="1"/>
  <c r="I2363" i="39"/>
  <c r="J2363" i="39" s="1"/>
  <c r="I2364" i="39"/>
  <c r="J2364" i="39" s="1"/>
  <c r="I2365" i="39"/>
  <c r="J2365" i="39" s="1"/>
  <c r="I2366" i="39"/>
  <c r="J2366" i="39" s="1"/>
  <c r="I2367" i="39"/>
  <c r="J2367" i="39" s="1"/>
  <c r="I2368" i="39"/>
  <c r="J2368" i="39" s="1"/>
  <c r="I2369" i="39"/>
  <c r="J2369" i="39" s="1"/>
  <c r="I2370" i="39"/>
  <c r="J2370" i="39" s="1"/>
  <c r="I2371" i="39"/>
  <c r="J2371" i="39" s="1"/>
  <c r="I2372" i="39"/>
  <c r="J2372" i="39" s="1"/>
  <c r="I2373" i="39"/>
  <c r="I2374" i="39"/>
  <c r="J2374" i="39" s="1"/>
  <c r="I2375" i="39"/>
  <c r="J2375" i="39" s="1"/>
  <c r="I2376" i="39"/>
  <c r="J2376" i="39" s="1"/>
  <c r="I2377" i="39"/>
  <c r="J2377" i="39" s="1"/>
  <c r="I2378" i="39"/>
  <c r="J2378" i="39" s="1"/>
  <c r="I2379" i="39"/>
  <c r="J2379" i="39" s="1"/>
  <c r="I2380" i="39"/>
  <c r="J2380" i="39" s="1"/>
  <c r="I2381" i="39"/>
  <c r="J2381" i="39" s="1"/>
  <c r="I2382" i="39"/>
  <c r="J2382" i="39" s="1"/>
  <c r="I2383" i="39"/>
  <c r="J2383" i="39" s="1"/>
  <c r="I2384" i="39"/>
  <c r="J2384" i="39" s="1"/>
  <c r="I2385" i="39"/>
  <c r="J2385" i="39" s="1"/>
  <c r="I2386" i="39"/>
  <c r="J2386" i="39" s="1"/>
  <c r="I2387" i="39"/>
  <c r="J2387" i="39" s="1"/>
  <c r="I2388" i="39"/>
  <c r="J2388" i="39" s="1"/>
  <c r="I2389" i="39"/>
  <c r="J2389" i="39" s="1"/>
  <c r="I2390" i="39"/>
  <c r="I2391" i="39"/>
  <c r="J2391" i="39" s="1"/>
  <c r="I2392" i="39"/>
  <c r="J2392" i="39" s="1"/>
  <c r="I2393" i="39"/>
  <c r="J2393" i="39" s="1"/>
  <c r="I2394" i="39"/>
  <c r="J2394" i="39" s="1"/>
  <c r="I2395" i="39"/>
  <c r="J2395" i="39" s="1"/>
  <c r="I2396" i="39"/>
  <c r="J2396" i="39" s="1"/>
  <c r="I2397" i="39"/>
  <c r="J2397" i="39" s="1"/>
  <c r="I2398" i="39"/>
  <c r="J2398" i="39" s="1"/>
  <c r="I2399" i="39"/>
  <c r="J2399" i="39" s="1"/>
  <c r="I2400" i="39"/>
  <c r="J2400" i="39" s="1"/>
  <c r="I2401" i="39"/>
  <c r="J2401" i="39" s="1"/>
  <c r="I2402" i="39"/>
  <c r="J2402" i="39" s="1"/>
  <c r="I2403" i="39"/>
  <c r="J2403" i="39" s="1"/>
  <c r="I2404" i="39"/>
  <c r="J2404" i="39" s="1"/>
  <c r="I2405" i="39"/>
  <c r="J2405" i="39" s="1"/>
  <c r="I2406" i="39"/>
  <c r="J2406" i="39" s="1"/>
  <c r="I2407" i="39"/>
  <c r="J2407" i="39" s="1"/>
  <c r="I2408" i="39"/>
  <c r="J2408" i="39" s="1"/>
  <c r="I2409" i="39"/>
  <c r="J2409" i="39" s="1"/>
  <c r="I2410" i="39"/>
  <c r="J2410" i="39" s="1"/>
  <c r="I2411" i="39"/>
  <c r="J2411" i="39" s="1"/>
  <c r="I2412" i="39"/>
  <c r="J2412" i="39" s="1"/>
  <c r="I2413" i="39"/>
  <c r="I2414" i="39"/>
  <c r="I2415" i="39"/>
  <c r="I2416" i="39"/>
  <c r="J2416" i="39" s="1"/>
  <c r="I2417" i="39"/>
  <c r="J2417" i="39" s="1"/>
  <c r="I2418" i="39"/>
  <c r="J2418" i="39" s="1"/>
  <c r="I2419" i="39"/>
  <c r="J2419" i="39" s="1"/>
  <c r="I2420" i="39"/>
  <c r="J2420" i="39" s="1"/>
  <c r="I2421" i="39"/>
  <c r="J2421" i="39" s="1"/>
  <c r="I2422" i="39"/>
  <c r="J2422" i="39" s="1"/>
  <c r="I2423" i="39"/>
  <c r="J2423" i="39" s="1"/>
  <c r="I2424" i="39"/>
  <c r="J2424" i="39" s="1"/>
  <c r="I2425" i="39"/>
  <c r="J2425" i="39" s="1"/>
  <c r="I2426" i="39"/>
  <c r="J2426" i="39" s="1"/>
  <c r="I2427" i="39"/>
  <c r="J2427" i="39" s="1"/>
  <c r="I2428" i="39"/>
  <c r="J2428" i="39" s="1"/>
  <c r="I2429" i="39"/>
  <c r="I2430" i="39"/>
  <c r="J2430" i="39" s="1"/>
  <c r="I2431" i="39"/>
  <c r="J2431" i="39" s="1"/>
  <c r="I2432" i="39"/>
  <c r="J2432" i="39" s="1"/>
  <c r="I2433" i="39"/>
  <c r="J2433" i="39" s="1"/>
  <c r="I2434" i="39"/>
  <c r="J2434" i="39" s="1"/>
  <c r="I2435" i="39"/>
  <c r="J2435" i="39" s="1"/>
  <c r="I2436" i="39"/>
  <c r="J2436" i="39" s="1"/>
  <c r="I2437" i="39"/>
  <c r="J2437" i="39" s="1"/>
  <c r="I2438" i="39"/>
  <c r="J2438" i="39" s="1"/>
  <c r="I2439" i="39"/>
  <c r="J2439" i="39" s="1"/>
  <c r="I2440" i="39"/>
  <c r="J2440" i="39" s="1"/>
  <c r="I2441" i="39"/>
  <c r="J2441" i="39" s="1"/>
  <c r="I2442" i="39"/>
  <c r="J2442" i="39" s="1"/>
  <c r="I2443" i="39"/>
  <c r="J2443" i="39" s="1"/>
  <c r="I2444" i="39"/>
  <c r="J2444" i="39" s="1"/>
  <c r="I2445" i="39"/>
  <c r="J2445" i="39" s="1"/>
  <c r="I2446" i="39"/>
  <c r="I2447" i="39"/>
  <c r="J2447" i="39" s="1"/>
  <c r="I2448" i="39"/>
  <c r="J2448" i="39" s="1"/>
  <c r="I2449" i="39"/>
  <c r="J2449" i="39" s="1"/>
  <c r="I2450" i="39"/>
  <c r="J2450" i="39" s="1"/>
  <c r="I2451" i="39"/>
  <c r="J2451" i="39" s="1"/>
  <c r="I2452" i="39"/>
  <c r="J2452" i="39" s="1"/>
  <c r="I2453" i="39"/>
  <c r="J2453" i="39" s="1"/>
  <c r="I2454" i="39"/>
  <c r="J2454" i="39" s="1"/>
  <c r="I2455" i="39"/>
  <c r="J2455" i="39" s="1"/>
  <c r="I2456" i="39"/>
  <c r="J2456" i="39" s="1"/>
  <c r="I2457" i="39"/>
  <c r="J2457" i="39" s="1"/>
  <c r="I2458" i="39"/>
  <c r="J2458" i="39" s="1"/>
  <c r="I2459" i="39"/>
  <c r="J2459" i="39" s="1"/>
  <c r="I2460" i="39"/>
  <c r="J2460" i="39" s="1"/>
  <c r="I2461" i="39"/>
  <c r="J2461" i="39" s="1"/>
  <c r="I2462" i="39"/>
  <c r="J2462" i="39" s="1"/>
  <c r="I2463" i="39"/>
  <c r="J2463" i="39" s="1"/>
  <c r="I2464" i="39"/>
  <c r="J2464" i="39" s="1"/>
  <c r="I2465" i="39"/>
  <c r="J2465" i="39" s="1"/>
  <c r="I2466" i="39"/>
  <c r="J2466" i="39" s="1"/>
  <c r="I2467" i="39"/>
  <c r="J2467" i="39" s="1"/>
  <c r="I2468" i="39"/>
  <c r="J2468" i="39" s="1"/>
  <c r="I2469" i="39"/>
  <c r="I2470" i="39"/>
  <c r="I2471" i="39"/>
  <c r="J2471" i="39" s="1"/>
  <c r="I2472" i="39"/>
  <c r="J2472" i="39" s="1"/>
  <c r="I2473" i="39"/>
  <c r="J2473" i="39" s="1"/>
  <c r="I2474" i="39"/>
  <c r="J2474" i="39" s="1"/>
  <c r="I2475" i="39"/>
  <c r="J2475" i="39" s="1"/>
  <c r="I2476" i="39"/>
  <c r="J2476" i="39" s="1"/>
  <c r="I2477" i="39"/>
  <c r="J2477" i="39" s="1"/>
  <c r="I2478" i="39"/>
  <c r="J2478" i="39" s="1"/>
  <c r="I2479" i="39"/>
  <c r="J2479" i="39" s="1"/>
  <c r="I2480" i="39"/>
  <c r="J2480" i="39" s="1"/>
  <c r="I2481" i="39"/>
  <c r="J2481" i="39" s="1"/>
  <c r="I2482" i="39"/>
  <c r="J2482" i="39" s="1"/>
  <c r="I2483" i="39"/>
  <c r="J2483" i="39" s="1"/>
  <c r="I2484" i="39"/>
  <c r="J2484" i="39" s="1"/>
  <c r="I2485" i="39"/>
  <c r="I2486" i="39"/>
  <c r="J2486" i="39" s="1"/>
  <c r="I2487" i="39"/>
  <c r="I2488" i="39"/>
  <c r="I2489" i="39"/>
  <c r="J2489" i="39" s="1"/>
  <c r="I2490" i="39"/>
  <c r="J2490" i="39" s="1"/>
  <c r="I2491" i="39"/>
  <c r="J2491" i="39" s="1"/>
  <c r="I2492" i="39"/>
  <c r="J2492" i="39" s="1"/>
  <c r="I2493" i="39"/>
  <c r="J2493" i="39" s="1"/>
  <c r="I2494" i="39"/>
  <c r="J2494" i="39" s="1"/>
  <c r="I2495" i="39"/>
  <c r="J2495" i="39" s="1"/>
  <c r="I2496" i="39"/>
  <c r="J2496" i="39" s="1"/>
  <c r="I2497" i="39"/>
  <c r="J2497" i="39" s="1"/>
  <c r="I2498" i="39"/>
  <c r="J2498" i="39" s="1"/>
  <c r="I2499" i="39"/>
  <c r="J2499" i="39" s="1"/>
  <c r="I2500" i="39"/>
  <c r="J2500" i="39" s="1"/>
  <c r="I2501" i="39"/>
  <c r="J2501" i="39" s="1"/>
  <c r="I2502" i="39"/>
  <c r="J2502" i="39" s="1"/>
  <c r="I2503" i="39"/>
  <c r="J2503" i="39" s="1"/>
  <c r="I2504" i="39"/>
  <c r="J2504" i="39" s="1"/>
  <c r="I2505" i="39"/>
  <c r="J2505" i="39" s="1"/>
  <c r="I2506" i="39"/>
  <c r="J2506" i="39" s="1"/>
  <c r="I2507" i="39"/>
  <c r="J2507" i="39" s="1"/>
  <c r="I2508" i="39"/>
  <c r="J2508" i="39" s="1"/>
  <c r="I2509" i="39"/>
  <c r="J2509" i="39" s="1"/>
  <c r="I2510" i="39"/>
  <c r="J2510" i="39" s="1"/>
  <c r="I2511" i="39"/>
  <c r="I2512" i="39"/>
  <c r="I2513" i="39"/>
  <c r="J2513" i="39" s="1"/>
  <c r="I2514" i="39"/>
  <c r="J2514" i="39" s="1"/>
  <c r="I2515" i="39"/>
  <c r="J2515" i="39" s="1"/>
  <c r="I2516" i="39"/>
  <c r="J2516" i="39" s="1"/>
  <c r="I2517" i="39"/>
  <c r="J2517" i="39" s="1"/>
  <c r="I2518" i="39"/>
  <c r="J2518" i="39" s="1"/>
  <c r="I2519" i="39"/>
  <c r="J2519" i="39" s="1"/>
  <c r="I2520" i="39"/>
  <c r="J2520" i="39" s="1"/>
  <c r="I2521" i="39"/>
  <c r="J2521" i="39" s="1"/>
  <c r="I2522" i="39"/>
  <c r="J2522" i="39" s="1"/>
  <c r="I2523" i="39"/>
  <c r="J2523" i="39" s="1"/>
  <c r="I2524" i="39"/>
  <c r="J2524" i="39" s="1"/>
  <c r="I2525" i="39"/>
  <c r="J2525" i="39" s="1"/>
  <c r="I2526" i="39"/>
  <c r="J2526" i="39" s="1"/>
  <c r="I2527" i="39"/>
  <c r="J2527" i="39" s="1"/>
  <c r="I2528" i="39"/>
  <c r="J2528" i="39" s="1"/>
  <c r="I2529" i="39"/>
  <c r="J2529" i="39" s="1"/>
  <c r="I2530" i="39"/>
  <c r="J2530" i="39" s="1"/>
  <c r="I2531" i="39"/>
  <c r="J2531" i="39" s="1"/>
  <c r="I2532" i="39"/>
  <c r="J2532" i="39" s="1"/>
  <c r="I2533" i="39"/>
  <c r="J2533" i="39" s="1"/>
  <c r="I2534" i="39"/>
  <c r="J2534" i="39" s="1"/>
  <c r="I2535" i="39"/>
  <c r="J2535" i="39" s="1"/>
  <c r="I2536" i="39"/>
  <c r="J2536" i="39" s="1"/>
  <c r="I2537" i="39"/>
  <c r="J2537" i="39" s="1"/>
  <c r="I2538" i="39"/>
  <c r="J2538" i="39" s="1"/>
  <c r="I2539" i="39"/>
  <c r="J2539" i="39" s="1"/>
  <c r="I2540" i="39"/>
  <c r="J2540" i="39" s="1"/>
  <c r="I2541" i="39"/>
  <c r="I2542" i="39"/>
  <c r="J2542" i="39" s="1"/>
  <c r="I2543" i="39"/>
  <c r="J2543" i="39" s="1"/>
  <c r="I2544" i="39"/>
  <c r="J2544" i="39" s="1"/>
  <c r="I2545" i="39"/>
  <c r="J2545" i="39" s="1"/>
  <c r="I2546" i="39"/>
  <c r="J2546" i="39" s="1"/>
  <c r="I2547" i="39"/>
  <c r="J2547" i="39" s="1"/>
  <c r="I2548" i="39"/>
  <c r="J2548" i="39" s="1"/>
  <c r="I2549" i="39"/>
  <c r="J2549" i="39" s="1"/>
  <c r="I2550" i="39"/>
  <c r="J2550" i="39" s="1"/>
  <c r="I2551" i="39"/>
  <c r="J2551" i="39" s="1"/>
  <c r="I2552" i="39"/>
  <c r="J2552" i="39" s="1"/>
  <c r="I2553" i="39"/>
  <c r="J2553" i="39" s="1"/>
  <c r="I2554" i="39"/>
  <c r="J2554" i="39" s="1"/>
  <c r="I2555" i="39"/>
  <c r="J2555" i="39" s="1"/>
  <c r="I2556" i="39"/>
  <c r="J2556" i="39" s="1"/>
  <c r="I2557" i="39"/>
  <c r="I2558" i="39"/>
  <c r="J2558" i="39" s="1"/>
  <c r="I2559" i="39"/>
  <c r="J2559" i="39" s="1"/>
  <c r="I2560" i="39"/>
  <c r="J2560" i="39" s="1"/>
  <c r="I2561" i="39"/>
  <c r="J2561" i="39" s="1"/>
  <c r="I2562" i="39"/>
  <c r="J2562" i="39" s="1"/>
  <c r="I2563" i="39"/>
  <c r="J2563" i="39" s="1"/>
  <c r="I2564" i="39"/>
  <c r="J2564" i="39" s="1"/>
  <c r="I2565" i="39"/>
  <c r="J2565" i="39" s="1"/>
  <c r="I2566" i="39"/>
  <c r="J2566" i="39" s="1"/>
  <c r="I2567" i="39"/>
  <c r="J2567" i="39" s="1"/>
  <c r="I2568" i="39"/>
  <c r="J2568" i="39" s="1"/>
  <c r="I2569" i="39"/>
  <c r="J2569" i="39" s="1"/>
  <c r="I2570" i="39"/>
  <c r="J2570" i="39" s="1"/>
  <c r="I2571" i="39"/>
  <c r="J2571" i="39" s="1"/>
  <c r="I2572" i="39"/>
  <c r="J2572" i="39" s="1"/>
  <c r="I2573" i="39"/>
  <c r="J2573" i="39" s="1"/>
  <c r="I2574" i="39"/>
  <c r="J2574" i="39" s="1"/>
  <c r="I2575" i="39"/>
  <c r="J2575" i="39" s="1"/>
  <c r="I2576" i="39"/>
  <c r="J2576" i="39" s="1"/>
  <c r="I2577" i="39"/>
  <c r="J2577" i="39" s="1"/>
  <c r="I2578" i="39"/>
  <c r="J2578" i="39" s="1"/>
  <c r="I2579" i="39"/>
  <c r="J2579" i="39" s="1"/>
  <c r="I2580" i="39"/>
  <c r="J2580" i="39" s="1"/>
  <c r="I2581" i="39"/>
  <c r="I2582" i="39"/>
  <c r="I2583" i="39"/>
  <c r="I2584" i="39"/>
  <c r="I2585" i="39"/>
  <c r="J2585" i="39" s="1"/>
  <c r="I2586" i="39"/>
  <c r="J2586" i="39" s="1"/>
  <c r="I2587" i="39"/>
  <c r="J2587" i="39" s="1"/>
  <c r="I2588" i="39"/>
  <c r="J2588" i="39" s="1"/>
  <c r="I2589" i="39"/>
  <c r="J2589" i="39" s="1"/>
  <c r="I2590" i="39"/>
  <c r="J2590" i="39" s="1"/>
  <c r="I2591" i="39"/>
  <c r="J2591" i="39" s="1"/>
  <c r="I2592" i="39"/>
  <c r="J2592" i="39" s="1"/>
  <c r="I2593" i="39"/>
  <c r="J2593" i="39" s="1"/>
  <c r="I2594" i="39"/>
  <c r="J2594" i="39" s="1"/>
  <c r="I2595" i="39"/>
  <c r="J2595" i="39" s="1"/>
  <c r="I2596" i="39"/>
  <c r="J2596" i="39" s="1"/>
  <c r="I2597" i="39"/>
  <c r="J2597" i="39" s="1"/>
  <c r="I2598" i="39"/>
  <c r="J2598" i="39" s="1"/>
  <c r="I2599" i="39"/>
  <c r="J2599" i="39" s="1"/>
  <c r="I2600" i="39"/>
  <c r="J2600" i="39" s="1"/>
  <c r="I2601" i="39"/>
  <c r="J2601" i="39" s="1"/>
  <c r="I2602" i="39"/>
  <c r="J2602" i="39" s="1"/>
  <c r="I2603" i="39"/>
  <c r="J2603" i="39" s="1"/>
  <c r="I2604" i="39"/>
  <c r="J2604" i="39" s="1"/>
  <c r="I2605" i="39"/>
  <c r="J2605" i="39" s="1"/>
  <c r="I2606" i="39"/>
  <c r="J2606" i="39" s="1"/>
  <c r="I2607" i="39"/>
  <c r="J2607" i="39" s="1"/>
  <c r="I2608" i="39"/>
  <c r="J2608" i="39" s="1"/>
  <c r="I2609" i="39"/>
  <c r="J2609" i="39" s="1"/>
  <c r="I2610" i="39"/>
  <c r="J2610" i="39" s="1"/>
  <c r="I2611" i="39"/>
  <c r="J2611" i="39" s="1"/>
  <c r="I2612" i="39"/>
  <c r="J2612" i="39" s="1"/>
  <c r="I2613" i="39"/>
  <c r="I2614" i="39"/>
  <c r="I2615" i="39"/>
  <c r="J2615" i="39" s="1"/>
  <c r="I2616" i="39"/>
  <c r="J2616" i="39" s="1"/>
  <c r="I2617" i="39"/>
  <c r="J2617" i="39" s="1"/>
  <c r="I2618" i="39"/>
  <c r="J2618" i="39" s="1"/>
  <c r="I2619" i="39"/>
  <c r="J2619" i="39" s="1"/>
  <c r="I2620" i="39"/>
  <c r="J2620" i="39" s="1"/>
  <c r="I2621" i="39"/>
  <c r="J2621" i="39" s="1"/>
  <c r="I2622" i="39"/>
  <c r="J2622" i="39" s="1"/>
  <c r="I2623" i="39"/>
  <c r="J2623" i="39" s="1"/>
  <c r="I2624" i="39"/>
  <c r="I2625" i="39"/>
  <c r="J2625" i="39" s="1"/>
  <c r="I2626" i="39"/>
  <c r="J2626" i="39" s="1"/>
  <c r="I2627" i="39"/>
  <c r="J2627" i="39" s="1"/>
  <c r="I2628" i="39"/>
  <c r="J2628" i="39" s="1"/>
  <c r="I2629" i="39"/>
  <c r="J2629" i="39" s="1"/>
  <c r="I2630" i="39"/>
  <c r="J2630" i="39" s="1"/>
  <c r="I2631" i="39"/>
  <c r="J2631" i="39" s="1"/>
  <c r="I2632" i="39"/>
  <c r="J2632" i="39" s="1"/>
  <c r="I2633" i="39"/>
  <c r="J2633" i="39" s="1"/>
  <c r="I2634" i="39"/>
  <c r="J2634" i="39" s="1"/>
  <c r="I2635" i="39"/>
  <c r="J2635" i="39" s="1"/>
  <c r="I2636" i="39"/>
  <c r="J2636" i="39" s="1"/>
  <c r="I2637" i="39"/>
  <c r="I2638" i="39"/>
  <c r="I2639" i="39"/>
  <c r="J2639" i="39" s="1"/>
  <c r="I2640" i="39"/>
  <c r="I2641" i="39"/>
  <c r="J2641" i="39" s="1"/>
  <c r="I2642" i="39"/>
  <c r="J2642" i="39" s="1"/>
  <c r="I2643" i="39"/>
  <c r="J2643" i="39" s="1"/>
  <c r="I2644" i="39"/>
  <c r="J2644" i="39" s="1"/>
  <c r="I2645" i="39"/>
  <c r="J2645" i="39" s="1"/>
  <c r="I2646" i="39"/>
  <c r="J2646" i="39" s="1"/>
  <c r="I2647" i="39"/>
  <c r="J2647" i="39" s="1"/>
  <c r="I2648" i="39"/>
  <c r="J2648" i="39" s="1"/>
  <c r="I2649" i="39"/>
  <c r="J2649" i="39" s="1"/>
  <c r="I2650" i="39"/>
  <c r="J2650" i="39" s="1"/>
  <c r="I2651" i="39"/>
  <c r="J2651" i="39" s="1"/>
  <c r="I2652" i="39"/>
  <c r="J2652" i="39" s="1"/>
  <c r="I2653" i="39"/>
  <c r="I2654" i="39"/>
  <c r="J2654" i="39" s="1"/>
  <c r="I2655" i="39"/>
  <c r="J2655" i="39" s="1"/>
  <c r="I2656" i="39"/>
  <c r="I2657" i="39"/>
  <c r="J2657" i="39" s="1"/>
  <c r="I2658" i="39"/>
  <c r="J2658" i="39" s="1"/>
  <c r="I2659" i="39"/>
  <c r="J2659" i="39" s="1"/>
  <c r="I2660" i="39"/>
  <c r="J2660" i="39" s="1"/>
  <c r="I2661" i="39"/>
  <c r="J2661" i="39" s="1"/>
  <c r="I2662" i="39"/>
  <c r="J2662" i="39" s="1"/>
  <c r="I2663" i="39"/>
  <c r="J2663" i="39" s="1"/>
  <c r="I2664" i="39"/>
  <c r="J2664" i="39" s="1"/>
  <c r="I2665" i="39"/>
  <c r="J2665" i="39" s="1"/>
  <c r="I2666" i="39"/>
  <c r="J2666" i="39" s="1"/>
  <c r="I2667" i="39"/>
  <c r="J2667" i="39" s="1"/>
  <c r="I2668" i="39"/>
  <c r="J2668" i="39" s="1"/>
  <c r="I2669" i="39"/>
  <c r="J2669" i="39" s="1"/>
  <c r="I2670" i="39"/>
  <c r="J2670" i="39" s="1"/>
  <c r="I2671" i="39"/>
  <c r="J2671" i="39" s="1"/>
  <c r="I2672" i="39"/>
  <c r="J2672" i="39" s="1"/>
  <c r="I2673" i="39"/>
  <c r="J2673" i="39" s="1"/>
  <c r="I2674" i="39"/>
  <c r="J2674" i="39" s="1"/>
  <c r="I2675" i="39"/>
  <c r="J2675" i="39" s="1"/>
  <c r="I2676" i="39"/>
  <c r="J2676" i="39" s="1"/>
  <c r="I2677" i="39"/>
  <c r="J2677" i="39" s="1"/>
  <c r="I2678" i="39"/>
  <c r="J2678" i="39" s="1"/>
  <c r="I2679" i="39"/>
  <c r="I2680" i="39"/>
  <c r="J2680" i="39" s="1"/>
  <c r="I2681" i="39"/>
  <c r="J2681" i="39" s="1"/>
  <c r="I2682" i="39"/>
  <c r="J2682" i="39" s="1"/>
  <c r="I2683" i="39"/>
  <c r="J2683" i="39" s="1"/>
  <c r="I2684" i="39"/>
  <c r="J2684" i="39" s="1"/>
  <c r="I2685" i="39"/>
  <c r="J2685" i="39" s="1"/>
  <c r="I2686" i="39"/>
  <c r="J2686" i="39" s="1"/>
  <c r="I2687" i="39"/>
  <c r="J2687" i="39" s="1"/>
  <c r="I2688" i="39"/>
  <c r="J2688" i="39" s="1"/>
  <c r="I2689" i="39"/>
  <c r="J2689" i="39" s="1"/>
  <c r="I2690" i="39"/>
  <c r="J2690" i="39" s="1"/>
  <c r="I2691" i="39"/>
  <c r="J2691" i="39" s="1"/>
  <c r="I2692" i="39"/>
  <c r="J2692" i="39" s="1"/>
  <c r="I2693" i="39"/>
  <c r="J2693" i="39" s="1"/>
  <c r="I2694" i="39"/>
  <c r="J2694" i="39" s="1"/>
  <c r="I2695" i="39"/>
  <c r="J2695" i="39" s="1"/>
  <c r="I2696" i="39"/>
  <c r="J2696" i="39" s="1"/>
  <c r="I2697" i="39"/>
  <c r="J2697" i="39" s="1"/>
  <c r="I2698" i="39"/>
  <c r="J2698" i="39" s="1"/>
  <c r="I2699" i="39"/>
  <c r="J2699" i="39" s="1"/>
  <c r="I2700" i="39"/>
  <c r="J2700" i="39" s="1"/>
  <c r="I2701" i="39"/>
  <c r="J2701" i="39" s="1"/>
  <c r="I2702" i="39"/>
  <c r="J2702" i="39" s="1"/>
  <c r="I2703" i="39"/>
  <c r="J2703" i="39" s="1"/>
  <c r="I2704" i="39"/>
  <c r="J2704" i="39" s="1"/>
  <c r="I2705" i="39"/>
  <c r="J2705" i="39" s="1"/>
  <c r="I2706" i="39"/>
  <c r="J2706" i="39" s="1"/>
  <c r="I2707" i="39"/>
  <c r="J2707" i="39" s="1"/>
  <c r="I2708" i="39"/>
  <c r="J2708" i="39" s="1"/>
  <c r="I2709" i="39"/>
  <c r="I2710" i="39"/>
  <c r="J2710" i="39" s="1"/>
  <c r="I2711" i="39"/>
  <c r="J2711" i="39" s="1"/>
  <c r="I2712" i="39"/>
  <c r="J2712" i="39" s="1"/>
  <c r="I2713" i="39"/>
  <c r="J2713" i="39" s="1"/>
  <c r="I2714" i="39"/>
  <c r="J2714" i="39" s="1"/>
  <c r="I2715" i="39"/>
  <c r="J2715" i="39" s="1"/>
  <c r="I2716" i="39"/>
  <c r="J2716" i="39" s="1"/>
  <c r="I2717" i="39"/>
  <c r="J2717" i="39" s="1"/>
  <c r="I2718" i="39"/>
  <c r="J2718" i="39" s="1"/>
  <c r="I2719" i="39"/>
  <c r="J2719" i="39" s="1"/>
  <c r="I2720" i="39"/>
  <c r="J2720" i="39" s="1"/>
  <c r="I2721" i="39"/>
  <c r="J2721" i="39" s="1"/>
  <c r="I2722" i="39"/>
  <c r="J2722" i="39" s="1"/>
  <c r="I2723" i="39"/>
  <c r="J2723" i="39" s="1"/>
  <c r="I2724" i="39"/>
  <c r="J2724" i="39" s="1"/>
  <c r="I2725" i="39"/>
  <c r="J2725" i="39" s="1"/>
  <c r="I2726" i="39"/>
  <c r="J2726" i="39" s="1"/>
  <c r="I2727" i="39"/>
  <c r="J2727" i="39" s="1"/>
  <c r="I2728" i="39"/>
  <c r="J2728" i="39" s="1"/>
  <c r="I2729" i="39"/>
  <c r="J2729" i="39" s="1"/>
  <c r="I2730" i="39"/>
  <c r="J2730" i="39" s="1"/>
  <c r="I2731" i="39"/>
  <c r="J2731" i="39" s="1"/>
  <c r="I2732" i="39"/>
  <c r="J2732" i="39" s="1"/>
  <c r="I2733" i="39"/>
  <c r="J2733" i="39" s="1"/>
  <c r="I2734" i="39"/>
  <c r="J2734" i="39" s="1"/>
  <c r="I2735" i="39"/>
  <c r="J2735" i="39" s="1"/>
  <c r="I2736" i="39"/>
  <c r="J2736" i="39" s="1"/>
  <c r="I2737" i="39"/>
  <c r="J2737" i="39" s="1"/>
  <c r="I2738" i="39"/>
  <c r="J2738" i="39" s="1"/>
  <c r="I2739" i="39"/>
  <c r="J2739" i="39" s="1"/>
  <c r="I2740" i="39"/>
  <c r="J2740" i="39" s="1"/>
  <c r="I2741" i="39"/>
  <c r="J2741" i="39" s="1"/>
  <c r="I2742" i="39"/>
  <c r="J2742" i="39" s="1"/>
  <c r="I2743" i="39"/>
  <c r="J2743" i="39" s="1"/>
  <c r="I2744" i="39"/>
  <c r="J2744" i="39" s="1"/>
  <c r="I2745" i="39"/>
  <c r="J2745" i="39" s="1"/>
  <c r="I2746" i="39"/>
  <c r="J2746" i="39" s="1"/>
  <c r="I2747" i="39"/>
  <c r="J2747" i="39" s="1"/>
  <c r="I2748" i="39"/>
  <c r="J2748" i="39" s="1"/>
  <c r="I2749" i="39"/>
  <c r="I2750" i="39"/>
  <c r="I2751" i="39"/>
  <c r="I2752" i="39"/>
  <c r="J2752" i="39" s="1"/>
  <c r="I2753" i="39"/>
  <c r="J2753" i="39" s="1"/>
  <c r="I2754" i="39"/>
  <c r="J2754" i="39" s="1"/>
  <c r="I2755" i="39"/>
  <c r="J2755" i="39" s="1"/>
  <c r="I2756" i="39"/>
  <c r="J2756" i="39" s="1"/>
  <c r="I2757" i="39"/>
  <c r="J2757" i="39" s="1"/>
  <c r="I2758" i="39"/>
  <c r="I2759" i="39"/>
  <c r="J2759" i="39" s="1"/>
  <c r="I2760" i="39"/>
  <c r="J2760" i="39" s="1"/>
  <c r="I2761" i="39"/>
  <c r="J2761" i="39" s="1"/>
  <c r="I2762" i="39"/>
  <c r="J2762" i="39" s="1"/>
  <c r="I2763" i="39"/>
  <c r="J2763" i="39" s="1"/>
  <c r="I2764" i="39"/>
  <c r="J2764" i="39" s="1"/>
  <c r="I2765" i="39"/>
  <c r="J2765" i="39" s="1"/>
  <c r="I2766" i="39"/>
  <c r="J2766" i="39" s="1"/>
  <c r="I2767" i="39"/>
  <c r="J2767" i="39" s="1"/>
  <c r="I2768" i="39"/>
  <c r="J2768" i="39" s="1"/>
  <c r="I2769" i="39"/>
  <c r="J2769" i="39" s="1"/>
  <c r="I2770" i="39"/>
  <c r="J2770" i="39" s="1"/>
  <c r="I2771" i="39"/>
  <c r="J2771" i="39" s="1"/>
  <c r="I2772" i="39"/>
  <c r="J2772" i="39" s="1"/>
  <c r="I2773" i="39"/>
  <c r="J2773" i="39" s="1"/>
  <c r="I2774" i="39"/>
  <c r="J2774" i="39" s="1"/>
  <c r="I2775" i="39"/>
  <c r="J2775" i="39" s="1"/>
  <c r="I2776" i="39"/>
  <c r="J2776" i="39" s="1"/>
  <c r="I2777" i="39"/>
  <c r="J2777" i="39" s="1"/>
  <c r="I2778" i="39"/>
  <c r="J2778" i="39" s="1"/>
  <c r="I2779" i="39"/>
  <c r="J2779" i="39" s="1"/>
  <c r="I2780" i="39"/>
  <c r="J2780" i="39" s="1"/>
  <c r="I2781" i="39"/>
  <c r="I2782" i="39"/>
  <c r="I2783" i="39"/>
  <c r="J2783" i="39" s="1"/>
  <c r="I2784" i="39"/>
  <c r="J2784" i="39" s="1"/>
  <c r="I2785" i="39"/>
  <c r="J2785" i="39" s="1"/>
  <c r="I2786" i="39"/>
  <c r="J2786" i="39" s="1"/>
  <c r="I2787" i="39"/>
  <c r="J2787" i="39" s="1"/>
  <c r="I2788" i="39"/>
  <c r="J2788" i="39" s="1"/>
  <c r="I2789" i="39"/>
  <c r="J2789" i="39" s="1"/>
  <c r="I2790" i="39"/>
  <c r="J2790" i="39" s="1"/>
  <c r="I2791" i="39"/>
  <c r="J2791" i="39" s="1"/>
  <c r="I2792" i="39"/>
  <c r="J2792" i="39" s="1"/>
  <c r="I2793" i="39"/>
  <c r="J2793" i="39" s="1"/>
  <c r="I2794" i="39"/>
  <c r="J2794" i="39" s="1"/>
  <c r="I2795" i="39"/>
  <c r="J2795" i="39" s="1"/>
  <c r="I2796" i="39"/>
  <c r="J2796" i="39" s="1"/>
  <c r="I2797" i="39"/>
  <c r="J2797" i="39" s="1"/>
  <c r="I2798" i="39"/>
  <c r="J2798" i="39" s="1"/>
  <c r="I2799" i="39"/>
  <c r="I2800" i="39"/>
  <c r="J2800" i="39" s="1"/>
  <c r="I2801" i="39"/>
  <c r="J2801" i="39" s="1"/>
  <c r="I2802" i="39"/>
  <c r="J2802" i="39" s="1"/>
  <c r="I2803" i="39"/>
  <c r="J2803" i="39" s="1"/>
  <c r="I2804" i="39"/>
  <c r="J2804" i="39" s="1"/>
  <c r="I2805" i="39"/>
  <c r="I2806" i="39"/>
  <c r="I2807" i="39"/>
  <c r="J2807" i="39" s="1"/>
  <c r="I2808" i="39"/>
  <c r="J2808" i="39" s="1"/>
  <c r="I2809" i="39"/>
  <c r="J2809" i="39" s="1"/>
  <c r="I2810" i="39"/>
  <c r="J2810" i="39" s="1"/>
  <c r="I2811" i="39"/>
  <c r="J2811" i="39" s="1"/>
  <c r="I2812" i="39"/>
  <c r="J2812" i="39" s="1"/>
  <c r="I2813" i="39"/>
  <c r="J2813" i="39" s="1"/>
  <c r="I2814" i="39"/>
  <c r="J2814" i="39" s="1"/>
  <c r="I2815" i="39"/>
  <c r="J2815" i="39" s="1"/>
  <c r="I2816" i="39"/>
  <c r="J2816" i="39" s="1"/>
  <c r="I2817" i="39"/>
  <c r="J2817" i="39" s="1"/>
  <c r="I2818" i="39"/>
  <c r="J2818" i="39" s="1"/>
  <c r="I2819" i="39"/>
  <c r="J2819" i="39" s="1"/>
  <c r="I2820" i="39"/>
  <c r="J2820" i="39" s="1"/>
  <c r="I2821" i="39"/>
  <c r="I2822" i="39"/>
  <c r="J2822" i="39" s="1"/>
  <c r="I2823" i="39"/>
  <c r="I2824" i="39"/>
  <c r="J2824" i="39" s="1"/>
  <c r="I2825" i="39"/>
  <c r="J2825" i="39" s="1"/>
  <c r="I2826" i="39"/>
  <c r="J2826" i="39" s="1"/>
  <c r="I2827" i="39"/>
  <c r="J2827" i="39" s="1"/>
  <c r="I2828" i="39"/>
  <c r="J2828" i="39" s="1"/>
  <c r="I2829" i="39"/>
  <c r="J2829" i="39" s="1"/>
  <c r="I2830" i="39"/>
  <c r="J2830" i="39" s="1"/>
  <c r="I2831" i="39"/>
  <c r="J2831" i="39" s="1"/>
  <c r="I2832" i="39"/>
  <c r="J2832" i="39" s="1"/>
  <c r="I2833" i="39"/>
  <c r="J2833" i="39" s="1"/>
  <c r="I2834" i="39"/>
  <c r="J2834" i="39" s="1"/>
  <c r="I2835" i="39"/>
  <c r="J2835" i="39" s="1"/>
  <c r="I2836" i="39"/>
  <c r="J2836" i="39" s="1"/>
  <c r="I2837" i="39"/>
  <c r="J2837" i="39" s="1"/>
  <c r="I2838" i="39"/>
  <c r="J2838" i="39" s="1"/>
  <c r="I2839" i="39"/>
  <c r="J2839" i="39" s="1"/>
  <c r="I2840" i="39"/>
  <c r="J2840" i="39" s="1"/>
  <c r="I2841" i="39"/>
  <c r="J2841" i="39" s="1"/>
  <c r="I2842" i="39"/>
  <c r="J2842" i="39" s="1"/>
  <c r="I2843" i="39"/>
  <c r="J2843" i="39" s="1"/>
  <c r="I2844" i="39"/>
  <c r="J2844" i="39" s="1"/>
  <c r="I2845" i="39"/>
  <c r="J2845" i="39" s="1"/>
  <c r="I2846" i="39"/>
  <c r="J2846" i="39" s="1"/>
  <c r="I2847" i="39"/>
  <c r="I2848" i="39"/>
  <c r="J2848" i="39" s="1"/>
  <c r="I2849" i="39"/>
  <c r="J2849" i="39" s="1"/>
  <c r="I2850" i="39"/>
  <c r="J2850" i="39" s="1"/>
  <c r="I2851" i="39"/>
  <c r="J2851" i="39" s="1"/>
  <c r="I2852" i="39"/>
  <c r="J2852" i="39" s="1"/>
  <c r="I2853" i="39"/>
  <c r="J2853" i="39" s="1"/>
  <c r="I2854" i="39"/>
  <c r="J2854" i="39" s="1"/>
  <c r="I2855" i="39"/>
  <c r="J2855" i="39" s="1"/>
  <c r="I2856" i="39"/>
  <c r="J2856" i="39" s="1"/>
  <c r="I2857" i="39"/>
  <c r="J2857" i="39" s="1"/>
  <c r="I2858" i="39"/>
  <c r="J2858" i="39" s="1"/>
  <c r="I2859" i="39"/>
  <c r="J2859" i="39" s="1"/>
  <c r="I2860" i="39"/>
  <c r="J2860" i="39" s="1"/>
  <c r="I2861" i="39"/>
  <c r="I2862" i="39"/>
  <c r="J2862" i="39" s="1"/>
  <c r="I2863" i="39"/>
  <c r="J2863" i="39" s="1"/>
  <c r="I2864" i="39"/>
  <c r="J2864" i="39" s="1"/>
  <c r="I2865" i="39"/>
  <c r="J2865" i="39" s="1"/>
  <c r="I2866" i="39"/>
  <c r="J2866" i="39" s="1"/>
  <c r="I2867" i="39"/>
  <c r="J2867" i="39" s="1"/>
  <c r="I2868" i="39"/>
  <c r="J2868" i="39" s="1"/>
  <c r="I2869" i="39"/>
  <c r="J2869" i="39" s="1"/>
  <c r="I2870" i="39"/>
  <c r="J2870" i="39" s="1"/>
  <c r="I2871" i="39"/>
  <c r="J2871" i="39" s="1"/>
  <c r="I2872" i="39"/>
  <c r="J2872" i="39" s="1"/>
  <c r="I2873" i="39"/>
  <c r="J2873" i="39" s="1"/>
  <c r="I2874" i="39"/>
  <c r="J2874" i="39" s="1"/>
  <c r="I2875" i="39"/>
  <c r="J2875" i="39" s="1"/>
  <c r="I2876" i="39"/>
  <c r="J2876" i="39" s="1"/>
  <c r="I2877" i="39"/>
  <c r="J2877" i="39" s="1"/>
  <c r="I2878" i="39"/>
  <c r="J2878" i="39" s="1"/>
  <c r="I2879" i="39"/>
  <c r="J2879" i="39" s="1"/>
  <c r="I2880" i="39"/>
  <c r="J2880" i="39" s="1"/>
  <c r="I2881" i="39"/>
  <c r="J2881" i="39" s="1"/>
  <c r="I2882" i="39"/>
  <c r="J2882" i="39" s="1"/>
  <c r="I2883" i="39"/>
  <c r="J2883" i="39" s="1"/>
  <c r="I2884" i="39"/>
  <c r="J2884" i="39" s="1"/>
  <c r="I2885" i="39"/>
  <c r="J2885" i="39" s="1"/>
  <c r="I2886" i="39"/>
  <c r="J2886" i="39" s="1"/>
  <c r="I2887" i="39"/>
  <c r="J2887" i="39" s="1"/>
  <c r="I2888" i="39"/>
  <c r="J2888" i="39" s="1"/>
  <c r="I2889" i="39"/>
  <c r="J2889" i="39" s="1"/>
  <c r="I2890" i="39"/>
  <c r="J2890" i="39" s="1"/>
  <c r="I2891" i="39"/>
  <c r="J2891" i="39" s="1"/>
  <c r="I2892" i="39"/>
  <c r="J2892" i="39" s="1"/>
  <c r="I2893" i="39"/>
  <c r="J2893" i="39" s="1"/>
  <c r="I2894" i="39"/>
  <c r="I2895" i="39"/>
  <c r="I2896" i="39"/>
  <c r="J2896" i="39" s="1"/>
  <c r="I2897" i="39"/>
  <c r="J2897" i="39" s="1"/>
  <c r="I2898" i="39"/>
  <c r="J2898" i="39" s="1"/>
  <c r="I2899" i="39"/>
  <c r="J2899" i="39" s="1"/>
  <c r="I2900" i="39"/>
  <c r="J2900" i="39" s="1"/>
  <c r="I2901" i="39"/>
  <c r="J2901" i="39" s="1"/>
  <c r="I2902" i="39"/>
  <c r="J2902" i="39" s="1"/>
  <c r="I2903" i="39"/>
  <c r="J2903" i="39" s="1"/>
  <c r="I2904" i="39"/>
  <c r="I2905" i="39"/>
  <c r="J2905" i="39" s="1"/>
  <c r="I2906" i="39"/>
  <c r="J2906" i="39" s="1"/>
  <c r="I2907" i="39"/>
  <c r="J2907" i="39" s="1"/>
  <c r="I2908" i="39"/>
  <c r="J2908" i="39" s="1"/>
  <c r="I2909" i="39"/>
  <c r="J2909" i="39" s="1"/>
  <c r="I2910" i="39"/>
  <c r="J2910" i="39" s="1"/>
  <c r="I2911" i="39"/>
  <c r="J2911" i="39" s="1"/>
  <c r="I2912" i="39"/>
  <c r="J2912" i="39" s="1"/>
  <c r="I2913" i="39"/>
  <c r="J2913" i="39" s="1"/>
  <c r="I2914" i="39"/>
  <c r="J2914" i="39" s="1"/>
  <c r="I2915" i="39"/>
  <c r="J2915" i="39" s="1"/>
  <c r="I2916" i="39"/>
  <c r="J2916" i="39" s="1"/>
  <c r="I2917" i="39"/>
  <c r="I2918" i="39"/>
  <c r="I2919" i="39"/>
  <c r="I2920" i="39"/>
  <c r="J2920" i="39" s="1"/>
  <c r="I2921" i="39"/>
  <c r="J2921" i="39" s="1"/>
  <c r="I2922" i="39"/>
  <c r="J2922" i="39" s="1"/>
  <c r="I2923" i="39"/>
  <c r="J2923" i="39" s="1"/>
  <c r="I2924" i="39"/>
  <c r="J2924" i="39" s="1"/>
  <c r="I2925" i="39"/>
  <c r="J2925" i="39" s="1"/>
  <c r="I2926" i="39"/>
  <c r="J2926" i="39" s="1"/>
  <c r="I2927" i="39"/>
  <c r="J2927" i="39" s="1"/>
  <c r="I2928" i="39"/>
  <c r="J2928" i="39" s="1"/>
  <c r="I2929" i="39"/>
  <c r="J2929" i="39" s="1"/>
  <c r="I2930" i="39"/>
  <c r="J2930" i="39" s="1"/>
  <c r="I2931" i="39"/>
  <c r="J2931" i="39" s="1"/>
  <c r="I2932" i="39"/>
  <c r="J2932" i="39" s="1"/>
  <c r="I2933" i="39"/>
  <c r="J2933" i="39" s="1"/>
  <c r="I2934" i="39"/>
  <c r="J2934" i="39" s="1"/>
  <c r="I2935" i="39"/>
  <c r="J2935" i="39" s="1"/>
  <c r="I2936" i="39"/>
  <c r="J2936" i="39" s="1"/>
  <c r="I2937" i="39"/>
  <c r="J2937" i="39" s="1"/>
  <c r="I2938" i="39"/>
  <c r="J2938" i="39" s="1"/>
  <c r="I2939" i="39"/>
  <c r="J2939" i="39" s="1"/>
  <c r="I2940" i="39"/>
  <c r="J2940" i="39" s="1"/>
  <c r="I2941" i="39"/>
  <c r="J2941" i="39" s="1"/>
  <c r="I2942" i="39"/>
  <c r="J2942" i="39" s="1"/>
  <c r="I2943" i="39"/>
  <c r="J2943" i="39" s="1"/>
  <c r="I2944" i="39"/>
  <c r="J2944" i="39" s="1"/>
  <c r="I2945" i="39"/>
  <c r="J2945" i="39" s="1"/>
  <c r="I2946" i="39"/>
  <c r="J2946" i="39" s="1"/>
  <c r="I2947" i="39"/>
  <c r="J2947" i="39" s="1"/>
  <c r="I2948" i="39"/>
  <c r="J2948" i="39" s="1"/>
  <c r="I2949" i="39"/>
  <c r="I2950" i="39"/>
  <c r="I2951" i="39"/>
  <c r="J2951" i="39" s="1"/>
  <c r="I2952" i="39"/>
  <c r="J2952" i="39" s="1"/>
  <c r="I2953" i="39"/>
  <c r="J2953" i="39" s="1"/>
  <c r="I2954" i="39"/>
  <c r="J2954" i="39" s="1"/>
  <c r="I2955" i="39"/>
  <c r="J2955" i="39" s="1"/>
  <c r="I2956" i="39"/>
  <c r="J2956" i="39" s="1"/>
  <c r="I2957" i="39"/>
  <c r="J2957" i="39" s="1"/>
  <c r="I2958" i="39"/>
  <c r="J2958" i="39" s="1"/>
  <c r="I2959" i="39"/>
  <c r="J2959" i="39" s="1"/>
  <c r="I2960" i="39"/>
  <c r="J2960" i="39" s="1"/>
  <c r="I2961" i="39"/>
  <c r="J2961" i="39" s="1"/>
  <c r="I2962" i="39"/>
  <c r="J2962" i="39" s="1"/>
  <c r="I2963" i="39"/>
  <c r="J2963" i="39" s="1"/>
  <c r="I2964" i="39"/>
  <c r="J2964" i="39" s="1"/>
  <c r="I2965" i="39"/>
  <c r="J2965" i="39" s="1"/>
  <c r="I2966" i="39"/>
  <c r="J2966" i="39" s="1"/>
  <c r="I2967" i="39"/>
  <c r="J2967" i="39" s="1"/>
  <c r="I2968" i="39"/>
  <c r="J2968" i="39" s="1"/>
  <c r="I2969" i="39"/>
  <c r="J2969" i="39" s="1"/>
  <c r="I2970" i="39"/>
  <c r="J2970" i="39" s="1"/>
  <c r="I2971" i="39"/>
  <c r="J2971" i="39" s="1"/>
  <c r="I2972" i="39"/>
  <c r="J2972" i="39" s="1"/>
  <c r="I2973" i="39"/>
  <c r="I2974" i="39"/>
  <c r="I2975" i="39"/>
  <c r="I2976" i="39"/>
  <c r="J2976" i="39" s="1"/>
  <c r="I2977" i="39"/>
  <c r="J2977" i="39" s="1"/>
  <c r="I2978" i="39"/>
  <c r="J2978" i="39" s="1"/>
  <c r="I2979" i="39"/>
  <c r="J2979" i="39" s="1"/>
  <c r="I2980" i="39"/>
  <c r="J2980" i="39" s="1"/>
  <c r="I2981" i="39"/>
  <c r="J2981" i="39" s="1"/>
  <c r="I2982" i="39"/>
  <c r="J2982" i="39" s="1"/>
  <c r="I2983" i="39"/>
  <c r="J2983" i="39" s="1"/>
  <c r="I2984" i="39"/>
  <c r="J2984" i="39" s="1"/>
  <c r="I2985" i="39"/>
  <c r="J2985" i="39" s="1"/>
  <c r="I2986" i="39"/>
  <c r="J2986" i="39" s="1"/>
  <c r="I2987" i="39"/>
  <c r="J2987" i="39" s="1"/>
  <c r="I2988" i="39"/>
  <c r="J2988" i="39" s="1"/>
  <c r="I2989" i="39"/>
  <c r="I2990" i="39"/>
  <c r="J2990" i="39" s="1"/>
  <c r="I2991" i="39"/>
  <c r="J2991" i="39" s="1"/>
  <c r="I2992" i="39"/>
  <c r="J2992" i="39" s="1"/>
  <c r="I2993" i="39"/>
  <c r="J2993" i="39" s="1"/>
  <c r="I2994" i="39"/>
  <c r="J2994" i="39" s="1"/>
  <c r="I2995" i="39"/>
  <c r="J2995" i="39" s="1"/>
  <c r="I2996" i="39"/>
  <c r="J2996" i="39" s="1"/>
  <c r="I2997" i="39"/>
  <c r="J2997" i="39" s="1"/>
  <c r="I2998" i="39"/>
  <c r="J2998" i="39" s="1"/>
  <c r="I2999" i="39"/>
  <c r="J2999" i="39" s="1"/>
  <c r="I3000" i="39"/>
  <c r="J3000" i="39" s="1"/>
  <c r="I3001" i="39"/>
  <c r="J3001" i="39" s="1"/>
  <c r="I3002" i="39"/>
  <c r="J3002" i="39" s="1"/>
  <c r="I3003" i="39"/>
  <c r="J3003" i="39" s="1"/>
  <c r="I3004" i="39"/>
  <c r="J3004" i="39" s="1"/>
  <c r="I3005" i="39"/>
  <c r="J3005" i="39" s="1"/>
  <c r="I3006" i="39"/>
  <c r="J3006" i="39" s="1"/>
  <c r="I3007" i="39"/>
  <c r="J3007" i="39" s="1"/>
  <c r="I3008" i="39"/>
  <c r="J3008" i="39" s="1"/>
  <c r="I3009" i="39"/>
  <c r="J3009" i="39" s="1"/>
  <c r="I3010" i="39"/>
  <c r="J3010" i="39" s="1"/>
  <c r="I3011" i="39"/>
  <c r="J3011" i="39" s="1"/>
  <c r="I3012" i="39"/>
  <c r="J3012" i="39" s="1"/>
  <c r="I3013" i="39"/>
  <c r="J3013" i="39" s="1"/>
  <c r="I3014" i="39"/>
  <c r="J3014" i="39" s="1"/>
  <c r="I3015" i="39"/>
  <c r="I3016" i="39"/>
  <c r="J3016" i="39" s="1"/>
  <c r="I3017" i="39"/>
  <c r="J3017" i="39" s="1"/>
  <c r="I3018" i="39"/>
  <c r="J3018" i="39" s="1"/>
  <c r="I3019" i="39"/>
  <c r="J3019" i="39" s="1"/>
  <c r="I3020" i="39"/>
  <c r="J3020" i="39" s="1"/>
  <c r="I3021" i="39"/>
  <c r="I3022" i="39"/>
  <c r="J3022" i="39" s="1"/>
  <c r="I3023" i="39"/>
  <c r="J3023" i="39" s="1"/>
  <c r="I3024" i="39"/>
  <c r="J3024" i="39" s="1"/>
  <c r="I3025" i="39"/>
  <c r="J3025" i="39" s="1"/>
  <c r="I3026" i="39"/>
  <c r="J3026" i="39" s="1"/>
  <c r="I3027" i="39"/>
  <c r="J3027" i="39" s="1"/>
  <c r="I3028" i="39"/>
  <c r="J3028" i="39" s="1"/>
  <c r="I3029" i="39"/>
  <c r="J3029" i="39" s="1"/>
  <c r="I3030" i="39"/>
  <c r="J3030" i="39" s="1"/>
  <c r="I3031" i="39"/>
  <c r="J3031" i="39" s="1"/>
  <c r="I3032" i="39"/>
  <c r="J3032" i="39" s="1"/>
  <c r="I3033" i="39"/>
  <c r="J3033" i="39" s="1"/>
  <c r="I3034" i="39"/>
  <c r="J3034" i="39" s="1"/>
  <c r="I3035" i="39"/>
  <c r="J3035" i="39" s="1"/>
  <c r="I3036" i="39"/>
  <c r="J3036" i="39" s="1"/>
  <c r="I3037" i="39"/>
  <c r="J3037" i="39" s="1"/>
  <c r="I3038" i="39"/>
  <c r="J3038" i="39" s="1"/>
  <c r="I3039" i="39"/>
  <c r="J3039" i="39" s="1"/>
  <c r="I3040" i="39"/>
  <c r="J3040" i="39" s="1"/>
  <c r="I3041" i="39"/>
  <c r="J3041" i="39" s="1"/>
  <c r="I3042" i="39"/>
  <c r="J3042" i="39" s="1"/>
  <c r="I3043" i="39"/>
  <c r="J3043" i="39" s="1"/>
  <c r="I3044" i="39"/>
  <c r="J3044" i="39" s="1"/>
  <c r="I3045" i="39"/>
  <c r="I3046" i="39"/>
  <c r="J3046" i="39" s="1"/>
  <c r="I3047" i="39"/>
  <c r="J3047" i="39" s="1"/>
  <c r="I3048" i="39"/>
  <c r="J3048" i="39" s="1"/>
  <c r="I3049" i="39"/>
  <c r="J3049" i="39" s="1"/>
  <c r="I3050" i="39"/>
  <c r="J3050" i="39" s="1"/>
  <c r="I3051" i="39"/>
  <c r="J3051" i="39" s="1"/>
  <c r="I3052" i="39"/>
  <c r="J3052" i="39" s="1"/>
  <c r="I3053" i="39"/>
  <c r="J3053" i="39" s="1"/>
  <c r="I3054" i="39"/>
  <c r="J3054" i="39" s="1"/>
  <c r="I3055" i="39"/>
  <c r="J3055" i="39" s="1"/>
  <c r="I3056" i="39"/>
  <c r="J3056" i="39" s="1"/>
  <c r="I3057" i="39"/>
  <c r="J3057" i="39" s="1"/>
  <c r="I3058" i="39"/>
  <c r="J3058" i="39" s="1"/>
  <c r="I3059" i="39"/>
  <c r="J3059" i="39" s="1"/>
  <c r="I3060" i="39"/>
  <c r="J3060" i="39" s="1"/>
  <c r="I3061" i="39"/>
  <c r="I3062" i="39"/>
  <c r="I3063" i="39"/>
  <c r="J3063" i="39" s="1"/>
  <c r="I3064" i="39"/>
  <c r="J3064" i="39" s="1"/>
  <c r="I3065" i="39"/>
  <c r="J3065" i="39" s="1"/>
  <c r="I3066" i="39"/>
  <c r="J3066" i="39" s="1"/>
  <c r="I3067" i="39"/>
  <c r="J3067" i="39" s="1"/>
  <c r="I3068" i="39"/>
  <c r="J3068" i="39" s="1"/>
  <c r="I3069" i="39"/>
  <c r="J3069" i="39" s="1"/>
  <c r="I3070" i="39"/>
  <c r="J3070" i="39" s="1"/>
  <c r="I3071" i="39"/>
  <c r="J3071" i="39" s="1"/>
  <c r="I3072" i="39"/>
  <c r="J3072" i="39" s="1"/>
  <c r="I3073" i="39"/>
  <c r="J3073" i="39" s="1"/>
  <c r="I3074" i="39"/>
  <c r="J3074" i="39" s="1"/>
  <c r="I3075" i="39"/>
  <c r="J3075" i="39" s="1"/>
  <c r="I3076" i="39"/>
  <c r="J3076" i="39" s="1"/>
  <c r="I3077" i="39"/>
  <c r="J3077" i="39" s="1"/>
  <c r="I3078" i="39"/>
  <c r="J3078" i="39" s="1"/>
  <c r="I3079" i="39"/>
  <c r="J3079" i="39" s="1"/>
  <c r="I3080" i="39"/>
  <c r="J3080" i="39" s="1"/>
  <c r="I3081" i="39"/>
  <c r="J3081" i="39" s="1"/>
  <c r="I3082" i="39"/>
  <c r="J3082" i="39" s="1"/>
  <c r="I3083" i="39"/>
  <c r="J3083" i="39" s="1"/>
  <c r="I3084" i="39"/>
  <c r="J3084" i="39" s="1"/>
  <c r="I3085" i="39"/>
  <c r="I3086" i="39"/>
  <c r="I3087" i="39"/>
  <c r="I3088" i="39"/>
  <c r="J3088" i="39" s="1"/>
  <c r="I3089" i="39"/>
  <c r="J3089" i="39" s="1"/>
  <c r="I3090" i="39"/>
  <c r="J3090" i="39" s="1"/>
  <c r="I3091" i="39"/>
  <c r="J3091" i="39" s="1"/>
  <c r="I3092" i="39"/>
  <c r="J3092" i="39" s="1"/>
  <c r="I3093" i="39"/>
  <c r="J3093" i="39" s="1"/>
  <c r="I3094" i="39"/>
  <c r="J3094" i="39" s="1"/>
  <c r="I3095" i="39"/>
  <c r="J3095" i="39" s="1"/>
  <c r="I3096" i="39"/>
  <c r="J3096" i="39" s="1"/>
  <c r="I3097" i="39"/>
  <c r="J3097" i="39" s="1"/>
  <c r="I3098" i="39"/>
  <c r="J3098" i="39" s="1"/>
  <c r="I3099" i="39"/>
  <c r="J3099" i="39" s="1"/>
  <c r="I3100" i="39"/>
  <c r="J3100" i="39" s="1"/>
  <c r="I3101" i="39"/>
  <c r="I3102" i="39"/>
  <c r="J3102" i="39" s="1"/>
  <c r="I3103" i="39"/>
  <c r="J3103" i="39" s="1"/>
  <c r="I3104" i="39"/>
  <c r="J3104" i="39" s="1"/>
  <c r="I3105" i="39"/>
  <c r="J3105" i="39" s="1"/>
  <c r="I3106" i="39"/>
  <c r="J3106" i="39" s="1"/>
  <c r="I3107" i="39"/>
  <c r="J3107" i="39" s="1"/>
  <c r="I3108" i="39"/>
  <c r="J3108" i="39" s="1"/>
  <c r="I3109" i="39"/>
  <c r="J3109" i="39" s="1"/>
  <c r="I3110" i="39"/>
  <c r="J3110" i="39" s="1"/>
  <c r="I3111" i="39"/>
  <c r="J3111" i="39" s="1"/>
  <c r="I3112" i="39"/>
  <c r="J3112" i="39" s="1"/>
  <c r="I3113" i="39"/>
  <c r="J3113" i="39" s="1"/>
  <c r="I3114" i="39"/>
  <c r="J3114" i="39" s="1"/>
  <c r="I3115" i="39"/>
  <c r="J3115" i="39" s="1"/>
  <c r="I3116" i="39"/>
  <c r="J3116" i="39" s="1"/>
  <c r="I3117" i="39"/>
  <c r="J3117" i="39" s="1"/>
  <c r="I3118" i="39"/>
  <c r="I3119" i="39"/>
  <c r="J3119" i="39" s="1"/>
  <c r="I3120" i="39"/>
  <c r="J3120" i="39" s="1"/>
  <c r="I3121" i="39"/>
  <c r="J3121" i="39" s="1"/>
  <c r="I3122" i="39"/>
  <c r="J3122" i="39" s="1"/>
  <c r="I3123" i="39"/>
  <c r="J3123" i="39" s="1"/>
  <c r="I3124" i="39"/>
  <c r="J3124" i="39" s="1"/>
  <c r="I3125" i="39"/>
  <c r="J3125" i="39" s="1"/>
  <c r="I3126" i="39"/>
  <c r="J3126" i="39" s="1"/>
  <c r="I3127" i="39"/>
  <c r="J3127" i="39" s="1"/>
  <c r="I3128" i="39"/>
  <c r="I3129" i="39"/>
  <c r="J3129" i="39" s="1"/>
  <c r="I3130" i="39"/>
  <c r="J3130" i="39" s="1"/>
  <c r="I3131" i="39"/>
  <c r="J3131" i="39" s="1"/>
  <c r="I3132" i="39"/>
  <c r="J3132" i="39" s="1"/>
  <c r="I3133" i="39"/>
  <c r="J3133" i="39" s="1"/>
  <c r="I3134" i="39"/>
  <c r="J3134" i="39" s="1"/>
  <c r="I3135" i="39"/>
  <c r="J3135" i="39" s="1"/>
  <c r="I3136" i="39"/>
  <c r="J3136" i="39" s="1"/>
  <c r="I3137" i="39"/>
  <c r="J3137" i="39" s="1"/>
  <c r="I3138" i="39"/>
  <c r="J3138" i="39" s="1"/>
  <c r="I3139" i="39"/>
  <c r="J3139" i="39" s="1"/>
  <c r="I3140" i="39"/>
  <c r="J3140" i="39" s="1"/>
  <c r="I3141" i="39"/>
  <c r="I3142" i="39"/>
  <c r="I3143" i="39"/>
  <c r="J3143" i="39" s="1"/>
  <c r="I3144" i="39"/>
  <c r="J3144" i="39" s="1"/>
  <c r="I3145" i="39"/>
  <c r="J3145" i="39" s="1"/>
  <c r="I3146" i="39"/>
  <c r="J3146" i="39" s="1"/>
  <c r="I3147" i="39"/>
  <c r="J3147" i="39" s="1"/>
  <c r="I3148" i="39"/>
  <c r="J3148" i="39" s="1"/>
  <c r="I3149" i="39"/>
  <c r="J3149" i="39" s="1"/>
  <c r="I3150" i="39"/>
  <c r="J3150" i="39" s="1"/>
  <c r="I3151" i="39"/>
  <c r="J3151" i="39" s="1"/>
  <c r="I3152" i="39"/>
  <c r="J3152" i="39" s="1"/>
  <c r="I3153" i="39"/>
  <c r="J3153" i="39" s="1"/>
  <c r="I3154" i="39"/>
  <c r="J3154" i="39" s="1"/>
  <c r="I3155" i="39"/>
  <c r="J3155" i="39" s="1"/>
  <c r="I3156" i="39"/>
  <c r="J3156" i="39" s="1"/>
  <c r="I3157" i="39"/>
  <c r="I3158" i="39"/>
  <c r="I3159" i="39"/>
  <c r="J3159" i="39" s="1"/>
  <c r="I3160" i="39"/>
  <c r="J3160" i="39" s="1"/>
  <c r="I3161" i="39"/>
  <c r="J3161" i="39" s="1"/>
  <c r="I3162" i="39"/>
  <c r="J3162" i="39" s="1"/>
  <c r="I3163" i="39"/>
  <c r="J3163" i="39" s="1"/>
  <c r="I3164" i="39"/>
  <c r="J3164" i="39" s="1"/>
  <c r="I3165" i="39"/>
  <c r="J3165" i="39" s="1"/>
  <c r="I3166" i="39"/>
  <c r="J3166" i="39" s="1"/>
  <c r="I3167" i="39"/>
  <c r="J3167" i="39" s="1"/>
  <c r="I3168" i="39"/>
  <c r="J3168" i="39" s="1"/>
  <c r="I3169" i="39"/>
  <c r="I3170" i="39"/>
  <c r="J3170" i="39" s="1"/>
  <c r="I3171" i="39"/>
  <c r="J3171" i="39" s="1"/>
  <c r="I3172" i="39"/>
  <c r="J3172" i="39" s="1"/>
  <c r="I3173" i="39"/>
  <c r="J3173" i="39" s="1"/>
  <c r="I3174" i="39"/>
  <c r="J3174" i="39" s="1"/>
  <c r="I3175" i="39"/>
  <c r="J3175" i="39" s="1"/>
  <c r="I3176" i="39"/>
  <c r="J3176" i="39" s="1"/>
  <c r="I3177" i="39"/>
  <c r="J3177" i="39" s="1"/>
  <c r="I3178" i="39"/>
  <c r="J3178" i="39" s="1"/>
  <c r="I3179" i="39"/>
  <c r="J3179" i="39" s="1"/>
  <c r="I3180" i="39"/>
  <c r="J3180" i="39" s="1"/>
  <c r="I3181" i="39"/>
  <c r="J3181" i="39" s="1"/>
  <c r="I3182" i="39"/>
  <c r="J3182" i="39" s="1"/>
  <c r="I3183" i="39"/>
  <c r="I3184" i="39"/>
  <c r="I3185" i="39"/>
  <c r="J3185" i="39" s="1"/>
  <c r="I3186" i="39"/>
  <c r="J3186" i="39" s="1"/>
  <c r="I3187" i="39"/>
  <c r="J3187" i="39" s="1"/>
  <c r="I3188" i="39"/>
  <c r="J3188" i="39" s="1"/>
  <c r="I3189" i="39"/>
  <c r="J3189" i="39" s="1"/>
  <c r="I3190" i="39"/>
  <c r="I3191" i="39"/>
  <c r="J3191" i="39" s="1"/>
  <c r="I3192" i="39"/>
  <c r="J3192" i="39" s="1"/>
  <c r="I3193" i="39"/>
  <c r="J3193" i="39" s="1"/>
  <c r="I3194" i="39"/>
  <c r="J3194" i="39" s="1"/>
  <c r="I3195" i="39"/>
  <c r="J3195" i="39" s="1"/>
  <c r="I3196" i="39"/>
  <c r="J3196" i="39" s="1"/>
  <c r="I3197" i="39"/>
  <c r="J3197" i="39" s="1"/>
  <c r="I3198" i="39"/>
  <c r="J3198" i="39" s="1"/>
  <c r="I3199" i="39"/>
  <c r="J3199" i="39" s="1"/>
  <c r="I3200" i="39"/>
  <c r="J3200" i="39" s="1"/>
  <c r="I3201" i="39"/>
  <c r="J3201" i="39" s="1"/>
  <c r="I3202" i="39"/>
  <c r="J3202" i="39" s="1"/>
  <c r="I3203" i="39"/>
  <c r="J3203" i="39" s="1"/>
  <c r="I3204" i="39"/>
  <c r="J3204" i="39" s="1"/>
  <c r="I3205" i="39"/>
  <c r="J3205" i="39" s="1"/>
  <c r="I3206" i="39"/>
  <c r="J3206" i="39" s="1"/>
  <c r="I3207" i="39"/>
  <c r="J3207" i="39" s="1"/>
  <c r="I3208" i="39"/>
  <c r="J3208" i="39" s="1"/>
  <c r="I3209" i="39"/>
  <c r="J3209" i="39" s="1"/>
  <c r="I3210" i="39"/>
  <c r="J3210" i="39" s="1"/>
  <c r="I3211" i="39"/>
  <c r="J3211" i="39" s="1"/>
  <c r="I3212" i="39"/>
  <c r="J3212" i="39" s="1"/>
  <c r="I3213" i="39"/>
  <c r="I3214" i="39"/>
  <c r="J3214" i="39" s="1"/>
  <c r="I3215" i="39"/>
  <c r="J3215" i="39" s="1"/>
  <c r="I3216" i="39"/>
  <c r="I3217" i="39"/>
  <c r="J3217" i="39" s="1"/>
  <c r="I3218" i="39"/>
  <c r="J3218" i="39" s="1"/>
  <c r="I3219" i="39"/>
  <c r="J3219" i="39" s="1"/>
  <c r="I3220" i="39"/>
  <c r="J3220" i="39" s="1"/>
  <c r="I3221" i="39"/>
  <c r="J3221" i="39" s="1"/>
  <c r="I3222" i="39"/>
  <c r="J3222" i="39" s="1"/>
  <c r="I3223" i="39"/>
  <c r="J3223" i="39" s="1"/>
  <c r="I3224" i="39"/>
  <c r="J3224" i="39" s="1"/>
  <c r="I3225" i="39"/>
  <c r="J3225" i="39" s="1"/>
  <c r="I3226" i="39"/>
  <c r="J3226" i="39" s="1"/>
  <c r="I3227" i="39"/>
  <c r="J3227" i="39" s="1"/>
  <c r="I3228" i="39"/>
  <c r="J3228" i="39" s="1"/>
  <c r="I3229" i="39"/>
  <c r="I3230" i="39"/>
  <c r="I3231" i="39"/>
  <c r="J3231" i="39" s="1"/>
  <c r="I3232" i="39"/>
  <c r="J3232" i="39" s="1"/>
  <c r="I3233" i="39"/>
  <c r="J3233" i="39" s="1"/>
  <c r="I3234" i="39"/>
  <c r="J3234" i="39" s="1"/>
  <c r="I3235" i="39"/>
  <c r="J3235" i="39" s="1"/>
  <c r="I3236" i="39"/>
  <c r="J3236" i="39" s="1"/>
  <c r="I3237" i="39"/>
  <c r="J3237" i="39" s="1"/>
  <c r="I3238" i="39"/>
  <c r="J3238" i="39" s="1"/>
  <c r="I3239" i="39"/>
  <c r="J3239" i="39" s="1"/>
  <c r="I3240" i="39"/>
  <c r="J3240" i="39" s="1"/>
  <c r="I3241" i="39"/>
  <c r="J3241" i="39" s="1"/>
  <c r="I3242" i="39"/>
  <c r="J3242" i="39" s="1"/>
  <c r="I3243" i="39"/>
  <c r="J3243" i="39" s="1"/>
  <c r="I3244" i="39"/>
  <c r="J3244" i="39" s="1"/>
  <c r="I3245" i="39"/>
  <c r="J3245" i="39" s="1"/>
  <c r="I3246" i="39"/>
  <c r="J3246" i="39" s="1"/>
  <c r="I3247" i="39"/>
  <c r="J3247" i="39" s="1"/>
  <c r="I3248" i="39"/>
  <c r="J3248" i="39" s="1"/>
  <c r="I3249" i="39"/>
  <c r="J3249" i="39" s="1"/>
  <c r="I3250" i="39"/>
  <c r="J3250" i="39" s="1"/>
  <c r="I3251" i="39"/>
  <c r="J3251" i="39" s="1"/>
  <c r="I3252" i="39"/>
  <c r="J3252" i="39" s="1"/>
  <c r="I3253" i="39"/>
  <c r="I3254" i="39"/>
  <c r="I3255" i="39"/>
  <c r="I3256" i="39"/>
  <c r="J3256" i="39" s="1"/>
  <c r="I3257" i="39"/>
  <c r="J3257" i="39" s="1"/>
  <c r="I3258" i="39"/>
  <c r="J3258" i="39" s="1"/>
  <c r="I3259" i="39"/>
  <c r="J3259" i="39" s="1"/>
  <c r="I3260" i="39"/>
  <c r="J3260" i="39" s="1"/>
  <c r="I3261" i="39"/>
  <c r="J3261" i="39" s="1"/>
  <c r="I3262" i="39"/>
  <c r="J3262" i="39" s="1"/>
  <c r="I3263" i="39"/>
  <c r="J3263" i="39" s="1"/>
  <c r="I3264" i="39"/>
  <c r="J3264" i="39" s="1"/>
  <c r="I3265" i="39"/>
  <c r="J3265" i="39" s="1"/>
  <c r="I3266" i="39"/>
  <c r="J3266" i="39" s="1"/>
  <c r="I3267" i="39"/>
  <c r="J3267" i="39" s="1"/>
  <c r="I3268" i="39"/>
  <c r="J3268" i="39" s="1"/>
  <c r="I3269" i="39"/>
  <c r="J3269" i="39" s="1"/>
  <c r="I3270" i="39"/>
  <c r="J3270" i="39" s="1"/>
  <c r="I3271" i="39"/>
  <c r="J3271" i="39" s="1"/>
  <c r="I3272" i="39"/>
  <c r="J3272" i="39" s="1"/>
  <c r="I3273" i="39"/>
  <c r="J3273" i="39" s="1"/>
  <c r="I3274" i="39"/>
  <c r="J3274" i="39" s="1"/>
  <c r="I3275" i="39"/>
  <c r="J3275" i="39" s="1"/>
  <c r="I3276" i="39"/>
  <c r="J3276" i="39" s="1"/>
  <c r="I3277" i="39"/>
  <c r="J3277" i="39" s="1"/>
  <c r="I3278" i="39"/>
  <c r="J3278" i="39" s="1"/>
  <c r="I3279" i="39"/>
  <c r="J3279" i="39" s="1"/>
  <c r="I3280" i="39"/>
  <c r="J3280" i="39" s="1"/>
  <c r="I3281" i="39"/>
  <c r="J3281" i="39" s="1"/>
  <c r="I3282" i="39"/>
  <c r="J3282" i="39" s="1"/>
  <c r="I3283" i="39"/>
  <c r="J3283" i="39" s="1"/>
  <c r="I3284" i="39"/>
  <c r="J3284" i="39" s="1"/>
  <c r="I3285" i="39"/>
  <c r="I3286" i="39"/>
  <c r="I3287" i="39"/>
  <c r="J3287" i="39" s="1"/>
  <c r="I3288" i="39"/>
  <c r="J3288" i="39" s="1"/>
  <c r="I3289" i="39"/>
  <c r="J3289" i="39" s="1"/>
  <c r="I3290" i="39"/>
  <c r="J3290" i="39" s="1"/>
  <c r="I3291" i="39"/>
  <c r="J3291" i="39" s="1"/>
  <c r="I3292" i="39"/>
  <c r="J3292" i="39" s="1"/>
  <c r="I3293" i="39"/>
  <c r="J3293" i="39" s="1"/>
  <c r="I3294" i="39"/>
  <c r="J3294" i="39" s="1"/>
  <c r="I3295" i="39"/>
  <c r="J3295" i="39" s="1"/>
  <c r="I3296" i="39"/>
  <c r="J3296" i="39" s="1"/>
  <c r="I3297" i="39"/>
  <c r="J3297" i="39" s="1"/>
  <c r="I3298" i="39"/>
  <c r="J3298" i="39" s="1"/>
  <c r="I3299" i="39"/>
  <c r="J3299" i="39" s="1"/>
  <c r="I3300" i="39"/>
  <c r="J3300" i="39" s="1"/>
  <c r="I3301" i="39"/>
  <c r="J3301" i="39" s="1"/>
  <c r="I3302" i="39"/>
  <c r="I3303" i="39"/>
  <c r="I3304" i="39"/>
  <c r="J3304" i="39" s="1"/>
  <c r="I3305" i="39"/>
  <c r="J3305" i="39" s="1"/>
  <c r="I3306" i="39"/>
  <c r="J3306" i="39" s="1"/>
  <c r="I3307" i="39"/>
  <c r="J3307" i="39" s="1"/>
  <c r="I3308" i="39"/>
  <c r="J3308" i="39" s="1"/>
  <c r="I3309" i="39"/>
  <c r="I3310" i="39"/>
  <c r="I3311" i="39"/>
  <c r="J3311" i="39" s="1"/>
  <c r="I3312" i="39"/>
  <c r="J3312" i="39" s="1"/>
  <c r="I3313" i="39"/>
  <c r="J3313" i="39" s="1"/>
  <c r="I3314" i="39"/>
  <c r="J3314" i="39" s="1"/>
  <c r="I3315" i="39"/>
  <c r="J3315" i="39" s="1"/>
  <c r="I3316" i="39"/>
  <c r="J3316" i="39" s="1"/>
  <c r="I3317" i="39"/>
  <c r="J3317" i="39" s="1"/>
  <c r="I3318" i="39"/>
  <c r="J3318" i="39" s="1"/>
  <c r="I3319" i="39"/>
  <c r="J3319" i="39" s="1"/>
  <c r="I3320" i="39"/>
  <c r="J3320" i="39" s="1"/>
  <c r="I3321" i="39"/>
  <c r="J3321" i="39" s="1"/>
  <c r="I3322" i="39"/>
  <c r="J3322" i="39" s="1"/>
  <c r="I3323" i="39"/>
  <c r="J3323" i="39" s="1"/>
  <c r="I3324" i="39"/>
  <c r="J3324" i="39" s="1"/>
  <c r="I3325" i="39"/>
  <c r="I3326" i="39"/>
  <c r="J3326" i="39" s="1"/>
  <c r="I3327" i="39"/>
  <c r="J3327" i="39" s="1"/>
  <c r="I3328" i="39"/>
  <c r="J3328" i="39" s="1"/>
  <c r="I3329" i="39"/>
  <c r="J3329" i="39" s="1"/>
  <c r="I3330" i="39"/>
  <c r="J3330" i="39" s="1"/>
  <c r="I3331" i="39"/>
  <c r="J3331" i="39" s="1"/>
  <c r="I3332" i="39"/>
  <c r="J3332" i="39" s="1"/>
  <c r="I3333" i="39"/>
  <c r="J3333" i="39" s="1"/>
  <c r="I3334" i="39"/>
  <c r="J3334" i="39" s="1"/>
  <c r="I3335" i="39"/>
  <c r="J3335" i="39" s="1"/>
  <c r="I3336" i="39"/>
  <c r="J3336" i="39" s="1"/>
  <c r="I3337" i="39"/>
  <c r="J3337" i="39" s="1"/>
  <c r="I3338" i="39"/>
  <c r="J3338" i="39" s="1"/>
  <c r="I3339" i="39"/>
  <c r="J3339" i="39" s="1"/>
  <c r="I3340" i="39"/>
  <c r="J3340" i="39" s="1"/>
  <c r="I3341" i="39"/>
  <c r="J3341" i="39" s="1"/>
  <c r="I3342" i="39"/>
  <c r="J3342" i="39" s="1"/>
  <c r="I3343" i="39"/>
  <c r="J3343" i="39" s="1"/>
  <c r="I3344" i="39"/>
  <c r="J3344" i="39" s="1"/>
  <c r="I3345" i="39"/>
  <c r="J3345" i="39" s="1"/>
  <c r="I3346" i="39"/>
  <c r="J3346" i="39" s="1"/>
  <c r="I3347" i="39"/>
  <c r="J3347" i="39" s="1"/>
  <c r="I3348" i="39"/>
  <c r="J3348" i="39" s="1"/>
  <c r="I3349" i="39"/>
  <c r="J3349" i="39" s="1"/>
  <c r="I3350" i="39"/>
  <c r="J3350" i="39" s="1"/>
  <c r="I3351" i="39"/>
  <c r="I3352" i="39"/>
  <c r="J3352" i="39" s="1"/>
  <c r="I3353" i="39"/>
  <c r="J3353" i="39" s="1"/>
  <c r="I3354" i="39"/>
  <c r="J3354" i="39" s="1"/>
  <c r="I3355" i="39"/>
  <c r="J3355" i="39" s="1"/>
  <c r="I3356" i="39"/>
  <c r="J3356" i="39" s="1"/>
  <c r="I3357" i="39"/>
  <c r="J3357" i="39" s="1"/>
  <c r="I3358" i="39"/>
  <c r="J3358" i="39" s="1"/>
  <c r="I3359" i="39"/>
  <c r="J3359" i="39" s="1"/>
  <c r="I3360" i="39"/>
  <c r="J3360" i="39" s="1"/>
  <c r="I3361" i="39"/>
  <c r="J3361" i="39" s="1"/>
  <c r="I3362" i="39"/>
  <c r="J3362" i="39" s="1"/>
  <c r="I3363" i="39"/>
  <c r="J3363" i="39" s="1"/>
  <c r="I3364" i="39"/>
  <c r="J3364" i="39" s="1"/>
  <c r="I3365" i="39"/>
  <c r="J3365" i="39" s="1"/>
  <c r="I3366" i="39"/>
  <c r="J3366" i="39" s="1"/>
  <c r="I3367" i="39"/>
  <c r="J3367" i="39" s="1"/>
  <c r="I3368" i="39"/>
  <c r="J3368" i="39" s="1"/>
  <c r="I3369" i="39"/>
  <c r="J3369" i="39" s="1"/>
  <c r="I3370" i="39"/>
  <c r="J3370" i="39" s="1"/>
  <c r="I3371" i="39"/>
  <c r="J3371" i="39" s="1"/>
  <c r="I3372" i="39"/>
  <c r="J3372" i="39" s="1"/>
  <c r="I3373" i="39"/>
  <c r="J3373" i="39" s="1"/>
  <c r="I3374" i="39"/>
  <c r="J3374" i="39" s="1"/>
  <c r="I3375" i="39"/>
  <c r="J3375" i="39" s="1"/>
  <c r="I3376" i="39"/>
  <c r="J3376" i="39" s="1"/>
  <c r="I3377" i="39"/>
  <c r="J3377" i="39" s="1"/>
  <c r="I3378" i="39"/>
  <c r="J3378" i="39" s="1"/>
  <c r="I3379" i="39"/>
  <c r="J3379" i="39" s="1"/>
  <c r="I3380" i="39"/>
  <c r="J3380" i="39" s="1"/>
  <c r="I3381" i="39"/>
  <c r="I3382" i="39"/>
  <c r="J3382" i="39" s="1"/>
  <c r="I3383" i="39"/>
  <c r="J3383" i="39" s="1"/>
  <c r="I3384" i="39"/>
  <c r="J3384" i="39" s="1"/>
  <c r="I3385" i="39"/>
  <c r="J3385" i="39" s="1"/>
  <c r="I3386" i="39"/>
  <c r="J3386" i="39" s="1"/>
  <c r="I3387" i="39"/>
  <c r="J3387" i="39" s="1"/>
  <c r="I3388" i="39"/>
  <c r="J3388" i="39" s="1"/>
  <c r="I3389" i="39"/>
  <c r="J3389" i="39" s="1"/>
  <c r="I3390" i="39"/>
  <c r="J3390" i="39" s="1"/>
  <c r="I3391" i="39"/>
  <c r="J3391" i="39" s="1"/>
  <c r="I3392" i="39"/>
  <c r="J3392" i="39" s="1"/>
  <c r="I3393" i="39"/>
  <c r="J3393" i="39" s="1"/>
  <c r="I3394" i="39"/>
  <c r="J3394" i="39" s="1"/>
  <c r="I3395" i="39"/>
  <c r="J3395" i="39" s="1"/>
  <c r="I3396" i="39"/>
  <c r="J3396" i="39" s="1"/>
  <c r="I3397" i="39"/>
  <c r="J3397" i="39" s="1"/>
  <c r="I3398" i="39"/>
  <c r="I3399" i="39"/>
  <c r="J3399" i="39" s="1"/>
  <c r="I3400" i="39"/>
  <c r="J3400" i="39" s="1"/>
  <c r="I3401" i="39"/>
  <c r="J3401" i="39" s="1"/>
  <c r="I3402" i="39"/>
  <c r="J3402" i="39" s="1"/>
  <c r="I3403" i="39"/>
  <c r="J3403" i="39" s="1"/>
  <c r="I3404" i="39"/>
  <c r="J3404" i="39" s="1"/>
  <c r="I3405" i="39"/>
  <c r="J3405" i="39" s="1"/>
  <c r="I3406" i="39"/>
  <c r="J3406" i="39" s="1"/>
  <c r="I3407" i="39"/>
  <c r="J3407" i="39" s="1"/>
  <c r="I3408" i="39"/>
  <c r="I3409" i="39"/>
  <c r="J3409" i="39" s="1"/>
  <c r="I3410" i="39"/>
  <c r="J3410" i="39" s="1"/>
  <c r="I3411" i="39"/>
  <c r="J3411" i="39" s="1"/>
  <c r="I3412" i="39"/>
  <c r="J3412" i="39" s="1"/>
  <c r="I3413" i="39"/>
  <c r="J3413" i="39" s="1"/>
  <c r="I3414" i="39"/>
  <c r="J3414" i="39" s="1"/>
  <c r="I3415" i="39"/>
  <c r="J3415" i="39" s="1"/>
  <c r="I3416" i="39"/>
  <c r="J3416" i="39" s="1"/>
  <c r="I3417" i="39"/>
  <c r="J3417" i="39" s="1"/>
  <c r="I3418" i="39"/>
  <c r="J3418" i="39" s="1"/>
  <c r="I3419" i="39"/>
  <c r="J3419" i="39" s="1"/>
  <c r="I3420" i="39"/>
  <c r="J3420" i="39" s="1"/>
  <c r="I3421" i="39"/>
  <c r="I3422" i="39"/>
  <c r="I3423" i="39"/>
  <c r="I3424" i="39"/>
  <c r="J3424" i="39" s="1"/>
  <c r="I3425" i="39"/>
  <c r="J3425" i="39" s="1"/>
  <c r="I3426" i="39"/>
  <c r="J3426" i="39" s="1"/>
  <c r="I3427" i="39"/>
  <c r="J3427" i="39" s="1"/>
  <c r="I3428" i="39"/>
  <c r="J3428" i="39" s="1"/>
  <c r="I3429" i="39"/>
  <c r="J3429" i="39" s="1"/>
  <c r="I3430" i="39"/>
  <c r="J3430" i="39" s="1"/>
  <c r="I3431" i="39"/>
  <c r="J3431" i="39" s="1"/>
  <c r="I3432" i="39"/>
  <c r="J3432" i="39" s="1"/>
  <c r="I3433" i="39"/>
  <c r="J3433" i="39" s="1"/>
  <c r="I3434" i="39"/>
  <c r="J3434" i="39" s="1"/>
  <c r="I3435" i="39"/>
  <c r="J3435" i="39" s="1"/>
  <c r="I3436" i="39"/>
  <c r="J3436" i="39" s="1"/>
  <c r="I3437" i="39"/>
  <c r="J3437" i="39" s="1"/>
  <c r="I3438" i="39"/>
  <c r="J3438" i="39" s="1"/>
  <c r="I3439" i="39"/>
  <c r="J3439" i="39" s="1"/>
  <c r="I3440" i="39"/>
  <c r="J3440" i="39" s="1"/>
  <c r="I3441" i="39"/>
  <c r="J3441" i="39" s="1"/>
  <c r="I3442" i="39"/>
  <c r="J3442" i="39" s="1"/>
  <c r="I3443" i="39"/>
  <c r="J3443" i="39" s="1"/>
  <c r="I3444" i="39"/>
  <c r="J3444" i="39" s="1"/>
  <c r="I3445" i="39"/>
  <c r="J3445" i="39" s="1"/>
  <c r="I3446" i="39"/>
  <c r="J3446" i="39" s="1"/>
  <c r="I3447" i="39"/>
  <c r="J3447" i="39" s="1"/>
  <c r="I3448" i="39"/>
  <c r="J3448" i="39" s="1"/>
  <c r="I3449" i="39"/>
  <c r="J3449" i="39" s="1"/>
  <c r="I3450" i="39"/>
  <c r="J3450" i="39" s="1"/>
  <c r="I3451" i="39"/>
  <c r="J3451" i="39" s="1"/>
  <c r="I3452" i="39"/>
  <c r="J3452" i="39" s="1"/>
  <c r="I3453" i="39"/>
  <c r="J3453" i="39" s="1"/>
  <c r="I3454" i="39"/>
  <c r="I3455" i="39"/>
  <c r="J3455" i="39" s="1"/>
  <c r="I3456" i="39"/>
  <c r="I3457" i="39"/>
  <c r="J3457" i="39" s="1"/>
  <c r="I3458" i="39"/>
  <c r="J3458" i="39" s="1"/>
  <c r="I3459" i="39"/>
  <c r="J3459" i="39" s="1"/>
  <c r="I3460" i="39"/>
  <c r="J3460" i="39" s="1"/>
  <c r="I3461" i="39"/>
  <c r="J3461" i="39" s="1"/>
  <c r="I3462" i="39"/>
  <c r="J3462" i="39" s="1"/>
  <c r="I3463" i="39"/>
  <c r="J3463" i="39" s="1"/>
  <c r="I3464" i="39"/>
  <c r="J3464" i="39" s="1"/>
  <c r="I3465" i="39"/>
  <c r="J3465" i="39" s="1"/>
  <c r="I3466" i="39"/>
  <c r="J3466" i="39" s="1"/>
  <c r="I3467" i="39"/>
  <c r="J3467" i="39" s="1"/>
  <c r="I3468" i="39"/>
  <c r="J3468" i="39" s="1"/>
  <c r="I3469" i="39"/>
  <c r="J3469" i="39" s="1"/>
  <c r="I3470" i="39"/>
  <c r="J3470" i="39" s="1"/>
  <c r="I3471" i="39"/>
  <c r="J3471" i="39" s="1"/>
  <c r="I3472" i="39"/>
  <c r="J3472" i="39" s="1"/>
  <c r="I3473" i="39"/>
  <c r="J3473" i="39" s="1"/>
  <c r="I3474" i="39"/>
  <c r="J3474" i="39" s="1"/>
  <c r="I3475" i="39"/>
  <c r="J3475" i="39" s="1"/>
  <c r="I3476" i="39"/>
  <c r="J3476" i="39" s="1"/>
  <c r="I3477" i="39"/>
  <c r="I3478" i="39"/>
  <c r="I3479" i="39"/>
  <c r="J3479" i="39" s="1"/>
  <c r="I3480" i="39"/>
  <c r="J3480" i="39" s="1"/>
  <c r="I3481" i="39"/>
  <c r="J3481" i="39" s="1"/>
  <c r="I3482" i="39"/>
  <c r="J3482" i="39" s="1"/>
  <c r="I3483" i="39"/>
  <c r="J3483" i="39" s="1"/>
  <c r="I3484" i="39"/>
  <c r="J3484" i="39" s="1"/>
  <c r="I3485" i="39"/>
  <c r="J3485" i="39" s="1"/>
  <c r="I3486" i="39"/>
  <c r="J3486" i="39" s="1"/>
  <c r="I3487" i="39"/>
  <c r="J3487" i="39" s="1"/>
  <c r="I3488" i="39"/>
  <c r="J3488" i="39" s="1"/>
  <c r="I3489" i="39"/>
  <c r="J3489" i="39" s="1"/>
  <c r="I3490" i="39"/>
  <c r="J3490" i="39" s="1"/>
  <c r="I3491" i="39"/>
  <c r="J3491" i="39" s="1"/>
  <c r="I3492" i="39"/>
  <c r="J3492" i="39" s="1"/>
  <c r="I3493" i="39"/>
  <c r="J3493" i="39" s="1"/>
  <c r="I3494" i="39"/>
  <c r="J3494" i="39" s="1"/>
  <c r="I3495" i="39"/>
  <c r="I3496" i="39"/>
  <c r="J3496" i="39" s="1"/>
  <c r="I3497" i="39"/>
  <c r="J3497" i="39" s="1"/>
  <c r="I3498" i="39"/>
  <c r="J3498" i="39" s="1"/>
  <c r="I3499" i="39"/>
  <c r="J3499" i="39" s="1"/>
  <c r="I3500" i="39"/>
  <c r="J3500" i="39" s="1"/>
  <c r="I3501" i="39"/>
  <c r="J3501" i="39" s="1"/>
  <c r="I3502" i="39"/>
  <c r="J3502" i="39" s="1"/>
  <c r="I3503" i="39"/>
  <c r="J3503" i="39" s="1"/>
  <c r="I3504" i="39"/>
  <c r="J3504" i="39" s="1"/>
  <c r="I3505" i="39"/>
  <c r="J3505" i="39" s="1"/>
  <c r="I3506" i="39"/>
  <c r="J3506" i="39" s="1"/>
  <c r="I3507" i="39"/>
  <c r="J3507" i="39" s="1"/>
  <c r="I3508" i="39"/>
  <c r="J3508" i="39" s="1"/>
  <c r="I3509" i="39"/>
  <c r="J3509" i="39" s="1"/>
  <c r="I3510" i="39"/>
  <c r="J3510" i="39" s="1"/>
  <c r="I3511" i="39"/>
  <c r="J3511" i="39" s="1"/>
  <c r="I3512" i="39"/>
  <c r="J3512" i="39" s="1"/>
  <c r="I3513" i="39"/>
  <c r="J3513" i="39" s="1"/>
  <c r="I3514" i="39"/>
  <c r="J3514" i="39" s="1"/>
  <c r="I3515" i="39"/>
  <c r="J3515" i="39" s="1"/>
  <c r="I3516" i="39"/>
  <c r="J3516" i="39" s="1"/>
  <c r="I3517" i="39"/>
  <c r="J3517" i="39" s="1"/>
  <c r="I3518" i="39"/>
  <c r="J3518" i="39" s="1"/>
  <c r="I3519" i="39"/>
  <c r="I3520" i="39"/>
  <c r="J3520" i="39" s="1"/>
  <c r="I3521" i="39"/>
  <c r="J3521" i="39" s="1"/>
  <c r="I3522" i="39"/>
  <c r="J3522" i="39" s="1"/>
  <c r="I3523" i="39"/>
  <c r="J3523" i="39" s="1"/>
  <c r="I3524" i="39"/>
  <c r="J3524" i="39" s="1"/>
  <c r="I3525" i="39"/>
  <c r="J3525" i="39" s="1"/>
  <c r="I3526" i="39"/>
  <c r="J3526" i="39" s="1"/>
  <c r="I3527" i="39"/>
  <c r="J3527" i="39" s="1"/>
  <c r="I3528" i="39"/>
  <c r="J3528" i="39" s="1"/>
  <c r="I3529" i="39"/>
  <c r="J3529" i="39" s="1"/>
  <c r="I3530" i="39"/>
  <c r="J3530" i="39" s="1"/>
  <c r="I3531" i="39"/>
  <c r="J3531" i="39" s="1"/>
  <c r="I3532" i="39"/>
  <c r="J3532" i="39" s="1"/>
  <c r="I3533" i="39"/>
  <c r="J3533" i="39" s="1"/>
  <c r="I3534" i="39"/>
  <c r="J3534" i="39" s="1"/>
  <c r="I3535" i="39"/>
  <c r="J3535" i="39" s="1"/>
  <c r="I3536" i="39"/>
  <c r="J3536" i="39" s="1"/>
  <c r="I3537" i="39"/>
  <c r="J3537" i="39" s="1"/>
  <c r="I3538" i="39"/>
  <c r="J3538" i="39" s="1"/>
  <c r="I3539" i="39"/>
  <c r="J3539" i="39" s="1"/>
  <c r="I3540" i="39"/>
  <c r="J3540" i="39" s="1"/>
  <c r="I3541" i="39"/>
  <c r="J3541" i="39" s="1"/>
  <c r="I3542" i="39"/>
  <c r="J3542" i="39" s="1"/>
  <c r="I3543" i="39"/>
  <c r="J3543" i="39" s="1"/>
  <c r="I3544" i="39"/>
  <c r="J3544" i="39" s="1"/>
  <c r="I3545" i="39"/>
  <c r="J3545" i="39" s="1"/>
  <c r="I3546" i="39"/>
  <c r="J3546" i="39" s="1"/>
  <c r="I3547" i="39"/>
  <c r="J3547" i="39" s="1"/>
  <c r="I3548" i="39"/>
  <c r="J3548" i="39" s="1"/>
  <c r="I3549" i="39"/>
  <c r="I3550" i="39"/>
  <c r="J3550" i="39" s="1"/>
  <c r="I3551" i="39"/>
  <c r="J3551" i="39" s="1"/>
  <c r="I3552" i="39"/>
  <c r="J3552" i="39" s="1"/>
  <c r="I3553" i="39"/>
  <c r="J3553" i="39" s="1"/>
  <c r="I3554" i="39"/>
  <c r="J3554" i="39" s="1"/>
  <c r="I3555" i="39"/>
  <c r="J3555" i="39" s="1"/>
  <c r="I3556" i="39"/>
  <c r="J3556" i="39" s="1"/>
  <c r="I3557" i="39"/>
  <c r="J3557" i="39" s="1"/>
  <c r="I3558" i="39"/>
  <c r="J3558" i="39" s="1"/>
  <c r="I3559" i="39"/>
  <c r="J3559" i="39" s="1"/>
  <c r="I3560" i="39"/>
  <c r="J3560" i="39" s="1"/>
  <c r="I3561" i="39"/>
  <c r="J3561" i="39" s="1"/>
  <c r="I3562" i="39"/>
  <c r="J3562" i="39" s="1"/>
  <c r="I3563" i="39"/>
  <c r="J3563" i="39" s="1"/>
  <c r="I3564" i="39"/>
  <c r="J3564" i="39" s="1"/>
  <c r="I3565" i="39"/>
  <c r="I3566" i="39"/>
  <c r="I3567" i="39"/>
  <c r="J3567" i="39" s="1"/>
  <c r="I3568" i="39"/>
  <c r="J3568" i="39" s="1"/>
  <c r="I3569" i="39"/>
  <c r="J3569" i="39" s="1"/>
  <c r="I3570" i="39"/>
  <c r="J3570" i="39" s="1"/>
  <c r="I3571" i="39"/>
  <c r="J3571" i="39" s="1"/>
  <c r="I3572" i="39"/>
  <c r="J3572" i="39" s="1"/>
  <c r="I3573" i="39"/>
  <c r="J3573" i="39" s="1"/>
  <c r="I3574" i="39"/>
  <c r="J3574" i="39" s="1"/>
  <c r="I3575" i="39"/>
  <c r="J3575" i="39" s="1"/>
  <c r="I3576" i="39"/>
  <c r="J3576" i="39" s="1"/>
  <c r="I3577" i="39"/>
  <c r="J3577" i="39" s="1"/>
  <c r="I3578" i="39"/>
  <c r="J3578" i="39" s="1"/>
  <c r="I3579" i="39"/>
  <c r="J3579" i="39" s="1"/>
  <c r="I3580" i="39"/>
  <c r="J3580" i="39" s="1"/>
  <c r="I3581" i="39"/>
  <c r="J3581" i="39" s="1"/>
  <c r="I3582" i="39"/>
  <c r="J3582" i="39" s="1"/>
  <c r="I3583" i="39"/>
  <c r="J3583" i="39" s="1"/>
  <c r="I3584" i="39"/>
  <c r="J3584" i="39" s="1"/>
  <c r="I3585" i="39"/>
  <c r="J3585" i="39" s="1"/>
  <c r="I3586" i="39"/>
  <c r="J3586" i="39" s="1"/>
  <c r="I3587" i="39"/>
  <c r="J3587" i="39" s="1"/>
  <c r="I3588" i="39"/>
  <c r="J3588" i="39" s="1"/>
  <c r="I3589" i="39"/>
  <c r="I3590" i="39"/>
  <c r="I3591" i="39"/>
  <c r="I3592" i="39"/>
  <c r="J3592" i="39" s="1"/>
  <c r="I3593" i="39"/>
  <c r="J3593" i="39" s="1"/>
  <c r="I3594" i="39"/>
  <c r="J3594" i="39" s="1"/>
  <c r="I3595" i="39"/>
  <c r="J3595" i="39" s="1"/>
  <c r="I3596" i="39"/>
  <c r="J3596" i="39" s="1"/>
  <c r="I3597" i="39"/>
  <c r="J3597" i="39" s="1"/>
  <c r="I3598" i="39"/>
  <c r="J3598" i="39" s="1"/>
  <c r="I3599" i="39"/>
  <c r="J3599" i="39" s="1"/>
  <c r="I3600" i="39"/>
  <c r="J3600" i="39" s="1"/>
  <c r="I3601" i="39"/>
  <c r="J3601" i="39" s="1"/>
  <c r="I3602" i="39"/>
  <c r="J3602" i="39" s="1"/>
  <c r="I3603" i="39"/>
  <c r="J3603" i="39" s="1"/>
  <c r="I3604" i="39"/>
  <c r="J3604" i="39" s="1"/>
  <c r="I3605" i="39"/>
  <c r="I3606" i="39"/>
  <c r="J3606" i="39" s="1"/>
  <c r="I3607" i="39"/>
  <c r="J3607" i="39" s="1"/>
  <c r="I3608" i="39"/>
  <c r="J3608" i="39" s="1"/>
  <c r="I3609" i="39"/>
  <c r="J3609" i="39" s="1"/>
  <c r="I3610" i="39"/>
  <c r="J3610" i="39" s="1"/>
  <c r="I3611" i="39"/>
  <c r="J3611" i="39" s="1"/>
  <c r="I3612" i="39"/>
  <c r="J3612" i="39" s="1"/>
  <c r="I3613" i="39"/>
  <c r="J3613" i="39" s="1"/>
  <c r="I3614" i="39"/>
  <c r="J3614" i="39" s="1"/>
  <c r="I3615" i="39"/>
  <c r="J3615" i="39" s="1"/>
  <c r="I3616" i="39"/>
  <c r="J3616" i="39" s="1"/>
  <c r="I3617" i="39"/>
  <c r="J3617" i="39" s="1"/>
  <c r="I3618" i="39"/>
  <c r="J3618" i="39" s="1"/>
  <c r="I3619" i="39"/>
  <c r="J3619" i="39" s="1"/>
  <c r="I3620" i="39"/>
  <c r="J3620" i="39" s="1"/>
  <c r="I3621" i="39"/>
  <c r="J3621" i="39" s="1"/>
  <c r="I3622" i="39"/>
  <c r="J3622" i="39" s="1"/>
  <c r="I3623" i="39"/>
  <c r="J3623" i="39" s="1"/>
  <c r="I3624" i="39"/>
  <c r="J3624" i="39" s="1"/>
  <c r="I3625" i="39"/>
  <c r="J3625" i="39" s="1"/>
  <c r="I3626" i="39"/>
  <c r="J3626" i="39" s="1"/>
  <c r="I3627" i="39"/>
  <c r="J3627" i="39" s="1"/>
  <c r="I3628" i="39"/>
  <c r="J3628" i="39" s="1"/>
  <c r="I3629" i="39"/>
  <c r="J3629" i="39" s="1"/>
  <c r="I3630" i="39"/>
  <c r="J3630" i="39" s="1"/>
  <c r="I3631" i="39"/>
  <c r="J3631" i="39" s="1"/>
  <c r="I3632" i="39"/>
  <c r="J3632" i="39" s="1"/>
  <c r="I3633" i="39"/>
  <c r="J3633" i="39" s="1"/>
  <c r="I3634" i="39"/>
  <c r="J3634" i="39" s="1"/>
  <c r="I3635" i="39"/>
  <c r="J3635" i="39" s="1"/>
  <c r="I3636" i="39"/>
  <c r="J3636" i="39" s="1"/>
  <c r="I3637" i="39"/>
  <c r="J3637" i="39" s="1"/>
  <c r="I3638" i="39"/>
  <c r="J3638" i="39" s="1"/>
  <c r="I3639" i="39"/>
  <c r="J3639" i="39" s="1"/>
  <c r="I3640" i="39"/>
  <c r="J3640" i="39" s="1"/>
  <c r="I3641" i="39"/>
  <c r="J3641" i="39" s="1"/>
  <c r="I3642" i="39"/>
  <c r="J3642" i="39" s="1"/>
  <c r="I3643" i="39"/>
  <c r="J3643" i="39" s="1"/>
  <c r="I3644" i="39"/>
  <c r="J3644" i="39" s="1"/>
  <c r="I3645" i="39"/>
  <c r="I3646" i="39"/>
  <c r="I3647" i="39"/>
  <c r="J3647" i="39" s="1"/>
  <c r="I3648" i="39"/>
  <c r="J3648" i="39" s="1"/>
  <c r="I3649" i="39"/>
  <c r="J3649" i="39" s="1"/>
  <c r="I3650" i="39"/>
  <c r="J3650" i="39" s="1"/>
  <c r="I3651" i="39"/>
  <c r="J3651" i="39" s="1"/>
  <c r="I3652" i="39"/>
  <c r="J3652" i="39" s="1"/>
  <c r="I3653" i="39"/>
  <c r="J3653" i="39" s="1"/>
  <c r="I3654" i="39"/>
  <c r="J3654" i="39" s="1"/>
  <c r="I3655" i="39"/>
  <c r="J3655" i="39" s="1"/>
  <c r="I3656" i="39"/>
  <c r="J3656" i="39" s="1"/>
  <c r="I3657" i="39"/>
  <c r="J3657" i="39" s="1"/>
  <c r="I3658" i="39"/>
  <c r="J3658" i="39" s="1"/>
  <c r="I3659" i="39"/>
  <c r="J3659" i="39" s="1"/>
  <c r="I3660" i="39"/>
  <c r="J3660" i="39" s="1"/>
  <c r="I3661" i="39"/>
  <c r="I3662" i="39"/>
  <c r="J3662" i="39" s="1"/>
  <c r="I3663" i="39"/>
  <c r="I3664" i="39"/>
  <c r="J3664" i="39" s="1"/>
  <c r="I3665" i="39"/>
  <c r="J3665" i="39" s="1"/>
  <c r="I3666" i="39"/>
  <c r="J3666" i="39" s="1"/>
  <c r="I3667" i="39"/>
  <c r="J3667" i="39" s="1"/>
  <c r="I3668" i="39"/>
  <c r="J3668" i="39" s="1"/>
  <c r="I3669" i="39"/>
  <c r="J3669" i="39" s="1"/>
  <c r="I3670" i="39"/>
  <c r="J3670" i="39" s="1"/>
  <c r="I3671" i="39"/>
  <c r="J3671" i="39" s="1"/>
  <c r="I3672" i="39"/>
  <c r="J3672" i="39" s="1"/>
  <c r="I3673" i="39"/>
  <c r="J3673" i="39" s="1"/>
  <c r="I3674" i="39"/>
  <c r="J3674" i="39" s="1"/>
  <c r="I3675" i="39"/>
  <c r="J3675" i="39" s="1"/>
  <c r="I3676" i="39"/>
  <c r="J3676" i="39" s="1"/>
  <c r="I3677" i="39"/>
  <c r="J3677" i="39" s="1"/>
  <c r="I3678" i="39"/>
  <c r="J3678" i="39" s="1"/>
  <c r="I3679" i="39"/>
  <c r="J3679" i="39" s="1"/>
  <c r="I3680" i="39"/>
  <c r="J3680" i="39" s="1"/>
  <c r="I3681" i="39"/>
  <c r="J3681" i="39" s="1"/>
  <c r="I3682" i="39"/>
  <c r="J3682" i="39" s="1"/>
  <c r="I3683" i="39"/>
  <c r="J3683" i="39" s="1"/>
  <c r="I3684" i="39"/>
  <c r="J3684" i="39" s="1"/>
  <c r="I3685" i="39"/>
  <c r="J3685" i="39" s="1"/>
  <c r="I3686" i="39"/>
  <c r="J3686" i="39" s="1"/>
  <c r="I3687" i="39"/>
  <c r="J3687" i="39" s="1"/>
  <c r="I3688" i="39"/>
  <c r="J3688" i="39" s="1"/>
  <c r="I3689" i="39"/>
  <c r="J3689" i="39" s="1"/>
  <c r="I3690" i="39"/>
  <c r="J3690" i="39" s="1"/>
  <c r="I3691" i="39"/>
  <c r="J3691" i="39" s="1"/>
  <c r="I3692" i="39"/>
  <c r="J3692" i="39" s="1"/>
  <c r="I3693" i="39"/>
  <c r="I3694" i="39"/>
  <c r="J3694" i="39" s="1"/>
  <c r="I3695" i="39"/>
  <c r="J3695" i="39" s="1"/>
  <c r="I3696" i="39"/>
  <c r="J3696" i="39" s="1"/>
  <c r="I3697" i="39"/>
  <c r="J3697" i="39" s="1"/>
  <c r="I3698" i="39"/>
  <c r="J3698" i="39" s="1"/>
  <c r="I3699" i="39"/>
  <c r="J3699" i="39" s="1"/>
  <c r="I3700" i="39"/>
  <c r="J3700" i="39" s="1"/>
  <c r="I3701" i="39"/>
  <c r="I3702" i="39"/>
  <c r="J3702" i="39" s="1"/>
  <c r="I3703" i="39"/>
  <c r="J3703" i="39" s="1"/>
  <c r="I3704" i="39"/>
  <c r="J3704" i="39" s="1"/>
  <c r="I3705" i="39"/>
  <c r="J3705" i="39" s="1"/>
  <c r="I3706" i="39"/>
  <c r="J3706" i="39" s="1"/>
  <c r="I3707" i="39"/>
  <c r="J3707" i="39" s="1"/>
  <c r="I3708" i="39"/>
  <c r="J3708" i="39" s="1"/>
  <c r="I3709" i="39"/>
  <c r="J3709" i="39" s="1"/>
  <c r="I3710" i="39"/>
  <c r="J3710" i="39" s="1"/>
  <c r="I3711" i="39"/>
  <c r="J3711" i="39" s="1"/>
  <c r="I3712" i="39"/>
  <c r="J3712" i="39" s="1"/>
  <c r="I3713" i="39"/>
  <c r="J3713" i="39" s="1"/>
  <c r="I3714" i="39"/>
  <c r="J3714" i="39" s="1"/>
  <c r="I3715" i="39"/>
  <c r="J3715" i="39" s="1"/>
  <c r="I3716" i="39"/>
  <c r="J3716" i="39" s="1"/>
  <c r="I3717" i="39"/>
  <c r="I3718" i="39"/>
  <c r="J3718" i="39" s="1"/>
  <c r="I3719" i="39"/>
  <c r="J3719" i="39" s="1"/>
  <c r="I3720" i="39"/>
  <c r="J3720" i="39" s="1"/>
  <c r="I3721" i="39"/>
  <c r="J3721" i="39" s="1"/>
  <c r="I3722" i="39"/>
  <c r="J3722" i="39" s="1"/>
  <c r="I3723" i="39"/>
  <c r="J3723" i="39" s="1"/>
  <c r="I3724" i="39"/>
  <c r="J3724" i="39" s="1"/>
  <c r="I3725" i="39"/>
  <c r="J3725" i="39" s="1"/>
  <c r="I3726" i="39"/>
  <c r="J3726" i="39" s="1"/>
  <c r="I3727" i="39"/>
  <c r="J3727" i="39" s="1"/>
  <c r="I3728" i="39"/>
  <c r="J3728" i="39" s="1"/>
  <c r="I3729" i="39"/>
  <c r="J3729" i="39" s="1"/>
  <c r="I3730" i="39"/>
  <c r="J3730" i="39" s="1"/>
  <c r="I3731" i="39"/>
  <c r="J3731" i="39" s="1"/>
  <c r="I3732" i="39"/>
  <c r="J3732" i="39" s="1"/>
  <c r="I3733" i="39"/>
  <c r="J3733" i="39" s="1"/>
  <c r="I3734" i="39"/>
  <c r="I3735" i="39"/>
  <c r="J3735" i="39" s="1"/>
  <c r="I3736" i="39"/>
  <c r="J3736" i="39" s="1"/>
  <c r="I3737" i="39"/>
  <c r="J3737" i="39" s="1"/>
  <c r="I3738" i="39"/>
  <c r="J3738" i="39" s="1"/>
  <c r="I3739" i="39"/>
  <c r="J3739" i="39" s="1"/>
  <c r="I3740" i="39"/>
  <c r="J3740" i="39" s="1"/>
  <c r="I3741" i="39"/>
  <c r="J3741" i="39" s="1"/>
  <c r="I3742" i="39"/>
  <c r="J3742" i="39" s="1"/>
  <c r="I3743" i="39"/>
  <c r="J3743" i="39" s="1"/>
  <c r="I3744" i="39"/>
  <c r="J3744" i="39" s="1"/>
  <c r="I3745" i="39"/>
  <c r="J3745" i="39" s="1"/>
  <c r="I3746" i="39"/>
  <c r="J3746" i="39" s="1"/>
  <c r="I3747" i="39"/>
  <c r="J3747" i="39" s="1"/>
  <c r="I3748" i="39"/>
  <c r="J3748" i="39" s="1"/>
  <c r="I3749" i="39"/>
  <c r="J3749" i="39" s="1"/>
  <c r="I3750" i="39"/>
  <c r="J3750" i="39" s="1"/>
  <c r="I3751" i="39"/>
  <c r="J3751" i="39" s="1"/>
  <c r="I3752" i="39"/>
  <c r="J3752" i="39" s="1"/>
  <c r="I3753" i="39"/>
  <c r="J3753" i="39" s="1"/>
  <c r="I3754" i="39"/>
  <c r="J3754" i="39" s="1"/>
  <c r="I3755" i="39"/>
  <c r="J3755" i="39" s="1"/>
  <c r="I3756" i="39"/>
  <c r="J3756" i="39" s="1"/>
  <c r="I3757" i="39"/>
  <c r="I3758" i="39"/>
  <c r="I3759" i="39"/>
  <c r="I3760" i="39"/>
  <c r="J3760" i="39" s="1"/>
  <c r="I3761" i="39"/>
  <c r="J3761" i="39" s="1"/>
  <c r="I3762" i="39"/>
  <c r="J3762" i="39" s="1"/>
  <c r="I3763" i="39"/>
  <c r="J3763" i="39" s="1"/>
  <c r="I3764" i="39"/>
  <c r="J3764" i="39" s="1"/>
  <c r="I3765" i="39"/>
  <c r="J3765" i="39" s="1"/>
  <c r="I3766" i="39"/>
  <c r="J3766" i="39" s="1"/>
  <c r="I3767" i="39"/>
  <c r="J3767" i="39" s="1"/>
  <c r="I3768" i="39"/>
  <c r="J3768" i="39" s="1"/>
  <c r="I3769" i="39"/>
  <c r="J3769" i="39" s="1"/>
  <c r="I3770" i="39"/>
  <c r="J3770" i="39" s="1"/>
  <c r="I3771" i="39"/>
  <c r="J3771" i="39" s="1"/>
  <c r="I3772" i="39"/>
  <c r="J3772" i="39" s="1"/>
  <c r="I3773" i="39"/>
  <c r="J3773" i="39" s="1"/>
  <c r="I3774" i="39"/>
  <c r="J3774" i="39" s="1"/>
  <c r="I3775" i="39"/>
  <c r="J3775" i="39" s="1"/>
  <c r="I3776" i="39"/>
  <c r="J3776" i="39" s="1"/>
  <c r="I3777" i="39"/>
  <c r="J3777" i="39" s="1"/>
  <c r="I3778" i="39"/>
  <c r="J3778" i="39" s="1"/>
  <c r="I3779" i="39"/>
  <c r="J3779" i="39" s="1"/>
  <c r="I3780" i="39"/>
  <c r="J3780" i="39" s="1"/>
  <c r="I3781" i="39"/>
  <c r="J3781" i="39" s="1"/>
  <c r="I3782" i="39"/>
  <c r="J3782" i="39" s="1"/>
  <c r="I3783" i="39"/>
  <c r="J3783" i="39" s="1"/>
  <c r="I3784" i="39"/>
  <c r="J3784" i="39" s="1"/>
  <c r="I3785" i="39"/>
  <c r="J3785" i="39" s="1"/>
  <c r="I3786" i="39"/>
  <c r="J3786" i="39" s="1"/>
  <c r="I3787" i="39"/>
  <c r="J3787" i="39" s="1"/>
  <c r="I3788" i="39"/>
  <c r="J3788" i="39" s="1"/>
  <c r="I3789" i="39"/>
  <c r="J3789" i="39" s="1"/>
  <c r="I3790" i="39"/>
  <c r="I3791" i="39"/>
  <c r="J3791" i="39" s="1"/>
  <c r="I3792" i="39"/>
  <c r="J3792" i="39" s="1"/>
  <c r="I3793" i="39"/>
  <c r="J3793" i="39" s="1"/>
  <c r="I3794" i="39"/>
  <c r="J3794" i="39" s="1"/>
  <c r="I3795" i="39"/>
  <c r="J3795" i="39" s="1"/>
  <c r="I3796" i="39"/>
  <c r="J3796" i="39" s="1"/>
  <c r="I3797" i="39"/>
  <c r="J3797" i="39" s="1"/>
  <c r="I3798" i="39"/>
  <c r="J3798" i="39" s="1"/>
  <c r="I3799" i="39"/>
  <c r="J3799" i="39" s="1"/>
  <c r="I3800" i="39"/>
  <c r="J3800" i="39" s="1"/>
  <c r="I3801" i="39"/>
  <c r="J3801" i="39" s="1"/>
  <c r="I3802" i="39"/>
  <c r="J3802" i="39" s="1"/>
  <c r="I3803" i="39"/>
  <c r="J3803" i="39" s="1"/>
  <c r="I3804" i="39"/>
  <c r="J3804" i="39" s="1"/>
  <c r="I3805" i="39"/>
  <c r="J3805" i="39" s="1"/>
  <c r="I3806" i="39"/>
  <c r="I3807" i="39"/>
  <c r="J3807" i="39" s="1"/>
  <c r="I3808" i="39"/>
  <c r="J3808" i="39" s="1"/>
  <c r="I3809" i="39"/>
  <c r="J3809" i="39" s="1"/>
  <c r="I3810" i="39"/>
  <c r="J3810" i="39" s="1"/>
  <c r="I3811" i="39"/>
  <c r="J3811" i="39" s="1"/>
  <c r="I3812" i="39"/>
  <c r="J3812" i="39" s="1"/>
  <c r="I3813" i="39"/>
  <c r="I3814" i="39"/>
  <c r="I3815" i="39"/>
  <c r="J3815" i="39" s="1"/>
  <c r="I3816" i="39"/>
  <c r="J3816" i="39" s="1"/>
  <c r="I3817" i="39"/>
  <c r="J3817" i="39" s="1"/>
  <c r="I3818" i="39"/>
  <c r="J3818" i="39" s="1"/>
  <c r="I3819" i="39"/>
  <c r="J3819" i="39" s="1"/>
  <c r="I3820" i="39"/>
  <c r="J3820" i="39" s="1"/>
  <c r="I3821" i="39"/>
  <c r="J3821" i="39" s="1"/>
  <c r="I3822" i="39"/>
  <c r="J3822" i="39" s="1"/>
  <c r="I3823" i="39"/>
  <c r="J3823" i="39" s="1"/>
  <c r="I3824" i="39"/>
  <c r="J3824" i="39" s="1"/>
  <c r="I3825" i="39"/>
  <c r="J3825" i="39" s="1"/>
  <c r="I3826" i="39"/>
  <c r="J3826" i="39" s="1"/>
  <c r="I3827" i="39"/>
  <c r="J3827" i="39" s="1"/>
  <c r="I3828" i="39"/>
  <c r="J3828" i="39" s="1"/>
  <c r="I3829" i="39"/>
  <c r="I3830" i="39"/>
  <c r="J3830" i="39" s="1"/>
  <c r="I3831" i="39"/>
  <c r="J3831" i="39" s="1"/>
  <c r="I3832" i="39"/>
  <c r="J3832" i="39" s="1"/>
  <c r="I3833" i="39"/>
  <c r="J3833" i="39" s="1"/>
  <c r="I3834" i="39"/>
  <c r="J3834" i="39" s="1"/>
  <c r="I3835" i="39"/>
  <c r="J3835" i="39" s="1"/>
  <c r="I3836" i="39"/>
  <c r="J3836" i="39" s="1"/>
  <c r="I3837" i="39"/>
  <c r="J3837" i="39" s="1"/>
  <c r="I3838" i="39"/>
  <c r="J3838" i="39" s="1"/>
  <c r="I3839" i="39"/>
  <c r="J3839" i="39" s="1"/>
  <c r="I3840" i="39"/>
  <c r="J3840" i="39" s="1"/>
  <c r="I3841" i="39"/>
  <c r="J3841" i="39" s="1"/>
  <c r="I3842" i="39"/>
  <c r="J3842" i="39" s="1"/>
  <c r="I3843" i="39"/>
  <c r="J3843" i="39" s="1"/>
  <c r="I3844" i="39"/>
  <c r="J3844" i="39" s="1"/>
  <c r="I3845" i="39"/>
  <c r="J3845" i="39" s="1"/>
  <c r="I3846" i="39"/>
  <c r="J3846" i="39" s="1"/>
  <c r="I3847" i="39"/>
  <c r="J3847" i="39" s="1"/>
  <c r="I3848" i="39"/>
  <c r="J3848" i="39" s="1"/>
  <c r="I3849" i="39"/>
  <c r="J3849" i="39" s="1"/>
  <c r="I3850" i="39"/>
  <c r="J3850" i="39" s="1"/>
  <c r="I3851" i="39"/>
  <c r="J3851" i="39" s="1"/>
  <c r="I3852" i="39"/>
  <c r="J3852" i="39" s="1"/>
  <c r="I3853" i="39"/>
  <c r="J3853" i="39" s="1"/>
  <c r="I3854" i="39"/>
  <c r="J3854" i="39" s="1"/>
  <c r="I3855" i="39"/>
  <c r="I3856" i="39"/>
  <c r="J3856" i="39" s="1"/>
  <c r="I3857" i="39"/>
  <c r="J3857" i="39" s="1"/>
  <c r="I3858" i="39"/>
  <c r="J3858" i="39" s="1"/>
  <c r="I3859" i="39"/>
  <c r="J3859" i="39" s="1"/>
  <c r="I3860" i="39"/>
  <c r="J3860" i="39" s="1"/>
  <c r="I3861" i="39"/>
  <c r="J3861" i="39" s="1"/>
  <c r="I3862" i="39"/>
  <c r="J3862" i="39" s="1"/>
  <c r="I3863" i="39"/>
  <c r="J3863" i="39" s="1"/>
  <c r="I3864" i="39"/>
  <c r="J3864" i="39" s="1"/>
  <c r="I3865" i="39"/>
  <c r="J3865" i="39" s="1"/>
  <c r="I3866" i="39"/>
  <c r="J3866" i="39" s="1"/>
  <c r="I3867" i="39"/>
  <c r="J3867" i="39" s="1"/>
  <c r="I3868" i="39"/>
  <c r="J3868" i="39" s="1"/>
  <c r="I3869" i="39"/>
  <c r="J3869" i="39" s="1"/>
  <c r="I3870" i="39"/>
  <c r="J3870" i="39" s="1"/>
  <c r="I3871" i="39"/>
  <c r="J3871" i="39" s="1"/>
  <c r="I3872" i="39"/>
  <c r="J3872" i="39" s="1"/>
  <c r="I3873" i="39"/>
  <c r="J3873" i="39" s="1"/>
  <c r="I3874" i="39"/>
  <c r="J3874" i="39" s="1"/>
  <c r="I3875" i="39"/>
  <c r="J3875" i="39" s="1"/>
  <c r="I3876" i="39"/>
  <c r="J3876" i="39" s="1"/>
  <c r="I3877" i="39"/>
  <c r="J3877" i="39" s="1"/>
  <c r="I3878" i="39"/>
  <c r="J3878" i="39" s="1"/>
  <c r="I3879" i="39"/>
  <c r="J3879" i="39" s="1"/>
  <c r="I3880" i="39"/>
  <c r="J3880" i="39" s="1"/>
  <c r="I3881" i="39"/>
  <c r="J3881" i="39" s="1"/>
  <c r="I3882" i="39"/>
  <c r="J3882" i="39" s="1"/>
  <c r="I3883" i="39"/>
  <c r="J3883" i="39" s="1"/>
  <c r="I3884" i="39"/>
  <c r="J3884" i="39" s="1"/>
  <c r="I3885" i="39"/>
  <c r="I3886" i="39"/>
  <c r="J3886" i="39" s="1"/>
  <c r="I3887" i="39"/>
  <c r="J3887" i="39" s="1"/>
  <c r="I3888" i="39"/>
  <c r="J3888" i="39" s="1"/>
  <c r="I3889" i="39"/>
  <c r="J3889" i="39" s="1"/>
  <c r="I3890" i="39"/>
  <c r="J3890" i="39" s="1"/>
  <c r="I3891" i="39"/>
  <c r="J3891" i="39" s="1"/>
  <c r="I3892" i="39"/>
  <c r="J3892" i="39" s="1"/>
  <c r="I3893" i="39"/>
  <c r="J3893" i="39" s="1"/>
  <c r="I3894" i="39"/>
  <c r="J3894" i="39" s="1"/>
  <c r="I3895" i="39"/>
  <c r="J3895" i="39" s="1"/>
  <c r="I3896" i="39"/>
  <c r="J3896" i="39" s="1"/>
  <c r="I3897" i="39"/>
  <c r="J3897" i="39" s="1"/>
  <c r="I3898" i="39"/>
  <c r="J3898" i="39" s="1"/>
  <c r="I3899" i="39"/>
  <c r="J3899" i="39" s="1"/>
  <c r="I3900" i="39"/>
  <c r="J3900" i="39" s="1"/>
  <c r="I3901" i="39"/>
  <c r="J3901" i="39" s="1"/>
  <c r="I3902" i="39"/>
  <c r="I3903" i="39"/>
  <c r="J3903" i="39" s="1"/>
  <c r="I3904" i="39"/>
  <c r="J3904" i="39" s="1"/>
  <c r="I3905" i="39"/>
  <c r="J3905" i="39" s="1"/>
  <c r="I3906" i="39"/>
  <c r="J3906" i="39" s="1"/>
  <c r="I3907" i="39"/>
  <c r="J3907" i="39" s="1"/>
  <c r="I3908" i="39"/>
  <c r="J3908" i="39" s="1"/>
  <c r="I3909" i="39"/>
  <c r="J3909" i="39" s="1"/>
  <c r="I3910" i="39"/>
  <c r="J3910" i="39" s="1"/>
  <c r="I3911" i="39"/>
  <c r="J3911" i="39" s="1"/>
  <c r="I3912" i="39"/>
  <c r="J3912" i="39" s="1"/>
  <c r="I3913" i="39"/>
  <c r="J3913" i="39" s="1"/>
  <c r="I3914" i="39"/>
  <c r="J3914" i="39" s="1"/>
  <c r="I3915" i="39"/>
  <c r="J3915" i="39" s="1"/>
  <c r="I3916" i="39"/>
  <c r="J3916" i="39" s="1"/>
  <c r="I3917" i="39"/>
  <c r="J3917" i="39" s="1"/>
  <c r="I3918" i="39"/>
  <c r="J3918" i="39" s="1"/>
  <c r="I3919" i="39"/>
  <c r="J3919" i="39" s="1"/>
  <c r="I3920" i="39"/>
  <c r="J3920" i="39" s="1"/>
  <c r="I3921" i="39"/>
  <c r="J3921" i="39" s="1"/>
  <c r="I3922" i="39"/>
  <c r="J3922" i="39" s="1"/>
  <c r="I3923" i="39"/>
  <c r="J3923" i="39" s="1"/>
  <c r="I3924" i="39"/>
  <c r="J3924" i="39" s="1"/>
  <c r="I3925" i="39"/>
  <c r="I3926" i="39"/>
  <c r="I3927" i="39"/>
  <c r="I3928" i="39"/>
  <c r="J3928" i="39" s="1"/>
  <c r="I3929" i="39"/>
  <c r="J3929" i="39" s="1"/>
  <c r="I3930" i="39"/>
  <c r="J3930" i="39" s="1"/>
  <c r="I3931" i="39"/>
  <c r="J3931" i="39" s="1"/>
  <c r="I3932" i="39"/>
  <c r="J3932" i="39" s="1"/>
  <c r="I3933" i="39"/>
  <c r="J3933" i="39" s="1"/>
  <c r="I3934" i="39"/>
  <c r="J3934" i="39" s="1"/>
  <c r="I3935" i="39"/>
  <c r="J3935" i="39" s="1"/>
  <c r="I3936" i="39"/>
  <c r="J3936" i="39" s="1"/>
  <c r="I3937" i="39"/>
  <c r="J3937" i="39" s="1"/>
  <c r="I3938" i="39"/>
  <c r="J3938" i="39" s="1"/>
  <c r="I3939" i="39"/>
  <c r="J3939" i="39" s="1"/>
  <c r="I3940" i="39"/>
  <c r="J3940" i="39" s="1"/>
  <c r="I3941" i="39"/>
  <c r="J3941" i="39" s="1"/>
  <c r="I3942" i="39"/>
  <c r="J3942" i="39" s="1"/>
  <c r="I3943" i="39"/>
  <c r="J3943" i="39" s="1"/>
  <c r="I3944" i="39"/>
  <c r="J3944" i="39" s="1"/>
  <c r="I3945" i="39"/>
  <c r="J3945" i="39" s="1"/>
  <c r="I3946" i="39"/>
  <c r="J3946" i="39" s="1"/>
  <c r="I3947" i="39"/>
  <c r="J3947" i="39" s="1"/>
  <c r="I3948" i="39"/>
  <c r="J3948" i="39" s="1"/>
  <c r="I3949" i="39"/>
  <c r="J3949" i="39" s="1"/>
  <c r="I3950" i="39"/>
  <c r="J3950" i="39" s="1"/>
  <c r="I3951" i="39"/>
  <c r="J3951" i="39" s="1"/>
  <c r="I3952" i="39"/>
  <c r="J3952" i="39" s="1"/>
  <c r="I3953" i="39"/>
  <c r="J3953" i="39" s="1"/>
  <c r="I3954" i="39"/>
  <c r="J3954" i="39" s="1"/>
  <c r="I3955" i="39"/>
  <c r="J3955" i="39" s="1"/>
  <c r="I3956" i="39"/>
  <c r="J3956" i="39" s="1"/>
  <c r="I3957" i="39"/>
  <c r="J3957" i="39" s="1"/>
  <c r="I3958" i="39"/>
  <c r="I3959" i="39"/>
  <c r="J3959" i="39" s="1"/>
  <c r="I3960" i="39"/>
  <c r="J3960" i="39" s="1"/>
  <c r="I3961" i="39"/>
  <c r="J3961" i="39" s="1"/>
  <c r="I3962" i="39"/>
  <c r="J3962" i="39" s="1"/>
  <c r="I3963" i="39"/>
  <c r="J3963" i="39" s="1"/>
  <c r="I3964" i="39"/>
  <c r="J3964" i="39" s="1"/>
  <c r="I3965" i="39"/>
  <c r="J3965" i="39" s="1"/>
  <c r="I3966" i="39"/>
  <c r="J3966" i="39" s="1"/>
  <c r="I3967" i="39"/>
  <c r="J3967" i="39" s="1"/>
  <c r="I3968" i="39"/>
  <c r="J3968" i="39" s="1"/>
  <c r="I3969" i="39"/>
  <c r="J3969" i="39" s="1"/>
  <c r="I3970" i="39"/>
  <c r="J3970" i="39" s="1"/>
  <c r="I3971" i="39"/>
  <c r="J3971" i="39" s="1"/>
  <c r="I3972" i="39"/>
  <c r="J3972" i="39" s="1"/>
  <c r="I3973" i="39"/>
  <c r="J3973" i="39" s="1"/>
  <c r="I3974" i="39"/>
  <c r="I3975" i="39"/>
  <c r="J3975" i="39" s="1"/>
  <c r="I3976" i="39"/>
  <c r="J3976" i="39" s="1"/>
  <c r="I3977" i="39"/>
  <c r="J3977" i="39" s="1"/>
  <c r="I3978" i="39"/>
  <c r="J3978" i="39" s="1"/>
  <c r="I3979" i="39"/>
  <c r="J3979" i="39" s="1"/>
  <c r="I3980" i="39"/>
  <c r="J3980" i="39" s="1"/>
  <c r="I3981" i="39"/>
  <c r="I3982" i="39"/>
  <c r="J3982" i="39" s="1"/>
  <c r="I3983" i="39"/>
  <c r="J3983" i="39" s="1"/>
  <c r="I3984" i="39"/>
  <c r="J3984" i="39" s="1"/>
  <c r="I3985" i="39"/>
  <c r="J3985" i="39" s="1"/>
  <c r="I3986" i="39"/>
  <c r="J3986" i="39" s="1"/>
  <c r="I3987" i="39"/>
  <c r="J3987" i="39" s="1"/>
  <c r="I3988" i="39"/>
  <c r="J3988" i="39" s="1"/>
  <c r="I3989" i="39"/>
  <c r="J3989" i="39" s="1"/>
  <c r="I3990" i="39"/>
  <c r="J3990" i="39" s="1"/>
  <c r="I3991" i="39"/>
  <c r="J3991" i="39" s="1"/>
  <c r="I3992" i="39"/>
  <c r="J3992" i="39" s="1"/>
  <c r="I3993" i="39"/>
  <c r="J3993" i="39" s="1"/>
  <c r="I3994" i="39"/>
  <c r="J3994" i="39" s="1"/>
  <c r="I3995" i="39"/>
  <c r="J3995" i="39" s="1"/>
  <c r="I3996" i="39"/>
  <c r="J3996" i="39" s="1"/>
  <c r="I3997" i="39"/>
  <c r="I3998" i="39"/>
  <c r="J3998" i="39" s="1"/>
  <c r="I3999" i="39"/>
  <c r="I4000" i="39"/>
  <c r="J4000" i="39" s="1"/>
  <c r="I4001" i="39"/>
  <c r="J4001" i="39" s="1"/>
  <c r="I4002" i="39"/>
  <c r="J4002" i="39" s="1"/>
  <c r="I4003" i="39"/>
  <c r="J4003" i="39" s="1"/>
  <c r="I4004" i="39"/>
  <c r="J4004" i="39" s="1"/>
  <c r="I4005" i="39"/>
  <c r="J4005" i="39" s="1"/>
  <c r="I4006" i="39"/>
  <c r="J4006" i="39" s="1"/>
  <c r="I4007" i="39"/>
  <c r="J4007" i="39" s="1"/>
  <c r="I4008" i="39"/>
  <c r="J4008" i="39" s="1"/>
  <c r="I4009" i="39"/>
  <c r="J4009" i="39" s="1"/>
  <c r="I4010" i="39"/>
  <c r="J4010" i="39" s="1"/>
  <c r="I4011" i="39"/>
  <c r="J4011" i="39" s="1"/>
  <c r="I4012" i="39"/>
  <c r="J4012" i="39" s="1"/>
  <c r="I4013" i="39"/>
  <c r="I4014" i="39"/>
  <c r="J4014" i="39" s="1"/>
  <c r="I4015" i="39"/>
  <c r="J4015" i="39" s="1"/>
  <c r="I4016" i="39"/>
  <c r="J4016" i="39" s="1"/>
  <c r="I4017" i="39"/>
  <c r="J4017" i="39" s="1"/>
  <c r="I4018" i="39"/>
  <c r="J4018" i="39" s="1"/>
  <c r="I4019" i="39"/>
  <c r="J4019" i="39" s="1"/>
  <c r="I4020" i="39"/>
  <c r="J4020" i="39" s="1"/>
  <c r="I4021" i="39"/>
  <c r="J4021" i="39" s="1"/>
  <c r="I4022" i="39"/>
  <c r="J4022" i="39" s="1"/>
  <c r="I4023" i="39"/>
  <c r="I4024" i="39"/>
  <c r="J4024" i="39" s="1"/>
  <c r="I4025" i="39"/>
  <c r="J4025" i="39" s="1"/>
  <c r="I4026" i="39"/>
  <c r="J4026" i="39" s="1"/>
  <c r="I4027" i="39"/>
  <c r="J4027" i="39" s="1"/>
  <c r="I4028" i="39"/>
  <c r="J4028" i="39" s="1"/>
  <c r="I4029" i="39"/>
  <c r="J4029" i="39" s="1"/>
  <c r="I4030" i="39"/>
  <c r="J4030" i="39" s="1"/>
  <c r="I4031" i="39"/>
  <c r="J4031" i="39" s="1"/>
  <c r="I4032" i="39"/>
  <c r="J4032" i="39" s="1"/>
  <c r="I4033" i="39"/>
  <c r="J4033" i="39" s="1"/>
  <c r="I4034" i="39"/>
  <c r="J4034" i="39" s="1"/>
  <c r="I4035" i="39"/>
  <c r="J4035" i="39" s="1"/>
  <c r="I4036" i="39"/>
  <c r="J4036" i="39" s="1"/>
  <c r="I4037" i="39"/>
  <c r="J4037" i="39" s="1"/>
  <c r="I4038" i="39"/>
  <c r="J4038" i="39" s="1"/>
  <c r="I4039" i="39"/>
  <c r="J4039" i="39" s="1"/>
  <c r="I4040" i="39"/>
  <c r="J4040" i="39" s="1"/>
  <c r="I4041" i="39"/>
  <c r="J4041" i="39" s="1"/>
  <c r="I4042" i="39"/>
  <c r="J4042" i="39" s="1"/>
  <c r="I4043" i="39"/>
  <c r="J4043" i="39" s="1"/>
  <c r="I4044" i="39"/>
  <c r="J4044" i="39" s="1"/>
  <c r="I4045" i="39"/>
  <c r="J4045" i="39" s="1"/>
  <c r="I4046" i="39"/>
  <c r="J4046" i="39" s="1"/>
  <c r="I4047" i="39"/>
  <c r="J4047" i="39" s="1"/>
  <c r="I4048" i="39"/>
  <c r="J4048" i="39" s="1"/>
  <c r="I4049" i="39"/>
  <c r="J4049" i="39" s="1"/>
  <c r="I4050" i="39"/>
  <c r="J4050" i="39" s="1"/>
  <c r="I4051" i="39"/>
  <c r="J4051" i="39" s="1"/>
  <c r="I4052" i="39"/>
  <c r="J4052" i="39" s="1"/>
  <c r="I4053" i="39"/>
  <c r="I4054" i="39"/>
  <c r="J4054" i="39" s="1"/>
  <c r="I4055" i="39"/>
  <c r="J4055" i="39" s="1"/>
  <c r="I4056" i="39"/>
  <c r="J4056" i="39" s="1"/>
  <c r="I4057" i="39"/>
  <c r="J4057" i="39" s="1"/>
  <c r="I4058" i="39"/>
  <c r="J4058" i="39" s="1"/>
  <c r="I4059" i="39"/>
  <c r="J4059" i="39" s="1"/>
  <c r="I4060" i="39"/>
  <c r="J4060" i="39" s="1"/>
  <c r="I4061" i="39"/>
  <c r="J4061" i="39" s="1"/>
  <c r="I4062" i="39"/>
  <c r="J4062" i="39" s="1"/>
  <c r="I4063" i="39"/>
  <c r="J4063" i="39" s="1"/>
  <c r="I4064" i="39"/>
  <c r="J4064" i="39" s="1"/>
  <c r="I4065" i="39"/>
  <c r="J4065" i="39" s="1"/>
  <c r="I4066" i="39"/>
  <c r="J4066" i="39" s="1"/>
  <c r="I4067" i="39"/>
  <c r="J4067" i="39" s="1"/>
  <c r="I4068" i="39"/>
  <c r="J4068" i="39" s="1"/>
  <c r="I4069" i="39"/>
  <c r="J4069" i="39" s="1"/>
  <c r="I4070" i="39"/>
  <c r="I4071" i="39"/>
  <c r="J4071" i="39" s="1"/>
  <c r="I4072" i="39"/>
  <c r="J4072" i="39" s="1"/>
  <c r="I4073" i="39"/>
  <c r="J4073" i="39" s="1"/>
  <c r="I4074" i="39"/>
  <c r="J4074" i="39" s="1"/>
  <c r="I4075" i="39"/>
  <c r="J4075" i="39" s="1"/>
  <c r="I4076" i="39"/>
  <c r="J4076" i="39" s="1"/>
  <c r="I4077" i="39"/>
  <c r="J4077" i="39" s="1"/>
  <c r="I4078" i="39"/>
  <c r="J4078" i="39" s="1"/>
  <c r="I4079" i="39"/>
  <c r="J4079" i="39" s="1"/>
  <c r="I4080" i="39"/>
  <c r="J4080" i="39" s="1"/>
  <c r="I4081" i="39"/>
  <c r="J4081" i="39" s="1"/>
  <c r="I4082" i="39"/>
  <c r="J4082" i="39" s="1"/>
  <c r="I4083" i="39"/>
  <c r="J4083" i="39" s="1"/>
  <c r="I4084" i="39"/>
  <c r="J4084" i="39" s="1"/>
  <c r="I4085" i="39"/>
  <c r="J4085" i="39" s="1"/>
  <c r="I4086" i="39"/>
  <c r="J4086" i="39" s="1"/>
  <c r="I4087" i="39"/>
  <c r="J4087" i="39" s="1"/>
  <c r="I4088" i="39"/>
  <c r="J4088" i="39" s="1"/>
  <c r="I4089" i="39"/>
  <c r="J4089" i="39" s="1"/>
  <c r="I4090" i="39"/>
  <c r="J4090" i="39" s="1"/>
  <c r="I4091" i="39"/>
  <c r="J4091" i="39" s="1"/>
  <c r="I4092" i="39"/>
  <c r="J4092" i="39" s="1"/>
  <c r="I4093" i="39"/>
  <c r="I4094" i="39"/>
  <c r="I4095" i="39"/>
  <c r="I4096" i="39"/>
  <c r="J4096" i="39" s="1"/>
  <c r="I4097" i="39"/>
  <c r="J4097" i="39" s="1"/>
  <c r="I4098" i="39"/>
  <c r="J4098" i="39" s="1"/>
  <c r="I4099" i="39"/>
  <c r="J4099" i="39" s="1"/>
  <c r="I4100" i="39"/>
  <c r="J4100" i="39" s="1"/>
  <c r="I4101" i="39"/>
  <c r="J4101" i="39" s="1"/>
  <c r="I4102" i="39"/>
  <c r="J4102" i="39" s="1"/>
  <c r="I4103" i="39"/>
  <c r="J4103" i="39" s="1"/>
  <c r="I4104" i="39"/>
  <c r="J4104" i="39" s="1"/>
  <c r="I4105" i="39"/>
  <c r="J4105" i="39" s="1"/>
  <c r="I4106" i="39"/>
  <c r="J4106" i="39" s="1"/>
  <c r="I4107" i="39"/>
  <c r="J4107" i="39" s="1"/>
  <c r="I4108" i="39"/>
  <c r="J4108" i="39" s="1"/>
  <c r="I4109" i="39"/>
  <c r="J4109" i="39" s="1"/>
  <c r="I4110" i="39"/>
  <c r="J4110" i="39" s="1"/>
  <c r="I4111" i="39"/>
  <c r="J4111" i="39" s="1"/>
  <c r="I4112" i="39"/>
  <c r="J4112" i="39" s="1"/>
  <c r="I4113" i="39"/>
  <c r="J4113" i="39" s="1"/>
  <c r="I4114" i="39"/>
  <c r="J4114" i="39" s="1"/>
  <c r="I4115" i="39"/>
  <c r="J4115" i="39" s="1"/>
  <c r="I4116" i="39"/>
  <c r="J4116" i="39" s="1"/>
  <c r="I4117" i="39"/>
  <c r="J4117" i="39" s="1"/>
  <c r="I4118" i="39"/>
  <c r="J4118" i="39" s="1"/>
  <c r="I4119" i="39"/>
  <c r="J4119" i="39" s="1"/>
  <c r="I4120" i="39"/>
  <c r="J4120" i="39" s="1"/>
  <c r="I4121" i="39"/>
  <c r="J4121" i="39" s="1"/>
  <c r="I4122" i="39"/>
  <c r="J4122" i="39" s="1"/>
  <c r="I4123" i="39"/>
  <c r="J4123" i="39" s="1"/>
  <c r="I4124" i="39"/>
  <c r="J4124" i="39" s="1"/>
  <c r="I4125" i="39"/>
  <c r="J4125" i="39" s="1"/>
  <c r="I4126" i="39"/>
  <c r="I4127" i="39"/>
  <c r="J4127" i="39" s="1"/>
  <c r="I4128" i="39"/>
  <c r="J4128" i="39" s="1"/>
  <c r="I4129" i="39"/>
  <c r="J4129" i="39" s="1"/>
  <c r="I4130" i="39"/>
  <c r="J4130" i="39" s="1"/>
  <c r="I4131" i="39"/>
  <c r="J4131" i="39" s="1"/>
  <c r="I4132" i="39"/>
  <c r="J4132" i="39" s="1"/>
  <c r="I4133" i="39"/>
  <c r="J4133" i="39" s="1"/>
  <c r="I4134" i="39"/>
  <c r="J4134" i="39" s="1"/>
  <c r="I4135" i="39"/>
  <c r="J4135" i="39" s="1"/>
  <c r="I4136" i="39"/>
  <c r="J4136" i="39" s="1"/>
  <c r="I4137" i="39"/>
  <c r="J4137" i="39" s="1"/>
  <c r="I4138" i="39"/>
  <c r="J4138" i="39" s="1"/>
  <c r="I4139" i="39"/>
  <c r="J4139" i="39" s="1"/>
  <c r="I4140" i="39"/>
  <c r="J4140" i="39" s="1"/>
  <c r="I4141" i="39"/>
  <c r="J4141" i="39" s="1"/>
  <c r="I4142" i="39"/>
  <c r="J4142" i="39" s="1"/>
  <c r="I4143" i="39"/>
  <c r="J4143" i="39" s="1"/>
  <c r="I4144" i="39"/>
  <c r="J4144" i="39" s="1"/>
  <c r="I4145" i="39"/>
  <c r="J4145" i="39" s="1"/>
  <c r="I4146" i="39"/>
  <c r="J4146" i="39" s="1"/>
  <c r="I4147" i="39"/>
  <c r="J4147" i="39" s="1"/>
  <c r="I4148" i="39"/>
  <c r="J4148" i="39" s="1"/>
  <c r="I4149" i="39"/>
  <c r="J4149" i="39" s="1"/>
  <c r="I4150" i="39"/>
  <c r="J4150" i="39" s="1"/>
  <c r="I4151" i="39"/>
  <c r="J4151" i="39" s="1"/>
  <c r="I4152" i="39"/>
  <c r="J4152" i="39" s="1"/>
  <c r="I4153" i="39"/>
  <c r="J4153" i="39" s="1"/>
  <c r="I4154" i="39"/>
  <c r="J4154" i="39" s="1"/>
  <c r="I4155" i="39"/>
  <c r="J4155" i="39" s="1"/>
  <c r="I4156" i="39"/>
  <c r="J4156" i="39" s="1"/>
  <c r="I4157" i="39"/>
  <c r="J4157" i="39" s="1"/>
  <c r="I4158" i="39"/>
  <c r="J4158" i="39" s="1"/>
  <c r="I4159" i="39"/>
  <c r="J4159" i="39" s="1"/>
  <c r="I4160" i="39"/>
  <c r="J4160" i="39" s="1"/>
  <c r="I4161" i="39"/>
  <c r="J4161" i="39" s="1"/>
  <c r="I4162" i="39"/>
  <c r="J4162" i="39" s="1"/>
  <c r="I4163" i="39"/>
  <c r="J4163" i="39" s="1"/>
  <c r="I4164" i="39"/>
  <c r="J4164" i="39" s="1"/>
  <c r="I4165" i="39"/>
  <c r="I4166" i="39"/>
  <c r="J4166" i="39" s="1"/>
  <c r="I4167" i="39"/>
  <c r="J4167" i="39" s="1"/>
  <c r="I4168" i="39"/>
  <c r="J4168" i="39" s="1"/>
  <c r="I4169" i="39"/>
  <c r="J4169" i="39" s="1"/>
  <c r="I4170" i="39"/>
  <c r="J4170" i="39" s="1"/>
  <c r="I4171" i="39"/>
  <c r="J4171" i="39" s="1"/>
  <c r="I4172" i="39"/>
  <c r="J4172" i="39" s="1"/>
  <c r="I4173" i="39"/>
  <c r="J4173" i="39" s="1"/>
  <c r="I4174" i="39"/>
  <c r="J4174" i="39" s="1"/>
  <c r="I4175" i="39"/>
  <c r="J4175" i="39" s="1"/>
  <c r="I4176" i="39"/>
  <c r="J4176" i="39" s="1"/>
  <c r="I4177" i="39"/>
  <c r="J4177" i="39" s="1"/>
  <c r="I4178" i="39"/>
  <c r="J4178" i="39" s="1"/>
  <c r="I4179" i="39"/>
  <c r="J4179" i="39" s="1"/>
  <c r="I4180" i="39"/>
  <c r="J4180" i="39" s="1"/>
  <c r="I4181" i="39"/>
  <c r="J4181" i="39" s="1"/>
  <c r="I4182" i="39"/>
  <c r="J4182" i="39" s="1"/>
  <c r="I4183" i="39"/>
  <c r="J4183" i="39" s="1"/>
  <c r="I4184" i="39"/>
  <c r="J4184" i="39" s="1"/>
  <c r="I4185" i="39"/>
  <c r="J4185" i="39" s="1"/>
  <c r="I4186" i="39"/>
  <c r="J4186" i="39" s="1"/>
  <c r="I4187" i="39"/>
  <c r="J4187" i="39" s="1"/>
  <c r="I4188" i="39"/>
  <c r="J4188" i="39" s="1"/>
  <c r="I4189" i="39"/>
  <c r="J4189" i="39" s="1"/>
  <c r="I4190" i="39"/>
  <c r="J4190" i="39" s="1"/>
  <c r="I4191" i="39"/>
  <c r="I4192" i="39"/>
  <c r="J4192" i="39" s="1"/>
  <c r="I4193" i="39"/>
  <c r="J4193" i="39" s="1"/>
  <c r="I4194" i="39"/>
  <c r="J4194" i="39" s="1"/>
  <c r="I4195" i="39"/>
  <c r="J4195" i="39" s="1"/>
  <c r="I4196" i="39"/>
  <c r="J4196" i="39" s="1"/>
  <c r="I4197" i="39"/>
  <c r="J4197" i="39" s="1"/>
  <c r="I4198" i="39"/>
  <c r="J4198" i="39" s="1"/>
  <c r="I4199" i="39"/>
  <c r="J4199" i="39" s="1"/>
  <c r="I4200" i="39"/>
  <c r="J4200" i="39" s="1"/>
  <c r="I4201" i="39"/>
  <c r="J4201" i="39" s="1"/>
  <c r="I4202" i="39"/>
  <c r="J4202" i="39" s="1"/>
  <c r="I4203" i="39"/>
  <c r="J4203" i="39" s="1"/>
  <c r="I4204" i="39"/>
  <c r="J4204" i="39" s="1"/>
  <c r="I4205" i="39"/>
  <c r="I4206" i="39"/>
  <c r="J4206" i="39" s="1"/>
  <c r="I4207" i="39"/>
  <c r="J4207" i="39" s="1"/>
  <c r="I4208" i="39"/>
  <c r="J4208" i="39" s="1"/>
  <c r="I4209" i="39"/>
  <c r="J4209" i="39" s="1"/>
  <c r="I4210" i="39"/>
  <c r="J4210" i="39" s="1"/>
  <c r="I4211" i="39"/>
  <c r="J4211" i="39" s="1"/>
  <c r="I4212" i="39"/>
  <c r="J4212" i="39" s="1"/>
  <c r="I4213" i="39"/>
  <c r="J4213" i="39" s="1"/>
  <c r="I4214" i="39"/>
  <c r="J4214" i="39" s="1"/>
  <c r="I4215" i="39"/>
  <c r="J4215" i="39" s="1"/>
  <c r="I4216" i="39"/>
  <c r="J4216" i="39" s="1"/>
  <c r="I4217" i="39"/>
  <c r="J4217" i="39" s="1"/>
  <c r="I4218" i="39"/>
  <c r="J4218" i="39" s="1"/>
  <c r="I4219" i="39"/>
  <c r="J4219" i="39" s="1"/>
  <c r="I4220" i="39"/>
  <c r="J4220" i="39" s="1"/>
  <c r="I4221" i="39"/>
  <c r="I4222" i="39"/>
  <c r="I4223" i="39"/>
  <c r="J4223" i="39" s="1"/>
  <c r="I4224" i="39"/>
  <c r="J4224" i="39" s="1"/>
  <c r="I4225" i="39"/>
  <c r="J4225" i="39" s="1"/>
  <c r="I4226" i="39"/>
  <c r="J4226" i="39" s="1"/>
  <c r="I4227" i="39"/>
  <c r="J4227" i="39" s="1"/>
  <c r="I4228" i="39"/>
  <c r="J4228" i="39" s="1"/>
  <c r="I4229" i="39"/>
  <c r="J4229" i="39" s="1"/>
  <c r="I4230" i="39"/>
  <c r="J4230" i="39" s="1"/>
  <c r="I4231" i="39"/>
  <c r="J4231" i="39" s="1"/>
  <c r="I4232" i="39"/>
  <c r="J4232" i="39" s="1"/>
  <c r="I4233" i="39"/>
  <c r="J4233" i="39" s="1"/>
  <c r="I4234" i="39"/>
  <c r="J4234" i="39" s="1"/>
  <c r="I4235" i="39"/>
  <c r="J4235" i="39" s="1"/>
  <c r="I4236" i="39"/>
  <c r="J4236" i="39" s="1"/>
  <c r="I4237" i="39"/>
  <c r="I4238" i="39"/>
  <c r="I4239" i="39"/>
  <c r="J4239" i="39" s="1"/>
  <c r="I4240" i="39"/>
  <c r="J4240" i="39" s="1"/>
  <c r="I4241" i="39"/>
  <c r="J4241" i="39" s="1"/>
  <c r="I4242" i="39"/>
  <c r="J4242" i="39" s="1"/>
  <c r="I4243" i="39"/>
  <c r="J4243" i="39" s="1"/>
  <c r="I4244" i="39"/>
  <c r="J4244" i="39" s="1"/>
  <c r="I4245" i="39"/>
  <c r="J4245" i="39" s="1"/>
  <c r="I4246" i="39"/>
  <c r="J4246" i="39" s="1"/>
  <c r="I4247" i="39"/>
  <c r="J4247" i="39" s="1"/>
  <c r="I4248" i="39"/>
  <c r="J4248" i="39" s="1"/>
  <c r="I4249" i="39"/>
  <c r="J4249" i="39" s="1"/>
  <c r="I4250" i="39"/>
  <c r="J4250" i="39" s="1"/>
  <c r="I4251" i="39"/>
  <c r="J4251" i="39" s="1"/>
  <c r="I4252" i="39"/>
  <c r="J4252" i="39" s="1"/>
  <c r="I4253" i="39"/>
  <c r="J4253" i="39" s="1"/>
  <c r="I4254" i="39"/>
  <c r="J4254" i="39" s="1"/>
  <c r="I4255" i="39"/>
  <c r="J4255" i="39" s="1"/>
  <c r="I4256" i="39"/>
  <c r="J4256" i="39" s="1"/>
  <c r="I4257" i="39"/>
  <c r="J4257" i="39" s="1"/>
  <c r="I4258" i="39"/>
  <c r="J4258" i="39" s="1"/>
  <c r="I4259" i="39"/>
  <c r="J4259" i="39" s="1"/>
  <c r="I4260" i="39"/>
  <c r="J4260" i="39" s="1"/>
  <c r="I4261" i="39"/>
  <c r="I4262" i="39"/>
  <c r="I4263" i="39"/>
  <c r="I4264" i="39"/>
  <c r="J4264" i="39" s="1"/>
  <c r="I4265" i="39"/>
  <c r="J4265" i="39" s="1"/>
  <c r="I4266" i="39"/>
  <c r="J4266" i="39" s="1"/>
  <c r="I4267" i="39"/>
  <c r="J4267" i="39" s="1"/>
  <c r="I4268" i="39"/>
  <c r="J4268" i="39" s="1"/>
  <c r="I4269" i="39"/>
  <c r="J4269" i="39" s="1"/>
  <c r="I4270" i="39"/>
  <c r="J4270" i="39" s="1"/>
  <c r="I4271" i="39"/>
  <c r="J4271" i="39" s="1"/>
  <c r="I4272" i="39"/>
  <c r="J4272" i="39" s="1"/>
  <c r="I4273" i="39"/>
  <c r="J4273" i="39" s="1"/>
  <c r="I4274" i="39"/>
  <c r="J4274" i="39" s="1"/>
  <c r="I4275" i="39"/>
  <c r="J4275" i="39" s="1"/>
  <c r="I4276" i="39"/>
  <c r="J4276" i="39" s="1"/>
  <c r="I4277" i="39"/>
  <c r="J4277" i="39" s="1"/>
  <c r="I4278" i="39"/>
  <c r="J4278" i="39" s="1"/>
  <c r="I4279" i="39"/>
  <c r="J4279" i="39" s="1"/>
  <c r="I4280" i="39"/>
  <c r="J4280" i="39" s="1"/>
  <c r="I4281" i="39"/>
  <c r="J4281" i="39" s="1"/>
  <c r="I4282" i="39"/>
  <c r="J4282" i="39" s="1"/>
  <c r="I4283" i="39"/>
  <c r="J4283" i="39" s="1"/>
  <c r="I4284" i="39"/>
  <c r="J4284" i="39" s="1"/>
  <c r="I4285" i="39"/>
  <c r="J4285" i="39" s="1"/>
  <c r="I4286" i="39"/>
  <c r="J4286" i="39" s="1"/>
  <c r="I4287" i="39"/>
  <c r="J4287" i="39" s="1"/>
  <c r="I4288" i="39"/>
  <c r="J4288" i="39" s="1"/>
  <c r="I4289" i="39"/>
  <c r="J4289" i="39" s="1"/>
  <c r="I4290" i="39"/>
  <c r="J4290" i="39" s="1"/>
  <c r="I4291" i="39"/>
  <c r="J4291" i="39" s="1"/>
  <c r="I4292" i="39"/>
  <c r="J4292" i="39" s="1"/>
  <c r="I4293" i="39"/>
  <c r="J4293" i="39" s="1"/>
  <c r="I4294" i="39"/>
  <c r="I4295" i="39"/>
  <c r="J4295" i="39" s="1"/>
  <c r="I4296" i="39"/>
  <c r="J4296" i="39" s="1"/>
  <c r="I4297" i="39"/>
  <c r="J4297" i="39" s="1"/>
  <c r="I4298" i="39"/>
  <c r="J4298" i="39" s="1"/>
  <c r="I4299" i="39"/>
  <c r="J4299" i="39" s="1"/>
  <c r="I4300" i="39"/>
  <c r="J4300" i="39" s="1"/>
  <c r="I4301" i="39"/>
  <c r="J4301" i="39" s="1"/>
  <c r="I4302" i="39"/>
  <c r="J4302" i="39" s="1"/>
  <c r="I4303" i="39"/>
  <c r="J4303" i="39" s="1"/>
  <c r="I4304" i="39"/>
  <c r="J4304" i="39" s="1"/>
  <c r="I4305" i="39"/>
  <c r="J4305" i="39" s="1"/>
  <c r="I4306" i="39"/>
  <c r="J4306" i="39" s="1"/>
  <c r="I4307" i="39"/>
  <c r="J4307" i="39" s="1"/>
  <c r="I4308" i="39"/>
  <c r="J4308" i="39" s="1"/>
  <c r="I4309" i="39"/>
  <c r="J4309" i="39" s="1"/>
  <c r="I4310" i="39"/>
  <c r="J4310" i="39" s="1"/>
  <c r="I4311" i="39"/>
  <c r="J4311" i="39" s="1"/>
  <c r="I4312" i="39"/>
  <c r="J4312" i="39" s="1"/>
  <c r="I4313" i="39"/>
  <c r="J4313" i="39" s="1"/>
  <c r="I4314" i="39"/>
  <c r="J4314" i="39" s="1"/>
  <c r="I4315" i="39"/>
  <c r="J4315" i="39" s="1"/>
  <c r="I4316" i="39"/>
  <c r="J4316" i="39" s="1"/>
  <c r="I4317" i="39"/>
  <c r="I4318" i="39"/>
  <c r="I4319" i="39"/>
  <c r="J4319" i="39" s="1"/>
  <c r="I4320" i="39"/>
  <c r="J4320" i="39" s="1"/>
  <c r="I4321" i="39"/>
  <c r="J4321" i="39" s="1"/>
  <c r="I4322" i="39"/>
  <c r="J4322" i="39" s="1"/>
  <c r="I4323" i="39"/>
  <c r="J4323" i="39" s="1"/>
  <c r="I4324" i="39"/>
  <c r="J4324" i="39" s="1"/>
  <c r="I4325" i="39"/>
  <c r="J4325" i="39" s="1"/>
  <c r="I4326" i="39"/>
  <c r="J4326" i="39" s="1"/>
  <c r="I4327" i="39"/>
  <c r="J4327" i="39" s="1"/>
  <c r="I4328" i="39"/>
  <c r="J4328" i="39" s="1"/>
  <c r="I4329" i="39"/>
  <c r="J4329" i="39" s="1"/>
  <c r="I4330" i="39"/>
  <c r="J4330" i="39" s="1"/>
  <c r="I4331" i="39"/>
  <c r="J4331" i="39" s="1"/>
  <c r="I4332" i="39"/>
  <c r="J4332" i="39" s="1"/>
  <c r="I4333" i="39"/>
  <c r="J4333" i="39" s="1"/>
  <c r="I4334" i="39"/>
  <c r="I4335" i="39"/>
  <c r="I4336" i="39"/>
  <c r="J4336" i="39" s="1"/>
  <c r="I4337" i="39"/>
  <c r="J4337" i="39" s="1"/>
  <c r="I4338" i="39"/>
  <c r="J4338" i="39" s="1"/>
  <c r="I4339" i="39"/>
  <c r="J4339" i="39" s="1"/>
  <c r="I4340" i="39"/>
  <c r="J4340" i="39" s="1"/>
  <c r="I4341" i="39"/>
  <c r="J4341" i="39" s="1"/>
  <c r="I4342" i="39"/>
  <c r="J4342" i="39" s="1"/>
  <c r="I4343" i="39"/>
  <c r="J4343" i="39" s="1"/>
  <c r="I4344" i="39"/>
  <c r="J4344" i="39" s="1"/>
  <c r="I4345" i="39"/>
  <c r="J4345" i="39" s="1"/>
  <c r="I4346" i="39"/>
  <c r="J4346" i="39" s="1"/>
  <c r="I4347" i="39"/>
  <c r="J4347" i="39" s="1"/>
  <c r="I4348" i="39"/>
  <c r="J4348" i="39" s="1"/>
  <c r="I4349" i="39"/>
  <c r="I4350" i="39"/>
  <c r="J4350" i="39" s="1"/>
  <c r="I4351" i="39"/>
  <c r="J4351" i="39" s="1"/>
  <c r="I4352" i="39"/>
  <c r="J4352" i="39" s="1"/>
  <c r="I4353" i="39"/>
  <c r="J4353" i="39" s="1"/>
  <c r="I4354" i="39"/>
  <c r="J4354" i="39" s="1"/>
  <c r="I4355" i="39"/>
  <c r="J4355" i="39" s="1"/>
  <c r="I4356" i="39"/>
  <c r="J4356" i="39" s="1"/>
  <c r="I4357" i="39"/>
  <c r="J4357" i="39" s="1"/>
  <c r="I4358" i="39"/>
  <c r="J4358" i="39" s="1"/>
  <c r="I4359" i="39"/>
  <c r="J4359" i="39" s="1"/>
  <c r="I4360" i="39"/>
  <c r="J4360" i="39" s="1"/>
  <c r="I4361" i="39"/>
  <c r="J4361" i="39" s="1"/>
  <c r="I4362" i="39"/>
  <c r="J4362" i="39" s="1"/>
  <c r="I4363" i="39"/>
  <c r="J4363" i="39" s="1"/>
  <c r="I4364" i="39"/>
  <c r="J4364" i="39" s="1"/>
  <c r="I4365" i="39"/>
  <c r="J4365" i="39" s="1"/>
  <c r="I4366" i="39"/>
  <c r="J4366" i="39" s="1"/>
  <c r="I4367" i="39"/>
  <c r="J4367" i="39" s="1"/>
  <c r="I4368" i="39"/>
  <c r="J4368" i="39" s="1"/>
  <c r="I4369" i="39"/>
  <c r="J4369" i="39" s="1"/>
  <c r="I4370" i="39"/>
  <c r="J4370" i="39" s="1"/>
  <c r="I4371" i="39"/>
  <c r="J4371" i="39" s="1"/>
  <c r="I4372" i="39"/>
  <c r="J4372" i="39" s="1"/>
  <c r="I4373" i="39"/>
  <c r="J4373" i="39" s="1"/>
  <c r="I4374" i="39"/>
  <c r="J4374" i="39" s="1"/>
  <c r="I4375" i="39"/>
  <c r="J4375" i="39" s="1"/>
  <c r="I4376" i="39"/>
  <c r="J4376" i="39" s="1"/>
  <c r="I4377" i="39"/>
  <c r="J4377" i="39" s="1"/>
  <c r="I4378" i="39"/>
  <c r="J4378" i="39" s="1"/>
  <c r="I4379" i="39"/>
  <c r="J4379" i="39" s="1"/>
  <c r="I4380" i="39"/>
  <c r="J4380" i="39" s="1"/>
  <c r="I4381" i="39"/>
  <c r="J4381" i="39" s="1"/>
  <c r="I4382" i="39"/>
  <c r="J4382" i="39" s="1"/>
  <c r="I4383" i="39"/>
  <c r="J4383" i="39" s="1"/>
  <c r="I4384" i="39"/>
  <c r="J4384" i="39" s="1"/>
  <c r="I4385" i="39"/>
  <c r="J4385" i="39" s="1"/>
  <c r="I4386" i="39"/>
  <c r="J4386" i="39" s="1"/>
  <c r="I4387" i="39"/>
  <c r="J4387" i="39" s="1"/>
  <c r="I4388" i="39"/>
  <c r="J4388" i="39" s="1"/>
  <c r="I4389" i="39"/>
  <c r="J4389" i="39" s="1"/>
  <c r="I4390" i="39"/>
  <c r="J4390" i="39" s="1"/>
  <c r="I4391" i="39"/>
  <c r="J4391" i="39" s="1"/>
  <c r="I4392" i="39"/>
  <c r="J4392" i="39" s="1"/>
  <c r="I4393" i="39"/>
  <c r="J4393" i="39" s="1"/>
  <c r="I4394" i="39"/>
  <c r="J4394" i="39" s="1"/>
  <c r="I4395" i="39"/>
  <c r="J4395" i="39" s="1"/>
  <c r="I4396" i="39"/>
  <c r="J4396" i="39" s="1"/>
  <c r="I4397" i="39"/>
  <c r="J4397" i="39" s="1"/>
  <c r="I4398" i="39"/>
  <c r="J4398" i="39" s="1"/>
  <c r="I4399" i="39"/>
  <c r="J4399" i="39" s="1"/>
  <c r="I4400" i="39"/>
  <c r="J4400" i="39" s="1"/>
  <c r="I4401" i="39"/>
  <c r="J4401" i="39" s="1"/>
  <c r="I4402" i="39"/>
  <c r="J4402" i="39" s="1"/>
  <c r="I4403" i="39"/>
  <c r="J4403" i="39" s="1"/>
  <c r="I4404" i="39"/>
  <c r="J4404" i="39" s="1"/>
  <c r="I4405" i="39"/>
  <c r="J4405" i="39" s="1"/>
  <c r="I4406" i="39"/>
  <c r="I4407" i="39"/>
  <c r="J4407" i="39" s="1"/>
  <c r="I4408" i="39"/>
  <c r="J4408" i="39" s="1"/>
  <c r="I4409" i="39"/>
  <c r="J4409" i="39" s="1"/>
  <c r="I4410" i="39"/>
  <c r="J4410" i="39" s="1"/>
  <c r="I4411" i="39"/>
  <c r="J4411" i="39" s="1"/>
  <c r="I4412" i="39"/>
  <c r="J4412" i="39" s="1"/>
  <c r="I4413" i="39"/>
  <c r="J4413" i="39" s="1"/>
  <c r="I4414" i="39"/>
  <c r="J4414" i="39" s="1"/>
  <c r="I4415" i="39"/>
  <c r="J4415" i="39" s="1"/>
  <c r="I4416" i="39"/>
  <c r="J4416" i="39" s="1"/>
  <c r="I4417" i="39"/>
  <c r="J4417" i="39" s="1"/>
  <c r="I4418" i="39"/>
  <c r="J4418" i="39" s="1"/>
  <c r="I4419" i="39"/>
  <c r="J4419" i="39" s="1"/>
  <c r="I4420" i="39"/>
  <c r="J4420" i="39" s="1"/>
  <c r="I4421" i="39"/>
  <c r="J4421" i="39" s="1"/>
  <c r="I4422" i="39"/>
  <c r="J4422" i="39" s="1"/>
  <c r="I4423" i="39"/>
  <c r="J4423" i="39" s="1"/>
  <c r="I4424" i="39"/>
  <c r="J4424" i="39" s="1"/>
  <c r="I4425" i="39"/>
  <c r="J4425" i="39" s="1"/>
  <c r="I4426" i="39"/>
  <c r="J4426" i="39" s="1"/>
  <c r="I4427" i="39"/>
  <c r="J4427" i="39" s="1"/>
  <c r="I4428" i="39"/>
  <c r="J4428" i="39" s="1"/>
  <c r="I4429" i="39"/>
  <c r="I4430" i="39"/>
  <c r="I4431" i="39"/>
  <c r="I4432" i="39"/>
  <c r="J4432" i="39" s="1"/>
  <c r="I4433" i="39"/>
  <c r="J4433" i="39" s="1"/>
  <c r="I4434" i="39"/>
  <c r="J4434" i="39" s="1"/>
  <c r="I4435" i="39"/>
  <c r="J4435" i="39" s="1"/>
  <c r="I4436" i="39"/>
  <c r="J4436" i="39" s="1"/>
  <c r="I4437" i="39"/>
  <c r="J4437" i="39" s="1"/>
  <c r="I4438" i="39"/>
  <c r="J4438" i="39" s="1"/>
  <c r="I4439" i="39"/>
  <c r="J4439" i="39" s="1"/>
  <c r="I4440" i="39"/>
  <c r="J4440" i="39" s="1"/>
  <c r="I4441" i="39"/>
  <c r="J4441" i="39" s="1"/>
  <c r="I4442" i="39"/>
  <c r="J4442" i="39" s="1"/>
  <c r="I4443" i="39"/>
  <c r="J4443" i="39" s="1"/>
  <c r="I4444" i="39"/>
  <c r="J4444" i="39" s="1"/>
  <c r="I4445" i="39"/>
  <c r="J4445" i="39" s="1"/>
  <c r="I4446" i="39"/>
  <c r="J4446" i="39" s="1"/>
  <c r="I4447" i="39"/>
  <c r="J4447" i="39" s="1"/>
  <c r="I4448" i="39"/>
  <c r="I4449" i="39"/>
  <c r="J4449" i="39" s="1"/>
  <c r="I4450" i="39"/>
  <c r="J4450" i="39" s="1"/>
  <c r="I4451" i="39"/>
  <c r="J4451" i="39" s="1"/>
  <c r="I4452" i="39"/>
  <c r="J4452" i="39" s="1"/>
  <c r="I4453" i="39"/>
  <c r="J4453" i="39" s="1"/>
  <c r="I4454" i="39"/>
  <c r="J4454" i="39" s="1"/>
  <c r="I4455" i="39"/>
  <c r="J4455" i="39" s="1"/>
  <c r="I4456" i="39"/>
  <c r="J4456" i="39" s="1"/>
  <c r="I4457" i="39"/>
  <c r="J4457" i="39" s="1"/>
  <c r="I4458" i="39"/>
  <c r="J4458" i="39" s="1"/>
  <c r="I4459" i="39"/>
  <c r="J4459" i="39" s="1"/>
  <c r="I4460" i="39"/>
  <c r="J4460" i="39" s="1"/>
  <c r="I4461" i="39"/>
  <c r="J4461" i="39" s="1"/>
  <c r="I4462" i="39"/>
  <c r="I4463" i="39"/>
  <c r="J4463" i="39" s="1"/>
  <c r="I4464" i="39"/>
  <c r="J4464" i="39" s="1"/>
  <c r="I4465" i="39"/>
  <c r="J4465" i="39" s="1"/>
  <c r="I4466" i="39"/>
  <c r="J4466" i="39" s="1"/>
  <c r="I4467" i="39"/>
  <c r="J4467" i="39" s="1"/>
  <c r="I4468" i="39"/>
  <c r="J4468" i="39" s="1"/>
  <c r="I4469" i="39"/>
  <c r="J4469" i="39" s="1"/>
  <c r="I4470" i="39"/>
  <c r="J4470" i="39" s="1"/>
  <c r="I4471" i="39"/>
  <c r="J4471" i="39" s="1"/>
  <c r="I4472" i="39"/>
  <c r="J4472" i="39" s="1"/>
  <c r="I4473" i="39"/>
  <c r="J4473" i="39" s="1"/>
  <c r="I4474" i="39"/>
  <c r="J4474" i="39" s="1"/>
  <c r="I4475" i="39"/>
  <c r="J4475" i="39" s="1"/>
  <c r="I4476" i="39"/>
  <c r="J4476" i="39" s="1"/>
  <c r="I4477" i="39"/>
  <c r="J4477" i="39" s="1"/>
  <c r="I4478" i="39"/>
  <c r="J4478" i="39" s="1"/>
  <c r="I4479" i="39"/>
  <c r="J4479" i="39" s="1"/>
  <c r="I4480" i="39"/>
  <c r="J4480" i="39" s="1"/>
  <c r="I4481" i="39"/>
  <c r="J4481" i="39" s="1"/>
  <c r="I4482" i="39"/>
  <c r="J4482" i="39" s="1"/>
  <c r="I4483" i="39"/>
  <c r="J4483" i="39" s="1"/>
  <c r="I4484" i="39"/>
  <c r="J4484" i="39" s="1"/>
  <c r="I4485" i="39"/>
  <c r="I4486" i="39"/>
  <c r="I4487" i="39"/>
  <c r="J4487" i="39" s="1"/>
  <c r="I4488" i="39"/>
  <c r="J4488" i="39" s="1"/>
  <c r="I4489" i="39"/>
  <c r="J4489" i="39" s="1"/>
  <c r="I4490" i="39"/>
  <c r="J4490" i="39" s="1"/>
  <c r="I4491" i="39"/>
  <c r="J4491" i="39" s="1"/>
  <c r="I4492" i="39"/>
  <c r="J4492" i="39" s="1"/>
  <c r="I4493" i="39"/>
  <c r="J4493" i="39" s="1"/>
  <c r="I4494" i="39"/>
  <c r="J4494" i="39" s="1"/>
  <c r="I4495" i="39"/>
  <c r="J4495" i="39" s="1"/>
  <c r="I4496" i="39"/>
  <c r="J4496" i="39" s="1"/>
  <c r="I4497" i="39"/>
  <c r="J4497" i="39" s="1"/>
  <c r="I4498" i="39"/>
  <c r="J4498" i="39" s="1"/>
  <c r="I4499" i="39"/>
  <c r="J4499" i="39" s="1"/>
  <c r="I4500" i="39"/>
  <c r="J4500" i="39" s="1"/>
  <c r="I4501" i="39"/>
  <c r="I4502" i="39"/>
  <c r="J4502" i="39" s="1"/>
  <c r="I4503" i="39"/>
  <c r="J4503" i="39" s="1"/>
  <c r="I4504" i="39"/>
  <c r="J4504" i="39" s="1"/>
  <c r="I4505" i="39"/>
  <c r="J4505" i="39" s="1"/>
  <c r="I4506" i="39"/>
  <c r="J4506" i="39" s="1"/>
  <c r="I4507" i="39"/>
  <c r="J4507" i="39" s="1"/>
  <c r="I4508" i="39"/>
  <c r="J4508" i="39" s="1"/>
  <c r="I4509" i="39"/>
  <c r="J4509" i="39" s="1"/>
  <c r="I4510" i="39"/>
  <c r="J4510" i="39" s="1"/>
  <c r="I4511" i="39"/>
  <c r="J4511" i="39" s="1"/>
  <c r="I4512" i="39"/>
  <c r="J4512" i="39" s="1"/>
  <c r="I4513" i="39"/>
  <c r="J4513" i="39" s="1"/>
  <c r="I4514" i="39"/>
  <c r="J4514" i="39" s="1"/>
  <c r="I4515" i="39"/>
  <c r="J4515" i="39" s="1"/>
  <c r="I4516" i="39"/>
  <c r="J4516" i="39" s="1"/>
  <c r="I4517" i="39"/>
  <c r="J4517" i="39" s="1"/>
  <c r="I4518" i="39"/>
  <c r="J4518" i="39" s="1"/>
  <c r="I4519" i="39"/>
  <c r="J4519" i="39" s="1"/>
  <c r="I4520" i="39"/>
  <c r="J4520" i="39" s="1"/>
  <c r="I4521" i="39"/>
  <c r="J4521" i="39" s="1"/>
  <c r="I4522" i="39"/>
  <c r="J4522" i="39" s="1"/>
  <c r="I4523" i="39"/>
  <c r="J4523" i="39" s="1"/>
  <c r="I4524" i="39"/>
  <c r="J4524" i="39" s="1"/>
  <c r="I4525" i="39"/>
  <c r="J4525" i="39" s="1"/>
  <c r="I4526" i="39"/>
  <c r="J4526" i="39" s="1"/>
  <c r="I4527" i="39"/>
  <c r="J4527" i="39" s="1"/>
  <c r="I4528" i="39"/>
  <c r="J4528" i="39" s="1"/>
  <c r="I4529" i="39"/>
  <c r="J4529" i="39" s="1"/>
  <c r="I4530" i="39"/>
  <c r="J4530" i="39" s="1"/>
  <c r="I4531" i="39"/>
  <c r="J4531" i="39" s="1"/>
  <c r="I4532" i="39"/>
  <c r="J4532" i="39" s="1"/>
  <c r="I4533" i="39"/>
  <c r="J4533" i="39" s="1"/>
  <c r="I4534" i="39"/>
  <c r="J4534" i="39" s="1"/>
  <c r="I4535" i="39"/>
  <c r="J4535" i="39" s="1"/>
  <c r="I4536" i="39"/>
  <c r="J4536" i="39" s="1"/>
  <c r="I4537" i="39"/>
  <c r="J4537" i="39" s="1"/>
  <c r="I4538" i="39"/>
  <c r="J4538" i="39" s="1"/>
  <c r="I4539" i="39"/>
  <c r="J4539" i="39" s="1"/>
  <c r="I4540" i="39"/>
  <c r="J4540" i="39" s="1"/>
  <c r="I4541" i="39"/>
  <c r="J4541" i="39" s="1"/>
  <c r="I4542" i="39"/>
  <c r="J4542" i="39" s="1"/>
  <c r="I4543" i="39"/>
  <c r="J4543" i="39" s="1"/>
  <c r="I4544" i="39"/>
  <c r="J4544" i="39" s="1"/>
  <c r="I4545" i="39"/>
  <c r="J4545" i="39" s="1"/>
  <c r="I4546" i="39"/>
  <c r="J4546" i="39" s="1"/>
  <c r="I4547" i="39"/>
  <c r="J4547" i="39" s="1"/>
  <c r="I4548" i="39"/>
  <c r="J4548" i="39" s="1"/>
  <c r="I4549" i="39"/>
  <c r="J4549" i="39" s="1"/>
  <c r="I4550" i="39"/>
  <c r="J4550" i="39" s="1"/>
  <c r="I4551" i="39"/>
  <c r="J4551" i="39" s="1"/>
  <c r="I4552" i="39"/>
  <c r="J4552" i="39" s="1"/>
  <c r="I4553" i="39"/>
  <c r="J4553" i="39" s="1"/>
  <c r="I4554" i="39"/>
  <c r="J4554" i="39" s="1"/>
  <c r="I4555" i="39"/>
  <c r="J4555" i="39" s="1"/>
  <c r="I4556" i="39"/>
  <c r="J4556" i="39" s="1"/>
  <c r="I4557" i="39"/>
  <c r="J4557" i="39" s="1"/>
  <c r="I4558" i="39"/>
  <c r="I4559" i="39"/>
  <c r="J4559" i="39" s="1"/>
  <c r="I4560" i="39"/>
  <c r="J4560" i="39" s="1"/>
  <c r="I4561" i="39"/>
  <c r="J4561" i="39" s="1"/>
  <c r="I4562" i="39"/>
  <c r="J4562" i="39" s="1"/>
  <c r="I4563" i="39"/>
  <c r="J4563" i="39" s="1"/>
  <c r="I4564" i="39"/>
  <c r="J4564" i="39" s="1"/>
  <c r="I4565" i="39"/>
  <c r="J4565" i="39" s="1"/>
  <c r="I4566" i="39"/>
  <c r="J4566" i="39" s="1"/>
  <c r="I4567" i="39"/>
  <c r="J4567" i="39" s="1"/>
  <c r="I4568" i="39"/>
  <c r="J4568" i="39" s="1"/>
  <c r="I4569" i="39"/>
  <c r="J4569" i="39" s="1"/>
  <c r="I4570" i="39"/>
  <c r="J4570" i="39" s="1"/>
  <c r="I4571" i="39"/>
  <c r="J4571" i="39" s="1"/>
  <c r="I4572" i="39"/>
  <c r="J4572" i="39" s="1"/>
  <c r="I4573" i="39"/>
  <c r="J4573" i="39" s="1"/>
  <c r="I4574" i="39"/>
  <c r="I4575" i="39"/>
  <c r="I4576" i="39"/>
  <c r="J4576" i="39" s="1"/>
  <c r="I4577" i="39"/>
  <c r="J4577" i="39" s="1"/>
  <c r="I4578" i="39"/>
  <c r="J4578" i="39" s="1"/>
  <c r="I4579" i="39"/>
  <c r="J4579" i="39" s="1"/>
  <c r="I4580" i="39"/>
  <c r="J4580" i="39" s="1"/>
  <c r="I4581" i="39"/>
  <c r="J4581" i="39" s="1"/>
  <c r="I4582" i="39"/>
  <c r="J4582" i="39" s="1"/>
  <c r="I4583" i="39"/>
  <c r="J4583" i="39" s="1"/>
  <c r="I4584" i="39"/>
  <c r="I4585" i="39"/>
  <c r="J4585" i="39" s="1"/>
  <c r="I4586" i="39"/>
  <c r="J4586" i="39" s="1"/>
  <c r="I4587" i="39"/>
  <c r="J4587" i="39" s="1"/>
  <c r="I4588" i="39"/>
  <c r="J4588" i="39" s="1"/>
  <c r="I4589" i="39"/>
  <c r="J4589" i="39" s="1"/>
  <c r="I4590" i="39"/>
  <c r="J4590" i="39" s="1"/>
  <c r="I4591" i="39"/>
  <c r="J4591" i="39" s="1"/>
  <c r="I4592" i="39"/>
  <c r="J4592" i="39" s="1"/>
  <c r="I4593" i="39"/>
  <c r="J4593" i="39" s="1"/>
  <c r="I4594" i="39"/>
  <c r="J4594" i="39" s="1"/>
  <c r="I4595" i="39"/>
  <c r="J4595" i="39" s="1"/>
  <c r="I4596" i="39"/>
  <c r="J4596" i="39" s="1"/>
  <c r="I4597" i="39"/>
  <c r="J4597" i="39" s="1"/>
  <c r="I4598" i="39"/>
  <c r="I4599" i="39"/>
  <c r="I4600" i="39"/>
  <c r="J4600" i="39" s="1"/>
  <c r="I4601" i="39"/>
  <c r="J4601" i="39" s="1"/>
  <c r="I4602" i="39"/>
  <c r="J4602" i="39" s="1"/>
  <c r="I4603" i="39"/>
  <c r="J4603" i="39" s="1"/>
  <c r="I4604" i="39"/>
  <c r="J4604" i="39" s="1"/>
  <c r="I4605" i="39"/>
  <c r="J4605" i="39" s="1"/>
  <c r="I4606" i="39"/>
  <c r="J4606" i="39" s="1"/>
  <c r="I4607" i="39"/>
  <c r="J4607" i="39" s="1"/>
  <c r="I4608" i="39"/>
  <c r="J4608" i="39" s="1"/>
  <c r="I4609" i="39"/>
  <c r="J4609" i="39" s="1"/>
  <c r="I4610" i="39"/>
  <c r="J4610" i="39" s="1"/>
  <c r="I4611" i="39"/>
  <c r="J4611" i="39" s="1"/>
  <c r="I4612" i="39"/>
  <c r="J4612" i="39" s="1"/>
  <c r="I4613" i="39"/>
  <c r="J4613" i="39" s="1"/>
  <c r="I4614" i="39"/>
  <c r="J4614" i="39" s="1"/>
  <c r="I4615" i="39"/>
  <c r="J4615" i="39" s="1"/>
  <c r="I4616" i="39"/>
  <c r="J4616" i="39" s="1"/>
  <c r="I4617" i="39"/>
  <c r="J4617" i="39" s="1"/>
  <c r="I4618" i="39"/>
  <c r="J4618" i="39" s="1"/>
  <c r="I4619" i="39"/>
  <c r="J4619" i="39" s="1"/>
  <c r="I4620" i="39"/>
  <c r="J4620" i="39" s="1"/>
  <c r="I4621" i="39"/>
  <c r="J4621" i="39" s="1"/>
  <c r="I4622" i="39"/>
  <c r="J4622" i="39" s="1"/>
  <c r="I4623" i="39"/>
  <c r="J4623" i="39" s="1"/>
  <c r="I4624" i="39"/>
  <c r="J4624" i="39" s="1"/>
  <c r="I4625" i="39"/>
  <c r="J4625" i="39" s="1"/>
  <c r="I4626" i="39"/>
  <c r="J4626" i="39" s="1"/>
  <c r="I4627" i="39"/>
  <c r="J4627" i="39" s="1"/>
  <c r="I4628" i="39"/>
  <c r="J4628" i="39" s="1"/>
  <c r="I4629" i="39"/>
  <c r="J4629" i="39" s="1"/>
  <c r="I4630" i="39"/>
  <c r="J4630" i="39" s="1"/>
  <c r="I4631" i="39"/>
  <c r="J4631" i="39" s="1"/>
  <c r="I4632" i="39"/>
  <c r="J4632" i="39" s="1"/>
  <c r="I4633" i="39"/>
  <c r="J4633" i="39" s="1"/>
  <c r="I4634" i="39"/>
  <c r="J4634" i="39" s="1"/>
  <c r="I4635" i="39"/>
  <c r="J4635" i="39" s="1"/>
  <c r="I4636" i="39"/>
  <c r="J4636" i="39" s="1"/>
  <c r="I4637" i="39"/>
  <c r="J4637" i="39" s="1"/>
  <c r="I4638" i="39"/>
  <c r="J4638" i="39" s="1"/>
  <c r="I4639" i="39"/>
  <c r="J4639" i="39" s="1"/>
  <c r="I4640" i="39"/>
  <c r="I4641" i="39"/>
  <c r="J4641" i="39" s="1"/>
  <c r="I4642" i="39"/>
  <c r="J4642" i="39" s="1"/>
  <c r="I4643" i="39"/>
  <c r="J4643" i="39" s="1"/>
  <c r="I4644" i="39"/>
  <c r="J4644" i="39" s="1"/>
  <c r="I4645" i="39"/>
  <c r="J4645" i="39" s="1"/>
  <c r="I4646" i="39"/>
  <c r="J4646" i="39" s="1"/>
  <c r="I4647" i="39"/>
  <c r="J4647" i="39" s="1"/>
  <c r="I4648" i="39"/>
  <c r="J4648" i="39" s="1"/>
  <c r="I4649" i="39"/>
  <c r="J4649" i="39" s="1"/>
  <c r="I4650" i="39"/>
  <c r="J4650" i="39" s="1"/>
  <c r="I4651" i="39"/>
  <c r="J4651" i="39" s="1"/>
  <c r="I4652" i="39"/>
  <c r="J4652" i="39" s="1"/>
  <c r="I4653" i="39"/>
  <c r="J4653" i="39" s="1"/>
  <c r="I4654" i="39"/>
  <c r="I4655" i="39"/>
  <c r="J4655" i="39" s="1"/>
  <c r="I4656" i="39"/>
  <c r="J4656" i="39" s="1"/>
  <c r="I4657" i="39"/>
  <c r="J4657" i="39" s="1"/>
  <c r="I4658" i="39"/>
  <c r="J4658" i="39" s="1"/>
  <c r="I4659" i="39"/>
  <c r="J4659" i="39" s="1"/>
  <c r="I4660" i="39"/>
  <c r="J4660" i="39" s="1"/>
  <c r="I4661" i="39"/>
  <c r="J4661" i="39" s="1"/>
  <c r="I4662" i="39"/>
  <c r="J4662" i="39" s="1"/>
  <c r="I4663" i="39"/>
  <c r="J4663" i="39" s="1"/>
  <c r="I4664" i="39"/>
  <c r="J4664" i="39" s="1"/>
  <c r="I4665" i="39"/>
  <c r="J4665" i="39" s="1"/>
  <c r="I4666" i="39"/>
  <c r="J4666" i="39" s="1"/>
  <c r="I4667" i="39"/>
  <c r="J4667" i="39" s="1"/>
  <c r="I4668" i="39"/>
  <c r="J4668" i="39" s="1"/>
  <c r="I4669" i="39"/>
  <c r="J4669" i="39" s="1"/>
  <c r="I4670" i="39"/>
  <c r="I4671" i="39"/>
  <c r="J4671" i="39" s="1"/>
  <c r="I4672" i="39"/>
  <c r="J4672" i="39" s="1"/>
  <c r="I4673" i="39"/>
  <c r="J4673" i="39" s="1"/>
  <c r="I4674" i="39"/>
  <c r="J4674" i="39" s="1"/>
  <c r="I4675" i="39"/>
  <c r="J4675" i="39" s="1"/>
  <c r="I4676" i="39"/>
  <c r="J4676" i="39" s="1"/>
  <c r="I4677" i="39"/>
  <c r="J4677" i="39" s="1"/>
  <c r="I4678" i="39"/>
  <c r="J4678" i="39" s="1"/>
  <c r="I4679" i="39"/>
  <c r="J4679" i="39" s="1"/>
  <c r="I4680" i="39"/>
  <c r="J4680" i="39" s="1"/>
  <c r="I4681" i="39"/>
  <c r="J4681" i="39" s="1"/>
  <c r="I4682" i="39"/>
  <c r="J4682" i="39" s="1"/>
  <c r="I4683" i="39"/>
  <c r="J4683" i="39" s="1"/>
  <c r="I4684" i="39"/>
  <c r="J4684" i="39" s="1"/>
  <c r="I4685" i="39"/>
  <c r="J4685" i="39" s="1"/>
  <c r="I4686" i="39"/>
  <c r="J4686" i="39" s="1"/>
  <c r="I4687" i="39"/>
  <c r="J4687" i="39" s="1"/>
  <c r="I4688" i="39"/>
  <c r="J4688" i="39" s="1"/>
  <c r="I4689" i="39"/>
  <c r="J4689" i="39" s="1"/>
  <c r="I4690" i="39"/>
  <c r="J4690" i="39" s="1"/>
  <c r="I4691" i="39"/>
  <c r="J4691" i="39" s="1"/>
  <c r="I4692" i="39"/>
  <c r="J4692" i="39" s="1"/>
  <c r="I4693" i="39"/>
  <c r="J4693" i="39" s="1"/>
  <c r="I4694" i="39"/>
  <c r="J4694" i="39" s="1"/>
  <c r="I4695" i="39"/>
  <c r="I4696" i="39"/>
  <c r="J4696" i="39" s="1"/>
  <c r="I4697" i="39"/>
  <c r="J4697" i="39" s="1"/>
  <c r="I4698" i="39"/>
  <c r="J4698" i="39" s="1"/>
  <c r="I4699" i="39"/>
  <c r="J4699" i="39" s="1"/>
  <c r="I4700" i="39"/>
  <c r="J4700" i="39" s="1"/>
  <c r="I4701" i="39"/>
  <c r="J4701" i="39" s="1"/>
  <c r="I4702" i="39"/>
  <c r="J4702" i="39" s="1"/>
  <c r="I4703" i="39"/>
  <c r="J4703" i="39" s="1"/>
  <c r="I4704" i="39"/>
  <c r="J4704" i="39" s="1"/>
  <c r="I4705" i="39"/>
  <c r="J4705" i="39" s="1"/>
  <c r="I4706" i="39"/>
  <c r="J4706" i="39" s="1"/>
  <c r="I4707" i="39"/>
  <c r="J4707" i="39" s="1"/>
  <c r="I4708" i="39"/>
  <c r="J4708" i="39" s="1"/>
  <c r="I4709" i="39"/>
  <c r="J4709" i="39" s="1"/>
  <c r="I4710" i="39"/>
  <c r="J4710" i="39" s="1"/>
  <c r="I4711" i="39"/>
  <c r="J4711" i="39" s="1"/>
  <c r="I4712" i="39"/>
  <c r="J4712" i="39" s="1"/>
  <c r="I4713" i="39"/>
  <c r="J4713" i="39" s="1"/>
  <c r="I4714" i="39"/>
  <c r="J4714" i="39" s="1"/>
  <c r="I4715" i="39"/>
  <c r="J4715" i="39" s="1"/>
  <c r="I4716" i="39"/>
  <c r="J4716" i="39" s="1"/>
  <c r="I4717" i="39"/>
  <c r="J4717" i="39" s="1"/>
  <c r="I4718" i="39"/>
  <c r="J4718" i="39" s="1"/>
  <c r="I4719" i="39"/>
  <c r="J4719" i="39" s="1"/>
  <c r="I4720" i="39"/>
  <c r="J4720" i="39" s="1"/>
  <c r="I4721" i="39"/>
  <c r="J4721" i="39" s="1"/>
  <c r="I4722" i="39"/>
  <c r="J4722" i="39" s="1"/>
  <c r="I4723" i="39"/>
  <c r="J4723" i="39" s="1"/>
  <c r="I4724" i="39"/>
  <c r="J4724" i="39" s="1"/>
  <c r="I4725" i="39"/>
  <c r="J4725" i="39" s="1"/>
  <c r="I4726" i="39"/>
  <c r="J4726" i="39" s="1"/>
  <c r="I4727" i="39"/>
  <c r="J4727" i="39" s="1"/>
  <c r="I4728" i="39"/>
  <c r="J4728" i="39" s="1"/>
  <c r="I4729" i="39"/>
  <c r="J4729" i="39" s="1"/>
  <c r="I4730" i="39"/>
  <c r="J4730" i="39" s="1"/>
  <c r="I4731" i="39"/>
  <c r="J4731" i="39" s="1"/>
  <c r="I4732" i="39"/>
  <c r="J4732" i="39" s="1"/>
  <c r="I4733" i="39"/>
  <c r="J4733" i="39" s="1"/>
  <c r="I4734" i="39"/>
  <c r="J4734" i="39" s="1"/>
  <c r="I4735" i="39"/>
  <c r="J4735" i="39" s="1"/>
  <c r="I4736" i="39"/>
  <c r="J4736" i="39" s="1"/>
  <c r="I4737" i="39"/>
  <c r="J4737" i="39" s="1"/>
  <c r="I4738" i="39"/>
  <c r="J4738" i="39" s="1"/>
  <c r="I4739" i="39"/>
  <c r="J4739" i="39" s="1"/>
  <c r="I4740" i="39"/>
  <c r="J4740" i="39" s="1"/>
  <c r="I4741" i="39"/>
  <c r="J4741" i="39" s="1"/>
  <c r="I4742" i="39"/>
  <c r="I4743" i="39"/>
  <c r="J4743" i="39" s="1"/>
  <c r="I4744" i="39"/>
  <c r="J4744" i="39" s="1"/>
  <c r="I4745" i="39"/>
  <c r="J4745" i="39" s="1"/>
  <c r="I4746" i="39"/>
  <c r="J4746" i="39" s="1"/>
  <c r="I4747" i="39"/>
  <c r="J4747" i="39" s="1"/>
  <c r="I4748" i="39"/>
  <c r="J4748" i="39" s="1"/>
  <c r="I4749" i="39"/>
  <c r="J4749" i="39" s="1"/>
  <c r="I4750" i="39"/>
  <c r="J4750" i="39" s="1"/>
  <c r="I4751" i="39"/>
  <c r="J4751" i="39" s="1"/>
  <c r="I4752" i="39"/>
  <c r="J4752" i="39" s="1"/>
  <c r="I4753" i="39"/>
  <c r="J4753" i="39" s="1"/>
  <c r="I4754" i="39"/>
  <c r="J4754" i="39" s="1"/>
  <c r="I4755" i="39"/>
  <c r="J4755" i="39" s="1"/>
  <c r="I4756" i="39"/>
  <c r="J4756" i="39" s="1"/>
  <c r="I4757" i="39"/>
  <c r="J4757" i="39" s="1"/>
  <c r="I4758" i="39"/>
  <c r="J4758" i="39" s="1"/>
  <c r="I4759" i="39"/>
  <c r="J4759" i="39" s="1"/>
  <c r="I4760" i="39"/>
  <c r="J4760" i="39" s="1"/>
  <c r="I4761" i="39"/>
  <c r="J4761" i="39" s="1"/>
  <c r="I4762" i="39"/>
  <c r="J4762" i="39" s="1"/>
  <c r="I4763" i="39"/>
  <c r="J4763" i="39" s="1"/>
  <c r="I4764" i="39"/>
  <c r="J4764" i="39" s="1"/>
  <c r="I4765" i="39"/>
  <c r="J4765" i="39" s="1"/>
  <c r="I4766" i="39"/>
  <c r="I4767" i="39"/>
  <c r="I4768" i="39"/>
  <c r="J4768" i="39" s="1"/>
  <c r="I4769" i="39"/>
  <c r="J4769" i="39" s="1"/>
  <c r="I4770" i="39"/>
  <c r="J4770" i="39" s="1"/>
  <c r="I4771" i="39"/>
  <c r="J4771" i="39" s="1"/>
  <c r="I4772" i="39"/>
  <c r="J4772" i="39" s="1"/>
  <c r="I4773" i="39"/>
  <c r="J4773" i="39" s="1"/>
  <c r="I4774" i="39"/>
  <c r="J4774" i="39" s="1"/>
  <c r="I4775" i="39"/>
  <c r="J4775" i="39" s="1"/>
  <c r="I4776" i="39"/>
  <c r="J4776" i="39" s="1"/>
  <c r="I4777" i="39"/>
  <c r="J4777" i="39" s="1"/>
  <c r="I4778" i="39"/>
  <c r="J4778" i="39" s="1"/>
  <c r="I4779" i="39"/>
  <c r="J4779" i="39" s="1"/>
  <c r="I4780" i="39"/>
  <c r="J4780" i="39" s="1"/>
  <c r="I4781" i="39"/>
  <c r="J4781" i="39" s="1"/>
  <c r="I4782" i="39"/>
  <c r="J4782" i="39" s="1"/>
  <c r="I4783" i="39"/>
  <c r="J4783" i="39" s="1"/>
  <c r="I4784" i="39"/>
  <c r="J4784" i="39" s="1"/>
  <c r="I4785" i="39"/>
  <c r="J4785" i="39" s="1"/>
  <c r="I4786" i="39"/>
  <c r="J4786" i="39" s="1"/>
  <c r="I4787" i="39"/>
  <c r="J4787" i="39" s="1"/>
  <c r="I4788" i="39"/>
  <c r="J4788" i="39" s="1"/>
  <c r="I4789" i="39"/>
  <c r="J4789" i="39" s="1"/>
  <c r="I4790" i="39"/>
  <c r="J4790" i="39" s="1"/>
  <c r="I4791" i="39"/>
  <c r="J4791" i="39" s="1"/>
  <c r="I4792" i="39"/>
  <c r="J4792" i="39" s="1"/>
  <c r="I4793" i="39"/>
  <c r="J4793" i="39" s="1"/>
  <c r="I4794" i="39"/>
  <c r="J4794" i="39" s="1"/>
  <c r="I4795" i="39"/>
  <c r="J4795" i="39" s="1"/>
  <c r="I4796" i="39"/>
  <c r="J4796" i="39" s="1"/>
  <c r="I4797" i="39"/>
  <c r="J4797" i="39" s="1"/>
  <c r="I4798" i="39"/>
  <c r="J4798" i="39" s="1"/>
  <c r="I4799" i="39"/>
  <c r="J4799" i="39" s="1"/>
  <c r="I4800" i="39"/>
  <c r="J4800" i="39" s="1"/>
  <c r="I4801" i="39"/>
  <c r="J4801" i="39" s="1"/>
  <c r="I4802" i="39"/>
  <c r="J4802" i="39" s="1"/>
  <c r="I4803" i="39"/>
  <c r="J4803" i="39" s="1"/>
  <c r="I4804" i="39"/>
  <c r="J4804" i="39" s="1"/>
  <c r="I4805" i="39"/>
  <c r="J4805" i="39" s="1"/>
  <c r="I4806" i="39"/>
  <c r="J4806" i="39" s="1"/>
  <c r="I4807" i="39"/>
  <c r="J4807" i="39" s="1"/>
  <c r="I4808" i="39"/>
  <c r="J4808" i="39" s="1"/>
  <c r="I4809" i="39"/>
  <c r="J4809" i="39" s="1"/>
  <c r="I4810" i="39"/>
  <c r="J4810" i="39" s="1"/>
  <c r="I4811" i="39"/>
  <c r="J4811" i="39" s="1"/>
  <c r="I4812" i="39"/>
  <c r="J4812" i="39" s="1"/>
  <c r="I4813" i="39"/>
  <c r="J4813" i="39" s="1"/>
  <c r="I4814" i="39"/>
  <c r="J4814" i="39" s="1"/>
  <c r="I4815" i="39"/>
  <c r="J4815" i="39" s="1"/>
  <c r="I4816" i="39"/>
  <c r="J4816" i="39" s="1"/>
  <c r="I4817" i="39"/>
  <c r="J4817" i="39" s="1"/>
  <c r="I4818" i="39"/>
  <c r="J4818" i="39" s="1"/>
  <c r="I4819" i="39"/>
  <c r="J4819" i="39" s="1"/>
  <c r="I4820" i="39"/>
  <c r="J4820" i="39" s="1"/>
  <c r="I4821" i="39"/>
  <c r="J4821" i="39" s="1"/>
  <c r="I4822" i="39"/>
  <c r="I4823" i="39"/>
  <c r="J4823" i="39" s="1"/>
  <c r="I4824" i="39"/>
  <c r="J4824" i="39" s="1"/>
  <c r="I4825" i="39"/>
  <c r="J4825" i="39" s="1"/>
  <c r="I4826" i="39"/>
  <c r="J4826" i="39" s="1"/>
  <c r="I4827" i="39"/>
  <c r="J4827" i="39" s="1"/>
  <c r="I4828" i="39"/>
  <c r="J4828" i="39" s="1"/>
  <c r="I4829" i="39"/>
  <c r="J4829" i="39" s="1"/>
  <c r="I4830" i="39"/>
  <c r="J4830" i="39" s="1"/>
  <c r="I4831" i="39"/>
  <c r="J4831" i="39" s="1"/>
  <c r="I4832" i="39"/>
  <c r="J4832" i="39" s="1"/>
  <c r="I4833" i="39"/>
  <c r="J4833" i="39" s="1"/>
  <c r="I4834" i="39"/>
  <c r="J4834" i="39" s="1"/>
  <c r="I4835" i="39"/>
  <c r="J4835" i="39" s="1"/>
  <c r="I4836" i="39"/>
  <c r="J4836" i="39" s="1"/>
  <c r="I4837" i="39"/>
  <c r="J4837" i="39" s="1"/>
  <c r="I4838" i="39"/>
  <c r="J4838" i="39" s="1"/>
  <c r="I4839" i="39"/>
  <c r="I4840" i="39"/>
  <c r="J4840" i="39" s="1"/>
  <c r="I4841" i="39"/>
  <c r="J4841" i="39" s="1"/>
  <c r="I4842" i="39"/>
  <c r="J4842" i="39" s="1"/>
  <c r="I4843" i="39"/>
  <c r="J4843" i="39" s="1"/>
  <c r="I4844" i="39"/>
  <c r="J4844" i="39" s="1"/>
  <c r="I4845" i="39"/>
  <c r="J4845" i="39" s="1"/>
  <c r="I4846" i="39"/>
  <c r="J4846" i="39" s="1"/>
  <c r="I4847" i="39"/>
  <c r="J4847" i="39" s="1"/>
  <c r="I4848" i="39"/>
  <c r="J4848" i="39" s="1"/>
  <c r="I4849" i="39"/>
  <c r="J4849" i="39" s="1"/>
  <c r="I4850" i="39"/>
  <c r="J4850" i="39" s="1"/>
  <c r="I4851" i="39"/>
  <c r="J4851" i="39" s="1"/>
  <c r="I4852" i="39"/>
  <c r="J4852" i="39" s="1"/>
  <c r="I4853" i="39"/>
  <c r="J4853" i="39" s="1"/>
  <c r="I4854" i="39"/>
  <c r="J4854" i="39" s="1"/>
  <c r="I4855" i="39"/>
  <c r="J4855" i="39" s="1"/>
  <c r="I4856" i="39"/>
  <c r="J4856" i="39" s="1"/>
  <c r="I4857" i="39"/>
  <c r="J4857" i="39" s="1"/>
  <c r="I4858" i="39"/>
  <c r="J4858" i="39" s="1"/>
  <c r="I4859" i="39"/>
  <c r="J4859" i="39" s="1"/>
  <c r="I4860" i="39"/>
  <c r="J4860" i="39" s="1"/>
  <c r="I4861" i="39"/>
  <c r="J4861" i="39" s="1"/>
  <c r="I4862" i="39"/>
  <c r="J4862" i="39" s="1"/>
  <c r="I4863" i="39"/>
  <c r="I4864" i="39"/>
  <c r="J4864" i="39" s="1"/>
  <c r="I4865" i="39"/>
  <c r="J4865" i="39" s="1"/>
  <c r="I4866" i="39"/>
  <c r="J4866" i="39" s="1"/>
  <c r="I4867" i="39"/>
  <c r="J4867" i="39" s="1"/>
  <c r="I4868" i="39"/>
  <c r="J4868" i="39" s="1"/>
  <c r="I4869" i="39"/>
  <c r="J4869" i="39" s="1"/>
  <c r="I4870" i="39"/>
  <c r="J4870" i="39" s="1"/>
  <c r="I4871" i="39"/>
  <c r="J4871" i="39" s="1"/>
  <c r="I4872" i="39"/>
  <c r="J4872" i="39" s="1"/>
  <c r="I4873" i="39"/>
  <c r="J4873" i="39" s="1"/>
  <c r="I4874" i="39"/>
  <c r="J4874" i="39" s="1"/>
  <c r="I4875" i="39"/>
  <c r="J4875" i="39" s="1"/>
  <c r="I4876" i="39"/>
  <c r="J4876" i="39" s="1"/>
  <c r="I4877" i="39"/>
  <c r="J4877" i="39" s="1"/>
  <c r="I4878" i="39"/>
  <c r="J4878" i="39" s="1"/>
  <c r="I4879" i="39"/>
  <c r="J4879" i="39" s="1"/>
  <c r="I4880" i="39"/>
  <c r="I4881" i="39"/>
  <c r="J4881" i="39" s="1"/>
  <c r="I4882" i="39"/>
  <c r="J4882" i="39" s="1"/>
  <c r="I4883" i="39"/>
  <c r="J4883" i="39" s="1"/>
  <c r="I4884" i="39"/>
  <c r="J4884" i="39" s="1"/>
  <c r="I4885" i="39"/>
  <c r="J4885" i="39" s="1"/>
  <c r="I4886" i="39"/>
  <c r="J4886" i="39" s="1"/>
  <c r="I4887" i="39"/>
  <c r="J4887" i="39" s="1"/>
  <c r="I4888" i="39"/>
  <c r="J4888" i="39" s="1"/>
  <c r="I4889" i="39"/>
  <c r="J4889" i="39" s="1"/>
  <c r="I4890" i="39"/>
  <c r="J4890" i="39" s="1"/>
  <c r="I4891" i="39"/>
  <c r="J4891" i="39" s="1"/>
  <c r="I4892" i="39"/>
  <c r="J4892" i="39" s="1"/>
  <c r="I4893" i="39"/>
  <c r="J4893" i="39" s="1"/>
  <c r="I4894" i="39"/>
  <c r="J4894" i="39" s="1"/>
  <c r="I4895" i="39"/>
  <c r="J4895" i="39" s="1"/>
  <c r="I4896" i="39"/>
  <c r="J4896" i="39" s="1"/>
  <c r="I4897" i="39"/>
  <c r="J4897" i="39" s="1"/>
  <c r="I4898" i="39"/>
  <c r="J4898" i="39" s="1"/>
  <c r="I4899" i="39"/>
  <c r="J4899" i="39" s="1"/>
  <c r="I4900" i="39"/>
  <c r="J4900" i="39" s="1"/>
  <c r="I4901" i="39"/>
  <c r="J4901" i="39" s="1"/>
  <c r="I4902" i="39"/>
  <c r="J4902" i="39" s="1"/>
  <c r="I4903" i="39"/>
  <c r="J4903" i="39" s="1"/>
  <c r="I4904" i="39"/>
  <c r="J4904" i="39" s="1"/>
  <c r="I4905" i="39"/>
  <c r="J4905" i="39" s="1"/>
  <c r="I4906" i="39"/>
  <c r="J4906" i="39" s="1"/>
  <c r="I4907" i="39"/>
  <c r="J4907" i="39" s="1"/>
  <c r="I4908" i="39"/>
  <c r="J4908" i="39" s="1"/>
  <c r="I4909" i="39"/>
  <c r="J4909" i="39" s="1"/>
  <c r="I4910" i="39"/>
  <c r="I4911" i="39"/>
  <c r="J4911" i="39" s="1"/>
  <c r="I4912" i="39"/>
  <c r="J4912" i="39" s="1"/>
  <c r="I4913" i="39"/>
  <c r="J4913" i="39" s="1"/>
  <c r="I4914" i="39"/>
  <c r="J4914" i="39" s="1"/>
  <c r="I4915" i="39"/>
  <c r="J4915" i="39" s="1"/>
  <c r="I4916" i="39"/>
  <c r="J4916" i="39" s="1"/>
  <c r="I4917" i="39"/>
  <c r="J4917" i="39" s="1"/>
  <c r="I4918" i="39"/>
  <c r="J4918" i="39" s="1"/>
  <c r="I4919" i="39"/>
  <c r="J4919" i="39" s="1"/>
  <c r="I4920" i="39"/>
  <c r="J4920" i="39" s="1"/>
  <c r="I4921" i="39"/>
  <c r="J4921" i="39" s="1"/>
  <c r="I4922" i="39"/>
  <c r="J4922" i="39" s="1"/>
  <c r="I4923" i="39"/>
  <c r="J4923" i="39" s="1"/>
  <c r="I4924" i="39"/>
  <c r="J4924" i="39" s="1"/>
  <c r="I4925" i="39"/>
  <c r="J4925" i="39" s="1"/>
  <c r="I4926" i="39"/>
  <c r="J4926" i="39" s="1"/>
  <c r="I4927" i="39"/>
  <c r="J4927" i="39" s="1"/>
  <c r="I4928" i="39"/>
  <c r="J4928" i="39" s="1"/>
  <c r="I4929" i="39"/>
  <c r="J4929" i="39" s="1"/>
  <c r="I4930" i="39"/>
  <c r="J4930" i="39" s="1"/>
  <c r="I4931" i="39"/>
  <c r="J4931" i="39" s="1"/>
  <c r="I4932" i="39"/>
  <c r="J4932" i="39" s="1"/>
  <c r="I4933" i="39"/>
  <c r="J4933" i="39" s="1"/>
  <c r="I4934" i="39"/>
  <c r="I4935" i="39"/>
  <c r="I4936" i="39"/>
  <c r="J4936" i="39" s="1"/>
  <c r="I4937" i="39"/>
  <c r="J4937" i="39" s="1"/>
  <c r="I4938" i="39"/>
  <c r="J4938" i="39" s="1"/>
  <c r="I4939" i="39"/>
  <c r="J4939" i="39" s="1"/>
  <c r="I4940" i="39"/>
  <c r="J4940" i="39" s="1"/>
  <c r="I4941" i="39"/>
  <c r="J4941" i="39" s="1"/>
  <c r="I4942" i="39"/>
  <c r="J4942" i="39" s="1"/>
  <c r="I4943" i="39"/>
  <c r="J4943" i="39" s="1"/>
  <c r="I4944" i="39"/>
  <c r="J4944" i="39" s="1"/>
  <c r="I4945" i="39"/>
  <c r="J4945" i="39" s="1"/>
  <c r="I4946" i="39"/>
  <c r="J4946" i="39" s="1"/>
  <c r="I4947" i="39"/>
  <c r="J4947" i="39" s="1"/>
  <c r="I4948" i="39"/>
  <c r="J4948" i="39" s="1"/>
  <c r="I4949" i="39"/>
  <c r="J4949" i="39" s="1"/>
  <c r="I4950" i="39"/>
  <c r="J4950" i="39" s="1"/>
  <c r="I4951" i="39"/>
  <c r="J4951" i="39" s="1"/>
  <c r="I4952" i="39"/>
  <c r="J4952" i="39" s="1"/>
  <c r="I4953" i="39"/>
  <c r="J4953" i="39" s="1"/>
  <c r="I4954" i="39"/>
  <c r="J4954" i="39" s="1"/>
  <c r="I4955" i="39"/>
  <c r="J4955" i="39" s="1"/>
  <c r="I4956" i="39"/>
  <c r="J4956" i="39" s="1"/>
  <c r="I4957" i="39"/>
  <c r="J4957" i="39" s="1"/>
  <c r="I4958" i="39"/>
  <c r="J4958" i="39" s="1"/>
  <c r="I4959" i="39"/>
  <c r="J4959" i="39" s="1"/>
  <c r="I4960" i="39"/>
  <c r="J4960" i="39" s="1"/>
  <c r="I4961" i="39"/>
  <c r="J4961" i="39" s="1"/>
  <c r="I4962" i="39"/>
  <c r="J4962" i="39" s="1"/>
  <c r="I4963" i="39"/>
  <c r="J4963" i="39" s="1"/>
  <c r="I4964" i="39"/>
  <c r="J4964" i="39" s="1"/>
  <c r="I4965" i="39"/>
  <c r="J4965" i="39" s="1"/>
  <c r="I4966" i="39"/>
  <c r="J4966" i="39" s="1"/>
  <c r="I4967" i="39"/>
  <c r="J4967" i="39" s="1"/>
  <c r="I4968" i="39"/>
  <c r="J4968" i="39" s="1"/>
  <c r="I4969" i="39"/>
  <c r="J4969" i="39" s="1"/>
  <c r="I4970" i="39"/>
  <c r="J4970" i="39" s="1"/>
  <c r="I4971" i="39"/>
  <c r="J4971" i="39" s="1"/>
  <c r="I4972" i="39"/>
  <c r="J4972" i="39" s="1"/>
  <c r="I4973" i="39"/>
  <c r="J4973" i="39" s="1"/>
  <c r="I4974" i="39"/>
  <c r="J4974" i="39" s="1"/>
  <c r="I4975" i="39"/>
  <c r="J4975" i="39" s="1"/>
  <c r="I4976" i="39"/>
  <c r="J4976" i="39" s="1"/>
  <c r="I4977" i="39"/>
  <c r="J4977" i="39" s="1"/>
  <c r="I4978" i="39"/>
  <c r="J4978" i="39" s="1"/>
  <c r="I4979" i="39"/>
  <c r="J4979" i="39" s="1"/>
  <c r="I4980" i="39"/>
  <c r="J4980" i="39" s="1"/>
  <c r="I4981" i="39"/>
  <c r="J4981" i="39" s="1"/>
  <c r="I4982" i="39"/>
  <c r="J4982" i="39" s="1"/>
  <c r="I4983" i="39"/>
  <c r="J4983" i="39" s="1"/>
  <c r="I4984" i="39"/>
  <c r="J4984" i="39" s="1"/>
  <c r="I4985" i="39"/>
  <c r="J4985" i="39" s="1"/>
  <c r="I4986" i="39"/>
  <c r="J4986" i="39" s="1"/>
  <c r="I4987" i="39"/>
  <c r="J4987" i="39" s="1"/>
  <c r="I4988" i="39"/>
  <c r="J4988" i="39" s="1"/>
  <c r="I4989" i="39"/>
  <c r="J4989" i="39" s="1"/>
  <c r="I4990" i="39"/>
  <c r="I4991" i="39"/>
  <c r="J4991" i="39" s="1"/>
  <c r="I4992" i="39"/>
  <c r="J4992" i="39" s="1"/>
  <c r="I4993" i="39"/>
  <c r="J4993" i="39" s="1"/>
  <c r="I4994" i="39"/>
  <c r="J4994" i="39" s="1"/>
  <c r="I4995" i="39"/>
  <c r="J4995" i="39" s="1"/>
  <c r="I4996" i="39"/>
  <c r="J4996" i="39" s="1"/>
  <c r="I4997" i="39"/>
  <c r="J4997" i="39" s="1"/>
  <c r="I4998" i="39"/>
  <c r="J4998" i="39" s="1"/>
  <c r="I4999" i="39"/>
  <c r="J4999" i="39" s="1"/>
  <c r="I5000" i="39"/>
  <c r="J5000" i="39" s="1"/>
  <c r="I5001" i="39"/>
  <c r="J5001" i="39" s="1"/>
  <c r="I5002" i="39"/>
  <c r="J5002" i="39" s="1"/>
  <c r="I5003" i="39"/>
  <c r="J5003" i="39" s="1"/>
  <c r="I5004" i="39"/>
  <c r="J5004" i="39" s="1"/>
  <c r="I5005" i="39"/>
  <c r="J5005" i="39" s="1"/>
  <c r="I5006" i="39"/>
  <c r="J5006" i="39" s="1"/>
  <c r="I5007" i="39"/>
  <c r="J5007" i="39" s="1"/>
  <c r="I5008" i="39"/>
  <c r="J5008" i="39" s="1"/>
  <c r="I5009" i="39"/>
  <c r="J5009" i="39" s="1"/>
  <c r="I5010" i="39"/>
  <c r="J5010" i="39" s="1"/>
  <c r="I5011" i="39"/>
  <c r="J5011" i="39" s="1"/>
  <c r="I5012" i="39"/>
  <c r="J5012" i="39" s="1"/>
  <c r="I5013" i="39"/>
  <c r="J5013" i="39" s="1"/>
  <c r="I5014" i="39"/>
  <c r="J5014" i="39" s="1"/>
  <c r="I5015" i="39"/>
  <c r="J5015" i="39" s="1"/>
  <c r="I5016" i="39"/>
  <c r="J5016" i="39" s="1"/>
  <c r="I5017" i="39"/>
  <c r="J5017" i="39" s="1"/>
  <c r="I5018" i="39"/>
  <c r="J5018" i="39" s="1"/>
  <c r="I5019" i="39"/>
  <c r="J5019" i="39" s="1"/>
  <c r="I5020" i="39"/>
  <c r="J5020" i="39" s="1"/>
  <c r="I5021" i="39"/>
  <c r="J5021" i="39" s="1"/>
  <c r="I5022" i="39"/>
  <c r="J5022" i="39" s="1"/>
  <c r="I5023" i="39"/>
  <c r="J5023" i="39" s="1"/>
  <c r="I5024" i="39"/>
  <c r="J5024" i="39" s="1"/>
  <c r="I5025" i="39"/>
  <c r="J5025" i="39" s="1"/>
  <c r="I5026" i="39"/>
  <c r="J5026" i="39" s="1"/>
  <c r="I5027" i="39"/>
  <c r="J5027" i="39" s="1"/>
  <c r="I5028" i="39"/>
  <c r="J5028" i="39" s="1"/>
  <c r="I5029" i="39"/>
  <c r="J5029" i="39" s="1"/>
  <c r="I5030" i="39"/>
  <c r="J5030" i="39" s="1"/>
  <c r="I5031" i="39"/>
  <c r="I5032" i="39"/>
  <c r="J5032" i="39" s="1"/>
  <c r="I5033" i="39"/>
  <c r="J5033" i="39" s="1"/>
  <c r="I5034" i="39"/>
  <c r="J5034" i="39" s="1"/>
  <c r="I5035" i="39"/>
  <c r="J5035" i="39" s="1"/>
  <c r="I5036" i="39"/>
  <c r="J5036" i="39" s="1"/>
  <c r="I5037" i="39"/>
  <c r="J5037" i="39" s="1"/>
  <c r="I5038" i="39"/>
  <c r="J5038" i="39" s="1"/>
  <c r="I5039" i="39"/>
  <c r="J5039" i="39" s="1"/>
  <c r="I5040" i="39"/>
  <c r="J5040" i="39" s="1"/>
  <c r="I5041" i="39"/>
  <c r="J5041" i="39" s="1"/>
  <c r="I5042" i="39"/>
  <c r="J5042" i="39" s="1"/>
  <c r="I5043" i="39"/>
  <c r="J5043" i="39" s="1"/>
  <c r="I5044" i="39"/>
  <c r="J5044" i="39" s="1"/>
  <c r="I5045" i="39"/>
  <c r="J5045" i="39" s="1"/>
  <c r="I5046" i="39"/>
  <c r="J5046" i="39" s="1"/>
  <c r="I5047" i="39"/>
  <c r="J5047" i="39" s="1"/>
  <c r="I5048" i="39"/>
  <c r="I5049" i="39"/>
  <c r="J5049" i="39" s="1"/>
  <c r="I5050" i="39"/>
  <c r="J5050" i="39" s="1"/>
  <c r="I5051" i="39"/>
  <c r="J5051" i="39" s="1"/>
  <c r="I5052" i="39"/>
  <c r="J5052" i="39" s="1"/>
  <c r="I5053" i="39"/>
  <c r="J5053" i="39" s="1"/>
  <c r="I5054" i="39"/>
  <c r="J5054" i="39" s="1"/>
  <c r="I5055" i="39"/>
  <c r="J5055" i="39" s="1"/>
  <c r="I5056" i="39"/>
  <c r="J5056" i="39" s="1"/>
  <c r="I5057" i="39"/>
  <c r="J5057" i="39" s="1"/>
  <c r="I5058" i="39"/>
  <c r="J5058" i="39" s="1"/>
  <c r="I5059" i="39"/>
  <c r="J5059" i="39" s="1"/>
  <c r="I5060" i="39"/>
  <c r="J5060" i="39" s="1"/>
  <c r="I5061" i="39"/>
  <c r="J5061" i="39" s="1"/>
  <c r="I5062" i="39"/>
  <c r="I5063" i="39"/>
  <c r="J5063" i="39" s="1"/>
  <c r="I5064" i="39"/>
  <c r="J5064" i="39" s="1"/>
  <c r="I5065" i="39"/>
  <c r="J5065" i="39" s="1"/>
  <c r="I5066" i="39"/>
  <c r="J5066" i="39" s="1"/>
  <c r="I5067" i="39"/>
  <c r="J5067" i="39" s="1"/>
  <c r="I5068" i="39"/>
  <c r="J5068" i="39" s="1"/>
  <c r="I5069" i="39"/>
  <c r="J5069" i="39" s="1"/>
  <c r="I5070" i="39"/>
  <c r="J5070" i="39" s="1"/>
  <c r="I5071" i="39"/>
  <c r="J5071" i="39" s="1"/>
  <c r="I5072" i="39"/>
  <c r="J5072" i="39" s="1"/>
  <c r="I5073" i="39"/>
  <c r="J5073" i="39" s="1"/>
  <c r="I5074" i="39"/>
  <c r="J5074" i="39" s="1"/>
  <c r="I5075" i="39"/>
  <c r="J5075" i="39" s="1"/>
  <c r="I5076" i="39"/>
  <c r="J5076" i="39" s="1"/>
  <c r="I5077" i="39"/>
  <c r="J5077" i="39" s="1"/>
  <c r="I5078" i="39"/>
  <c r="J5078" i="39" s="1"/>
  <c r="I5079" i="39"/>
  <c r="J5079" i="39" s="1"/>
  <c r="I5080" i="39"/>
  <c r="J5080" i="39" s="1"/>
  <c r="I5081" i="39"/>
  <c r="J5081" i="39" s="1"/>
  <c r="I5082" i="39"/>
  <c r="J5082" i="39" s="1"/>
  <c r="I5083" i="39"/>
  <c r="J5083" i="39" s="1"/>
  <c r="I5084" i="39"/>
  <c r="J5084" i="39" s="1"/>
  <c r="I5085" i="39"/>
  <c r="J5085" i="39" s="1"/>
  <c r="I5086" i="39"/>
  <c r="J5086" i="39" s="1"/>
  <c r="I5087" i="39"/>
  <c r="J5087" i="39" s="1"/>
  <c r="I5088" i="39"/>
  <c r="J5088" i="39" s="1"/>
  <c r="I5089" i="39"/>
  <c r="J5089" i="39" s="1"/>
  <c r="I5090" i="39"/>
  <c r="J5090" i="39" s="1"/>
  <c r="I5091" i="39"/>
  <c r="J5091" i="39" s="1"/>
  <c r="I5092" i="39"/>
  <c r="J5092" i="39" s="1"/>
  <c r="I5093" i="39"/>
  <c r="J5093" i="39" s="1"/>
  <c r="I5094" i="39"/>
  <c r="J5094" i="39" s="1"/>
  <c r="I5095" i="39"/>
  <c r="J5095" i="39" s="1"/>
  <c r="I5096" i="39"/>
  <c r="J5096" i="39" s="1"/>
  <c r="I5097" i="39"/>
  <c r="J5097" i="39" s="1"/>
  <c r="I5098" i="39"/>
  <c r="J5098" i="39" s="1"/>
  <c r="I5099" i="39"/>
  <c r="J5099" i="39" s="1"/>
  <c r="I5100" i="39"/>
  <c r="J5100" i="39" s="1"/>
  <c r="I5101" i="39"/>
  <c r="J5101" i="39" s="1"/>
  <c r="I5102" i="39"/>
  <c r="I5103" i="39"/>
  <c r="I5104" i="39"/>
  <c r="J5104" i="39" s="1"/>
  <c r="I5105" i="39"/>
  <c r="J5105" i="39" s="1"/>
  <c r="I5106" i="39"/>
  <c r="J5106" i="39" s="1"/>
  <c r="I5107" i="39"/>
  <c r="J5107" i="39" s="1"/>
  <c r="I5108" i="39"/>
  <c r="J5108" i="39" s="1"/>
  <c r="I5109" i="39"/>
  <c r="J5109" i="39" s="1"/>
  <c r="I5110" i="39"/>
  <c r="J5110" i="39" s="1"/>
  <c r="I5111" i="39"/>
  <c r="J5111" i="39" s="1"/>
  <c r="I5112" i="39"/>
  <c r="J5112" i="39" s="1"/>
  <c r="I5113" i="39"/>
  <c r="J5113" i="39" s="1"/>
  <c r="I5114" i="39"/>
  <c r="J5114" i="39" s="1"/>
  <c r="I5115" i="39"/>
  <c r="J5115" i="39" s="1"/>
  <c r="I5116" i="39"/>
  <c r="J5116" i="39" s="1"/>
  <c r="I5117" i="39"/>
  <c r="J5117" i="39" s="1"/>
  <c r="I5118" i="39"/>
  <c r="J5118" i="39" s="1"/>
  <c r="I5119" i="39"/>
  <c r="J5119" i="39" s="1"/>
  <c r="I5120" i="39"/>
  <c r="J5120" i="39" s="1"/>
  <c r="I5121" i="39"/>
  <c r="J5121" i="39" s="1"/>
  <c r="I5122" i="39"/>
  <c r="J5122" i="39" s="1"/>
  <c r="I5123" i="39"/>
  <c r="J5123" i="39" s="1"/>
  <c r="I5124" i="39"/>
  <c r="J5124" i="39" s="1"/>
  <c r="I5125" i="39"/>
  <c r="J5125" i="39" s="1"/>
  <c r="I5126" i="39"/>
  <c r="J5126" i="39" s="1"/>
  <c r="I5127" i="39"/>
  <c r="J5127" i="39" s="1"/>
  <c r="I5128" i="39"/>
  <c r="J5128" i="39" s="1"/>
  <c r="I5129" i="39"/>
  <c r="J5129" i="39" s="1"/>
  <c r="I5130" i="39"/>
  <c r="J5130" i="39" s="1"/>
  <c r="I5131" i="39"/>
  <c r="J5131" i="39" s="1"/>
  <c r="I5132" i="39"/>
  <c r="J5132" i="39" s="1"/>
  <c r="I5133" i="39"/>
  <c r="J5133" i="39" s="1"/>
  <c r="I5134" i="39"/>
  <c r="J5134" i="39" s="1"/>
  <c r="I5135" i="39"/>
  <c r="J5135" i="39" s="1"/>
  <c r="I5136" i="39"/>
  <c r="J5136" i="39" s="1"/>
  <c r="I5137" i="39"/>
  <c r="J5137" i="39" s="1"/>
  <c r="I5138" i="39"/>
  <c r="J5138" i="39" s="1"/>
  <c r="I5139" i="39"/>
  <c r="J5139" i="39" s="1"/>
  <c r="I5140" i="39"/>
  <c r="J5140" i="39" s="1"/>
  <c r="I5141" i="39"/>
  <c r="J5141" i="39" s="1"/>
  <c r="I5142" i="39"/>
  <c r="J5142" i="39" s="1"/>
  <c r="I5143" i="39"/>
  <c r="J5143" i="39" s="1"/>
  <c r="I5144" i="39"/>
  <c r="J5144" i="39" s="1"/>
  <c r="I5145" i="39"/>
  <c r="J5145" i="39" s="1"/>
  <c r="I5146" i="39"/>
  <c r="J5146" i="39" s="1"/>
  <c r="I5147" i="39"/>
  <c r="J5147" i="39" s="1"/>
  <c r="I5148" i="39"/>
  <c r="J5148" i="39" s="1"/>
  <c r="I5149" i="39"/>
  <c r="J5149" i="39" s="1"/>
  <c r="I5150" i="39"/>
  <c r="J5150" i="39" s="1"/>
  <c r="I5151" i="39"/>
  <c r="I5152" i="39"/>
  <c r="J5152" i="39" s="1"/>
  <c r="I5153" i="39"/>
  <c r="J5153" i="39" s="1"/>
  <c r="I5154" i="39"/>
  <c r="J5154" i="39" s="1"/>
  <c r="I5155" i="39"/>
  <c r="J5155" i="39" s="1"/>
  <c r="I5156" i="39"/>
  <c r="J5156" i="39" s="1"/>
  <c r="I5157" i="39"/>
  <c r="J5157" i="39" s="1"/>
  <c r="I5158" i="39"/>
  <c r="J5158" i="39" s="1"/>
  <c r="I5159" i="39"/>
  <c r="J5159" i="39" s="1"/>
  <c r="I5160" i="39"/>
  <c r="J5160" i="39" s="1"/>
  <c r="I5161" i="39"/>
  <c r="J5161" i="39" s="1"/>
  <c r="I5162" i="39"/>
  <c r="J5162" i="39" s="1"/>
  <c r="I5163" i="39"/>
  <c r="J5163" i="39" s="1"/>
  <c r="I5164" i="39"/>
  <c r="J5164" i="39" s="1"/>
  <c r="I5165" i="39"/>
  <c r="J5165" i="39" s="1"/>
  <c r="I5166" i="39"/>
  <c r="J5166" i="39" s="1"/>
  <c r="I5167" i="39"/>
  <c r="J5167" i="39" s="1"/>
  <c r="I5168" i="39"/>
  <c r="J5168" i="39" s="1"/>
  <c r="I5169" i="39"/>
  <c r="J5169" i="39" s="1"/>
  <c r="I5170" i="39"/>
  <c r="J5170" i="39" s="1"/>
  <c r="I5171" i="39"/>
  <c r="J5171" i="39" s="1"/>
  <c r="I5172" i="39"/>
  <c r="J5172" i="39" s="1"/>
  <c r="I5173" i="39"/>
  <c r="J5173" i="39" s="1"/>
  <c r="I5174" i="39"/>
  <c r="I5175" i="39"/>
  <c r="I5176" i="39"/>
  <c r="J5176" i="39" s="1"/>
  <c r="I5177" i="39"/>
  <c r="J5177" i="39" s="1"/>
  <c r="I5178" i="39"/>
  <c r="J5178" i="39" s="1"/>
  <c r="I5179" i="39"/>
  <c r="J5179" i="39" s="1"/>
  <c r="I5180" i="39"/>
  <c r="J5180" i="39" s="1"/>
  <c r="I5181" i="39"/>
  <c r="J5181" i="39" s="1"/>
  <c r="I5182" i="39"/>
  <c r="J5182" i="39" s="1"/>
  <c r="I5183" i="39"/>
  <c r="J5183" i="39" s="1"/>
  <c r="I5184" i="39"/>
  <c r="J5184" i="39" s="1"/>
  <c r="I5185" i="39"/>
  <c r="J5185" i="39" s="1"/>
  <c r="I5186" i="39"/>
  <c r="J5186" i="39" s="1"/>
  <c r="I5187" i="39"/>
  <c r="J5187" i="39" s="1"/>
  <c r="I5188" i="39"/>
  <c r="J5188" i="39" s="1"/>
  <c r="I5189" i="39"/>
  <c r="J5189" i="39" s="1"/>
  <c r="I5190" i="39"/>
  <c r="J5190" i="39" s="1"/>
  <c r="I5191" i="39"/>
  <c r="J5191" i="39" s="1"/>
  <c r="I5192" i="39"/>
  <c r="J5192" i="39" s="1"/>
  <c r="I5193" i="39"/>
  <c r="J5193" i="39" s="1"/>
  <c r="I5194" i="39"/>
  <c r="J5194" i="39" s="1"/>
  <c r="I5195" i="39"/>
  <c r="J5195" i="39" s="1"/>
  <c r="I5196" i="39"/>
  <c r="J5196" i="39" s="1"/>
  <c r="I5197" i="39"/>
  <c r="J5197" i="39" s="1"/>
  <c r="I5198" i="39"/>
  <c r="J5198" i="39" s="1"/>
  <c r="I5199" i="39"/>
  <c r="I5200" i="39"/>
  <c r="J5200" i="39" s="1"/>
  <c r="I5201" i="39"/>
  <c r="J5201" i="39" s="1"/>
  <c r="I5202" i="39"/>
  <c r="J5202" i="39" s="1"/>
  <c r="I5203" i="39"/>
  <c r="J5203" i="39" s="1"/>
  <c r="I5204" i="39"/>
  <c r="J5204" i="39" s="1"/>
  <c r="I5205" i="39"/>
  <c r="J5205" i="39" s="1"/>
  <c r="I5206" i="39"/>
  <c r="J5206" i="39" s="1"/>
  <c r="I5207" i="39"/>
  <c r="J5207" i="39" s="1"/>
  <c r="I5208" i="39"/>
  <c r="J5208" i="39" s="1"/>
  <c r="I5209" i="39"/>
  <c r="J5209" i="39" s="1"/>
  <c r="I5210" i="39"/>
  <c r="J5210" i="39" s="1"/>
  <c r="I5211" i="39"/>
  <c r="J5211" i="39" s="1"/>
  <c r="I5212" i="39"/>
  <c r="J5212" i="39" s="1"/>
  <c r="I5213" i="39"/>
  <c r="J5213" i="39" s="1"/>
  <c r="I5214" i="39"/>
  <c r="J5214" i="39" s="1"/>
  <c r="I5215" i="39"/>
  <c r="J5215" i="39" s="1"/>
  <c r="I5216" i="39"/>
  <c r="J5216" i="39" s="1"/>
  <c r="I5217" i="39"/>
  <c r="J5217" i="39" s="1"/>
  <c r="I5218" i="39"/>
  <c r="J5218" i="39" s="1"/>
  <c r="I5219" i="39"/>
  <c r="J5219" i="39" s="1"/>
  <c r="I5220" i="39"/>
  <c r="J5220" i="39" s="1"/>
  <c r="I5221" i="39"/>
  <c r="J5221" i="39" s="1"/>
  <c r="I5222" i="39"/>
  <c r="J5222" i="39" s="1"/>
  <c r="I5223" i="39"/>
  <c r="J5223" i="39" s="1"/>
  <c r="I5224" i="39"/>
  <c r="J5224" i="39" s="1"/>
  <c r="I5225" i="39"/>
  <c r="J5225" i="39" s="1"/>
  <c r="I5226" i="39"/>
  <c r="J5226" i="39" s="1"/>
  <c r="I5227" i="39"/>
  <c r="J5227" i="39" s="1"/>
  <c r="I5228" i="39"/>
  <c r="J5228" i="39" s="1"/>
  <c r="I5229" i="39"/>
  <c r="J5229" i="39" s="1"/>
  <c r="I5230" i="39"/>
  <c r="J5230" i="39" s="1"/>
  <c r="I5231" i="39"/>
  <c r="J5231" i="39" s="1"/>
  <c r="I5232" i="39"/>
  <c r="J5232" i="39" s="1"/>
  <c r="I5233" i="39"/>
  <c r="J5233" i="39" s="1"/>
  <c r="I5234" i="39"/>
  <c r="J5234" i="39" s="1"/>
  <c r="I5235" i="39"/>
  <c r="J5235" i="39" s="1"/>
  <c r="I5236" i="39"/>
  <c r="J5236" i="39" s="1"/>
  <c r="I5237" i="39"/>
  <c r="J5237" i="39" s="1"/>
  <c r="I5238" i="39"/>
  <c r="J5238" i="39" s="1"/>
  <c r="I5239" i="39"/>
  <c r="J5239" i="39" s="1"/>
  <c r="I5240" i="39"/>
  <c r="J5240" i="39" s="1"/>
  <c r="I5241" i="39"/>
  <c r="J5241" i="39" s="1"/>
  <c r="I5242" i="39"/>
  <c r="J5242" i="39" s="1"/>
  <c r="I5243" i="39"/>
  <c r="J5243" i="39" s="1"/>
  <c r="I5244" i="39"/>
  <c r="J5244" i="39" s="1"/>
  <c r="I5245" i="39"/>
  <c r="J5245" i="39" s="1"/>
  <c r="I5246" i="39"/>
  <c r="I5247" i="39"/>
  <c r="J5247" i="39" s="1"/>
  <c r="I5248" i="39"/>
  <c r="I5249" i="39"/>
  <c r="J5249" i="39" s="1"/>
  <c r="I5250" i="39"/>
  <c r="J5250" i="39" s="1"/>
  <c r="I5251" i="39"/>
  <c r="J5251" i="39" s="1"/>
  <c r="I5252" i="39"/>
  <c r="J5252" i="39" s="1"/>
  <c r="I5253" i="39"/>
  <c r="J5253" i="39" s="1"/>
  <c r="I5254" i="39"/>
  <c r="J5254" i="39" s="1"/>
  <c r="I5255" i="39"/>
  <c r="J5255" i="39" s="1"/>
  <c r="I5256" i="39"/>
  <c r="J5256" i="39" s="1"/>
  <c r="I5257" i="39"/>
  <c r="J5257" i="39" s="1"/>
  <c r="I5258" i="39"/>
  <c r="J5258" i="39" s="1"/>
  <c r="I5259" i="39"/>
  <c r="J5259" i="39" s="1"/>
  <c r="I5260" i="39"/>
  <c r="J5260" i="39" s="1"/>
  <c r="I5261" i="39"/>
  <c r="J5261" i="39" s="1"/>
  <c r="I5262" i="39"/>
  <c r="J5262" i="39" s="1"/>
  <c r="I5263" i="39"/>
  <c r="J5263" i="39" s="1"/>
  <c r="I5264" i="39"/>
  <c r="J5264" i="39" s="1"/>
  <c r="I5265" i="39"/>
  <c r="J5265" i="39" s="1"/>
  <c r="I5266" i="39"/>
  <c r="J5266" i="39" s="1"/>
  <c r="I5267" i="39"/>
  <c r="J5267" i="39" s="1"/>
  <c r="I5268" i="39"/>
  <c r="J5268" i="39" s="1"/>
  <c r="I5269" i="39"/>
  <c r="J5269" i="39" s="1"/>
  <c r="I5270" i="39"/>
  <c r="I5271" i="39"/>
  <c r="I5272" i="39"/>
  <c r="J5272" i="39" s="1"/>
  <c r="I5273" i="39"/>
  <c r="J5273" i="39" s="1"/>
  <c r="I5274" i="39"/>
  <c r="J5274" i="39" s="1"/>
  <c r="I5275" i="39"/>
  <c r="J5275" i="39" s="1"/>
  <c r="I5276" i="39"/>
  <c r="J5276" i="39" s="1"/>
  <c r="I5277" i="39"/>
  <c r="J5277" i="39" s="1"/>
  <c r="I5278" i="39"/>
  <c r="J5278" i="39" s="1"/>
  <c r="I5279" i="39"/>
  <c r="J5279" i="39" s="1"/>
  <c r="I5280" i="39"/>
  <c r="J5280" i="39" s="1"/>
  <c r="I5281" i="39"/>
  <c r="J5281" i="39" s="1"/>
  <c r="I5282" i="39"/>
  <c r="J5282" i="39" s="1"/>
  <c r="I5283" i="39"/>
  <c r="J5283" i="39" s="1"/>
  <c r="I5284" i="39"/>
  <c r="J5284" i="39" s="1"/>
  <c r="I5285" i="39"/>
  <c r="J5285" i="39" s="1"/>
  <c r="I5286" i="39"/>
  <c r="J5286" i="39" s="1"/>
  <c r="I5287" i="39"/>
  <c r="J5287" i="39" s="1"/>
  <c r="I5288" i="39"/>
  <c r="J5288" i="39" s="1"/>
  <c r="I5289" i="39"/>
  <c r="J5289" i="39" s="1"/>
  <c r="I5290" i="39"/>
  <c r="J5290" i="39" s="1"/>
  <c r="I5291" i="39"/>
  <c r="J5291" i="39" s="1"/>
  <c r="I5292" i="39"/>
  <c r="J5292" i="39" s="1"/>
  <c r="I5293" i="39"/>
  <c r="J5293" i="39" s="1"/>
  <c r="I5294" i="39"/>
  <c r="J5294" i="39" s="1"/>
  <c r="I5295" i="39"/>
  <c r="J5295" i="39" s="1"/>
  <c r="I5296" i="39"/>
  <c r="J5296" i="39" s="1"/>
  <c r="I5297" i="39"/>
  <c r="J5297" i="39" s="1"/>
  <c r="I5298" i="39"/>
  <c r="J5298" i="39" s="1"/>
  <c r="I5299" i="39"/>
  <c r="J5299" i="39" s="1"/>
  <c r="I5300" i="39"/>
  <c r="J5300" i="39" s="1"/>
  <c r="I5301" i="39"/>
  <c r="J5301" i="39" s="1"/>
  <c r="I5302" i="39"/>
  <c r="J5302" i="39" s="1"/>
  <c r="I5303" i="39"/>
  <c r="J5303" i="39" s="1"/>
  <c r="I5304" i="39"/>
  <c r="J5304" i="39" s="1"/>
  <c r="I5305" i="39"/>
  <c r="J5305" i="39" s="1"/>
  <c r="I5306" i="39"/>
  <c r="J5306" i="39" s="1"/>
  <c r="I5307" i="39"/>
  <c r="J5307" i="39" s="1"/>
  <c r="I5308" i="39"/>
  <c r="J5308" i="39" s="1"/>
  <c r="I5309" i="39"/>
  <c r="J5309" i="39" s="1"/>
  <c r="I5310" i="39"/>
  <c r="J5310" i="39" s="1"/>
  <c r="I5311" i="39"/>
  <c r="J5311" i="39" s="1"/>
  <c r="I5312" i="39"/>
  <c r="J5312" i="39" s="1"/>
  <c r="I5313" i="39"/>
  <c r="J5313" i="39" s="1"/>
  <c r="I5314" i="39"/>
  <c r="J5314" i="39" s="1"/>
  <c r="I5315" i="39"/>
  <c r="J5315" i="39" s="1"/>
  <c r="I5316" i="39"/>
  <c r="J5316" i="39" s="1"/>
  <c r="I5317" i="39"/>
  <c r="J5317" i="39" s="1"/>
  <c r="I5318" i="39"/>
  <c r="J5318" i="39" s="1"/>
  <c r="I5319" i="39"/>
  <c r="J5319" i="39" s="1"/>
  <c r="I5320" i="39"/>
  <c r="J5320" i="39" s="1"/>
  <c r="I5321" i="39"/>
  <c r="J5321" i="39" s="1"/>
  <c r="I5322" i="39"/>
  <c r="J5322" i="39" s="1"/>
  <c r="I5323" i="39"/>
  <c r="J5323" i="39" s="1"/>
  <c r="I5324" i="39"/>
  <c r="J5324" i="39" s="1"/>
  <c r="I5325" i="39"/>
  <c r="J5325" i="39" s="1"/>
  <c r="I5326" i="39"/>
  <c r="I5327" i="39"/>
  <c r="J5327" i="39" s="1"/>
  <c r="I5328" i="39"/>
  <c r="J5328" i="39" s="1"/>
  <c r="I5329" i="39"/>
  <c r="J5329" i="39" s="1"/>
  <c r="I5330" i="39"/>
  <c r="J5330" i="39" s="1"/>
  <c r="I5331" i="39"/>
  <c r="J5331" i="39" s="1"/>
  <c r="I5332" i="39"/>
  <c r="J5332" i="39" s="1"/>
  <c r="I5333" i="39"/>
  <c r="J5333" i="39" s="1"/>
  <c r="I5334" i="39"/>
  <c r="J5334" i="39" s="1"/>
  <c r="I5335" i="39"/>
  <c r="J5335" i="39" s="1"/>
  <c r="I5336" i="39"/>
  <c r="J5336" i="39" s="1"/>
  <c r="I5337" i="39"/>
  <c r="J5337" i="39" s="1"/>
  <c r="I5338" i="39"/>
  <c r="J5338" i="39" s="1"/>
  <c r="I5339" i="39"/>
  <c r="J5339" i="39" s="1"/>
  <c r="I5340" i="39"/>
  <c r="J5340" i="39" s="1"/>
  <c r="I5341" i="39"/>
  <c r="J5341" i="39" s="1"/>
  <c r="I5342" i="39"/>
  <c r="J5342" i="39" s="1"/>
  <c r="I5343" i="39"/>
  <c r="J5343" i="39" s="1"/>
  <c r="I5344" i="39"/>
  <c r="J5344" i="39" s="1"/>
  <c r="I5345" i="39"/>
  <c r="J5345" i="39" s="1"/>
  <c r="I5346" i="39"/>
  <c r="J5346" i="39" s="1"/>
  <c r="I5347" i="39"/>
  <c r="J5347" i="39" s="1"/>
  <c r="I5348" i="39"/>
  <c r="J5348" i="39" s="1"/>
  <c r="I5349" i="39"/>
  <c r="J5349" i="39" s="1"/>
  <c r="I5350" i="39"/>
  <c r="J5350" i="39" s="1"/>
  <c r="I5351" i="39"/>
  <c r="J5351" i="39" s="1"/>
  <c r="I5352" i="39"/>
  <c r="J5352" i="39" s="1"/>
  <c r="I5353" i="39"/>
  <c r="J5353" i="39" s="1"/>
  <c r="I5354" i="39"/>
  <c r="J5354" i="39" s="1"/>
  <c r="I5355" i="39"/>
  <c r="J5355" i="39" s="1"/>
  <c r="I5356" i="39"/>
  <c r="J5356" i="39" s="1"/>
  <c r="I5357" i="39"/>
  <c r="J5357" i="39" s="1"/>
  <c r="I5358" i="39"/>
  <c r="J5358" i="39" s="1"/>
  <c r="I5359" i="39"/>
  <c r="J5359" i="39" s="1"/>
  <c r="I5360" i="39"/>
  <c r="J5360" i="39" s="1"/>
  <c r="I5361" i="39"/>
  <c r="J5361" i="39" s="1"/>
  <c r="I5362" i="39"/>
  <c r="J5362" i="39" s="1"/>
  <c r="I5363" i="39"/>
  <c r="J5363" i="39" s="1"/>
  <c r="I5364" i="39"/>
  <c r="J5364" i="39" s="1"/>
  <c r="I5365" i="39"/>
  <c r="J5365" i="39" s="1"/>
  <c r="I5366" i="39"/>
  <c r="J5366" i="39" s="1"/>
  <c r="I5367" i="39"/>
  <c r="I5368" i="39"/>
  <c r="J5368" i="39" s="1"/>
  <c r="I5369" i="39"/>
  <c r="J5369" i="39" s="1"/>
  <c r="I5370" i="39"/>
  <c r="J5370" i="39" s="1"/>
  <c r="I5371" i="39"/>
  <c r="J5371" i="39" s="1"/>
  <c r="I5372" i="39"/>
  <c r="J5372" i="39" s="1"/>
  <c r="I5373" i="39"/>
  <c r="J5373" i="39" s="1"/>
  <c r="I5374" i="39"/>
  <c r="J5374" i="39" s="1"/>
  <c r="I5375" i="39"/>
  <c r="J5375" i="39" s="1"/>
  <c r="I5376" i="39"/>
  <c r="J5376" i="39" s="1"/>
  <c r="I5377" i="39"/>
  <c r="J5377" i="39" s="1"/>
  <c r="I5378" i="39"/>
  <c r="J5378" i="39" s="1"/>
  <c r="I5379" i="39"/>
  <c r="J5379" i="39" s="1"/>
  <c r="I5380" i="39"/>
  <c r="J5380" i="39" s="1"/>
  <c r="I5381" i="39"/>
  <c r="J5381" i="39" s="1"/>
  <c r="I5382" i="39"/>
  <c r="J5382" i="39" s="1"/>
  <c r="I5383" i="39"/>
  <c r="J5383" i="39" s="1"/>
  <c r="I5384" i="39"/>
  <c r="J5384" i="39" s="1"/>
  <c r="I5385" i="39"/>
  <c r="J5385" i="39" s="1"/>
  <c r="I5386" i="39"/>
  <c r="J5386" i="39" s="1"/>
  <c r="I5387" i="39"/>
  <c r="J5387" i="39" s="1"/>
  <c r="I5388" i="39"/>
  <c r="J5388" i="39" s="1"/>
  <c r="I5389" i="39"/>
  <c r="J5389" i="39" s="1"/>
  <c r="I5390" i="39"/>
  <c r="J5390" i="39" s="1"/>
  <c r="I5391" i="39"/>
  <c r="J5391" i="39" s="1"/>
  <c r="I5392" i="39"/>
  <c r="J5392" i="39" s="1"/>
  <c r="I5393" i="39"/>
  <c r="J5393" i="39" s="1"/>
  <c r="I5394" i="39"/>
  <c r="J5394" i="39" s="1"/>
  <c r="I5395" i="39"/>
  <c r="J5395" i="39" s="1"/>
  <c r="I5396" i="39"/>
  <c r="J5396" i="39" s="1"/>
  <c r="I5397" i="39"/>
  <c r="J5397" i="39" s="1"/>
  <c r="I5398" i="39"/>
  <c r="J5398" i="39" s="1"/>
  <c r="I5399" i="39"/>
  <c r="J5399" i="39" s="1"/>
  <c r="I5400" i="39"/>
  <c r="J5400" i="39" s="1"/>
  <c r="I5401" i="39"/>
  <c r="J5401" i="39" s="1"/>
  <c r="I5402" i="39"/>
  <c r="J5402" i="39" s="1"/>
  <c r="I5403" i="39"/>
  <c r="J5403" i="39" s="1"/>
  <c r="I5404" i="39"/>
  <c r="J5404" i="39" s="1"/>
  <c r="I5405" i="39"/>
  <c r="J5405" i="39" s="1"/>
  <c r="I5406" i="39"/>
  <c r="J5406" i="39" s="1"/>
  <c r="I5407" i="39"/>
  <c r="J5407" i="39" s="1"/>
  <c r="I5408" i="39"/>
  <c r="J5408" i="39" s="1"/>
  <c r="I5409" i="39"/>
  <c r="J5409" i="39" s="1"/>
  <c r="I5410" i="39"/>
  <c r="J5410" i="39" s="1"/>
  <c r="I5411" i="39"/>
  <c r="J5411" i="39" s="1"/>
  <c r="I5412" i="39"/>
  <c r="J5412" i="39" s="1"/>
  <c r="I5413" i="39"/>
  <c r="J5413" i="39" s="1"/>
  <c r="I5414" i="39"/>
  <c r="I5415" i="39"/>
  <c r="J5415" i="39" s="1"/>
  <c r="I5416" i="39"/>
  <c r="J5416" i="39" s="1"/>
  <c r="I5417" i="39"/>
  <c r="J5417" i="39" s="1"/>
  <c r="I5418" i="39"/>
  <c r="J5418" i="39" s="1"/>
  <c r="I5419" i="39"/>
  <c r="J5419" i="39" s="1"/>
  <c r="I5420" i="39"/>
  <c r="J5420" i="39" s="1"/>
  <c r="I5421" i="39"/>
  <c r="J5421" i="39" s="1"/>
  <c r="I5422" i="39"/>
  <c r="J5422" i="39" s="1"/>
  <c r="I5423" i="39"/>
  <c r="J5423" i="39" s="1"/>
  <c r="I5424" i="39"/>
  <c r="J5424" i="39" s="1"/>
  <c r="I5425" i="39"/>
  <c r="J5425" i="39" s="1"/>
  <c r="I5426" i="39"/>
  <c r="J5426" i="39" s="1"/>
  <c r="I5427" i="39"/>
  <c r="J5427" i="39" s="1"/>
  <c r="I5428" i="39"/>
  <c r="J5428" i="39" s="1"/>
  <c r="I5429" i="39"/>
  <c r="J5429" i="39" s="1"/>
  <c r="I5430" i="39"/>
  <c r="J5430" i="39" s="1"/>
  <c r="I5431" i="39"/>
  <c r="J5431" i="39" s="1"/>
  <c r="I5432" i="39"/>
  <c r="J5432" i="39" s="1"/>
  <c r="I5433" i="39"/>
  <c r="J5433" i="39" s="1"/>
  <c r="I5434" i="39"/>
  <c r="J5434" i="39" s="1"/>
  <c r="I5435" i="39"/>
  <c r="J5435" i="39" s="1"/>
  <c r="I5436" i="39"/>
  <c r="J5436" i="39" s="1"/>
  <c r="I5437" i="39"/>
  <c r="J5437" i="39" s="1"/>
  <c r="I5438" i="39"/>
  <c r="I5439" i="39"/>
  <c r="I5440" i="39"/>
  <c r="J5440" i="39" s="1"/>
  <c r="I5441" i="39"/>
  <c r="J5441" i="39" s="1"/>
  <c r="I5442" i="39"/>
  <c r="J5442" i="39" s="1"/>
  <c r="I5443" i="39"/>
  <c r="J5443" i="39" s="1"/>
  <c r="I5444" i="39"/>
  <c r="J5444" i="39" s="1"/>
  <c r="I5445" i="39"/>
  <c r="J5445" i="39" s="1"/>
  <c r="I5446" i="39"/>
  <c r="J5446" i="39" s="1"/>
  <c r="I5447" i="39"/>
  <c r="J5447" i="39" s="1"/>
  <c r="I5448" i="39"/>
  <c r="J5448" i="39" s="1"/>
  <c r="I5449" i="39"/>
  <c r="J5449" i="39" s="1"/>
  <c r="I5450" i="39"/>
  <c r="J5450" i="39" s="1"/>
  <c r="I5451" i="39"/>
  <c r="J5451" i="39" s="1"/>
  <c r="I5452" i="39"/>
  <c r="J5452" i="39" s="1"/>
  <c r="I5453" i="39"/>
  <c r="J5453" i="39" s="1"/>
  <c r="I5454" i="39"/>
  <c r="J5454" i="39" s="1"/>
  <c r="I5455" i="39"/>
  <c r="J5455" i="39" s="1"/>
  <c r="I5456" i="39"/>
  <c r="J5456" i="39" s="1"/>
  <c r="I5457" i="39"/>
  <c r="J5457" i="39" s="1"/>
  <c r="I5458" i="39"/>
  <c r="J5458" i="39" s="1"/>
  <c r="I5459" i="39"/>
  <c r="J5459" i="39" s="1"/>
  <c r="I5460" i="39"/>
  <c r="J5460" i="39" s="1"/>
  <c r="I5461" i="39"/>
  <c r="J5461" i="39" s="1"/>
  <c r="I5462" i="39"/>
  <c r="J5462" i="39" s="1"/>
  <c r="I5463" i="39"/>
  <c r="J5463" i="39" s="1"/>
  <c r="I5464" i="39"/>
  <c r="J5464" i="39" s="1"/>
  <c r="I5465" i="39"/>
  <c r="J5465" i="39" s="1"/>
  <c r="I5466" i="39"/>
  <c r="J5466" i="39" s="1"/>
  <c r="I5467" i="39"/>
  <c r="J5467" i="39" s="1"/>
  <c r="I5468" i="39"/>
  <c r="J5468" i="39" s="1"/>
  <c r="I5469" i="39"/>
  <c r="J5469" i="39" s="1"/>
  <c r="I5470" i="39"/>
  <c r="J5470" i="39" s="1"/>
  <c r="I5471" i="39"/>
  <c r="J5471" i="39" s="1"/>
  <c r="I5472" i="39"/>
  <c r="J5472" i="39" s="1"/>
  <c r="I5473" i="39"/>
  <c r="J5473" i="39" s="1"/>
  <c r="I5474" i="39"/>
  <c r="J5474" i="39" s="1"/>
  <c r="I5475" i="39"/>
  <c r="J5475" i="39" s="1"/>
  <c r="I5476" i="39"/>
  <c r="J5476" i="39" s="1"/>
  <c r="I5477" i="39"/>
  <c r="J5477" i="39" s="1"/>
  <c r="I5478" i="39"/>
  <c r="J5478" i="39" s="1"/>
  <c r="I5479" i="39"/>
  <c r="J5479" i="39" s="1"/>
  <c r="I5480" i="39"/>
  <c r="J5480" i="39" s="1"/>
  <c r="I5481" i="39"/>
  <c r="J5481" i="39" s="1"/>
  <c r="I5482" i="39"/>
  <c r="J5482" i="39" s="1"/>
  <c r="I5483" i="39"/>
  <c r="J5483" i="39" s="1"/>
  <c r="I5484" i="39"/>
  <c r="J5484" i="39" s="1"/>
  <c r="I5485" i="39"/>
  <c r="J5485" i="39" s="1"/>
  <c r="I5486" i="39"/>
  <c r="J5486" i="39" s="1"/>
  <c r="I5487" i="39"/>
  <c r="J5487" i="39" s="1"/>
  <c r="I5488" i="39"/>
  <c r="J5488" i="39" s="1"/>
  <c r="I5489" i="39"/>
  <c r="J5489" i="39" s="1"/>
  <c r="I5490" i="39"/>
  <c r="J5490" i="39" s="1"/>
  <c r="I5491" i="39"/>
  <c r="J5491" i="39" s="1"/>
  <c r="I5492" i="39"/>
  <c r="J5492" i="39" s="1"/>
  <c r="I5493" i="39"/>
  <c r="J5493" i="39" s="1"/>
  <c r="I5494" i="39"/>
  <c r="I5495" i="39"/>
  <c r="J5495" i="39" s="1"/>
  <c r="I5496" i="39"/>
  <c r="J5496" i="39" s="1"/>
  <c r="I5497" i="39"/>
  <c r="J5497" i="39" s="1"/>
  <c r="I5498" i="39"/>
  <c r="J5498" i="39" s="1"/>
  <c r="I5499" i="39"/>
  <c r="J5499" i="39" s="1"/>
  <c r="I5500" i="39"/>
  <c r="J5500" i="39" s="1"/>
  <c r="I5501" i="39"/>
  <c r="J5501" i="39" s="1"/>
  <c r="I5502" i="39"/>
  <c r="J5502" i="39" s="1"/>
  <c r="I5503" i="39"/>
  <c r="J5503" i="39" s="1"/>
  <c r="I5504" i="39"/>
  <c r="J5504" i="39" s="1"/>
  <c r="I5505" i="39"/>
  <c r="J5505" i="39" s="1"/>
  <c r="I5506" i="39"/>
  <c r="J5506" i="39" s="1"/>
  <c r="I5507" i="39"/>
  <c r="J5507" i="39" s="1"/>
  <c r="I5508" i="39"/>
  <c r="J5508" i="39" s="1"/>
  <c r="I5509" i="39"/>
  <c r="J5509" i="39" s="1"/>
  <c r="I5510" i="39"/>
  <c r="J5510" i="39" s="1"/>
  <c r="I5511" i="39"/>
  <c r="J5511" i="39" s="1"/>
  <c r="I5512" i="39"/>
  <c r="J5512" i="39" s="1"/>
  <c r="I5513" i="39"/>
  <c r="J5513" i="39" s="1"/>
  <c r="I5514" i="39"/>
  <c r="J5514" i="39" s="1"/>
  <c r="I5515" i="39"/>
  <c r="J5515" i="39" s="1"/>
  <c r="I5516" i="39"/>
  <c r="J5516" i="39" s="1"/>
  <c r="I5517" i="39"/>
  <c r="J5517" i="39" s="1"/>
  <c r="I5518" i="39"/>
  <c r="J5518" i="39" s="1"/>
  <c r="I5519" i="39"/>
  <c r="J5519" i="39" s="1"/>
  <c r="I5520" i="39"/>
  <c r="J5520" i="39" s="1"/>
  <c r="I5521" i="39"/>
  <c r="J5521" i="39" s="1"/>
  <c r="I5522" i="39"/>
  <c r="J5522" i="39" s="1"/>
  <c r="I5523" i="39"/>
  <c r="J5523" i="39" s="1"/>
  <c r="I5524" i="39"/>
  <c r="J5524" i="39" s="1"/>
  <c r="I5525" i="39"/>
  <c r="J5525" i="39" s="1"/>
  <c r="I5526" i="39"/>
  <c r="J5526" i="39" s="1"/>
  <c r="I5527" i="39"/>
  <c r="J5527" i="39" s="1"/>
  <c r="I5528" i="39"/>
  <c r="J5528" i="39" s="1"/>
  <c r="I5529" i="39"/>
  <c r="J5529" i="39" s="1"/>
  <c r="I5530" i="39"/>
  <c r="J5530" i="39" s="1"/>
  <c r="I5531" i="39"/>
  <c r="J5531" i="39" s="1"/>
  <c r="I5532" i="39"/>
  <c r="J5532" i="39" s="1"/>
  <c r="I5533" i="39"/>
  <c r="J5533" i="39" s="1"/>
  <c r="I5534" i="39"/>
  <c r="J5534" i="39" s="1"/>
  <c r="I5535" i="39"/>
  <c r="J5535" i="39" s="1"/>
  <c r="I5536" i="39"/>
  <c r="J5536" i="39" s="1"/>
  <c r="I5537" i="39"/>
  <c r="J5537" i="39" s="1"/>
  <c r="I5538" i="39"/>
  <c r="J5538" i="39" s="1"/>
  <c r="I5539" i="39"/>
  <c r="J5539" i="39" s="1"/>
  <c r="I5540" i="39"/>
  <c r="J5540" i="39" s="1"/>
  <c r="I5541" i="39"/>
  <c r="J5541" i="39" s="1"/>
  <c r="I5542" i="39"/>
  <c r="J5542" i="39" s="1"/>
  <c r="I5543" i="39"/>
  <c r="J5543" i="39" s="1"/>
  <c r="I5544" i="39"/>
  <c r="J5544" i="39" s="1"/>
  <c r="I5545" i="39"/>
  <c r="J5545" i="39" s="1"/>
  <c r="I5546" i="39"/>
  <c r="J5546" i="39" s="1"/>
  <c r="I5547" i="39"/>
  <c r="J5547" i="39" s="1"/>
  <c r="I5548" i="39"/>
  <c r="J5548" i="39" s="1"/>
  <c r="I5549" i="39"/>
  <c r="J5549" i="39" s="1"/>
  <c r="I5550" i="39"/>
  <c r="J5550" i="39" s="1"/>
  <c r="I5551" i="39"/>
  <c r="J5551" i="39" s="1"/>
  <c r="I5552" i="39"/>
  <c r="J5552" i="39" s="1"/>
  <c r="I5553" i="39"/>
  <c r="J5553" i="39" s="1"/>
  <c r="I5554" i="39"/>
  <c r="J5554" i="39" s="1"/>
  <c r="I5555" i="39"/>
  <c r="J5555" i="39" s="1"/>
  <c r="I5556" i="39"/>
  <c r="J5556" i="39" s="1"/>
  <c r="I5557" i="39"/>
  <c r="J5557" i="39" s="1"/>
  <c r="I5558" i="39"/>
  <c r="J5558" i="39" s="1"/>
  <c r="I5559" i="39"/>
  <c r="J5559" i="39" s="1"/>
  <c r="I5560" i="39"/>
  <c r="J5560" i="39" s="1"/>
  <c r="I5561" i="39"/>
  <c r="J5561" i="39" s="1"/>
  <c r="I5562" i="39"/>
  <c r="J5562" i="39" s="1"/>
  <c r="I5563" i="39"/>
  <c r="J5563" i="39" s="1"/>
  <c r="I5564" i="39"/>
  <c r="J5564" i="39" s="1"/>
  <c r="I5565" i="39"/>
  <c r="J5565" i="39" s="1"/>
  <c r="I5566" i="39"/>
  <c r="J5566" i="39" s="1"/>
  <c r="I5567" i="39"/>
  <c r="J5567" i="39" s="1"/>
  <c r="I5568" i="39"/>
  <c r="J5568" i="39" s="1"/>
  <c r="I5569" i="39"/>
  <c r="J5569" i="39" s="1"/>
  <c r="I5570" i="39"/>
  <c r="J5570" i="39" s="1"/>
  <c r="I5571" i="39"/>
  <c r="J5571" i="39" s="1"/>
  <c r="I5572" i="39"/>
  <c r="J5572" i="39" s="1"/>
  <c r="I5573" i="39"/>
  <c r="J5573" i="39" s="1"/>
  <c r="I5574" i="39"/>
  <c r="J5574" i="39" s="1"/>
  <c r="I5575" i="39"/>
  <c r="J5575" i="39" s="1"/>
  <c r="I5576" i="39"/>
  <c r="J5576" i="39" s="1"/>
  <c r="I5577" i="39"/>
  <c r="J5577" i="39" s="1"/>
  <c r="I5578" i="39"/>
  <c r="J5578" i="39" s="1"/>
  <c r="I5579" i="39"/>
  <c r="J5579" i="39" s="1"/>
  <c r="I5580" i="39"/>
  <c r="J5580" i="39" s="1"/>
  <c r="I5581" i="39"/>
  <c r="J5581" i="39" s="1"/>
  <c r="I5582" i="39"/>
  <c r="I5583" i="39"/>
  <c r="J5583" i="39" s="1"/>
  <c r="I5584" i="39"/>
  <c r="J5584" i="39" s="1"/>
  <c r="I5585" i="39"/>
  <c r="J5585" i="39" s="1"/>
  <c r="I5586" i="39"/>
  <c r="J5586" i="39" s="1"/>
  <c r="I5587" i="39"/>
  <c r="J5587" i="39" s="1"/>
  <c r="I5588" i="39"/>
  <c r="J5588" i="39" s="1"/>
  <c r="I5589" i="39"/>
  <c r="J5589" i="39" s="1"/>
  <c r="I5590" i="39"/>
  <c r="J5590" i="39" s="1"/>
  <c r="I5591" i="39"/>
  <c r="J5591" i="39" s="1"/>
  <c r="I5592" i="39"/>
  <c r="J5592" i="39" s="1"/>
  <c r="I5593" i="39"/>
  <c r="J5593" i="39" s="1"/>
  <c r="I5594" i="39"/>
  <c r="J5594" i="39" s="1"/>
  <c r="I5595" i="39"/>
  <c r="J5595" i="39" s="1"/>
  <c r="I5596" i="39"/>
  <c r="J5596" i="39" s="1"/>
  <c r="I5597" i="39"/>
  <c r="J5597" i="39" s="1"/>
  <c r="I5598" i="39"/>
  <c r="J5598" i="39" s="1"/>
  <c r="I5599" i="39"/>
  <c r="J5599" i="39" s="1"/>
  <c r="I5600" i="39"/>
  <c r="J5600" i="39" s="1"/>
  <c r="I5601" i="39"/>
  <c r="J5601" i="39" s="1"/>
  <c r="I5602" i="39"/>
  <c r="J5602" i="39" s="1"/>
  <c r="I5603" i="39"/>
  <c r="J5603" i="39" s="1"/>
  <c r="I5604" i="39"/>
  <c r="J5604" i="39" s="1"/>
  <c r="I5605" i="39"/>
  <c r="J5605" i="39" s="1"/>
  <c r="I5606" i="39"/>
  <c r="J5606" i="39" s="1"/>
  <c r="I5607" i="39"/>
  <c r="I5608" i="39"/>
  <c r="J5608" i="39" s="1"/>
  <c r="I5609" i="39"/>
  <c r="J5609" i="39" s="1"/>
  <c r="I5610" i="39"/>
  <c r="J5610" i="39" s="1"/>
  <c r="I5611" i="39"/>
  <c r="J5611" i="39" s="1"/>
  <c r="I5612" i="39"/>
  <c r="J5612" i="39" s="1"/>
  <c r="I5613" i="39"/>
  <c r="J5613" i="39" s="1"/>
  <c r="I5614" i="39"/>
  <c r="J5614" i="39" s="1"/>
  <c r="I5615" i="39"/>
  <c r="J5615" i="39" s="1"/>
  <c r="I5616" i="39"/>
  <c r="J5616" i="39" s="1"/>
  <c r="I5617" i="39"/>
  <c r="J5617" i="39" s="1"/>
  <c r="I5618" i="39"/>
  <c r="J5618" i="39" s="1"/>
  <c r="I5619" i="39"/>
  <c r="J5619" i="39" s="1"/>
  <c r="I5620" i="39"/>
  <c r="J5620" i="39" s="1"/>
  <c r="I5621" i="39"/>
  <c r="J5621" i="39" s="1"/>
  <c r="I5622" i="39"/>
  <c r="J5622" i="39" s="1"/>
  <c r="I5623" i="39"/>
  <c r="J5623" i="39" s="1"/>
  <c r="I5624" i="39"/>
  <c r="J5624" i="39" s="1"/>
  <c r="I5625" i="39"/>
  <c r="J5625" i="39" s="1"/>
  <c r="I5626" i="39"/>
  <c r="J5626" i="39" s="1"/>
  <c r="I5627" i="39"/>
  <c r="J5627" i="39" s="1"/>
  <c r="I5628" i="39"/>
  <c r="J5628" i="39" s="1"/>
  <c r="I5629" i="39"/>
  <c r="J5629" i="39" s="1"/>
  <c r="I5630" i="39"/>
  <c r="J5630" i="39" s="1"/>
  <c r="I5631" i="39"/>
  <c r="J5631" i="39" s="1"/>
  <c r="I5632" i="39"/>
  <c r="J5632" i="39" s="1"/>
  <c r="I5633" i="39"/>
  <c r="J5633" i="39" s="1"/>
  <c r="I5634" i="39"/>
  <c r="J5634" i="39" s="1"/>
  <c r="I5635" i="39"/>
  <c r="J5635" i="39" s="1"/>
  <c r="I5636" i="39"/>
  <c r="J5636" i="39" s="1"/>
  <c r="I5637" i="39"/>
  <c r="J5637" i="39" s="1"/>
  <c r="I5638" i="39"/>
  <c r="J5638" i="39" s="1"/>
  <c r="I5639" i="39"/>
  <c r="J5639" i="39" s="1"/>
  <c r="I5640" i="39"/>
  <c r="J5640" i="39" s="1"/>
  <c r="I5641" i="39"/>
  <c r="J5641" i="39" s="1"/>
  <c r="I5642" i="39"/>
  <c r="J5642" i="39" s="1"/>
  <c r="I5643" i="39"/>
  <c r="J5643" i="39" s="1"/>
  <c r="I5644" i="39"/>
  <c r="J5644" i="39" s="1"/>
  <c r="I5645" i="39"/>
  <c r="J5645" i="39" s="1"/>
  <c r="I5646" i="39"/>
  <c r="J5646" i="39" s="1"/>
  <c r="I5647" i="39"/>
  <c r="J5647" i="39" s="1"/>
  <c r="I5648" i="39"/>
  <c r="J5648" i="39" s="1"/>
  <c r="I5649" i="39"/>
  <c r="J5649" i="39" s="1"/>
  <c r="I5650" i="39"/>
  <c r="J5650" i="39" s="1"/>
  <c r="I5651" i="39"/>
  <c r="J5651" i="39" s="1"/>
  <c r="I5652" i="39"/>
  <c r="J5652" i="39" s="1"/>
  <c r="I5653" i="39"/>
  <c r="J5653" i="39" s="1"/>
  <c r="I5654" i="39"/>
  <c r="J5654" i="39" s="1"/>
  <c r="I5655" i="39"/>
  <c r="J5655" i="39" s="1"/>
  <c r="I5656" i="39"/>
  <c r="J5656" i="39" s="1"/>
  <c r="I5657" i="39"/>
  <c r="J5657" i="39" s="1"/>
  <c r="I5658" i="39"/>
  <c r="J5658" i="39" s="1"/>
  <c r="I5659" i="39"/>
  <c r="J5659" i="39" s="1"/>
  <c r="I5660" i="39"/>
  <c r="J5660" i="39" s="1"/>
  <c r="I5661" i="39"/>
  <c r="J5661" i="39" s="1"/>
  <c r="I5662" i="39"/>
  <c r="I5663" i="39"/>
  <c r="J5663" i="39" s="1"/>
  <c r="I5664" i="39"/>
  <c r="J5664" i="39" s="1"/>
  <c r="I5665" i="39"/>
  <c r="J5665" i="39" s="1"/>
  <c r="I5666" i="39"/>
  <c r="J5666" i="39" s="1"/>
  <c r="I5667" i="39"/>
  <c r="J5667" i="39" s="1"/>
  <c r="I5668" i="39"/>
  <c r="J5668" i="39" s="1"/>
  <c r="I5669" i="39"/>
  <c r="J5669" i="39" s="1"/>
  <c r="I5670" i="39"/>
  <c r="J5670" i="39" s="1"/>
  <c r="I5671" i="39"/>
  <c r="J5671" i="39" s="1"/>
  <c r="I5672" i="39"/>
  <c r="J5672" i="39" s="1"/>
  <c r="I5673" i="39"/>
  <c r="J5673" i="39" s="1"/>
  <c r="I5674" i="39"/>
  <c r="J5674" i="39" s="1"/>
  <c r="I5675" i="39"/>
  <c r="J5675" i="39" s="1"/>
  <c r="I5676" i="39"/>
  <c r="J5676" i="39" s="1"/>
  <c r="I5677" i="39"/>
  <c r="J5677" i="39" s="1"/>
  <c r="I5678" i="39"/>
  <c r="J5678" i="39" s="1"/>
  <c r="I5679" i="39"/>
  <c r="I5680" i="39"/>
  <c r="J5680" i="39" s="1"/>
  <c r="I5681" i="39"/>
  <c r="J5681" i="39" s="1"/>
  <c r="I5682" i="39"/>
  <c r="J5682" i="39" s="1"/>
  <c r="I5683" i="39"/>
  <c r="J5683" i="39" s="1"/>
  <c r="I5684" i="39"/>
  <c r="J5684" i="39" s="1"/>
  <c r="I5685" i="39"/>
  <c r="J5685" i="39" s="1"/>
  <c r="I5686" i="39"/>
  <c r="J5686" i="39" s="1"/>
  <c r="I5687" i="39"/>
  <c r="J5687" i="39" s="1"/>
  <c r="I5688" i="39"/>
  <c r="J5688" i="39" s="1"/>
  <c r="I5689" i="39"/>
  <c r="J5689" i="39" s="1"/>
  <c r="I5690" i="39"/>
  <c r="J5690" i="39" s="1"/>
  <c r="I5691" i="39"/>
  <c r="J5691" i="39" s="1"/>
  <c r="I5692" i="39"/>
  <c r="J5692" i="39" s="1"/>
  <c r="I5693" i="39"/>
  <c r="J5693" i="39" s="1"/>
  <c r="I5694" i="39"/>
  <c r="J5694" i="39" s="1"/>
  <c r="I5695" i="39"/>
  <c r="J5695" i="39" s="1"/>
  <c r="I5696" i="39"/>
  <c r="J5696" i="39" s="1"/>
  <c r="I5697" i="39"/>
  <c r="J5697" i="39" s="1"/>
  <c r="I5698" i="39"/>
  <c r="J5698" i="39" s="1"/>
  <c r="I5699" i="39"/>
  <c r="J5699" i="39" s="1"/>
  <c r="I5700" i="39"/>
  <c r="J5700" i="39" s="1"/>
  <c r="I5701" i="39"/>
  <c r="J5701" i="39" s="1"/>
  <c r="I5702" i="39"/>
  <c r="J5702" i="39" s="1"/>
  <c r="I5703" i="39"/>
  <c r="I5704" i="39"/>
  <c r="J5704" i="39" s="1"/>
  <c r="I5705" i="39"/>
  <c r="J5705" i="39" s="1"/>
  <c r="I5706" i="39"/>
  <c r="J5706" i="39" s="1"/>
  <c r="I5707" i="39"/>
  <c r="J5707" i="39" s="1"/>
  <c r="I5708" i="39"/>
  <c r="J5708" i="39" s="1"/>
  <c r="I5709" i="39"/>
  <c r="J5709" i="39" s="1"/>
  <c r="I5710" i="39"/>
  <c r="J5710" i="39" s="1"/>
  <c r="I5711" i="39"/>
  <c r="J5711" i="39" s="1"/>
  <c r="I5712" i="39"/>
  <c r="J5712" i="39" s="1"/>
  <c r="I5713" i="39"/>
  <c r="J5713" i="39" s="1"/>
  <c r="I5714" i="39"/>
  <c r="J5714" i="39" s="1"/>
  <c r="I5715" i="39"/>
  <c r="J5715" i="39" s="1"/>
  <c r="I5716" i="39"/>
  <c r="J5716" i="39" s="1"/>
  <c r="I5717" i="39"/>
  <c r="I5718" i="39"/>
  <c r="J5718" i="39" s="1"/>
  <c r="I5719" i="39"/>
  <c r="J5719" i="39" s="1"/>
  <c r="I5720" i="39"/>
  <c r="J5720" i="39" s="1"/>
  <c r="I5721" i="39"/>
  <c r="J5721" i="39" s="1"/>
  <c r="I5722" i="39"/>
  <c r="J5722" i="39" s="1"/>
  <c r="I5723" i="39"/>
  <c r="J5723" i="39" s="1"/>
  <c r="I5724" i="39"/>
  <c r="J5724" i="39" s="1"/>
  <c r="I5725" i="39"/>
  <c r="J5725" i="39" s="1"/>
  <c r="I5726" i="39"/>
  <c r="J5726" i="39" s="1"/>
  <c r="I5727" i="39"/>
  <c r="J5727" i="39" s="1"/>
  <c r="I5728" i="39"/>
  <c r="J5728" i="39" s="1"/>
  <c r="I5729" i="39"/>
  <c r="J5729" i="39" s="1"/>
  <c r="I5730" i="39"/>
  <c r="J5730" i="39" s="1"/>
  <c r="I5731" i="39"/>
  <c r="J5731" i="39" s="1"/>
  <c r="I5732" i="39"/>
  <c r="J5732" i="39" s="1"/>
  <c r="I5733" i="39"/>
  <c r="J5733" i="39" s="1"/>
  <c r="I5734" i="39"/>
  <c r="J5734" i="39" s="1"/>
  <c r="I5735" i="39"/>
  <c r="J5735" i="39" s="1"/>
  <c r="I5736" i="39"/>
  <c r="J5736" i="39" s="1"/>
  <c r="I5737" i="39"/>
  <c r="J5737" i="39" s="1"/>
  <c r="I5738" i="39"/>
  <c r="J5738" i="39" s="1"/>
  <c r="I5739" i="39"/>
  <c r="J5739" i="39" s="1"/>
  <c r="I5740" i="39"/>
  <c r="J5740" i="39" s="1"/>
  <c r="I5741" i="39"/>
  <c r="J5741" i="39" s="1"/>
  <c r="I5742" i="39"/>
  <c r="J5742" i="39" s="1"/>
  <c r="I5743" i="39"/>
  <c r="J5743" i="39" s="1"/>
  <c r="I5744" i="39"/>
  <c r="J5744" i="39" s="1"/>
  <c r="I5745" i="39"/>
  <c r="J5745" i="39" s="1"/>
  <c r="I5746" i="39"/>
  <c r="J5746" i="39" s="1"/>
  <c r="I5747" i="39"/>
  <c r="J5747" i="39" s="1"/>
  <c r="I5748" i="39"/>
  <c r="J5748" i="39" s="1"/>
  <c r="I5749" i="39"/>
  <c r="J5749" i="39" s="1"/>
  <c r="I5750" i="39"/>
  <c r="J5750" i="39" s="1"/>
  <c r="I5751" i="39"/>
  <c r="J5751" i="39" s="1"/>
  <c r="I5752" i="39"/>
  <c r="J5752" i="39" s="1"/>
  <c r="I5753" i="39"/>
  <c r="J5753" i="39" s="1"/>
  <c r="I5754" i="39"/>
  <c r="J5754" i="39" s="1"/>
  <c r="I5755" i="39"/>
  <c r="J5755" i="39" s="1"/>
  <c r="I5756" i="39"/>
  <c r="J5756" i="39" s="1"/>
  <c r="I5757" i="39"/>
  <c r="J5757" i="39" s="1"/>
  <c r="I5758" i="39"/>
  <c r="J5758" i="39" s="1"/>
  <c r="I5759" i="39"/>
  <c r="J5759" i="39" s="1"/>
  <c r="I5760" i="39"/>
  <c r="J5760" i="39" s="1"/>
  <c r="I5761" i="39"/>
  <c r="J5761" i="39" s="1"/>
  <c r="I5762" i="39"/>
  <c r="J5762" i="39" s="1"/>
  <c r="I5763" i="39"/>
  <c r="J5763" i="39" s="1"/>
  <c r="I5764" i="39"/>
  <c r="J5764" i="39" s="1"/>
  <c r="I5765" i="39"/>
  <c r="J5765" i="39" s="1"/>
  <c r="I5766" i="39"/>
  <c r="J5766" i="39" s="1"/>
  <c r="I5767" i="39"/>
  <c r="J5767" i="39" s="1"/>
  <c r="I5768" i="39"/>
  <c r="J5768" i="39" s="1"/>
  <c r="I5769" i="39"/>
  <c r="J5769" i="39" s="1"/>
  <c r="I5770" i="39"/>
  <c r="J5770" i="39" s="1"/>
  <c r="I5771" i="39"/>
  <c r="J5771" i="39" s="1"/>
  <c r="I5772" i="39"/>
  <c r="J5772" i="39" s="1"/>
  <c r="I5773" i="39"/>
  <c r="J5773" i="39" s="1"/>
  <c r="I5774" i="39"/>
  <c r="I5775" i="39"/>
  <c r="I5776" i="39"/>
  <c r="J5776" i="39" s="1"/>
  <c r="I5777" i="39"/>
  <c r="J5777" i="39" s="1"/>
  <c r="I5778" i="39"/>
  <c r="J5778" i="39" s="1"/>
  <c r="I5779" i="39"/>
  <c r="J5779" i="39" s="1"/>
  <c r="I5780" i="39"/>
  <c r="J5780" i="39" s="1"/>
  <c r="I5781" i="39"/>
  <c r="J5781" i="39" s="1"/>
  <c r="I5782" i="39"/>
  <c r="J5782" i="39" s="1"/>
  <c r="I5783" i="39"/>
  <c r="J5783" i="39" s="1"/>
  <c r="I5784" i="39"/>
  <c r="J5784" i="39" s="1"/>
  <c r="I5785" i="39"/>
  <c r="J5785" i="39" s="1"/>
  <c r="I5786" i="39"/>
  <c r="J5786" i="39" s="1"/>
  <c r="I5787" i="39"/>
  <c r="J5787" i="39" s="1"/>
  <c r="I5788" i="39"/>
  <c r="J5788" i="39" s="1"/>
  <c r="I5789" i="39"/>
  <c r="J5789" i="39" s="1"/>
  <c r="I5790" i="39"/>
  <c r="J5790" i="39" s="1"/>
  <c r="I5791" i="39"/>
  <c r="J5791" i="39" s="1"/>
  <c r="I5792" i="39"/>
  <c r="J5792" i="39" s="1"/>
  <c r="I5793" i="39"/>
  <c r="J5793" i="39" s="1"/>
  <c r="I5794" i="39"/>
  <c r="J5794" i="39" s="1"/>
  <c r="I5795" i="39"/>
  <c r="J5795" i="39" s="1"/>
  <c r="I5796" i="39"/>
  <c r="J5796" i="39" s="1"/>
  <c r="I5797" i="39"/>
  <c r="J5797" i="39" s="1"/>
  <c r="I5798" i="39"/>
  <c r="J5798" i="39" s="1"/>
  <c r="I5799" i="39"/>
  <c r="J5799" i="39" s="1"/>
  <c r="I5800" i="39"/>
  <c r="J5800" i="39" s="1"/>
  <c r="I5801" i="39"/>
  <c r="J5801" i="39" s="1"/>
  <c r="I5802" i="39"/>
  <c r="J5802" i="39" s="1"/>
  <c r="I5803" i="39"/>
  <c r="J5803" i="39" s="1"/>
  <c r="I5804" i="39"/>
  <c r="J5804" i="39" s="1"/>
  <c r="I5805" i="39"/>
  <c r="J5805" i="39" s="1"/>
  <c r="I5806" i="39"/>
  <c r="I5807" i="39"/>
  <c r="J5807" i="39" s="1"/>
  <c r="I5808" i="39"/>
  <c r="J5808" i="39" s="1"/>
  <c r="I5809" i="39"/>
  <c r="J5809" i="39" s="1"/>
  <c r="I5810" i="39"/>
  <c r="J5810" i="39" s="1"/>
  <c r="I5811" i="39"/>
  <c r="J5811" i="39" s="1"/>
  <c r="I5812" i="39"/>
  <c r="J5812" i="39" s="1"/>
  <c r="I5813" i="39"/>
  <c r="J5813" i="39" s="1"/>
  <c r="I5814" i="39"/>
  <c r="J5814" i="39" s="1"/>
  <c r="I5815" i="39"/>
  <c r="J5815" i="39" s="1"/>
  <c r="I5816" i="39"/>
  <c r="J5816" i="39" s="1"/>
  <c r="I5817" i="39"/>
  <c r="J5817" i="39" s="1"/>
  <c r="I5818" i="39"/>
  <c r="J5818" i="39" s="1"/>
  <c r="I5819" i="39"/>
  <c r="J5819" i="39" s="1"/>
  <c r="I5820" i="39"/>
  <c r="J5820" i="39" s="1"/>
  <c r="I5821" i="39"/>
  <c r="J5821" i="39" s="1"/>
  <c r="I5822" i="39"/>
  <c r="J5822" i="39" s="1"/>
  <c r="I5823" i="39"/>
  <c r="J5823" i="39" s="1"/>
  <c r="I5824" i="39"/>
  <c r="J5824" i="39" s="1"/>
  <c r="I5825" i="39"/>
  <c r="J5825" i="39" s="1"/>
  <c r="I5826" i="39"/>
  <c r="J5826" i="39" s="1"/>
  <c r="I5827" i="39"/>
  <c r="J5827" i="39" s="1"/>
  <c r="I5828" i="39"/>
  <c r="J5828" i="39" s="1"/>
  <c r="I5829" i="39"/>
  <c r="J5829" i="39" s="1"/>
  <c r="I5830" i="39"/>
  <c r="I5831" i="39"/>
  <c r="J5831" i="39" s="1"/>
  <c r="I5832" i="39"/>
  <c r="J5832" i="39" s="1"/>
  <c r="I5833" i="39"/>
  <c r="J5833" i="39" s="1"/>
  <c r="I5834" i="39"/>
  <c r="J5834" i="39" s="1"/>
  <c r="I5835" i="39"/>
  <c r="J5835" i="39" s="1"/>
  <c r="I5836" i="39"/>
  <c r="J5836" i="39" s="1"/>
  <c r="I5837" i="39"/>
  <c r="J5837" i="39" s="1"/>
  <c r="I5838" i="39"/>
  <c r="J5838" i="39" s="1"/>
  <c r="I5839" i="39"/>
  <c r="J5839" i="39" s="1"/>
  <c r="I5840" i="39"/>
  <c r="J5840" i="39" s="1"/>
  <c r="I5841" i="39"/>
  <c r="J5841" i="39" s="1"/>
  <c r="I5842" i="39"/>
  <c r="J5842" i="39" s="1"/>
  <c r="I5843" i="39"/>
  <c r="J5843" i="39" s="1"/>
  <c r="I5844" i="39"/>
  <c r="J5844" i="39" s="1"/>
  <c r="I5845" i="39"/>
  <c r="J5845" i="39" s="1"/>
  <c r="I5846" i="39"/>
  <c r="J5846" i="39" s="1"/>
  <c r="I5847" i="39"/>
  <c r="J5847" i="39" s="1"/>
  <c r="I5848" i="39"/>
  <c r="J5848" i="39" s="1"/>
  <c r="I5849" i="39"/>
  <c r="J5849" i="39" s="1"/>
  <c r="I5850" i="39"/>
  <c r="J5850" i="39" s="1"/>
  <c r="I5851" i="39"/>
  <c r="J5851" i="39" s="1"/>
  <c r="I5852" i="39"/>
  <c r="J5852" i="39" s="1"/>
  <c r="I5853" i="39"/>
  <c r="J5853" i="39" s="1"/>
  <c r="I5854" i="39"/>
  <c r="J5854" i="39" s="1"/>
  <c r="I5855" i="39"/>
  <c r="J5855" i="39" s="1"/>
  <c r="I5856" i="39"/>
  <c r="J5856" i="39" s="1"/>
  <c r="I5857" i="39"/>
  <c r="J5857" i="39" s="1"/>
  <c r="I5858" i="39"/>
  <c r="J5858" i="39" s="1"/>
  <c r="I5859" i="39"/>
  <c r="J5859" i="39" s="1"/>
  <c r="I5860" i="39"/>
  <c r="J5860" i="39" s="1"/>
  <c r="I5861" i="39"/>
  <c r="J5861" i="39" s="1"/>
  <c r="I5862" i="39"/>
  <c r="J5862" i="39" s="1"/>
  <c r="I5863" i="39"/>
  <c r="J5863" i="39" s="1"/>
  <c r="I5864" i="39"/>
  <c r="J5864" i="39" s="1"/>
  <c r="I5865" i="39"/>
  <c r="J5865" i="39" s="1"/>
  <c r="I5866" i="39"/>
  <c r="J5866" i="39" s="1"/>
  <c r="I5867" i="39"/>
  <c r="J5867" i="39" s="1"/>
  <c r="I5868" i="39"/>
  <c r="J5868" i="39" s="1"/>
  <c r="I5869" i="39"/>
  <c r="J5869" i="39" s="1"/>
  <c r="I5870" i="39"/>
  <c r="J5870" i="39" s="1"/>
  <c r="I5871" i="39"/>
  <c r="I5872" i="39"/>
  <c r="J5872" i="39" s="1"/>
  <c r="I5873" i="39"/>
  <c r="J5873" i="39" s="1"/>
  <c r="I5874" i="39"/>
  <c r="J5874" i="39" s="1"/>
  <c r="I5875" i="39"/>
  <c r="J5875" i="39" s="1"/>
  <c r="I5876" i="39"/>
  <c r="J5876" i="39" s="1"/>
  <c r="I5877" i="39"/>
  <c r="J5877" i="39" s="1"/>
  <c r="I5878" i="39"/>
  <c r="J5878" i="39" s="1"/>
  <c r="I5879" i="39"/>
  <c r="J5879" i="39" s="1"/>
  <c r="I5880" i="39"/>
  <c r="J5880" i="39" s="1"/>
  <c r="I5881" i="39"/>
  <c r="J5881" i="39" s="1"/>
  <c r="I5882" i="39"/>
  <c r="J5882" i="39" s="1"/>
  <c r="I5883" i="39"/>
  <c r="J5883" i="39" s="1"/>
  <c r="I5884" i="39"/>
  <c r="J5884" i="39" s="1"/>
  <c r="I5885" i="39"/>
  <c r="J5885" i="39" s="1"/>
  <c r="I5886" i="39"/>
  <c r="J5886" i="39" s="1"/>
  <c r="I5887" i="39"/>
  <c r="J5887" i="39" s="1"/>
  <c r="I5888" i="39"/>
  <c r="J5888" i="39" s="1"/>
  <c r="I5889" i="39"/>
  <c r="J5889" i="39" s="1"/>
  <c r="I5890" i="39"/>
  <c r="J5890" i="39" s="1"/>
  <c r="I5891" i="39"/>
  <c r="J5891" i="39" s="1"/>
  <c r="I5892" i="39"/>
  <c r="J5892" i="39" s="1"/>
  <c r="I5893" i="39"/>
  <c r="J5893" i="39" s="1"/>
  <c r="I5894" i="39"/>
  <c r="J5894" i="39" s="1"/>
  <c r="I5895" i="39"/>
  <c r="J5895" i="39" s="1"/>
  <c r="I5896" i="39"/>
  <c r="J5896" i="39" s="1"/>
  <c r="I5897" i="39"/>
  <c r="J5897" i="39" s="1"/>
  <c r="I5898" i="39"/>
  <c r="J5898" i="39" s="1"/>
  <c r="I5899" i="39"/>
  <c r="J5899" i="39" s="1"/>
  <c r="I5900" i="39"/>
  <c r="J5900" i="39" s="1"/>
  <c r="I5901" i="39"/>
  <c r="J5901" i="39" s="1"/>
  <c r="I5902" i="39"/>
  <c r="I5903" i="39"/>
  <c r="J5903" i="39" s="1"/>
  <c r="I5904" i="39"/>
  <c r="J5904" i="39" s="1"/>
  <c r="I5905" i="39"/>
  <c r="J5905" i="39" s="1"/>
  <c r="I5906" i="39"/>
  <c r="J5906" i="39" s="1"/>
  <c r="I5907" i="39"/>
  <c r="J5907" i="39" s="1"/>
  <c r="I5908" i="39"/>
  <c r="J5908" i="39" s="1"/>
  <c r="I5909" i="39"/>
  <c r="J5909" i="39" s="1"/>
  <c r="I5910" i="39"/>
  <c r="J5910" i="39" s="1"/>
  <c r="I5911" i="39"/>
  <c r="J5911" i="39" s="1"/>
  <c r="I5912" i="39"/>
  <c r="J5912" i="39" s="1"/>
  <c r="I5913" i="39"/>
  <c r="J5913" i="39" s="1"/>
  <c r="I5914" i="39"/>
  <c r="J5914" i="39" s="1"/>
  <c r="I5915" i="39"/>
  <c r="J5915" i="39" s="1"/>
  <c r="I5916" i="39"/>
  <c r="J5916" i="39" s="1"/>
  <c r="I5917" i="39"/>
  <c r="J5917" i="39" s="1"/>
  <c r="I5918" i="39"/>
  <c r="J5918" i="39" s="1"/>
  <c r="I5919" i="39"/>
  <c r="J5919" i="39" s="1"/>
  <c r="I5920" i="39"/>
  <c r="J5920" i="39" s="1"/>
  <c r="I5921" i="39"/>
  <c r="J5921" i="39" s="1"/>
  <c r="I5922" i="39"/>
  <c r="J5922" i="39" s="1"/>
  <c r="I5923" i="39"/>
  <c r="J5923" i="39" s="1"/>
  <c r="I5924" i="39"/>
  <c r="J5924" i="39" s="1"/>
  <c r="I5925" i="39"/>
  <c r="J5925" i="39" s="1"/>
  <c r="I5926" i="39"/>
  <c r="J5926" i="39" s="1"/>
  <c r="I5927" i="39"/>
  <c r="J5927" i="39" s="1"/>
  <c r="I5928" i="39"/>
  <c r="J5928" i="39" s="1"/>
  <c r="I5929" i="39"/>
  <c r="J5929" i="39" s="1"/>
  <c r="I5930" i="39"/>
  <c r="J5930" i="39" s="1"/>
  <c r="I5931" i="39"/>
  <c r="J5931" i="39" s="1"/>
  <c r="I5932" i="39"/>
  <c r="J5932" i="39" s="1"/>
  <c r="I5933" i="39"/>
  <c r="J5933" i="39" s="1"/>
  <c r="I5934" i="39"/>
  <c r="J5934" i="39" s="1"/>
  <c r="I5935" i="39"/>
  <c r="J5935" i="39" s="1"/>
  <c r="I5936" i="39"/>
  <c r="J5936" i="39" s="1"/>
  <c r="I5937" i="39"/>
  <c r="J5937" i="39" s="1"/>
  <c r="I5938" i="39"/>
  <c r="J5938" i="39" s="1"/>
  <c r="I5939" i="39"/>
  <c r="J5939" i="39" s="1"/>
  <c r="I5940" i="39"/>
  <c r="J5940" i="39" s="1"/>
  <c r="I5941" i="39"/>
  <c r="J5941" i="39" s="1"/>
  <c r="I5942" i="39"/>
  <c r="I5943" i="39"/>
  <c r="I5944" i="39"/>
  <c r="J5944" i="39" s="1"/>
  <c r="I5945" i="39"/>
  <c r="J5945" i="39" s="1"/>
  <c r="I5946" i="39"/>
  <c r="J5946" i="39" s="1"/>
  <c r="I5947" i="39"/>
  <c r="J5947" i="39" s="1"/>
  <c r="I5948" i="39"/>
  <c r="J5948" i="39" s="1"/>
  <c r="I5949" i="39"/>
  <c r="J5949" i="39" s="1"/>
  <c r="I5950" i="39"/>
  <c r="J5950" i="39" s="1"/>
  <c r="I5951" i="39"/>
  <c r="J5951" i="39" s="1"/>
  <c r="I5952" i="39"/>
  <c r="J5952" i="39" s="1"/>
  <c r="I5953" i="39"/>
  <c r="J5953" i="39" s="1"/>
  <c r="I5954" i="39"/>
  <c r="J5954" i="39" s="1"/>
  <c r="I5955" i="39"/>
  <c r="J5955" i="39" s="1"/>
  <c r="I5956" i="39"/>
  <c r="J5956" i="39" s="1"/>
  <c r="I5957" i="39"/>
  <c r="J5957" i="39" s="1"/>
  <c r="I5958" i="39"/>
  <c r="J5958" i="39" s="1"/>
  <c r="I5959" i="39"/>
  <c r="J5959" i="39" s="1"/>
  <c r="I5960" i="39"/>
  <c r="J5960" i="39" s="1"/>
  <c r="I5961" i="39"/>
  <c r="J5961" i="39" s="1"/>
  <c r="I5962" i="39"/>
  <c r="J5962" i="39" s="1"/>
  <c r="I5963" i="39"/>
  <c r="J5963" i="39" s="1"/>
  <c r="I5964" i="39"/>
  <c r="J5964" i="39" s="1"/>
  <c r="I5965" i="39"/>
  <c r="J5965" i="39" s="1"/>
  <c r="I5966" i="39"/>
  <c r="J5966" i="39" s="1"/>
  <c r="I5967" i="39"/>
  <c r="J5967" i="39" s="1"/>
  <c r="I5968" i="39"/>
  <c r="J5968" i="39" s="1"/>
  <c r="I5969" i="39"/>
  <c r="J5969" i="39" s="1"/>
  <c r="I5970" i="39"/>
  <c r="J5970" i="39" s="1"/>
  <c r="I5971" i="39"/>
  <c r="J5971" i="39" s="1"/>
  <c r="I5972" i="39"/>
  <c r="J5972" i="39" s="1"/>
  <c r="I5973" i="39"/>
  <c r="J5973" i="39" s="1"/>
  <c r="I5974" i="39"/>
  <c r="I5975" i="39"/>
  <c r="J5975" i="39" s="1"/>
  <c r="I5976" i="39"/>
  <c r="J5976" i="39" s="1"/>
  <c r="I5977" i="39"/>
  <c r="J5977" i="39" s="1"/>
  <c r="I5978" i="39"/>
  <c r="J5978" i="39" s="1"/>
  <c r="I5979" i="39"/>
  <c r="J5979" i="39" s="1"/>
  <c r="I5980" i="39"/>
  <c r="J5980" i="39" s="1"/>
  <c r="I5981" i="39"/>
  <c r="J5981" i="39" s="1"/>
  <c r="I5982" i="39"/>
  <c r="J5982" i="39" s="1"/>
  <c r="I5983" i="39"/>
  <c r="J5983" i="39" s="1"/>
  <c r="I5984" i="39"/>
  <c r="J5984" i="39" s="1"/>
  <c r="I5985" i="39"/>
  <c r="J5985" i="39" s="1"/>
  <c r="I5986" i="39"/>
  <c r="J5986" i="39" s="1"/>
  <c r="I5987" i="39"/>
  <c r="J5987" i="39" s="1"/>
  <c r="I5988" i="39"/>
  <c r="J5988" i="39" s="1"/>
  <c r="I5989" i="39"/>
  <c r="J5989" i="39" s="1"/>
  <c r="I5990" i="39"/>
  <c r="J5990" i="39" s="1"/>
  <c r="I5991" i="39"/>
  <c r="I5992" i="39"/>
  <c r="J5992" i="39" s="1"/>
  <c r="I5993" i="39"/>
  <c r="J5993" i="39" s="1"/>
  <c r="I5994" i="39"/>
  <c r="J5994" i="39" s="1"/>
  <c r="I5995" i="39"/>
  <c r="J5995" i="39" s="1"/>
  <c r="I5996" i="39"/>
  <c r="J5996" i="39" s="1"/>
  <c r="I5997" i="39"/>
  <c r="J5997" i="39" s="1"/>
  <c r="I5998" i="39"/>
  <c r="I5999" i="39"/>
  <c r="J5999" i="39" s="1"/>
  <c r="I6000" i="39"/>
  <c r="J6000" i="39" s="1"/>
  <c r="I6001" i="39"/>
  <c r="J6001" i="39" s="1"/>
  <c r="I6002" i="39"/>
  <c r="J6002" i="39" s="1"/>
  <c r="I6003" i="39"/>
  <c r="J6003" i="39" s="1"/>
  <c r="I6004" i="39"/>
  <c r="J6004" i="39" s="1"/>
  <c r="I6005" i="39"/>
  <c r="J6005" i="39" s="1"/>
  <c r="I6006" i="39"/>
  <c r="J6006" i="39" s="1"/>
  <c r="I6007" i="39"/>
  <c r="J6007" i="39" s="1"/>
  <c r="I6008" i="39"/>
  <c r="J6008" i="39" s="1"/>
  <c r="I6009" i="39"/>
  <c r="J6009" i="39" s="1"/>
  <c r="I6010" i="39"/>
  <c r="J6010" i="39" s="1"/>
  <c r="I6011" i="39"/>
  <c r="J6011" i="39" s="1"/>
  <c r="I6012" i="39"/>
  <c r="J6012" i="39" s="1"/>
  <c r="I6013" i="39"/>
  <c r="J6013" i="39" s="1"/>
  <c r="I6014" i="39"/>
  <c r="I6015" i="39"/>
  <c r="J6015" i="39" s="1"/>
  <c r="I6016" i="39"/>
  <c r="J6016" i="39" s="1"/>
  <c r="I6017" i="39"/>
  <c r="J6017" i="39" s="1"/>
  <c r="I6018" i="39"/>
  <c r="J6018" i="39" s="1"/>
  <c r="FA322" i="26"/>
  <c r="EZ322" i="26" s="1"/>
  <c r="AO310" i="32" s="1"/>
  <c r="ES322" i="26"/>
  <c r="AN310" i="32" s="1"/>
  <c r="FA316" i="26"/>
  <c r="ES316" i="26"/>
  <c r="FA310" i="26"/>
  <c r="EZ310" i="26" s="1"/>
  <c r="FQ310" i="26" s="1"/>
  <c r="ES310" i="26"/>
  <c r="FA304" i="26"/>
  <c r="EZ304" i="26" s="1"/>
  <c r="FQ304" i="26" s="1"/>
  <c r="ES304" i="26"/>
  <c r="FA298" i="26"/>
  <c r="EZ298" i="26" s="1"/>
  <c r="FQ298" i="26" s="1"/>
  <c r="ES298" i="26"/>
  <c r="FA292" i="26"/>
  <c r="EZ292" i="26" s="1"/>
  <c r="FQ292" i="26" s="1"/>
  <c r="ES292" i="26"/>
  <c r="FA286" i="26"/>
  <c r="EZ286" i="26" s="1"/>
  <c r="AO304" i="32" s="1"/>
  <c r="ES286" i="26"/>
  <c r="AN304" i="32" s="1"/>
  <c r="FA280" i="26"/>
  <c r="EZ280" i="26" s="1"/>
  <c r="ES280" i="26"/>
  <c r="AN298" i="32" s="1"/>
  <c r="FA274" i="26"/>
  <c r="EZ274" i="26" s="1"/>
  <c r="AO292" i="32" s="1"/>
  <c r="ES274" i="26"/>
  <c r="AN292" i="32" s="1"/>
  <c r="FA268" i="26"/>
  <c r="EZ268" i="26" s="1"/>
  <c r="FQ268" i="26" s="1"/>
  <c r="ES268" i="26"/>
  <c r="FA262" i="26"/>
  <c r="EZ262" i="26" s="1"/>
  <c r="FQ262" i="26" s="1"/>
  <c r="AP286" i="32" s="1"/>
  <c r="ES262" i="26"/>
  <c r="AN286" i="32" s="1"/>
  <c r="FA256" i="26"/>
  <c r="EZ256" i="26" s="1"/>
  <c r="FQ256" i="26" s="1"/>
  <c r="AP280" i="32" s="1"/>
  <c r="ES256" i="26"/>
  <c r="AN280" i="32" s="1"/>
  <c r="FA250" i="26"/>
  <c r="EZ250" i="26" s="1"/>
  <c r="FQ250" i="26" s="1"/>
  <c r="AP274" i="32" s="1"/>
  <c r="ES250" i="26"/>
  <c r="AN274" i="32" s="1"/>
  <c r="FA244" i="26"/>
  <c r="EZ244" i="26" s="1"/>
  <c r="FQ244" i="26" s="1"/>
  <c r="ES244" i="26"/>
  <c r="FA238" i="26"/>
  <c r="EZ238" i="26" s="1"/>
  <c r="AO268" i="32" s="1"/>
  <c r="ES238" i="26"/>
  <c r="AN268" i="32" s="1"/>
  <c r="FA232" i="26"/>
  <c r="EZ232" i="26" s="1"/>
  <c r="ES232" i="26"/>
  <c r="FA226" i="26"/>
  <c r="EZ226" i="26" s="1"/>
  <c r="ES226" i="26"/>
  <c r="FF214" i="26"/>
  <c r="FD214" i="26" s="1"/>
  <c r="FB214" i="26"/>
  <c r="EZ214" i="26" s="1"/>
  <c r="FQ214" i="26" s="1"/>
  <c r="EX214" i="26"/>
  <c r="EV214" i="26" s="1"/>
  <c r="ET214" i="26"/>
  <c r="AN256" i="32" s="1"/>
  <c r="FB208" i="26"/>
  <c r="FB170" i="26" s="1"/>
  <c r="ET208" i="26"/>
  <c r="ET170" i="26" s="1"/>
  <c r="FB202" i="26"/>
  <c r="FB158" i="26" s="1"/>
  <c r="ET202" i="26"/>
  <c r="ER202" i="26" s="1"/>
  <c r="AN244" i="32" s="1"/>
  <c r="FF196" i="26"/>
  <c r="FD196" i="26" s="1"/>
  <c r="FB196" i="26"/>
  <c r="EZ196" i="26" s="1"/>
  <c r="FQ196" i="26" s="1"/>
  <c r="EX196" i="26"/>
  <c r="EV196" i="26" s="1"/>
  <c r="ET196" i="26"/>
  <c r="S188" i="26"/>
  <c r="S235" i="32" s="1"/>
  <c r="R188" i="26"/>
  <c r="R235" i="32" s="1"/>
  <c r="FG182" i="26"/>
  <c r="FF182" i="26"/>
  <c r="FE182" i="26"/>
  <c r="FC182" i="26"/>
  <c r="FB182" i="26"/>
  <c r="EY182" i="26"/>
  <c r="EX182" i="26"/>
  <c r="EW182" i="26"/>
  <c r="EU182" i="26"/>
  <c r="ET182" i="26"/>
  <c r="S182" i="26"/>
  <c r="S229" i="32" s="1"/>
  <c r="R182" i="26"/>
  <c r="R229" i="32" s="1"/>
  <c r="FG176" i="26"/>
  <c r="FF176" i="26"/>
  <c r="FE176" i="26"/>
  <c r="FC176" i="26"/>
  <c r="FB176" i="26"/>
  <c r="EY176" i="26"/>
  <c r="EX176" i="26"/>
  <c r="EW176" i="26"/>
  <c r="EU176" i="26"/>
  <c r="ET176" i="26"/>
  <c r="S176" i="26"/>
  <c r="S223" i="32" s="1"/>
  <c r="R176" i="26"/>
  <c r="R223" i="32" s="1"/>
  <c r="FG170" i="26"/>
  <c r="FF170" i="26"/>
  <c r="FE170" i="26"/>
  <c r="FC170" i="26"/>
  <c r="EY170" i="26"/>
  <c r="EX170" i="26"/>
  <c r="EW170" i="26"/>
  <c r="EU170" i="26"/>
  <c r="S170" i="26"/>
  <c r="S211" i="32" s="1"/>
  <c r="R170" i="26"/>
  <c r="R211" i="32" s="1"/>
  <c r="FG164" i="26"/>
  <c r="FF164" i="26"/>
  <c r="FE164" i="26"/>
  <c r="FC164" i="26"/>
  <c r="FB164" i="26"/>
  <c r="EY164" i="26"/>
  <c r="EX164" i="26"/>
  <c r="EW164" i="26"/>
  <c r="EU164" i="26"/>
  <c r="ET164" i="26"/>
  <c r="S164" i="26"/>
  <c r="S217" i="32" s="1"/>
  <c r="R164" i="26"/>
  <c r="R217" i="32" s="1"/>
  <c r="FG158" i="26"/>
  <c r="FF158" i="26"/>
  <c r="FE158" i="26"/>
  <c r="FC158" i="26"/>
  <c r="EY158" i="26"/>
  <c r="EX158" i="26"/>
  <c r="EW158" i="26"/>
  <c r="EU158" i="26"/>
  <c r="S158" i="26"/>
  <c r="V158" i="26" s="1"/>
  <c r="R158" i="26"/>
  <c r="R205" i="32" s="1"/>
  <c r="S59" i="26"/>
  <c r="R59" i="26"/>
  <c r="S58" i="26"/>
  <c r="R58" i="26"/>
  <c r="S57" i="26"/>
  <c r="R57" i="26"/>
  <c r="S56" i="26"/>
  <c r="R56" i="26"/>
  <c r="S55" i="26"/>
  <c r="R55" i="26"/>
  <c r="S54" i="26"/>
  <c r="R54" i="26"/>
  <c r="S53" i="26"/>
  <c r="R53" i="26"/>
  <c r="AN258" i="32"/>
  <c r="AN259" i="32"/>
  <c r="AN260" i="32"/>
  <c r="AN261" i="32"/>
  <c r="AN262" i="32"/>
  <c r="AN139" i="32"/>
  <c r="AP150" i="32"/>
  <c r="AP149" i="32"/>
  <c r="AP146" i="32"/>
  <c r="AP147" i="32"/>
  <c r="AP148" i="32"/>
  <c r="AO150" i="32"/>
  <c r="AO146" i="32"/>
  <c r="AO147" i="32"/>
  <c r="AO148" i="32"/>
  <c r="AO149" i="32"/>
  <c r="AO145" i="32"/>
  <c r="S150" i="32"/>
  <c r="S146" i="32"/>
  <c r="S147" i="32"/>
  <c r="S148" i="32"/>
  <c r="S149" i="32"/>
  <c r="S145" i="32"/>
  <c r="U150" i="32"/>
  <c r="U148" i="32"/>
  <c r="U147" i="32"/>
  <c r="U146" i="32"/>
  <c r="AP145" i="32"/>
  <c r="U145" i="32"/>
  <c r="Q30" i="32"/>
  <c r="R40" i="32" s="1"/>
  <c r="Q26" i="32"/>
  <c r="V26" i="32" s="1"/>
  <c r="U36" i="32" s="1"/>
  <c r="Q27" i="32"/>
  <c r="V27" i="32" s="1"/>
  <c r="U37" i="32" s="1"/>
  <c r="Q28" i="32"/>
  <c r="V28" i="32" s="1"/>
  <c r="U38" i="32" s="1"/>
  <c r="Q29" i="32"/>
  <c r="V29" i="32" s="1"/>
  <c r="Q25" i="32"/>
  <c r="S25" i="32" s="1"/>
  <c r="T35" i="32" s="1"/>
  <c r="FR217" i="26"/>
  <c r="FS217" i="26" s="1"/>
  <c r="FR218" i="26"/>
  <c r="FS218" i="26" s="1"/>
  <c r="FR219" i="26"/>
  <c r="FS219" i="26" s="1"/>
  <c r="FR220" i="26"/>
  <c r="FS220" i="26" s="1"/>
  <c r="FR216" i="26"/>
  <c r="FS216" i="26" s="1"/>
  <c r="FA217" i="26"/>
  <c r="EZ217" i="26" s="1"/>
  <c r="FQ217" i="26" s="1"/>
  <c r="FA218" i="26"/>
  <c r="EZ218" i="26" s="1"/>
  <c r="FQ218" i="26" s="1"/>
  <c r="FA219" i="26"/>
  <c r="EZ219" i="26" s="1"/>
  <c r="FQ219" i="26" s="1"/>
  <c r="FA220" i="26"/>
  <c r="EZ220" i="26" s="1"/>
  <c r="FQ220" i="26" s="1"/>
  <c r="FA216" i="26"/>
  <c r="EZ216" i="26" s="1"/>
  <c r="FQ216" i="26" s="1"/>
  <c r="ES217" i="26"/>
  <c r="ES218" i="26"/>
  <c r="ES219" i="26"/>
  <c r="ES220" i="26"/>
  <c r="ES216" i="26"/>
  <c r="DX217" i="26"/>
  <c r="DX223" i="26"/>
  <c r="AA154" i="26"/>
  <c r="AA201" i="32" s="1"/>
  <c r="AM181" i="32"/>
  <c r="X6" i="30"/>
  <c r="V6" i="30" s="1"/>
  <c r="X7" i="30"/>
  <c r="V7" i="30" s="1"/>
  <c r="X8" i="30"/>
  <c r="X9" i="30"/>
  <c r="E16" i="42"/>
  <c r="E15" i="42"/>
  <c r="P8" i="42"/>
  <c r="T8" i="42" s="1"/>
  <c r="P4" i="42"/>
  <c r="T4" i="42" s="1"/>
  <c r="EQ137" i="26"/>
  <c r="AM184" i="32" s="1"/>
  <c r="EQ142" i="26"/>
  <c r="AM189" i="32" s="1"/>
  <c r="EQ148" i="26"/>
  <c r="AM195" i="32" s="1"/>
  <c r="EQ152" i="26"/>
  <c r="AM199" i="32" s="1"/>
  <c r="EQ183" i="26"/>
  <c r="AM230" i="32" s="1"/>
  <c r="EQ177" i="26"/>
  <c r="AM224" i="32" s="1"/>
  <c r="EQ171" i="26"/>
  <c r="AM218" i="32" s="1"/>
  <c r="AM212" i="32"/>
  <c r="EQ159" i="26"/>
  <c r="AM206" i="32" s="1"/>
  <c r="FU154" i="26"/>
  <c r="E488" i="7"/>
  <c r="D488" i="7"/>
  <c r="B488" i="7"/>
  <c r="E487" i="7"/>
  <c r="D487" i="7"/>
  <c r="B487" i="7"/>
  <c r="E486" i="7"/>
  <c r="D486" i="7"/>
  <c r="B486" i="7"/>
  <c r="E485" i="7"/>
  <c r="D485" i="7"/>
  <c r="B485" i="7"/>
  <c r="E484" i="7"/>
  <c r="D484" i="7"/>
  <c r="B484" i="7"/>
  <c r="E483" i="7"/>
  <c r="D483" i="7"/>
  <c r="B483" i="7"/>
  <c r="E482" i="7"/>
  <c r="D482" i="7"/>
  <c r="B482" i="7"/>
  <c r="E481" i="7"/>
  <c r="D481" i="7"/>
  <c r="B481" i="7"/>
  <c r="E480" i="7"/>
  <c r="D480" i="7"/>
  <c r="B480" i="7"/>
  <c r="E479" i="7"/>
  <c r="D479" i="7"/>
  <c r="B479" i="7"/>
  <c r="E478" i="7"/>
  <c r="D478" i="7"/>
  <c r="B478" i="7"/>
  <c r="E477" i="7"/>
  <c r="D477" i="7"/>
  <c r="B477" i="7"/>
  <c r="E476" i="7"/>
  <c r="D476" i="7"/>
  <c r="B476" i="7"/>
  <c r="E475" i="7"/>
  <c r="D475" i="7"/>
  <c r="B475" i="7"/>
  <c r="E474" i="7"/>
  <c r="D474" i="7"/>
  <c r="B474" i="7"/>
  <c r="E473" i="7"/>
  <c r="D473" i="7"/>
  <c r="B473" i="7"/>
  <c r="E472" i="7"/>
  <c r="D472" i="7"/>
  <c r="B472" i="7"/>
  <c r="E471" i="7"/>
  <c r="D471" i="7"/>
  <c r="B471" i="7"/>
  <c r="E470" i="7"/>
  <c r="D470" i="7"/>
  <c r="B470" i="7"/>
  <c r="E469" i="7"/>
  <c r="D469" i="7"/>
  <c r="B469" i="7"/>
  <c r="E468" i="7"/>
  <c r="D468" i="7"/>
  <c r="B468" i="7"/>
  <c r="E467" i="7"/>
  <c r="D467" i="7"/>
  <c r="B467" i="7"/>
  <c r="E466" i="7"/>
  <c r="D466" i="7"/>
  <c r="B466" i="7"/>
  <c r="E465" i="7"/>
  <c r="D465" i="7"/>
  <c r="B465" i="7"/>
  <c r="E464" i="7"/>
  <c r="D464" i="7"/>
  <c r="B464" i="7"/>
  <c r="E463" i="7"/>
  <c r="D463" i="7"/>
  <c r="B463" i="7"/>
  <c r="E462" i="7"/>
  <c r="D462" i="7"/>
  <c r="B462" i="7"/>
  <c r="E461" i="7"/>
  <c r="D461" i="7"/>
  <c r="B461" i="7"/>
  <c r="E460" i="7"/>
  <c r="D460" i="7"/>
  <c r="B460" i="7"/>
  <c r="E459" i="7"/>
  <c r="D459" i="7"/>
  <c r="B459" i="7"/>
  <c r="E458" i="7"/>
  <c r="D458" i="7"/>
  <c r="B458" i="7"/>
  <c r="E457" i="7"/>
  <c r="D457" i="7"/>
  <c r="B457" i="7"/>
  <c r="E456" i="7"/>
  <c r="D456" i="7"/>
  <c r="B456" i="7"/>
  <c r="E455" i="7"/>
  <c r="D455" i="7"/>
  <c r="B455" i="7"/>
  <c r="E454" i="7"/>
  <c r="D454" i="7"/>
  <c r="B454" i="7"/>
  <c r="E453" i="7"/>
  <c r="D453" i="7"/>
  <c r="B453" i="7"/>
  <c r="E452" i="7"/>
  <c r="D452" i="7"/>
  <c r="B452" i="7"/>
  <c r="E451" i="7"/>
  <c r="D451" i="7"/>
  <c r="B451" i="7"/>
  <c r="E450" i="7"/>
  <c r="D450" i="7"/>
  <c r="B450" i="7"/>
  <c r="E449" i="7"/>
  <c r="D449" i="7"/>
  <c r="B449" i="7"/>
  <c r="E448" i="7"/>
  <c r="D448" i="7"/>
  <c r="B448" i="7"/>
  <c r="E447" i="7"/>
  <c r="D447" i="7"/>
  <c r="B447" i="7"/>
  <c r="E446" i="7"/>
  <c r="D446" i="7"/>
  <c r="B446" i="7"/>
  <c r="E445" i="7"/>
  <c r="D445" i="7"/>
  <c r="B445" i="7"/>
  <c r="E444" i="7"/>
  <c r="D444" i="7"/>
  <c r="B444" i="7"/>
  <c r="E443" i="7"/>
  <c r="D443" i="7"/>
  <c r="B443" i="7"/>
  <c r="E442" i="7"/>
  <c r="D442" i="7"/>
  <c r="B442" i="7"/>
  <c r="E441" i="7"/>
  <c r="D441" i="7"/>
  <c r="B441" i="7"/>
  <c r="E440" i="7"/>
  <c r="D440" i="7"/>
  <c r="B440" i="7"/>
  <c r="E439" i="7"/>
  <c r="D439" i="7"/>
  <c r="B439" i="7"/>
  <c r="E438" i="7"/>
  <c r="D438" i="7"/>
  <c r="B438" i="7"/>
  <c r="E437" i="7"/>
  <c r="D437" i="7"/>
  <c r="B437" i="7"/>
  <c r="E436" i="7"/>
  <c r="D436" i="7"/>
  <c r="B436" i="7"/>
  <c r="E435" i="7"/>
  <c r="D435" i="7"/>
  <c r="B435" i="7"/>
  <c r="E434" i="7"/>
  <c r="D434" i="7"/>
  <c r="B434" i="7"/>
  <c r="E433" i="7"/>
  <c r="D433" i="7"/>
  <c r="B433" i="7"/>
  <c r="E432" i="7"/>
  <c r="D432" i="7"/>
  <c r="B432" i="7"/>
  <c r="E431" i="7"/>
  <c r="D431" i="7"/>
  <c r="B431" i="7"/>
  <c r="E430" i="7"/>
  <c r="D430" i="7"/>
  <c r="B430" i="7"/>
  <c r="E429" i="7"/>
  <c r="D429" i="7"/>
  <c r="B429" i="7"/>
  <c r="E428" i="7"/>
  <c r="D428" i="7"/>
  <c r="B428" i="7"/>
  <c r="E427" i="7"/>
  <c r="D427" i="7"/>
  <c r="B427" i="7"/>
  <c r="E426" i="7"/>
  <c r="D426" i="7"/>
  <c r="B426" i="7"/>
  <c r="E425" i="7"/>
  <c r="D425" i="7"/>
  <c r="B425" i="7"/>
  <c r="E424" i="7"/>
  <c r="D424" i="7"/>
  <c r="B424" i="7"/>
  <c r="E423" i="7"/>
  <c r="D423" i="7"/>
  <c r="B423" i="7"/>
  <c r="E422" i="7"/>
  <c r="D422" i="7"/>
  <c r="B422" i="7"/>
  <c r="E421" i="7"/>
  <c r="D421" i="7"/>
  <c r="B421" i="7"/>
  <c r="E420" i="7"/>
  <c r="D420" i="7"/>
  <c r="B420" i="7"/>
  <c r="E419" i="7"/>
  <c r="D419" i="7"/>
  <c r="B419" i="7"/>
  <c r="E418" i="7"/>
  <c r="D418" i="7"/>
  <c r="B418" i="7"/>
  <c r="E417" i="7"/>
  <c r="D417" i="7"/>
  <c r="B417" i="7"/>
  <c r="E416" i="7"/>
  <c r="D416" i="7"/>
  <c r="B416" i="7"/>
  <c r="E415" i="7"/>
  <c r="D415" i="7"/>
  <c r="B415" i="7"/>
  <c r="E414" i="7"/>
  <c r="D414" i="7"/>
  <c r="B414" i="7"/>
  <c r="E413" i="7"/>
  <c r="D413" i="7"/>
  <c r="B413" i="7"/>
  <c r="E412" i="7"/>
  <c r="D412" i="7"/>
  <c r="B412" i="7"/>
  <c r="E411" i="7"/>
  <c r="D411" i="7"/>
  <c r="B411" i="7"/>
  <c r="E410" i="7"/>
  <c r="D410" i="7"/>
  <c r="B410" i="7"/>
  <c r="E409" i="7"/>
  <c r="D409" i="7"/>
  <c r="B409" i="7"/>
  <c r="E408" i="7"/>
  <c r="D408" i="7"/>
  <c r="B408" i="7"/>
  <c r="E407" i="7"/>
  <c r="D407" i="7"/>
  <c r="B407" i="7"/>
  <c r="E406" i="7"/>
  <c r="D406" i="7"/>
  <c r="B406" i="7"/>
  <c r="E405" i="7"/>
  <c r="D405" i="7"/>
  <c r="B405" i="7"/>
  <c r="E404" i="7"/>
  <c r="D404" i="7"/>
  <c r="B404" i="7"/>
  <c r="E403" i="7"/>
  <c r="D403" i="7"/>
  <c r="B403" i="7"/>
  <c r="E402" i="7"/>
  <c r="D402" i="7"/>
  <c r="B402" i="7"/>
  <c r="E401" i="7"/>
  <c r="D401" i="7"/>
  <c r="B401" i="7"/>
  <c r="E400" i="7"/>
  <c r="D400" i="7"/>
  <c r="B400" i="7"/>
  <c r="E399" i="7"/>
  <c r="D399" i="7"/>
  <c r="B399" i="7"/>
  <c r="E398" i="7"/>
  <c r="D398" i="7"/>
  <c r="B398" i="7"/>
  <c r="E397" i="7"/>
  <c r="D397" i="7"/>
  <c r="B397" i="7"/>
  <c r="E396" i="7"/>
  <c r="D396" i="7"/>
  <c r="B396" i="7"/>
  <c r="E395" i="7"/>
  <c r="D395" i="7"/>
  <c r="B395" i="7"/>
  <c r="E394" i="7"/>
  <c r="D394" i="7"/>
  <c r="B394" i="7"/>
  <c r="E393" i="7"/>
  <c r="D393" i="7"/>
  <c r="B393" i="7"/>
  <c r="E392" i="7"/>
  <c r="D392" i="7"/>
  <c r="B392" i="7"/>
  <c r="E391" i="7"/>
  <c r="D391" i="7"/>
  <c r="B391" i="7"/>
  <c r="E390" i="7"/>
  <c r="D390" i="7"/>
  <c r="B390" i="7"/>
  <c r="E389" i="7"/>
  <c r="D389" i="7"/>
  <c r="B389" i="7"/>
  <c r="E388" i="7"/>
  <c r="D388" i="7"/>
  <c r="B388" i="7"/>
  <c r="E387" i="7"/>
  <c r="D387" i="7"/>
  <c r="B387" i="7"/>
  <c r="E386" i="7"/>
  <c r="D386" i="7"/>
  <c r="B386" i="7"/>
  <c r="E385" i="7"/>
  <c r="D385" i="7"/>
  <c r="B385" i="7"/>
  <c r="E384" i="7"/>
  <c r="D384" i="7"/>
  <c r="B384" i="7"/>
  <c r="E383" i="7"/>
  <c r="D383" i="7"/>
  <c r="B383" i="7"/>
  <c r="E382" i="7"/>
  <c r="D382" i="7"/>
  <c r="B382" i="7"/>
  <c r="E381" i="7"/>
  <c r="D381" i="7"/>
  <c r="B381" i="7"/>
  <c r="E380" i="7"/>
  <c r="D380" i="7"/>
  <c r="B380" i="7"/>
  <c r="E379" i="7"/>
  <c r="D379" i="7"/>
  <c r="B379" i="7"/>
  <c r="E378" i="7"/>
  <c r="D378" i="7"/>
  <c r="B378" i="7"/>
  <c r="E377" i="7"/>
  <c r="D377" i="7"/>
  <c r="B377" i="7"/>
  <c r="E376" i="7"/>
  <c r="D376" i="7"/>
  <c r="B376" i="7"/>
  <c r="E375" i="7"/>
  <c r="D375" i="7"/>
  <c r="B375" i="7"/>
  <c r="E374" i="7"/>
  <c r="D374" i="7"/>
  <c r="B374" i="7"/>
  <c r="E373" i="7"/>
  <c r="D373" i="7"/>
  <c r="B373" i="7"/>
  <c r="E372" i="7"/>
  <c r="D372" i="7"/>
  <c r="B372" i="7"/>
  <c r="E371" i="7"/>
  <c r="D371" i="7"/>
  <c r="B371" i="7"/>
  <c r="E370" i="7"/>
  <c r="D370" i="7"/>
  <c r="B370" i="7"/>
  <c r="E369" i="7"/>
  <c r="D369" i="7"/>
  <c r="B369" i="7"/>
  <c r="E368" i="7"/>
  <c r="D368" i="7"/>
  <c r="B368" i="7"/>
  <c r="E367" i="7"/>
  <c r="D367" i="7"/>
  <c r="B367" i="7"/>
  <c r="E366" i="7"/>
  <c r="D366" i="7"/>
  <c r="B366" i="7"/>
  <c r="E365" i="7"/>
  <c r="D365" i="7"/>
  <c r="B365" i="7"/>
  <c r="E364" i="7"/>
  <c r="D364" i="7"/>
  <c r="B364" i="7"/>
  <c r="E363" i="7"/>
  <c r="D363" i="7"/>
  <c r="B363" i="7"/>
  <c r="E362" i="7"/>
  <c r="D362" i="7"/>
  <c r="B362" i="7"/>
  <c r="E361" i="7"/>
  <c r="D361" i="7"/>
  <c r="B361" i="7"/>
  <c r="E360" i="7"/>
  <c r="D360" i="7"/>
  <c r="B360" i="7"/>
  <c r="E359" i="7"/>
  <c r="D359" i="7"/>
  <c r="B359" i="7"/>
  <c r="E358" i="7"/>
  <c r="D358" i="7"/>
  <c r="B358" i="7"/>
  <c r="E357" i="7"/>
  <c r="D357" i="7"/>
  <c r="B357" i="7"/>
  <c r="E356" i="7"/>
  <c r="D356" i="7"/>
  <c r="B356" i="7"/>
  <c r="E355" i="7"/>
  <c r="D355" i="7"/>
  <c r="B355" i="7"/>
  <c r="E354" i="7"/>
  <c r="D354" i="7"/>
  <c r="B354" i="7"/>
  <c r="E353" i="7"/>
  <c r="D353" i="7"/>
  <c r="B353" i="7"/>
  <c r="E352" i="7"/>
  <c r="D352" i="7"/>
  <c r="B352" i="7"/>
  <c r="E351" i="7"/>
  <c r="D351" i="7"/>
  <c r="B351" i="7"/>
  <c r="E350" i="7"/>
  <c r="D350" i="7"/>
  <c r="B350" i="7"/>
  <c r="E349" i="7"/>
  <c r="D349" i="7"/>
  <c r="B349" i="7"/>
  <c r="E348" i="7"/>
  <c r="D348" i="7"/>
  <c r="B348" i="7"/>
  <c r="E347" i="7"/>
  <c r="D347" i="7"/>
  <c r="B347" i="7"/>
  <c r="E346" i="7"/>
  <c r="D346" i="7"/>
  <c r="B346" i="7"/>
  <c r="E345" i="7"/>
  <c r="D345" i="7"/>
  <c r="B345" i="7"/>
  <c r="E344" i="7"/>
  <c r="D344" i="7"/>
  <c r="B344" i="7"/>
  <c r="E343" i="7"/>
  <c r="D343" i="7"/>
  <c r="B343" i="7"/>
  <c r="E342" i="7"/>
  <c r="D342" i="7"/>
  <c r="B342" i="7"/>
  <c r="E341" i="7"/>
  <c r="D341" i="7"/>
  <c r="B341" i="7"/>
  <c r="E340" i="7"/>
  <c r="D340" i="7"/>
  <c r="B340" i="7"/>
  <c r="E339" i="7"/>
  <c r="D339" i="7"/>
  <c r="B339" i="7"/>
  <c r="E338" i="7"/>
  <c r="D338" i="7"/>
  <c r="B338" i="7"/>
  <c r="E337" i="7"/>
  <c r="D337" i="7"/>
  <c r="B337" i="7"/>
  <c r="E336" i="7"/>
  <c r="D336" i="7"/>
  <c r="B336" i="7"/>
  <c r="E335" i="7"/>
  <c r="D335" i="7"/>
  <c r="B335" i="7"/>
  <c r="E334" i="7"/>
  <c r="D334" i="7"/>
  <c r="B334" i="7"/>
  <c r="E333" i="7"/>
  <c r="D333" i="7"/>
  <c r="B333" i="7"/>
  <c r="E332" i="7"/>
  <c r="D332" i="7"/>
  <c r="B332" i="7"/>
  <c r="E331" i="7"/>
  <c r="D331" i="7"/>
  <c r="B331" i="7"/>
  <c r="E330" i="7"/>
  <c r="D330" i="7"/>
  <c r="B330" i="7"/>
  <c r="E329" i="7"/>
  <c r="D329" i="7"/>
  <c r="B329" i="7"/>
  <c r="E328" i="7"/>
  <c r="D328" i="7"/>
  <c r="B328" i="7"/>
  <c r="E327" i="7"/>
  <c r="D327" i="7"/>
  <c r="B327" i="7"/>
  <c r="E326" i="7"/>
  <c r="D326" i="7"/>
  <c r="B326" i="7"/>
  <c r="E325" i="7"/>
  <c r="D325" i="7"/>
  <c r="B325" i="7"/>
  <c r="E324" i="7"/>
  <c r="D324" i="7"/>
  <c r="B324" i="7"/>
  <c r="E323" i="7"/>
  <c r="D323" i="7"/>
  <c r="B323" i="7"/>
  <c r="E322" i="7"/>
  <c r="D322" i="7"/>
  <c r="B322" i="7"/>
  <c r="E321" i="7"/>
  <c r="D321" i="7"/>
  <c r="B321" i="7"/>
  <c r="E320" i="7"/>
  <c r="D320" i="7"/>
  <c r="B320" i="7"/>
  <c r="E319" i="7"/>
  <c r="D319" i="7"/>
  <c r="B319" i="7"/>
  <c r="E318" i="7"/>
  <c r="D318" i="7"/>
  <c r="B318" i="7"/>
  <c r="E317" i="7"/>
  <c r="D317" i="7"/>
  <c r="B317" i="7"/>
  <c r="E316" i="7"/>
  <c r="D316" i="7"/>
  <c r="B316" i="7"/>
  <c r="E315" i="7"/>
  <c r="D315" i="7"/>
  <c r="B315" i="7"/>
  <c r="E314" i="7"/>
  <c r="D314" i="7"/>
  <c r="B314" i="7"/>
  <c r="E313" i="7"/>
  <c r="D313" i="7"/>
  <c r="B313" i="7"/>
  <c r="E312" i="7"/>
  <c r="D312" i="7"/>
  <c r="B312" i="7"/>
  <c r="E311" i="7"/>
  <c r="D311" i="7"/>
  <c r="B311" i="7"/>
  <c r="E310" i="7"/>
  <c r="D310" i="7"/>
  <c r="B310" i="7"/>
  <c r="E309" i="7"/>
  <c r="D309" i="7"/>
  <c r="B309" i="7"/>
  <c r="E308" i="7"/>
  <c r="D308" i="7"/>
  <c r="B308" i="7"/>
  <c r="E307" i="7"/>
  <c r="D307" i="7"/>
  <c r="B307" i="7"/>
  <c r="E306" i="7"/>
  <c r="D306" i="7"/>
  <c r="B306" i="7"/>
  <c r="E305" i="7"/>
  <c r="D305" i="7"/>
  <c r="B305" i="7"/>
  <c r="E304" i="7"/>
  <c r="D304" i="7"/>
  <c r="B304" i="7"/>
  <c r="E303" i="7"/>
  <c r="D303" i="7"/>
  <c r="B303" i="7"/>
  <c r="E302" i="7"/>
  <c r="D302" i="7"/>
  <c r="B302" i="7"/>
  <c r="E301" i="7"/>
  <c r="D301" i="7"/>
  <c r="B301" i="7"/>
  <c r="E300" i="7"/>
  <c r="D300" i="7"/>
  <c r="B300" i="7"/>
  <c r="E299" i="7"/>
  <c r="D299" i="7"/>
  <c r="B299" i="7"/>
  <c r="E298" i="7"/>
  <c r="D298" i="7"/>
  <c r="B298" i="7"/>
  <c r="E297" i="7"/>
  <c r="D297" i="7"/>
  <c r="B297" i="7"/>
  <c r="E296" i="7"/>
  <c r="D296" i="7"/>
  <c r="B296" i="7"/>
  <c r="E295" i="7"/>
  <c r="D295" i="7"/>
  <c r="B295" i="7"/>
  <c r="E294" i="7"/>
  <c r="D294" i="7"/>
  <c r="B294" i="7"/>
  <c r="E293" i="7"/>
  <c r="D293" i="7"/>
  <c r="B293" i="7"/>
  <c r="E292" i="7"/>
  <c r="D292" i="7"/>
  <c r="B292" i="7"/>
  <c r="E291" i="7"/>
  <c r="D291" i="7"/>
  <c r="B291" i="7"/>
  <c r="E290" i="7"/>
  <c r="D290" i="7"/>
  <c r="B290" i="7"/>
  <c r="E289" i="7"/>
  <c r="D289" i="7"/>
  <c r="B289" i="7"/>
  <c r="E288" i="7"/>
  <c r="D288" i="7"/>
  <c r="B288" i="7"/>
  <c r="E287" i="7"/>
  <c r="D287" i="7"/>
  <c r="B287" i="7"/>
  <c r="E286" i="7"/>
  <c r="D286" i="7"/>
  <c r="B286" i="7"/>
  <c r="E285" i="7"/>
  <c r="D285" i="7"/>
  <c r="B285" i="7"/>
  <c r="E284" i="7"/>
  <c r="D284" i="7"/>
  <c r="B284" i="7"/>
  <c r="E283" i="7"/>
  <c r="D283" i="7"/>
  <c r="B283" i="7"/>
  <c r="E282" i="7"/>
  <c r="D282" i="7"/>
  <c r="B282" i="7"/>
  <c r="E281" i="7"/>
  <c r="D281" i="7"/>
  <c r="B281" i="7"/>
  <c r="E280" i="7"/>
  <c r="D280" i="7"/>
  <c r="B280" i="7"/>
  <c r="E279" i="7"/>
  <c r="D279" i="7"/>
  <c r="B279" i="7"/>
  <c r="E278" i="7"/>
  <c r="D278" i="7"/>
  <c r="B278" i="7"/>
  <c r="E277" i="7"/>
  <c r="D277" i="7"/>
  <c r="B277" i="7"/>
  <c r="E276" i="7"/>
  <c r="D276" i="7"/>
  <c r="B276" i="7"/>
  <c r="E275" i="7"/>
  <c r="D275" i="7"/>
  <c r="B275" i="7"/>
  <c r="E274" i="7"/>
  <c r="D274" i="7"/>
  <c r="B274" i="7"/>
  <c r="E273" i="7"/>
  <c r="D273" i="7"/>
  <c r="B273" i="7"/>
  <c r="E272" i="7"/>
  <c r="D272" i="7"/>
  <c r="B272" i="7"/>
  <c r="E271" i="7"/>
  <c r="D271" i="7"/>
  <c r="B271" i="7"/>
  <c r="E270" i="7"/>
  <c r="D270" i="7"/>
  <c r="B270" i="7"/>
  <c r="E269" i="7"/>
  <c r="D269" i="7"/>
  <c r="B269" i="7"/>
  <c r="E268" i="7"/>
  <c r="D268" i="7"/>
  <c r="B268" i="7"/>
  <c r="E267" i="7"/>
  <c r="D267" i="7"/>
  <c r="B267" i="7"/>
  <c r="E266" i="7"/>
  <c r="D266" i="7"/>
  <c r="B266" i="7"/>
  <c r="E265" i="7"/>
  <c r="D265" i="7"/>
  <c r="B265" i="7"/>
  <c r="E264" i="7"/>
  <c r="D264" i="7"/>
  <c r="B264" i="7"/>
  <c r="E263" i="7"/>
  <c r="D263" i="7"/>
  <c r="B263" i="7"/>
  <c r="E262" i="7"/>
  <c r="D262" i="7"/>
  <c r="B262" i="7"/>
  <c r="E261" i="7"/>
  <c r="D261" i="7"/>
  <c r="B261" i="7"/>
  <c r="E260" i="7"/>
  <c r="D260" i="7"/>
  <c r="B260" i="7"/>
  <c r="E259" i="7"/>
  <c r="D259" i="7"/>
  <c r="B259" i="7"/>
  <c r="E258" i="7"/>
  <c r="D258" i="7"/>
  <c r="B258" i="7"/>
  <c r="E257" i="7"/>
  <c r="D257" i="7"/>
  <c r="B257" i="7"/>
  <c r="E256" i="7"/>
  <c r="D256" i="7"/>
  <c r="B256" i="7"/>
  <c r="E255" i="7"/>
  <c r="D255" i="7"/>
  <c r="B255" i="7"/>
  <c r="E254" i="7"/>
  <c r="D254" i="7"/>
  <c r="B254" i="7"/>
  <c r="E253" i="7"/>
  <c r="D253" i="7"/>
  <c r="B253" i="7"/>
  <c r="E252" i="7"/>
  <c r="D252" i="7"/>
  <c r="B252" i="7"/>
  <c r="E251" i="7"/>
  <c r="D251" i="7"/>
  <c r="B251" i="7"/>
  <c r="E250" i="7"/>
  <c r="D250" i="7"/>
  <c r="B250" i="7"/>
  <c r="E249" i="7"/>
  <c r="D249" i="7"/>
  <c r="B249" i="7"/>
  <c r="E248" i="7"/>
  <c r="D248" i="7"/>
  <c r="B248" i="7"/>
  <c r="E247" i="7"/>
  <c r="D247" i="7"/>
  <c r="B247" i="7"/>
  <c r="E246" i="7"/>
  <c r="D246" i="7"/>
  <c r="B246" i="7"/>
  <c r="E245" i="7"/>
  <c r="D245" i="7"/>
  <c r="B245" i="7"/>
  <c r="E244" i="7"/>
  <c r="D244" i="7"/>
  <c r="B244" i="7"/>
  <c r="E243" i="7"/>
  <c r="D243" i="7"/>
  <c r="B243" i="7"/>
  <c r="E242" i="7"/>
  <c r="D242" i="7"/>
  <c r="B242" i="7"/>
  <c r="E241" i="7"/>
  <c r="D241" i="7"/>
  <c r="B241" i="7"/>
  <c r="E240" i="7"/>
  <c r="D240" i="7"/>
  <c r="B240" i="7"/>
  <c r="E239" i="7"/>
  <c r="D239" i="7"/>
  <c r="B239" i="7"/>
  <c r="E238" i="7"/>
  <c r="D238" i="7"/>
  <c r="B238" i="7"/>
  <c r="E237" i="7"/>
  <c r="D237" i="7"/>
  <c r="B237" i="7"/>
  <c r="E236" i="7"/>
  <c r="D236" i="7"/>
  <c r="B236" i="7"/>
  <c r="E235" i="7"/>
  <c r="D235" i="7"/>
  <c r="B235" i="7"/>
  <c r="E234" i="7"/>
  <c r="D234" i="7"/>
  <c r="B234" i="7"/>
  <c r="E233" i="7"/>
  <c r="D233" i="7"/>
  <c r="B233" i="7"/>
  <c r="E232" i="7"/>
  <c r="D232" i="7"/>
  <c r="B232" i="7"/>
  <c r="E231" i="7"/>
  <c r="D231" i="7"/>
  <c r="B231" i="7"/>
  <c r="E230" i="7"/>
  <c r="D230" i="7"/>
  <c r="B230" i="7"/>
  <c r="E229" i="7"/>
  <c r="D229" i="7"/>
  <c r="B229" i="7"/>
  <c r="E228" i="7"/>
  <c r="D228" i="7"/>
  <c r="B228" i="7"/>
  <c r="E227" i="7"/>
  <c r="D227" i="7"/>
  <c r="B227" i="7"/>
  <c r="E226" i="7"/>
  <c r="D226" i="7"/>
  <c r="B226" i="7"/>
  <c r="E225" i="7"/>
  <c r="D225" i="7"/>
  <c r="B225" i="7"/>
  <c r="E224" i="7"/>
  <c r="D224" i="7"/>
  <c r="B224" i="7"/>
  <c r="E223" i="7"/>
  <c r="D223" i="7"/>
  <c r="B223" i="7"/>
  <c r="E222" i="7"/>
  <c r="D222" i="7"/>
  <c r="B222" i="7"/>
  <c r="E221" i="7"/>
  <c r="D221" i="7"/>
  <c r="B221" i="7"/>
  <c r="E220" i="7"/>
  <c r="D220" i="7"/>
  <c r="B220" i="7"/>
  <c r="E219" i="7"/>
  <c r="D219" i="7"/>
  <c r="B219" i="7"/>
  <c r="E218" i="7"/>
  <c r="D218" i="7"/>
  <c r="B218" i="7"/>
  <c r="E217" i="7"/>
  <c r="D217" i="7"/>
  <c r="B217" i="7"/>
  <c r="E216" i="7"/>
  <c r="D216" i="7"/>
  <c r="B216" i="7"/>
  <c r="E215" i="7"/>
  <c r="D215" i="7"/>
  <c r="B215" i="7"/>
  <c r="E214" i="7"/>
  <c r="D214" i="7"/>
  <c r="B214" i="7"/>
  <c r="E213" i="7"/>
  <c r="D213" i="7"/>
  <c r="B213" i="7"/>
  <c r="E212" i="7"/>
  <c r="D212" i="7"/>
  <c r="B212" i="7"/>
  <c r="E211" i="7"/>
  <c r="D211" i="7"/>
  <c r="B211" i="7"/>
  <c r="E210" i="7"/>
  <c r="D210" i="7"/>
  <c r="B210" i="7"/>
  <c r="E209" i="7"/>
  <c r="D209" i="7"/>
  <c r="B209" i="7"/>
  <c r="E208" i="7"/>
  <c r="D208" i="7"/>
  <c r="B208" i="7"/>
  <c r="E207" i="7"/>
  <c r="D207" i="7"/>
  <c r="B207" i="7"/>
  <c r="E206" i="7"/>
  <c r="D206" i="7"/>
  <c r="B206" i="7"/>
  <c r="E205" i="7"/>
  <c r="D205" i="7"/>
  <c r="B205" i="7"/>
  <c r="E204" i="7"/>
  <c r="D204" i="7"/>
  <c r="B204" i="7"/>
  <c r="E203" i="7"/>
  <c r="D203" i="7"/>
  <c r="B203" i="7"/>
  <c r="E202" i="7"/>
  <c r="D202" i="7"/>
  <c r="B202" i="7"/>
  <c r="E201" i="7"/>
  <c r="D201" i="7"/>
  <c r="B201" i="7"/>
  <c r="E200" i="7"/>
  <c r="D200" i="7"/>
  <c r="B200" i="7"/>
  <c r="E199" i="7"/>
  <c r="D199" i="7"/>
  <c r="B199" i="7"/>
  <c r="E198" i="7"/>
  <c r="D198" i="7"/>
  <c r="B198" i="7"/>
  <c r="E197" i="7"/>
  <c r="D197" i="7"/>
  <c r="B197" i="7"/>
  <c r="E196" i="7"/>
  <c r="D196" i="7"/>
  <c r="B196" i="7"/>
  <c r="E195" i="7"/>
  <c r="D195" i="7"/>
  <c r="B195" i="7"/>
  <c r="E194" i="7"/>
  <c r="D194" i="7"/>
  <c r="B194" i="7"/>
  <c r="E193" i="7"/>
  <c r="D193" i="7"/>
  <c r="B193" i="7"/>
  <c r="E192" i="7"/>
  <c r="D192" i="7"/>
  <c r="B192" i="7"/>
  <c r="E191" i="7"/>
  <c r="D191" i="7"/>
  <c r="B191" i="7"/>
  <c r="E190" i="7"/>
  <c r="D190" i="7"/>
  <c r="B190" i="7"/>
  <c r="E189" i="7"/>
  <c r="D189" i="7"/>
  <c r="B189" i="7"/>
  <c r="E188" i="7"/>
  <c r="D188" i="7"/>
  <c r="B188" i="7"/>
  <c r="E187" i="7"/>
  <c r="D187" i="7"/>
  <c r="B187" i="7"/>
  <c r="E186" i="7"/>
  <c r="D186" i="7"/>
  <c r="B186" i="7"/>
  <c r="E185" i="7"/>
  <c r="D185" i="7"/>
  <c r="B185" i="7"/>
  <c r="E184" i="7"/>
  <c r="D184" i="7"/>
  <c r="B184" i="7"/>
  <c r="E183" i="7"/>
  <c r="D183" i="7"/>
  <c r="B183" i="7"/>
  <c r="E182" i="7"/>
  <c r="D182" i="7"/>
  <c r="B182" i="7"/>
  <c r="E181" i="7"/>
  <c r="D181" i="7"/>
  <c r="B181" i="7"/>
  <c r="E180" i="7"/>
  <c r="D180" i="7"/>
  <c r="B180" i="7"/>
  <c r="E179" i="7"/>
  <c r="D179" i="7"/>
  <c r="B179" i="7"/>
  <c r="E178" i="7"/>
  <c r="D178" i="7"/>
  <c r="B178" i="7"/>
  <c r="E177" i="7"/>
  <c r="D177" i="7"/>
  <c r="B177" i="7"/>
  <c r="E176" i="7"/>
  <c r="D176" i="7"/>
  <c r="B176" i="7"/>
  <c r="E175" i="7"/>
  <c r="D175" i="7"/>
  <c r="B175" i="7"/>
  <c r="E174" i="7"/>
  <c r="D174" i="7"/>
  <c r="B174" i="7"/>
  <c r="E173" i="7"/>
  <c r="D173" i="7"/>
  <c r="B173" i="7"/>
  <c r="E172" i="7"/>
  <c r="D172" i="7"/>
  <c r="B172" i="7"/>
  <c r="E171" i="7"/>
  <c r="D171" i="7"/>
  <c r="B171" i="7"/>
  <c r="E170" i="7"/>
  <c r="D170" i="7"/>
  <c r="B170" i="7"/>
  <c r="E169" i="7"/>
  <c r="D169" i="7"/>
  <c r="B169" i="7"/>
  <c r="E168" i="7"/>
  <c r="D168" i="7"/>
  <c r="B168" i="7"/>
  <c r="E167" i="7"/>
  <c r="D167" i="7"/>
  <c r="B167" i="7"/>
  <c r="E166" i="7"/>
  <c r="D166" i="7"/>
  <c r="B166" i="7"/>
  <c r="E165" i="7"/>
  <c r="D165" i="7"/>
  <c r="B165" i="7"/>
  <c r="E164" i="7"/>
  <c r="D164" i="7"/>
  <c r="B164" i="7"/>
  <c r="E163" i="7"/>
  <c r="D163" i="7"/>
  <c r="B163" i="7"/>
  <c r="E162" i="7"/>
  <c r="D162" i="7"/>
  <c r="B162" i="7"/>
  <c r="E161" i="7"/>
  <c r="D161" i="7"/>
  <c r="B161" i="7"/>
  <c r="E160" i="7"/>
  <c r="D160" i="7"/>
  <c r="B160" i="7"/>
  <c r="E159" i="7"/>
  <c r="D159" i="7"/>
  <c r="B159" i="7"/>
  <c r="E158" i="7"/>
  <c r="D158" i="7"/>
  <c r="B158" i="7"/>
  <c r="E157" i="7"/>
  <c r="D157" i="7"/>
  <c r="B157" i="7"/>
  <c r="E156" i="7"/>
  <c r="D156" i="7"/>
  <c r="B156" i="7"/>
  <c r="E155" i="7"/>
  <c r="D155" i="7"/>
  <c r="B155" i="7"/>
  <c r="E154" i="7"/>
  <c r="D154" i="7"/>
  <c r="B154" i="7"/>
  <c r="E153" i="7"/>
  <c r="D153" i="7"/>
  <c r="B153" i="7"/>
  <c r="E152" i="7"/>
  <c r="D152" i="7"/>
  <c r="B152" i="7"/>
  <c r="E151" i="7"/>
  <c r="D151" i="7"/>
  <c r="B151" i="7"/>
  <c r="E150" i="7"/>
  <c r="D150" i="7"/>
  <c r="B150" i="7"/>
  <c r="E149" i="7"/>
  <c r="D149" i="7"/>
  <c r="B149" i="7"/>
  <c r="E148" i="7"/>
  <c r="D148" i="7"/>
  <c r="B148" i="7"/>
  <c r="E147" i="7"/>
  <c r="D147" i="7"/>
  <c r="B147" i="7"/>
  <c r="E146" i="7"/>
  <c r="D146" i="7"/>
  <c r="B146" i="7"/>
  <c r="E145" i="7"/>
  <c r="D145" i="7"/>
  <c r="B145" i="7"/>
  <c r="E144" i="7"/>
  <c r="D144" i="7"/>
  <c r="B144" i="7"/>
  <c r="E143" i="7"/>
  <c r="D143" i="7"/>
  <c r="B143" i="7"/>
  <c r="E142" i="7"/>
  <c r="D142" i="7"/>
  <c r="B142" i="7"/>
  <c r="E141" i="7"/>
  <c r="D141" i="7"/>
  <c r="B141" i="7"/>
  <c r="E140" i="7"/>
  <c r="D140" i="7"/>
  <c r="B140" i="7"/>
  <c r="E139" i="7"/>
  <c r="D139" i="7"/>
  <c r="B139" i="7"/>
  <c r="E138" i="7"/>
  <c r="D138" i="7"/>
  <c r="B138" i="7"/>
  <c r="E137" i="7"/>
  <c r="D137" i="7"/>
  <c r="B137" i="7"/>
  <c r="E136" i="7"/>
  <c r="D136" i="7"/>
  <c r="B136" i="7"/>
  <c r="E135" i="7"/>
  <c r="D135" i="7"/>
  <c r="B135" i="7"/>
  <c r="E134" i="7"/>
  <c r="D134" i="7"/>
  <c r="B134" i="7"/>
  <c r="E133" i="7"/>
  <c r="D133" i="7"/>
  <c r="B133" i="7"/>
  <c r="E132" i="7"/>
  <c r="D132" i="7"/>
  <c r="B132" i="7"/>
  <c r="E131" i="7"/>
  <c r="D131" i="7"/>
  <c r="B131" i="7"/>
  <c r="E130" i="7"/>
  <c r="D130" i="7"/>
  <c r="B130" i="7"/>
  <c r="E129" i="7"/>
  <c r="D129" i="7"/>
  <c r="B129" i="7"/>
  <c r="E128" i="7"/>
  <c r="D128" i="7"/>
  <c r="B128" i="7"/>
  <c r="E127" i="7"/>
  <c r="D127" i="7"/>
  <c r="B127" i="7"/>
  <c r="E126" i="7"/>
  <c r="D126" i="7"/>
  <c r="B126" i="7"/>
  <c r="E125" i="7"/>
  <c r="D125" i="7"/>
  <c r="B125" i="7"/>
  <c r="E124" i="7"/>
  <c r="D124" i="7"/>
  <c r="B124" i="7"/>
  <c r="E123" i="7"/>
  <c r="D123" i="7"/>
  <c r="B123" i="7"/>
  <c r="E122" i="7"/>
  <c r="D122" i="7"/>
  <c r="B122" i="7"/>
  <c r="E121" i="7"/>
  <c r="D121" i="7"/>
  <c r="B121" i="7"/>
  <c r="E120" i="7"/>
  <c r="D120" i="7"/>
  <c r="B120" i="7"/>
  <c r="E119" i="7"/>
  <c r="D119" i="7"/>
  <c r="B119" i="7"/>
  <c r="E118" i="7"/>
  <c r="D118" i="7"/>
  <c r="B118" i="7"/>
  <c r="E117" i="7"/>
  <c r="D117" i="7"/>
  <c r="B117" i="7"/>
  <c r="E116" i="7"/>
  <c r="D116" i="7"/>
  <c r="B116" i="7"/>
  <c r="E115" i="7"/>
  <c r="D115" i="7"/>
  <c r="B115" i="7"/>
  <c r="E114" i="7"/>
  <c r="D114" i="7"/>
  <c r="B114" i="7"/>
  <c r="E113" i="7"/>
  <c r="D113" i="7"/>
  <c r="B113" i="7"/>
  <c r="E112" i="7"/>
  <c r="D112" i="7"/>
  <c r="B112" i="7"/>
  <c r="E111" i="7"/>
  <c r="D111" i="7"/>
  <c r="B111" i="7"/>
  <c r="E110" i="7"/>
  <c r="D110" i="7"/>
  <c r="B110" i="7"/>
  <c r="E109" i="7"/>
  <c r="D109" i="7"/>
  <c r="B109" i="7"/>
  <c r="E108" i="7"/>
  <c r="D108" i="7"/>
  <c r="B108" i="7"/>
  <c r="E107" i="7"/>
  <c r="D107" i="7"/>
  <c r="B107" i="7"/>
  <c r="E106" i="7"/>
  <c r="D106" i="7"/>
  <c r="B106" i="7"/>
  <c r="E105" i="7"/>
  <c r="D105" i="7"/>
  <c r="B105" i="7"/>
  <c r="E104" i="7"/>
  <c r="D104" i="7"/>
  <c r="B104" i="7"/>
  <c r="E103" i="7"/>
  <c r="D103" i="7"/>
  <c r="B103" i="7"/>
  <c r="E102" i="7"/>
  <c r="D102" i="7"/>
  <c r="B102" i="7"/>
  <c r="E101" i="7"/>
  <c r="D101" i="7"/>
  <c r="B101" i="7"/>
  <c r="E100" i="7"/>
  <c r="D100" i="7"/>
  <c r="B100" i="7"/>
  <c r="E99" i="7"/>
  <c r="D99" i="7"/>
  <c r="B99" i="7"/>
  <c r="E98" i="7"/>
  <c r="D98" i="7"/>
  <c r="B98" i="7"/>
  <c r="E97" i="7"/>
  <c r="D97" i="7"/>
  <c r="B97" i="7"/>
  <c r="E96" i="7"/>
  <c r="D96" i="7"/>
  <c r="B96" i="7"/>
  <c r="E95" i="7"/>
  <c r="D95" i="7"/>
  <c r="B95" i="7"/>
  <c r="E94" i="7"/>
  <c r="D94" i="7"/>
  <c r="B94" i="7"/>
  <c r="E93" i="7"/>
  <c r="D93" i="7"/>
  <c r="B93" i="7"/>
  <c r="E92" i="7"/>
  <c r="D92" i="7"/>
  <c r="B92" i="7"/>
  <c r="E91" i="7"/>
  <c r="D91" i="7"/>
  <c r="B91" i="7"/>
  <c r="E90" i="7"/>
  <c r="D90" i="7"/>
  <c r="B90" i="7"/>
  <c r="E89" i="7"/>
  <c r="D89" i="7"/>
  <c r="B89" i="7"/>
  <c r="E88" i="7"/>
  <c r="D88" i="7"/>
  <c r="B88" i="7"/>
  <c r="E87" i="7"/>
  <c r="D87" i="7"/>
  <c r="B87" i="7"/>
  <c r="E86" i="7"/>
  <c r="D86" i="7"/>
  <c r="B86" i="7"/>
  <c r="E85" i="7"/>
  <c r="D85" i="7"/>
  <c r="B85" i="7"/>
  <c r="E84" i="7"/>
  <c r="D84" i="7"/>
  <c r="B84" i="7"/>
  <c r="E83" i="7"/>
  <c r="D83" i="7"/>
  <c r="B83" i="7"/>
  <c r="E82" i="7"/>
  <c r="D82" i="7"/>
  <c r="B82" i="7"/>
  <c r="E81" i="7"/>
  <c r="D81" i="7"/>
  <c r="B81" i="7"/>
  <c r="E80" i="7"/>
  <c r="D80" i="7"/>
  <c r="B80" i="7"/>
  <c r="E79" i="7"/>
  <c r="D79" i="7"/>
  <c r="B79" i="7"/>
  <c r="E78" i="7"/>
  <c r="D78" i="7"/>
  <c r="B78" i="7"/>
  <c r="E77" i="7"/>
  <c r="D77" i="7"/>
  <c r="B77" i="7"/>
  <c r="E76" i="7"/>
  <c r="D76" i="7"/>
  <c r="B76" i="7"/>
  <c r="E75" i="7"/>
  <c r="D75" i="7"/>
  <c r="B75" i="7"/>
  <c r="E74" i="7"/>
  <c r="D74" i="7"/>
  <c r="B74" i="7"/>
  <c r="E73" i="7"/>
  <c r="D73" i="7"/>
  <c r="B73" i="7"/>
  <c r="E72" i="7"/>
  <c r="D72" i="7"/>
  <c r="B72" i="7"/>
  <c r="E71" i="7"/>
  <c r="D71" i="7"/>
  <c r="B71" i="7"/>
  <c r="E70" i="7"/>
  <c r="D70" i="7"/>
  <c r="B70" i="7"/>
  <c r="E69" i="7"/>
  <c r="D69" i="7"/>
  <c r="B69" i="7"/>
  <c r="E68" i="7"/>
  <c r="D68" i="7"/>
  <c r="B68" i="7"/>
  <c r="E67" i="7"/>
  <c r="D67" i="7"/>
  <c r="B67" i="7"/>
  <c r="E66" i="7"/>
  <c r="D66" i="7"/>
  <c r="B66" i="7"/>
  <c r="E65" i="7"/>
  <c r="D65" i="7"/>
  <c r="B65" i="7"/>
  <c r="E64" i="7"/>
  <c r="D64" i="7"/>
  <c r="B64" i="7"/>
  <c r="E63" i="7"/>
  <c r="D63" i="7"/>
  <c r="B63" i="7"/>
  <c r="E62" i="7"/>
  <c r="D62" i="7"/>
  <c r="B62" i="7"/>
  <c r="E61" i="7"/>
  <c r="D61" i="7"/>
  <c r="B61" i="7"/>
  <c r="E60" i="7"/>
  <c r="D60" i="7"/>
  <c r="B60" i="7"/>
  <c r="E59" i="7"/>
  <c r="D59" i="7"/>
  <c r="B59" i="7"/>
  <c r="E58" i="7"/>
  <c r="D58" i="7"/>
  <c r="B58" i="7"/>
  <c r="E57" i="7"/>
  <c r="D57" i="7"/>
  <c r="B57" i="7"/>
  <c r="E56" i="7"/>
  <c r="D56" i="7"/>
  <c r="B56" i="7"/>
  <c r="E55" i="7"/>
  <c r="D55" i="7"/>
  <c r="B55" i="7"/>
  <c r="E54" i="7"/>
  <c r="D54" i="7"/>
  <c r="B54" i="7"/>
  <c r="E53" i="7"/>
  <c r="D53" i="7"/>
  <c r="B53" i="7"/>
  <c r="E52" i="7"/>
  <c r="D52" i="7"/>
  <c r="B52" i="7"/>
  <c r="E51" i="7"/>
  <c r="D51" i="7"/>
  <c r="B51" i="7"/>
  <c r="E50" i="7"/>
  <c r="D50" i="7"/>
  <c r="B50" i="7"/>
  <c r="E49" i="7"/>
  <c r="D49" i="7"/>
  <c r="B49" i="7"/>
  <c r="E48" i="7"/>
  <c r="D48" i="7"/>
  <c r="B48" i="7"/>
  <c r="E47" i="7"/>
  <c r="D47" i="7"/>
  <c r="B47" i="7"/>
  <c r="E46" i="7"/>
  <c r="D46" i="7"/>
  <c r="B46" i="7"/>
  <c r="E45" i="7"/>
  <c r="D45" i="7"/>
  <c r="B45" i="7"/>
  <c r="E44" i="7"/>
  <c r="D44" i="7"/>
  <c r="B44" i="7"/>
  <c r="E43" i="7"/>
  <c r="D43" i="7"/>
  <c r="B43" i="7"/>
  <c r="E42" i="7"/>
  <c r="D42" i="7"/>
  <c r="B42" i="7"/>
  <c r="E41" i="7"/>
  <c r="D41" i="7"/>
  <c r="B41" i="7"/>
  <c r="E40" i="7"/>
  <c r="D40" i="7"/>
  <c r="B40" i="7"/>
  <c r="E39" i="7"/>
  <c r="D39" i="7"/>
  <c r="B39" i="7"/>
  <c r="E38" i="7"/>
  <c r="D38" i="7"/>
  <c r="B38" i="7"/>
  <c r="E37" i="7"/>
  <c r="D37" i="7"/>
  <c r="B37" i="7"/>
  <c r="E36" i="7"/>
  <c r="D36" i="7"/>
  <c r="B36" i="7"/>
  <c r="E35" i="7"/>
  <c r="D35" i="7"/>
  <c r="B35" i="7"/>
  <c r="E34" i="7"/>
  <c r="D34" i="7"/>
  <c r="B34" i="7"/>
  <c r="E33" i="7"/>
  <c r="D33" i="7"/>
  <c r="B33" i="7"/>
  <c r="E32" i="7"/>
  <c r="D32" i="7"/>
  <c r="B32" i="7"/>
  <c r="E31" i="7"/>
  <c r="D31" i="7"/>
  <c r="B31" i="7"/>
  <c r="E30" i="7"/>
  <c r="D30" i="7"/>
  <c r="B30" i="7"/>
  <c r="E29" i="7"/>
  <c r="D29" i="7"/>
  <c r="B29" i="7"/>
  <c r="E28" i="7"/>
  <c r="D28" i="7"/>
  <c r="B28" i="7"/>
  <c r="E27" i="7"/>
  <c r="D27" i="7"/>
  <c r="B27" i="7"/>
  <c r="E26" i="7"/>
  <c r="D26" i="7"/>
  <c r="B26" i="7"/>
  <c r="E25" i="7"/>
  <c r="D25" i="7"/>
  <c r="B25" i="7"/>
  <c r="E24" i="7"/>
  <c r="D24" i="7"/>
  <c r="B24" i="7"/>
  <c r="E23" i="7"/>
  <c r="D23" i="7"/>
  <c r="B23" i="7"/>
  <c r="E22" i="7"/>
  <c r="D22" i="7"/>
  <c r="B22" i="7"/>
  <c r="E21" i="7"/>
  <c r="D21" i="7"/>
  <c r="B21" i="7"/>
  <c r="E20" i="7"/>
  <c r="D20" i="7"/>
  <c r="B20" i="7"/>
  <c r="E19" i="7"/>
  <c r="D19" i="7"/>
  <c r="B19" i="7"/>
  <c r="E18" i="7"/>
  <c r="D18" i="7"/>
  <c r="B18" i="7"/>
  <c r="E17" i="7"/>
  <c r="D17" i="7"/>
  <c r="B17" i="7"/>
  <c r="E16" i="7"/>
  <c r="D16" i="7"/>
  <c r="B16" i="7"/>
  <c r="E15" i="7"/>
  <c r="D15" i="7"/>
  <c r="B15" i="7"/>
  <c r="E14" i="7"/>
  <c r="D14" i="7"/>
  <c r="B14" i="7"/>
  <c r="E13" i="7"/>
  <c r="D13" i="7"/>
  <c r="B13" i="7"/>
  <c r="E12" i="7"/>
  <c r="D12" i="7"/>
  <c r="B12" i="7"/>
  <c r="E11" i="7"/>
  <c r="D11" i="7"/>
  <c r="B11" i="7"/>
  <c r="E10" i="7"/>
  <c r="D10" i="7"/>
  <c r="B10" i="7"/>
  <c r="E9" i="7"/>
  <c r="D9" i="7"/>
  <c r="B9" i="7"/>
  <c r="E8" i="7"/>
  <c r="D8" i="7"/>
  <c r="B8" i="7"/>
  <c r="E7" i="7"/>
  <c r="D7" i="7"/>
  <c r="B7" i="7"/>
  <c r="E6" i="7"/>
  <c r="D6" i="7"/>
  <c r="B6" i="7"/>
  <c r="E5" i="7"/>
  <c r="D5" i="7"/>
  <c r="B5" i="7"/>
  <c r="E4" i="7"/>
  <c r="D4" i="7"/>
  <c r="B4" i="7"/>
  <c r="E3" i="7"/>
  <c r="D3" i="7"/>
  <c r="B3" i="7"/>
  <c r="E2" i="7"/>
  <c r="D2" i="7"/>
  <c r="B2" i="7"/>
  <c r="J6014" i="39"/>
  <c r="J5998" i="39"/>
  <c r="J5991" i="39"/>
  <c r="J5974" i="39"/>
  <c r="J5943" i="39"/>
  <c r="J5942" i="39"/>
  <c r="J5902" i="39"/>
  <c r="J5871" i="39"/>
  <c r="J5830" i="39"/>
  <c r="J5806" i="39"/>
  <c r="J5775" i="39"/>
  <c r="J5774" i="39"/>
  <c r="J5717" i="39"/>
  <c r="J5703" i="39"/>
  <c r="J5679" i="39"/>
  <c r="J5662" i="39"/>
  <c r="J5607" i="39"/>
  <c r="J5582" i="39"/>
  <c r="J5494" i="39"/>
  <c r="J5439" i="39"/>
  <c r="J5438" i="39"/>
  <c r="J5414" i="39"/>
  <c r="J5367" i="39"/>
  <c r="J5326" i="39"/>
  <c r="J5271" i="39"/>
  <c r="J5270" i="39"/>
  <c r="J5248" i="39"/>
  <c r="J5246" i="39"/>
  <c r="J5199" i="39"/>
  <c r="J5175" i="39"/>
  <c r="J5174" i="39"/>
  <c r="J5151" i="39"/>
  <c r="J5103" i="39"/>
  <c r="J5102" i="39"/>
  <c r="J5062" i="39"/>
  <c r="J5048" i="39"/>
  <c r="J5031" i="39"/>
  <c r="J4990" i="39"/>
  <c r="J4935" i="39"/>
  <c r="J4934" i="39"/>
  <c r="J4910" i="39"/>
  <c r="J4880" i="39"/>
  <c r="J4863" i="39"/>
  <c r="J4839" i="39"/>
  <c r="J4822" i="39"/>
  <c r="J4767" i="39"/>
  <c r="J4766" i="39"/>
  <c r="J4742" i="39"/>
  <c r="J4695" i="39"/>
  <c r="J4670" i="39"/>
  <c r="J4654" i="39"/>
  <c r="J4640" i="39"/>
  <c r="J4599" i="39"/>
  <c r="J4598" i="39"/>
  <c r="J4584" i="39"/>
  <c r="J4575" i="39"/>
  <c r="J4574" i="39"/>
  <c r="J4558" i="39"/>
  <c r="J4501" i="39"/>
  <c r="J4486" i="39"/>
  <c r="J4485" i="39"/>
  <c r="J4462" i="39"/>
  <c r="J4448" i="39"/>
  <c r="J4431" i="39"/>
  <c r="J4430" i="39"/>
  <c r="J4429" i="39"/>
  <c r="J4406" i="39"/>
  <c r="J4349" i="39"/>
  <c r="J4335" i="39"/>
  <c r="J4334" i="39"/>
  <c r="J4318" i="39"/>
  <c r="J4317" i="39"/>
  <c r="J4294" i="39"/>
  <c r="J4263" i="39"/>
  <c r="J4262" i="39"/>
  <c r="J4261" i="39"/>
  <c r="J4238" i="39"/>
  <c r="J4237" i="39"/>
  <c r="J4222" i="39"/>
  <c r="J4221" i="39"/>
  <c r="J4205" i="39"/>
  <c r="J4191" i="39"/>
  <c r="J4165" i="39"/>
  <c r="J4126" i="39"/>
  <c r="J4095" i="39"/>
  <c r="J4094" i="39"/>
  <c r="J4093" i="39"/>
  <c r="J4070" i="39"/>
  <c r="J4053" i="39"/>
  <c r="J4023" i="39"/>
  <c r="J4013" i="39"/>
  <c r="J3999" i="39"/>
  <c r="J3997" i="39"/>
  <c r="J3981" i="39"/>
  <c r="J3974" i="39"/>
  <c r="J3958" i="39"/>
  <c r="J3927" i="39"/>
  <c r="J3926" i="39"/>
  <c r="J3925" i="39"/>
  <c r="J3902" i="39"/>
  <c r="J3885" i="39"/>
  <c r="J3855" i="39"/>
  <c r="J3829" i="39"/>
  <c r="J3814" i="39"/>
  <c r="J3813" i="39"/>
  <c r="J3806" i="39"/>
  <c r="J3790" i="39"/>
  <c r="J3759" i="39"/>
  <c r="J3758" i="39"/>
  <c r="J3757" i="39"/>
  <c r="J3734" i="39"/>
  <c r="J3717" i="39"/>
  <c r="J3701" i="39"/>
  <c r="J3693" i="39"/>
  <c r="J3663" i="39"/>
  <c r="J3661" i="39"/>
  <c r="J3646" i="39"/>
  <c r="J3645" i="39"/>
  <c r="J3605" i="39"/>
  <c r="J3591" i="39"/>
  <c r="J3590" i="39"/>
  <c r="J3589" i="39"/>
  <c r="J3566" i="39"/>
  <c r="J3565" i="39"/>
  <c r="J3549" i="39"/>
  <c r="J3519" i="39"/>
  <c r="J3495" i="39"/>
  <c r="J3478" i="39"/>
  <c r="J3477" i="39"/>
  <c r="J3456" i="39"/>
  <c r="J3454" i="39"/>
  <c r="J3423" i="39"/>
  <c r="J3422" i="39"/>
  <c r="J3421" i="39"/>
  <c r="J3408" i="39"/>
  <c r="J3398" i="39"/>
  <c r="J3381" i="39"/>
  <c r="J3351" i="39"/>
  <c r="J3325" i="39"/>
  <c r="J3310" i="39"/>
  <c r="J3309" i="39"/>
  <c r="J3303" i="39"/>
  <c r="J3302" i="39"/>
  <c r="J3286" i="39"/>
  <c r="J3285" i="39"/>
  <c r="J3255" i="39"/>
  <c r="J3254" i="39"/>
  <c r="J3253" i="39"/>
  <c r="J3230" i="39"/>
  <c r="J3229" i="39"/>
  <c r="J3216" i="39"/>
  <c r="J3213" i="39"/>
  <c r="J3190" i="39"/>
  <c r="J3184" i="39"/>
  <c r="J3183" i="39"/>
  <c r="J3169" i="39"/>
  <c r="J3158" i="39"/>
  <c r="J3157" i="39"/>
  <c r="J3142" i="39"/>
  <c r="J3141" i="39"/>
  <c r="J3128" i="39"/>
  <c r="J3118" i="39"/>
  <c r="J3101" i="39"/>
  <c r="J3087" i="39"/>
  <c r="J3086" i="39"/>
  <c r="J3085" i="39"/>
  <c r="J3062" i="39"/>
  <c r="J3061" i="39"/>
  <c r="J3045" i="39"/>
  <c r="J3021" i="39"/>
  <c r="J3015" i="39"/>
  <c r="J2989" i="39"/>
  <c r="J2975" i="39"/>
  <c r="J2974" i="39"/>
  <c r="J2973" i="39"/>
  <c r="J2950" i="39"/>
  <c r="J2949" i="39"/>
  <c r="J2919" i="39"/>
  <c r="J2918" i="39"/>
  <c r="J2917" i="39"/>
  <c r="J2904" i="39"/>
  <c r="J2895" i="39"/>
  <c r="J2894" i="39"/>
  <c r="J2861" i="39"/>
  <c r="J2847" i="39"/>
  <c r="J2823" i="39"/>
  <c r="J2821" i="39"/>
  <c r="J2806" i="39"/>
  <c r="J2805" i="39"/>
  <c r="J2799" i="39"/>
  <c r="J2782" i="39"/>
  <c r="J2781" i="39"/>
  <c r="J2758" i="39"/>
  <c r="J2751" i="39"/>
  <c r="J2750" i="39"/>
  <c r="J2749" i="39"/>
  <c r="J2709" i="39"/>
  <c r="J2679" i="39"/>
  <c r="J2656" i="39"/>
  <c r="J2653" i="39"/>
  <c r="J2640" i="39"/>
  <c r="J2638" i="39"/>
  <c r="J2637" i="39"/>
  <c r="J2624" i="39"/>
  <c r="J2614" i="39"/>
  <c r="J2613" i="39"/>
  <c r="J2584" i="39"/>
  <c r="J2583" i="39"/>
  <c r="J2582" i="39"/>
  <c r="J2581" i="39"/>
  <c r="J2557" i="39"/>
  <c r="J2541" i="39"/>
  <c r="J2512" i="39"/>
  <c r="J2511" i="39"/>
  <c r="J2488" i="39"/>
  <c r="J2487" i="39"/>
  <c r="J2485" i="39"/>
  <c r="J2470" i="39"/>
  <c r="J2469" i="39"/>
  <c r="J2446" i="39"/>
  <c r="J2429" i="39"/>
  <c r="J2415" i="39"/>
  <c r="J2414" i="39"/>
  <c r="J2413" i="39"/>
  <c r="J2390" i="39"/>
  <c r="J2373" i="39"/>
  <c r="J2343" i="39"/>
  <c r="J2334" i="39"/>
  <c r="J2319" i="39"/>
  <c r="J2318" i="39"/>
  <c r="J2317" i="39"/>
  <c r="J2301" i="39"/>
  <c r="J2247" i="39"/>
  <c r="J2246" i="39"/>
  <c r="J2245" i="39"/>
  <c r="J2232" i="39"/>
  <c r="J2222" i="39"/>
  <c r="J2205" i="39"/>
  <c r="J2181" i="39"/>
  <c r="J2175" i="39"/>
  <c r="J2152" i="39"/>
  <c r="J2151" i="39"/>
  <c r="J2150" i="39"/>
  <c r="J2149" i="39"/>
  <c r="J2134" i="39"/>
  <c r="J2133" i="39"/>
  <c r="J2110" i="39"/>
  <c r="J2109" i="39"/>
  <c r="J2096" i="39"/>
  <c r="J2079" i="39"/>
  <c r="J2078" i="39"/>
  <c r="J2077" i="39"/>
  <c r="J2040" i="39"/>
  <c r="J2038" i="39"/>
  <c r="J2037" i="39"/>
  <c r="J2024" i="39"/>
  <c r="J2021" i="39"/>
  <c r="J2008" i="39"/>
  <c r="J2007" i="39"/>
  <c r="J1982" i="39"/>
  <c r="J1966" i="39"/>
  <c r="J1965" i="39"/>
  <c r="J1942" i="39"/>
  <c r="J1941" i="39"/>
  <c r="J1911" i="39"/>
  <c r="J1910" i="39"/>
  <c r="J1909" i="39"/>
  <c r="J1885" i="39"/>
  <c r="J1870" i="39"/>
  <c r="J1869" i="39"/>
  <c r="J1856" i="39"/>
  <c r="J1839" i="39"/>
  <c r="J1813" i="39"/>
  <c r="J1797" i="39"/>
  <c r="J1791" i="39"/>
  <c r="J1774" i="39"/>
  <c r="J1773" i="39"/>
  <c r="J1749" i="39"/>
  <c r="J1744" i="39"/>
  <c r="J1743" i="39"/>
  <c r="J1742" i="39"/>
  <c r="J1741" i="39"/>
  <c r="J1729" i="39"/>
  <c r="J1702" i="39"/>
  <c r="J1701" i="39"/>
  <c r="J1671" i="39"/>
  <c r="J1657" i="39"/>
  <c r="J1645" i="39"/>
  <c r="J1630" i="39"/>
  <c r="J1629" i="39"/>
  <c r="J1623" i="39"/>
  <c r="J1606" i="39"/>
  <c r="J1605" i="39"/>
  <c r="J1581" i="39"/>
  <c r="J1575" i="39"/>
  <c r="J1574" i="39"/>
  <c r="J1573" i="39"/>
  <c r="J1534" i="39"/>
  <c r="J1533" i="39"/>
  <c r="J1521" i="39"/>
  <c r="J1520" i="39"/>
  <c r="J1504" i="39"/>
  <c r="J1478" i="39"/>
  <c r="J1477" i="39"/>
  <c r="J1462" i="39"/>
  <c r="J1461" i="39"/>
  <c r="J1455" i="39"/>
  <c r="J1449" i="39"/>
  <c r="J1448" i="39"/>
  <c r="J1438" i="39"/>
  <c r="J1437" i="39"/>
  <c r="J1421" i="39"/>
  <c r="J1413" i="39"/>
  <c r="J1407" i="39"/>
  <c r="J1406" i="39"/>
  <c r="J1405" i="39"/>
  <c r="J1393" i="39"/>
  <c r="J1384" i="39"/>
  <c r="J1383" i="39"/>
  <c r="J1382" i="39"/>
  <c r="J1368" i="39"/>
  <c r="J1365" i="39"/>
  <c r="J1352" i="39"/>
  <c r="J1336" i="39"/>
  <c r="J1335" i="39"/>
  <c r="J1329" i="39"/>
  <c r="J1328" i="39"/>
  <c r="J1321" i="39"/>
  <c r="J1312" i="39"/>
  <c r="J1311" i="39"/>
  <c r="J1310" i="39"/>
  <c r="J1309" i="39"/>
  <c r="J1294" i="39"/>
  <c r="J1293" i="39"/>
  <c r="J1281" i="39"/>
  <c r="J1280" i="39"/>
  <c r="J1270" i="39"/>
  <c r="J1257" i="39"/>
  <c r="J1239" i="39"/>
  <c r="J1238" i="39"/>
  <c r="J1237" i="39"/>
  <c r="J1214" i="39"/>
  <c r="J1213" i="39"/>
  <c r="J1200" i="39"/>
  <c r="J1197" i="39"/>
  <c r="J1172" i="39"/>
  <c r="J1168" i="39"/>
  <c r="J1167" i="39"/>
  <c r="J1153" i="39"/>
  <c r="J1143" i="39"/>
  <c r="J1142" i="39"/>
  <c r="J1141" i="39"/>
  <c r="J1128" i="39"/>
  <c r="J1126" i="39"/>
  <c r="J1119" i="39"/>
  <c r="J1113" i="39"/>
  <c r="J1102" i="39"/>
  <c r="J1101" i="39"/>
  <c r="J1088" i="39"/>
  <c r="J1085" i="39"/>
  <c r="J1077" i="39"/>
  <c r="J1072" i="39"/>
  <c r="J1071" i="39"/>
  <c r="J1070" i="39"/>
  <c r="J1069" i="39"/>
  <c r="J1057" i="39"/>
  <c r="J1048" i="39"/>
  <c r="J1046" i="39"/>
  <c r="J1041" i="39"/>
  <c r="J1030" i="39"/>
  <c r="J1017" i="39"/>
  <c r="J1013" i="39"/>
  <c r="J1005" i="39"/>
  <c r="J999" i="39"/>
  <c r="J993" i="39"/>
  <c r="J985" i="39"/>
  <c r="J973" i="39"/>
  <c r="J958" i="39"/>
  <c r="J957" i="39"/>
  <c r="J945" i="39"/>
  <c r="J934" i="39"/>
  <c r="J921" i="39"/>
  <c r="J916" i="39"/>
  <c r="J902" i="39"/>
  <c r="J901" i="39"/>
  <c r="J893" i="39"/>
  <c r="J889" i="39"/>
  <c r="J888" i="39"/>
  <c r="J878" i="39"/>
  <c r="J873" i="39"/>
  <c r="J864" i="39"/>
  <c r="J861" i="39"/>
  <c r="J849" i="39"/>
  <c r="J846" i="39"/>
  <c r="J841" i="39"/>
  <c r="J838" i="39"/>
  <c r="J837" i="39"/>
  <c r="J832" i="39"/>
  <c r="J831" i="39"/>
  <c r="J825" i="39"/>
  <c r="J817" i="39"/>
  <c r="J805" i="39"/>
  <c r="J792" i="39"/>
  <c r="J790" i="39"/>
  <c r="J789" i="39"/>
  <c r="A3" i="39" a="1"/>
  <c r="I11" i="39" s="1"/>
  <c r="J11" i="39" s="1"/>
  <c r="A2" i="39" a="1"/>
  <c r="A2" i="39" s="1"/>
  <c r="B1" i="41"/>
  <c r="H1" i="25"/>
  <c r="I1" i="25" s="1"/>
  <c r="J34" i="24"/>
  <c r="F27" i="30"/>
  <c r="F26" i="30"/>
  <c r="E26" i="30"/>
  <c r="U112" i="26" s="1"/>
  <c r="F25" i="30"/>
  <c r="E25" i="30"/>
  <c r="F24" i="30"/>
  <c r="E24" i="30"/>
  <c r="F23" i="30"/>
  <c r="E23" i="30"/>
  <c r="F22" i="30"/>
  <c r="S21" i="30"/>
  <c r="R21" i="30"/>
  <c r="Q21" i="30"/>
  <c r="P21" i="30"/>
  <c r="O21" i="30"/>
  <c r="N21" i="30"/>
  <c r="M21" i="30"/>
  <c r="L21" i="30"/>
  <c r="K21" i="30"/>
  <c r="J21" i="30"/>
  <c r="I21" i="30"/>
  <c r="E17" i="30"/>
  <c r="P122" i="26" s="1"/>
  <c r="E16" i="30"/>
  <c r="P120" i="26" s="1"/>
  <c r="E15" i="30"/>
  <c r="S14" i="30"/>
  <c r="R14" i="30"/>
  <c r="Q14" i="30"/>
  <c r="P14" i="30"/>
  <c r="O14" i="30"/>
  <c r="N14" i="30"/>
  <c r="M14" i="30"/>
  <c r="L14" i="30"/>
  <c r="K14" i="30"/>
  <c r="J14" i="30"/>
  <c r="I14" i="30"/>
  <c r="H14" i="30"/>
  <c r="F10" i="30"/>
  <c r="F9" i="30"/>
  <c r="E9" i="30"/>
  <c r="P113" i="26" s="1"/>
  <c r="F8" i="30"/>
  <c r="F7" i="30"/>
  <c r="E7" i="30"/>
  <c r="F6" i="30"/>
  <c r="E6" i="30"/>
  <c r="P110" i="26" s="1"/>
  <c r="S4" i="30"/>
  <c r="R4" i="30"/>
  <c r="Q4" i="30"/>
  <c r="P4" i="30"/>
  <c r="O4" i="30"/>
  <c r="N4" i="30"/>
  <c r="M4" i="30"/>
  <c r="L4" i="30"/>
  <c r="K4" i="30"/>
  <c r="J4" i="30"/>
  <c r="I4" i="30"/>
  <c r="H4" i="30"/>
  <c r="AH27" i="33"/>
  <c r="AG27" i="33"/>
  <c r="AF27" i="33"/>
  <c r="AE27" i="33"/>
  <c r="AD27" i="33"/>
  <c r="AC27" i="33"/>
  <c r="AB27" i="33"/>
  <c r="AA27" i="33"/>
  <c r="Z27" i="33"/>
  <c r="Y27" i="33"/>
  <c r="X27" i="33"/>
  <c r="W27" i="33"/>
  <c r="V27" i="33"/>
  <c r="O27" i="33"/>
  <c r="N27" i="33"/>
  <c r="M27" i="33"/>
  <c r="L27" i="33"/>
  <c r="K27" i="33"/>
  <c r="J27" i="33"/>
  <c r="I27" i="33"/>
  <c r="H27" i="33"/>
  <c r="G27" i="33"/>
  <c r="F27" i="33"/>
  <c r="E27" i="33"/>
  <c r="D27" i="33"/>
  <c r="P26" i="33"/>
  <c r="P25" i="33"/>
  <c r="P24" i="33"/>
  <c r="AH23" i="33"/>
  <c r="AG23" i="33"/>
  <c r="AF23" i="33"/>
  <c r="AE23" i="33"/>
  <c r="AD23" i="33"/>
  <c r="AC23" i="33"/>
  <c r="AB23" i="33"/>
  <c r="AA23" i="33"/>
  <c r="Z23" i="33"/>
  <c r="Y23" i="33"/>
  <c r="X23" i="33"/>
  <c r="W23" i="33"/>
  <c r="V23" i="33"/>
  <c r="P23" i="33"/>
  <c r="P22" i="33"/>
  <c r="AH18" i="33"/>
  <c r="AG18" i="33"/>
  <c r="AF18" i="33"/>
  <c r="AE18" i="33"/>
  <c r="AD18" i="33"/>
  <c r="AC18" i="33"/>
  <c r="AB18" i="33"/>
  <c r="AA18" i="33"/>
  <c r="Z18" i="33"/>
  <c r="Y18" i="33"/>
  <c r="X18" i="33"/>
  <c r="W18" i="33"/>
  <c r="V18" i="33"/>
  <c r="O18" i="33"/>
  <c r="N18" i="33"/>
  <c r="M18" i="33"/>
  <c r="L18" i="33"/>
  <c r="K18" i="33"/>
  <c r="J18" i="33"/>
  <c r="I18" i="33"/>
  <c r="H18" i="33"/>
  <c r="G18" i="33"/>
  <c r="F18" i="33"/>
  <c r="E18" i="33"/>
  <c r="D18" i="33"/>
  <c r="P17" i="33"/>
  <c r="P16" i="33"/>
  <c r="P15" i="33"/>
  <c r="P14" i="33"/>
  <c r="AH13" i="33"/>
  <c r="AG13" i="33"/>
  <c r="AF13" i="33"/>
  <c r="AE13" i="33"/>
  <c r="AD13" i="33"/>
  <c r="AC13" i="33"/>
  <c r="AB13" i="33"/>
  <c r="AA13" i="33"/>
  <c r="Z13" i="33"/>
  <c r="Y13" i="33"/>
  <c r="X13" i="33"/>
  <c r="W13" i="33"/>
  <c r="V13" i="33"/>
  <c r="P13" i="33"/>
  <c r="AH9" i="33"/>
  <c r="AG9" i="33"/>
  <c r="AF9" i="33"/>
  <c r="AE9" i="33"/>
  <c r="AD9" i="33"/>
  <c r="AC9" i="33"/>
  <c r="AB9" i="33"/>
  <c r="AA9" i="33"/>
  <c r="Z9" i="33"/>
  <c r="Y9" i="33"/>
  <c r="X9" i="33"/>
  <c r="W9" i="33"/>
  <c r="V9" i="33"/>
  <c r="O8" i="33"/>
  <c r="N8" i="33"/>
  <c r="M8" i="33"/>
  <c r="L8" i="33"/>
  <c r="K8" i="33"/>
  <c r="J8" i="33"/>
  <c r="I8" i="33"/>
  <c r="H8" i="33"/>
  <c r="G8" i="33"/>
  <c r="F8" i="33"/>
  <c r="E8" i="33"/>
  <c r="D8" i="33"/>
  <c r="O7" i="33"/>
  <c r="N7" i="33"/>
  <c r="M7" i="33"/>
  <c r="L7" i="33"/>
  <c r="K7" i="33"/>
  <c r="J7" i="33"/>
  <c r="I7" i="33"/>
  <c r="H7" i="33"/>
  <c r="G7" i="33"/>
  <c r="F7" i="33"/>
  <c r="E7" i="33"/>
  <c r="D7" i="33"/>
  <c r="O6" i="33"/>
  <c r="N6" i="33"/>
  <c r="M6" i="33"/>
  <c r="L6" i="33"/>
  <c r="K6" i="33"/>
  <c r="J6" i="33"/>
  <c r="I6" i="33"/>
  <c r="H6" i="33"/>
  <c r="G6" i="33"/>
  <c r="F6" i="33"/>
  <c r="E6" i="33"/>
  <c r="D6" i="33"/>
  <c r="O5" i="33"/>
  <c r="N5" i="33"/>
  <c r="M5" i="33"/>
  <c r="L5" i="33"/>
  <c r="K5" i="33"/>
  <c r="J5" i="33"/>
  <c r="I5" i="33"/>
  <c r="H5" i="33"/>
  <c r="G5" i="33"/>
  <c r="F5" i="33"/>
  <c r="E5" i="33"/>
  <c r="D5" i="33"/>
  <c r="O4" i="33"/>
  <c r="N4" i="33"/>
  <c r="M4" i="33"/>
  <c r="L4" i="33"/>
  <c r="K4" i="33"/>
  <c r="J4" i="33"/>
  <c r="I4" i="33"/>
  <c r="H4" i="33"/>
  <c r="G4" i="33"/>
  <c r="F4" i="33"/>
  <c r="E4" i="33"/>
  <c r="D4" i="33"/>
  <c r="G1" i="36"/>
  <c r="F1" i="36"/>
  <c r="AM311" i="32"/>
  <c r="AM310" i="32"/>
  <c r="AM309" i="32"/>
  <c r="AM308" i="32"/>
  <c r="AM307" i="32"/>
  <c r="AM306" i="32"/>
  <c r="AM305" i="32"/>
  <c r="AM304" i="32"/>
  <c r="AM303" i="32"/>
  <c r="AM302" i="32"/>
  <c r="AM301" i="32"/>
  <c r="AM300" i="32"/>
  <c r="AM299" i="32"/>
  <c r="AM298" i="32"/>
  <c r="AM297" i="32"/>
  <c r="AM296" i="32"/>
  <c r="AM295" i="32"/>
  <c r="AM294" i="32"/>
  <c r="AM293" i="32"/>
  <c r="AM292" i="32"/>
  <c r="AM291" i="32"/>
  <c r="AM290" i="32"/>
  <c r="AM289" i="32"/>
  <c r="AM288" i="32"/>
  <c r="AM287" i="32"/>
  <c r="AM286" i="32"/>
  <c r="AM285" i="32"/>
  <c r="AM284" i="32"/>
  <c r="AM283" i="32"/>
  <c r="AM282" i="32"/>
  <c r="AM281" i="32"/>
  <c r="AM280" i="32"/>
  <c r="AM279" i="32"/>
  <c r="AM278" i="32"/>
  <c r="AM277" i="32"/>
  <c r="AM276" i="32"/>
  <c r="AM275" i="32"/>
  <c r="AM274" i="32"/>
  <c r="AM273" i="32"/>
  <c r="AM272" i="32"/>
  <c r="AM271" i="32"/>
  <c r="AM270" i="32"/>
  <c r="AM269" i="32"/>
  <c r="AM268" i="32"/>
  <c r="AM267" i="32"/>
  <c r="AM266" i="32"/>
  <c r="AM265" i="32"/>
  <c r="AM264" i="32"/>
  <c r="AM263" i="32"/>
  <c r="AM262" i="32"/>
  <c r="AM261" i="32"/>
  <c r="AM260" i="32"/>
  <c r="AM259" i="32"/>
  <c r="AM258" i="32"/>
  <c r="AM257" i="32"/>
  <c r="AM256" i="32"/>
  <c r="AM255" i="32"/>
  <c r="AM254" i="32"/>
  <c r="AM253" i="32"/>
  <c r="AM252" i="32"/>
  <c r="AM251" i="32"/>
  <c r="AM250" i="32"/>
  <c r="AM249" i="32"/>
  <c r="AM248" i="32"/>
  <c r="AM247" i="32"/>
  <c r="AM246" i="32"/>
  <c r="AM245" i="32"/>
  <c r="AS244" i="32"/>
  <c r="AM244" i="32"/>
  <c r="AS243" i="32"/>
  <c r="AM243" i="32"/>
  <c r="AS242" i="32"/>
  <c r="AM242" i="32"/>
  <c r="AS241" i="32"/>
  <c r="AM241" i="32"/>
  <c r="AS240" i="32"/>
  <c r="AM240" i="32"/>
  <c r="P236" i="32"/>
  <c r="O236" i="32"/>
  <c r="N236" i="32"/>
  <c r="M236" i="32"/>
  <c r="L236" i="32"/>
  <c r="K236" i="32"/>
  <c r="J236" i="32"/>
  <c r="I236" i="32"/>
  <c r="H236" i="32"/>
  <c r="G236" i="32"/>
  <c r="F236" i="32"/>
  <c r="E236" i="32"/>
  <c r="Q235" i="32"/>
  <c r="P235" i="32"/>
  <c r="O235" i="32"/>
  <c r="N235" i="32"/>
  <c r="M235" i="32"/>
  <c r="L235" i="32"/>
  <c r="K235" i="32"/>
  <c r="J235" i="32"/>
  <c r="I235" i="32"/>
  <c r="H235" i="32"/>
  <c r="G235" i="32"/>
  <c r="F235" i="32"/>
  <c r="E235" i="32"/>
  <c r="Q234" i="32"/>
  <c r="P234" i="32"/>
  <c r="O234" i="32"/>
  <c r="N234" i="32"/>
  <c r="M234" i="32"/>
  <c r="L234" i="32"/>
  <c r="K234" i="32"/>
  <c r="J234" i="32"/>
  <c r="I234" i="32"/>
  <c r="H234" i="32"/>
  <c r="G234" i="32"/>
  <c r="F234" i="32"/>
  <c r="E234" i="32"/>
  <c r="Q233" i="32"/>
  <c r="P233" i="32"/>
  <c r="O233" i="32"/>
  <c r="N233" i="32"/>
  <c r="M233" i="32"/>
  <c r="L233" i="32"/>
  <c r="K233" i="32"/>
  <c r="J233" i="32"/>
  <c r="I233" i="32"/>
  <c r="H233" i="32"/>
  <c r="G233" i="32"/>
  <c r="F233" i="32"/>
  <c r="E233" i="32"/>
  <c r="Q232" i="32"/>
  <c r="P232" i="32"/>
  <c r="O232" i="32"/>
  <c r="N232" i="32"/>
  <c r="M232" i="32"/>
  <c r="L232" i="32"/>
  <c r="K232" i="32"/>
  <c r="J232" i="32"/>
  <c r="I232" i="32"/>
  <c r="H232" i="32"/>
  <c r="G232" i="32"/>
  <c r="F232" i="32"/>
  <c r="E232" i="32"/>
  <c r="Q231" i="32"/>
  <c r="P231" i="32"/>
  <c r="O231" i="32"/>
  <c r="N231" i="32"/>
  <c r="M231" i="32"/>
  <c r="L231" i="32"/>
  <c r="K231" i="32"/>
  <c r="J231" i="32"/>
  <c r="I231" i="32"/>
  <c r="H231" i="32"/>
  <c r="G231" i="32"/>
  <c r="F231" i="32"/>
  <c r="E231" i="32"/>
  <c r="P230" i="32"/>
  <c r="O230" i="32"/>
  <c r="N230" i="32"/>
  <c r="M230" i="32"/>
  <c r="L230" i="32"/>
  <c r="K230" i="32"/>
  <c r="J230" i="32"/>
  <c r="I230" i="32"/>
  <c r="H230" i="32"/>
  <c r="G230" i="32"/>
  <c r="F230" i="32"/>
  <c r="E230" i="32"/>
  <c r="AM229" i="32"/>
  <c r="Q229" i="32"/>
  <c r="P229" i="32"/>
  <c r="O229" i="32"/>
  <c r="N229" i="32"/>
  <c r="M229" i="32"/>
  <c r="L229" i="32"/>
  <c r="K229" i="32"/>
  <c r="J229" i="32"/>
  <c r="I229" i="32"/>
  <c r="H229" i="32"/>
  <c r="G229" i="32"/>
  <c r="F229" i="32"/>
  <c r="E229" i="32"/>
  <c r="AM228" i="32"/>
  <c r="Q228" i="32"/>
  <c r="P228" i="32"/>
  <c r="O228" i="32"/>
  <c r="N228" i="32"/>
  <c r="M228" i="32"/>
  <c r="L228" i="32"/>
  <c r="K228" i="32"/>
  <c r="J228" i="32"/>
  <c r="I228" i="32"/>
  <c r="H228" i="32"/>
  <c r="G228" i="32"/>
  <c r="F228" i="32"/>
  <c r="E228" i="32"/>
  <c r="AM227" i="32"/>
  <c r="Q227" i="32"/>
  <c r="P227" i="32"/>
  <c r="O227" i="32"/>
  <c r="N227" i="32"/>
  <c r="M227" i="32"/>
  <c r="L227" i="32"/>
  <c r="K227" i="32"/>
  <c r="J227" i="32"/>
  <c r="I227" i="32"/>
  <c r="H227" i="32"/>
  <c r="G227" i="32"/>
  <c r="F227" i="32"/>
  <c r="E227" i="32"/>
  <c r="AM226" i="32"/>
  <c r="Q226" i="32"/>
  <c r="P226" i="32"/>
  <c r="O226" i="32"/>
  <c r="N226" i="32"/>
  <c r="M226" i="32"/>
  <c r="L226" i="32"/>
  <c r="K226" i="32"/>
  <c r="J226" i="32"/>
  <c r="I226" i="32"/>
  <c r="H226" i="32"/>
  <c r="G226" i="32"/>
  <c r="F226" i="32"/>
  <c r="E226" i="32"/>
  <c r="AM225" i="32"/>
  <c r="Q225" i="32"/>
  <c r="P225" i="32"/>
  <c r="O225" i="32"/>
  <c r="N225" i="32"/>
  <c r="M225" i="32"/>
  <c r="L225" i="32"/>
  <c r="K225" i="32"/>
  <c r="J225" i="32"/>
  <c r="I225" i="32"/>
  <c r="H225" i="32"/>
  <c r="G225" i="32"/>
  <c r="F225" i="32"/>
  <c r="E225" i="32"/>
  <c r="P224" i="32"/>
  <c r="O224" i="32"/>
  <c r="N224" i="32"/>
  <c r="M224" i="32"/>
  <c r="L224" i="32"/>
  <c r="K224" i="32"/>
  <c r="J224" i="32"/>
  <c r="I224" i="32"/>
  <c r="H224" i="32"/>
  <c r="G224" i="32"/>
  <c r="F224" i="32"/>
  <c r="E224" i="32"/>
  <c r="AM223" i="32"/>
  <c r="Q223" i="32"/>
  <c r="P223" i="32"/>
  <c r="O223" i="32"/>
  <c r="N223" i="32"/>
  <c r="M223" i="32"/>
  <c r="L223" i="32"/>
  <c r="K223" i="32"/>
  <c r="J223" i="32"/>
  <c r="I223" i="32"/>
  <c r="H223" i="32"/>
  <c r="G223" i="32"/>
  <c r="F223" i="32"/>
  <c r="E223" i="32"/>
  <c r="AM222" i="32"/>
  <c r="Q222" i="32"/>
  <c r="P222" i="32"/>
  <c r="O222" i="32"/>
  <c r="N222" i="32"/>
  <c r="M222" i="32"/>
  <c r="L222" i="32"/>
  <c r="K222" i="32"/>
  <c r="J222" i="32"/>
  <c r="I222" i="32"/>
  <c r="H222" i="32"/>
  <c r="G222" i="32"/>
  <c r="F222" i="32"/>
  <c r="E222" i="32"/>
  <c r="AM221" i="32"/>
  <c r="Q221" i="32"/>
  <c r="P221" i="32"/>
  <c r="O221" i="32"/>
  <c r="N221" i="32"/>
  <c r="M221" i="32"/>
  <c r="L221" i="32"/>
  <c r="K221" i="32"/>
  <c r="J221" i="32"/>
  <c r="I221" i="32"/>
  <c r="H221" i="32"/>
  <c r="G221" i="32"/>
  <c r="F221" i="32"/>
  <c r="E221" i="32"/>
  <c r="AM220" i="32"/>
  <c r="Q220" i="32"/>
  <c r="P220" i="32"/>
  <c r="O220" i="32"/>
  <c r="N220" i="32"/>
  <c r="M220" i="32"/>
  <c r="L220" i="32"/>
  <c r="K220" i="32"/>
  <c r="J220" i="32"/>
  <c r="I220" i="32"/>
  <c r="H220" i="32"/>
  <c r="G220" i="32"/>
  <c r="F220" i="32"/>
  <c r="E220" i="32"/>
  <c r="AM219" i="32"/>
  <c r="Q219" i="32"/>
  <c r="P219" i="32"/>
  <c r="O219" i="32"/>
  <c r="N219" i="32"/>
  <c r="M219" i="32"/>
  <c r="L219" i="32"/>
  <c r="K219" i="32"/>
  <c r="J219" i="32"/>
  <c r="I219" i="32"/>
  <c r="H219" i="32"/>
  <c r="G219" i="32"/>
  <c r="F219" i="32"/>
  <c r="E219" i="32"/>
  <c r="P218" i="32"/>
  <c r="O218" i="32"/>
  <c r="N218" i="32"/>
  <c r="M218" i="32"/>
  <c r="L218" i="32"/>
  <c r="K218" i="32"/>
  <c r="J218" i="32"/>
  <c r="I218" i="32"/>
  <c r="H218" i="32"/>
  <c r="G218" i="32"/>
  <c r="F218" i="32"/>
  <c r="E218" i="32"/>
  <c r="AM217" i="32"/>
  <c r="Q217" i="32"/>
  <c r="P217" i="32"/>
  <c r="O217" i="32"/>
  <c r="N217" i="32"/>
  <c r="M217" i="32"/>
  <c r="L217" i="32"/>
  <c r="K217" i="32"/>
  <c r="J217" i="32"/>
  <c r="I217" i="32"/>
  <c r="H217" i="32"/>
  <c r="G217" i="32"/>
  <c r="F217" i="32"/>
  <c r="E217" i="32"/>
  <c r="AM216" i="32"/>
  <c r="Q216" i="32"/>
  <c r="P216" i="32"/>
  <c r="O216" i="32"/>
  <c r="N216" i="32"/>
  <c r="M216" i="32"/>
  <c r="L216" i="32"/>
  <c r="K216" i="32"/>
  <c r="J216" i="32"/>
  <c r="I216" i="32"/>
  <c r="H216" i="32"/>
  <c r="G216" i="32"/>
  <c r="F216" i="32"/>
  <c r="E216" i="32"/>
  <c r="AM215" i="32"/>
  <c r="Q215" i="32"/>
  <c r="P215" i="32"/>
  <c r="O215" i="32"/>
  <c r="N215" i="32"/>
  <c r="M215" i="32"/>
  <c r="L215" i="32"/>
  <c r="K215" i="32"/>
  <c r="J215" i="32"/>
  <c r="I215" i="32"/>
  <c r="H215" i="32"/>
  <c r="G215" i="32"/>
  <c r="F215" i="32"/>
  <c r="E215" i="32"/>
  <c r="AM214" i="32"/>
  <c r="Q214" i="32"/>
  <c r="P214" i="32"/>
  <c r="O214" i="32"/>
  <c r="N214" i="32"/>
  <c r="M214" i="32"/>
  <c r="L214" i="32"/>
  <c r="K214" i="32"/>
  <c r="J214" i="32"/>
  <c r="I214" i="32"/>
  <c r="H214" i="32"/>
  <c r="G214" i="32"/>
  <c r="F214" i="32"/>
  <c r="E214" i="32"/>
  <c r="AM213" i="32"/>
  <c r="Q213" i="32"/>
  <c r="P213" i="32"/>
  <c r="O213" i="32"/>
  <c r="N213" i="32"/>
  <c r="M213" i="32"/>
  <c r="L213" i="32"/>
  <c r="K213" i="32"/>
  <c r="J213" i="32"/>
  <c r="I213" i="32"/>
  <c r="H213" i="32"/>
  <c r="G213" i="32"/>
  <c r="F213" i="32"/>
  <c r="E213" i="32"/>
  <c r="P212" i="32"/>
  <c r="O212" i="32"/>
  <c r="N212" i="32"/>
  <c r="M212" i="32"/>
  <c r="L212" i="32"/>
  <c r="K212" i="32"/>
  <c r="J212" i="32"/>
  <c r="I212" i="32"/>
  <c r="H212" i="32"/>
  <c r="G212" i="32"/>
  <c r="F212" i="32"/>
  <c r="E212" i="32"/>
  <c r="AM211" i="32"/>
  <c r="Q211" i="32"/>
  <c r="P211" i="32"/>
  <c r="O211" i="32"/>
  <c r="N211" i="32"/>
  <c r="M211" i="32"/>
  <c r="L211" i="32"/>
  <c r="K211" i="32"/>
  <c r="J211" i="32"/>
  <c r="I211" i="32"/>
  <c r="H211" i="32"/>
  <c r="G211" i="32"/>
  <c r="F211" i="32"/>
  <c r="E211" i="32"/>
  <c r="AM210" i="32"/>
  <c r="Q210" i="32"/>
  <c r="P210" i="32"/>
  <c r="O210" i="32"/>
  <c r="N210" i="32"/>
  <c r="M210" i="32"/>
  <c r="L210" i="32"/>
  <c r="K210" i="32"/>
  <c r="J210" i="32"/>
  <c r="I210" i="32"/>
  <c r="H210" i="32"/>
  <c r="G210" i="32"/>
  <c r="F210" i="32"/>
  <c r="E210" i="32"/>
  <c r="AM209" i="32"/>
  <c r="Q209" i="32"/>
  <c r="P209" i="32"/>
  <c r="O209" i="32"/>
  <c r="N209" i="32"/>
  <c r="M209" i="32"/>
  <c r="L209" i="32"/>
  <c r="K209" i="32"/>
  <c r="J209" i="32"/>
  <c r="I209" i="32"/>
  <c r="H209" i="32"/>
  <c r="G209" i="32"/>
  <c r="F209" i="32"/>
  <c r="E209" i="32"/>
  <c r="AM208" i="32"/>
  <c r="Q208" i="32"/>
  <c r="P208" i="32"/>
  <c r="O208" i="32"/>
  <c r="N208" i="32"/>
  <c r="M208" i="32"/>
  <c r="L208" i="32"/>
  <c r="K208" i="32"/>
  <c r="J208" i="32"/>
  <c r="I208" i="32"/>
  <c r="H208" i="32"/>
  <c r="G208" i="32"/>
  <c r="F208" i="32"/>
  <c r="E208" i="32"/>
  <c r="AM207" i="32"/>
  <c r="Q207" i="32"/>
  <c r="P207" i="32"/>
  <c r="O207" i="32"/>
  <c r="N207" i="32"/>
  <c r="M207" i="32"/>
  <c r="L207" i="32"/>
  <c r="K207" i="32"/>
  <c r="J207" i="32"/>
  <c r="I207" i="32"/>
  <c r="H207" i="32"/>
  <c r="G207" i="32"/>
  <c r="F207" i="32"/>
  <c r="E207" i="32"/>
  <c r="P206" i="32"/>
  <c r="O206" i="32"/>
  <c r="N206" i="32"/>
  <c r="M206" i="32"/>
  <c r="L206" i="32"/>
  <c r="K206" i="32"/>
  <c r="J206" i="32"/>
  <c r="I206" i="32"/>
  <c r="H206" i="32"/>
  <c r="G206" i="32"/>
  <c r="F206" i="32"/>
  <c r="E206" i="32"/>
  <c r="AM205" i="32"/>
  <c r="Q205" i="32"/>
  <c r="P205" i="32"/>
  <c r="O205" i="32"/>
  <c r="N205" i="32"/>
  <c r="M205" i="32"/>
  <c r="L205" i="32"/>
  <c r="K205" i="32"/>
  <c r="J205" i="32"/>
  <c r="I205" i="32"/>
  <c r="H205" i="32"/>
  <c r="G205" i="32"/>
  <c r="F205" i="32"/>
  <c r="E205" i="32"/>
  <c r="AM204" i="32"/>
  <c r="Q204" i="32"/>
  <c r="P204" i="32"/>
  <c r="O204" i="32"/>
  <c r="N204" i="32"/>
  <c r="M204" i="32"/>
  <c r="L204" i="32"/>
  <c r="K204" i="32"/>
  <c r="J204" i="32"/>
  <c r="I204" i="32"/>
  <c r="H204" i="32"/>
  <c r="G204" i="32"/>
  <c r="F204" i="32"/>
  <c r="E204" i="32"/>
  <c r="AM203" i="32"/>
  <c r="Q203" i="32"/>
  <c r="P203" i="32"/>
  <c r="O203" i="32"/>
  <c r="N203" i="32"/>
  <c r="M203" i="32"/>
  <c r="L203" i="32"/>
  <c r="K203" i="32"/>
  <c r="J203" i="32"/>
  <c r="I203" i="32"/>
  <c r="H203" i="32"/>
  <c r="G203" i="32"/>
  <c r="F203" i="32"/>
  <c r="E203" i="32"/>
  <c r="AM202" i="32"/>
  <c r="Q202" i="32"/>
  <c r="P202" i="32"/>
  <c r="O202" i="32"/>
  <c r="N202" i="32"/>
  <c r="M202" i="32"/>
  <c r="L202" i="32"/>
  <c r="K202" i="32"/>
  <c r="J202" i="32"/>
  <c r="I202" i="32"/>
  <c r="H202" i="32"/>
  <c r="G202" i="32"/>
  <c r="F202" i="32"/>
  <c r="E202" i="32"/>
  <c r="AM201" i="32"/>
  <c r="Q201" i="32"/>
  <c r="P201" i="32"/>
  <c r="O201" i="32"/>
  <c r="N201" i="32"/>
  <c r="M201" i="32"/>
  <c r="L201" i="32"/>
  <c r="K201" i="32"/>
  <c r="J201" i="32"/>
  <c r="I201" i="32"/>
  <c r="H201" i="32"/>
  <c r="G201" i="32"/>
  <c r="F201" i="32"/>
  <c r="E201" i="32"/>
  <c r="P200" i="32"/>
  <c r="O200" i="32"/>
  <c r="N200" i="32"/>
  <c r="M200" i="32"/>
  <c r="L200" i="32"/>
  <c r="K200" i="32"/>
  <c r="J200" i="32"/>
  <c r="I200" i="32"/>
  <c r="H200" i="32"/>
  <c r="G200" i="32"/>
  <c r="F200" i="32"/>
  <c r="E200" i="32"/>
  <c r="Y174" i="32"/>
  <c r="X174" i="32"/>
  <c r="AM175" i="32" s="1"/>
  <c r="C174" i="32"/>
  <c r="B174" i="32"/>
  <c r="AN140" i="32"/>
  <c r="AM140" i="32"/>
  <c r="T140" i="32"/>
  <c r="R140" i="32"/>
  <c r="AM139" i="32"/>
  <c r="R139" i="32"/>
  <c r="AN138" i="32"/>
  <c r="AM138" i="32"/>
  <c r="T138" i="32"/>
  <c r="R138" i="32"/>
  <c r="AN137" i="32"/>
  <c r="AM137" i="32"/>
  <c r="T137" i="32"/>
  <c r="R137" i="32"/>
  <c r="AN136" i="32"/>
  <c r="AM136" i="32"/>
  <c r="T136" i="32"/>
  <c r="R136" i="32"/>
  <c r="AN135" i="32"/>
  <c r="AM135" i="32"/>
  <c r="T135" i="32"/>
  <c r="R135" i="32"/>
  <c r="AK129" i="32"/>
  <c r="P129" i="32"/>
  <c r="AK128" i="32"/>
  <c r="AN128" i="32" s="1"/>
  <c r="P128" i="32"/>
  <c r="T128" i="32" s="1"/>
  <c r="AK127" i="32"/>
  <c r="AN127" i="32" s="1"/>
  <c r="P127" i="32"/>
  <c r="T127" i="32" s="1"/>
  <c r="AK126" i="32"/>
  <c r="AN126" i="32" s="1"/>
  <c r="P126" i="32"/>
  <c r="T126" i="32" s="1"/>
  <c r="AK125" i="32"/>
  <c r="AN125" i="32" s="1"/>
  <c r="P125" i="32"/>
  <c r="T125" i="32" s="1"/>
  <c r="N115" i="32"/>
  <c r="N114" i="32"/>
  <c r="AA112" i="32"/>
  <c r="AA111" i="32"/>
  <c r="AA110" i="32"/>
  <c r="AA105" i="32"/>
  <c r="AA104" i="32"/>
  <c r="J103" i="32"/>
  <c r="AA102" i="32"/>
  <c r="P81" i="32"/>
  <c r="O81" i="32"/>
  <c r="N81" i="32"/>
  <c r="M81" i="32"/>
  <c r="L81" i="32"/>
  <c r="K81" i="32"/>
  <c r="J81" i="32"/>
  <c r="I81" i="32"/>
  <c r="H81" i="32"/>
  <c r="G81" i="32"/>
  <c r="F81" i="32"/>
  <c r="E81" i="32"/>
  <c r="Q80" i="32"/>
  <c r="P80" i="32"/>
  <c r="O80" i="32"/>
  <c r="N80" i="32"/>
  <c r="M80" i="32"/>
  <c r="L80" i="32"/>
  <c r="K80" i="32"/>
  <c r="J80" i="32"/>
  <c r="I80" i="32"/>
  <c r="H80" i="32"/>
  <c r="G80" i="32"/>
  <c r="F80" i="32"/>
  <c r="E80" i="32"/>
  <c r="Q78" i="32"/>
  <c r="P78" i="32"/>
  <c r="O78" i="32"/>
  <c r="N78" i="32"/>
  <c r="M78" i="32"/>
  <c r="L78" i="32"/>
  <c r="K78" i="32"/>
  <c r="J78" i="32"/>
  <c r="I78" i="32"/>
  <c r="H78" i="32"/>
  <c r="G78" i="32"/>
  <c r="E78" i="32"/>
  <c r="P77" i="32"/>
  <c r="O77" i="32"/>
  <c r="N77" i="32"/>
  <c r="M77" i="32"/>
  <c r="L77" i="32"/>
  <c r="K77" i="32"/>
  <c r="J77" i="32"/>
  <c r="I77" i="32"/>
  <c r="H77" i="32"/>
  <c r="G77" i="32"/>
  <c r="F77" i="32"/>
  <c r="E77" i="32"/>
  <c r="Q76" i="32"/>
  <c r="P76" i="32"/>
  <c r="O76" i="32"/>
  <c r="N76" i="32"/>
  <c r="M76" i="32"/>
  <c r="L76" i="32"/>
  <c r="K76" i="32"/>
  <c r="J76" i="32"/>
  <c r="I76" i="32"/>
  <c r="H76" i="32"/>
  <c r="G76" i="32"/>
  <c r="F76" i="32"/>
  <c r="E76" i="32"/>
  <c r="Q75" i="32"/>
  <c r="P75" i="32"/>
  <c r="O75" i="32"/>
  <c r="N75" i="32"/>
  <c r="M75" i="32"/>
  <c r="L75" i="32"/>
  <c r="K75" i="32"/>
  <c r="J75" i="32"/>
  <c r="I75" i="32"/>
  <c r="H75" i="32"/>
  <c r="G75" i="32"/>
  <c r="F75" i="32"/>
  <c r="E75" i="32"/>
  <c r="Q74" i="32"/>
  <c r="P74" i="32"/>
  <c r="O74" i="32"/>
  <c r="N74" i="32"/>
  <c r="M74" i="32"/>
  <c r="L74" i="32"/>
  <c r="K74" i="32"/>
  <c r="J74" i="32"/>
  <c r="I74" i="32"/>
  <c r="H74" i="32"/>
  <c r="G74" i="32"/>
  <c r="F74" i="32"/>
  <c r="Q73" i="32"/>
  <c r="P73" i="32"/>
  <c r="O73" i="32"/>
  <c r="N73" i="32"/>
  <c r="M73" i="32"/>
  <c r="L73" i="32"/>
  <c r="K73" i="32"/>
  <c r="J73" i="32"/>
  <c r="I73" i="32"/>
  <c r="H73" i="32"/>
  <c r="G73" i="32"/>
  <c r="F73" i="32"/>
  <c r="E73" i="32"/>
  <c r="P72" i="32"/>
  <c r="O72" i="32"/>
  <c r="N72" i="32"/>
  <c r="M72" i="32"/>
  <c r="L72" i="32"/>
  <c r="K72" i="32"/>
  <c r="J72" i="32"/>
  <c r="I72" i="32"/>
  <c r="H72" i="32"/>
  <c r="G72" i="32"/>
  <c r="F72" i="32"/>
  <c r="E72" i="32"/>
  <c r="Q71" i="32"/>
  <c r="P71" i="32"/>
  <c r="O71" i="32"/>
  <c r="N71" i="32"/>
  <c r="M71" i="32"/>
  <c r="L71" i="32"/>
  <c r="K71" i="32"/>
  <c r="J71" i="32"/>
  <c r="I71" i="32"/>
  <c r="H71" i="32"/>
  <c r="G71" i="32"/>
  <c r="F71" i="32"/>
  <c r="E71" i="32"/>
  <c r="Q70" i="32"/>
  <c r="P70" i="32"/>
  <c r="O70" i="32"/>
  <c r="N70" i="32"/>
  <c r="M70" i="32"/>
  <c r="L70" i="32"/>
  <c r="K70" i="32"/>
  <c r="J70" i="32"/>
  <c r="I70" i="32"/>
  <c r="H70" i="32"/>
  <c r="G70" i="32"/>
  <c r="F70" i="32"/>
  <c r="E70" i="32"/>
  <c r="Q69" i="32"/>
  <c r="P69" i="32"/>
  <c r="O69" i="32"/>
  <c r="N69" i="32"/>
  <c r="M69" i="32"/>
  <c r="L69" i="32"/>
  <c r="K69" i="32"/>
  <c r="J69" i="32"/>
  <c r="I69" i="32"/>
  <c r="H69" i="32"/>
  <c r="G69" i="32"/>
  <c r="F69" i="32"/>
  <c r="E69" i="32"/>
  <c r="Q68" i="32"/>
  <c r="P68" i="32"/>
  <c r="O68" i="32"/>
  <c r="N68" i="32"/>
  <c r="M68" i="32"/>
  <c r="L68" i="32"/>
  <c r="K68" i="32"/>
  <c r="J68" i="32"/>
  <c r="I68" i="32"/>
  <c r="H68" i="32"/>
  <c r="G68" i="32"/>
  <c r="F68" i="32"/>
  <c r="E68" i="32"/>
  <c r="P67" i="32"/>
  <c r="O67" i="32"/>
  <c r="N67" i="32"/>
  <c r="M67" i="32"/>
  <c r="L67" i="32"/>
  <c r="K67" i="32"/>
  <c r="J67" i="32"/>
  <c r="I67" i="32"/>
  <c r="H67" i="32"/>
  <c r="G67" i="32"/>
  <c r="F67" i="32"/>
  <c r="E67" i="32"/>
  <c r="Q66" i="32"/>
  <c r="P66" i="32"/>
  <c r="O66" i="32"/>
  <c r="N66" i="32"/>
  <c r="M66" i="32"/>
  <c r="L66" i="32"/>
  <c r="K66" i="32"/>
  <c r="J66" i="32"/>
  <c r="I66" i="32"/>
  <c r="H66" i="32"/>
  <c r="G66" i="32"/>
  <c r="F66" i="32"/>
  <c r="E66" i="32"/>
  <c r="Q65" i="32"/>
  <c r="P65" i="32"/>
  <c r="O65" i="32"/>
  <c r="N65" i="32"/>
  <c r="M65" i="32"/>
  <c r="L65" i="32"/>
  <c r="K65" i="32"/>
  <c r="J65" i="32"/>
  <c r="I65" i="32"/>
  <c r="H65" i="32"/>
  <c r="G65" i="32"/>
  <c r="F65" i="32"/>
  <c r="E65" i="32"/>
  <c r="Q64" i="32"/>
  <c r="P64" i="32"/>
  <c r="O64" i="32"/>
  <c r="N64" i="32"/>
  <c r="M64" i="32"/>
  <c r="L64" i="32"/>
  <c r="K64" i="32"/>
  <c r="J64" i="32"/>
  <c r="I64" i="32"/>
  <c r="H64" i="32"/>
  <c r="G64" i="32"/>
  <c r="F64" i="32"/>
  <c r="E64" i="32"/>
  <c r="P63" i="32"/>
  <c r="O63" i="32"/>
  <c r="N63" i="32"/>
  <c r="M63" i="32"/>
  <c r="L63" i="32"/>
  <c r="J63" i="32"/>
  <c r="I63" i="32"/>
  <c r="H63" i="32"/>
  <c r="G63" i="32"/>
  <c r="F63" i="32"/>
  <c r="E63" i="32"/>
  <c r="Q62" i="32"/>
  <c r="P62" i="32"/>
  <c r="O62" i="32"/>
  <c r="N62" i="32"/>
  <c r="M62" i="32"/>
  <c r="L62" i="32"/>
  <c r="K62" i="32"/>
  <c r="J62" i="32"/>
  <c r="I62" i="32"/>
  <c r="H62" i="32"/>
  <c r="G62" i="32"/>
  <c r="F62" i="32"/>
  <c r="E62" i="32"/>
  <c r="Q61" i="32"/>
  <c r="P61" i="32"/>
  <c r="O61" i="32"/>
  <c r="N61" i="32"/>
  <c r="M61" i="32"/>
  <c r="L61" i="32"/>
  <c r="K61" i="32"/>
  <c r="J61" i="32"/>
  <c r="I61" i="32"/>
  <c r="H61" i="32"/>
  <c r="G61" i="32"/>
  <c r="F61" i="32"/>
  <c r="E61" i="32"/>
  <c r="Q60" i="32"/>
  <c r="P60" i="32"/>
  <c r="O60" i="32"/>
  <c r="N60" i="32"/>
  <c r="M60" i="32"/>
  <c r="L60" i="32"/>
  <c r="K60" i="32"/>
  <c r="J60" i="32"/>
  <c r="I60" i="32"/>
  <c r="H60" i="32"/>
  <c r="G60" i="32"/>
  <c r="F60" i="32"/>
  <c r="E60" i="32"/>
  <c r="Q59" i="32"/>
  <c r="P59" i="32"/>
  <c r="O59" i="32"/>
  <c r="N59" i="32"/>
  <c r="M59" i="32"/>
  <c r="L59" i="32"/>
  <c r="K59" i="32"/>
  <c r="J59" i="32"/>
  <c r="I59" i="32"/>
  <c r="H59" i="32"/>
  <c r="G59" i="32"/>
  <c r="F59" i="32"/>
  <c r="E59" i="32"/>
  <c r="Q58" i="32"/>
  <c r="P58" i="32"/>
  <c r="O58" i="32"/>
  <c r="N58" i="32"/>
  <c r="M58" i="32"/>
  <c r="L58" i="32"/>
  <c r="K58" i="32"/>
  <c r="J58" i="32"/>
  <c r="I58" i="32"/>
  <c r="H58" i="32"/>
  <c r="G58" i="32"/>
  <c r="F58" i="32"/>
  <c r="E58" i="32"/>
  <c r="Q57" i="32"/>
  <c r="P57" i="32"/>
  <c r="O57" i="32"/>
  <c r="N57" i="32"/>
  <c r="M57" i="32"/>
  <c r="L57" i="32"/>
  <c r="K57" i="32"/>
  <c r="J57" i="32"/>
  <c r="I57" i="32"/>
  <c r="H57" i="32"/>
  <c r="G57" i="32"/>
  <c r="F57" i="32"/>
  <c r="E57" i="32"/>
  <c r="Q56" i="32"/>
  <c r="P56" i="32"/>
  <c r="O56" i="32"/>
  <c r="N56" i="32"/>
  <c r="M56" i="32"/>
  <c r="L56" i="32"/>
  <c r="K56" i="32"/>
  <c r="J56" i="32"/>
  <c r="I56" i="32"/>
  <c r="H56" i="32"/>
  <c r="G56" i="32"/>
  <c r="F56" i="32"/>
  <c r="E56" i="32"/>
  <c r="T53" i="32"/>
  <c r="B9" i="34" s="1"/>
  <c r="R53" i="32"/>
  <c r="Q20" i="32"/>
  <c r="T26" i="32" s="1"/>
  <c r="Q19" i="32"/>
  <c r="U19" i="32" s="1"/>
  <c r="U29" i="32" s="1"/>
  <c r="Q18" i="32"/>
  <c r="U18" i="32" s="1"/>
  <c r="U28" i="32" s="1"/>
  <c r="Q17" i="32"/>
  <c r="U17" i="32" s="1"/>
  <c r="U27" i="32" s="1"/>
  <c r="Q16" i="32"/>
  <c r="Q15" i="32"/>
  <c r="U15" i="32" s="1"/>
  <c r="U25" i="32" s="1"/>
  <c r="Q10" i="32"/>
  <c r="U10" i="32" s="1"/>
  <c r="Q9" i="32"/>
  <c r="Q8" i="32"/>
  <c r="U8" i="32" s="1"/>
  <c r="Q7" i="32"/>
  <c r="U7" i="32" s="1"/>
  <c r="Q6" i="32"/>
  <c r="U6" i="32" s="1"/>
  <c r="Q5" i="32"/>
  <c r="U5" i="32" s="1"/>
  <c r="AU383" i="26"/>
  <c r="FG323" i="26"/>
  <c r="FF323" i="26"/>
  <c r="FE323" i="26"/>
  <c r="FD323" i="26"/>
  <c r="FC323" i="26"/>
  <c r="FB323" i="26"/>
  <c r="EU323" i="26"/>
  <c r="ET323" i="26"/>
  <c r="EH323" i="26"/>
  <c r="EG323" i="26"/>
  <c r="AL311" i="32" s="1"/>
  <c r="DX323" i="26"/>
  <c r="DW323" i="26"/>
  <c r="AK311" i="32" s="1"/>
  <c r="DN323" i="26"/>
  <c r="DM323" i="26"/>
  <c r="AJ311" i="32" s="1"/>
  <c r="DD323" i="26"/>
  <c r="DC323" i="26"/>
  <c r="AI311" i="32" s="1"/>
  <c r="CT323" i="26"/>
  <c r="CS323" i="26"/>
  <c r="AH311" i="32" s="1"/>
  <c r="CJ323" i="26"/>
  <c r="CI323" i="26"/>
  <c r="AG311" i="32" s="1"/>
  <c r="BZ323" i="26"/>
  <c r="BY323" i="26"/>
  <c r="AF311" i="32" s="1"/>
  <c r="BP323" i="26"/>
  <c r="BO323" i="26"/>
  <c r="AE311" i="32" s="1"/>
  <c r="BF323" i="26"/>
  <c r="BE323" i="26"/>
  <c r="AD311" i="32" s="1"/>
  <c r="AV323" i="26"/>
  <c r="AU323" i="26"/>
  <c r="AC311" i="32" s="1"/>
  <c r="AL323" i="26"/>
  <c r="AK323" i="26"/>
  <c r="AB311" i="32" s="1"/>
  <c r="AB323" i="26"/>
  <c r="AA323" i="26"/>
  <c r="AA311" i="32" s="1"/>
  <c r="FR322" i="26"/>
  <c r="AS310" i="32" s="1"/>
  <c r="FO322" i="26"/>
  <c r="FN322" i="26"/>
  <c r="FM322" i="26"/>
  <c r="ER322" i="26"/>
  <c r="EH322" i="26"/>
  <c r="EG322" i="26"/>
  <c r="AL310" i="32" s="1"/>
  <c r="DX322" i="26"/>
  <c r="DW322" i="26"/>
  <c r="AK310" i="32" s="1"/>
  <c r="DN322" i="26"/>
  <c r="DM322" i="26"/>
  <c r="AJ310" i="32" s="1"/>
  <c r="DD322" i="26"/>
  <c r="DC322" i="26"/>
  <c r="AI310" i="32" s="1"/>
  <c r="CT322" i="26"/>
  <c r="CS322" i="26"/>
  <c r="AH310" i="32" s="1"/>
  <c r="CJ322" i="26"/>
  <c r="CI322" i="26"/>
  <c r="AG310" i="32" s="1"/>
  <c r="BZ322" i="26"/>
  <c r="BY322" i="26"/>
  <c r="AF310" i="32" s="1"/>
  <c r="BP322" i="26"/>
  <c r="BO322" i="26"/>
  <c r="AE310" i="32" s="1"/>
  <c r="BF322" i="26"/>
  <c r="BE322" i="26"/>
  <c r="AD310" i="32" s="1"/>
  <c r="AV322" i="26"/>
  <c r="AU322" i="26"/>
  <c r="AC310" i="32" s="1"/>
  <c r="AL322" i="26"/>
  <c r="AK322" i="26"/>
  <c r="AB310" i="32" s="1"/>
  <c r="AB322" i="26"/>
  <c r="AA322" i="26"/>
  <c r="AA310" i="32" s="1"/>
  <c r="FR321" i="26"/>
  <c r="AS309" i="32" s="1"/>
  <c r="FO321" i="26"/>
  <c r="FN321" i="26"/>
  <c r="FM321" i="26"/>
  <c r="FA321" i="26"/>
  <c r="EZ321" i="26" s="1"/>
  <c r="ES321" i="26"/>
  <c r="AN309" i="32" s="1"/>
  <c r="ER321" i="26"/>
  <c r="EH321" i="26"/>
  <c r="EG321" i="26"/>
  <c r="AL309" i="32" s="1"/>
  <c r="DX321" i="26"/>
  <c r="DW321" i="26"/>
  <c r="AK309" i="32" s="1"/>
  <c r="DN321" i="26"/>
  <c r="DM321" i="26"/>
  <c r="AJ309" i="32" s="1"/>
  <c r="DD321" i="26"/>
  <c r="DC321" i="26"/>
  <c r="AI309" i="32" s="1"/>
  <c r="CT321" i="26"/>
  <c r="CS321" i="26"/>
  <c r="AH309" i="32" s="1"/>
  <c r="CJ321" i="26"/>
  <c r="CI321" i="26"/>
  <c r="AG309" i="32" s="1"/>
  <c r="BZ321" i="26"/>
  <c r="BY321" i="26"/>
  <c r="AF309" i="32" s="1"/>
  <c r="BP321" i="26"/>
  <c r="BO321" i="26"/>
  <c r="AE309" i="32" s="1"/>
  <c r="BF321" i="26"/>
  <c r="BE321" i="26"/>
  <c r="AD309" i="32" s="1"/>
  <c r="AV321" i="26"/>
  <c r="AU321" i="26"/>
  <c r="AC309" i="32" s="1"/>
  <c r="AL321" i="26"/>
  <c r="AK321" i="26"/>
  <c r="AB309" i="32" s="1"/>
  <c r="AB321" i="26"/>
  <c r="AA321" i="26"/>
  <c r="AA309" i="32" s="1"/>
  <c r="FR320" i="26"/>
  <c r="AS308" i="32" s="1"/>
  <c r="FA320" i="26"/>
  <c r="EZ320" i="26" s="1"/>
  <c r="AO308" i="32" s="1"/>
  <c r="ES320" i="26"/>
  <c r="AN308" i="32" s="1"/>
  <c r="ER320" i="26"/>
  <c r="EH320" i="26"/>
  <c r="EG320" i="26"/>
  <c r="AL308" i="32" s="1"/>
  <c r="DX320" i="26"/>
  <c r="DW320" i="26"/>
  <c r="AK308" i="32" s="1"/>
  <c r="DN320" i="26"/>
  <c r="DM320" i="26"/>
  <c r="AJ308" i="32" s="1"/>
  <c r="DD320" i="26"/>
  <c r="DC320" i="26"/>
  <c r="AI308" i="32" s="1"/>
  <c r="CT320" i="26"/>
  <c r="CS320" i="26"/>
  <c r="AH308" i="32" s="1"/>
  <c r="CJ320" i="26"/>
  <c r="CI320" i="26"/>
  <c r="AG308" i="32" s="1"/>
  <c r="BZ320" i="26"/>
  <c r="BY320" i="26"/>
  <c r="AF308" i="32" s="1"/>
  <c r="BP320" i="26"/>
  <c r="BO320" i="26"/>
  <c r="AE308" i="32" s="1"/>
  <c r="BF320" i="26"/>
  <c r="BE320" i="26"/>
  <c r="AD308" i="32" s="1"/>
  <c r="AV320" i="26"/>
  <c r="AU320" i="26"/>
  <c r="AC308" i="32" s="1"/>
  <c r="AL320" i="26"/>
  <c r="AK320" i="26"/>
  <c r="AB308" i="32" s="1"/>
  <c r="AB320" i="26"/>
  <c r="AA320" i="26"/>
  <c r="AA308" i="32" s="1"/>
  <c r="FR319" i="26"/>
  <c r="AS307" i="32" s="1"/>
  <c r="FA319" i="26"/>
  <c r="EZ319" i="26" s="1"/>
  <c r="ES319" i="26"/>
  <c r="AN307" i="32" s="1"/>
  <c r="ER319" i="26"/>
  <c r="EH319" i="26"/>
  <c r="EG319" i="26"/>
  <c r="AL307" i="32" s="1"/>
  <c r="DX319" i="26"/>
  <c r="DW319" i="26"/>
  <c r="AK307" i="32" s="1"/>
  <c r="DN319" i="26"/>
  <c r="DM319" i="26"/>
  <c r="AJ307" i="32" s="1"/>
  <c r="DD319" i="26"/>
  <c r="DC319" i="26"/>
  <c r="AI307" i="32" s="1"/>
  <c r="CT319" i="26"/>
  <c r="CS319" i="26"/>
  <c r="AH307" i="32" s="1"/>
  <c r="CJ319" i="26"/>
  <c r="CI319" i="26"/>
  <c r="AG307" i="32" s="1"/>
  <c r="BZ319" i="26"/>
  <c r="BY319" i="26"/>
  <c r="AF307" i="32" s="1"/>
  <c r="BP319" i="26"/>
  <c r="BO319" i="26"/>
  <c r="AE307" i="32" s="1"/>
  <c r="BF319" i="26"/>
  <c r="BE319" i="26"/>
  <c r="AD307" i="32" s="1"/>
  <c r="AV319" i="26"/>
  <c r="AU319" i="26"/>
  <c r="AC307" i="32" s="1"/>
  <c r="AL319" i="26"/>
  <c r="AK319" i="26"/>
  <c r="AB307" i="32" s="1"/>
  <c r="AB319" i="26"/>
  <c r="AA319" i="26"/>
  <c r="AA307" i="32" s="1"/>
  <c r="FR318" i="26"/>
  <c r="AS306" i="32" s="1"/>
  <c r="FA318" i="26"/>
  <c r="EZ318" i="26" s="1"/>
  <c r="AO306" i="32" s="1"/>
  <c r="ES318" i="26"/>
  <c r="AN306" i="32" s="1"/>
  <c r="ER318" i="26"/>
  <c r="EH318" i="26"/>
  <c r="EG318" i="26"/>
  <c r="AL306" i="32" s="1"/>
  <c r="DX318" i="26"/>
  <c r="DW318" i="26"/>
  <c r="AK306" i="32" s="1"/>
  <c r="DN318" i="26"/>
  <c r="DM318" i="26"/>
  <c r="AJ306" i="32" s="1"/>
  <c r="DD318" i="26"/>
  <c r="DC318" i="26"/>
  <c r="AI306" i="32" s="1"/>
  <c r="CT318" i="26"/>
  <c r="CS318" i="26"/>
  <c r="AH306" i="32" s="1"/>
  <c r="CJ318" i="26"/>
  <c r="CI318" i="26"/>
  <c r="AG306" i="32" s="1"/>
  <c r="BZ318" i="26"/>
  <c r="BY318" i="26"/>
  <c r="AF306" i="32" s="1"/>
  <c r="BP318" i="26"/>
  <c r="BO318" i="26"/>
  <c r="AE306" i="32" s="1"/>
  <c r="BF318" i="26"/>
  <c r="BE318" i="26"/>
  <c r="AD306" i="32" s="1"/>
  <c r="AV318" i="26"/>
  <c r="AU318" i="26"/>
  <c r="AC306" i="32" s="1"/>
  <c r="AL318" i="26"/>
  <c r="AK318" i="26"/>
  <c r="AB306" i="32" s="1"/>
  <c r="AB318" i="26"/>
  <c r="AA318" i="26"/>
  <c r="AA306" i="32" s="1"/>
  <c r="FG317" i="26"/>
  <c r="FF317" i="26"/>
  <c r="FE317" i="26"/>
  <c r="FD317" i="26"/>
  <c r="FC317" i="26"/>
  <c r="FB317" i="26"/>
  <c r="EU317" i="26"/>
  <c r="ET317" i="26"/>
  <c r="EH317" i="26"/>
  <c r="EG317" i="26"/>
  <c r="DX317" i="26"/>
  <c r="DW317" i="26"/>
  <c r="DN317" i="26"/>
  <c r="DM317" i="26"/>
  <c r="DD317" i="26"/>
  <c r="DC317" i="26"/>
  <c r="CT317" i="26"/>
  <c r="CS317" i="26"/>
  <c r="CJ317" i="26"/>
  <c r="CI317" i="26"/>
  <c r="BZ317" i="26"/>
  <c r="BY317" i="26"/>
  <c r="BP317" i="26"/>
  <c r="BO317" i="26"/>
  <c r="BF317" i="26"/>
  <c r="BE317" i="26"/>
  <c r="AV317" i="26"/>
  <c r="AU317" i="26"/>
  <c r="AL317" i="26"/>
  <c r="AK317" i="26"/>
  <c r="AB317" i="26"/>
  <c r="AA317" i="26"/>
  <c r="FR316" i="26"/>
  <c r="FS316" i="26" s="1"/>
  <c r="FO316" i="26"/>
  <c r="FN316" i="26"/>
  <c r="FM316" i="26"/>
  <c r="ER316" i="26"/>
  <c r="EH316" i="26"/>
  <c r="EG316" i="26"/>
  <c r="DX316" i="26"/>
  <c r="DW316" i="26"/>
  <c r="DN316" i="26"/>
  <c r="DM316" i="26"/>
  <c r="DD316" i="26"/>
  <c r="DC316" i="26"/>
  <c r="CT316" i="26"/>
  <c r="CS316" i="26"/>
  <c r="CJ316" i="26"/>
  <c r="CI316" i="26"/>
  <c r="BZ316" i="26"/>
  <c r="BY316" i="26"/>
  <c r="BP316" i="26"/>
  <c r="BO316" i="26"/>
  <c r="BF316" i="26"/>
  <c r="BE316" i="26"/>
  <c r="AV316" i="26"/>
  <c r="AU316" i="26"/>
  <c r="AL316" i="26"/>
  <c r="AK316" i="26"/>
  <c r="AB316" i="26"/>
  <c r="AA316" i="26"/>
  <c r="FR315" i="26"/>
  <c r="FS315" i="26" s="1"/>
  <c r="FO315" i="26"/>
  <c r="FN315" i="26"/>
  <c r="FM315" i="26"/>
  <c r="FA315" i="26"/>
  <c r="EZ315" i="26" s="1"/>
  <c r="FQ315" i="26" s="1"/>
  <c r="ES315" i="26"/>
  <c r="ER315" i="26"/>
  <c r="EH315" i="26"/>
  <c r="EG315" i="26"/>
  <c r="DX315" i="26"/>
  <c r="DW315" i="26"/>
  <c r="DN315" i="26"/>
  <c r="DM315" i="26"/>
  <c r="DD315" i="26"/>
  <c r="DC315" i="26"/>
  <c r="CT315" i="26"/>
  <c r="CS315" i="26"/>
  <c r="CJ315" i="26"/>
  <c r="CI315" i="26"/>
  <c r="BZ315" i="26"/>
  <c r="BY315" i="26"/>
  <c r="BP315" i="26"/>
  <c r="BO315" i="26"/>
  <c r="BF315" i="26"/>
  <c r="BE315" i="26"/>
  <c r="AV315" i="26"/>
  <c r="AU315" i="26"/>
  <c r="AL315" i="26"/>
  <c r="AK315" i="26"/>
  <c r="AB315" i="26"/>
  <c r="AA315" i="26"/>
  <c r="FR314" i="26"/>
  <c r="FS314" i="26" s="1"/>
  <c r="FA314" i="26"/>
  <c r="ES314" i="26"/>
  <c r="ER314" i="26"/>
  <c r="EH314" i="26"/>
  <c r="EG314" i="26"/>
  <c r="DX314" i="26"/>
  <c r="DW314" i="26"/>
  <c r="DN314" i="26"/>
  <c r="DM314" i="26"/>
  <c r="DD314" i="26"/>
  <c r="DC314" i="26"/>
  <c r="CT314" i="26"/>
  <c r="CS314" i="26"/>
  <c r="CJ314" i="26"/>
  <c r="CI314" i="26"/>
  <c r="BZ314" i="26"/>
  <c r="BY314" i="26"/>
  <c r="BP314" i="26"/>
  <c r="BO314" i="26"/>
  <c r="BF314" i="26"/>
  <c r="BE314" i="26"/>
  <c r="AV314" i="26"/>
  <c r="AU314" i="26"/>
  <c r="AL314" i="26"/>
  <c r="AK314" i="26"/>
  <c r="AB314" i="26"/>
  <c r="AA314" i="26"/>
  <c r="FR313" i="26"/>
  <c r="FS313" i="26" s="1"/>
  <c r="FA313" i="26"/>
  <c r="EZ313" i="26" s="1"/>
  <c r="FQ313" i="26" s="1"/>
  <c r="ES313" i="26"/>
  <c r="ER313" i="26"/>
  <c r="EH313" i="26"/>
  <c r="EG313" i="26"/>
  <c r="DX313" i="26"/>
  <c r="DW313" i="26"/>
  <c r="DN313" i="26"/>
  <c r="DM313" i="26"/>
  <c r="DD313" i="26"/>
  <c r="DC313" i="26"/>
  <c r="CT313" i="26"/>
  <c r="CS313" i="26"/>
  <c r="CJ313" i="26"/>
  <c r="CI313" i="26"/>
  <c r="BZ313" i="26"/>
  <c r="BY313" i="26"/>
  <c r="BP313" i="26"/>
  <c r="BO313" i="26"/>
  <c r="BF313" i="26"/>
  <c r="BE313" i="26"/>
  <c r="AV313" i="26"/>
  <c r="AU313" i="26"/>
  <c r="AL313" i="26"/>
  <c r="AK313" i="26"/>
  <c r="AB313" i="26"/>
  <c r="AA313" i="26"/>
  <c r="FR312" i="26"/>
  <c r="FS312" i="26" s="1"/>
  <c r="FA312" i="26"/>
  <c r="EZ312" i="26" s="1"/>
  <c r="FQ312" i="26" s="1"/>
  <c r="ES312" i="26"/>
  <c r="ER312" i="26"/>
  <c r="EH312" i="26"/>
  <c r="EG312" i="26"/>
  <c r="DX312" i="26"/>
  <c r="DW312" i="26"/>
  <c r="DN312" i="26"/>
  <c r="DM312" i="26"/>
  <c r="DD312" i="26"/>
  <c r="DC312" i="26"/>
  <c r="CT312" i="26"/>
  <c r="CS312" i="26"/>
  <c r="CJ312" i="26"/>
  <c r="CI312" i="26"/>
  <c r="BZ312" i="26"/>
  <c r="BY312" i="26"/>
  <c r="BP312" i="26"/>
  <c r="BO312" i="26"/>
  <c r="BF312" i="26"/>
  <c r="BE312" i="26"/>
  <c r="AV312" i="26"/>
  <c r="AU312" i="26"/>
  <c r="AL312" i="26"/>
  <c r="AK312" i="26"/>
  <c r="AB312" i="26"/>
  <c r="AA312" i="26"/>
  <c r="FG311" i="26"/>
  <c r="FF311" i="26"/>
  <c r="FE311" i="26"/>
  <c r="FD311" i="26"/>
  <c r="FC311" i="26"/>
  <c r="FB311" i="26"/>
  <c r="EU311" i="26"/>
  <c r="ET311" i="26"/>
  <c r="EH311" i="26"/>
  <c r="EG311" i="26"/>
  <c r="DX311" i="26"/>
  <c r="DW311" i="26"/>
  <c r="DN311" i="26"/>
  <c r="DM311" i="26"/>
  <c r="DD311" i="26"/>
  <c r="DC311" i="26"/>
  <c r="CT311" i="26"/>
  <c r="CS311" i="26"/>
  <c r="CJ311" i="26"/>
  <c r="CI311" i="26"/>
  <c r="BZ311" i="26"/>
  <c r="BY311" i="26"/>
  <c r="BP311" i="26"/>
  <c r="BO311" i="26"/>
  <c r="BF311" i="26"/>
  <c r="BE311" i="26"/>
  <c r="AV311" i="26"/>
  <c r="AU311" i="26"/>
  <c r="AL311" i="26"/>
  <c r="AK311" i="26"/>
  <c r="AB311" i="26"/>
  <c r="AA311" i="26"/>
  <c r="FR310" i="26"/>
  <c r="FS310" i="26" s="1"/>
  <c r="FO310" i="26"/>
  <c r="FN310" i="26"/>
  <c r="FM310" i="26"/>
  <c r="ER310" i="26"/>
  <c r="EH310" i="26"/>
  <c r="EG310" i="26"/>
  <c r="DX310" i="26"/>
  <c r="DW310" i="26"/>
  <c r="DN310" i="26"/>
  <c r="DM310" i="26"/>
  <c r="DD310" i="26"/>
  <c r="DC310" i="26"/>
  <c r="CT310" i="26"/>
  <c r="CS310" i="26"/>
  <c r="CJ310" i="26"/>
  <c r="CI310" i="26"/>
  <c r="BZ310" i="26"/>
  <c r="BY310" i="26"/>
  <c r="BP310" i="26"/>
  <c r="BO310" i="26"/>
  <c r="BF310" i="26"/>
  <c r="BE310" i="26"/>
  <c r="AV310" i="26"/>
  <c r="AU310" i="26"/>
  <c r="AL310" i="26"/>
  <c r="AK310" i="26"/>
  <c r="AB310" i="26"/>
  <c r="AA310" i="26"/>
  <c r="FR309" i="26"/>
  <c r="FS309" i="26" s="1"/>
  <c r="FO309" i="26"/>
  <c r="FN309" i="26"/>
  <c r="FM309" i="26"/>
  <c r="FA309" i="26"/>
  <c r="EZ309" i="26" s="1"/>
  <c r="FQ309" i="26" s="1"/>
  <c r="ES309" i="26"/>
  <c r="ER309" i="26"/>
  <c r="EH309" i="26"/>
  <c r="EG309" i="26"/>
  <c r="DX309" i="26"/>
  <c r="DW309" i="26"/>
  <c r="DN309" i="26"/>
  <c r="DM309" i="26"/>
  <c r="DD309" i="26"/>
  <c r="DC309" i="26"/>
  <c r="CT309" i="26"/>
  <c r="CS309" i="26"/>
  <c r="CJ309" i="26"/>
  <c r="CI309" i="26"/>
  <c r="BZ309" i="26"/>
  <c r="BY309" i="26"/>
  <c r="BP309" i="26"/>
  <c r="BO309" i="26"/>
  <c r="BF309" i="26"/>
  <c r="BE309" i="26"/>
  <c r="AV309" i="26"/>
  <c r="AU309" i="26"/>
  <c r="AL309" i="26"/>
  <c r="AK309" i="26"/>
  <c r="AB309" i="26"/>
  <c r="AA309" i="26"/>
  <c r="FR308" i="26"/>
  <c r="FS308" i="26" s="1"/>
  <c r="FA308" i="26"/>
  <c r="EZ308" i="26" s="1"/>
  <c r="FQ308" i="26" s="1"/>
  <c r="ES308" i="26"/>
  <c r="ER308" i="26"/>
  <c r="EH308" i="26"/>
  <c r="EG308" i="26"/>
  <c r="DX308" i="26"/>
  <c r="DW308" i="26"/>
  <c r="DN308" i="26"/>
  <c r="DM308" i="26"/>
  <c r="DD308" i="26"/>
  <c r="DC308" i="26"/>
  <c r="CT308" i="26"/>
  <c r="CS308" i="26"/>
  <c r="CJ308" i="26"/>
  <c r="CI308" i="26"/>
  <c r="BZ308" i="26"/>
  <c r="BY308" i="26"/>
  <c r="BP308" i="26"/>
  <c r="BO308" i="26"/>
  <c r="BF308" i="26"/>
  <c r="BE308" i="26"/>
  <c r="AV308" i="26"/>
  <c r="AU308" i="26"/>
  <c r="AL308" i="26"/>
  <c r="AK308" i="26"/>
  <c r="AB308" i="26"/>
  <c r="AA308" i="26"/>
  <c r="FR307" i="26"/>
  <c r="FS307" i="26" s="1"/>
  <c r="FA307" i="26"/>
  <c r="EZ307" i="26" s="1"/>
  <c r="ES307" i="26"/>
  <c r="ER307" i="26"/>
  <c r="EH307" i="26"/>
  <c r="EG307" i="26"/>
  <c r="DX307" i="26"/>
  <c r="DW307" i="26"/>
  <c r="DN307" i="26"/>
  <c r="DM307" i="26"/>
  <c r="DD307" i="26"/>
  <c r="DC307" i="26"/>
  <c r="CT307" i="26"/>
  <c r="CS307" i="26"/>
  <c r="CJ307" i="26"/>
  <c r="CI307" i="26"/>
  <c r="BZ307" i="26"/>
  <c r="BY307" i="26"/>
  <c r="BP307" i="26"/>
  <c r="BO307" i="26"/>
  <c r="BF307" i="26"/>
  <c r="BE307" i="26"/>
  <c r="AV307" i="26"/>
  <c r="AU307" i="26"/>
  <c r="AL307" i="26"/>
  <c r="AK307" i="26"/>
  <c r="AB307" i="26"/>
  <c r="AA307" i="26"/>
  <c r="FR306" i="26"/>
  <c r="FS306" i="26" s="1"/>
  <c r="FA306" i="26"/>
  <c r="EZ306" i="26" s="1"/>
  <c r="FQ306" i="26" s="1"/>
  <c r="ES306" i="26"/>
  <c r="ER306" i="26"/>
  <c r="EH306" i="26"/>
  <c r="EG306" i="26"/>
  <c r="DX306" i="26"/>
  <c r="DW306" i="26"/>
  <c r="DN306" i="26"/>
  <c r="DM306" i="26"/>
  <c r="DD306" i="26"/>
  <c r="DC306" i="26"/>
  <c r="CT306" i="26"/>
  <c r="CS306" i="26"/>
  <c r="CJ306" i="26"/>
  <c r="CI306" i="26"/>
  <c r="BZ306" i="26"/>
  <c r="BY306" i="26"/>
  <c r="BP306" i="26"/>
  <c r="BO306" i="26"/>
  <c r="BF306" i="26"/>
  <c r="BE306" i="26"/>
  <c r="AV306" i="26"/>
  <c r="AU306" i="26"/>
  <c r="AL306" i="26"/>
  <c r="AK306" i="26"/>
  <c r="AB306" i="26"/>
  <c r="AA306" i="26"/>
  <c r="FG305" i="26"/>
  <c r="FF305" i="26"/>
  <c r="FE305" i="26"/>
  <c r="FD305" i="26"/>
  <c r="FC305" i="26"/>
  <c r="FB305" i="26"/>
  <c r="EU305" i="26"/>
  <c r="ET305" i="26"/>
  <c r="EH305" i="26"/>
  <c r="EG305" i="26"/>
  <c r="DX305" i="26"/>
  <c r="DW305" i="26"/>
  <c r="DN305" i="26"/>
  <c r="DM305" i="26"/>
  <c r="DD305" i="26"/>
  <c r="DC305" i="26"/>
  <c r="CT305" i="26"/>
  <c r="CS305" i="26"/>
  <c r="CJ305" i="26"/>
  <c r="CI305" i="26"/>
  <c r="BZ305" i="26"/>
  <c r="BY305" i="26"/>
  <c r="BP305" i="26"/>
  <c r="BO305" i="26"/>
  <c r="BF305" i="26"/>
  <c r="BE305" i="26"/>
  <c r="AV305" i="26"/>
  <c r="AU305" i="26"/>
  <c r="AL305" i="26"/>
  <c r="AK305" i="26"/>
  <c r="AB305" i="26"/>
  <c r="AA305" i="26"/>
  <c r="FR304" i="26"/>
  <c r="FS304" i="26" s="1"/>
  <c r="FO304" i="26"/>
  <c r="FN304" i="26"/>
  <c r="FM304" i="26"/>
  <c r="ER304" i="26"/>
  <c r="EH304" i="26"/>
  <c r="EG304" i="26"/>
  <c r="DX304" i="26"/>
  <c r="DW304" i="26"/>
  <c r="DN304" i="26"/>
  <c r="DM304" i="26"/>
  <c r="DD304" i="26"/>
  <c r="DC304" i="26"/>
  <c r="CT304" i="26"/>
  <c r="CS304" i="26"/>
  <c r="CJ304" i="26"/>
  <c r="CI304" i="26"/>
  <c r="BZ304" i="26"/>
  <c r="BY304" i="26"/>
  <c r="BP304" i="26"/>
  <c r="BO304" i="26"/>
  <c r="BF304" i="26"/>
  <c r="BE304" i="26"/>
  <c r="AV304" i="26"/>
  <c r="AU304" i="26"/>
  <c r="AL304" i="26"/>
  <c r="AK304" i="26"/>
  <c r="AB304" i="26"/>
  <c r="AA304" i="26"/>
  <c r="FR303" i="26"/>
  <c r="FS303" i="26" s="1"/>
  <c r="FO303" i="26"/>
  <c r="FN303" i="26"/>
  <c r="FM303" i="26"/>
  <c r="FA303" i="26"/>
  <c r="EZ303" i="26" s="1"/>
  <c r="FQ303" i="26" s="1"/>
  <c r="ES303" i="26"/>
  <c r="ER303" i="26"/>
  <c r="EH303" i="26"/>
  <c r="EG303" i="26"/>
  <c r="DX303" i="26"/>
  <c r="DW303" i="26"/>
  <c r="DN303" i="26"/>
  <c r="DM303" i="26"/>
  <c r="DD303" i="26"/>
  <c r="DC303" i="26"/>
  <c r="CT303" i="26"/>
  <c r="CS303" i="26"/>
  <c r="CJ303" i="26"/>
  <c r="CI303" i="26"/>
  <c r="BZ303" i="26"/>
  <c r="BY303" i="26"/>
  <c r="BP303" i="26"/>
  <c r="BO303" i="26"/>
  <c r="BF303" i="26"/>
  <c r="BE303" i="26"/>
  <c r="AV303" i="26"/>
  <c r="AU303" i="26"/>
  <c r="AL303" i="26"/>
  <c r="AK303" i="26"/>
  <c r="AB303" i="26"/>
  <c r="AA303" i="26"/>
  <c r="FR302" i="26"/>
  <c r="FS302" i="26" s="1"/>
  <c r="FA302" i="26"/>
  <c r="EZ302" i="26" s="1"/>
  <c r="FQ302" i="26" s="1"/>
  <c r="ES302" i="26"/>
  <c r="ER302" i="26"/>
  <c r="EH302" i="26"/>
  <c r="EG302" i="26"/>
  <c r="DX302" i="26"/>
  <c r="DW302" i="26"/>
  <c r="DN302" i="26"/>
  <c r="DM302" i="26"/>
  <c r="DD302" i="26"/>
  <c r="DC302" i="26"/>
  <c r="CT302" i="26"/>
  <c r="CS302" i="26"/>
  <c r="CJ302" i="26"/>
  <c r="CI302" i="26"/>
  <c r="BZ302" i="26"/>
  <c r="BY302" i="26"/>
  <c r="BP302" i="26"/>
  <c r="BO302" i="26"/>
  <c r="BF302" i="26"/>
  <c r="BE302" i="26"/>
  <c r="AV302" i="26"/>
  <c r="AU302" i="26"/>
  <c r="AL302" i="26"/>
  <c r="AK302" i="26"/>
  <c r="AB302" i="26"/>
  <c r="AA302" i="26"/>
  <c r="FR301" i="26"/>
  <c r="FS301" i="26" s="1"/>
  <c r="FA301" i="26"/>
  <c r="EZ301" i="26" s="1"/>
  <c r="FQ301" i="26" s="1"/>
  <c r="ES301" i="26"/>
  <c r="ER301" i="26"/>
  <c r="EH301" i="26"/>
  <c r="EG301" i="26"/>
  <c r="DX301" i="26"/>
  <c r="DW301" i="26"/>
  <c r="DN301" i="26"/>
  <c r="DM301" i="26"/>
  <c r="DD301" i="26"/>
  <c r="DC301" i="26"/>
  <c r="CT301" i="26"/>
  <c r="CS301" i="26"/>
  <c r="CJ301" i="26"/>
  <c r="CI301" i="26"/>
  <c r="BZ301" i="26"/>
  <c r="BY301" i="26"/>
  <c r="BP301" i="26"/>
  <c r="BO301" i="26"/>
  <c r="BF301" i="26"/>
  <c r="BE301" i="26"/>
  <c r="AV301" i="26"/>
  <c r="AU301" i="26"/>
  <c r="AL301" i="26"/>
  <c r="AK301" i="26"/>
  <c r="AB301" i="26"/>
  <c r="AA301" i="26"/>
  <c r="FR300" i="26"/>
  <c r="FS300" i="26" s="1"/>
  <c r="FA300" i="26"/>
  <c r="EZ300" i="26" s="1"/>
  <c r="FQ300" i="26" s="1"/>
  <c r="ES300" i="26"/>
  <c r="ER300" i="26"/>
  <c r="EH300" i="26"/>
  <c r="EG300" i="26"/>
  <c r="DX300" i="26"/>
  <c r="DW300" i="26"/>
  <c r="DN300" i="26"/>
  <c r="DM300" i="26"/>
  <c r="DD300" i="26"/>
  <c r="CT300" i="26"/>
  <c r="CS300" i="26"/>
  <c r="CJ300" i="26"/>
  <c r="CI300" i="26"/>
  <c r="BZ300" i="26"/>
  <c r="BY300" i="26"/>
  <c r="BP300" i="26"/>
  <c r="BO300" i="26"/>
  <c r="BF300" i="26"/>
  <c r="BE300" i="26"/>
  <c r="AV300" i="26"/>
  <c r="AU300" i="26"/>
  <c r="AL300" i="26"/>
  <c r="AK300" i="26"/>
  <c r="AB300" i="26"/>
  <c r="AA300" i="26"/>
  <c r="FG299" i="26"/>
  <c r="FF299" i="26"/>
  <c r="FE299" i="26"/>
  <c r="FD299" i="26"/>
  <c r="FC299" i="26"/>
  <c r="FB299" i="26"/>
  <c r="EU299" i="26"/>
  <c r="ET299" i="26"/>
  <c r="EH299" i="26"/>
  <c r="EG299" i="26"/>
  <c r="DX299" i="26"/>
  <c r="DW299" i="26"/>
  <c r="DN299" i="26"/>
  <c r="DM299" i="26"/>
  <c r="DD299" i="26"/>
  <c r="DC299" i="26"/>
  <c r="CT299" i="26"/>
  <c r="CS299" i="26"/>
  <c r="CJ299" i="26"/>
  <c r="CI299" i="26"/>
  <c r="BZ299" i="26"/>
  <c r="BY299" i="26"/>
  <c r="BP299" i="26"/>
  <c r="BO299" i="26"/>
  <c r="BF299" i="26"/>
  <c r="BE299" i="26"/>
  <c r="AV299" i="26"/>
  <c r="AU299" i="26"/>
  <c r="AL299" i="26"/>
  <c r="AK299" i="26"/>
  <c r="AB299" i="26"/>
  <c r="AA299" i="26"/>
  <c r="FR298" i="26"/>
  <c r="FS298" i="26" s="1"/>
  <c r="FO298" i="26"/>
  <c r="FN298" i="26"/>
  <c r="FM298" i="26"/>
  <c r="ER298" i="26"/>
  <c r="EH298" i="26"/>
  <c r="EG298" i="26"/>
  <c r="DX298" i="26"/>
  <c r="DW298" i="26"/>
  <c r="DN298" i="26"/>
  <c r="DM298" i="26"/>
  <c r="DD298" i="26"/>
  <c r="DC298" i="26"/>
  <c r="CT298" i="26"/>
  <c r="CS298" i="26"/>
  <c r="CJ298" i="26"/>
  <c r="CI298" i="26"/>
  <c r="BZ298" i="26"/>
  <c r="BY298" i="26"/>
  <c r="BP298" i="26"/>
  <c r="BO298" i="26"/>
  <c r="BF298" i="26"/>
  <c r="BE298" i="26"/>
  <c r="AV298" i="26"/>
  <c r="AU298" i="26"/>
  <c r="AL298" i="26"/>
  <c r="AK298" i="26"/>
  <c r="AB298" i="26"/>
  <c r="AA298" i="26"/>
  <c r="FR297" i="26"/>
  <c r="FS297" i="26" s="1"/>
  <c r="FO297" i="26"/>
  <c r="FN297" i="26"/>
  <c r="FM297" i="26"/>
  <c r="FA297" i="26"/>
  <c r="EZ297" i="26" s="1"/>
  <c r="FQ297" i="26" s="1"/>
  <c r="ES297" i="26"/>
  <c r="ER297" i="26"/>
  <c r="EH297" i="26"/>
  <c r="EG297" i="26"/>
  <c r="DX297" i="26"/>
  <c r="DW297" i="26"/>
  <c r="DN297" i="26"/>
  <c r="DM297" i="26"/>
  <c r="DD297" i="26"/>
  <c r="DC297" i="26"/>
  <c r="CT297" i="26"/>
  <c r="CS297" i="26"/>
  <c r="CJ297" i="26"/>
  <c r="CI297" i="26"/>
  <c r="BZ297" i="26"/>
  <c r="BY297" i="26"/>
  <c r="BP297" i="26"/>
  <c r="BO297" i="26"/>
  <c r="BF297" i="26"/>
  <c r="BE297" i="26"/>
  <c r="AV297" i="26"/>
  <c r="AU297" i="26"/>
  <c r="AL297" i="26"/>
  <c r="AK297" i="26"/>
  <c r="AB297" i="26"/>
  <c r="AA297" i="26"/>
  <c r="FR296" i="26"/>
  <c r="FS296" i="26" s="1"/>
  <c r="FA296" i="26"/>
  <c r="ES296" i="26"/>
  <c r="ER296" i="26"/>
  <c r="EH296" i="26"/>
  <c r="EG296" i="26"/>
  <c r="DX296" i="26"/>
  <c r="DW296" i="26"/>
  <c r="DN296" i="26"/>
  <c r="DM296" i="26"/>
  <c r="DD296" i="26"/>
  <c r="DC296" i="26"/>
  <c r="CT296" i="26"/>
  <c r="CS296" i="26"/>
  <c r="CJ296" i="26"/>
  <c r="CI296" i="26"/>
  <c r="BZ296" i="26"/>
  <c r="BY296" i="26"/>
  <c r="BP296" i="26"/>
  <c r="BO296" i="26"/>
  <c r="BF296" i="26"/>
  <c r="BE296" i="26"/>
  <c r="AV296" i="26"/>
  <c r="AU296" i="26"/>
  <c r="AL296" i="26"/>
  <c r="AK296" i="26"/>
  <c r="AB296" i="26"/>
  <c r="AA296" i="26"/>
  <c r="FR295" i="26"/>
  <c r="FS295" i="26" s="1"/>
  <c r="FA295" i="26"/>
  <c r="EZ295" i="26" s="1"/>
  <c r="FQ295" i="26" s="1"/>
  <c r="ES295" i="26"/>
  <c r="ER295" i="26"/>
  <c r="EH295" i="26"/>
  <c r="EG295" i="26"/>
  <c r="DX295" i="26"/>
  <c r="DW295" i="26"/>
  <c r="DN295" i="26"/>
  <c r="DM295" i="26"/>
  <c r="DD295" i="26"/>
  <c r="DC295" i="26"/>
  <c r="CT295" i="26"/>
  <c r="CS295" i="26"/>
  <c r="CJ295" i="26"/>
  <c r="CI295" i="26"/>
  <c r="BZ295" i="26"/>
  <c r="BY295" i="26"/>
  <c r="BP295" i="26"/>
  <c r="BO295" i="26"/>
  <c r="BF295" i="26"/>
  <c r="BE295" i="26"/>
  <c r="AV295" i="26"/>
  <c r="AU295" i="26"/>
  <c r="AL295" i="26"/>
  <c r="AK295" i="26"/>
  <c r="AB295" i="26"/>
  <c r="AA295" i="26"/>
  <c r="FR294" i="26"/>
  <c r="FS294" i="26" s="1"/>
  <c r="FA294" i="26"/>
  <c r="EZ294" i="26" s="1"/>
  <c r="FQ294" i="26" s="1"/>
  <c r="ES294" i="26"/>
  <c r="ER294" i="26"/>
  <c r="EH294" i="26"/>
  <c r="EG294" i="26"/>
  <c r="DX294" i="26"/>
  <c r="DW294" i="26"/>
  <c r="DN294" i="26"/>
  <c r="DM294" i="26"/>
  <c r="DD294" i="26"/>
  <c r="DC294" i="26"/>
  <c r="CT294" i="26"/>
  <c r="CS294" i="26"/>
  <c r="CJ294" i="26"/>
  <c r="CI294" i="26"/>
  <c r="BZ294" i="26"/>
  <c r="BY294" i="26"/>
  <c r="BP294" i="26"/>
  <c r="BO294" i="26"/>
  <c r="BF294" i="26"/>
  <c r="BE294" i="26"/>
  <c r="AV294" i="26"/>
  <c r="AU294" i="26"/>
  <c r="AL294" i="26"/>
  <c r="AK294" i="26"/>
  <c r="AB294" i="26"/>
  <c r="AA294" i="26"/>
  <c r="FG293" i="26"/>
  <c r="FF293" i="26"/>
  <c r="FE293" i="26"/>
  <c r="FD293" i="26"/>
  <c r="FC293" i="26"/>
  <c r="FB293" i="26"/>
  <c r="EU293" i="26"/>
  <c r="ET293" i="26"/>
  <c r="EH293" i="26"/>
  <c r="EG293" i="26"/>
  <c r="DX293" i="26"/>
  <c r="DW293" i="26"/>
  <c r="DN293" i="26"/>
  <c r="DM293" i="26"/>
  <c r="DD293" i="26"/>
  <c r="DC293" i="26"/>
  <c r="CT293" i="26"/>
  <c r="CS293" i="26"/>
  <c r="CJ293" i="26"/>
  <c r="CI293" i="26"/>
  <c r="BZ293" i="26"/>
  <c r="BY293" i="26"/>
  <c r="BP293" i="26"/>
  <c r="BO293" i="26"/>
  <c r="BF293" i="26"/>
  <c r="BE293" i="26"/>
  <c r="AV293" i="26"/>
  <c r="AU293" i="26"/>
  <c r="AL293" i="26"/>
  <c r="AK293" i="26"/>
  <c r="AB293" i="26"/>
  <c r="AA293" i="26"/>
  <c r="FR292" i="26"/>
  <c r="FS292" i="26" s="1"/>
  <c r="FO292" i="26"/>
  <c r="FN292" i="26"/>
  <c r="FM292" i="26"/>
  <c r="ER292" i="26"/>
  <c r="EH292" i="26"/>
  <c r="EG292" i="26"/>
  <c r="DX292" i="26"/>
  <c r="DW292" i="26"/>
  <c r="DN292" i="26"/>
  <c r="DM292" i="26"/>
  <c r="DD292" i="26"/>
  <c r="DC292" i="26"/>
  <c r="CT292" i="26"/>
  <c r="CS292" i="26"/>
  <c r="CJ292" i="26"/>
  <c r="CI292" i="26"/>
  <c r="BZ292" i="26"/>
  <c r="BY292" i="26"/>
  <c r="BP292" i="26"/>
  <c r="BO292" i="26"/>
  <c r="BF292" i="26"/>
  <c r="BE292" i="26"/>
  <c r="AV292" i="26"/>
  <c r="AU292" i="26"/>
  <c r="AL292" i="26"/>
  <c r="AK292" i="26"/>
  <c r="AB292" i="26"/>
  <c r="AA292" i="26"/>
  <c r="FR291" i="26"/>
  <c r="FS291" i="26" s="1"/>
  <c r="FO291" i="26"/>
  <c r="FN291" i="26"/>
  <c r="FM291" i="26"/>
  <c r="FA291" i="26"/>
  <c r="EZ291" i="26" s="1"/>
  <c r="FQ291" i="26" s="1"/>
  <c r="ES291" i="26"/>
  <c r="ER291" i="26"/>
  <c r="EH291" i="26"/>
  <c r="EG291" i="26"/>
  <c r="DX291" i="26"/>
  <c r="DW291" i="26"/>
  <c r="DN291" i="26"/>
  <c r="DM291" i="26"/>
  <c r="DD291" i="26"/>
  <c r="DC291" i="26"/>
  <c r="CT291" i="26"/>
  <c r="CS291" i="26"/>
  <c r="CJ291" i="26"/>
  <c r="CI291" i="26"/>
  <c r="BZ291" i="26"/>
  <c r="BY291" i="26"/>
  <c r="BP291" i="26"/>
  <c r="BO291" i="26"/>
  <c r="BF291" i="26"/>
  <c r="BE291" i="26"/>
  <c r="AV291" i="26"/>
  <c r="AU291" i="26"/>
  <c r="AL291" i="26"/>
  <c r="AK291" i="26"/>
  <c r="AB291" i="26"/>
  <c r="AA291" i="26"/>
  <c r="FR290" i="26"/>
  <c r="FS290" i="26" s="1"/>
  <c r="FA290" i="26"/>
  <c r="EZ290" i="26" s="1"/>
  <c r="ES290" i="26"/>
  <c r="ER290" i="26"/>
  <c r="EH290" i="26"/>
  <c r="EG290" i="26"/>
  <c r="DX290" i="26"/>
  <c r="DW290" i="26"/>
  <c r="DN290" i="26"/>
  <c r="DM290" i="26"/>
  <c r="DD290" i="26"/>
  <c r="DC290" i="26"/>
  <c r="CT290" i="26"/>
  <c r="CS290" i="26"/>
  <c r="CJ290" i="26"/>
  <c r="CI290" i="26"/>
  <c r="BZ290" i="26"/>
  <c r="BY290" i="26"/>
  <c r="BP290" i="26"/>
  <c r="BO290" i="26"/>
  <c r="BF290" i="26"/>
  <c r="BE290" i="26"/>
  <c r="AV290" i="26"/>
  <c r="AU290" i="26"/>
  <c r="AL290" i="26"/>
  <c r="AK290" i="26"/>
  <c r="AB290" i="26"/>
  <c r="AA290" i="26"/>
  <c r="FR289" i="26"/>
  <c r="FS289" i="26" s="1"/>
  <c r="FA289" i="26"/>
  <c r="EZ289" i="26" s="1"/>
  <c r="FQ289" i="26" s="1"/>
  <c r="ES289" i="26"/>
  <c r="ER289" i="26"/>
  <c r="EH289" i="26"/>
  <c r="EG289" i="26"/>
  <c r="DX289" i="26"/>
  <c r="DW289" i="26"/>
  <c r="DN289" i="26"/>
  <c r="DM289" i="26"/>
  <c r="DD289" i="26"/>
  <c r="DC289" i="26"/>
  <c r="CT289" i="26"/>
  <c r="CS289" i="26"/>
  <c r="CJ289" i="26"/>
  <c r="CI289" i="26"/>
  <c r="BZ289" i="26"/>
  <c r="BY289" i="26"/>
  <c r="BP289" i="26"/>
  <c r="BO289" i="26"/>
  <c r="BF289" i="26"/>
  <c r="BE289" i="26"/>
  <c r="AV289" i="26"/>
  <c r="AU289" i="26"/>
  <c r="AL289" i="26"/>
  <c r="AK289" i="26"/>
  <c r="AB289" i="26"/>
  <c r="AA289" i="26"/>
  <c r="FR288" i="26"/>
  <c r="FS288" i="26" s="1"/>
  <c r="FA288" i="26"/>
  <c r="EZ288" i="26" s="1"/>
  <c r="FQ288" i="26" s="1"/>
  <c r="ES288" i="26"/>
  <c r="ER288" i="26"/>
  <c r="EH288" i="26"/>
  <c r="EG288" i="26"/>
  <c r="DX288" i="26"/>
  <c r="DW288" i="26"/>
  <c r="DN288" i="26"/>
  <c r="DM288" i="26"/>
  <c r="DD288" i="26"/>
  <c r="DC288" i="26"/>
  <c r="CT288" i="26"/>
  <c r="CS288" i="26"/>
  <c r="CJ288" i="26"/>
  <c r="CI288" i="26"/>
  <c r="BZ288" i="26"/>
  <c r="BY288" i="26"/>
  <c r="BP288" i="26"/>
  <c r="BO288" i="26"/>
  <c r="BF288" i="26"/>
  <c r="BE288" i="26"/>
  <c r="AV288" i="26"/>
  <c r="AU288" i="26"/>
  <c r="AL288" i="26"/>
  <c r="AK288" i="26"/>
  <c r="AB288" i="26"/>
  <c r="AA288" i="26"/>
  <c r="FG287" i="26"/>
  <c r="FF287" i="26"/>
  <c r="FE287" i="26"/>
  <c r="FD287" i="26"/>
  <c r="FC287" i="26"/>
  <c r="FB287" i="26"/>
  <c r="EU287" i="26"/>
  <c r="ET287" i="26"/>
  <c r="EH287" i="26"/>
  <c r="EG287" i="26"/>
  <c r="AL305" i="32" s="1"/>
  <c r="DX287" i="26"/>
  <c r="DW287" i="26"/>
  <c r="AK305" i="32" s="1"/>
  <c r="DN287" i="26"/>
  <c r="DM287" i="26"/>
  <c r="AJ305" i="32" s="1"/>
  <c r="DD287" i="26"/>
  <c r="DC287" i="26"/>
  <c r="AI305" i="32" s="1"/>
  <c r="CT287" i="26"/>
  <c r="CS287" i="26"/>
  <c r="AH305" i="32" s="1"/>
  <c r="CJ287" i="26"/>
  <c r="CI287" i="26"/>
  <c r="AG305" i="32" s="1"/>
  <c r="BZ287" i="26"/>
  <c r="BY287" i="26"/>
  <c r="AF305" i="32" s="1"/>
  <c r="BP287" i="26"/>
  <c r="BO287" i="26"/>
  <c r="AE305" i="32" s="1"/>
  <c r="BF287" i="26"/>
  <c r="BE287" i="26"/>
  <c r="AD305" i="32" s="1"/>
  <c r="AV287" i="26"/>
  <c r="AU287" i="26"/>
  <c r="AC305" i="32" s="1"/>
  <c r="AL287" i="26"/>
  <c r="AK287" i="26"/>
  <c r="AB305" i="32" s="1"/>
  <c r="AB287" i="26"/>
  <c r="AA287" i="26"/>
  <c r="AA305" i="32" s="1"/>
  <c r="FR286" i="26"/>
  <c r="FS286" i="26" s="1"/>
  <c r="FO286" i="26"/>
  <c r="FN286" i="26"/>
  <c r="FM286" i="26"/>
  <c r="ER286" i="26"/>
  <c r="EH286" i="26"/>
  <c r="EG286" i="26"/>
  <c r="AL304" i="32" s="1"/>
  <c r="DX286" i="26"/>
  <c r="DW286" i="26"/>
  <c r="AK304" i="32" s="1"/>
  <c r="DN286" i="26"/>
  <c r="DM286" i="26"/>
  <c r="AJ304" i="32" s="1"/>
  <c r="DD286" i="26"/>
  <c r="DC286" i="26"/>
  <c r="AI304" i="32" s="1"/>
  <c r="CT286" i="26"/>
  <c r="CS286" i="26"/>
  <c r="AH304" i="32" s="1"/>
  <c r="CJ286" i="26"/>
  <c r="CI286" i="26"/>
  <c r="AG304" i="32" s="1"/>
  <c r="BZ286" i="26"/>
  <c r="BY286" i="26"/>
  <c r="AF304" i="32" s="1"/>
  <c r="BP286" i="26"/>
  <c r="BO286" i="26"/>
  <c r="AE304" i="32" s="1"/>
  <c r="BF286" i="26"/>
  <c r="BE286" i="26"/>
  <c r="AD304" i="32" s="1"/>
  <c r="AV286" i="26"/>
  <c r="AU286" i="26"/>
  <c r="AC304" i="32" s="1"/>
  <c r="AL286" i="26"/>
  <c r="AK286" i="26"/>
  <c r="AB304" i="32" s="1"/>
  <c r="AB286" i="26"/>
  <c r="AA286" i="26"/>
  <c r="AA304" i="32" s="1"/>
  <c r="FR285" i="26"/>
  <c r="FO285" i="26"/>
  <c r="FN285" i="26"/>
  <c r="FM285" i="26"/>
  <c r="FA285" i="26"/>
  <c r="EZ285" i="26" s="1"/>
  <c r="AO303" i="32" s="1"/>
  <c r="ES285" i="26"/>
  <c r="AN303" i="32" s="1"/>
  <c r="ER285" i="26"/>
  <c r="EH285" i="26"/>
  <c r="EG285" i="26"/>
  <c r="AL303" i="32" s="1"/>
  <c r="DX285" i="26"/>
  <c r="DW285" i="26"/>
  <c r="AK303" i="32" s="1"/>
  <c r="DN285" i="26"/>
  <c r="DM285" i="26"/>
  <c r="AJ303" i="32" s="1"/>
  <c r="DD285" i="26"/>
  <c r="DC285" i="26"/>
  <c r="AI303" i="32" s="1"/>
  <c r="CT285" i="26"/>
  <c r="CS285" i="26"/>
  <c r="AH303" i="32" s="1"/>
  <c r="CJ285" i="26"/>
  <c r="CI285" i="26"/>
  <c r="AG303" i="32" s="1"/>
  <c r="BZ285" i="26"/>
  <c r="BY285" i="26"/>
  <c r="AF303" i="32" s="1"/>
  <c r="BP285" i="26"/>
  <c r="BO285" i="26"/>
  <c r="AE303" i="32" s="1"/>
  <c r="BF285" i="26"/>
  <c r="BE285" i="26"/>
  <c r="AD303" i="32" s="1"/>
  <c r="AV285" i="26"/>
  <c r="AU285" i="26"/>
  <c r="AC303" i="32" s="1"/>
  <c r="AL285" i="26"/>
  <c r="AK285" i="26"/>
  <c r="AB303" i="32" s="1"/>
  <c r="AB285" i="26"/>
  <c r="AA285" i="26"/>
  <c r="AA303" i="32" s="1"/>
  <c r="FR284" i="26"/>
  <c r="AS302" i="32" s="1"/>
  <c r="FA284" i="26"/>
  <c r="EZ284" i="26" s="1"/>
  <c r="AO302" i="32" s="1"/>
  <c r="ES284" i="26"/>
  <c r="AN302" i="32" s="1"/>
  <c r="ER284" i="26"/>
  <c r="EH284" i="26"/>
  <c r="EG284" i="26"/>
  <c r="AL302" i="32" s="1"/>
  <c r="DX284" i="26"/>
  <c r="DW284" i="26"/>
  <c r="AK302" i="32" s="1"/>
  <c r="DN284" i="26"/>
  <c r="DM284" i="26"/>
  <c r="AJ302" i="32" s="1"/>
  <c r="DD284" i="26"/>
  <c r="DC284" i="26"/>
  <c r="AI302" i="32" s="1"/>
  <c r="CT284" i="26"/>
  <c r="CS284" i="26"/>
  <c r="AH302" i="32" s="1"/>
  <c r="CJ284" i="26"/>
  <c r="CI284" i="26"/>
  <c r="AG302" i="32" s="1"/>
  <c r="BZ284" i="26"/>
  <c r="BY284" i="26"/>
  <c r="AF302" i="32" s="1"/>
  <c r="BP284" i="26"/>
  <c r="BO284" i="26"/>
  <c r="AE302" i="32" s="1"/>
  <c r="BF284" i="26"/>
  <c r="BE284" i="26"/>
  <c r="AD302" i="32" s="1"/>
  <c r="AV284" i="26"/>
  <c r="AU284" i="26"/>
  <c r="AC302" i="32" s="1"/>
  <c r="AL284" i="26"/>
  <c r="AK284" i="26"/>
  <c r="AB302" i="32" s="1"/>
  <c r="AB284" i="26"/>
  <c r="AA284" i="26"/>
  <c r="AA302" i="32" s="1"/>
  <c r="FR283" i="26"/>
  <c r="AS301" i="32" s="1"/>
  <c r="FA283" i="26"/>
  <c r="EZ283" i="26" s="1"/>
  <c r="FQ283" i="26" s="1"/>
  <c r="AP301" i="32" s="1"/>
  <c r="ES283" i="26"/>
  <c r="AN301" i="32" s="1"/>
  <c r="ER283" i="26"/>
  <c r="EH283" i="26"/>
  <c r="EG283" i="26"/>
  <c r="AL301" i="32" s="1"/>
  <c r="DX283" i="26"/>
  <c r="DW283" i="26"/>
  <c r="AK301" i="32" s="1"/>
  <c r="DN283" i="26"/>
  <c r="DM283" i="26"/>
  <c r="AJ301" i="32" s="1"/>
  <c r="DD283" i="26"/>
  <c r="DC283" i="26"/>
  <c r="AI301" i="32" s="1"/>
  <c r="CT283" i="26"/>
  <c r="CS283" i="26"/>
  <c r="AH301" i="32" s="1"/>
  <c r="CJ283" i="26"/>
  <c r="CI283" i="26"/>
  <c r="AG301" i="32" s="1"/>
  <c r="BZ283" i="26"/>
  <c r="BY283" i="26"/>
  <c r="AF301" i="32" s="1"/>
  <c r="BP283" i="26"/>
  <c r="BO283" i="26"/>
  <c r="AE301" i="32" s="1"/>
  <c r="BF283" i="26"/>
  <c r="BE283" i="26"/>
  <c r="AD301" i="32" s="1"/>
  <c r="AV283" i="26"/>
  <c r="AU283" i="26"/>
  <c r="AC301" i="32" s="1"/>
  <c r="AL283" i="26"/>
  <c r="AK283" i="26"/>
  <c r="AB301" i="32" s="1"/>
  <c r="AB283" i="26"/>
  <c r="AA283" i="26"/>
  <c r="AA301" i="32" s="1"/>
  <c r="FR282" i="26"/>
  <c r="AS300" i="32" s="1"/>
  <c r="FA282" i="26"/>
  <c r="EZ282" i="26" s="1"/>
  <c r="FQ282" i="26" s="1"/>
  <c r="AP300" i="32" s="1"/>
  <c r="ES282" i="26"/>
  <c r="AN300" i="32" s="1"/>
  <c r="ER282" i="26"/>
  <c r="EH282" i="26"/>
  <c r="EG282" i="26"/>
  <c r="AL300" i="32" s="1"/>
  <c r="DX282" i="26"/>
  <c r="DW282" i="26"/>
  <c r="AK300" i="32" s="1"/>
  <c r="DN282" i="26"/>
  <c r="DM282" i="26"/>
  <c r="AJ300" i="32" s="1"/>
  <c r="DD282" i="26"/>
  <c r="DC282" i="26"/>
  <c r="AI300" i="32" s="1"/>
  <c r="CT282" i="26"/>
  <c r="CS282" i="26"/>
  <c r="AH300" i="32" s="1"/>
  <c r="CJ282" i="26"/>
  <c r="CI282" i="26"/>
  <c r="AG300" i="32" s="1"/>
  <c r="BZ282" i="26"/>
  <c r="BY282" i="26"/>
  <c r="AF300" i="32" s="1"/>
  <c r="BP282" i="26"/>
  <c r="BO282" i="26"/>
  <c r="AE300" i="32" s="1"/>
  <c r="BF282" i="26"/>
  <c r="BE282" i="26"/>
  <c r="AD300" i="32" s="1"/>
  <c r="AV282" i="26"/>
  <c r="AU282" i="26"/>
  <c r="AC300" i="32" s="1"/>
  <c r="AL282" i="26"/>
  <c r="AK282" i="26"/>
  <c r="AB300" i="32" s="1"/>
  <c r="AB282" i="26"/>
  <c r="AA282" i="26"/>
  <c r="AA300" i="32" s="1"/>
  <c r="FG281" i="26"/>
  <c r="FF281" i="26"/>
  <c r="FE281" i="26"/>
  <c r="FD281" i="26"/>
  <c r="FC281" i="26"/>
  <c r="FB281" i="26"/>
  <c r="EU281" i="26"/>
  <c r="ET281" i="26"/>
  <c r="EH281" i="26"/>
  <c r="EG281" i="26"/>
  <c r="AL299" i="32" s="1"/>
  <c r="DX281" i="26"/>
  <c r="DW281" i="26"/>
  <c r="AK299" i="32" s="1"/>
  <c r="DN281" i="26"/>
  <c r="DM281" i="26"/>
  <c r="AJ299" i="32" s="1"/>
  <c r="DD281" i="26"/>
  <c r="DC281" i="26"/>
  <c r="AI299" i="32" s="1"/>
  <c r="CT281" i="26"/>
  <c r="CS281" i="26"/>
  <c r="AH299" i="32" s="1"/>
  <c r="CJ281" i="26"/>
  <c r="CI281" i="26"/>
  <c r="AG299" i="32" s="1"/>
  <c r="BZ281" i="26"/>
  <c r="BY281" i="26"/>
  <c r="AF299" i="32" s="1"/>
  <c r="BP281" i="26"/>
  <c r="BO281" i="26"/>
  <c r="AE299" i="32" s="1"/>
  <c r="BF281" i="26"/>
  <c r="BE281" i="26"/>
  <c r="AD299" i="32" s="1"/>
  <c r="AV281" i="26"/>
  <c r="AU281" i="26"/>
  <c r="AC299" i="32" s="1"/>
  <c r="AL281" i="26"/>
  <c r="AK281" i="26"/>
  <c r="AB299" i="32" s="1"/>
  <c r="AB281" i="26"/>
  <c r="AA281" i="26"/>
  <c r="AA299" i="32" s="1"/>
  <c r="FR280" i="26"/>
  <c r="FS280" i="26" s="1"/>
  <c r="FO280" i="26"/>
  <c r="FN280" i="26"/>
  <c r="FM280" i="26"/>
  <c r="ER280" i="26"/>
  <c r="EH280" i="26"/>
  <c r="EG280" i="26"/>
  <c r="AL298" i="32" s="1"/>
  <c r="DX280" i="26"/>
  <c r="DW280" i="26"/>
  <c r="AK298" i="32" s="1"/>
  <c r="DN280" i="26"/>
  <c r="DM280" i="26"/>
  <c r="AJ298" i="32" s="1"/>
  <c r="DD280" i="26"/>
  <c r="DC280" i="26"/>
  <c r="AI298" i="32" s="1"/>
  <c r="CT280" i="26"/>
  <c r="CS280" i="26"/>
  <c r="AH298" i="32" s="1"/>
  <c r="CJ280" i="26"/>
  <c r="CI280" i="26"/>
  <c r="AG298" i="32" s="1"/>
  <c r="BZ280" i="26"/>
  <c r="BY280" i="26"/>
  <c r="AF298" i="32" s="1"/>
  <c r="BP280" i="26"/>
  <c r="BO280" i="26"/>
  <c r="AE298" i="32" s="1"/>
  <c r="BF280" i="26"/>
  <c r="BE280" i="26"/>
  <c r="AD298" i="32" s="1"/>
  <c r="AV280" i="26"/>
  <c r="AU280" i="26"/>
  <c r="AC298" i="32" s="1"/>
  <c r="AL280" i="26"/>
  <c r="AK280" i="26"/>
  <c r="AB298" i="32" s="1"/>
  <c r="AB280" i="26"/>
  <c r="AA280" i="26"/>
  <c r="AA298" i="32" s="1"/>
  <c r="FR279" i="26"/>
  <c r="AS297" i="32" s="1"/>
  <c r="FO279" i="26"/>
  <c r="FN279" i="26"/>
  <c r="FM279" i="26"/>
  <c r="FA279" i="26"/>
  <c r="EZ279" i="26" s="1"/>
  <c r="ES279" i="26"/>
  <c r="AN297" i="32" s="1"/>
  <c r="ER279" i="26"/>
  <c r="EH279" i="26"/>
  <c r="EG279" i="26"/>
  <c r="AL297" i="32" s="1"/>
  <c r="DX279" i="26"/>
  <c r="DW279" i="26"/>
  <c r="AK297" i="32" s="1"/>
  <c r="DN279" i="26"/>
  <c r="DM279" i="26"/>
  <c r="AJ297" i="32" s="1"/>
  <c r="DD279" i="26"/>
  <c r="DC279" i="26"/>
  <c r="AI297" i="32" s="1"/>
  <c r="CT279" i="26"/>
  <c r="CS279" i="26"/>
  <c r="AH297" i="32" s="1"/>
  <c r="CJ279" i="26"/>
  <c r="CI279" i="26"/>
  <c r="AG297" i="32" s="1"/>
  <c r="BZ279" i="26"/>
  <c r="BY279" i="26"/>
  <c r="AF297" i="32" s="1"/>
  <c r="BP279" i="26"/>
  <c r="BO279" i="26"/>
  <c r="AE297" i="32" s="1"/>
  <c r="BF279" i="26"/>
  <c r="BE279" i="26"/>
  <c r="AD297" i="32" s="1"/>
  <c r="AV279" i="26"/>
  <c r="AU279" i="26"/>
  <c r="AC297" i="32" s="1"/>
  <c r="AL279" i="26"/>
  <c r="AK279" i="26"/>
  <c r="AB297" i="32" s="1"/>
  <c r="AB279" i="26"/>
  <c r="AA279" i="26"/>
  <c r="AA297" i="32" s="1"/>
  <c r="FR278" i="26"/>
  <c r="AS296" i="32" s="1"/>
  <c r="FA278" i="26"/>
  <c r="EZ278" i="26" s="1"/>
  <c r="FQ278" i="26" s="1"/>
  <c r="AP296" i="32" s="1"/>
  <c r="ES278" i="26"/>
  <c r="AN296" i="32" s="1"/>
  <c r="ER278" i="26"/>
  <c r="EH278" i="26"/>
  <c r="EG278" i="26"/>
  <c r="AL296" i="32" s="1"/>
  <c r="DX278" i="26"/>
  <c r="DW278" i="26"/>
  <c r="AK296" i="32" s="1"/>
  <c r="DN278" i="26"/>
  <c r="DM278" i="26"/>
  <c r="AJ296" i="32" s="1"/>
  <c r="DD278" i="26"/>
  <c r="DC278" i="26"/>
  <c r="AI296" i="32" s="1"/>
  <c r="CT278" i="26"/>
  <c r="CS278" i="26"/>
  <c r="AH296" i="32" s="1"/>
  <c r="CJ278" i="26"/>
  <c r="CI278" i="26"/>
  <c r="AG296" i="32" s="1"/>
  <c r="BZ278" i="26"/>
  <c r="BY278" i="26"/>
  <c r="AF296" i="32" s="1"/>
  <c r="BP278" i="26"/>
  <c r="BO278" i="26"/>
  <c r="AE296" i="32" s="1"/>
  <c r="BF278" i="26"/>
  <c r="BE278" i="26"/>
  <c r="AD296" i="32" s="1"/>
  <c r="AV278" i="26"/>
  <c r="AU278" i="26"/>
  <c r="AC296" i="32" s="1"/>
  <c r="AL278" i="26"/>
  <c r="AK278" i="26"/>
  <c r="AB296" i="32" s="1"/>
  <c r="AB278" i="26"/>
  <c r="AA278" i="26"/>
  <c r="AA296" i="32" s="1"/>
  <c r="FR277" i="26"/>
  <c r="FS277" i="26" s="1"/>
  <c r="FA277" i="26"/>
  <c r="EZ277" i="26" s="1"/>
  <c r="ES277" i="26"/>
  <c r="AN295" i="32" s="1"/>
  <c r="ER277" i="26"/>
  <c r="EH277" i="26"/>
  <c r="EG277" i="26"/>
  <c r="AL295" i="32" s="1"/>
  <c r="DX277" i="26"/>
  <c r="DW277" i="26"/>
  <c r="AK295" i="32" s="1"/>
  <c r="DN277" i="26"/>
  <c r="DM277" i="26"/>
  <c r="AJ295" i="32" s="1"/>
  <c r="DD277" i="26"/>
  <c r="DC277" i="26"/>
  <c r="AI295" i="32" s="1"/>
  <c r="CT277" i="26"/>
  <c r="CS277" i="26"/>
  <c r="AH295" i="32" s="1"/>
  <c r="CJ277" i="26"/>
  <c r="CI277" i="26"/>
  <c r="AG295" i="32" s="1"/>
  <c r="BZ277" i="26"/>
  <c r="BY277" i="26"/>
  <c r="AF295" i="32" s="1"/>
  <c r="BP277" i="26"/>
  <c r="BO277" i="26"/>
  <c r="AE295" i="32" s="1"/>
  <c r="BF277" i="26"/>
  <c r="BE277" i="26"/>
  <c r="AD295" i="32" s="1"/>
  <c r="AV277" i="26"/>
  <c r="AU277" i="26"/>
  <c r="AC295" i="32" s="1"/>
  <c r="AL277" i="26"/>
  <c r="AK277" i="26"/>
  <c r="AB295" i="32" s="1"/>
  <c r="AB277" i="26"/>
  <c r="AA277" i="26"/>
  <c r="AA295" i="32" s="1"/>
  <c r="FR276" i="26"/>
  <c r="FS276" i="26" s="1"/>
  <c r="FA276" i="26"/>
  <c r="EZ276" i="26" s="1"/>
  <c r="ES276" i="26"/>
  <c r="AN294" i="32" s="1"/>
  <c r="ER276" i="26"/>
  <c r="EH276" i="26"/>
  <c r="EG276" i="26"/>
  <c r="AL294" i="32" s="1"/>
  <c r="DX276" i="26"/>
  <c r="DW276" i="26"/>
  <c r="AK294" i="32" s="1"/>
  <c r="DN276" i="26"/>
  <c r="DM276" i="26"/>
  <c r="AJ294" i="32" s="1"/>
  <c r="DD276" i="26"/>
  <c r="DC276" i="26"/>
  <c r="AI294" i="32" s="1"/>
  <c r="CT276" i="26"/>
  <c r="CS276" i="26"/>
  <c r="AH294" i="32" s="1"/>
  <c r="CJ276" i="26"/>
  <c r="CI276" i="26"/>
  <c r="AG294" i="32" s="1"/>
  <c r="BZ276" i="26"/>
  <c r="BY276" i="26"/>
  <c r="AF294" i="32" s="1"/>
  <c r="BP276" i="26"/>
  <c r="BO276" i="26"/>
  <c r="AE294" i="32" s="1"/>
  <c r="BF276" i="26"/>
  <c r="BE276" i="26"/>
  <c r="AD294" i="32" s="1"/>
  <c r="AV276" i="26"/>
  <c r="AU276" i="26"/>
  <c r="AC294" i="32" s="1"/>
  <c r="AL276" i="26"/>
  <c r="AK276" i="26"/>
  <c r="AB294" i="32" s="1"/>
  <c r="AB276" i="26"/>
  <c r="AA276" i="26"/>
  <c r="AA294" i="32" s="1"/>
  <c r="FG275" i="26"/>
  <c r="FF275" i="26"/>
  <c r="FE275" i="26"/>
  <c r="FD275" i="26"/>
  <c r="FC275" i="26"/>
  <c r="FB275" i="26"/>
  <c r="EU275" i="26"/>
  <c r="ET275" i="26"/>
  <c r="EH275" i="26"/>
  <c r="EG275" i="26"/>
  <c r="AL293" i="32" s="1"/>
  <c r="DX275" i="26"/>
  <c r="DW275" i="26"/>
  <c r="AK293" i="32" s="1"/>
  <c r="DN275" i="26"/>
  <c r="DM275" i="26"/>
  <c r="AJ293" i="32" s="1"/>
  <c r="DD275" i="26"/>
  <c r="DC275" i="26"/>
  <c r="AI293" i="32" s="1"/>
  <c r="CT275" i="26"/>
  <c r="CS275" i="26"/>
  <c r="AH293" i="32" s="1"/>
  <c r="CJ275" i="26"/>
  <c r="CI275" i="26"/>
  <c r="AG293" i="32" s="1"/>
  <c r="BZ275" i="26"/>
  <c r="BY275" i="26"/>
  <c r="AF293" i="32" s="1"/>
  <c r="BP275" i="26"/>
  <c r="BO275" i="26"/>
  <c r="AE293" i="32" s="1"/>
  <c r="BF275" i="26"/>
  <c r="BE275" i="26"/>
  <c r="AD293" i="32" s="1"/>
  <c r="AV275" i="26"/>
  <c r="AU275" i="26"/>
  <c r="AC293" i="32" s="1"/>
  <c r="AL275" i="26"/>
  <c r="AK275" i="26"/>
  <c r="AB293" i="32" s="1"/>
  <c r="AB275" i="26"/>
  <c r="AA275" i="26"/>
  <c r="AA293" i="32" s="1"/>
  <c r="FR274" i="26"/>
  <c r="AS292" i="32" s="1"/>
  <c r="FO274" i="26"/>
  <c r="FN274" i="26"/>
  <c r="FM274" i="26"/>
  <c r="ER274" i="26"/>
  <c r="EH274" i="26"/>
  <c r="EG274" i="26"/>
  <c r="AL292" i="32" s="1"/>
  <c r="DX274" i="26"/>
  <c r="DW274" i="26"/>
  <c r="AK292" i="32" s="1"/>
  <c r="DN274" i="26"/>
  <c r="DM274" i="26"/>
  <c r="AJ292" i="32" s="1"/>
  <c r="DD274" i="26"/>
  <c r="DC274" i="26"/>
  <c r="AI292" i="32" s="1"/>
  <c r="CT274" i="26"/>
  <c r="CS274" i="26"/>
  <c r="AH292" i="32" s="1"/>
  <c r="CJ274" i="26"/>
  <c r="CI274" i="26"/>
  <c r="AG292" i="32" s="1"/>
  <c r="BZ274" i="26"/>
  <c r="BY274" i="26"/>
  <c r="AF292" i="32" s="1"/>
  <c r="BP274" i="26"/>
  <c r="BO274" i="26"/>
  <c r="AE292" i="32" s="1"/>
  <c r="BF274" i="26"/>
  <c r="BE274" i="26"/>
  <c r="AD292" i="32" s="1"/>
  <c r="AV274" i="26"/>
  <c r="AU274" i="26"/>
  <c r="AC292" i="32" s="1"/>
  <c r="AL274" i="26"/>
  <c r="AK274" i="26"/>
  <c r="AB292" i="32" s="1"/>
  <c r="AB274" i="26"/>
  <c r="AA274" i="26"/>
  <c r="AA292" i="32" s="1"/>
  <c r="FR273" i="26"/>
  <c r="AS291" i="32" s="1"/>
  <c r="FO273" i="26"/>
  <c r="FN273" i="26"/>
  <c r="FM273" i="26"/>
  <c r="FA273" i="26"/>
  <c r="ES273" i="26"/>
  <c r="AN291" i="32" s="1"/>
  <c r="ER273" i="26"/>
  <c r="EH273" i="26"/>
  <c r="EG273" i="26"/>
  <c r="AL291" i="32" s="1"/>
  <c r="DX273" i="26"/>
  <c r="DW273" i="26"/>
  <c r="AK291" i="32" s="1"/>
  <c r="DN273" i="26"/>
  <c r="DM273" i="26"/>
  <c r="AJ291" i="32" s="1"/>
  <c r="DD273" i="26"/>
  <c r="DC273" i="26"/>
  <c r="AI291" i="32" s="1"/>
  <c r="CT273" i="26"/>
  <c r="CS273" i="26"/>
  <c r="AH291" i="32" s="1"/>
  <c r="CJ273" i="26"/>
  <c r="CI273" i="26"/>
  <c r="AG291" i="32" s="1"/>
  <c r="BZ273" i="26"/>
  <c r="BY273" i="26"/>
  <c r="AF291" i="32" s="1"/>
  <c r="BP273" i="26"/>
  <c r="BO273" i="26"/>
  <c r="AE291" i="32" s="1"/>
  <c r="BF273" i="26"/>
  <c r="BE273" i="26"/>
  <c r="AD291" i="32" s="1"/>
  <c r="AV273" i="26"/>
  <c r="AU273" i="26"/>
  <c r="AC291" i="32" s="1"/>
  <c r="AL273" i="26"/>
  <c r="AK273" i="26"/>
  <c r="AB291" i="32" s="1"/>
  <c r="AB273" i="26"/>
  <c r="AA273" i="26"/>
  <c r="AA291" i="32" s="1"/>
  <c r="FR272" i="26"/>
  <c r="FS272" i="26" s="1"/>
  <c r="FA272" i="26"/>
  <c r="EZ272" i="26" s="1"/>
  <c r="FQ272" i="26" s="1"/>
  <c r="AP290" i="32" s="1"/>
  <c r="ES272" i="26"/>
  <c r="AN290" i="32" s="1"/>
  <c r="ER272" i="26"/>
  <c r="EH272" i="26"/>
  <c r="EG272" i="26"/>
  <c r="AL290" i="32" s="1"/>
  <c r="DX272" i="26"/>
  <c r="DW272" i="26"/>
  <c r="AK290" i="32" s="1"/>
  <c r="DN272" i="26"/>
  <c r="DM272" i="26"/>
  <c r="AJ290" i="32" s="1"/>
  <c r="DD272" i="26"/>
  <c r="DC272" i="26"/>
  <c r="AI290" i="32" s="1"/>
  <c r="CT272" i="26"/>
  <c r="CS272" i="26"/>
  <c r="AH290" i="32" s="1"/>
  <c r="CJ272" i="26"/>
  <c r="CI272" i="26"/>
  <c r="AG290" i="32" s="1"/>
  <c r="BZ272" i="26"/>
  <c r="BY272" i="26"/>
  <c r="AF290" i="32" s="1"/>
  <c r="BP272" i="26"/>
  <c r="BO272" i="26"/>
  <c r="AE290" i="32" s="1"/>
  <c r="BF272" i="26"/>
  <c r="BE272" i="26"/>
  <c r="AD290" i="32" s="1"/>
  <c r="AV272" i="26"/>
  <c r="AU272" i="26"/>
  <c r="AC290" i="32" s="1"/>
  <c r="AL272" i="26"/>
  <c r="AK272" i="26"/>
  <c r="AB290" i="32" s="1"/>
  <c r="AB272" i="26"/>
  <c r="AA272" i="26"/>
  <c r="AA290" i="32" s="1"/>
  <c r="FR271" i="26"/>
  <c r="AS289" i="32" s="1"/>
  <c r="FA271" i="26"/>
  <c r="EZ271" i="26" s="1"/>
  <c r="FQ271" i="26" s="1"/>
  <c r="AP289" i="32" s="1"/>
  <c r="ES271" i="26"/>
  <c r="AN289" i="32" s="1"/>
  <c r="ER271" i="26"/>
  <c r="EH271" i="26"/>
  <c r="EG271" i="26"/>
  <c r="AL289" i="32" s="1"/>
  <c r="DX271" i="26"/>
  <c r="DW271" i="26"/>
  <c r="AK289" i="32" s="1"/>
  <c r="DN271" i="26"/>
  <c r="DM271" i="26"/>
  <c r="AJ289" i="32" s="1"/>
  <c r="DD271" i="26"/>
  <c r="DC271" i="26"/>
  <c r="AI289" i="32" s="1"/>
  <c r="CT271" i="26"/>
  <c r="CS271" i="26"/>
  <c r="AH289" i="32" s="1"/>
  <c r="CJ271" i="26"/>
  <c r="CI271" i="26"/>
  <c r="AG289" i="32" s="1"/>
  <c r="BZ271" i="26"/>
  <c r="BY271" i="26"/>
  <c r="AF289" i="32" s="1"/>
  <c r="BP271" i="26"/>
  <c r="BO271" i="26"/>
  <c r="AE289" i="32" s="1"/>
  <c r="BF271" i="26"/>
  <c r="BE271" i="26"/>
  <c r="AD289" i="32" s="1"/>
  <c r="AV271" i="26"/>
  <c r="AU271" i="26"/>
  <c r="AC289" i="32" s="1"/>
  <c r="AL271" i="26"/>
  <c r="AK271" i="26"/>
  <c r="AB289" i="32" s="1"/>
  <c r="AB271" i="26"/>
  <c r="AA271" i="26"/>
  <c r="AA289" i="32" s="1"/>
  <c r="FR270" i="26"/>
  <c r="AS288" i="32" s="1"/>
  <c r="FA270" i="26"/>
  <c r="EZ270" i="26" s="1"/>
  <c r="FQ270" i="26" s="1"/>
  <c r="AP288" i="32" s="1"/>
  <c r="ES270" i="26"/>
  <c r="AN288" i="32" s="1"/>
  <c r="ER270" i="26"/>
  <c r="EH270" i="26"/>
  <c r="EG270" i="26"/>
  <c r="AL288" i="32" s="1"/>
  <c r="DX270" i="26"/>
  <c r="DW270" i="26"/>
  <c r="AK288" i="32" s="1"/>
  <c r="DN270" i="26"/>
  <c r="DM270" i="26"/>
  <c r="AJ288" i="32" s="1"/>
  <c r="DD270" i="26"/>
  <c r="DC270" i="26"/>
  <c r="AI288" i="32" s="1"/>
  <c r="CT270" i="26"/>
  <c r="CS270" i="26"/>
  <c r="AH288" i="32" s="1"/>
  <c r="CJ270" i="26"/>
  <c r="CI270" i="26"/>
  <c r="AG288" i="32" s="1"/>
  <c r="BZ270" i="26"/>
  <c r="BY270" i="26"/>
  <c r="AF288" i="32" s="1"/>
  <c r="BP270" i="26"/>
  <c r="BO270" i="26"/>
  <c r="AE288" i="32" s="1"/>
  <c r="BF270" i="26"/>
  <c r="BE270" i="26"/>
  <c r="AD288" i="32" s="1"/>
  <c r="AV270" i="26"/>
  <c r="AU270" i="26"/>
  <c r="AC288" i="32" s="1"/>
  <c r="AL270" i="26"/>
  <c r="AK270" i="26"/>
  <c r="AB288" i="32" s="1"/>
  <c r="AB270" i="26"/>
  <c r="AA270" i="26"/>
  <c r="AA288" i="32" s="1"/>
  <c r="FG269" i="26"/>
  <c r="FF269" i="26"/>
  <c r="FE269" i="26"/>
  <c r="FD269" i="26"/>
  <c r="FC269" i="26"/>
  <c r="FB269" i="26"/>
  <c r="EU269" i="26"/>
  <c r="ET269" i="26"/>
  <c r="EH269" i="26"/>
  <c r="EG269" i="26"/>
  <c r="DX269" i="26"/>
  <c r="DW269" i="26"/>
  <c r="DN269" i="26"/>
  <c r="DM269" i="26"/>
  <c r="DD269" i="26"/>
  <c r="DC269" i="26"/>
  <c r="CT269" i="26"/>
  <c r="CS269" i="26"/>
  <c r="CJ269" i="26"/>
  <c r="CI269" i="26"/>
  <c r="BZ269" i="26"/>
  <c r="BY269" i="26"/>
  <c r="BP269" i="26"/>
  <c r="BO269" i="26"/>
  <c r="BF269" i="26"/>
  <c r="BE269" i="26"/>
  <c r="AV269" i="26"/>
  <c r="AU269" i="26"/>
  <c r="AL269" i="26"/>
  <c r="AK269" i="26"/>
  <c r="AB269" i="26"/>
  <c r="AA269" i="26"/>
  <c r="FR268" i="26"/>
  <c r="FS268" i="26" s="1"/>
  <c r="FO268" i="26"/>
  <c r="FN268" i="26"/>
  <c r="FM268" i="26"/>
  <c r="ER268" i="26"/>
  <c r="EH268" i="26"/>
  <c r="EG268" i="26"/>
  <c r="DX268" i="26"/>
  <c r="DW268" i="26"/>
  <c r="DN268" i="26"/>
  <c r="DM268" i="26"/>
  <c r="DD268" i="26"/>
  <c r="DC268" i="26"/>
  <c r="CT268" i="26"/>
  <c r="CS268" i="26"/>
  <c r="CJ268" i="26"/>
  <c r="CI268" i="26"/>
  <c r="BZ268" i="26"/>
  <c r="BY268" i="26"/>
  <c r="BP268" i="26"/>
  <c r="BO268" i="26"/>
  <c r="BF268" i="26"/>
  <c r="BE268" i="26"/>
  <c r="AV268" i="26"/>
  <c r="AU268" i="26"/>
  <c r="AL268" i="26"/>
  <c r="AK268" i="26"/>
  <c r="AB268" i="26"/>
  <c r="AA268" i="26"/>
  <c r="FR267" i="26"/>
  <c r="FS267" i="26" s="1"/>
  <c r="FO267" i="26"/>
  <c r="FN267" i="26"/>
  <c r="FM267" i="26"/>
  <c r="FA267" i="26"/>
  <c r="EZ267" i="26" s="1"/>
  <c r="FQ267" i="26" s="1"/>
  <c r="ES267" i="26"/>
  <c r="ER267" i="26"/>
  <c r="EH267" i="26"/>
  <c r="EG267" i="26"/>
  <c r="DX267" i="26"/>
  <c r="DW267" i="26"/>
  <c r="DN267" i="26"/>
  <c r="DM267" i="26"/>
  <c r="DD267" i="26"/>
  <c r="DC267" i="26"/>
  <c r="CT267" i="26"/>
  <c r="CS267" i="26"/>
  <c r="CJ267" i="26"/>
  <c r="CI267" i="26"/>
  <c r="BZ267" i="26"/>
  <c r="BY267" i="26"/>
  <c r="BP267" i="26"/>
  <c r="BO267" i="26"/>
  <c r="BF267" i="26"/>
  <c r="BE267" i="26"/>
  <c r="AV267" i="26"/>
  <c r="AU267" i="26"/>
  <c r="AL267" i="26"/>
  <c r="AK267" i="26"/>
  <c r="AB267" i="26"/>
  <c r="AA267" i="26"/>
  <c r="FR266" i="26"/>
  <c r="FS266" i="26" s="1"/>
  <c r="FA266" i="26"/>
  <c r="EZ266" i="26" s="1"/>
  <c r="FQ266" i="26" s="1"/>
  <c r="ES266" i="26"/>
  <c r="ER266" i="26"/>
  <c r="EH266" i="26"/>
  <c r="EG266" i="26"/>
  <c r="DX266" i="26"/>
  <c r="DW266" i="26"/>
  <c r="DN266" i="26"/>
  <c r="DM266" i="26"/>
  <c r="DD266" i="26"/>
  <c r="DC266" i="26"/>
  <c r="CT266" i="26"/>
  <c r="CS266" i="26"/>
  <c r="CJ266" i="26"/>
  <c r="CI266" i="26"/>
  <c r="BZ266" i="26"/>
  <c r="BY266" i="26"/>
  <c r="BP266" i="26"/>
  <c r="BO266" i="26"/>
  <c r="BF266" i="26"/>
  <c r="BE266" i="26"/>
  <c r="AV266" i="26"/>
  <c r="AU266" i="26"/>
  <c r="AL266" i="26"/>
  <c r="AK266" i="26"/>
  <c r="AB266" i="26"/>
  <c r="AA266" i="26"/>
  <c r="FR265" i="26"/>
  <c r="FS265" i="26" s="1"/>
  <c r="FA265" i="26"/>
  <c r="ES265" i="26"/>
  <c r="ER265" i="26"/>
  <c r="EH265" i="26"/>
  <c r="EG265" i="26"/>
  <c r="DX265" i="26"/>
  <c r="DW265" i="26"/>
  <c r="DN265" i="26"/>
  <c r="DM265" i="26"/>
  <c r="DD265" i="26"/>
  <c r="DC265" i="26"/>
  <c r="CT265" i="26"/>
  <c r="CS265" i="26"/>
  <c r="CJ265" i="26"/>
  <c r="CI265" i="26"/>
  <c r="BZ265" i="26"/>
  <c r="BY265" i="26"/>
  <c r="BP265" i="26"/>
  <c r="BO265" i="26"/>
  <c r="BF265" i="26"/>
  <c r="BE265" i="26"/>
  <c r="AV265" i="26"/>
  <c r="AU265" i="26"/>
  <c r="AL265" i="26"/>
  <c r="AK265" i="26"/>
  <c r="AB265" i="26"/>
  <c r="AA265" i="26"/>
  <c r="FR264" i="26"/>
  <c r="FS264" i="26" s="1"/>
  <c r="FA264" i="26"/>
  <c r="EZ264" i="26" s="1"/>
  <c r="FQ264" i="26" s="1"/>
  <c r="ES264" i="26"/>
  <c r="ER264" i="26"/>
  <c r="EH264" i="26"/>
  <c r="EG264" i="26"/>
  <c r="DX264" i="26"/>
  <c r="DW264" i="26"/>
  <c r="DN264" i="26"/>
  <c r="DM264" i="26"/>
  <c r="DD264" i="26"/>
  <c r="DC264" i="26"/>
  <c r="CT264" i="26"/>
  <c r="CS264" i="26"/>
  <c r="CJ264" i="26"/>
  <c r="CI264" i="26"/>
  <c r="BZ264" i="26"/>
  <c r="BY264" i="26"/>
  <c r="BP264" i="26"/>
  <c r="BO264" i="26"/>
  <c r="BF264" i="26"/>
  <c r="BE264" i="26"/>
  <c r="AV264" i="26"/>
  <c r="AU264" i="26"/>
  <c r="AL264" i="26"/>
  <c r="AK264" i="26"/>
  <c r="AB264" i="26"/>
  <c r="AA264" i="26"/>
  <c r="FG263" i="26"/>
  <c r="FF263" i="26"/>
  <c r="FE263" i="26"/>
  <c r="FD263" i="26"/>
  <c r="FC263" i="26"/>
  <c r="FB263" i="26"/>
  <c r="EU263" i="26"/>
  <c r="ET263" i="26"/>
  <c r="EH263" i="26"/>
  <c r="EG263" i="26"/>
  <c r="AL287" i="32" s="1"/>
  <c r="DX263" i="26"/>
  <c r="DW263" i="26"/>
  <c r="AK287" i="32" s="1"/>
  <c r="DN263" i="26"/>
  <c r="DM263" i="26"/>
  <c r="AJ287" i="32" s="1"/>
  <c r="DD263" i="26"/>
  <c r="DC263" i="26"/>
  <c r="AI287" i="32" s="1"/>
  <c r="CT263" i="26"/>
  <c r="CS263" i="26"/>
  <c r="AH287" i="32" s="1"/>
  <c r="CJ263" i="26"/>
  <c r="CI263" i="26"/>
  <c r="AG287" i="32" s="1"/>
  <c r="BZ263" i="26"/>
  <c r="BY263" i="26"/>
  <c r="AF287" i="32" s="1"/>
  <c r="BP263" i="26"/>
  <c r="BO263" i="26"/>
  <c r="AE287" i="32" s="1"/>
  <c r="BF263" i="26"/>
  <c r="BE263" i="26"/>
  <c r="AD287" i="32" s="1"/>
  <c r="AV263" i="26"/>
  <c r="AU263" i="26"/>
  <c r="AC287" i="32" s="1"/>
  <c r="AL263" i="26"/>
  <c r="AK263" i="26"/>
  <c r="AB287" i="32" s="1"/>
  <c r="AB263" i="26"/>
  <c r="AA263" i="26"/>
  <c r="AA287" i="32" s="1"/>
  <c r="FR262" i="26"/>
  <c r="AS286" i="32" s="1"/>
  <c r="FO262" i="26"/>
  <c r="FN262" i="26"/>
  <c r="FM262" i="26"/>
  <c r="ER262" i="26"/>
  <c r="EH262" i="26"/>
  <c r="EG262" i="26"/>
  <c r="AL286" i="32" s="1"/>
  <c r="DX262" i="26"/>
  <c r="DW262" i="26"/>
  <c r="AK286" i="32" s="1"/>
  <c r="DN262" i="26"/>
  <c r="DM262" i="26"/>
  <c r="AJ286" i="32" s="1"/>
  <c r="DD262" i="26"/>
  <c r="DC262" i="26"/>
  <c r="AI286" i="32" s="1"/>
  <c r="CT262" i="26"/>
  <c r="CS262" i="26"/>
  <c r="AH286" i="32" s="1"/>
  <c r="CJ262" i="26"/>
  <c r="CI262" i="26"/>
  <c r="AG286" i="32" s="1"/>
  <c r="BZ262" i="26"/>
  <c r="BY262" i="26"/>
  <c r="AF286" i="32" s="1"/>
  <c r="BP262" i="26"/>
  <c r="BO262" i="26"/>
  <c r="AE286" i="32" s="1"/>
  <c r="BF262" i="26"/>
  <c r="BE262" i="26"/>
  <c r="AD286" i="32" s="1"/>
  <c r="AV262" i="26"/>
  <c r="AU262" i="26"/>
  <c r="AC286" i="32" s="1"/>
  <c r="AL262" i="26"/>
  <c r="AK262" i="26"/>
  <c r="AB286" i="32" s="1"/>
  <c r="AB262" i="26"/>
  <c r="AA262" i="26"/>
  <c r="AA286" i="32" s="1"/>
  <c r="FR261" i="26"/>
  <c r="FS261" i="26" s="1"/>
  <c r="FO261" i="26"/>
  <c r="FN261" i="26"/>
  <c r="FM261" i="26"/>
  <c r="FA261" i="26"/>
  <c r="EZ261" i="26" s="1"/>
  <c r="FQ261" i="26" s="1"/>
  <c r="AP285" i="32" s="1"/>
  <c r="ES261" i="26"/>
  <c r="AN285" i="32" s="1"/>
  <c r="ER261" i="26"/>
  <c r="EH261" i="26"/>
  <c r="EG261" i="26"/>
  <c r="AL285" i="32" s="1"/>
  <c r="DX261" i="26"/>
  <c r="DW261" i="26"/>
  <c r="AK285" i="32" s="1"/>
  <c r="DN261" i="26"/>
  <c r="DM261" i="26"/>
  <c r="AJ285" i="32" s="1"/>
  <c r="DD261" i="26"/>
  <c r="DC261" i="26"/>
  <c r="AI285" i="32" s="1"/>
  <c r="CT261" i="26"/>
  <c r="CS261" i="26"/>
  <c r="AH285" i="32" s="1"/>
  <c r="CJ261" i="26"/>
  <c r="CI261" i="26"/>
  <c r="AG285" i="32" s="1"/>
  <c r="BZ261" i="26"/>
  <c r="BY261" i="26"/>
  <c r="AF285" i="32" s="1"/>
  <c r="BP261" i="26"/>
  <c r="BO261" i="26"/>
  <c r="AE285" i="32" s="1"/>
  <c r="BF261" i="26"/>
  <c r="BE261" i="26"/>
  <c r="AD285" i="32" s="1"/>
  <c r="AV261" i="26"/>
  <c r="AU261" i="26"/>
  <c r="AC285" i="32" s="1"/>
  <c r="AL261" i="26"/>
  <c r="AK261" i="26"/>
  <c r="AB285" i="32" s="1"/>
  <c r="AB261" i="26"/>
  <c r="AA261" i="26"/>
  <c r="AA285" i="32" s="1"/>
  <c r="FR260" i="26"/>
  <c r="AS284" i="32" s="1"/>
  <c r="FA260" i="26"/>
  <c r="EZ260" i="26" s="1"/>
  <c r="ES260" i="26"/>
  <c r="AN284" i="32" s="1"/>
  <c r="ER260" i="26"/>
  <c r="EH260" i="26"/>
  <c r="EG260" i="26"/>
  <c r="AL284" i="32" s="1"/>
  <c r="DX260" i="26"/>
  <c r="DW260" i="26"/>
  <c r="AK284" i="32" s="1"/>
  <c r="DN260" i="26"/>
  <c r="DM260" i="26"/>
  <c r="AJ284" i="32" s="1"/>
  <c r="DD260" i="26"/>
  <c r="DC260" i="26"/>
  <c r="AI284" i="32" s="1"/>
  <c r="CT260" i="26"/>
  <c r="CS260" i="26"/>
  <c r="AH284" i="32" s="1"/>
  <c r="CJ260" i="26"/>
  <c r="CI260" i="26"/>
  <c r="AG284" i="32" s="1"/>
  <c r="BZ260" i="26"/>
  <c r="BY260" i="26"/>
  <c r="AF284" i="32" s="1"/>
  <c r="BP260" i="26"/>
  <c r="BO260" i="26"/>
  <c r="AE284" i="32" s="1"/>
  <c r="BF260" i="26"/>
  <c r="BE260" i="26"/>
  <c r="AD284" i="32" s="1"/>
  <c r="AV260" i="26"/>
  <c r="AU260" i="26"/>
  <c r="AC284" i="32" s="1"/>
  <c r="AL260" i="26"/>
  <c r="AK260" i="26"/>
  <c r="AB284" i="32" s="1"/>
  <c r="AB260" i="26"/>
  <c r="AA260" i="26"/>
  <c r="AA284" i="32" s="1"/>
  <c r="FR259" i="26"/>
  <c r="AS283" i="32" s="1"/>
  <c r="FA259" i="26"/>
  <c r="EZ259" i="26" s="1"/>
  <c r="FQ259" i="26" s="1"/>
  <c r="AP283" i="32" s="1"/>
  <c r="ES259" i="26"/>
  <c r="AN283" i="32" s="1"/>
  <c r="ER259" i="26"/>
  <c r="EH259" i="26"/>
  <c r="EG259" i="26"/>
  <c r="AL283" i="32" s="1"/>
  <c r="DX259" i="26"/>
  <c r="DW259" i="26"/>
  <c r="AK283" i="32" s="1"/>
  <c r="DN259" i="26"/>
  <c r="DM259" i="26"/>
  <c r="AJ283" i="32" s="1"/>
  <c r="DD259" i="26"/>
  <c r="DC259" i="26"/>
  <c r="AI283" i="32" s="1"/>
  <c r="CT259" i="26"/>
  <c r="CS259" i="26"/>
  <c r="AH283" i="32" s="1"/>
  <c r="CJ259" i="26"/>
  <c r="CI259" i="26"/>
  <c r="AG283" i="32" s="1"/>
  <c r="BZ259" i="26"/>
  <c r="BY259" i="26"/>
  <c r="AF283" i="32" s="1"/>
  <c r="BP259" i="26"/>
  <c r="BO259" i="26"/>
  <c r="AE283" i="32" s="1"/>
  <c r="BF259" i="26"/>
  <c r="BE259" i="26"/>
  <c r="AD283" i="32" s="1"/>
  <c r="AV259" i="26"/>
  <c r="AU259" i="26"/>
  <c r="AC283" i="32" s="1"/>
  <c r="AL259" i="26"/>
  <c r="AK259" i="26"/>
  <c r="AB283" i="32" s="1"/>
  <c r="AB259" i="26"/>
  <c r="AA259" i="26"/>
  <c r="AA283" i="32" s="1"/>
  <c r="FR258" i="26"/>
  <c r="FS258" i="26" s="1"/>
  <c r="FA258" i="26"/>
  <c r="EZ258" i="26" s="1"/>
  <c r="AO282" i="32" s="1"/>
  <c r="ES258" i="26"/>
  <c r="AN282" i="32" s="1"/>
  <c r="ER258" i="26"/>
  <c r="EH258" i="26"/>
  <c r="EG258" i="26"/>
  <c r="AL282" i="32" s="1"/>
  <c r="DX258" i="26"/>
  <c r="DW258" i="26"/>
  <c r="AK282" i="32" s="1"/>
  <c r="DN258" i="26"/>
  <c r="DM258" i="26"/>
  <c r="AJ282" i="32" s="1"/>
  <c r="DD258" i="26"/>
  <c r="DC258" i="26"/>
  <c r="AI282" i="32" s="1"/>
  <c r="CT258" i="26"/>
  <c r="CS258" i="26"/>
  <c r="AH282" i="32" s="1"/>
  <c r="CJ258" i="26"/>
  <c r="CI258" i="26"/>
  <c r="AG282" i="32" s="1"/>
  <c r="BZ258" i="26"/>
  <c r="BY258" i="26"/>
  <c r="AF282" i="32" s="1"/>
  <c r="BP258" i="26"/>
  <c r="BO258" i="26"/>
  <c r="AE282" i="32" s="1"/>
  <c r="BF258" i="26"/>
  <c r="BE258" i="26"/>
  <c r="AD282" i="32" s="1"/>
  <c r="AV258" i="26"/>
  <c r="AU258" i="26"/>
  <c r="AC282" i="32" s="1"/>
  <c r="AL258" i="26"/>
  <c r="AK258" i="26"/>
  <c r="AB282" i="32" s="1"/>
  <c r="AB258" i="26"/>
  <c r="AA258" i="26"/>
  <c r="AA282" i="32" s="1"/>
  <c r="FG257" i="26"/>
  <c r="FF257" i="26"/>
  <c r="FE257" i="26"/>
  <c r="FD257" i="26"/>
  <c r="FC257" i="26"/>
  <c r="FB257" i="26"/>
  <c r="EU257" i="26"/>
  <c r="ET257" i="26"/>
  <c r="EH257" i="26"/>
  <c r="EG257" i="26"/>
  <c r="AL281" i="32" s="1"/>
  <c r="DX257" i="26"/>
  <c r="DW257" i="26"/>
  <c r="AK281" i="32" s="1"/>
  <c r="DN257" i="26"/>
  <c r="DM257" i="26"/>
  <c r="AJ281" i="32" s="1"/>
  <c r="DD257" i="26"/>
  <c r="DC257" i="26"/>
  <c r="AI281" i="32" s="1"/>
  <c r="CT257" i="26"/>
  <c r="CS257" i="26"/>
  <c r="AH281" i="32" s="1"/>
  <c r="CJ257" i="26"/>
  <c r="CI257" i="26"/>
  <c r="AG281" i="32" s="1"/>
  <c r="BZ257" i="26"/>
  <c r="BY257" i="26"/>
  <c r="AF281" i="32" s="1"/>
  <c r="BP257" i="26"/>
  <c r="BO257" i="26"/>
  <c r="AE281" i="32" s="1"/>
  <c r="BF257" i="26"/>
  <c r="BE257" i="26"/>
  <c r="AD281" i="32" s="1"/>
  <c r="AV257" i="26"/>
  <c r="AU257" i="26"/>
  <c r="AC281" i="32" s="1"/>
  <c r="AL257" i="26"/>
  <c r="AK257" i="26"/>
  <c r="AB281" i="32" s="1"/>
  <c r="AB257" i="26"/>
  <c r="AA257" i="26"/>
  <c r="AA281" i="32" s="1"/>
  <c r="FR256" i="26"/>
  <c r="FS256" i="26" s="1"/>
  <c r="FO256" i="26"/>
  <c r="FN256" i="26"/>
  <c r="FM256" i="26"/>
  <c r="ER256" i="26"/>
  <c r="EH256" i="26"/>
  <c r="EG256" i="26"/>
  <c r="AL280" i="32" s="1"/>
  <c r="DX256" i="26"/>
  <c r="DW256" i="26"/>
  <c r="AK280" i="32" s="1"/>
  <c r="DN256" i="26"/>
  <c r="DM256" i="26"/>
  <c r="AJ280" i="32" s="1"/>
  <c r="DD256" i="26"/>
  <c r="DC256" i="26"/>
  <c r="AI280" i="32" s="1"/>
  <c r="CT256" i="26"/>
  <c r="CS256" i="26"/>
  <c r="AH280" i="32" s="1"/>
  <c r="CJ256" i="26"/>
  <c r="CI256" i="26"/>
  <c r="AG280" i="32" s="1"/>
  <c r="BZ256" i="26"/>
  <c r="BY256" i="26"/>
  <c r="AF280" i="32" s="1"/>
  <c r="BP256" i="26"/>
  <c r="BO256" i="26"/>
  <c r="AE280" i="32" s="1"/>
  <c r="BF256" i="26"/>
  <c r="BE256" i="26"/>
  <c r="AD280" i="32" s="1"/>
  <c r="AV256" i="26"/>
  <c r="AU256" i="26"/>
  <c r="AC280" i="32" s="1"/>
  <c r="AL256" i="26"/>
  <c r="AK256" i="26"/>
  <c r="AB280" i="32" s="1"/>
  <c r="AB256" i="26"/>
  <c r="AA256" i="26"/>
  <c r="AA280" i="32" s="1"/>
  <c r="FR255" i="26"/>
  <c r="AS279" i="32" s="1"/>
  <c r="FO255" i="26"/>
  <c r="FN255" i="26"/>
  <c r="FM255" i="26"/>
  <c r="FA255" i="26"/>
  <c r="EZ255" i="26" s="1"/>
  <c r="AO279" i="32" s="1"/>
  <c r="ES255" i="26"/>
  <c r="AN279" i="32" s="1"/>
  <c r="ER255" i="26"/>
  <c r="EH255" i="26"/>
  <c r="EG255" i="26"/>
  <c r="AL279" i="32" s="1"/>
  <c r="DX255" i="26"/>
  <c r="DW255" i="26"/>
  <c r="AK279" i="32" s="1"/>
  <c r="DN255" i="26"/>
  <c r="DM255" i="26"/>
  <c r="AJ279" i="32" s="1"/>
  <c r="DD255" i="26"/>
  <c r="DC255" i="26"/>
  <c r="AI279" i="32" s="1"/>
  <c r="CT255" i="26"/>
  <c r="CS255" i="26"/>
  <c r="AH279" i="32" s="1"/>
  <c r="CJ255" i="26"/>
  <c r="CI255" i="26"/>
  <c r="AG279" i="32" s="1"/>
  <c r="BZ255" i="26"/>
  <c r="BY255" i="26"/>
  <c r="AF279" i="32" s="1"/>
  <c r="BP255" i="26"/>
  <c r="BO255" i="26"/>
  <c r="AE279" i="32" s="1"/>
  <c r="BF255" i="26"/>
  <c r="BE255" i="26"/>
  <c r="AD279" i="32" s="1"/>
  <c r="AV255" i="26"/>
  <c r="AU255" i="26"/>
  <c r="AC279" i="32" s="1"/>
  <c r="AL255" i="26"/>
  <c r="AK255" i="26"/>
  <c r="AB279" i="32" s="1"/>
  <c r="AB255" i="26"/>
  <c r="AA255" i="26"/>
  <c r="AA279" i="32" s="1"/>
  <c r="FR254" i="26"/>
  <c r="AS278" i="32" s="1"/>
  <c r="FA254" i="26"/>
  <c r="EZ254" i="26" s="1"/>
  <c r="FQ254" i="26" s="1"/>
  <c r="AP278" i="32" s="1"/>
  <c r="ES254" i="26"/>
  <c r="AN278" i="32" s="1"/>
  <c r="ER254" i="26"/>
  <c r="EH254" i="26"/>
  <c r="EG254" i="26"/>
  <c r="AL278" i="32" s="1"/>
  <c r="DX254" i="26"/>
  <c r="DW254" i="26"/>
  <c r="AK278" i="32" s="1"/>
  <c r="DN254" i="26"/>
  <c r="DM254" i="26"/>
  <c r="AJ278" i="32" s="1"/>
  <c r="DD254" i="26"/>
  <c r="DC254" i="26"/>
  <c r="AI278" i="32" s="1"/>
  <c r="CT254" i="26"/>
  <c r="CS254" i="26"/>
  <c r="AH278" i="32" s="1"/>
  <c r="CJ254" i="26"/>
  <c r="CI254" i="26"/>
  <c r="AG278" i="32" s="1"/>
  <c r="BZ254" i="26"/>
  <c r="BY254" i="26"/>
  <c r="AF278" i="32" s="1"/>
  <c r="BP254" i="26"/>
  <c r="BO254" i="26"/>
  <c r="AE278" i="32" s="1"/>
  <c r="BF254" i="26"/>
  <c r="BE254" i="26"/>
  <c r="AD278" i="32" s="1"/>
  <c r="AV254" i="26"/>
  <c r="AU254" i="26"/>
  <c r="AC278" i="32" s="1"/>
  <c r="AL254" i="26"/>
  <c r="AK254" i="26"/>
  <c r="AB278" i="32" s="1"/>
  <c r="AB254" i="26"/>
  <c r="AA254" i="26"/>
  <c r="AA278" i="32" s="1"/>
  <c r="FR253" i="26"/>
  <c r="FS253" i="26" s="1"/>
  <c r="FA253" i="26"/>
  <c r="EZ253" i="26" s="1"/>
  <c r="FQ253" i="26" s="1"/>
  <c r="AP277" i="32" s="1"/>
  <c r="ES253" i="26"/>
  <c r="AN277" i="32" s="1"/>
  <c r="ER253" i="26"/>
  <c r="EH253" i="26"/>
  <c r="EG253" i="26"/>
  <c r="AL277" i="32" s="1"/>
  <c r="DX253" i="26"/>
  <c r="DW253" i="26"/>
  <c r="AK277" i="32" s="1"/>
  <c r="DN253" i="26"/>
  <c r="DM253" i="26"/>
  <c r="AJ277" i="32" s="1"/>
  <c r="DD253" i="26"/>
  <c r="DC253" i="26"/>
  <c r="AI277" i="32" s="1"/>
  <c r="CT253" i="26"/>
  <c r="CS253" i="26"/>
  <c r="AH277" i="32" s="1"/>
  <c r="CJ253" i="26"/>
  <c r="CI253" i="26"/>
  <c r="AG277" i="32" s="1"/>
  <c r="BZ253" i="26"/>
  <c r="BY253" i="26"/>
  <c r="AF277" i="32" s="1"/>
  <c r="BP253" i="26"/>
  <c r="BO253" i="26"/>
  <c r="AE277" i="32" s="1"/>
  <c r="BF253" i="26"/>
  <c r="BE253" i="26"/>
  <c r="AD277" i="32" s="1"/>
  <c r="AV253" i="26"/>
  <c r="AU253" i="26"/>
  <c r="AC277" i="32" s="1"/>
  <c r="AL253" i="26"/>
  <c r="AK253" i="26"/>
  <c r="AB277" i="32" s="1"/>
  <c r="AB253" i="26"/>
  <c r="AA253" i="26"/>
  <c r="AA277" i="32" s="1"/>
  <c r="FR252" i="26"/>
  <c r="AS276" i="32" s="1"/>
  <c r="FA252" i="26"/>
  <c r="EZ252" i="26" s="1"/>
  <c r="AO276" i="32" s="1"/>
  <c r="ES252" i="26"/>
  <c r="ER252" i="26"/>
  <c r="EH252" i="26"/>
  <c r="EG252" i="26"/>
  <c r="AL276" i="32" s="1"/>
  <c r="DX252" i="26"/>
  <c r="DW252" i="26"/>
  <c r="AK276" i="32" s="1"/>
  <c r="DN252" i="26"/>
  <c r="DM252" i="26"/>
  <c r="AJ276" i="32" s="1"/>
  <c r="DD252" i="26"/>
  <c r="DC252" i="26"/>
  <c r="AI276" i="32" s="1"/>
  <c r="CT252" i="26"/>
  <c r="CS252" i="26"/>
  <c r="AH276" i="32" s="1"/>
  <c r="CJ252" i="26"/>
  <c r="CI252" i="26"/>
  <c r="AG276" i="32" s="1"/>
  <c r="BZ252" i="26"/>
  <c r="BY252" i="26"/>
  <c r="AF276" i="32" s="1"/>
  <c r="BP252" i="26"/>
  <c r="BO252" i="26"/>
  <c r="AE276" i="32" s="1"/>
  <c r="BF252" i="26"/>
  <c r="BE252" i="26"/>
  <c r="AD276" i="32" s="1"/>
  <c r="AV252" i="26"/>
  <c r="AU252" i="26"/>
  <c r="AC276" i="32" s="1"/>
  <c r="AL252" i="26"/>
  <c r="AK252" i="26"/>
  <c r="AB276" i="32" s="1"/>
  <c r="AB252" i="26"/>
  <c r="AA252" i="26"/>
  <c r="AA276" i="32" s="1"/>
  <c r="FG251" i="26"/>
  <c r="FF251" i="26"/>
  <c r="FE251" i="26"/>
  <c r="FD251" i="26"/>
  <c r="FC251" i="26"/>
  <c r="FB251" i="26"/>
  <c r="EU251" i="26"/>
  <c r="ET251" i="26"/>
  <c r="EH251" i="26"/>
  <c r="EG251" i="26"/>
  <c r="AL275" i="32" s="1"/>
  <c r="DX251" i="26"/>
  <c r="DW251" i="26"/>
  <c r="AK275" i="32" s="1"/>
  <c r="DN251" i="26"/>
  <c r="DM251" i="26"/>
  <c r="AJ275" i="32" s="1"/>
  <c r="DD251" i="26"/>
  <c r="DC251" i="26"/>
  <c r="AI275" i="32" s="1"/>
  <c r="CT251" i="26"/>
  <c r="CS251" i="26"/>
  <c r="AH275" i="32" s="1"/>
  <c r="CJ251" i="26"/>
  <c r="CI251" i="26"/>
  <c r="AG275" i="32" s="1"/>
  <c r="BZ251" i="26"/>
  <c r="BY251" i="26"/>
  <c r="AF275" i="32" s="1"/>
  <c r="BP251" i="26"/>
  <c r="BO251" i="26"/>
  <c r="AE275" i="32" s="1"/>
  <c r="BF251" i="26"/>
  <c r="BE251" i="26"/>
  <c r="AD275" i="32" s="1"/>
  <c r="AV251" i="26"/>
  <c r="AU251" i="26"/>
  <c r="AC275" i="32" s="1"/>
  <c r="AL251" i="26"/>
  <c r="AK251" i="26"/>
  <c r="AB275" i="32" s="1"/>
  <c r="AB251" i="26"/>
  <c r="AA251" i="26"/>
  <c r="AA275" i="32" s="1"/>
  <c r="FR250" i="26"/>
  <c r="AS274" i="32" s="1"/>
  <c r="FO250" i="26"/>
  <c r="FN250" i="26"/>
  <c r="FM250" i="26"/>
  <c r="ER250" i="26"/>
  <c r="EH250" i="26"/>
  <c r="EG250" i="26"/>
  <c r="AL274" i="32" s="1"/>
  <c r="DX250" i="26"/>
  <c r="DW250" i="26"/>
  <c r="AK274" i="32" s="1"/>
  <c r="DN250" i="26"/>
  <c r="DM250" i="26"/>
  <c r="AJ274" i="32" s="1"/>
  <c r="DD250" i="26"/>
  <c r="DC250" i="26"/>
  <c r="AI274" i="32" s="1"/>
  <c r="CT250" i="26"/>
  <c r="CS250" i="26"/>
  <c r="AH274" i="32" s="1"/>
  <c r="CJ250" i="26"/>
  <c r="CI250" i="26"/>
  <c r="AG274" i="32" s="1"/>
  <c r="BZ250" i="26"/>
  <c r="BY250" i="26"/>
  <c r="AF274" i="32" s="1"/>
  <c r="BP250" i="26"/>
  <c r="BO250" i="26"/>
  <c r="AE274" i="32" s="1"/>
  <c r="BF250" i="26"/>
  <c r="BE250" i="26"/>
  <c r="AD274" i="32" s="1"/>
  <c r="AV250" i="26"/>
  <c r="AU250" i="26"/>
  <c r="AC274" i="32" s="1"/>
  <c r="AL250" i="26"/>
  <c r="AK250" i="26"/>
  <c r="AB274" i="32" s="1"/>
  <c r="AB250" i="26"/>
  <c r="AA250" i="26"/>
  <c r="AA274" i="32" s="1"/>
  <c r="FR249" i="26"/>
  <c r="FS249" i="26" s="1"/>
  <c r="FO249" i="26"/>
  <c r="FN249" i="26"/>
  <c r="FM249" i="26"/>
  <c r="FA249" i="26"/>
  <c r="EZ249" i="26" s="1"/>
  <c r="FQ249" i="26" s="1"/>
  <c r="AP273" i="32" s="1"/>
  <c r="ES249" i="26"/>
  <c r="AN273" i="32" s="1"/>
  <c r="ER249" i="26"/>
  <c r="EH249" i="26"/>
  <c r="EG249" i="26"/>
  <c r="AL273" i="32" s="1"/>
  <c r="DX249" i="26"/>
  <c r="DW249" i="26"/>
  <c r="AK273" i="32" s="1"/>
  <c r="DN249" i="26"/>
  <c r="DM249" i="26"/>
  <c r="AJ273" i="32" s="1"/>
  <c r="DD249" i="26"/>
  <c r="DC249" i="26"/>
  <c r="AI273" i="32" s="1"/>
  <c r="CT249" i="26"/>
  <c r="CS249" i="26"/>
  <c r="AH273" i="32" s="1"/>
  <c r="CJ249" i="26"/>
  <c r="CI249" i="26"/>
  <c r="AG273" i="32" s="1"/>
  <c r="BZ249" i="26"/>
  <c r="BY249" i="26"/>
  <c r="AF273" i="32" s="1"/>
  <c r="BP249" i="26"/>
  <c r="BO249" i="26"/>
  <c r="AE273" i="32" s="1"/>
  <c r="BF249" i="26"/>
  <c r="BE249" i="26"/>
  <c r="AD273" i="32" s="1"/>
  <c r="AV249" i="26"/>
  <c r="AU249" i="26"/>
  <c r="AC273" i="32" s="1"/>
  <c r="AL249" i="26"/>
  <c r="AK249" i="26"/>
  <c r="AB273" i="32" s="1"/>
  <c r="AB249" i="26"/>
  <c r="AA249" i="26"/>
  <c r="AA273" i="32" s="1"/>
  <c r="FR248" i="26"/>
  <c r="FS248" i="26" s="1"/>
  <c r="FA248" i="26"/>
  <c r="EZ248" i="26" s="1"/>
  <c r="ES248" i="26"/>
  <c r="AN272" i="32" s="1"/>
  <c r="ER248" i="26"/>
  <c r="EH248" i="26"/>
  <c r="EG248" i="26"/>
  <c r="AL272" i="32" s="1"/>
  <c r="DX248" i="26"/>
  <c r="DW248" i="26"/>
  <c r="AK272" i="32" s="1"/>
  <c r="DN248" i="26"/>
  <c r="DM248" i="26"/>
  <c r="AJ272" i="32" s="1"/>
  <c r="DD248" i="26"/>
  <c r="DC248" i="26"/>
  <c r="AI272" i="32" s="1"/>
  <c r="CT248" i="26"/>
  <c r="CS248" i="26"/>
  <c r="AH272" i="32" s="1"/>
  <c r="CJ248" i="26"/>
  <c r="CI248" i="26"/>
  <c r="AG272" i="32" s="1"/>
  <c r="BZ248" i="26"/>
  <c r="BY248" i="26"/>
  <c r="AF272" i="32" s="1"/>
  <c r="BP248" i="26"/>
  <c r="BO248" i="26"/>
  <c r="AE272" i="32" s="1"/>
  <c r="BF248" i="26"/>
  <c r="BE248" i="26"/>
  <c r="AD272" i="32" s="1"/>
  <c r="AV248" i="26"/>
  <c r="AU248" i="26"/>
  <c r="AC272" i="32" s="1"/>
  <c r="AL248" i="26"/>
  <c r="AK248" i="26"/>
  <c r="AB272" i="32" s="1"/>
  <c r="AB248" i="26"/>
  <c r="AA248" i="26"/>
  <c r="AA272" i="32" s="1"/>
  <c r="FR247" i="26"/>
  <c r="AS271" i="32" s="1"/>
  <c r="FA247" i="26"/>
  <c r="EZ247" i="26" s="1"/>
  <c r="AO271" i="32" s="1"/>
  <c r="ES247" i="26"/>
  <c r="AN271" i="32" s="1"/>
  <c r="ER247" i="26"/>
  <c r="EH247" i="26"/>
  <c r="EG247" i="26"/>
  <c r="AL271" i="32" s="1"/>
  <c r="DX247" i="26"/>
  <c r="DW247" i="26"/>
  <c r="AK271" i="32" s="1"/>
  <c r="DN247" i="26"/>
  <c r="DM247" i="26"/>
  <c r="AJ271" i="32" s="1"/>
  <c r="DD247" i="26"/>
  <c r="DC247" i="26"/>
  <c r="AI271" i="32" s="1"/>
  <c r="CT247" i="26"/>
  <c r="CS247" i="26"/>
  <c r="AH271" i="32" s="1"/>
  <c r="CJ247" i="26"/>
  <c r="CI247" i="26"/>
  <c r="AG271" i="32" s="1"/>
  <c r="BZ247" i="26"/>
  <c r="BY247" i="26"/>
  <c r="AF271" i="32" s="1"/>
  <c r="BP247" i="26"/>
  <c r="BO247" i="26"/>
  <c r="AE271" i="32" s="1"/>
  <c r="BF247" i="26"/>
  <c r="BE247" i="26"/>
  <c r="AD271" i="32" s="1"/>
  <c r="AV247" i="26"/>
  <c r="AU247" i="26"/>
  <c r="AC271" i="32" s="1"/>
  <c r="AL247" i="26"/>
  <c r="AK247" i="26"/>
  <c r="AB271" i="32" s="1"/>
  <c r="AB247" i="26"/>
  <c r="AA247" i="26"/>
  <c r="AA271" i="32" s="1"/>
  <c r="FR246" i="26"/>
  <c r="AS270" i="32" s="1"/>
  <c r="FA246" i="26"/>
  <c r="EZ246" i="26" s="1"/>
  <c r="FQ246" i="26" s="1"/>
  <c r="AP270" i="32" s="1"/>
  <c r="ES246" i="26"/>
  <c r="AN270" i="32" s="1"/>
  <c r="ER246" i="26"/>
  <c r="EH246" i="26"/>
  <c r="EG246" i="26"/>
  <c r="AL270" i="32" s="1"/>
  <c r="DX246" i="26"/>
  <c r="DW246" i="26"/>
  <c r="AK270" i="32" s="1"/>
  <c r="DN246" i="26"/>
  <c r="DM246" i="26"/>
  <c r="AJ270" i="32" s="1"/>
  <c r="DD246" i="26"/>
  <c r="DC246" i="26"/>
  <c r="AI270" i="32" s="1"/>
  <c r="CT246" i="26"/>
  <c r="CS246" i="26"/>
  <c r="AH270" i="32" s="1"/>
  <c r="CJ246" i="26"/>
  <c r="CI246" i="26"/>
  <c r="AG270" i="32" s="1"/>
  <c r="BZ246" i="26"/>
  <c r="BY246" i="26"/>
  <c r="AF270" i="32" s="1"/>
  <c r="BP246" i="26"/>
  <c r="BO246" i="26"/>
  <c r="AE270" i="32" s="1"/>
  <c r="BF246" i="26"/>
  <c r="BE246" i="26"/>
  <c r="AD270" i="32" s="1"/>
  <c r="AV246" i="26"/>
  <c r="AU246" i="26"/>
  <c r="AC270" i="32" s="1"/>
  <c r="AL246" i="26"/>
  <c r="AK246" i="26"/>
  <c r="AB270" i="32" s="1"/>
  <c r="AB246" i="26"/>
  <c r="AA246" i="26"/>
  <c r="AA270" i="32" s="1"/>
  <c r="FG245" i="26"/>
  <c r="FF245" i="26"/>
  <c r="FE245" i="26"/>
  <c r="FD245" i="26"/>
  <c r="FC245" i="26"/>
  <c r="FB245" i="26"/>
  <c r="EU245" i="26"/>
  <c r="ET245" i="26"/>
  <c r="EH245" i="26"/>
  <c r="EG245" i="26"/>
  <c r="DX245" i="26"/>
  <c r="DW245" i="26"/>
  <c r="DN245" i="26"/>
  <c r="DM245" i="26"/>
  <c r="DD245" i="26"/>
  <c r="DC245" i="26"/>
  <c r="CT245" i="26"/>
  <c r="CS245" i="26"/>
  <c r="CJ245" i="26"/>
  <c r="CI245" i="26"/>
  <c r="BZ245" i="26"/>
  <c r="BY245" i="26"/>
  <c r="BP245" i="26"/>
  <c r="BO245" i="26"/>
  <c r="BF245" i="26"/>
  <c r="BE245" i="26"/>
  <c r="AV245" i="26"/>
  <c r="AU245" i="26"/>
  <c r="AL245" i="26"/>
  <c r="AK245" i="26"/>
  <c r="AB245" i="26"/>
  <c r="AA245" i="26"/>
  <c r="FR244" i="26"/>
  <c r="FS244" i="26" s="1"/>
  <c r="FO244" i="26"/>
  <c r="FN244" i="26"/>
  <c r="FM244" i="26"/>
  <c r="ER244" i="26"/>
  <c r="EH244" i="26"/>
  <c r="EG244" i="26"/>
  <c r="DX244" i="26"/>
  <c r="DW244" i="26"/>
  <c r="DN244" i="26"/>
  <c r="DM244" i="26"/>
  <c r="DD244" i="26"/>
  <c r="DC244" i="26"/>
  <c r="CT244" i="26"/>
  <c r="CS244" i="26"/>
  <c r="CJ244" i="26"/>
  <c r="CI244" i="26"/>
  <c r="BZ244" i="26"/>
  <c r="BY244" i="26"/>
  <c r="BP244" i="26"/>
  <c r="BO244" i="26"/>
  <c r="BF244" i="26"/>
  <c r="BE244" i="26"/>
  <c r="AV244" i="26"/>
  <c r="AU244" i="26"/>
  <c r="AL244" i="26"/>
  <c r="AK244" i="26"/>
  <c r="AB244" i="26"/>
  <c r="AA244" i="26"/>
  <c r="FR243" i="26"/>
  <c r="FS243" i="26" s="1"/>
  <c r="FO243" i="26"/>
  <c r="FN243" i="26"/>
  <c r="FM243" i="26"/>
  <c r="FA243" i="26"/>
  <c r="EZ243" i="26" s="1"/>
  <c r="FQ243" i="26" s="1"/>
  <c r="ES243" i="26"/>
  <c r="ER243" i="26"/>
  <c r="EH243" i="26"/>
  <c r="EG243" i="26"/>
  <c r="DX243" i="26"/>
  <c r="DW243" i="26"/>
  <c r="DN243" i="26"/>
  <c r="DM243" i="26"/>
  <c r="DD243" i="26"/>
  <c r="DC243" i="26"/>
  <c r="CT243" i="26"/>
  <c r="CS243" i="26"/>
  <c r="CJ243" i="26"/>
  <c r="CI243" i="26"/>
  <c r="BZ243" i="26"/>
  <c r="BY243" i="26"/>
  <c r="BP243" i="26"/>
  <c r="BO243" i="26"/>
  <c r="BF243" i="26"/>
  <c r="BE243" i="26"/>
  <c r="AV243" i="26"/>
  <c r="AU243" i="26"/>
  <c r="AL243" i="26"/>
  <c r="AK243" i="26"/>
  <c r="AB243" i="26"/>
  <c r="AA243" i="26"/>
  <c r="FR242" i="26"/>
  <c r="FS242" i="26" s="1"/>
  <c r="FA242" i="26"/>
  <c r="EZ242" i="26" s="1"/>
  <c r="FQ242" i="26" s="1"/>
  <c r="ES242" i="26"/>
  <c r="ER242" i="26"/>
  <c r="EH242" i="26"/>
  <c r="EG242" i="26"/>
  <c r="DX242" i="26"/>
  <c r="DW242" i="26"/>
  <c r="DN242" i="26"/>
  <c r="DM242" i="26"/>
  <c r="DD242" i="26"/>
  <c r="DC242" i="26"/>
  <c r="CT242" i="26"/>
  <c r="CS242" i="26"/>
  <c r="CJ242" i="26"/>
  <c r="CI242" i="26"/>
  <c r="BZ242" i="26"/>
  <c r="BY242" i="26"/>
  <c r="BP242" i="26"/>
  <c r="BO242" i="26"/>
  <c r="BF242" i="26"/>
  <c r="BE242" i="26"/>
  <c r="AV242" i="26"/>
  <c r="AU242" i="26"/>
  <c r="AL242" i="26"/>
  <c r="AK242" i="26"/>
  <c r="AB242" i="26"/>
  <c r="AA242" i="26"/>
  <c r="FR241" i="26"/>
  <c r="FS241" i="26" s="1"/>
  <c r="FA241" i="26"/>
  <c r="EZ241" i="26" s="1"/>
  <c r="FQ241" i="26" s="1"/>
  <c r="ES241" i="26"/>
  <c r="ER241" i="26"/>
  <c r="EH241" i="26"/>
  <c r="EG241" i="26"/>
  <c r="DX241" i="26"/>
  <c r="DW241" i="26"/>
  <c r="DN241" i="26"/>
  <c r="DM241" i="26"/>
  <c r="DD241" i="26"/>
  <c r="DC241" i="26"/>
  <c r="CT241" i="26"/>
  <c r="CS241" i="26"/>
  <c r="CJ241" i="26"/>
  <c r="CI241" i="26"/>
  <c r="BZ241" i="26"/>
  <c r="BY241" i="26"/>
  <c r="BP241" i="26"/>
  <c r="BO241" i="26"/>
  <c r="BF241" i="26"/>
  <c r="BE241" i="26"/>
  <c r="AV241" i="26"/>
  <c r="AU241" i="26"/>
  <c r="AL241" i="26"/>
  <c r="AK241" i="26"/>
  <c r="AB241" i="26"/>
  <c r="AA241" i="26"/>
  <c r="FR240" i="26"/>
  <c r="FS240" i="26" s="1"/>
  <c r="FA240" i="26"/>
  <c r="EZ240" i="26" s="1"/>
  <c r="FQ240" i="26" s="1"/>
  <c r="ES240" i="26"/>
  <c r="ER240" i="26"/>
  <c r="EH240" i="26"/>
  <c r="EG240" i="26"/>
  <c r="DX240" i="26"/>
  <c r="DW240" i="26"/>
  <c r="DN240" i="26"/>
  <c r="DM240" i="26"/>
  <c r="DD240" i="26"/>
  <c r="DC240" i="26"/>
  <c r="CT240" i="26"/>
  <c r="CS240" i="26"/>
  <c r="CJ240" i="26"/>
  <c r="CI240" i="26"/>
  <c r="BZ240" i="26"/>
  <c r="BY240" i="26"/>
  <c r="BP240" i="26"/>
  <c r="BO240" i="26"/>
  <c r="BF240" i="26"/>
  <c r="BE240" i="26"/>
  <c r="AV240" i="26"/>
  <c r="AU240" i="26"/>
  <c r="AL240" i="26"/>
  <c r="AK240" i="26"/>
  <c r="AB240" i="26"/>
  <c r="AA240" i="26"/>
  <c r="FG239" i="26"/>
  <c r="FF239" i="26"/>
  <c r="FE239" i="26"/>
  <c r="FD239" i="26"/>
  <c r="FC239" i="26"/>
  <c r="FB239" i="26"/>
  <c r="EU239" i="26"/>
  <c r="ET239" i="26"/>
  <c r="EH239" i="26"/>
  <c r="EG239" i="26"/>
  <c r="AL269" i="32" s="1"/>
  <c r="DX239" i="26"/>
  <c r="DW239" i="26"/>
  <c r="AK269" i="32" s="1"/>
  <c r="DN239" i="26"/>
  <c r="DM239" i="26"/>
  <c r="AJ269" i="32" s="1"/>
  <c r="DD239" i="26"/>
  <c r="DC239" i="26"/>
  <c r="AI269" i="32" s="1"/>
  <c r="CT239" i="26"/>
  <c r="CS239" i="26"/>
  <c r="AH269" i="32" s="1"/>
  <c r="CJ239" i="26"/>
  <c r="CI239" i="26"/>
  <c r="AG269" i="32" s="1"/>
  <c r="BZ239" i="26"/>
  <c r="BY239" i="26"/>
  <c r="AF269" i="32" s="1"/>
  <c r="BP239" i="26"/>
  <c r="BO239" i="26"/>
  <c r="AE269" i="32" s="1"/>
  <c r="BF239" i="26"/>
  <c r="BE239" i="26"/>
  <c r="AD269" i="32" s="1"/>
  <c r="AV239" i="26"/>
  <c r="AU239" i="26"/>
  <c r="AC269" i="32" s="1"/>
  <c r="AL239" i="26"/>
  <c r="AK239" i="26"/>
  <c r="AB269" i="32" s="1"/>
  <c r="AB239" i="26"/>
  <c r="AA239" i="26"/>
  <c r="AA269" i="32" s="1"/>
  <c r="FR238" i="26"/>
  <c r="AS268" i="32" s="1"/>
  <c r="FO238" i="26"/>
  <c r="FN238" i="26"/>
  <c r="FM238" i="26"/>
  <c r="ER238" i="26"/>
  <c r="EH238" i="26"/>
  <c r="EG238" i="26"/>
  <c r="AL268" i="32" s="1"/>
  <c r="DX238" i="26"/>
  <c r="DW238" i="26"/>
  <c r="AK268" i="32" s="1"/>
  <c r="DN238" i="26"/>
  <c r="DM238" i="26"/>
  <c r="AJ268" i="32" s="1"/>
  <c r="DD238" i="26"/>
  <c r="DC238" i="26"/>
  <c r="AI268" i="32" s="1"/>
  <c r="CT238" i="26"/>
  <c r="CS238" i="26"/>
  <c r="AH268" i="32" s="1"/>
  <c r="CJ238" i="26"/>
  <c r="CI238" i="26"/>
  <c r="AG268" i="32" s="1"/>
  <c r="BZ238" i="26"/>
  <c r="BY238" i="26"/>
  <c r="AF268" i="32" s="1"/>
  <c r="BP238" i="26"/>
  <c r="BO238" i="26"/>
  <c r="AE268" i="32" s="1"/>
  <c r="BF238" i="26"/>
  <c r="BE238" i="26"/>
  <c r="AD268" i="32" s="1"/>
  <c r="AV238" i="26"/>
  <c r="AU238" i="26"/>
  <c r="AC268" i="32" s="1"/>
  <c r="AL238" i="26"/>
  <c r="AK238" i="26"/>
  <c r="AB268" i="32" s="1"/>
  <c r="AB238" i="26"/>
  <c r="AA238" i="26"/>
  <c r="AA268" i="32" s="1"/>
  <c r="FR237" i="26"/>
  <c r="AS267" i="32" s="1"/>
  <c r="FO237" i="26"/>
  <c r="FN237" i="26"/>
  <c r="FM237" i="26"/>
  <c r="FA237" i="26"/>
  <c r="EZ237" i="26" s="1"/>
  <c r="ES237" i="26"/>
  <c r="AN267" i="32" s="1"/>
  <c r="ER237" i="26"/>
  <c r="EH237" i="26"/>
  <c r="EG237" i="26"/>
  <c r="AL267" i="32" s="1"/>
  <c r="DX237" i="26"/>
  <c r="DW237" i="26"/>
  <c r="AK267" i="32" s="1"/>
  <c r="DN237" i="26"/>
  <c r="DM237" i="26"/>
  <c r="AJ267" i="32" s="1"/>
  <c r="DD237" i="26"/>
  <c r="DC237" i="26"/>
  <c r="AI267" i="32" s="1"/>
  <c r="CT237" i="26"/>
  <c r="CS237" i="26"/>
  <c r="AH267" i="32" s="1"/>
  <c r="CJ237" i="26"/>
  <c r="CI237" i="26"/>
  <c r="AG267" i="32" s="1"/>
  <c r="BZ237" i="26"/>
  <c r="BY237" i="26"/>
  <c r="AF267" i="32" s="1"/>
  <c r="BP237" i="26"/>
  <c r="BO237" i="26"/>
  <c r="AE267" i="32" s="1"/>
  <c r="BF237" i="26"/>
  <c r="BE237" i="26"/>
  <c r="AD267" i="32" s="1"/>
  <c r="AV237" i="26"/>
  <c r="AU237" i="26"/>
  <c r="AC267" i="32" s="1"/>
  <c r="AL237" i="26"/>
  <c r="AK237" i="26"/>
  <c r="AB267" i="32" s="1"/>
  <c r="AB237" i="26"/>
  <c r="AA237" i="26"/>
  <c r="AA267" i="32" s="1"/>
  <c r="FR236" i="26"/>
  <c r="AS266" i="32" s="1"/>
  <c r="FA236" i="26"/>
  <c r="EZ236" i="26" s="1"/>
  <c r="FQ236" i="26" s="1"/>
  <c r="AP266" i="32" s="1"/>
  <c r="ES236" i="26"/>
  <c r="AN266" i="32" s="1"/>
  <c r="ER236" i="26"/>
  <c r="EH236" i="26"/>
  <c r="EG236" i="26"/>
  <c r="AL266" i="32" s="1"/>
  <c r="DX236" i="26"/>
  <c r="DW236" i="26"/>
  <c r="AK266" i="32" s="1"/>
  <c r="DN236" i="26"/>
  <c r="DM236" i="26"/>
  <c r="AJ266" i="32" s="1"/>
  <c r="DD236" i="26"/>
  <c r="DC236" i="26"/>
  <c r="AI266" i="32" s="1"/>
  <c r="CT236" i="26"/>
  <c r="CS236" i="26"/>
  <c r="AH266" i="32" s="1"/>
  <c r="CJ236" i="26"/>
  <c r="CI236" i="26"/>
  <c r="AG266" i="32" s="1"/>
  <c r="BZ236" i="26"/>
  <c r="BY236" i="26"/>
  <c r="AF266" i="32" s="1"/>
  <c r="BP236" i="26"/>
  <c r="BO236" i="26"/>
  <c r="AE266" i="32" s="1"/>
  <c r="BF236" i="26"/>
  <c r="BE236" i="26"/>
  <c r="AD266" i="32" s="1"/>
  <c r="AV236" i="26"/>
  <c r="AU236" i="26"/>
  <c r="AC266" i="32" s="1"/>
  <c r="AL236" i="26"/>
  <c r="AK236" i="26"/>
  <c r="AB266" i="32" s="1"/>
  <c r="AB236" i="26"/>
  <c r="AA236" i="26"/>
  <c r="AA266" i="32" s="1"/>
  <c r="FR235" i="26"/>
  <c r="FS235" i="26" s="1"/>
  <c r="FA235" i="26"/>
  <c r="EZ235" i="26" s="1"/>
  <c r="AO265" i="32" s="1"/>
  <c r="ES235" i="26"/>
  <c r="AN265" i="32" s="1"/>
  <c r="ER235" i="26"/>
  <c r="EH235" i="26"/>
  <c r="EG235" i="26"/>
  <c r="AL265" i="32" s="1"/>
  <c r="DX235" i="26"/>
  <c r="DW235" i="26"/>
  <c r="AK265" i="32" s="1"/>
  <c r="DN235" i="26"/>
  <c r="DM235" i="26"/>
  <c r="AJ265" i="32" s="1"/>
  <c r="DD235" i="26"/>
  <c r="DC235" i="26"/>
  <c r="AI265" i="32" s="1"/>
  <c r="CT235" i="26"/>
  <c r="CS235" i="26"/>
  <c r="AH265" i="32" s="1"/>
  <c r="CJ235" i="26"/>
  <c r="CI235" i="26"/>
  <c r="AG265" i="32" s="1"/>
  <c r="BZ235" i="26"/>
  <c r="BY235" i="26"/>
  <c r="AF265" i="32" s="1"/>
  <c r="BP235" i="26"/>
  <c r="BO235" i="26"/>
  <c r="AE265" i="32" s="1"/>
  <c r="BF235" i="26"/>
  <c r="BE235" i="26"/>
  <c r="AD265" i="32" s="1"/>
  <c r="AV235" i="26"/>
  <c r="AU235" i="26"/>
  <c r="AC265" i="32" s="1"/>
  <c r="AL235" i="26"/>
  <c r="AK235" i="26"/>
  <c r="AB265" i="32" s="1"/>
  <c r="AB235" i="26"/>
  <c r="AA235" i="26"/>
  <c r="AA265" i="32" s="1"/>
  <c r="FR234" i="26"/>
  <c r="AS264" i="32" s="1"/>
  <c r="FA234" i="26"/>
  <c r="EZ234" i="26" s="1"/>
  <c r="FQ234" i="26" s="1"/>
  <c r="AP264" i="32" s="1"/>
  <c r="ES234" i="26"/>
  <c r="AN264" i="32" s="1"/>
  <c r="ER234" i="26"/>
  <c r="EH234" i="26"/>
  <c r="EG234" i="26"/>
  <c r="AL264" i="32" s="1"/>
  <c r="DX234" i="26"/>
  <c r="DW234" i="26"/>
  <c r="AK264" i="32" s="1"/>
  <c r="DN234" i="26"/>
  <c r="DM234" i="26"/>
  <c r="AJ264" i="32" s="1"/>
  <c r="DD234" i="26"/>
  <c r="DC234" i="26"/>
  <c r="AI264" i="32" s="1"/>
  <c r="CT234" i="26"/>
  <c r="CS234" i="26"/>
  <c r="AH264" i="32" s="1"/>
  <c r="CJ234" i="26"/>
  <c r="CI234" i="26"/>
  <c r="AG264" i="32" s="1"/>
  <c r="BZ234" i="26"/>
  <c r="BY234" i="26"/>
  <c r="AF264" i="32" s="1"/>
  <c r="BP234" i="26"/>
  <c r="BO234" i="26"/>
  <c r="AE264" i="32" s="1"/>
  <c r="BF234" i="26"/>
  <c r="BE234" i="26"/>
  <c r="AD264" i="32" s="1"/>
  <c r="AV234" i="26"/>
  <c r="AU234" i="26"/>
  <c r="AC264" i="32" s="1"/>
  <c r="AL234" i="26"/>
  <c r="AK234" i="26"/>
  <c r="AB264" i="32" s="1"/>
  <c r="AB234" i="26"/>
  <c r="AA234" i="26"/>
  <c r="AA264" i="32" s="1"/>
  <c r="FG233" i="26"/>
  <c r="FF233" i="26"/>
  <c r="FE233" i="26"/>
  <c r="FD233" i="26"/>
  <c r="FC233" i="26"/>
  <c r="FB233" i="26"/>
  <c r="EU233" i="26"/>
  <c r="ET233" i="26"/>
  <c r="EH233" i="26"/>
  <c r="EG233" i="26"/>
  <c r="AL263" i="32" s="1"/>
  <c r="DX233" i="26"/>
  <c r="DW233" i="26"/>
  <c r="AK263" i="32" s="1"/>
  <c r="DN233" i="26"/>
  <c r="DM233" i="26"/>
  <c r="AJ263" i="32" s="1"/>
  <c r="DD233" i="26"/>
  <c r="DC233" i="26"/>
  <c r="AI263" i="32" s="1"/>
  <c r="CT233" i="26"/>
  <c r="CS233" i="26"/>
  <c r="AH263" i="32" s="1"/>
  <c r="CJ233" i="26"/>
  <c r="CI233" i="26"/>
  <c r="AG263" i="32" s="1"/>
  <c r="BZ233" i="26"/>
  <c r="BY233" i="26"/>
  <c r="AF263" i="32" s="1"/>
  <c r="BP233" i="26"/>
  <c r="BO233" i="26"/>
  <c r="AE263" i="32" s="1"/>
  <c r="BF233" i="26"/>
  <c r="BE233" i="26"/>
  <c r="AD263" i="32" s="1"/>
  <c r="AV233" i="26"/>
  <c r="AU233" i="26"/>
  <c r="AC263" i="32" s="1"/>
  <c r="AL233" i="26"/>
  <c r="AK233" i="26"/>
  <c r="AB263" i="32" s="1"/>
  <c r="AB233" i="26"/>
  <c r="AA233" i="26"/>
  <c r="AA263" i="32" s="1"/>
  <c r="FR232" i="26"/>
  <c r="FS232" i="26" s="1"/>
  <c r="FO232" i="26"/>
  <c r="FN232" i="26"/>
  <c r="FM232" i="26"/>
  <c r="ER232" i="26"/>
  <c r="EH232" i="26"/>
  <c r="EG232" i="26"/>
  <c r="AL262" i="32" s="1"/>
  <c r="DX232" i="26"/>
  <c r="DW232" i="26"/>
  <c r="AK262" i="32" s="1"/>
  <c r="DN232" i="26"/>
  <c r="DM232" i="26"/>
  <c r="AJ262" i="32" s="1"/>
  <c r="DD232" i="26"/>
  <c r="DC232" i="26"/>
  <c r="AI262" i="32" s="1"/>
  <c r="CT232" i="26"/>
  <c r="CS232" i="26"/>
  <c r="AH262" i="32" s="1"/>
  <c r="CJ232" i="26"/>
  <c r="CI232" i="26"/>
  <c r="AG262" i="32" s="1"/>
  <c r="BZ232" i="26"/>
  <c r="BY232" i="26"/>
  <c r="AF262" i="32" s="1"/>
  <c r="BP232" i="26"/>
  <c r="BO232" i="26"/>
  <c r="AE262" i="32" s="1"/>
  <c r="BF232" i="26"/>
  <c r="BE232" i="26"/>
  <c r="AD262" i="32" s="1"/>
  <c r="AV232" i="26"/>
  <c r="AU232" i="26"/>
  <c r="AC262" i="32" s="1"/>
  <c r="AL232" i="26"/>
  <c r="AK232" i="26"/>
  <c r="AB262" i="32" s="1"/>
  <c r="AB232" i="26"/>
  <c r="AA232" i="26"/>
  <c r="AA262" i="32" s="1"/>
  <c r="FR231" i="26"/>
  <c r="FS231" i="26" s="1"/>
  <c r="FO231" i="26"/>
  <c r="FN231" i="26"/>
  <c r="FM231" i="26"/>
  <c r="FA231" i="26"/>
  <c r="EZ231" i="26" s="1"/>
  <c r="FQ231" i="26" s="1"/>
  <c r="AP261" i="32" s="1"/>
  <c r="ES231" i="26"/>
  <c r="ER231" i="26"/>
  <c r="EH231" i="26"/>
  <c r="EG231" i="26"/>
  <c r="AL261" i="32" s="1"/>
  <c r="DX231" i="26"/>
  <c r="DW231" i="26"/>
  <c r="AK261" i="32" s="1"/>
  <c r="DN231" i="26"/>
  <c r="DM231" i="26"/>
  <c r="AJ261" i="32" s="1"/>
  <c r="DD231" i="26"/>
  <c r="DC231" i="26"/>
  <c r="AI261" i="32" s="1"/>
  <c r="CT231" i="26"/>
  <c r="CS231" i="26"/>
  <c r="AH261" i="32" s="1"/>
  <c r="CJ231" i="26"/>
  <c r="CI231" i="26"/>
  <c r="AG261" i="32" s="1"/>
  <c r="BZ231" i="26"/>
  <c r="BY231" i="26"/>
  <c r="AF261" i="32" s="1"/>
  <c r="BP231" i="26"/>
  <c r="BO231" i="26"/>
  <c r="AE261" i="32" s="1"/>
  <c r="BF231" i="26"/>
  <c r="BE231" i="26"/>
  <c r="AD261" i="32" s="1"/>
  <c r="AV231" i="26"/>
  <c r="AU231" i="26"/>
  <c r="AC261" i="32" s="1"/>
  <c r="AL231" i="26"/>
  <c r="AK231" i="26"/>
  <c r="AB261" i="32" s="1"/>
  <c r="AB231" i="26"/>
  <c r="AA231" i="26"/>
  <c r="AA261" i="32" s="1"/>
  <c r="FR230" i="26"/>
  <c r="AS260" i="32" s="1"/>
  <c r="FA230" i="26"/>
  <c r="EZ230" i="26" s="1"/>
  <c r="AO260" i="32" s="1"/>
  <c r="ES230" i="26"/>
  <c r="ER230" i="26"/>
  <c r="EH230" i="26"/>
  <c r="EG230" i="26"/>
  <c r="AL260" i="32" s="1"/>
  <c r="DX230" i="26"/>
  <c r="DW230" i="26"/>
  <c r="AK260" i="32" s="1"/>
  <c r="DN230" i="26"/>
  <c r="DM230" i="26"/>
  <c r="AJ260" i="32" s="1"/>
  <c r="DD230" i="26"/>
  <c r="DC230" i="26"/>
  <c r="AI260" i="32" s="1"/>
  <c r="CT230" i="26"/>
  <c r="CS230" i="26"/>
  <c r="AH260" i="32" s="1"/>
  <c r="CJ230" i="26"/>
  <c r="CI230" i="26"/>
  <c r="AG260" i="32" s="1"/>
  <c r="BZ230" i="26"/>
  <c r="BY230" i="26"/>
  <c r="AF260" i="32" s="1"/>
  <c r="BP230" i="26"/>
  <c r="BO230" i="26"/>
  <c r="AE260" i="32" s="1"/>
  <c r="BF230" i="26"/>
  <c r="BE230" i="26"/>
  <c r="AD260" i="32" s="1"/>
  <c r="AV230" i="26"/>
  <c r="AU230" i="26"/>
  <c r="AC260" i="32" s="1"/>
  <c r="AL230" i="26"/>
  <c r="AK230" i="26"/>
  <c r="AB260" i="32" s="1"/>
  <c r="AB230" i="26"/>
  <c r="AA230" i="26"/>
  <c r="AA260" i="32" s="1"/>
  <c r="FR229" i="26"/>
  <c r="FS229" i="26" s="1"/>
  <c r="FA229" i="26"/>
  <c r="ES229" i="26"/>
  <c r="ER229" i="26"/>
  <c r="EH229" i="26"/>
  <c r="EG229" i="26"/>
  <c r="AL259" i="32" s="1"/>
  <c r="DX229" i="26"/>
  <c r="DW229" i="26"/>
  <c r="AK259" i="32" s="1"/>
  <c r="DN229" i="26"/>
  <c r="DM229" i="26"/>
  <c r="AJ259" i="32" s="1"/>
  <c r="DD229" i="26"/>
  <c r="DC229" i="26"/>
  <c r="AI259" i="32" s="1"/>
  <c r="CT229" i="26"/>
  <c r="CS229" i="26"/>
  <c r="AH259" i="32" s="1"/>
  <c r="CJ229" i="26"/>
  <c r="CI229" i="26"/>
  <c r="AG259" i="32" s="1"/>
  <c r="BZ229" i="26"/>
  <c r="BY229" i="26"/>
  <c r="AF259" i="32" s="1"/>
  <c r="BP229" i="26"/>
  <c r="BO229" i="26"/>
  <c r="AE259" i="32" s="1"/>
  <c r="BF229" i="26"/>
  <c r="BE229" i="26"/>
  <c r="AD259" i="32" s="1"/>
  <c r="AV229" i="26"/>
  <c r="AU229" i="26"/>
  <c r="AC259" i="32" s="1"/>
  <c r="AL229" i="26"/>
  <c r="AK229" i="26"/>
  <c r="AB259" i="32" s="1"/>
  <c r="AB229" i="26"/>
  <c r="AA229" i="26"/>
  <c r="AA259" i="32" s="1"/>
  <c r="FR228" i="26"/>
  <c r="FS228" i="26" s="1"/>
  <c r="FA228" i="26"/>
  <c r="EZ228" i="26" s="1"/>
  <c r="FQ228" i="26" s="1"/>
  <c r="AP258" i="32" s="1"/>
  <c r="ES228" i="26"/>
  <c r="ER228" i="26"/>
  <c r="EH228" i="26"/>
  <c r="EG228" i="26"/>
  <c r="AL258" i="32" s="1"/>
  <c r="DX228" i="26"/>
  <c r="DW228" i="26"/>
  <c r="AK258" i="32" s="1"/>
  <c r="DN228" i="26"/>
  <c r="DM228" i="26"/>
  <c r="AJ258" i="32" s="1"/>
  <c r="DD228" i="26"/>
  <c r="DC228" i="26"/>
  <c r="AI258" i="32" s="1"/>
  <c r="CT228" i="26"/>
  <c r="CS228" i="26"/>
  <c r="AH258" i="32" s="1"/>
  <c r="CJ228" i="26"/>
  <c r="CI228" i="26"/>
  <c r="AG258" i="32" s="1"/>
  <c r="BZ228" i="26"/>
  <c r="BY228" i="26"/>
  <c r="AF258" i="32" s="1"/>
  <c r="BP228" i="26"/>
  <c r="BO228" i="26"/>
  <c r="AE258" i="32" s="1"/>
  <c r="BF228" i="26"/>
  <c r="BE228" i="26"/>
  <c r="AD258" i="32" s="1"/>
  <c r="AV228" i="26"/>
  <c r="AU228" i="26"/>
  <c r="AC258" i="32" s="1"/>
  <c r="AL228" i="26"/>
  <c r="AK228" i="26"/>
  <c r="AB258" i="32" s="1"/>
  <c r="AB228" i="26"/>
  <c r="AA228" i="26"/>
  <c r="AA258" i="32" s="1"/>
  <c r="FG227" i="26"/>
  <c r="FF227" i="26"/>
  <c r="FE227" i="26"/>
  <c r="FD227" i="26"/>
  <c r="FC227" i="26"/>
  <c r="FB227" i="26"/>
  <c r="EU227" i="26"/>
  <c r="ET227" i="26"/>
  <c r="EH227" i="26"/>
  <c r="EG227" i="26"/>
  <c r="AL257" i="32" s="1"/>
  <c r="DX227" i="26"/>
  <c r="DW227" i="26"/>
  <c r="AK257" i="32" s="1"/>
  <c r="DN227" i="26"/>
  <c r="DM227" i="26"/>
  <c r="AJ257" i="32" s="1"/>
  <c r="DD227" i="26"/>
  <c r="DC227" i="26"/>
  <c r="AI257" i="32" s="1"/>
  <c r="CT227" i="26"/>
  <c r="CS227" i="26"/>
  <c r="AH257" i="32" s="1"/>
  <c r="CJ227" i="26"/>
  <c r="CI227" i="26"/>
  <c r="AG257" i="32" s="1"/>
  <c r="BZ227" i="26"/>
  <c r="BY227" i="26"/>
  <c r="AF257" i="32" s="1"/>
  <c r="BP227" i="26"/>
  <c r="BO227" i="26"/>
  <c r="AE257" i="32" s="1"/>
  <c r="BF227" i="26"/>
  <c r="BE227" i="26"/>
  <c r="AD257" i="32" s="1"/>
  <c r="AV227" i="26"/>
  <c r="AU227" i="26"/>
  <c r="AC257" i="32" s="1"/>
  <c r="AL227" i="26"/>
  <c r="AK227" i="26"/>
  <c r="AB257" i="32" s="1"/>
  <c r="AB227" i="26"/>
  <c r="AA227" i="26"/>
  <c r="AA257" i="32" s="1"/>
  <c r="FR226" i="26"/>
  <c r="FS226" i="26" s="1"/>
  <c r="FO226" i="26"/>
  <c r="FN226" i="26"/>
  <c r="FM226" i="26"/>
  <c r="ER226" i="26"/>
  <c r="EH226" i="26"/>
  <c r="EG226" i="26"/>
  <c r="AL256" i="32" s="1"/>
  <c r="DX226" i="26"/>
  <c r="DW226" i="26"/>
  <c r="AK256" i="32" s="1"/>
  <c r="DN226" i="26"/>
  <c r="DM226" i="26"/>
  <c r="AJ256" i="32" s="1"/>
  <c r="DD226" i="26"/>
  <c r="DC226" i="26"/>
  <c r="AI256" i="32" s="1"/>
  <c r="CT226" i="26"/>
  <c r="CS226" i="26"/>
  <c r="AH256" i="32" s="1"/>
  <c r="CJ226" i="26"/>
  <c r="CI226" i="26"/>
  <c r="AG256" i="32" s="1"/>
  <c r="BZ226" i="26"/>
  <c r="BY226" i="26"/>
  <c r="AF256" i="32" s="1"/>
  <c r="BP226" i="26"/>
  <c r="BO226" i="26"/>
  <c r="AE256" i="32" s="1"/>
  <c r="BF226" i="26"/>
  <c r="BE226" i="26"/>
  <c r="AD256" i="32" s="1"/>
  <c r="AV226" i="26"/>
  <c r="AU226" i="26"/>
  <c r="AC256" i="32" s="1"/>
  <c r="AL226" i="26"/>
  <c r="AK226" i="26"/>
  <c r="AB256" i="32" s="1"/>
  <c r="AB226" i="26"/>
  <c r="AA226" i="26"/>
  <c r="AA256" i="32" s="1"/>
  <c r="FR225" i="26"/>
  <c r="AS255" i="32" s="1"/>
  <c r="FO225" i="26"/>
  <c r="FN225" i="26"/>
  <c r="FM225" i="26"/>
  <c r="FA225" i="26"/>
  <c r="EZ225" i="26" s="1"/>
  <c r="AO255" i="32" s="1"/>
  <c r="ES225" i="26"/>
  <c r="AN255" i="32" s="1"/>
  <c r="ER225" i="26"/>
  <c r="EH225" i="26"/>
  <c r="EG225" i="26"/>
  <c r="AL255" i="32" s="1"/>
  <c r="DX225" i="26"/>
  <c r="DW225" i="26"/>
  <c r="AK255" i="32" s="1"/>
  <c r="DN225" i="26"/>
  <c r="DM225" i="26"/>
  <c r="AJ255" i="32" s="1"/>
  <c r="DD225" i="26"/>
  <c r="DC225" i="26"/>
  <c r="AI255" i="32" s="1"/>
  <c r="CT225" i="26"/>
  <c r="CS225" i="26"/>
  <c r="AH255" i="32" s="1"/>
  <c r="CJ225" i="26"/>
  <c r="CI225" i="26"/>
  <c r="AG255" i="32" s="1"/>
  <c r="BZ225" i="26"/>
  <c r="BY225" i="26"/>
  <c r="AF255" i="32" s="1"/>
  <c r="BP225" i="26"/>
  <c r="BO225" i="26"/>
  <c r="AE255" i="32" s="1"/>
  <c r="BF225" i="26"/>
  <c r="BE225" i="26"/>
  <c r="AD255" i="32" s="1"/>
  <c r="AV225" i="26"/>
  <c r="AU225" i="26"/>
  <c r="AC255" i="32" s="1"/>
  <c r="AL225" i="26"/>
  <c r="AK225" i="26"/>
  <c r="AB255" i="32" s="1"/>
  <c r="AB225" i="26"/>
  <c r="AA225" i="26"/>
  <c r="AA255" i="32" s="1"/>
  <c r="FR224" i="26"/>
  <c r="AS254" i="32" s="1"/>
  <c r="FA224" i="26"/>
  <c r="ES224" i="26"/>
  <c r="AN254" i="32" s="1"/>
  <c r="ER224" i="26"/>
  <c r="EH224" i="26"/>
  <c r="EG224" i="26"/>
  <c r="AL254" i="32" s="1"/>
  <c r="DX224" i="26"/>
  <c r="DW224" i="26"/>
  <c r="AK254" i="32" s="1"/>
  <c r="DN224" i="26"/>
  <c r="DM224" i="26"/>
  <c r="AJ254" i="32" s="1"/>
  <c r="DD224" i="26"/>
  <c r="DC224" i="26"/>
  <c r="AI254" i="32" s="1"/>
  <c r="CT224" i="26"/>
  <c r="CS224" i="26"/>
  <c r="AH254" i="32" s="1"/>
  <c r="CJ224" i="26"/>
  <c r="CI224" i="26"/>
  <c r="AG254" i="32" s="1"/>
  <c r="BZ224" i="26"/>
  <c r="BY224" i="26"/>
  <c r="AF254" i="32" s="1"/>
  <c r="BP224" i="26"/>
  <c r="BO224" i="26"/>
  <c r="AE254" i="32" s="1"/>
  <c r="BF224" i="26"/>
  <c r="BE224" i="26"/>
  <c r="AD254" i="32" s="1"/>
  <c r="AV224" i="26"/>
  <c r="AU224" i="26"/>
  <c r="AC254" i="32" s="1"/>
  <c r="AL224" i="26"/>
  <c r="AK224" i="26"/>
  <c r="AB254" i="32" s="1"/>
  <c r="AB224" i="26"/>
  <c r="AA224" i="26"/>
  <c r="AA254" i="32" s="1"/>
  <c r="FR223" i="26"/>
  <c r="AS253" i="32" s="1"/>
  <c r="FA223" i="26"/>
  <c r="EZ223" i="26" s="1"/>
  <c r="FQ223" i="26" s="1"/>
  <c r="AP253" i="32" s="1"/>
  <c r="ES223" i="26"/>
  <c r="AN253" i="32" s="1"/>
  <c r="ER223" i="26"/>
  <c r="EH223" i="26"/>
  <c r="EG223" i="26"/>
  <c r="AL253" i="32" s="1"/>
  <c r="DW223" i="26"/>
  <c r="AK253" i="32" s="1"/>
  <c r="DN223" i="26"/>
  <c r="DM223" i="26"/>
  <c r="AJ253" i="32" s="1"/>
  <c r="DD223" i="26"/>
  <c r="DC223" i="26"/>
  <c r="AI253" i="32" s="1"/>
  <c r="CT223" i="26"/>
  <c r="CS223" i="26"/>
  <c r="AH253" i="32" s="1"/>
  <c r="CJ223" i="26"/>
  <c r="CI223" i="26"/>
  <c r="AG253" i="32" s="1"/>
  <c r="BZ223" i="26"/>
  <c r="BY223" i="26"/>
  <c r="AF253" i="32" s="1"/>
  <c r="BP223" i="26"/>
  <c r="BO223" i="26"/>
  <c r="AE253" i="32" s="1"/>
  <c r="BF223" i="26"/>
  <c r="BE223" i="26"/>
  <c r="AD253" i="32" s="1"/>
  <c r="AV223" i="26"/>
  <c r="AU223" i="26"/>
  <c r="AC253" i="32" s="1"/>
  <c r="AL223" i="26"/>
  <c r="AK223" i="26"/>
  <c r="AB253" i="32" s="1"/>
  <c r="AB223" i="26"/>
  <c r="AA223" i="26"/>
  <c r="AA253" i="32" s="1"/>
  <c r="FR222" i="26"/>
  <c r="FS222" i="26" s="1"/>
  <c r="FA222" i="26"/>
  <c r="EZ222" i="26" s="1"/>
  <c r="FQ222" i="26" s="1"/>
  <c r="AP252" i="32" s="1"/>
  <c r="ES222" i="26"/>
  <c r="AN252" i="32" s="1"/>
  <c r="ER222" i="26"/>
  <c r="EH222" i="26"/>
  <c r="EG222" i="26"/>
  <c r="AL252" i="32" s="1"/>
  <c r="DX222" i="26"/>
  <c r="DW222" i="26"/>
  <c r="AK252" i="32" s="1"/>
  <c r="DN222" i="26"/>
  <c r="DM222" i="26"/>
  <c r="AJ252" i="32" s="1"/>
  <c r="DD222" i="26"/>
  <c r="DC222" i="26"/>
  <c r="AI252" i="32" s="1"/>
  <c r="CT222" i="26"/>
  <c r="CS222" i="26"/>
  <c r="AH252" i="32" s="1"/>
  <c r="CJ222" i="26"/>
  <c r="CI222" i="26"/>
  <c r="AG252" i="32" s="1"/>
  <c r="BZ222" i="26"/>
  <c r="BY222" i="26"/>
  <c r="AF252" i="32" s="1"/>
  <c r="BP222" i="26"/>
  <c r="BO222" i="26"/>
  <c r="AE252" i="32" s="1"/>
  <c r="BF222" i="26"/>
  <c r="BE222" i="26"/>
  <c r="AD252" i="32" s="1"/>
  <c r="AV222" i="26"/>
  <c r="AU222" i="26"/>
  <c r="AC252" i="32" s="1"/>
  <c r="AL222" i="26"/>
  <c r="AK222" i="26"/>
  <c r="AB252" i="32" s="1"/>
  <c r="AB222" i="26"/>
  <c r="AA222" i="26"/>
  <c r="AA252" i="32" s="1"/>
  <c r="FG221" i="26"/>
  <c r="FE221" i="26"/>
  <c r="FC221" i="26"/>
  <c r="EY221" i="26"/>
  <c r="EW221" i="26"/>
  <c r="EU221" i="26"/>
  <c r="EH221" i="26"/>
  <c r="EG221" i="26"/>
  <c r="DX221" i="26"/>
  <c r="DW221" i="26"/>
  <c r="DN221" i="26"/>
  <c r="DM221" i="26"/>
  <c r="DD221" i="26"/>
  <c r="DC221" i="26"/>
  <c r="CT221" i="26"/>
  <c r="CS221" i="26"/>
  <c r="CJ221" i="26"/>
  <c r="CI221" i="26"/>
  <c r="BZ221" i="26"/>
  <c r="BY221" i="26"/>
  <c r="BP221" i="26"/>
  <c r="BO221" i="26"/>
  <c r="BF221" i="26"/>
  <c r="BE221" i="26"/>
  <c r="AV221" i="26"/>
  <c r="AU221" i="26"/>
  <c r="AL221" i="26"/>
  <c r="AK221" i="26"/>
  <c r="AB221" i="26"/>
  <c r="AA221" i="26"/>
  <c r="FO220" i="26"/>
  <c r="FN220" i="26"/>
  <c r="FM220" i="26"/>
  <c r="EH220" i="26"/>
  <c r="EG220" i="26"/>
  <c r="DX220" i="26"/>
  <c r="DW220" i="26"/>
  <c r="DN220" i="26"/>
  <c r="DM220" i="26"/>
  <c r="CT220" i="26"/>
  <c r="CS220" i="26"/>
  <c r="CJ220" i="26"/>
  <c r="CI220" i="26"/>
  <c r="BZ220" i="26"/>
  <c r="BY220" i="26"/>
  <c r="BP220" i="26"/>
  <c r="BO220" i="26"/>
  <c r="BF220" i="26"/>
  <c r="BE220" i="26"/>
  <c r="AV220" i="26"/>
  <c r="AU220" i="26"/>
  <c r="AL220" i="26"/>
  <c r="AK220" i="26"/>
  <c r="AB220" i="26"/>
  <c r="AA220" i="26"/>
  <c r="FO219" i="26"/>
  <c r="FN219" i="26"/>
  <c r="FM219" i="26"/>
  <c r="EH219" i="26"/>
  <c r="EG219" i="26"/>
  <c r="DX219" i="26"/>
  <c r="DW219" i="26"/>
  <c r="DN219" i="26"/>
  <c r="DM219" i="26"/>
  <c r="CT219" i="26"/>
  <c r="CS219" i="26"/>
  <c r="CJ219" i="26"/>
  <c r="CI219" i="26"/>
  <c r="BZ219" i="26"/>
  <c r="BY219" i="26"/>
  <c r="BP219" i="26"/>
  <c r="BO219" i="26"/>
  <c r="BF219" i="26"/>
  <c r="BE219" i="26"/>
  <c r="AV219" i="26"/>
  <c r="AU219" i="26"/>
  <c r="AL219" i="26"/>
  <c r="AK219" i="26"/>
  <c r="AB219" i="26"/>
  <c r="AA219" i="26"/>
  <c r="EH218" i="26"/>
  <c r="EG218" i="26"/>
  <c r="DX218" i="26"/>
  <c r="DW218" i="26"/>
  <c r="DN218" i="26"/>
  <c r="DM218" i="26"/>
  <c r="CT218" i="26"/>
  <c r="CS218" i="26"/>
  <c r="CJ218" i="26"/>
  <c r="CI218" i="26"/>
  <c r="BZ218" i="26"/>
  <c r="BY218" i="26"/>
  <c r="BP218" i="26"/>
  <c r="BO218" i="26"/>
  <c r="BF218" i="26"/>
  <c r="BE218" i="26"/>
  <c r="AV218" i="26"/>
  <c r="AU218" i="26"/>
  <c r="AL218" i="26"/>
  <c r="AK218" i="26"/>
  <c r="AB218" i="26"/>
  <c r="AA218" i="26"/>
  <c r="EH217" i="26"/>
  <c r="EG217" i="26"/>
  <c r="DW217" i="26"/>
  <c r="DN217" i="26"/>
  <c r="DM217" i="26"/>
  <c r="CT217" i="26"/>
  <c r="CS217" i="26"/>
  <c r="CJ217" i="26"/>
  <c r="CI217" i="26"/>
  <c r="BZ217" i="26"/>
  <c r="BY217" i="26"/>
  <c r="BP217" i="26"/>
  <c r="BO217" i="26"/>
  <c r="BF217" i="26"/>
  <c r="BE217" i="26"/>
  <c r="AV217" i="26"/>
  <c r="AU217" i="26"/>
  <c r="AL217" i="26"/>
  <c r="AK217" i="26"/>
  <c r="AB217" i="26"/>
  <c r="AA217" i="26"/>
  <c r="EH216" i="26"/>
  <c r="EG216" i="26"/>
  <c r="DX216" i="26"/>
  <c r="DW216" i="26"/>
  <c r="DN216" i="26"/>
  <c r="DM216" i="26"/>
  <c r="CT216" i="26"/>
  <c r="CS216" i="26"/>
  <c r="CJ216" i="26"/>
  <c r="CI216" i="26"/>
  <c r="BZ216" i="26"/>
  <c r="BY216" i="26"/>
  <c r="BP216" i="26"/>
  <c r="BO216" i="26"/>
  <c r="BF216" i="26"/>
  <c r="BE216" i="26"/>
  <c r="AV216" i="26"/>
  <c r="AU216" i="26"/>
  <c r="AL216" i="26"/>
  <c r="AK216" i="26"/>
  <c r="AB216" i="26"/>
  <c r="AA216" i="26"/>
  <c r="FR215" i="26"/>
  <c r="FS215" i="26" s="1"/>
  <c r="FG215" i="26"/>
  <c r="FE215" i="26"/>
  <c r="FC215" i="26"/>
  <c r="FA215" i="26"/>
  <c r="EY215" i="26"/>
  <c r="EW215" i="26"/>
  <c r="EU215" i="26"/>
  <c r="ES215" i="26"/>
  <c r="EH215" i="26"/>
  <c r="EG215" i="26"/>
  <c r="DX215" i="26"/>
  <c r="DW215" i="26"/>
  <c r="DN215" i="26"/>
  <c r="DM215" i="26"/>
  <c r="DD215" i="26"/>
  <c r="DC215" i="26"/>
  <c r="CT215" i="26"/>
  <c r="CS215" i="26"/>
  <c r="CJ215" i="26"/>
  <c r="CI215" i="26"/>
  <c r="BZ215" i="26"/>
  <c r="BY215" i="26"/>
  <c r="BP215" i="26"/>
  <c r="BO215" i="26"/>
  <c r="BF215" i="26"/>
  <c r="BE215" i="26"/>
  <c r="AV215" i="26"/>
  <c r="AU215" i="26"/>
  <c r="AL215" i="26"/>
  <c r="AK215" i="26"/>
  <c r="AB215" i="26"/>
  <c r="AA215" i="26"/>
  <c r="FS214" i="26"/>
  <c r="FO214" i="26"/>
  <c r="FN214" i="26"/>
  <c r="FM214" i="26"/>
  <c r="EH214" i="26"/>
  <c r="EG214" i="26"/>
  <c r="DX214" i="26"/>
  <c r="DW214" i="26"/>
  <c r="DN214" i="26"/>
  <c r="DM214" i="26"/>
  <c r="DD214" i="26"/>
  <c r="DC214" i="26"/>
  <c r="CT214" i="26"/>
  <c r="CS214" i="26"/>
  <c r="CJ214" i="26"/>
  <c r="CI214" i="26"/>
  <c r="BZ214" i="26"/>
  <c r="BY214" i="26"/>
  <c r="BP214" i="26"/>
  <c r="BO214" i="26"/>
  <c r="BF214" i="26"/>
  <c r="BE214" i="26"/>
  <c r="AV214" i="26"/>
  <c r="AU214" i="26"/>
  <c r="AL214" i="26"/>
  <c r="AK214" i="26"/>
  <c r="AB214" i="26"/>
  <c r="AA214" i="26"/>
  <c r="FS213" i="26"/>
  <c r="FO213" i="26"/>
  <c r="FN213" i="26"/>
  <c r="FM213" i="26"/>
  <c r="FF213" i="26"/>
  <c r="FD213" i="26" s="1"/>
  <c r="FB213" i="26"/>
  <c r="EZ213" i="26" s="1"/>
  <c r="FQ213" i="26" s="1"/>
  <c r="EX213" i="26"/>
  <c r="EV213" i="26" s="1"/>
  <c r="ET213" i="26"/>
  <c r="EH213" i="26"/>
  <c r="EG213" i="26"/>
  <c r="DX213" i="26"/>
  <c r="DW213" i="26"/>
  <c r="DN213" i="26"/>
  <c r="DM213" i="26"/>
  <c r="DD213" i="26"/>
  <c r="DC213" i="26"/>
  <c r="CT213" i="26"/>
  <c r="CS213" i="26"/>
  <c r="CJ213" i="26"/>
  <c r="CI213" i="26"/>
  <c r="BZ213" i="26"/>
  <c r="BY213" i="26"/>
  <c r="BP213" i="26"/>
  <c r="BO213" i="26"/>
  <c r="BF213" i="26"/>
  <c r="BE213" i="26"/>
  <c r="AV213" i="26"/>
  <c r="AU213" i="26"/>
  <c r="AL213" i="26"/>
  <c r="AK213" i="26"/>
  <c r="AB213" i="26"/>
  <c r="AA213" i="26"/>
  <c r="FS212" i="26"/>
  <c r="FF212" i="26"/>
  <c r="FD212" i="26" s="1"/>
  <c r="FB212" i="26"/>
  <c r="EZ212" i="26" s="1"/>
  <c r="FQ212" i="26" s="1"/>
  <c r="EX212" i="26"/>
  <c r="EV212" i="26" s="1"/>
  <c r="ET212" i="26"/>
  <c r="EH212" i="26"/>
  <c r="EG212" i="26"/>
  <c r="DX212" i="26"/>
  <c r="DW212" i="26"/>
  <c r="DN212" i="26"/>
  <c r="DM212" i="26"/>
  <c r="DD212" i="26"/>
  <c r="DC212" i="26"/>
  <c r="CT212" i="26"/>
  <c r="CS212" i="26"/>
  <c r="CJ212" i="26"/>
  <c r="CI212" i="26"/>
  <c r="BZ212" i="26"/>
  <c r="BY212" i="26"/>
  <c r="BP212" i="26"/>
  <c r="BO212" i="26"/>
  <c r="BF212" i="26"/>
  <c r="BE212" i="26"/>
  <c r="AV212" i="26"/>
  <c r="AU212" i="26"/>
  <c r="AL212" i="26"/>
  <c r="AK212" i="26"/>
  <c r="AB212" i="26"/>
  <c r="AA212" i="26"/>
  <c r="FS211" i="26"/>
  <c r="FF211" i="26"/>
  <c r="FD211" i="26" s="1"/>
  <c r="FB211" i="26"/>
  <c r="EZ211" i="26" s="1"/>
  <c r="EX211" i="26"/>
  <c r="ET211" i="26"/>
  <c r="EH211" i="26"/>
  <c r="EG211" i="26"/>
  <c r="DX211" i="26"/>
  <c r="DW211" i="26"/>
  <c r="DN211" i="26"/>
  <c r="DM211" i="26"/>
  <c r="DD211" i="26"/>
  <c r="DC211" i="26"/>
  <c r="CT211" i="26"/>
  <c r="CS211" i="26"/>
  <c r="CJ211" i="26"/>
  <c r="CI211" i="26"/>
  <c r="BZ211" i="26"/>
  <c r="BY211" i="26"/>
  <c r="BP211" i="26"/>
  <c r="BO211" i="26"/>
  <c r="BF211" i="26"/>
  <c r="BE211" i="26"/>
  <c r="AV211" i="26"/>
  <c r="AU211" i="26"/>
  <c r="AL211" i="26"/>
  <c r="AK211" i="26"/>
  <c r="AB211" i="26"/>
  <c r="AA211" i="26"/>
  <c r="FS210" i="26"/>
  <c r="FF210" i="26"/>
  <c r="FD210" i="26" s="1"/>
  <c r="FB210" i="26"/>
  <c r="EZ210" i="26" s="1"/>
  <c r="FQ210" i="26" s="1"/>
  <c r="EX210" i="26"/>
  <c r="EV210" i="26" s="1"/>
  <c r="ET210" i="26"/>
  <c r="EH210" i="26"/>
  <c r="EG210" i="26"/>
  <c r="DX210" i="26"/>
  <c r="DW210" i="26"/>
  <c r="DN210" i="26"/>
  <c r="DM210" i="26"/>
  <c r="DD210" i="26"/>
  <c r="DC210" i="26"/>
  <c r="CT210" i="26"/>
  <c r="CS210" i="26"/>
  <c r="CJ210" i="26"/>
  <c r="CI210" i="26"/>
  <c r="BZ210" i="26"/>
  <c r="BY210" i="26"/>
  <c r="BP210" i="26"/>
  <c r="BO210" i="26"/>
  <c r="BF210" i="26"/>
  <c r="BE210" i="26"/>
  <c r="AV210" i="26"/>
  <c r="AU210" i="26"/>
  <c r="AL210" i="26"/>
  <c r="AK210" i="26"/>
  <c r="AB210" i="26"/>
  <c r="AA210" i="26"/>
  <c r="FG209" i="26"/>
  <c r="FF209" i="26"/>
  <c r="FE209" i="26"/>
  <c r="FD209" i="26"/>
  <c r="FC209" i="26"/>
  <c r="FA209" i="26"/>
  <c r="EU209" i="26"/>
  <c r="ES209" i="26"/>
  <c r="EH209" i="26"/>
  <c r="EG209" i="26"/>
  <c r="AL251" i="32" s="1"/>
  <c r="DX209" i="26"/>
  <c r="DW209" i="26"/>
  <c r="AK251" i="32" s="1"/>
  <c r="DN209" i="26"/>
  <c r="DM209" i="26"/>
  <c r="AJ251" i="32" s="1"/>
  <c r="DD209" i="26"/>
  <c r="DC209" i="26"/>
  <c r="AI251" i="32" s="1"/>
  <c r="CT209" i="26"/>
  <c r="CS209" i="26"/>
  <c r="AH251" i="32" s="1"/>
  <c r="CJ209" i="26"/>
  <c r="CI209" i="26"/>
  <c r="AG251" i="32" s="1"/>
  <c r="BZ209" i="26"/>
  <c r="BY209" i="26"/>
  <c r="AF251" i="32" s="1"/>
  <c r="BP209" i="26"/>
  <c r="BO209" i="26"/>
  <c r="AE251" i="32" s="1"/>
  <c r="BF209" i="26"/>
  <c r="BE209" i="26"/>
  <c r="AD251" i="32" s="1"/>
  <c r="AV209" i="26"/>
  <c r="AU209" i="26"/>
  <c r="AC251" i="32" s="1"/>
  <c r="AL209" i="26"/>
  <c r="AK209" i="26"/>
  <c r="AB251" i="32" s="1"/>
  <c r="AB209" i="26"/>
  <c r="AA209" i="26"/>
  <c r="AA251" i="32" s="1"/>
  <c r="FO208" i="26"/>
  <c r="FN208" i="26"/>
  <c r="FM208" i="26"/>
  <c r="EH208" i="26"/>
  <c r="EG208" i="26"/>
  <c r="AL250" i="32" s="1"/>
  <c r="DX208" i="26"/>
  <c r="DW208" i="26"/>
  <c r="AK250" i="32" s="1"/>
  <c r="DN208" i="26"/>
  <c r="DM208" i="26"/>
  <c r="AJ250" i="32" s="1"/>
  <c r="DD208" i="26"/>
  <c r="DC208" i="26"/>
  <c r="AI250" i="32" s="1"/>
  <c r="CT208" i="26"/>
  <c r="CS208" i="26"/>
  <c r="AH250" i="32" s="1"/>
  <c r="CJ208" i="26"/>
  <c r="CI208" i="26"/>
  <c r="AG250" i="32" s="1"/>
  <c r="BZ208" i="26"/>
  <c r="BY208" i="26"/>
  <c r="AF250" i="32" s="1"/>
  <c r="BP208" i="26"/>
  <c r="BO208" i="26"/>
  <c r="AE250" i="32" s="1"/>
  <c r="BF208" i="26"/>
  <c r="BE208" i="26"/>
  <c r="AD250" i="32" s="1"/>
  <c r="AV208" i="26"/>
  <c r="AU208" i="26"/>
  <c r="AC250" i="32" s="1"/>
  <c r="AL208" i="26"/>
  <c r="AK208" i="26"/>
  <c r="AB250" i="32" s="1"/>
  <c r="AB208" i="26"/>
  <c r="AA208" i="26"/>
  <c r="AA250" i="32" s="1"/>
  <c r="FO207" i="26"/>
  <c r="FN207" i="26"/>
  <c r="FM207" i="26"/>
  <c r="FB207" i="26"/>
  <c r="ET207" i="26"/>
  <c r="ET169" i="26" s="1"/>
  <c r="EH207" i="26"/>
  <c r="EG207" i="26"/>
  <c r="AL249" i="32" s="1"/>
  <c r="DX207" i="26"/>
  <c r="DW207" i="26"/>
  <c r="AK249" i="32" s="1"/>
  <c r="DN207" i="26"/>
  <c r="DM207" i="26"/>
  <c r="AJ249" i="32" s="1"/>
  <c r="DD207" i="26"/>
  <c r="DC207" i="26"/>
  <c r="AI249" i="32" s="1"/>
  <c r="CT207" i="26"/>
  <c r="CS207" i="26"/>
  <c r="AH249" i="32" s="1"/>
  <c r="CJ207" i="26"/>
  <c r="CI207" i="26"/>
  <c r="AG249" i="32" s="1"/>
  <c r="BZ207" i="26"/>
  <c r="BY207" i="26"/>
  <c r="AF249" i="32" s="1"/>
  <c r="BP207" i="26"/>
  <c r="BO207" i="26"/>
  <c r="AE249" i="32" s="1"/>
  <c r="BF207" i="26"/>
  <c r="BE207" i="26"/>
  <c r="AD249" i="32" s="1"/>
  <c r="AV207" i="26"/>
  <c r="AU207" i="26"/>
  <c r="AC249" i="32" s="1"/>
  <c r="AL207" i="26"/>
  <c r="AK207" i="26"/>
  <c r="AB249" i="32" s="1"/>
  <c r="AB207" i="26"/>
  <c r="AA207" i="26"/>
  <c r="AA249" i="32" s="1"/>
  <c r="FB206" i="26"/>
  <c r="FB168" i="26" s="1"/>
  <c r="ET206" i="26"/>
  <c r="ET168" i="26" s="1"/>
  <c r="EH206" i="26"/>
  <c r="EG206" i="26"/>
  <c r="AL248" i="32" s="1"/>
  <c r="DX206" i="26"/>
  <c r="DW206" i="26"/>
  <c r="AK248" i="32" s="1"/>
  <c r="DN206" i="26"/>
  <c r="DM206" i="26"/>
  <c r="AJ248" i="32" s="1"/>
  <c r="DD206" i="26"/>
  <c r="DC206" i="26"/>
  <c r="AI248" i="32" s="1"/>
  <c r="CT206" i="26"/>
  <c r="CS206" i="26"/>
  <c r="AH248" i="32" s="1"/>
  <c r="CJ206" i="26"/>
  <c r="CI206" i="26"/>
  <c r="AG248" i="32" s="1"/>
  <c r="BZ206" i="26"/>
  <c r="BY206" i="26"/>
  <c r="AF248" i="32" s="1"/>
  <c r="BP206" i="26"/>
  <c r="BO206" i="26"/>
  <c r="AE248" i="32" s="1"/>
  <c r="BF206" i="26"/>
  <c r="BE206" i="26"/>
  <c r="AD248" i="32" s="1"/>
  <c r="AV206" i="26"/>
  <c r="AU206" i="26"/>
  <c r="AC248" i="32" s="1"/>
  <c r="AL206" i="26"/>
  <c r="AK206" i="26"/>
  <c r="AB248" i="32" s="1"/>
  <c r="AB206" i="26"/>
  <c r="AA206" i="26"/>
  <c r="AA248" i="32" s="1"/>
  <c r="FB205" i="26"/>
  <c r="FB167" i="26" s="1"/>
  <c r="ET205" i="26"/>
  <c r="ER205" i="26" s="1"/>
  <c r="EH205" i="26"/>
  <c r="EG205" i="26"/>
  <c r="AL247" i="32" s="1"/>
  <c r="DX205" i="26"/>
  <c r="DW205" i="26"/>
  <c r="AK247" i="32" s="1"/>
  <c r="DN205" i="26"/>
  <c r="DM205" i="26"/>
  <c r="AJ247" i="32" s="1"/>
  <c r="DD205" i="26"/>
  <c r="DC205" i="26"/>
  <c r="AI247" i="32" s="1"/>
  <c r="CT205" i="26"/>
  <c r="CS205" i="26"/>
  <c r="AH247" i="32" s="1"/>
  <c r="CJ205" i="26"/>
  <c r="CI205" i="26"/>
  <c r="AG247" i="32" s="1"/>
  <c r="BZ205" i="26"/>
  <c r="BY205" i="26"/>
  <c r="AF247" i="32" s="1"/>
  <c r="BP205" i="26"/>
  <c r="BO205" i="26"/>
  <c r="AE247" i="32" s="1"/>
  <c r="BF205" i="26"/>
  <c r="BE205" i="26"/>
  <c r="AD247" i="32" s="1"/>
  <c r="AV205" i="26"/>
  <c r="AU205" i="26"/>
  <c r="AC247" i="32" s="1"/>
  <c r="AL205" i="26"/>
  <c r="AK205" i="26"/>
  <c r="AB247" i="32" s="1"/>
  <c r="AB205" i="26"/>
  <c r="AA205" i="26"/>
  <c r="AA247" i="32" s="1"/>
  <c r="FB204" i="26"/>
  <c r="ET204" i="26"/>
  <c r="ER204" i="26" s="1"/>
  <c r="EH204" i="26"/>
  <c r="EG204" i="26"/>
  <c r="AL246" i="32" s="1"/>
  <c r="DX204" i="26"/>
  <c r="DW204" i="26"/>
  <c r="AK246" i="32" s="1"/>
  <c r="DN204" i="26"/>
  <c r="DM204" i="26"/>
  <c r="AJ246" i="32" s="1"/>
  <c r="DD204" i="26"/>
  <c r="DC204" i="26"/>
  <c r="AI246" i="32" s="1"/>
  <c r="CT204" i="26"/>
  <c r="CS204" i="26"/>
  <c r="AH246" i="32" s="1"/>
  <c r="CJ204" i="26"/>
  <c r="CI204" i="26"/>
  <c r="AG246" i="32" s="1"/>
  <c r="BZ204" i="26"/>
  <c r="BY204" i="26"/>
  <c r="AF246" i="32" s="1"/>
  <c r="BP204" i="26"/>
  <c r="BO204" i="26"/>
  <c r="AE246" i="32" s="1"/>
  <c r="BF204" i="26"/>
  <c r="BE204" i="26"/>
  <c r="AD246" i="32" s="1"/>
  <c r="AV204" i="26"/>
  <c r="AU204" i="26"/>
  <c r="AC246" i="32" s="1"/>
  <c r="AL204" i="26"/>
  <c r="AK204" i="26"/>
  <c r="AB246" i="32" s="1"/>
  <c r="AB204" i="26"/>
  <c r="AA204" i="26"/>
  <c r="AA246" i="32" s="1"/>
  <c r="FR203" i="26"/>
  <c r="AS245" i="32" s="1"/>
  <c r="FG203" i="26"/>
  <c r="FF203" i="26"/>
  <c r="FE203" i="26"/>
  <c r="FD203" i="26"/>
  <c r="FC203" i="26"/>
  <c r="FA203" i="26"/>
  <c r="EY203" i="26"/>
  <c r="EX203" i="26"/>
  <c r="EW203" i="26"/>
  <c r="EU203" i="26"/>
  <c r="ES203" i="26"/>
  <c r="AN245" i="32" s="1"/>
  <c r="EH203" i="26"/>
  <c r="EG203" i="26"/>
  <c r="AL245" i="32" s="1"/>
  <c r="DX203" i="26"/>
  <c r="DW203" i="26"/>
  <c r="AK245" i="32" s="1"/>
  <c r="DN203" i="26"/>
  <c r="DM203" i="26"/>
  <c r="AJ245" i="32" s="1"/>
  <c r="DD203" i="26"/>
  <c r="DC203" i="26"/>
  <c r="AI245" i="32" s="1"/>
  <c r="CT203" i="26"/>
  <c r="CS203" i="26"/>
  <c r="AH245" i="32" s="1"/>
  <c r="CJ203" i="26"/>
  <c r="CI203" i="26"/>
  <c r="AG245" i="32" s="1"/>
  <c r="BZ203" i="26"/>
  <c r="BY203" i="26"/>
  <c r="AF245" i="32" s="1"/>
  <c r="BP203" i="26"/>
  <c r="BO203" i="26"/>
  <c r="AE245" i="32" s="1"/>
  <c r="BF203" i="26"/>
  <c r="BE203" i="26"/>
  <c r="AD245" i="32" s="1"/>
  <c r="AV203" i="26"/>
  <c r="AU203" i="26"/>
  <c r="AC245" i="32" s="1"/>
  <c r="AL203" i="26"/>
  <c r="AK203" i="26"/>
  <c r="AB245" i="32" s="1"/>
  <c r="AB203" i="26"/>
  <c r="AA203" i="26"/>
  <c r="AA245" i="32" s="1"/>
  <c r="FS202" i="26"/>
  <c r="FO202" i="26"/>
  <c r="FN202" i="26"/>
  <c r="FM202" i="26"/>
  <c r="EH202" i="26"/>
  <c r="EG202" i="26"/>
  <c r="AL244" i="32" s="1"/>
  <c r="DX202" i="26"/>
  <c r="DW202" i="26"/>
  <c r="AK244" i="32" s="1"/>
  <c r="DN202" i="26"/>
  <c r="DM202" i="26"/>
  <c r="AJ244" i="32" s="1"/>
  <c r="DD202" i="26"/>
  <c r="DC202" i="26"/>
  <c r="AI244" i="32" s="1"/>
  <c r="CT202" i="26"/>
  <c r="CS202" i="26"/>
  <c r="AH244" i="32" s="1"/>
  <c r="CJ202" i="26"/>
  <c r="CI202" i="26"/>
  <c r="AG244" i="32" s="1"/>
  <c r="BZ202" i="26"/>
  <c r="BY202" i="26"/>
  <c r="AF244" i="32" s="1"/>
  <c r="BP202" i="26"/>
  <c r="BO202" i="26"/>
  <c r="AE244" i="32" s="1"/>
  <c r="BF202" i="26"/>
  <c r="BE202" i="26"/>
  <c r="AD244" i="32" s="1"/>
  <c r="AV202" i="26"/>
  <c r="AU202" i="26"/>
  <c r="AC244" i="32" s="1"/>
  <c r="AL202" i="26"/>
  <c r="AK202" i="26"/>
  <c r="AB244" i="32" s="1"/>
  <c r="AB202" i="26"/>
  <c r="AA202" i="26"/>
  <c r="AA244" i="32" s="1"/>
  <c r="FS201" i="26"/>
  <c r="FO201" i="26"/>
  <c r="FN201" i="26"/>
  <c r="FM201" i="26"/>
  <c r="FB201" i="26"/>
  <c r="EZ201" i="26" s="1"/>
  <c r="AO243" i="32" s="1"/>
  <c r="ET201" i="26"/>
  <c r="ER201" i="26" s="1"/>
  <c r="AN243" i="32" s="1"/>
  <c r="EH201" i="26"/>
  <c r="EG201" i="26"/>
  <c r="AL243" i="32" s="1"/>
  <c r="DX201" i="26"/>
  <c r="DW201" i="26"/>
  <c r="AK243" i="32" s="1"/>
  <c r="DN201" i="26"/>
  <c r="DM201" i="26"/>
  <c r="AJ243" i="32" s="1"/>
  <c r="DD201" i="26"/>
  <c r="DC201" i="26"/>
  <c r="AI243" i="32" s="1"/>
  <c r="CT201" i="26"/>
  <c r="CS201" i="26"/>
  <c r="AH243" i="32" s="1"/>
  <c r="CJ201" i="26"/>
  <c r="CI201" i="26"/>
  <c r="AG243" i="32" s="1"/>
  <c r="BZ201" i="26"/>
  <c r="BY201" i="26"/>
  <c r="AF243" i="32" s="1"/>
  <c r="BP201" i="26"/>
  <c r="BO201" i="26"/>
  <c r="AE243" i="32" s="1"/>
  <c r="BF201" i="26"/>
  <c r="BE201" i="26"/>
  <c r="AD243" i="32" s="1"/>
  <c r="AV201" i="26"/>
  <c r="AU201" i="26"/>
  <c r="AC243" i="32" s="1"/>
  <c r="AL201" i="26"/>
  <c r="AK201" i="26"/>
  <c r="AB243" i="32" s="1"/>
  <c r="AB201" i="26"/>
  <c r="AA201" i="26"/>
  <c r="AA243" i="32" s="1"/>
  <c r="FS200" i="26"/>
  <c r="FB200" i="26"/>
  <c r="FB156" i="26" s="1"/>
  <c r="ET200" i="26"/>
  <c r="ER200" i="26" s="1"/>
  <c r="AN242" i="32" s="1"/>
  <c r="EH200" i="26"/>
  <c r="EG200" i="26"/>
  <c r="AL242" i="32" s="1"/>
  <c r="DX200" i="26"/>
  <c r="DW200" i="26"/>
  <c r="AK242" i="32" s="1"/>
  <c r="DN200" i="26"/>
  <c r="DM200" i="26"/>
  <c r="AJ242" i="32" s="1"/>
  <c r="DD200" i="26"/>
  <c r="DC200" i="26"/>
  <c r="AI242" i="32" s="1"/>
  <c r="CT200" i="26"/>
  <c r="CS200" i="26"/>
  <c r="AH242" i="32" s="1"/>
  <c r="CJ200" i="26"/>
  <c r="CI200" i="26"/>
  <c r="AG242" i="32" s="1"/>
  <c r="BZ200" i="26"/>
  <c r="BY200" i="26"/>
  <c r="AF242" i="32" s="1"/>
  <c r="BP200" i="26"/>
  <c r="BO200" i="26"/>
  <c r="AE242" i="32" s="1"/>
  <c r="BF200" i="26"/>
  <c r="BE200" i="26"/>
  <c r="AD242" i="32" s="1"/>
  <c r="AV200" i="26"/>
  <c r="AU200" i="26"/>
  <c r="AC242" i="32" s="1"/>
  <c r="AL200" i="26"/>
  <c r="AK200" i="26"/>
  <c r="AB242" i="32" s="1"/>
  <c r="AB200" i="26"/>
  <c r="AA200" i="26"/>
  <c r="AA242" i="32" s="1"/>
  <c r="FS199" i="26"/>
  <c r="FB199" i="26"/>
  <c r="FB155" i="26" s="1"/>
  <c r="ET199" i="26"/>
  <c r="ER199" i="26" s="1"/>
  <c r="AN241" i="32" s="1"/>
  <c r="EH199" i="26"/>
  <c r="EG199" i="26"/>
  <c r="AL241" i="32" s="1"/>
  <c r="DX199" i="26"/>
  <c r="DW199" i="26"/>
  <c r="AK241" i="32" s="1"/>
  <c r="DN199" i="26"/>
  <c r="DM199" i="26"/>
  <c r="AJ241" i="32" s="1"/>
  <c r="DD199" i="26"/>
  <c r="DC199" i="26"/>
  <c r="AI241" i="32" s="1"/>
  <c r="CT199" i="26"/>
  <c r="CS199" i="26"/>
  <c r="AH241" i="32" s="1"/>
  <c r="CJ199" i="26"/>
  <c r="CI199" i="26"/>
  <c r="AG241" i="32" s="1"/>
  <c r="BZ199" i="26"/>
  <c r="BY199" i="26"/>
  <c r="AF241" i="32" s="1"/>
  <c r="BP199" i="26"/>
  <c r="BO199" i="26"/>
  <c r="AE241" i="32" s="1"/>
  <c r="BF199" i="26"/>
  <c r="BE199" i="26"/>
  <c r="AD241" i="32" s="1"/>
  <c r="AV199" i="26"/>
  <c r="AU199" i="26"/>
  <c r="AC241" i="32" s="1"/>
  <c r="AL199" i="26"/>
  <c r="AK199" i="26"/>
  <c r="AB241" i="32" s="1"/>
  <c r="AB199" i="26"/>
  <c r="AA199" i="26"/>
  <c r="AA241" i="32" s="1"/>
  <c r="FS198" i="26"/>
  <c r="FB198" i="26"/>
  <c r="FB154" i="26" s="1"/>
  <c r="ET198" i="26"/>
  <c r="ER198" i="26" s="1"/>
  <c r="EH198" i="26"/>
  <c r="EG198" i="26"/>
  <c r="AL240" i="32" s="1"/>
  <c r="DX198" i="26"/>
  <c r="DW198" i="26"/>
  <c r="AK240" i="32" s="1"/>
  <c r="DN198" i="26"/>
  <c r="DM198" i="26"/>
  <c r="AJ240" i="32" s="1"/>
  <c r="DD198" i="26"/>
  <c r="DC198" i="26"/>
  <c r="AI240" i="32" s="1"/>
  <c r="CT198" i="26"/>
  <c r="CS198" i="26"/>
  <c r="AH240" i="32" s="1"/>
  <c r="CJ198" i="26"/>
  <c r="CI198" i="26"/>
  <c r="AG240" i="32" s="1"/>
  <c r="BZ198" i="26"/>
  <c r="BY198" i="26"/>
  <c r="AF240" i="32" s="1"/>
  <c r="BP198" i="26"/>
  <c r="BO198" i="26"/>
  <c r="AE240" i="32" s="1"/>
  <c r="BF198" i="26"/>
  <c r="BE198" i="26"/>
  <c r="AD240" i="32" s="1"/>
  <c r="AV198" i="26"/>
  <c r="AU198" i="26"/>
  <c r="AC240" i="32" s="1"/>
  <c r="AL198" i="26"/>
  <c r="AK198" i="26"/>
  <c r="AB240" i="32" s="1"/>
  <c r="AB198" i="26"/>
  <c r="AA198" i="26"/>
  <c r="AA240" i="32" s="1"/>
  <c r="FR197" i="26"/>
  <c r="FS197" i="26" s="1"/>
  <c r="FG197" i="26"/>
  <c r="FE197" i="26"/>
  <c r="FC197" i="26"/>
  <c r="FA197" i="26"/>
  <c r="EY197" i="26"/>
  <c r="EW197" i="26"/>
  <c r="EU197" i="26"/>
  <c r="ES197" i="26"/>
  <c r="EH197" i="26"/>
  <c r="EG197" i="26"/>
  <c r="DX197" i="26"/>
  <c r="DW197" i="26"/>
  <c r="DN197" i="26"/>
  <c r="DM197" i="26"/>
  <c r="DD197" i="26"/>
  <c r="DC197" i="26"/>
  <c r="CT197" i="26"/>
  <c r="CS197" i="26"/>
  <c r="CJ197" i="26"/>
  <c r="CI197" i="26"/>
  <c r="BZ197" i="26"/>
  <c r="BY197" i="26"/>
  <c r="BP197" i="26"/>
  <c r="BO197" i="26"/>
  <c r="BF197" i="26"/>
  <c r="BE197" i="26"/>
  <c r="AV197" i="26"/>
  <c r="AU197" i="26"/>
  <c r="AL197" i="26"/>
  <c r="AK197" i="26"/>
  <c r="AB197" i="26"/>
  <c r="AA197" i="26"/>
  <c r="FS196" i="26"/>
  <c r="FO196" i="26"/>
  <c r="FN196" i="26"/>
  <c r="FM196" i="26"/>
  <c r="EH196" i="26"/>
  <c r="EG196" i="26"/>
  <c r="DX196" i="26"/>
  <c r="DW196" i="26"/>
  <c r="DN196" i="26"/>
  <c r="DM196" i="26"/>
  <c r="DD196" i="26"/>
  <c r="DC196" i="26"/>
  <c r="CT196" i="26"/>
  <c r="CS196" i="26"/>
  <c r="CJ196" i="26"/>
  <c r="CI196" i="26"/>
  <c r="BZ196" i="26"/>
  <c r="BY196" i="26"/>
  <c r="BP196" i="26"/>
  <c r="BO196" i="26"/>
  <c r="BF196" i="26"/>
  <c r="BE196" i="26"/>
  <c r="AV196" i="26"/>
  <c r="AU196" i="26"/>
  <c r="AL196" i="26"/>
  <c r="AK196" i="26"/>
  <c r="AB196" i="26"/>
  <c r="AA196" i="26"/>
  <c r="FS195" i="26"/>
  <c r="FO195" i="26"/>
  <c r="FN195" i="26"/>
  <c r="FM195" i="26"/>
  <c r="FF195" i="26"/>
  <c r="FD195" i="26" s="1"/>
  <c r="FB195" i="26"/>
  <c r="EZ195" i="26" s="1"/>
  <c r="FQ195" i="26" s="1"/>
  <c r="EX195" i="26"/>
  <c r="EV195" i="26" s="1"/>
  <c r="ET195" i="26"/>
  <c r="EH195" i="26"/>
  <c r="EG195" i="26"/>
  <c r="DX195" i="26"/>
  <c r="DW195" i="26"/>
  <c r="DN195" i="26"/>
  <c r="DM195" i="26"/>
  <c r="DD195" i="26"/>
  <c r="DC195" i="26"/>
  <c r="CT195" i="26"/>
  <c r="CS195" i="26"/>
  <c r="CJ195" i="26"/>
  <c r="CI195" i="26"/>
  <c r="BZ195" i="26"/>
  <c r="BY195" i="26"/>
  <c r="BP195" i="26"/>
  <c r="BO195" i="26"/>
  <c r="BF195" i="26"/>
  <c r="BE195" i="26"/>
  <c r="AV195" i="26"/>
  <c r="AU195" i="26"/>
  <c r="AL195" i="26"/>
  <c r="AK195" i="26"/>
  <c r="AB195" i="26"/>
  <c r="AA195" i="26"/>
  <c r="FS194" i="26"/>
  <c r="FF194" i="26"/>
  <c r="FD194" i="26" s="1"/>
  <c r="FB194" i="26"/>
  <c r="EZ194" i="26" s="1"/>
  <c r="FQ194" i="26" s="1"/>
  <c r="EX194" i="26"/>
  <c r="EV194" i="26" s="1"/>
  <c r="ET194" i="26"/>
  <c r="EH194" i="26"/>
  <c r="EG194" i="26"/>
  <c r="DX194" i="26"/>
  <c r="DW194" i="26"/>
  <c r="DN194" i="26"/>
  <c r="DM194" i="26"/>
  <c r="DD194" i="26"/>
  <c r="DC194" i="26"/>
  <c r="CT194" i="26"/>
  <c r="CS194" i="26"/>
  <c r="CJ194" i="26"/>
  <c r="CI194" i="26"/>
  <c r="BZ194" i="26"/>
  <c r="BY194" i="26"/>
  <c r="BP194" i="26"/>
  <c r="BO194" i="26"/>
  <c r="BF194" i="26"/>
  <c r="BE194" i="26"/>
  <c r="AV194" i="26"/>
  <c r="AU194" i="26"/>
  <c r="AL194" i="26"/>
  <c r="AK194" i="26"/>
  <c r="AB194" i="26"/>
  <c r="AA194" i="26"/>
  <c r="FS193" i="26"/>
  <c r="FF193" i="26"/>
  <c r="FD193" i="26" s="1"/>
  <c r="FB193" i="26"/>
  <c r="EZ193" i="26" s="1"/>
  <c r="FQ193" i="26" s="1"/>
  <c r="EX193" i="26"/>
  <c r="EV193" i="26" s="1"/>
  <c r="ET193" i="26"/>
  <c r="EH193" i="26"/>
  <c r="EG193" i="26"/>
  <c r="DX193" i="26"/>
  <c r="DW193" i="26"/>
  <c r="DN193" i="26"/>
  <c r="DM193" i="26"/>
  <c r="DD193" i="26"/>
  <c r="DC193" i="26"/>
  <c r="CT193" i="26"/>
  <c r="CS193" i="26"/>
  <c r="CJ193" i="26"/>
  <c r="CI193" i="26"/>
  <c r="BZ193" i="26"/>
  <c r="BY193" i="26"/>
  <c r="BP193" i="26"/>
  <c r="BO193" i="26"/>
  <c r="BF193" i="26"/>
  <c r="BE193" i="26"/>
  <c r="AV193" i="26"/>
  <c r="AU193" i="26"/>
  <c r="AL193" i="26"/>
  <c r="AK193" i="26"/>
  <c r="AB193" i="26"/>
  <c r="AA193" i="26"/>
  <c r="FS192" i="26"/>
  <c r="FF192" i="26"/>
  <c r="FD192" i="26" s="1"/>
  <c r="FB192" i="26"/>
  <c r="EZ192" i="26" s="1"/>
  <c r="EX192" i="26"/>
  <c r="EV192" i="26" s="1"/>
  <c r="ET192" i="26"/>
  <c r="EH192" i="26"/>
  <c r="EG192" i="26"/>
  <c r="DX192" i="26"/>
  <c r="DW192" i="26"/>
  <c r="DN192" i="26"/>
  <c r="DM192" i="26"/>
  <c r="DD192" i="26"/>
  <c r="DC192" i="26"/>
  <c r="CT192" i="26"/>
  <c r="CS192" i="26"/>
  <c r="CJ192" i="26"/>
  <c r="CI192" i="26"/>
  <c r="BZ192" i="26"/>
  <c r="BY192" i="26"/>
  <c r="BP192" i="26"/>
  <c r="BO192" i="26"/>
  <c r="BF192" i="26"/>
  <c r="BE192" i="26"/>
  <c r="AV192" i="26"/>
  <c r="AU192" i="26"/>
  <c r="AL192" i="26"/>
  <c r="AK192" i="26"/>
  <c r="AB192" i="26"/>
  <c r="AA192" i="26"/>
  <c r="T189" i="26"/>
  <c r="S114" i="26" s="1"/>
  <c r="T188" i="26"/>
  <c r="T187" i="26"/>
  <c r="S187" i="26"/>
  <c r="V187" i="26" s="1"/>
  <c r="R187" i="26"/>
  <c r="R234" i="32" s="1"/>
  <c r="T186" i="26"/>
  <c r="S186" i="26"/>
  <c r="S233" i="32" s="1"/>
  <c r="R186" i="26"/>
  <c r="R233" i="32" s="1"/>
  <c r="T185" i="26"/>
  <c r="S185" i="26"/>
  <c r="V185" i="26" s="1"/>
  <c r="R185" i="26"/>
  <c r="R232" i="32" s="1"/>
  <c r="FU184" i="26"/>
  <c r="FV153" i="26" s="1"/>
  <c r="T184" i="26"/>
  <c r="S184" i="26"/>
  <c r="R184" i="26"/>
  <c r="R231" i="32" s="1"/>
  <c r="EH183" i="26"/>
  <c r="EG183" i="26"/>
  <c r="AL230" i="32" s="1"/>
  <c r="DX183" i="26"/>
  <c r="DW183" i="26"/>
  <c r="AK230" i="32" s="1"/>
  <c r="DN183" i="26"/>
  <c r="DM183" i="26"/>
  <c r="AJ230" i="32" s="1"/>
  <c r="DD183" i="26"/>
  <c r="DC183" i="26"/>
  <c r="AI230" i="32" s="1"/>
  <c r="CT183" i="26"/>
  <c r="CS183" i="26"/>
  <c r="AH230" i="32" s="1"/>
  <c r="CJ183" i="26"/>
  <c r="CI183" i="26"/>
  <c r="AG230" i="32" s="1"/>
  <c r="BZ183" i="26"/>
  <c r="BY183" i="26"/>
  <c r="AF230" i="32" s="1"/>
  <c r="BP183" i="26"/>
  <c r="BO183" i="26"/>
  <c r="AE230" i="32" s="1"/>
  <c r="BF183" i="26"/>
  <c r="BE183" i="26"/>
  <c r="AD230" i="32" s="1"/>
  <c r="AV183" i="26"/>
  <c r="AU183" i="26"/>
  <c r="AC230" i="32" s="1"/>
  <c r="AL183" i="26"/>
  <c r="AK183" i="26"/>
  <c r="AB230" i="32" s="1"/>
  <c r="AB183" i="26"/>
  <c r="T183" i="26"/>
  <c r="S113" i="26" s="1"/>
  <c r="Q183" i="26"/>
  <c r="Q230" i="32" s="1"/>
  <c r="FU182" i="26"/>
  <c r="FR182" i="26"/>
  <c r="AS229" i="32" s="1"/>
  <c r="FO182" i="26"/>
  <c r="FN182" i="26"/>
  <c r="FM182" i="26"/>
  <c r="FL182" i="26"/>
  <c r="EH182" i="26"/>
  <c r="EG182" i="26"/>
  <c r="AL229" i="32" s="1"/>
  <c r="DX182" i="26"/>
  <c r="DW182" i="26"/>
  <c r="AK229" i="32" s="1"/>
  <c r="DN182" i="26"/>
  <c r="DM182" i="26"/>
  <c r="AJ229" i="32" s="1"/>
  <c r="DD182" i="26"/>
  <c r="DC182" i="26"/>
  <c r="AI229" i="32" s="1"/>
  <c r="CT182" i="26"/>
  <c r="CS182" i="26"/>
  <c r="AH229" i="32" s="1"/>
  <c r="CJ182" i="26"/>
  <c r="CI182" i="26"/>
  <c r="AG229" i="32" s="1"/>
  <c r="BZ182" i="26"/>
  <c r="BY182" i="26"/>
  <c r="AF229" i="32" s="1"/>
  <c r="BP182" i="26"/>
  <c r="BO182" i="26"/>
  <c r="AE229" i="32" s="1"/>
  <c r="BF182" i="26"/>
  <c r="BE182" i="26"/>
  <c r="AD229" i="32" s="1"/>
  <c r="AV182" i="26"/>
  <c r="AU182" i="26"/>
  <c r="AC229" i="32" s="1"/>
  <c r="AL182" i="26"/>
  <c r="AK182" i="26"/>
  <c r="AB229" i="32" s="1"/>
  <c r="AB182" i="26"/>
  <c r="AA182" i="26"/>
  <c r="AA229" i="32" s="1"/>
  <c r="T182" i="26"/>
  <c r="FU181" i="26"/>
  <c r="FR181" i="26"/>
  <c r="FS181" i="26" s="1"/>
  <c r="FO181" i="26"/>
  <c r="FN181" i="26"/>
  <c r="FM181" i="26"/>
  <c r="FL181" i="26"/>
  <c r="FG181" i="26"/>
  <c r="FF181" i="26"/>
  <c r="FE181" i="26"/>
  <c r="FC181" i="26"/>
  <c r="FB181" i="26"/>
  <c r="EY181" i="26"/>
  <c r="EX181" i="26"/>
  <c r="EW181" i="26"/>
  <c r="EU181" i="26"/>
  <c r="ET181" i="26"/>
  <c r="EH181" i="26"/>
  <c r="EG181" i="26"/>
  <c r="AL228" i="32" s="1"/>
  <c r="DX181" i="26"/>
  <c r="DW181" i="26"/>
  <c r="AK228" i="32" s="1"/>
  <c r="DN181" i="26"/>
  <c r="DM181" i="26"/>
  <c r="AJ228" i="32" s="1"/>
  <c r="DD181" i="26"/>
  <c r="DC181" i="26"/>
  <c r="AI228" i="32" s="1"/>
  <c r="CT181" i="26"/>
  <c r="CS181" i="26"/>
  <c r="AH228" i="32" s="1"/>
  <c r="CJ181" i="26"/>
  <c r="CI181" i="26"/>
  <c r="AG228" i="32" s="1"/>
  <c r="BZ181" i="26"/>
  <c r="BY181" i="26"/>
  <c r="AF228" i="32" s="1"/>
  <c r="BP181" i="26"/>
  <c r="BO181" i="26"/>
  <c r="AE228" i="32" s="1"/>
  <c r="BF181" i="26"/>
  <c r="BE181" i="26"/>
  <c r="AD228" i="32" s="1"/>
  <c r="AV181" i="26"/>
  <c r="AU181" i="26"/>
  <c r="AC228" i="32" s="1"/>
  <c r="AL181" i="26"/>
  <c r="AK181" i="26"/>
  <c r="AB228" i="32" s="1"/>
  <c r="AB181" i="26"/>
  <c r="AA181" i="26"/>
  <c r="AA228" i="32" s="1"/>
  <c r="T181" i="26"/>
  <c r="S181" i="26"/>
  <c r="S228" i="32" s="1"/>
  <c r="R181" i="26"/>
  <c r="R228" i="32" s="1"/>
  <c r="FU180" i="26"/>
  <c r="FR180" i="26"/>
  <c r="AS227" i="32" s="1"/>
  <c r="FG180" i="26"/>
  <c r="FF180" i="26"/>
  <c r="FE180" i="26"/>
  <c r="FC180" i="26"/>
  <c r="FB180" i="26"/>
  <c r="EY180" i="26"/>
  <c r="EX180" i="26"/>
  <c r="EW180" i="26"/>
  <c r="EU180" i="26"/>
  <c r="ET180" i="26"/>
  <c r="EH180" i="26"/>
  <c r="EG180" i="26"/>
  <c r="AL227" i="32" s="1"/>
  <c r="DX180" i="26"/>
  <c r="DW180" i="26"/>
  <c r="AK227" i="32" s="1"/>
  <c r="DN180" i="26"/>
  <c r="DM180" i="26"/>
  <c r="AJ227" i="32" s="1"/>
  <c r="DD180" i="26"/>
  <c r="DC180" i="26"/>
  <c r="AI227" i="32" s="1"/>
  <c r="CT180" i="26"/>
  <c r="CS180" i="26"/>
  <c r="AH227" i="32" s="1"/>
  <c r="CJ180" i="26"/>
  <c r="CI180" i="26"/>
  <c r="AG227" i="32" s="1"/>
  <c r="BZ180" i="26"/>
  <c r="BY180" i="26"/>
  <c r="AF227" i="32" s="1"/>
  <c r="BP180" i="26"/>
  <c r="BO180" i="26"/>
  <c r="AE227" i="32" s="1"/>
  <c r="BF180" i="26"/>
  <c r="BE180" i="26"/>
  <c r="AD227" i="32" s="1"/>
  <c r="AV180" i="26"/>
  <c r="AU180" i="26"/>
  <c r="AC227" i="32" s="1"/>
  <c r="AL180" i="26"/>
  <c r="AK180" i="26"/>
  <c r="AB227" i="32" s="1"/>
  <c r="AB180" i="26"/>
  <c r="AA180" i="26"/>
  <c r="AA227" i="32" s="1"/>
  <c r="T180" i="26"/>
  <c r="S180" i="26"/>
  <c r="S227" i="32" s="1"/>
  <c r="R180" i="26"/>
  <c r="R227" i="32" s="1"/>
  <c r="FU179" i="26"/>
  <c r="FR179" i="26"/>
  <c r="AS226" i="32" s="1"/>
  <c r="FG179" i="26"/>
  <c r="FF179" i="26"/>
  <c r="FE179" i="26"/>
  <c r="FC179" i="26"/>
  <c r="FB179" i="26"/>
  <c r="EY179" i="26"/>
  <c r="EX179" i="26"/>
  <c r="EW179" i="26"/>
  <c r="EU179" i="26"/>
  <c r="ET179" i="26"/>
  <c r="EH179" i="26"/>
  <c r="EG179" i="26"/>
  <c r="AL226" i="32" s="1"/>
  <c r="DX179" i="26"/>
  <c r="DW179" i="26"/>
  <c r="AK226" i="32" s="1"/>
  <c r="DN179" i="26"/>
  <c r="DM179" i="26"/>
  <c r="AJ226" i="32" s="1"/>
  <c r="DD179" i="26"/>
  <c r="DC179" i="26"/>
  <c r="AI226" i="32" s="1"/>
  <c r="CT179" i="26"/>
  <c r="CS179" i="26"/>
  <c r="AH226" i="32" s="1"/>
  <c r="CJ179" i="26"/>
  <c r="CI179" i="26"/>
  <c r="AG226" i="32" s="1"/>
  <c r="BZ179" i="26"/>
  <c r="BY179" i="26"/>
  <c r="AF226" i="32" s="1"/>
  <c r="BP179" i="26"/>
  <c r="BO179" i="26"/>
  <c r="AE226" i="32" s="1"/>
  <c r="BF179" i="26"/>
  <c r="BE179" i="26"/>
  <c r="AD226" i="32" s="1"/>
  <c r="AV179" i="26"/>
  <c r="AU179" i="26"/>
  <c r="AC226" i="32" s="1"/>
  <c r="AL179" i="26"/>
  <c r="AK179" i="26"/>
  <c r="AB226" i="32" s="1"/>
  <c r="AB179" i="26"/>
  <c r="AA179" i="26"/>
  <c r="AA226" i="32" s="1"/>
  <c r="T179" i="26"/>
  <c r="S179" i="26"/>
  <c r="V179" i="26" s="1"/>
  <c r="R179" i="26"/>
  <c r="R226" i="32" s="1"/>
  <c r="FU178" i="26"/>
  <c r="FR178" i="26"/>
  <c r="FS178" i="26" s="1"/>
  <c r="FG178" i="26"/>
  <c r="FF178" i="26"/>
  <c r="FE178" i="26"/>
  <c r="FC178" i="26"/>
  <c r="FB178" i="26"/>
  <c r="EY178" i="26"/>
  <c r="EX178" i="26"/>
  <c r="EW178" i="26"/>
  <c r="EU178" i="26"/>
  <c r="ET178" i="26"/>
  <c r="EH178" i="26"/>
  <c r="EG178" i="26"/>
  <c r="AL225" i="32" s="1"/>
  <c r="DX178" i="26"/>
  <c r="DW178" i="26"/>
  <c r="AK225" i="32" s="1"/>
  <c r="DN178" i="26"/>
  <c r="DM178" i="26"/>
  <c r="AJ225" i="32" s="1"/>
  <c r="DD178" i="26"/>
  <c r="DC178" i="26"/>
  <c r="AI225" i="32" s="1"/>
  <c r="CT178" i="26"/>
  <c r="CS178" i="26"/>
  <c r="AH225" i="32" s="1"/>
  <c r="CJ178" i="26"/>
  <c r="CI178" i="26"/>
  <c r="AG225" i="32" s="1"/>
  <c r="BZ178" i="26"/>
  <c r="BY178" i="26"/>
  <c r="AF225" i="32" s="1"/>
  <c r="BP178" i="26"/>
  <c r="BO178" i="26"/>
  <c r="AE225" i="32" s="1"/>
  <c r="BF178" i="26"/>
  <c r="BE178" i="26"/>
  <c r="AD225" i="32" s="1"/>
  <c r="AV178" i="26"/>
  <c r="AU178" i="26"/>
  <c r="AC225" i="32" s="1"/>
  <c r="AL178" i="26"/>
  <c r="AK178" i="26"/>
  <c r="AB225" i="32" s="1"/>
  <c r="AB178" i="26"/>
  <c r="AA178" i="26"/>
  <c r="AA225" i="32" s="1"/>
  <c r="T178" i="26"/>
  <c r="S178" i="26"/>
  <c r="V178" i="26" s="1"/>
  <c r="R178" i="26"/>
  <c r="R225" i="32" s="1"/>
  <c r="EH177" i="26"/>
  <c r="EG177" i="26"/>
  <c r="AL224" i="32" s="1"/>
  <c r="DX177" i="26"/>
  <c r="DW177" i="26"/>
  <c r="AK224" i="32" s="1"/>
  <c r="DN177" i="26"/>
  <c r="DM177" i="26"/>
  <c r="AJ224" i="32" s="1"/>
  <c r="DD177" i="26"/>
  <c r="DC177" i="26"/>
  <c r="AI224" i="32" s="1"/>
  <c r="CT177" i="26"/>
  <c r="CS177" i="26"/>
  <c r="AH224" i="32" s="1"/>
  <c r="CJ177" i="26"/>
  <c r="CI177" i="26"/>
  <c r="AG224" i="32" s="1"/>
  <c r="BZ177" i="26"/>
  <c r="BY177" i="26"/>
  <c r="AF224" i="32" s="1"/>
  <c r="BP177" i="26"/>
  <c r="BO177" i="26"/>
  <c r="AE224" i="32" s="1"/>
  <c r="BF177" i="26"/>
  <c r="BE177" i="26"/>
  <c r="AD224" i="32" s="1"/>
  <c r="AV177" i="26"/>
  <c r="AU177" i="26"/>
  <c r="AC224" i="32" s="1"/>
  <c r="AL177" i="26"/>
  <c r="AK177" i="26"/>
  <c r="AB224" i="32" s="1"/>
  <c r="AB177" i="26"/>
  <c r="T177" i="26"/>
  <c r="Q177" i="26"/>
  <c r="Q224" i="32" s="1"/>
  <c r="FU176" i="26"/>
  <c r="FR176" i="26"/>
  <c r="AS223" i="32" s="1"/>
  <c r="FO176" i="26"/>
  <c r="FN176" i="26"/>
  <c r="FM176" i="26"/>
  <c r="FL176" i="26"/>
  <c r="EH176" i="26"/>
  <c r="EG176" i="26"/>
  <c r="AL223" i="32" s="1"/>
  <c r="DX176" i="26"/>
  <c r="DW176" i="26"/>
  <c r="AK223" i="32" s="1"/>
  <c r="DN176" i="26"/>
  <c r="DM176" i="26"/>
  <c r="AJ223" i="32" s="1"/>
  <c r="DD176" i="26"/>
  <c r="DC176" i="26"/>
  <c r="AI223" i="32" s="1"/>
  <c r="CT176" i="26"/>
  <c r="CS176" i="26"/>
  <c r="AH223" i="32" s="1"/>
  <c r="CJ176" i="26"/>
  <c r="CI176" i="26"/>
  <c r="AG223" i="32" s="1"/>
  <c r="BZ176" i="26"/>
  <c r="BY176" i="26"/>
  <c r="AF223" i="32" s="1"/>
  <c r="BP176" i="26"/>
  <c r="BO176" i="26"/>
  <c r="AE223" i="32" s="1"/>
  <c r="BF176" i="26"/>
  <c r="BE176" i="26"/>
  <c r="AD223" i="32" s="1"/>
  <c r="AV176" i="26"/>
  <c r="AU176" i="26"/>
  <c r="AC223" i="32" s="1"/>
  <c r="AL176" i="26"/>
  <c r="AK176" i="26"/>
  <c r="AB223" i="32" s="1"/>
  <c r="AB176" i="26"/>
  <c r="AA176" i="26"/>
  <c r="AA223" i="32" s="1"/>
  <c r="T176" i="26"/>
  <c r="FU175" i="26"/>
  <c r="FR175" i="26"/>
  <c r="AS222" i="32" s="1"/>
  <c r="FO175" i="26"/>
  <c r="FN175" i="26"/>
  <c r="FM175" i="26"/>
  <c r="FL175" i="26"/>
  <c r="FG175" i="26"/>
  <c r="FF175" i="26"/>
  <c r="FE175" i="26"/>
  <c r="FC175" i="26"/>
  <c r="FB175" i="26"/>
  <c r="EY175" i="26"/>
  <c r="EX175" i="26"/>
  <c r="EW175" i="26"/>
  <c r="EU175" i="26"/>
  <c r="ET175" i="26"/>
  <c r="EH175" i="26"/>
  <c r="EG175" i="26"/>
  <c r="AL222" i="32" s="1"/>
  <c r="DX175" i="26"/>
  <c r="DW175" i="26"/>
  <c r="AK222" i="32" s="1"/>
  <c r="DN175" i="26"/>
  <c r="DM175" i="26"/>
  <c r="AJ222" i="32" s="1"/>
  <c r="DD175" i="26"/>
  <c r="DC175" i="26"/>
  <c r="AI222" i="32" s="1"/>
  <c r="CT175" i="26"/>
  <c r="CS175" i="26"/>
  <c r="AH222" i="32" s="1"/>
  <c r="CJ175" i="26"/>
  <c r="CI175" i="26"/>
  <c r="AG222" i="32" s="1"/>
  <c r="BZ175" i="26"/>
  <c r="BY175" i="26"/>
  <c r="AF222" i="32" s="1"/>
  <c r="BP175" i="26"/>
  <c r="BO175" i="26"/>
  <c r="AE222" i="32" s="1"/>
  <c r="BF175" i="26"/>
  <c r="BE175" i="26"/>
  <c r="AD222" i="32" s="1"/>
  <c r="AV175" i="26"/>
  <c r="AU175" i="26"/>
  <c r="AC222" i="32" s="1"/>
  <c r="AL175" i="26"/>
  <c r="AK175" i="26"/>
  <c r="AB222" i="32" s="1"/>
  <c r="AB175" i="26"/>
  <c r="AA175" i="26"/>
  <c r="AA222" i="32" s="1"/>
  <c r="T175" i="26"/>
  <c r="S175" i="26"/>
  <c r="S222" i="32" s="1"/>
  <c r="R175" i="26"/>
  <c r="R222" i="32" s="1"/>
  <c r="FU174" i="26"/>
  <c r="FR174" i="26"/>
  <c r="AS221" i="32" s="1"/>
  <c r="FG174" i="26"/>
  <c r="FF174" i="26"/>
  <c r="FE174" i="26"/>
  <c r="FC174" i="26"/>
  <c r="FB174" i="26"/>
  <c r="EY174" i="26"/>
  <c r="EX174" i="26"/>
  <c r="EW174" i="26"/>
  <c r="EU174" i="26"/>
  <c r="ET174" i="26"/>
  <c r="EH174" i="26"/>
  <c r="EG174" i="26"/>
  <c r="AL221" i="32" s="1"/>
  <c r="DX174" i="26"/>
  <c r="DW174" i="26"/>
  <c r="AK221" i="32" s="1"/>
  <c r="DN174" i="26"/>
  <c r="DM174" i="26"/>
  <c r="AJ221" i="32" s="1"/>
  <c r="DD174" i="26"/>
  <c r="DC174" i="26"/>
  <c r="AI221" i="32" s="1"/>
  <c r="CT174" i="26"/>
  <c r="CS174" i="26"/>
  <c r="AH221" i="32" s="1"/>
  <c r="CJ174" i="26"/>
  <c r="CI174" i="26"/>
  <c r="AG221" i="32" s="1"/>
  <c r="BZ174" i="26"/>
  <c r="BY174" i="26"/>
  <c r="AF221" i="32" s="1"/>
  <c r="BP174" i="26"/>
  <c r="BO174" i="26"/>
  <c r="AE221" i="32" s="1"/>
  <c r="BF174" i="26"/>
  <c r="BE174" i="26"/>
  <c r="AD221" i="32" s="1"/>
  <c r="AV174" i="26"/>
  <c r="AU174" i="26"/>
  <c r="AC221" i="32" s="1"/>
  <c r="AL174" i="26"/>
  <c r="AK174" i="26"/>
  <c r="AB221" i="32" s="1"/>
  <c r="AB174" i="26"/>
  <c r="AA174" i="26"/>
  <c r="AA221" i="32" s="1"/>
  <c r="T174" i="26"/>
  <c r="S174" i="26"/>
  <c r="S221" i="32" s="1"/>
  <c r="R174" i="26"/>
  <c r="R221" i="32" s="1"/>
  <c r="FU173" i="26"/>
  <c r="FR173" i="26"/>
  <c r="AS220" i="32" s="1"/>
  <c r="FG173" i="26"/>
  <c r="FF173" i="26"/>
  <c r="FE173" i="26"/>
  <c r="FC173" i="26"/>
  <c r="FB173" i="26"/>
  <c r="EY173" i="26"/>
  <c r="EX173" i="26"/>
  <c r="EW173" i="26"/>
  <c r="EU173" i="26"/>
  <c r="ET173" i="26"/>
  <c r="EH173" i="26"/>
  <c r="EG173" i="26"/>
  <c r="AL220" i="32" s="1"/>
  <c r="DX173" i="26"/>
  <c r="DW173" i="26"/>
  <c r="AK220" i="32" s="1"/>
  <c r="DN173" i="26"/>
  <c r="DM173" i="26"/>
  <c r="AJ220" i="32" s="1"/>
  <c r="DD173" i="26"/>
  <c r="DC173" i="26"/>
  <c r="AI220" i="32" s="1"/>
  <c r="CT173" i="26"/>
  <c r="CS173" i="26"/>
  <c r="AH220" i="32" s="1"/>
  <c r="CJ173" i="26"/>
  <c r="CI173" i="26"/>
  <c r="AG220" i="32" s="1"/>
  <c r="BZ173" i="26"/>
  <c r="BY173" i="26"/>
  <c r="AF220" i="32" s="1"/>
  <c r="BP173" i="26"/>
  <c r="BO173" i="26"/>
  <c r="AE220" i="32" s="1"/>
  <c r="BF173" i="26"/>
  <c r="BE173" i="26"/>
  <c r="AD220" i="32" s="1"/>
  <c r="AV173" i="26"/>
  <c r="AU173" i="26"/>
  <c r="AC220" i="32" s="1"/>
  <c r="AL173" i="26"/>
  <c r="AK173" i="26"/>
  <c r="AB220" i="32" s="1"/>
  <c r="AB173" i="26"/>
  <c r="AA173" i="26"/>
  <c r="AA220" i="32" s="1"/>
  <c r="T173" i="26"/>
  <c r="S173" i="26"/>
  <c r="V173" i="26" s="1"/>
  <c r="R173" i="26"/>
  <c r="R220" i="32" s="1"/>
  <c r="FU172" i="26"/>
  <c r="FR172" i="26"/>
  <c r="FS172" i="26" s="1"/>
  <c r="FG172" i="26"/>
  <c r="FF172" i="26"/>
  <c r="FE172" i="26"/>
  <c r="FC172" i="26"/>
  <c r="FB172" i="26"/>
  <c r="EY172" i="26"/>
  <c r="EX172" i="26"/>
  <c r="EW172" i="26"/>
  <c r="EU172" i="26"/>
  <c r="ET172" i="26"/>
  <c r="EH172" i="26"/>
  <c r="EG172" i="26"/>
  <c r="AL219" i="32" s="1"/>
  <c r="DX172" i="26"/>
  <c r="DW172" i="26"/>
  <c r="AK219" i="32" s="1"/>
  <c r="DN172" i="26"/>
  <c r="DM172" i="26"/>
  <c r="AJ219" i="32" s="1"/>
  <c r="DD172" i="26"/>
  <c r="DC172" i="26"/>
  <c r="AI219" i="32" s="1"/>
  <c r="CT172" i="26"/>
  <c r="CS172" i="26"/>
  <c r="AH219" i="32" s="1"/>
  <c r="CJ172" i="26"/>
  <c r="CI172" i="26"/>
  <c r="AG219" i="32" s="1"/>
  <c r="BZ172" i="26"/>
  <c r="BY172" i="26"/>
  <c r="AF219" i="32" s="1"/>
  <c r="BP172" i="26"/>
  <c r="BO172" i="26"/>
  <c r="AE219" i="32" s="1"/>
  <c r="BF172" i="26"/>
  <c r="BE172" i="26"/>
  <c r="AD219" i="32" s="1"/>
  <c r="AV172" i="26"/>
  <c r="AU172" i="26"/>
  <c r="AC219" i="32" s="1"/>
  <c r="AL172" i="26"/>
  <c r="AK172" i="26"/>
  <c r="AB172" i="26"/>
  <c r="AA172" i="26"/>
  <c r="AA219" i="32" s="1"/>
  <c r="T172" i="26"/>
  <c r="S172" i="26"/>
  <c r="S219" i="32" s="1"/>
  <c r="R172" i="26"/>
  <c r="EH171" i="26"/>
  <c r="EG171" i="26"/>
  <c r="AL218" i="32" s="1"/>
  <c r="DX171" i="26"/>
  <c r="DW171" i="26"/>
  <c r="AK218" i="32" s="1"/>
  <c r="DN171" i="26"/>
  <c r="DM171" i="26"/>
  <c r="AJ218" i="32" s="1"/>
  <c r="DD171" i="26"/>
  <c r="DC171" i="26"/>
  <c r="AI218" i="32" s="1"/>
  <c r="CT171" i="26"/>
  <c r="CS171" i="26"/>
  <c r="AH218" i="32" s="1"/>
  <c r="CJ171" i="26"/>
  <c r="CI171" i="26"/>
  <c r="AG218" i="32" s="1"/>
  <c r="BZ171" i="26"/>
  <c r="BY171" i="26"/>
  <c r="AF218" i="32" s="1"/>
  <c r="BP171" i="26"/>
  <c r="BO171" i="26"/>
  <c r="AE218" i="32" s="1"/>
  <c r="BF171" i="26"/>
  <c r="BE171" i="26"/>
  <c r="AD218" i="32" s="1"/>
  <c r="AV171" i="26"/>
  <c r="AU171" i="26"/>
  <c r="AC218" i="32" s="1"/>
  <c r="AL171" i="26"/>
  <c r="AK171" i="26"/>
  <c r="AB218" i="32" s="1"/>
  <c r="AB171" i="26"/>
  <c r="T171" i="26"/>
  <c r="S111" i="26" s="1"/>
  <c r="Q171" i="26"/>
  <c r="Q212" i="32" s="1"/>
  <c r="FU170" i="26"/>
  <c r="FO170" i="26"/>
  <c r="FN170" i="26"/>
  <c r="FM170" i="26"/>
  <c r="FL170" i="26"/>
  <c r="EH170" i="26"/>
  <c r="EG170" i="26"/>
  <c r="AL217" i="32" s="1"/>
  <c r="DX170" i="26"/>
  <c r="DW170" i="26"/>
  <c r="AK217" i="32" s="1"/>
  <c r="DN170" i="26"/>
  <c r="DM170" i="26"/>
  <c r="AJ217" i="32" s="1"/>
  <c r="DD170" i="26"/>
  <c r="DC170" i="26"/>
  <c r="AI217" i="32" s="1"/>
  <c r="CT170" i="26"/>
  <c r="CS170" i="26"/>
  <c r="AH217" i="32" s="1"/>
  <c r="CJ170" i="26"/>
  <c r="CI170" i="26"/>
  <c r="AG217" i="32" s="1"/>
  <c r="BZ170" i="26"/>
  <c r="BY170" i="26"/>
  <c r="AF217" i="32" s="1"/>
  <c r="BP170" i="26"/>
  <c r="BO170" i="26"/>
  <c r="AE217" i="32" s="1"/>
  <c r="BF170" i="26"/>
  <c r="BE170" i="26"/>
  <c r="AD217" i="32" s="1"/>
  <c r="AV170" i="26"/>
  <c r="AU170" i="26"/>
  <c r="AC217" i="32" s="1"/>
  <c r="AL170" i="26"/>
  <c r="AK170" i="26"/>
  <c r="AB217" i="32" s="1"/>
  <c r="AB170" i="26"/>
  <c r="AA170" i="26"/>
  <c r="AA217" i="32" s="1"/>
  <c r="T170" i="26"/>
  <c r="FU169" i="26"/>
  <c r="FO169" i="26"/>
  <c r="FN169" i="26"/>
  <c r="FM169" i="26"/>
  <c r="FL169" i="26"/>
  <c r="FG169" i="26"/>
  <c r="FF169" i="26"/>
  <c r="FE169" i="26"/>
  <c r="FC169" i="26"/>
  <c r="EY169" i="26"/>
  <c r="EX169" i="26"/>
  <c r="EW169" i="26"/>
  <c r="EU169" i="26"/>
  <c r="EH169" i="26"/>
  <c r="EG169" i="26"/>
  <c r="AL216" i="32" s="1"/>
  <c r="DX169" i="26"/>
  <c r="DW169" i="26"/>
  <c r="AK216" i="32" s="1"/>
  <c r="DN169" i="26"/>
  <c r="DM169" i="26"/>
  <c r="AJ216" i="32" s="1"/>
  <c r="DD169" i="26"/>
  <c r="DC169" i="26"/>
  <c r="AI216" i="32" s="1"/>
  <c r="CT169" i="26"/>
  <c r="CS169" i="26"/>
  <c r="AH216" i="32" s="1"/>
  <c r="CJ169" i="26"/>
  <c r="CI169" i="26"/>
  <c r="AG216" i="32" s="1"/>
  <c r="BZ169" i="26"/>
  <c r="BY169" i="26"/>
  <c r="AF216" i="32" s="1"/>
  <c r="BP169" i="26"/>
  <c r="BO169" i="26"/>
  <c r="AE216" i="32" s="1"/>
  <c r="BF169" i="26"/>
  <c r="BE169" i="26"/>
  <c r="AD216" i="32" s="1"/>
  <c r="AV169" i="26"/>
  <c r="AU169" i="26"/>
  <c r="AC216" i="32" s="1"/>
  <c r="AL169" i="26"/>
  <c r="AK169" i="26"/>
  <c r="AB216" i="32" s="1"/>
  <c r="AB169" i="26"/>
  <c r="AA169" i="26"/>
  <c r="AA216" i="32" s="1"/>
  <c r="T169" i="26"/>
  <c r="S169" i="26"/>
  <c r="V169" i="26" s="1"/>
  <c r="R169" i="26"/>
  <c r="R210" i="32" s="1"/>
  <c r="FU168" i="26"/>
  <c r="FG168" i="26"/>
  <c r="FF168" i="26"/>
  <c r="FE168" i="26"/>
  <c r="FC168" i="26"/>
  <c r="EY168" i="26"/>
  <c r="EX168" i="26"/>
  <c r="EW168" i="26"/>
  <c r="EU168" i="26"/>
  <c r="EH168" i="26"/>
  <c r="EG168" i="26"/>
  <c r="AL215" i="32" s="1"/>
  <c r="DX168" i="26"/>
  <c r="DW168" i="26"/>
  <c r="AK215" i="32" s="1"/>
  <c r="DN168" i="26"/>
  <c r="DM168" i="26"/>
  <c r="AJ215" i="32" s="1"/>
  <c r="DD168" i="26"/>
  <c r="DC168" i="26"/>
  <c r="AI215" i="32" s="1"/>
  <c r="CT168" i="26"/>
  <c r="CS168" i="26"/>
  <c r="AH215" i="32" s="1"/>
  <c r="CJ168" i="26"/>
  <c r="CI168" i="26"/>
  <c r="AG215" i="32" s="1"/>
  <c r="BZ168" i="26"/>
  <c r="BY168" i="26"/>
  <c r="AF215" i="32" s="1"/>
  <c r="BP168" i="26"/>
  <c r="BO168" i="26"/>
  <c r="AE215" i="32" s="1"/>
  <c r="BF168" i="26"/>
  <c r="BE168" i="26"/>
  <c r="AD215" i="32" s="1"/>
  <c r="AV168" i="26"/>
  <c r="AU168" i="26"/>
  <c r="AC215" i="32" s="1"/>
  <c r="AL168" i="26"/>
  <c r="AK168" i="26"/>
  <c r="AB215" i="32" s="1"/>
  <c r="AB168" i="26"/>
  <c r="AA168" i="26"/>
  <c r="AA215" i="32" s="1"/>
  <c r="T168" i="26"/>
  <c r="S168" i="26"/>
  <c r="V168" i="26" s="1"/>
  <c r="R168" i="26"/>
  <c r="R209" i="32" s="1"/>
  <c r="FU167" i="26"/>
  <c r="FG167" i="26"/>
  <c r="FF167" i="26"/>
  <c r="FE167" i="26"/>
  <c r="FC167" i="26"/>
  <c r="EY167" i="26"/>
  <c r="EX167" i="26"/>
  <c r="EW167" i="26"/>
  <c r="EU167" i="26"/>
  <c r="EH167" i="26"/>
  <c r="EG167" i="26"/>
  <c r="AL214" i="32" s="1"/>
  <c r="DX167" i="26"/>
  <c r="DW167" i="26"/>
  <c r="AK214" i="32" s="1"/>
  <c r="DN167" i="26"/>
  <c r="DM167" i="26"/>
  <c r="AJ214" i="32" s="1"/>
  <c r="DD167" i="26"/>
  <c r="DC167" i="26"/>
  <c r="AI214" i="32" s="1"/>
  <c r="CT167" i="26"/>
  <c r="CS167" i="26"/>
  <c r="AH214" i="32" s="1"/>
  <c r="CJ167" i="26"/>
  <c r="CI167" i="26"/>
  <c r="AG214" i="32" s="1"/>
  <c r="BZ167" i="26"/>
  <c r="BY167" i="26"/>
  <c r="AF214" i="32" s="1"/>
  <c r="BP167" i="26"/>
  <c r="BO167" i="26"/>
  <c r="AE214" i="32" s="1"/>
  <c r="BF167" i="26"/>
  <c r="BE167" i="26"/>
  <c r="AD214" i="32" s="1"/>
  <c r="AV167" i="26"/>
  <c r="AU167" i="26"/>
  <c r="AC214" i="32" s="1"/>
  <c r="AL167" i="26"/>
  <c r="AK167" i="26"/>
  <c r="AB214" i="32" s="1"/>
  <c r="AB167" i="26"/>
  <c r="AA167" i="26"/>
  <c r="AA214" i="32" s="1"/>
  <c r="T167" i="26"/>
  <c r="S167" i="26"/>
  <c r="S208" i="32" s="1"/>
  <c r="R167" i="26"/>
  <c r="R208" i="32" s="1"/>
  <c r="FU166" i="26"/>
  <c r="FG166" i="26"/>
  <c r="FF166" i="26"/>
  <c r="FE166" i="26"/>
  <c r="FC166" i="26"/>
  <c r="EY166" i="26"/>
  <c r="EX166" i="26"/>
  <c r="EW166" i="26"/>
  <c r="EU166" i="26"/>
  <c r="EH166" i="26"/>
  <c r="EG166" i="26"/>
  <c r="AL213" i="32" s="1"/>
  <c r="DX166" i="26"/>
  <c r="DW166" i="26"/>
  <c r="AK213" i="32" s="1"/>
  <c r="DN166" i="26"/>
  <c r="DM166" i="26"/>
  <c r="AJ213" i="32" s="1"/>
  <c r="DD166" i="26"/>
  <c r="DC166" i="26"/>
  <c r="AI213" i="32" s="1"/>
  <c r="CT166" i="26"/>
  <c r="CS166" i="26"/>
  <c r="AH213" i="32" s="1"/>
  <c r="CJ166" i="26"/>
  <c r="CI166" i="26"/>
  <c r="AG213" i="32" s="1"/>
  <c r="BZ166" i="26"/>
  <c r="BY166" i="26"/>
  <c r="AF213" i="32" s="1"/>
  <c r="BP166" i="26"/>
  <c r="BO166" i="26"/>
  <c r="AE213" i="32" s="1"/>
  <c r="BF166" i="26"/>
  <c r="BE166" i="26"/>
  <c r="AD213" i="32" s="1"/>
  <c r="AV166" i="26"/>
  <c r="AU166" i="26"/>
  <c r="AC213" i="32" s="1"/>
  <c r="AL166" i="26"/>
  <c r="AK166" i="26"/>
  <c r="AB166" i="26"/>
  <c r="AA166" i="26"/>
  <c r="AA213" i="32" s="1"/>
  <c r="T166" i="26"/>
  <c r="S166" i="26"/>
  <c r="S207" i="32" s="1"/>
  <c r="R166" i="26"/>
  <c r="R207" i="32" s="1"/>
  <c r="EH165" i="26"/>
  <c r="EG165" i="26"/>
  <c r="AL212" i="32" s="1"/>
  <c r="DX165" i="26"/>
  <c r="DW165" i="26"/>
  <c r="AK212" i="32" s="1"/>
  <c r="DN165" i="26"/>
  <c r="DM165" i="26"/>
  <c r="AJ212" i="32" s="1"/>
  <c r="DD165" i="26"/>
  <c r="DC165" i="26"/>
  <c r="AI212" i="32" s="1"/>
  <c r="CT165" i="26"/>
  <c r="CS165" i="26"/>
  <c r="AH212" i="32" s="1"/>
  <c r="CJ165" i="26"/>
  <c r="CI165" i="26"/>
  <c r="AG212" i="32" s="1"/>
  <c r="BZ165" i="26"/>
  <c r="BY165" i="26"/>
  <c r="AF212" i="32" s="1"/>
  <c r="BP165" i="26"/>
  <c r="BO165" i="26"/>
  <c r="AE212" i="32" s="1"/>
  <c r="BF165" i="26"/>
  <c r="BE165" i="26"/>
  <c r="AD212" i="32" s="1"/>
  <c r="AV165" i="26"/>
  <c r="AU165" i="26"/>
  <c r="AC212" i="32" s="1"/>
  <c r="AL165" i="26"/>
  <c r="AK165" i="26"/>
  <c r="AB212" i="32" s="1"/>
  <c r="AB165" i="26"/>
  <c r="T165" i="26"/>
  <c r="S110" i="26" s="1"/>
  <c r="Q165" i="26"/>
  <c r="Q218" i="32" s="1"/>
  <c r="FU164" i="26"/>
  <c r="FR164" i="26"/>
  <c r="FS164" i="26" s="1"/>
  <c r="FO164" i="26"/>
  <c r="FN164" i="26"/>
  <c r="FM164" i="26"/>
  <c r="FL164" i="26"/>
  <c r="EH164" i="26"/>
  <c r="EG164" i="26"/>
  <c r="AL211" i="32" s="1"/>
  <c r="DX164" i="26"/>
  <c r="DW164" i="26"/>
  <c r="AK211" i="32" s="1"/>
  <c r="DN164" i="26"/>
  <c r="DM164" i="26"/>
  <c r="AJ211" i="32" s="1"/>
  <c r="DD164" i="26"/>
  <c r="DC164" i="26"/>
  <c r="AI211" i="32" s="1"/>
  <c r="CT164" i="26"/>
  <c r="CS164" i="26"/>
  <c r="AH211" i="32" s="1"/>
  <c r="CJ164" i="26"/>
  <c r="CI164" i="26"/>
  <c r="AG211" i="32" s="1"/>
  <c r="BZ164" i="26"/>
  <c r="BY164" i="26"/>
  <c r="AF211" i="32" s="1"/>
  <c r="BP164" i="26"/>
  <c r="BO164" i="26"/>
  <c r="AE211" i="32" s="1"/>
  <c r="BF164" i="26"/>
  <c r="BE164" i="26"/>
  <c r="AD211" i="32" s="1"/>
  <c r="AV164" i="26"/>
  <c r="AU164" i="26"/>
  <c r="AC211" i="32" s="1"/>
  <c r="AL164" i="26"/>
  <c r="AK164" i="26"/>
  <c r="AB211" i="32" s="1"/>
  <c r="AB164" i="26"/>
  <c r="AA164" i="26"/>
  <c r="AA211" i="32" s="1"/>
  <c r="T164" i="26"/>
  <c r="FU163" i="26"/>
  <c r="FR163" i="26"/>
  <c r="AS210" i="32" s="1"/>
  <c r="FO163" i="26"/>
  <c r="FN163" i="26"/>
  <c r="FM163" i="26"/>
  <c r="FL163" i="26"/>
  <c r="FG163" i="26"/>
  <c r="FF163" i="26"/>
  <c r="FE163" i="26"/>
  <c r="FC163" i="26"/>
  <c r="FB163" i="26"/>
  <c r="EY163" i="26"/>
  <c r="EX163" i="26"/>
  <c r="EW163" i="26"/>
  <c r="EU163" i="26"/>
  <c r="ET163" i="26"/>
  <c r="EH163" i="26"/>
  <c r="EG163" i="26"/>
  <c r="AL210" i="32" s="1"/>
  <c r="DX163" i="26"/>
  <c r="DW163" i="26"/>
  <c r="AK210" i="32" s="1"/>
  <c r="DN163" i="26"/>
  <c r="DM163" i="26"/>
  <c r="AJ210" i="32" s="1"/>
  <c r="DD163" i="26"/>
  <c r="DC163" i="26"/>
  <c r="AI210" i="32" s="1"/>
  <c r="CT163" i="26"/>
  <c r="CS163" i="26"/>
  <c r="AH210" i="32" s="1"/>
  <c r="CJ163" i="26"/>
  <c r="CI163" i="26"/>
  <c r="AG210" i="32" s="1"/>
  <c r="BZ163" i="26"/>
  <c r="BY163" i="26"/>
  <c r="AF210" i="32" s="1"/>
  <c r="BP163" i="26"/>
  <c r="BO163" i="26"/>
  <c r="AE210" i="32" s="1"/>
  <c r="BF163" i="26"/>
  <c r="BE163" i="26"/>
  <c r="AD210" i="32" s="1"/>
  <c r="AV163" i="26"/>
  <c r="AU163" i="26"/>
  <c r="AC210" i="32" s="1"/>
  <c r="AL163" i="26"/>
  <c r="AK163" i="26"/>
  <c r="AB210" i="32" s="1"/>
  <c r="AB163" i="26"/>
  <c r="AA163" i="26"/>
  <c r="AA210" i="32" s="1"/>
  <c r="T163" i="26"/>
  <c r="S163" i="26"/>
  <c r="V163" i="26" s="1"/>
  <c r="R163" i="26"/>
  <c r="R216" i="32" s="1"/>
  <c r="FU162" i="26"/>
  <c r="FR162" i="26"/>
  <c r="FS162" i="26" s="1"/>
  <c r="FG162" i="26"/>
  <c r="FF162" i="26"/>
  <c r="FE162" i="26"/>
  <c r="FC162" i="26"/>
  <c r="FB162" i="26"/>
  <c r="EY162" i="26"/>
  <c r="EX162" i="26"/>
  <c r="EW162" i="26"/>
  <c r="EU162" i="26"/>
  <c r="ET162" i="26"/>
  <c r="EH162" i="26"/>
  <c r="EG162" i="26"/>
  <c r="AL209" i="32" s="1"/>
  <c r="DX162" i="26"/>
  <c r="DW162" i="26"/>
  <c r="AK209" i="32" s="1"/>
  <c r="DN162" i="26"/>
  <c r="DM162" i="26"/>
  <c r="AJ209" i="32" s="1"/>
  <c r="DD162" i="26"/>
  <c r="DC162" i="26"/>
  <c r="AI209" i="32" s="1"/>
  <c r="CT162" i="26"/>
  <c r="CS162" i="26"/>
  <c r="AH209" i="32" s="1"/>
  <c r="CJ162" i="26"/>
  <c r="CI162" i="26"/>
  <c r="AG209" i="32" s="1"/>
  <c r="BZ162" i="26"/>
  <c r="BY162" i="26"/>
  <c r="AF209" i="32" s="1"/>
  <c r="BP162" i="26"/>
  <c r="BO162" i="26"/>
  <c r="AE209" i="32" s="1"/>
  <c r="BF162" i="26"/>
  <c r="BE162" i="26"/>
  <c r="AD209" i="32" s="1"/>
  <c r="AV162" i="26"/>
  <c r="AU162" i="26"/>
  <c r="AC209" i="32" s="1"/>
  <c r="AL162" i="26"/>
  <c r="AK162" i="26"/>
  <c r="AB209" i="32" s="1"/>
  <c r="AB162" i="26"/>
  <c r="AA162" i="26"/>
  <c r="AA209" i="32" s="1"/>
  <c r="T162" i="26"/>
  <c r="S162" i="26"/>
  <c r="S215" i="32" s="1"/>
  <c r="R162" i="26"/>
  <c r="R215" i="32" s="1"/>
  <c r="FU161" i="26"/>
  <c r="FR161" i="26"/>
  <c r="FS161" i="26" s="1"/>
  <c r="FG161" i="26"/>
  <c r="FF161" i="26"/>
  <c r="FE161" i="26"/>
  <c r="FC161" i="26"/>
  <c r="FB161" i="26"/>
  <c r="EY161" i="26"/>
  <c r="EX161" i="26"/>
  <c r="EW161" i="26"/>
  <c r="EU161" i="26"/>
  <c r="ET161" i="26"/>
  <c r="EH161" i="26"/>
  <c r="EG161" i="26"/>
  <c r="AL208" i="32" s="1"/>
  <c r="DX161" i="26"/>
  <c r="DW161" i="26"/>
  <c r="AK208" i="32" s="1"/>
  <c r="DN161" i="26"/>
  <c r="DM161" i="26"/>
  <c r="AJ208" i="32" s="1"/>
  <c r="DD161" i="26"/>
  <c r="DC161" i="26"/>
  <c r="AI208" i="32" s="1"/>
  <c r="CT161" i="26"/>
  <c r="CS161" i="26"/>
  <c r="AH208" i="32" s="1"/>
  <c r="CJ161" i="26"/>
  <c r="CI161" i="26"/>
  <c r="AG208" i="32" s="1"/>
  <c r="BZ161" i="26"/>
  <c r="BY161" i="26"/>
  <c r="AF208" i="32" s="1"/>
  <c r="BP161" i="26"/>
  <c r="BO161" i="26"/>
  <c r="AE208" i="32" s="1"/>
  <c r="BF161" i="26"/>
  <c r="BE161" i="26"/>
  <c r="AD208" i="32" s="1"/>
  <c r="AV161" i="26"/>
  <c r="AU161" i="26"/>
  <c r="AC208" i="32" s="1"/>
  <c r="AL161" i="26"/>
  <c r="AK161" i="26"/>
  <c r="AB208" i="32" s="1"/>
  <c r="AB161" i="26"/>
  <c r="AA161" i="26"/>
  <c r="AA208" i="32" s="1"/>
  <c r="T161" i="26"/>
  <c r="S161" i="26"/>
  <c r="S214" i="32" s="1"/>
  <c r="R161" i="26"/>
  <c r="R214" i="32" s="1"/>
  <c r="FU160" i="26"/>
  <c r="FR160" i="26"/>
  <c r="AS207" i="32" s="1"/>
  <c r="FG160" i="26"/>
  <c r="FF160" i="26"/>
  <c r="FE160" i="26"/>
  <c r="FC160" i="26"/>
  <c r="FB160" i="26"/>
  <c r="EY160" i="26"/>
  <c r="EX160" i="26"/>
  <c r="EW160" i="26"/>
  <c r="EU160" i="26"/>
  <c r="ET160" i="26"/>
  <c r="EH160" i="26"/>
  <c r="EG160" i="26"/>
  <c r="AL207" i="32" s="1"/>
  <c r="DX160" i="26"/>
  <c r="DW160" i="26"/>
  <c r="DN160" i="26"/>
  <c r="DM160" i="26"/>
  <c r="AJ207" i="32" s="1"/>
  <c r="DD160" i="26"/>
  <c r="DC160" i="26"/>
  <c r="AI207" i="32" s="1"/>
  <c r="CT160" i="26"/>
  <c r="CS160" i="26"/>
  <c r="AH207" i="32" s="1"/>
  <c r="CJ160" i="26"/>
  <c r="CI160" i="26"/>
  <c r="AG207" i="32" s="1"/>
  <c r="BZ160" i="26"/>
  <c r="BY160" i="26"/>
  <c r="AF207" i="32" s="1"/>
  <c r="BP160" i="26"/>
  <c r="BO160" i="26"/>
  <c r="AE207" i="32" s="1"/>
  <c r="BF160" i="26"/>
  <c r="BE160" i="26"/>
  <c r="AD207" i="32" s="1"/>
  <c r="AV160" i="26"/>
  <c r="AU160" i="26"/>
  <c r="AC207" i="32" s="1"/>
  <c r="AL160" i="26"/>
  <c r="AK160" i="26"/>
  <c r="AB207" i="32" s="1"/>
  <c r="AB160" i="26"/>
  <c r="AA160" i="26"/>
  <c r="AA207" i="32" s="1"/>
  <c r="T160" i="26"/>
  <c r="S160" i="26"/>
  <c r="S213" i="32" s="1"/>
  <c r="R160" i="26"/>
  <c r="R213" i="32" s="1"/>
  <c r="EH159" i="26"/>
  <c r="EG159" i="26"/>
  <c r="AL206" i="32" s="1"/>
  <c r="DX159" i="26"/>
  <c r="DW159" i="26"/>
  <c r="AK206" i="32" s="1"/>
  <c r="DN159" i="26"/>
  <c r="DM159" i="26"/>
  <c r="AJ206" i="32" s="1"/>
  <c r="DD159" i="26"/>
  <c r="DC159" i="26"/>
  <c r="AI206" i="32" s="1"/>
  <c r="CT159" i="26"/>
  <c r="CS159" i="26"/>
  <c r="AH206" i="32" s="1"/>
  <c r="CJ159" i="26"/>
  <c r="CI159" i="26"/>
  <c r="AG206" i="32" s="1"/>
  <c r="BZ159" i="26"/>
  <c r="BY159" i="26"/>
  <c r="AF206" i="32" s="1"/>
  <c r="BP159" i="26"/>
  <c r="BO159" i="26"/>
  <c r="AE206" i="32" s="1"/>
  <c r="BF159" i="26"/>
  <c r="BE159" i="26"/>
  <c r="AD206" i="32" s="1"/>
  <c r="AV159" i="26"/>
  <c r="AU159" i="26"/>
  <c r="AC206" i="32" s="1"/>
  <c r="AL159" i="26"/>
  <c r="AB159" i="26"/>
  <c r="T159" i="26"/>
  <c r="FU158" i="26"/>
  <c r="FV157" i="26" s="1"/>
  <c r="FR158" i="26"/>
  <c r="AS205" i="32" s="1"/>
  <c r="FO158" i="26"/>
  <c r="FN158" i="26"/>
  <c r="FM158" i="26"/>
  <c r="FL158" i="26"/>
  <c r="EH158" i="26"/>
  <c r="EG158" i="26"/>
  <c r="AL205" i="32" s="1"/>
  <c r="DX158" i="26"/>
  <c r="DW158" i="26"/>
  <c r="AK205" i="32" s="1"/>
  <c r="DN158" i="26"/>
  <c r="DM158" i="26"/>
  <c r="AJ205" i="32" s="1"/>
  <c r="DD158" i="26"/>
  <c r="DC158" i="26"/>
  <c r="AI205" i="32" s="1"/>
  <c r="CT158" i="26"/>
  <c r="CS158" i="26"/>
  <c r="AH205" i="32" s="1"/>
  <c r="CJ158" i="26"/>
  <c r="CI158" i="26"/>
  <c r="AG205" i="32" s="1"/>
  <c r="BZ158" i="26"/>
  <c r="BY158" i="26"/>
  <c r="AF205" i="32" s="1"/>
  <c r="BP158" i="26"/>
  <c r="BO158" i="26"/>
  <c r="AE205" i="32" s="1"/>
  <c r="BF158" i="26"/>
  <c r="BE158" i="26"/>
  <c r="AD205" i="32" s="1"/>
  <c r="AV158" i="26"/>
  <c r="AU158" i="26"/>
  <c r="AC205" i="32" s="1"/>
  <c r="AL158" i="26"/>
  <c r="AK158" i="26"/>
  <c r="AB205" i="32" s="1"/>
  <c r="AB158" i="26"/>
  <c r="AA158" i="26"/>
  <c r="AA205" i="32" s="1"/>
  <c r="T158" i="26"/>
  <c r="FU157" i="26"/>
  <c r="FR157" i="26"/>
  <c r="FS157" i="26" s="1"/>
  <c r="FO157" i="26"/>
  <c r="FN157" i="26"/>
  <c r="FM157" i="26"/>
  <c r="FL157" i="26"/>
  <c r="FG157" i="26"/>
  <c r="FF157" i="26"/>
  <c r="FE157" i="26"/>
  <c r="FC157" i="26"/>
  <c r="EY157" i="26"/>
  <c r="EX157" i="26"/>
  <c r="EW157" i="26"/>
  <c r="EU157" i="26"/>
  <c r="EH157" i="26"/>
  <c r="EG157" i="26"/>
  <c r="AL204" i="32" s="1"/>
  <c r="DX157" i="26"/>
  <c r="DW157" i="26"/>
  <c r="AK204" i="32" s="1"/>
  <c r="DN157" i="26"/>
  <c r="DM157" i="26"/>
  <c r="AJ204" i="32" s="1"/>
  <c r="DD157" i="26"/>
  <c r="DC157" i="26"/>
  <c r="AI204" i="32" s="1"/>
  <c r="CT157" i="26"/>
  <c r="CS157" i="26"/>
  <c r="AH204" i="32" s="1"/>
  <c r="CJ157" i="26"/>
  <c r="CI157" i="26"/>
  <c r="AG204" i="32" s="1"/>
  <c r="BZ157" i="26"/>
  <c r="BY157" i="26"/>
  <c r="AF204" i="32" s="1"/>
  <c r="BP157" i="26"/>
  <c r="BO157" i="26"/>
  <c r="AE204" i="32" s="1"/>
  <c r="BF157" i="26"/>
  <c r="BE157" i="26"/>
  <c r="AD204" i="32" s="1"/>
  <c r="AV157" i="26"/>
  <c r="AU157" i="26"/>
  <c r="AC204" i="32" s="1"/>
  <c r="AL157" i="26"/>
  <c r="AK157" i="26"/>
  <c r="AB204" i="32" s="1"/>
  <c r="AB157" i="26"/>
  <c r="AA157" i="26"/>
  <c r="AA204" i="32" s="1"/>
  <c r="T157" i="26"/>
  <c r="S157" i="26"/>
  <c r="R157" i="26"/>
  <c r="R204" i="32" s="1"/>
  <c r="FU156" i="26"/>
  <c r="FR156" i="26"/>
  <c r="AS203" i="32" s="1"/>
  <c r="FG156" i="26"/>
  <c r="FF156" i="26"/>
  <c r="FE156" i="26"/>
  <c r="FC156" i="26"/>
  <c r="EY156" i="26"/>
  <c r="EX156" i="26"/>
  <c r="EW156" i="26"/>
  <c r="EU156" i="26"/>
  <c r="EH156" i="26"/>
  <c r="EG156" i="26"/>
  <c r="AL203" i="32" s="1"/>
  <c r="DX156" i="26"/>
  <c r="DW156" i="26"/>
  <c r="AK203" i="32" s="1"/>
  <c r="DN156" i="26"/>
  <c r="DM156" i="26"/>
  <c r="AJ203" i="32" s="1"/>
  <c r="DD156" i="26"/>
  <c r="DC156" i="26"/>
  <c r="AI203" i="32" s="1"/>
  <c r="CT156" i="26"/>
  <c r="CS156" i="26"/>
  <c r="AH203" i="32" s="1"/>
  <c r="CJ156" i="26"/>
  <c r="CI156" i="26"/>
  <c r="AG203" i="32" s="1"/>
  <c r="BZ156" i="26"/>
  <c r="BY156" i="26"/>
  <c r="AF203" i="32" s="1"/>
  <c r="BP156" i="26"/>
  <c r="BO156" i="26"/>
  <c r="AE203" i="32" s="1"/>
  <c r="BF156" i="26"/>
  <c r="BE156" i="26"/>
  <c r="AD203" i="32" s="1"/>
  <c r="AV156" i="26"/>
  <c r="AU156" i="26"/>
  <c r="AC203" i="32" s="1"/>
  <c r="AL156" i="26"/>
  <c r="AK156" i="26"/>
  <c r="AB203" i="32" s="1"/>
  <c r="AB156" i="26"/>
  <c r="AA156" i="26"/>
  <c r="AA203" i="32" s="1"/>
  <c r="T156" i="26"/>
  <c r="S156" i="26"/>
  <c r="V156" i="26" s="1"/>
  <c r="R156" i="26"/>
  <c r="R203" i="32" s="1"/>
  <c r="FU155" i="26"/>
  <c r="FR155" i="26"/>
  <c r="FS155" i="26" s="1"/>
  <c r="FG155" i="26"/>
  <c r="FF155" i="26"/>
  <c r="FE155" i="26"/>
  <c r="FC155" i="26"/>
  <c r="EY155" i="26"/>
  <c r="EX155" i="26"/>
  <c r="EW155" i="26"/>
  <c r="EU155" i="26"/>
  <c r="EH155" i="26"/>
  <c r="EG155" i="26"/>
  <c r="AL202" i="32" s="1"/>
  <c r="DX155" i="26"/>
  <c r="DW155" i="26"/>
  <c r="AK202" i="32" s="1"/>
  <c r="DN155" i="26"/>
  <c r="DM155" i="26"/>
  <c r="AJ202" i="32" s="1"/>
  <c r="DD155" i="26"/>
  <c r="DC155" i="26"/>
  <c r="AI202" i="32" s="1"/>
  <c r="CT155" i="26"/>
  <c r="CS155" i="26"/>
  <c r="AH202" i="32" s="1"/>
  <c r="CJ155" i="26"/>
  <c r="CI155" i="26"/>
  <c r="AG202" i="32" s="1"/>
  <c r="BZ155" i="26"/>
  <c r="BY155" i="26"/>
  <c r="AF202" i="32" s="1"/>
  <c r="BP155" i="26"/>
  <c r="BO155" i="26"/>
  <c r="AE202" i="32" s="1"/>
  <c r="BF155" i="26"/>
  <c r="BE155" i="26"/>
  <c r="AD202" i="32" s="1"/>
  <c r="AV155" i="26"/>
  <c r="AU155" i="26"/>
  <c r="AC202" i="32" s="1"/>
  <c r="AL155" i="26"/>
  <c r="AK155" i="26"/>
  <c r="AB202" i="32" s="1"/>
  <c r="AB155" i="26"/>
  <c r="AA155" i="26"/>
  <c r="AA202" i="32" s="1"/>
  <c r="T155" i="26"/>
  <c r="S155" i="26"/>
  <c r="V155" i="26" s="1"/>
  <c r="R155" i="26"/>
  <c r="R202" i="32" s="1"/>
  <c r="FR154" i="26"/>
  <c r="AS201" i="32" s="1"/>
  <c r="FG154" i="26"/>
  <c r="FF154" i="26"/>
  <c r="FE154" i="26"/>
  <c r="FC154" i="26"/>
  <c r="EY154" i="26"/>
  <c r="EX154" i="26"/>
  <c r="EW154" i="26"/>
  <c r="EU154" i="26"/>
  <c r="EH154" i="26"/>
  <c r="EG154" i="26"/>
  <c r="AL201" i="32" s="1"/>
  <c r="DX154" i="26"/>
  <c r="DW154" i="26"/>
  <c r="AK201" i="32" s="1"/>
  <c r="DN154" i="26"/>
  <c r="DM154" i="26"/>
  <c r="AJ201" i="32" s="1"/>
  <c r="DD154" i="26"/>
  <c r="DC154" i="26"/>
  <c r="AI201" i="32" s="1"/>
  <c r="CT154" i="26"/>
  <c r="CS154" i="26"/>
  <c r="AH201" i="32" s="1"/>
  <c r="CJ154" i="26"/>
  <c r="CI154" i="26"/>
  <c r="AG201" i="32" s="1"/>
  <c r="BZ154" i="26"/>
  <c r="BY154" i="26"/>
  <c r="AF201" i="32" s="1"/>
  <c r="BP154" i="26"/>
  <c r="BO154" i="26"/>
  <c r="AE201" i="32" s="1"/>
  <c r="BF154" i="26"/>
  <c r="BE154" i="26"/>
  <c r="AD201" i="32" s="1"/>
  <c r="AV154" i="26"/>
  <c r="AU154" i="26"/>
  <c r="AC201" i="32" s="1"/>
  <c r="AL154" i="26"/>
  <c r="AK154" i="26"/>
  <c r="AB201" i="32" s="1"/>
  <c r="AB154" i="26"/>
  <c r="T154" i="26"/>
  <c r="S154" i="26"/>
  <c r="R154" i="26"/>
  <c r="R201" i="32" s="1"/>
  <c r="T153" i="26"/>
  <c r="FU152" i="26"/>
  <c r="FN152" i="26"/>
  <c r="FM152" i="26"/>
  <c r="FL152" i="26"/>
  <c r="FO152" i="26"/>
  <c r="Q152" i="26"/>
  <c r="Q199" i="32" s="1"/>
  <c r="P199" i="32"/>
  <c r="N199" i="32"/>
  <c r="L199" i="32"/>
  <c r="H199" i="32"/>
  <c r="G199" i="32"/>
  <c r="F199" i="32"/>
  <c r="E199" i="32"/>
  <c r="FU148" i="26"/>
  <c r="FO148" i="26"/>
  <c r="FN148" i="26"/>
  <c r="FM148" i="26"/>
  <c r="FL148" i="26"/>
  <c r="Q195" i="32"/>
  <c r="P195" i="32"/>
  <c r="O195" i="32"/>
  <c r="M195" i="32"/>
  <c r="H195" i="32"/>
  <c r="G195" i="32"/>
  <c r="F195" i="32"/>
  <c r="E195" i="32"/>
  <c r="FU142" i="26"/>
  <c r="Q189" i="32"/>
  <c r="O189" i="32"/>
  <c r="M189" i="32"/>
  <c r="H189" i="32"/>
  <c r="G189" i="32"/>
  <c r="F189" i="32"/>
  <c r="E189" i="32"/>
  <c r="FU137" i="26"/>
  <c r="Q184" i="32"/>
  <c r="P184" i="32"/>
  <c r="M184" i="32"/>
  <c r="H184" i="32"/>
  <c r="G184" i="32"/>
  <c r="F184" i="32"/>
  <c r="E184" i="32"/>
  <c r="Q181" i="32"/>
  <c r="N181" i="32"/>
  <c r="M181" i="32"/>
  <c r="L181" i="32"/>
  <c r="G181" i="32"/>
  <c r="F181" i="32"/>
  <c r="E181" i="32"/>
  <c r="Y127" i="26"/>
  <c r="X127" i="26"/>
  <c r="Q3" i="26" s="1"/>
  <c r="C127" i="26"/>
  <c r="B127" i="26"/>
  <c r="N122" i="26"/>
  <c r="O122" i="26" s="1"/>
  <c r="P121" i="26"/>
  <c r="AH120" i="26"/>
  <c r="AG120" i="26"/>
  <c r="AF120" i="26"/>
  <c r="AE120" i="26"/>
  <c r="AD120" i="26"/>
  <c r="AC120" i="26"/>
  <c r="AB120" i="26"/>
  <c r="AA120" i="26"/>
  <c r="Z120" i="26"/>
  <c r="Y120" i="26"/>
  <c r="X120" i="26"/>
  <c r="I114" i="26" s="1"/>
  <c r="AI119" i="26"/>
  <c r="AI118" i="26"/>
  <c r="AI117" i="26"/>
  <c r="K111" i="26" s="1"/>
  <c r="AI116" i="26"/>
  <c r="AI115" i="26"/>
  <c r="Y112" i="26"/>
  <c r="X112" i="26"/>
  <c r="J112" i="26"/>
  <c r="I112" i="26"/>
  <c r="AI111" i="26"/>
  <c r="J111" i="26"/>
  <c r="I111" i="26"/>
  <c r="AI110" i="26"/>
  <c r="J110" i="26"/>
  <c r="I110" i="26"/>
  <c r="AI109" i="26"/>
  <c r="J109" i="26"/>
  <c r="I109" i="26"/>
  <c r="AI108" i="26"/>
  <c r="AI107" i="26"/>
  <c r="P101" i="26"/>
  <c r="O101" i="26"/>
  <c r="N101" i="26"/>
  <c r="M101" i="26"/>
  <c r="L101" i="26"/>
  <c r="K101" i="26"/>
  <c r="J101" i="26"/>
  <c r="I101" i="26"/>
  <c r="H101" i="26"/>
  <c r="G101" i="26"/>
  <c r="F101" i="26"/>
  <c r="E101" i="26"/>
  <c r="T60" i="26"/>
  <c r="T59" i="26"/>
  <c r="T58" i="26"/>
  <c r="T57" i="26"/>
  <c r="T56" i="26"/>
  <c r="T55" i="26"/>
  <c r="T54" i="26"/>
  <c r="T53" i="26"/>
  <c r="W52" i="26"/>
  <c r="W80" i="32" s="1"/>
  <c r="W51" i="26"/>
  <c r="W79" i="32" s="1"/>
  <c r="W50" i="26"/>
  <c r="W78" i="32" s="1"/>
  <c r="T50" i="26"/>
  <c r="T49" i="26"/>
  <c r="W48" i="26"/>
  <c r="T48" i="26"/>
  <c r="S48" i="26"/>
  <c r="R48" i="26"/>
  <c r="W47" i="26"/>
  <c r="T47" i="26"/>
  <c r="S47" i="26"/>
  <c r="R47" i="26"/>
  <c r="W46" i="26"/>
  <c r="T46" i="26"/>
  <c r="S46" i="26"/>
  <c r="R46" i="26"/>
  <c r="W45" i="26"/>
  <c r="T45" i="26"/>
  <c r="S45" i="26"/>
  <c r="R45" i="26"/>
  <c r="W44" i="26"/>
  <c r="T44" i="26"/>
  <c r="S44" i="26"/>
  <c r="R44" i="26"/>
  <c r="W43" i="26"/>
  <c r="T43" i="26"/>
  <c r="S43" i="26"/>
  <c r="R43" i="26"/>
  <c r="W42" i="26"/>
  <c r="W76" i="32" s="1"/>
  <c r="T42" i="26"/>
  <c r="S42" i="26"/>
  <c r="R42" i="26"/>
  <c r="R76" i="32" s="1"/>
  <c r="W41" i="26"/>
  <c r="W75" i="32" s="1"/>
  <c r="T41" i="26"/>
  <c r="S41" i="26"/>
  <c r="V41" i="26" s="1"/>
  <c r="R41" i="26"/>
  <c r="R75" i="32" s="1"/>
  <c r="W40" i="26"/>
  <c r="W74" i="32" s="1"/>
  <c r="T40" i="26"/>
  <c r="S40" i="26"/>
  <c r="S74" i="32" s="1"/>
  <c r="Y74" i="32" s="1"/>
  <c r="R40" i="26"/>
  <c r="R74" i="32" s="1"/>
  <c r="W39" i="26"/>
  <c r="W73" i="32" s="1"/>
  <c r="T39" i="26"/>
  <c r="S39" i="26"/>
  <c r="V39" i="26" s="1"/>
  <c r="R39" i="26"/>
  <c r="R73" i="32" s="1"/>
  <c r="T38" i="26"/>
  <c r="W37" i="26"/>
  <c r="T37" i="26"/>
  <c r="S37" i="26"/>
  <c r="R37" i="26"/>
  <c r="W36" i="26"/>
  <c r="T36" i="26"/>
  <c r="S36" i="26"/>
  <c r="R36" i="26"/>
  <c r="W35" i="26"/>
  <c r="T35" i="26"/>
  <c r="S35" i="26"/>
  <c r="R35" i="26"/>
  <c r="W34" i="26"/>
  <c r="T34" i="26"/>
  <c r="S34" i="26"/>
  <c r="R34" i="26"/>
  <c r="W33" i="26"/>
  <c r="T33" i="26"/>
  <c r="S33" i="26"/>
  <c r="R33" i="26"/>
  <c r="W32" i="26"/>
  <c r="T32" i="26"/>
  <c r="S32" i="26"/>
  <c r="R32" i="26"/>
  <c r="W31" i="26"/>
  <c r="W71" i="32" s="1"/>
  <c r="T31" i="26"/>
  <c r="S31" i="26"/>
  <c r="V31" i="26" s="1"/>
  <c r="R31" i="26"/>
  <c r="R71" i="32" s="1"/>
  <c r="W30" i="26"/>
  <c r="W70" i="32" s="1"/>
  <c r="T30" i="26"/>
  <c r="S30" i="26"/>
  <c r="V30" i="26" s="1"/>
  <c r="R30" i="26"/>
  <c r="R70" i="32" s="1"/>
  <c r="W29" i="26"/>
  <c r="W69" i="32" s="1"/>
  <c r="T29" i="26"/>
  <c r="S29" i="26"/>
  <c r="S69" i="32" s="1"/>
  <c r="Y69" i="32" s="1"/>
  <c r="R29" i="26"/>
  <c r="R69" i="32" s="1"/>
  <c r="W28" i="26"/>
  <c r="W68" i="32" s="1"/>
  <c r="T28" i="26"/>
  <c r="S28" i="26"/>
  <c r="V28" i="26" s="1"/>
  <c r="R28" i="26"/>
  <c r="R68" i="32" s="1"/>
  <c r="T27" i="26"/>
  <c r="T26" i="26"/>
  <c r="S26" i="26"/>
  <c r="R26" i="26"/>
  <c r="T25" i="26"/>
  <c r="S25" i="26"/>
  <c r="R25" i="26"/>
  <c r="T24" i="26"/>
  <c r="S24" i="26"/>
  <c r="R24" i="26"/>
  <c r="T23" i="26"/>
  <c r="S23" i="26"/>
  <c r="R23" i="26"/>
  <c r="T22" i="26"/>
  <c r="S22" i="26"/>
  <c r="R22" i="26"/>
  <c r="T21" i="26"/>
  <c r="S21" i="26"/>
  <c r="R21" i="26"/>
  <c r="T20" i="26"/>
  <c r="S20" i="26"/>
  <c r="R20" i="26"/>
  <c r="W19" i="26"/>
  <c r="W66" i="32" s="1"/>
  <c r="T19" i="26"/>
  <c r="S19" i="26"/>
  <c r="S66" i="32" s="1"/>
  <c r="Y66" i="32" s="1"/>
  <c r="R19" i="26"/>
  <c r="R66" i="32" s="1"/>
  <c r="W18" i="26"/>
  <c r="W65" i="32" s="1"/>
  <c r="X65" i="32" s="1"/>
  <c r="T18" i="26"/>
  <c r="S18" i="26"/>
  <c r="R18" i="26"/>
  <c r="R65" i="32" s="1"/>
  <c r="W17" i="26"/>
  <c r="W64" i="32" s="1"/>
  <c r="T17" i="26"/>
  <c r="S17" i="26"/>
  <c r="V17" i="26" s="1"/>
  <c r="R17" i="26"/>
  <c r="R64" i="32" s="1"/>
  <c r="T16" i="26"/>
  <c r="T15" i="26"/>
  <c r="S15" i="26"/>
  <c r="R15" i="26"/>
  <c r="T14" i="26"/>
  <c r="S14" i="26"/>
  <c r="R14" i="26"/>
  <c r="T13" i="26"/>
  <c r="S13" i="26"/>
  <c r="R13" i="26"/>
  <c r="T12" i="26"/>
  <c r="S12" i="26"/>
  <c r="R12" i="26"/>
  <c r="W11" i="26"/>
  <c r="W62" i="32" s="1"/>
  <c r="T11" i="26"/>
  <c r="S11" i="26"/>
  <c r="S62" i="32" s="1"/>
  <c r="R11" i="26"/>
  <c r="R62" i="32" s="1"/>
  <c r="W10" i="26"/>
  <c r="W61" i="32" s="1"/>
  <c r="T10" i="26"/>
  <c r="S10" i="26"/>
  <c r="V10" i="26" s="1"/>
  <c r="R10" i="26"/>
  <c r="R61" i="32" s="1"/>
  <c r="W9" i="26"/>
  <c r="W60" i="32" s="1"/>
  <c r="T9" i="26"/>
  <c r="S9" i="26"/>
  <c r="R9" i="26"/>
  <c r="R60" i="32" s="1"/>
  <c r="W8" i="26"/>
  <c r="W59" i="32" s="1"/>
  <c r="T8" i="26"/>
  <c r="S8" i="26"/>
  <c r="S59" i="32" s="1"/>
  <c r="R8" i="26"/>
  <c r="R59" i="32" s="1"/>
  <c r="W7" i="26"/>
  <c r="W58" i="32" s="1"/>
  <c r="T7" i="26"/>
  <c r="S7" i="26"/>
  <c r="S58" i="32" s="1"/>
  <c r="R7" i="26"/>
  <c r="R58" i="32" s="1"/>
  <c r="W6" i="26"/>
  <c r="W57" i="32" s="1"/>
  <c r="T6" i="26"/>
  <c r="S6" i="26"/>
  <c r="S57" i="32" s="1"/>
  <c r="R6" i="26"/>
  <c r="R57" i="32" s="1"/>
  <c r="W5" i="26"/>
  <c r="W56" i="32" s="1"/>
  <c r="T5" i="26"/>
  <c r="S5" i="26"/>
  <c r="V5" i="26" s="1"/>
  <c r="R5" i="26"/>
  <c r="R56" i="32" s="1"/>
  <c r="V2" i="26"/>
  <c r="V127" i="26" s="1"/>
  <c r="C2" i="26"/>
  <c r="B2" i="26"/>
  <c r="T21" i="30"/>
  <c r="E22" i="30"/>
  <c r="T4" i="30"/>
  <c r="E8" i="30"/>
  <c r="P112" i="26" s="1"/>
  <c r="J766" i="39"/>
  <c r="J742" i="39"/>
  <c r="J734" i="39"/>
  <c r="J694" i="39"/>
  <c r="J638" i="39"/>
  <c r="J622" i="39"/>
  <c r="J777" i="39"/>
  <c r="J769" i="39"/>
  <c r="J765" i="39"/>
  <c r="J749" i="39"/>
  <c r="J733" i="39"/>
  <c r="J725" i="39"/>
  <c r="J721" i="39"/>
  <c r="J709" i="39"/>
  <c r="J705" i="39"/>
  <c r="J693" i="39"/>
  <c r="J685" i="39"/>
  <c r="J681" i="39"/>
  <c r="J677" i="39"/>
  <c r="J649" i="39"/>
  <c r="J645" i="39"/>
  <c r="J637" i="39"/>
  <c r="J621" i="39"/>
  <c r="J593" i="39"/>
  <c r="J565" i="39"/>
  <c r="J553" i="39"/>
  <c r="J541" i="39"/>
  <c r="J537" i="39"/>
  <c r="J513" i="39"/>
  <c r="J497" i="39"/>
  <c r="J566" i="39"/>
  <c r="J776" i="39"/>
  <c r="J752" i="39"/>
  <c r="J736" i="39"/>
  <c r="J664" i="39"/>
  <c r="J495" i="39"/>
  <c r="J526" i="39"/>
  <c r="J775" i="39"/>
  <c r="J767" i="39"/>
  <c r="J735" i="39"/>
  <c r="J719" i="39"/>
  <c r="J679" i="39"/>
  <c r="J671" i="39"/>
  <c r="J663" i="39"/>
  <c r="J639" i="39"/>
  <c r="J623" i="39"/>
  <c r="J567" i="39"/>
  <c r="AA103" i="32"/>
  <c r="J496" i="39"/>
  <c r="J510" i="39"/>
  <c r="J503" i="39"/>
  <c r="J584" i="39"/>
  <c r="J509" i="39"/>
  <c r="J545" i="39"/>
  <c r="J573" i="39"/>
  <c r="J609" i="39"/>
  <c r="J525" i="39"/>
  <c r="J581" i="39"/>
  <c r="J527" i="39"/>
  <c r="J551" i="39"/>
  <c r="J512" i="39"/>
  <c r="J542" i="39"/>
  <c r="ER219" i="26"/>
  <c r="ER216" i="26"/>
  <c r="ET221" i="26"/>
  <c r="ER217" i="26"/>
  <c r="FF221" i="26"/>
  <c r="EX221" i="26"/>
  <c r="ER220" i="26"/>
  <c r="FB221" i="26"/>
  <c r="FD221" i="26"/>
  <c r="EV221" i="26"/>
  <c r="ER218" i="26"/>
  <c r="U10" i="30"/>
  <c r="R37" i="32"/>
  <c r="J195" i="32"/>
  <c r="J199" i="32"/>
  <c r="J184" i="32"/>
  <c r="I181" i="32"/>
  <c r="U156" i="32"/>
  <c r="AB219" i="32"/>
  <c r="AB114" i="32"/>
  <c r="AB113" i="32"/>
  <c r="AB112" i="32"/>
  <c r="AQ81" i="32"/>
  <c r="AQ72" i="32"/>
  <c r="AQ77" i="32"/>
  <c r="X73" i="32" l="1"/>
  <c r="AT243" i="32"/>
  <c r="S36" i="32"/>
  <c r="T46" i="32" s="1"/>
  <c r="I119" i="26"/>
  <c r="AT300" i="32"/>
  <c r="R8" i="42"/>
  <c r="F15" i="42"/>
  <c r="Y28" i="33"/>
  <c r="S20" i="32"/>
  <c r="AI120" i="26"/>
  <c r="I121" i="26" s="1"/>
  <c r="FV164" i="26"/>
  <c r="H9" i="33"/>
  <c r="X70" i="32"/>
  <c r="ER317" i="26"/>
  <c r="AT309" i="32"/>
  <c r="W28" i="33"/>
  <c r="AT266" i="32"/>
  <c r="X59" i="32"/>
  <c r="S27" i="32"/>
  <c r="T37" i="32" s="1"/>
  <c r="FV175" i="26"/>
  <c r="ER305" i="26"/>
  <c r="AT310" i="32"/>
  <c r="V8" i="30"/>
  <c r="R4" i="42"/>
  <c r="K112" i="26"/>
  <c r="M9" i="33"/>
  <c r="AP158" i="32"/>
  <c r="P27" i="33"/>
  <c r="FV169" i="26"/>
  <c r="U158" i="32"/>
  <c r="V37" i="32"/>
  <c r="U47" i="32" s="1"/>
  <c r="I120" i="26"/>
  <c r="E9" i="33"/>
  <c r="AI112" i="26"/>
  <c r="AT307" i="32"/>
  <c r="F9" i="33"/>
  <c r="T59" i="32"/>
  <c r="G9" i="33"/>
  <c r="P18" i="33"/>
  <c r="AP159" i="32"/>
  <c r="K109" i="26"/>
  <c r="FV181" i="26"/>
  <c r="O9" i="33"/>
  <c r="AT301" i="32"/>
  <c r="ER311" i="26"/>
  <c r="K9" i="33"/>
  <c r="AA28" i="33"/>
  <c r="K110" i="26"/>
  <c r="EH137" i="26"/>
  <c r="AT308" i="32"/>
  <c r="L9" i="33"/>
  <c r="AE28" i="33"/>
  <c r="X28" i="33"/>
  <c r="N9" i="33"/>
  <c r="AF28" i="33"/>
  <c r="P4" i="33"/>
  <c r="P5" i="33"/>
  <c r="P6" i="33"/>
  <c r="P7" i="33"/>
  <c r="P8" i="33"/>
  <c r="V28" i="33"/>
  <c r="AH28" i="33"/>
  <c r="ER245" i="26"/>
  <c r="ER251" i="26"/>
  <c r="ER293" i="26"/>
  <c r="ER299" i="26"/>
  <c r="Z28" i="33"/>
  <c r="AB28" i="33"/>
  <c r="AC28" i="33"/>
  <c r="AD28" i="33"/>
  <c r="FS203" i="26"/>
  <c r="J9" i="33"/>
  <c r="I9" i="33"/>
  <c r="ER269" i="26"/>
  <c r="ER287" i="26"/>
  <c r="AG28" i="33"/>
  <c r="X74" i="32"/>
  <c r="D9" i="33"/>
  <c r="V9" i="30"/>
  <c r="AT302" i="32"/>
  <c r="V40" i="32"/>
  <c r="U50" i="32" s="1"/>
  <c r="AT306" i="32"/>
  <c r="AT270" i="32"/>
  <c r="K105" i="32"/>
  <c r="BF152" i="26"/>
  <c r="BF148" i="26"/>
  <c r="BF142" i="26"/>
  <c r="AV152" i="26"/>
  <c r="AU134" i="26"/>
  <c r="AC181" i="32" s="1"/>
  <c r="Q63" i="32"/>
  <c r="AV137" i="26"/>
  <c r="AV134" i="26"/>
  <c r="AV148" i="26"/>
  <c r="AD81" i="32"/>
  <c r="AD77" i="32"/>
  <c r="AD72" i="32"/>
  <c r="AD67" i="32"/>
  <c r="AL148" i="26"/>
  <c r="AL142" i="26"/>
  <c r="AL152" i="26"/>
  <c r="AK142" i="26"/>
  <c r="AB189" i="32" s="1"/>
  <c r="AL137" i="26"/>
  <c r="AQ198" i="32"/>
  <c r="Y33" i="30"/>
  <c r="Y38" i="30"/>
  <c r="Y34" i="30"/>
  <c r="Y36" i="30"/>
  <c r="Y35" i="30"/>
  <c r="Y37" i="30"/>
  <c r="AB137" i="26"/>
  <c r="AQ191" i="32"/>
  <c r="AB148" i="26"/>
  <c r="AA177" i="26"/>
  <c r="AA224" i="32" s="1"/>
  <c r="AB142" i="26"/>
  <c r="AA183" i="26"/>
  <c r="AA230" i="32" s="1"/>
  <c r="AA171" i="26"/>
  <c r="AA218" i="32" s="1"/>
  <c r="AB152" i="26"/>
  <c r="AB134" i="26"/>
  <c r="ER281" i="26"/>
  <c r="ER263" i="26"/>
  <c r="AT292" i="32"/>
  <c r="AT286" i="32"/>
  <c r="AT220" i="32"/>
  <c r="CI137" i="26"/>
  <c r="AG184" i="32" s="1"/>
  <c r="BE152" i="26"/>
  <c r="AD199" i="32" s="1"/>
  <c r="AU142" i="26"/>
  <c r="AC189" i="32" s="1"/>
  <c r="AU152" i="26"/>
  <c r="AC199" i="32" s="1"/>
  <c r="AQ196" i="32"/>
  <c r="AK152" i="26"/>
  <c r="AB199" i="32" s="1"/>
  <c r="AK159" i="26"/>
  <c r="AB206" i="32" s="1"/>
  <c r="AK137" i="26"/>
  <c r="AB184" i="32" s="1"/>
  <c r="AK148" i="26"/>
  <c r="AB195" i="32" s="1"/>
  <c r="AA142" i="26"/>
  <c r="AA189" i="32" s="1"/>
  <c r="AA152" i="26"/>
  <c r="AA199" i="32" s="1"/>
  <c r="AA159" i="26"/>
  <c r="AA206" i="32" s="1"/>
  <c r="T219" i="32"/>
  <c r="X62" i="32"/>
  <c r="X60" i="32"/>
  <c r="U165" i="32"/>
  <c r="R170" i="32"/>
  <c r="U170" i="32" s="1"/>
  <c r="AP155" i="32"/>
  <c r="U155" i="32"/>
  <c r="U157" i="32"/>
  <c r="AP156" i="32"/>
  <c r="R48" i="32"/>
  <c r="V48" i="32" s="1"/>
  <c r="T27" i="32"/>
  <c r="V25" i="32"/>
  <c r="U35" i="32" s="1"/>
  <c r="R35" i="32"/>
  <c r="V35" i="32" s="1"/>
  <c r="U45" i="32" s="1"/>
  <c r="R45" i="32"/>
  <c r="V45" i="32" s="1"/>
  <c r="S35" i="32"/>
  <c r="T45" i="32" s="1"/>
  <c r="AP157" i="32"/>
  <c r="V30" i="32"/>
  <c r="U40" i="32" s="1"/>
  <c r="X79" i="32"/>
  <c r="H82" i="32"/>
  <c r="H93" i="32" s="1"/>
  <c r="AM160" i="32"/>
  <c r="AO160" i="32" s="1"/>
  <c r="AT242" i="32"/>
  <c r="X71" i="32"/>
  <c r="AT255" i="32"/>
  <c r="AT271" i="32"/>
  <c r="U20" i="32"/>
  <c r="U30" i="32" s="1"/>
  <c r="AT279" i="32"/>
  <c r="T30" i="32"/>
  <c r="X68" i="32"/>
  <c r="S9" i="32"/>
  <c r="G82" i="32"/>
  <c r="G93" i="32" s="1"/>
  <c r="I82" i="32"/>
  <c r="I93" i="32" s="1"/>
  <c r="T58" i="32"/>
  <c r="S10" i="32"/>
  <c r="AT296" i="32"/>
  <c r="X58" i="32"/>
  <c r="AK130" i="32"/>
  <c r="AM125" i="32" s="1"/>
  <c r="S29" i="32"/>
  <c r="T29" i="32"/>
  <c r="T28" i="32"/>
  <c r="X80" i="32"/>
  <c r="AT268" i="32"/>
  <c r="P130" i="32"/>
  <c r="R126" i="32" s="1"/>
  <c r="S8" i="32"/>
  <c r="S30" i="32"/>
  <c r="T40" i="32" s="1"/>
  <c r="S19" i="32"/>
  <c r="T62" i="32"/>
  <c r="AT284" i="32"/>
  <c r="S16" i="32"/>
  <c r="S39" i="32"/>
  <c r="T49" i="32" s="1"/>
  <c r="S5" i="32"/>
  <c r="X56" i="32"/>
  <c r="X76" i="32"/>
  <c r="AT221" i="32"/>
  <c r="S6" i="32"/>
  <c r="S15" i="32"/>
  <c r="T25" i="32"/>
  <c r="X66" i="32"/>
  <c r="AT264" i="32"/>
  <c r="T57" i="32"/>
  <c r="R50" i="32"/>
  <c r="V50" i="32" s="1"/>
  <c r="Q160" i="32"/>
  <c r="X78" i="32"/>
  <c r="AT244" i="32"/>
  <c r="S37" i="32"/>
  <c r="T47" i="32" s="1"/>
  <c r="X57" i="32"/>
  <c r="X61" i="32"/>
  <c r="X75" i="32"/>
  <c r="AT276" i="32"/>
  <c r="AT241" i="32"/>
  <c r="S26" i="32"/>
  <c r="T36" i="32" s="1"/>
  <c r="S7" i="32"/>
  <c r="S18" i="32"/>
  <c r="R36" i="32"/>
  <c r="V36" i="32" s="1"/>
  <c r="U46" i="32" s="1"/>
  <c r="S17" i="32"/>
  <c r="U16" i="32"/>
  <c r="U26" i="32" s="1"/>
  <c r="R38" i="32"/>
  <c r="V38" i="32" s="1"/>
  <c r="U48" i="32" s="1"/>
  <c r="S28" i="32"/>
  <c r="T38" i="32" s="1"/>
  <c r="S38" i="32"/>
  <c r="T48" i="32" s="1"/>
  <c r="P82" i="32"/>
  <c r="P93" i="32" s="1"/>
  <c r="EH142" i="26"/>
  <c r="EH134" i="26"/>
  <c r="EG148" i="26"/>
  <c r="AL195" i="32" s="1"/>
  <c r="EG142" i="26"/>
  <c r="AL189" i="32" s="1"/>
  <c r="EG152" i="26"/>
  <c r="AL199" i="32" s="1"/>
  <c r="Q153" i="26"/>
  <c r="Q200" i="32" s="1"/>
  <c r="ER239" i="26"/>
  <c r="U111" i="26"/>
  <c r="DX152" i="26"/>
  <c r="O82" i="32"/>
  <c r="O93" i="32" s="1"/>
  <c r="DX148" i="26"/>
  <c r="DW142" i="26"/>
  <c r="AK189" i="32" s="1"/>
  <c r="V151" i="26"/>
  <c r="T233" i="32"/>
  <c r="DW152" i="26"/>
  <c r="AK199" i="32" s="1"/>
  <c r="DX137" i="26"/>
  <c r="K104" i="32"/>
  <c r="DN152" i="26"/>
  <c r="AA114" i="32"/>
  <c r="DM152" i="26"/>
  <c r="AJ199" i="32" s="1"/>
  <c r="DM134" i="26"/>
  <c r="AJ181" i="32" s="1"/>
  <c r="DN148" i="26"/>
  <c r="DM142" i="26"/>
  <c r="AJ189" i="32" s="1"/>
  <c r="U110" i="26"/>
  <c r="P111" i="26"/>
  <c r="Q175" i="32"/>
  <c r="Q54" i="32"/>
  <c r="ER275" i="26"/>
  <c r="DD142" i="26"/>
  <c r="DC142" i="26"/>
  <c r="AI189" i="32" s="1"/>
  <c r="ER257" i="26"/>
  <c r="AT291" i="32"/>
  <c r="AT297" i="32"/>
  <c r="ER323" i="26"/>
  <c r="AT289" i="32"/>
  <c r="AT283" i="32"/>
  <c r="AT267" i="32"/>
  <c r="AQ192" i="32"/>
  <c r="AQ179" i="32"/>
  <c r="B7" i="38"/>
  <c r="DD137" i="26"/>
  <c r="DC134" i="26"/>
  <c r="AI181" i="32" s="1"/>
  <c r="DC137" i="26"/>
  <c r="AI184" i="32" s="1"/>
  <c r="DC152" i="26"/>
  <c r="AI199" i="32" s="1"/>
  <c r="DD148" i="26"/>
  <c r="K106" i="32"/>
  <c r="Y8" i="30"/>
  <c r="Y10" i="30"/>
  <c r="EQ153" i="26"/>
  <c r="AT207" i="32"/>
  <c r="ER227" i="26"/>
  <c r="CT152" i="26"/>
  <c r="CS148" i="26"/>
  <c r="AH195" i="32" s="1"/>
  <c r="CS152" i="26"/>
  <c r="AH199" i="32" s="1"/>
  <c r="CT148" i="26"/>
  <c r="CT142" i="26"/>
  <c r="CT134" i="26"/>
  <c r="U192" i="32"/>
  <c r="L82" i="32"/>
  <c r="L93" i="32" s="1"/>
  <c r="T227" i="32"/>
  <c r="T213" i="32"/>
  <c r="P119" i="26"/>
  <c r="P109" i="26"/>
  <c r="Y5" i="30"/>
  <c r="AS282" i="32"/>
  <c r="AT282" i="32" s="1"/>
  <c r="J1" i="25"/>
  <c r="AS295" i="32"/>
  <c r="AT295" i="32" s="1"/>
  <c r="T78" i="32"/>
  <c r="V50" i="26"/>
  <c r="AS261" i="32"/>
  <c r="AT261" i="32" s="1"/>
  <c r="AD66" i="32"/>
  <c r="AD70" i="32"/>
  <c r="AD78" i="32"/>
  <c r="AD69" i="32"/>
  <c r="AD71" i="32"/>
  <c r="U158" i="26"/>
  <c r="U184" i="26"/>
  <c r="U30" i="26"/>
  <c r="V52" i="26"/>
  <c r="S196" i="32"/>
  <c r="T196" i="32" s="1"/>
  <c r="U52" i="26"/>
  <c r="FS250" i="26"/>
  <c r="FS180" i="26"/>
  <c r="FS284" i="26"/>
  <c r="FS252" i="26"/>
  <c r="V140" i="26"/>
  <c r="CI134" i="26"/>
  <c r="AG181" i="32" s="1"/>
  <c r="CJ152" i="26"/>
  <c r="CI152" i="26"/>
  <c r="AG199" i="32" s="1"/>
  <c r="V145" i="26"/>
  <c r="FQ322" i="26"/>
  <c r="AP310" i="32" s="1"/>
  <c r="FQ274" i="26"/>
  <c r="AP292" i="32" s="1"/>
  <c r="FS154" i="26"/>
  <c r="FS225" i="26"/>
  <c r="AS256" i="32"/>
  <c r="AT256" i="32" s="1"/>
  <c r="FS182" i="26"/>
  <c r="FS278" i="26"/>
  <c r="FS236" i="26"/>
  <c r="FS224" i="26"/>
  <c r="FS174" i="26"/>
  <c r="FS163" i="26"/>
  <c r="AT229" i="32"/>
  <c r="AT227" i="32"/>
  <c r="AT203" i="32"/>
  <c r="U157" i="26"/>
  <c r="S197" i="32"/>
  <c r="T197" i="32" s="1"/>
  <c r="AO274" i="32"/>
  <c r="FS246" i="26"/>
  <c r="ER233" i="26"/>
  <c r="AT260" i="32"/>
  <c r="CJ142" i="26"/>
  <c r="CJ134" i="26"/>
  <c r="CI148" i="26"/>
  <c r="AG195" i="32" s="1"/>
  <c r="CJ137" i="26"/>
  <c r="U233" i="32"/>
  <c r="U231" i="32"/>
  <c r="U167" i="26"/>
  <c r="AS273" i="32"/>
  <c r="AT273" i="32" s="1"/>
  <c r="FS279" i="26"/>
  <c r="Q128" i="26"/>
  <c r="EQ128" i="26"/>
  <c r="DM148" i="26"/>
  <c r="AJ195" i="32" s="1"/>
  <c r="AV142" i="26"/>
  <c r="T148" i="26"/>
  <c r="U143" i="26" s="1"/>
  <c r="DW137" i="26"/>
  <c r="DX134" i="26"/>
  <c r="O184" i="32"/>
  <c r="U184" i="32" s="1"/>
  <c r="DN142" i="26"/>
  <c r="AU148" i="26"/>
  <c r="AC195" i="32" s="1"/>
  <c r="EH152" i="26"/>
  <c r="BE134" i="26"/>
  <c r="AD181" i="32" s="1"/>
  <c r="CJ148" i="26"/>
  <c r="BE142" i="26"/>
  <c r="AD189" i="32" s="1"/>
  <c r="EH148" i="26"/>
  <c r="AT222" i="32"/>
  <c r="T134" i="26"/>
  <c r="U131" i="26" s="1"/>
  <c r="BF137" i="26"/>
  <c r="CT137" i="26"/>
  <c r="U220" i="32"/>
  <c r="EG134" i="26"/>
  <c r="AL181" i="32" s="1"/>
  <c r="BE148" i="26"/>
  <c r="AD195" i="32" s="1"/>
  <c r="DD152" i="26"/>
  <c r="DN137" i="26"/>
  <c r="AL134" i="26"/>
  <c r="DN134" i="26"/>
  <c r="DM137" i="26"/>
  <c r="AJ184" i="32" s="1"/>
  <c r="CS134" i="26"/>
  <c r="AH181" i="32" s="1"/>
  <c r="DW148" i="26"/>
  <c r="AK195" i="32" s="1"/>
  <c r="BO134" i="26"/>
  <c r="AE181" i="32" s="1"/>
  <c r="CS137" i="26"/>
  <c r="AH184" i="32" s="1"/>
  <c r="AA137" i="26"/>
  <c r="AA184" i="32" s="1"/>
  <c r="AA134" i="26"/>
  <c r="AA181" i="32" s="1"/>
  <c r="BF134" i="26"/>
  <c r="T142" i="26"/>
  <c r="U140" i="26" s="1"/>
  <c r="DX142" i="26"/>
  <c r="CS142" i="26"/>
  <c r="AH189" i="32" s="1"/>
  <c r="T152" i="26"/>
  <c r="U150" i="26" s="1"/>
  <c r="EG137" i="26"/>
  <c r="AL184" i="32" s="1"/>
  <c r="AA165" i="26"/>
  <c r="AA212" i="32" s="1"/>
  <c r="DD134" i="26"/>
  <c r="DW134" i="26"/>
  <c r="AK181" i="32" s="1"/>
  <c r="AK134" i="26"/>
  <c r="BE137" i="26"/>
  <c r="AU137" i="26"/>
  <c r="AC184" i="32" s="1"/>
  <c r="AA148" i="26"/>
  <c r="AA195" i="32" s="1"/>
  <c r="AQ186" i="32"/>
  <c r="S185" i="32"/>
  <c r="T185" i="32" s="1"/>
  <c r="S178" i="32"/>
  <c r="T178" i="32" s="1"/>
  <c r="AQ178" i="32"/>
  <c r="V146" i="26"/>
  <c r="AQ185" i="32"/>
  <c r="U109" i="26"/>
  <c r="Y7" i="30"/>
  <c r="V10" i="30"/>
  <c r="Y6" i="30"/>
  <c r="K103" i="32"/>
  <c r="AD75" i="32"/>
  <c r="AQ82" i="32"/>
  <c r="AD80" i="32"/>
  <c r="AD74" i="32"/>
  <c r="AD79" i="32"/>
  <c r="AD73" i="32"/>
  <c r="AD68" i="32"/>
  <c r="AD64" i="32"/>
  <c r="AD76" i="32"/>
  <c r="U160" i="26"/>
  <c r="U156" i="26"/>
  <c r="FQ201" i="26"/>
  <c r="AP243" i="32" s="1"/>
  <c r="EZ206" i="26"/>
  <c r="FQ206" i="26" s="1"/>
  <c r="AP248" i="32" s="1"/>
  <c r="U56" i="26"/>
  <c r="I43" i="39"/>
  <c r="J43" i="39" s="1"/>
  <c r="I25" i="39"/>
  <c r="J25" i="39" s="1"/>
  <c r="I46" i="39"/>
  <c r="J46" i="39" s="1"/>
  <c r="FR269" i="26"/>
  <c r="FS269" i="26" s="1"/>
  <c r="FR251" i="26"/>
  <c r="FS251" i="26" s="1"/>
  <c r="AS209" i="32"/>
  <c r="AT209" i="32" s="1"/>
  <c r="FR317" i="26"/>
  <c r="FS317" i="26" s="1"/>
  <c r="BY137" i="26"/>
  <c r="AF184" i="32" s="1"/>
  <c r="U137" i="26"/>
  <c r="E110" i="26" s="1"/>
  <c r="U33" i="26"/>
  <c r="FS230" i="26"/>
  <c r="U175" i="26"/>
  <c r="AO289" i="32"/>
  <c r="S225" i="32"/>
  <c r="T225" i="32" s="1"/>
  <c r="FS176" i="26"/>
  <c r="U154" i="26"/>
  <c r="I16" i="39"/>
  <c r="J16" i="39" s="1"/>
  <c r="FS237" i="26"/>
  <c r="AS277" i="32"/>
  <c r="AT277" i="32" s="1"/>
  <c r="AS285" i="32"/>
  <c r="AT285" i="32" s="1"/>
  <c r="U189" i="26"/>
  <c r="U187" i="26"/>
  <c r="U183" i="26"/>
  <c r="S109" i="26"/>
  <c r="S209" i="32"/>
  <c r="T209" i="32" s="1"/>
  <c r="BZ137" i="26"/>
  <c r="U176" i="26"/>
  <c r="U164" i="26"/>
  <c r="U161" i="26"/>
  <c r="U163" i="26"/>
  <c r="J82" i="32"/>
  <c r="J93" i="32" s="1"/>
  <c r="I31" i="39"/>
  <c r="J31" i="39" s="1"/>
  <c r="S73" i="32"/>
  <c r="Y73" i="32" s="1"/>
  <c r="I3" i="39"/>
  <c r="J3" i="39" s="1"/>
  <c r="I34" i="39"/>
  <c r="J34" i="39" s="1"/>
  <c r="I23" i="39"/>
  <c r="J23" i="39" s="1"/>
  <c r="I36" i="39"/>
  <c r="J36" i="39" s="1"/>
  <c r="S75" i="32"/>
  <c r="Y75" i="32" s="1"/>
  <c r="S216" i="32"/>
  <c r="T216" i="32" s="1"/>
  <c r="BZ134" i="26"/>
  <c r="U179" i="26"/>
  <c r="U172" i="26"/>
  <c r="U174" i="26"/>
  <c r="U186" i="26"/>
  <c r="U178" i="26"/>
  <c r="U166" i="26"/>
  <c r="U42" i="26"/>
  <c r="V139" i="26"/>
  <c r="FA167" i="26"/>
  <c r="EZ167" i="26" s="1"/>
  <c r="AO214" i="32" s="1"/>
  <c r="AP214" i="32" s="1"/>
  <c r="S177" i="32"/>
  <c r="T177" i="32" s="1"/>
  <c r="S191" i="32"/>
  <c r="T191" i="32" s="1"/>
  <c r="S226" i="32"/>
  <c r="T226" i="32" s="1"/>
  <c r="AO283" i="32"/>
  <c r="BY152" i="26"/>
  <c r="AF199" i="32" s="1"/>
  <c r="BZ148" i="26"/>
  <c r="U173" i="26"/>
  <c r="U54" i="26"/>
  <c r="U46" i="26"/>
  <c r="V40" i="26"/>
  <c r="T74" i="32"/>
  <c r="FA170" i="26"/>
  <c r="EZ170" i="26" s="1"/>
  <c r="FQ230" i="26"/>
  <c r="AP260" i="32" s="1"/>
  <c r="V186" i="26"/>
  <c r="AS219" i="32"/>
  <c r="AT219" i="32" s="1"/>
  <c r="BY148" i="26"/>
  <c r="AF195" i="32" s="1"/>
  <c r="BY134" i="26"/>
  <c r="AF181" i="32" s="1"/>
  <c r="U168" i="26"/>
  <c r="U170" i="26"/>
  <c r="U53" i="26"/>
  <c r="U59" i="26"/>
  <c r="U58" i="26"/>
  <c r="U55" i="26"/>
  <c r="U39" i="26"/>
  <c r="S190" i="32"/>
  <c r="T190" i="32" s="1"/>
  <c r="S68" i="32"/>
  <c r="Y68" i="32" s="1"/>
  <c r="FQ318" i="26"/>
  <c r="AP306" i="32" s="1"/>
  <c r="S70" i="32"/>
  <c r="Y70" i="32" s="1"/>
  <c r="V11" i="26"/>
  <c r="AO280" i="32"/>
  <c r="FA174" i="26"/>
  <c r="EZ174" i="26" s="1"/>
  <c r="FQ247" i="26"/>
  <c r="AP271" i="32" s="1"/>
  <c r="FQ284" i="26"/>
  <c r="AP302" i="32" s="1"/>
  <c r="FA169" i="26"/>
  <c r="S234" i="32"/>
  <c r="T234" i="32" s="1"/>
  <c r="S220" i="32"/>
  <c r="T220" i="32" s="1"/>
  <c r="V176" i="26"/>
  <c r="FA281" i="26"/>
  <c r="V188" i="26"/>
  <c r="EZ208" i="26"/>
  <c r="FR208" i="26" s="1"/>
  <c r="FS208" i="26" s="1"/>
  <c r="FS271" i="26"/>
  <c r="FS156" i="26"/>
  <c r="FS173" i="26"/>
  <c r="AS208" i="32"/>
  <c r="AT208" i="32" s="1"/>
  <c r="AR174" i="32"/>
  <c r="BY142" i="26"/>
  <c r="AF189" i="32" s="1"/>
  <c r="BZ152" i="26"/>
  <c r="BZ142" i="26"/>
  <c r="U180" i="26"/>
  <c r="U185" i="26"/>
  <c r="U135" i="26"/>
  <c r="U31" i="26"/>
  <c r="I440" i="39"/>
  <c r="J440" i="39" s="1"/>
  <c r="I476" i="39"/>
  <c r="J476" i="39" s="1"/>
  <c r="I484" i="39"/>
  <c r="J484" i="39" s="1"/>
  <c r="I467" i="39"/>
  <c r="J467" i="39" s="1"/>
  <c r="I461" i="39"/>
  <c r="J461" i="39" s="1"/>
  <c r="I455" i="39"/>
  <c r="J455" i="39" s="1"/>
  <c r="I454" i="39"/>
  <c r="J454" i="39" s="1"/>
  <c r="I309" i="39"/>
  <c r="J309" i="39" s="1"/>
  <c r="I148" i="39"/>
  <c r="J148" i="39" s="1"/>
  <c r="I410" i="39"/>
  <c r="J410" i="39" s="1"/>
  <c r="I352" i="39"/>
  <c r="J352" i="39" s="1"/>
  <c r="I403" i="39"/>
  <c r="J403" i="39" s="1"/>
  <c r="I259" i="39"/>
  <c r="J259" i="39" s="1"/>
  <c r="I53" i="39"/>
  <c r="J53" i="39" s="1"/>
  <c r="I323" i="39"/>
  <c r="J323" i="39" s="1"/>
  <c r="I381" i="39"/>
  <c r="J381" i="39" s="1"/>
  <c r="I222" i="39"/>
  <c r="J222" i="39" s="1"/>
  <c r="I356" i="39"/>
  <c r="J356" i="39" s="1"/>
  <c r="I81" i="39"/>
  <c r="J81" i="39" s="1"/>
  <c r="I282" i="39"/>
  <c r="J282" i="39" s="1"/>
  <c r="I347" i="39"/>
  <c r="J347" i="39" s="1"/>
  <c r="I318" i="39"/>
  <c r="J318" i="39" s="1"/>
  <c r="I314" i="39"/>
  <c r="J314" i="39" s="1"/>
  <c r="I345" i="39"/>
  <c r="J345" i="39" s="1"/>
  <c r="I209" i="39"/>
  <c r="J209" i="39" s="1"/>
  <c r="I477" i="39"/>
  <c r="J477" i="39" s="1"/>
  <c r="I485" i="39"/>
  <c r="J485" i="39" s="1"/>
  <c r="I336" i="39"/>
  <c r="J336" i="39" s="1"/>
  <c r="I300" i="39"/>
  <c r="J300" i="39" s="1"/>
  <c r="I208" i="39"/>
  <c r="J208" i="39" s="1"/>
  <c r="I276" i="39"/>
  <c r="J276" i="39" s="1"/>
  <c r="I268" i="39"/>
  <c r="J268" i="39" s="1"/>
  <c r="I47" i="39"/>
  <c r="J47" i="39" s="1"/>
  <c r="S61" i="32"/>
  <c r="T61" i="32" s="1"/>
  <c r="FQ235" i="26"/>
  <c r="AP265" i="32" s="1"/>
  <c r="I125" i="39"/>
  <c r="J125" i="39" s="1"/>
  <c r="I57" i="39"/>
  <c r="J57" i="39" s="1"/>
  <c r="I296" i="39"/>
  <c r="J296" i="39" s="1"/>
  <c r="I216" i="39"/>
  <c r="J216" i="39" s="1"/>
  <c r="I391" i="39"/>
  <c r="J391" i="39" s="1"/>
  <c r="I278" i="39"/>
  <c r="J278" i="39" s="1"/>
  <c r="I417" i="39"/>
  <c r="J417" i="39" s="1"/>
  <c r="I317" i="39"/>
  <c r="J317" i="39" s="1"/>
  <c r="I174" i="39"/>
  <c r="J174" i="39" s="1"/>
  <c r="I453" i="39"/>
  <c r="J453" i="39" s="1"/>
  <c r="I460" i="39"/>
  <c r="J460" i="39" s="1"/>
  <c r="I466" i="39"/>
  <c r="J466" i="39" s="1"/>
  <c r="I470" i="39"/>
  <c r="J470" i="39" s="1"/>
  <c r="I490" i="39"/>
  <c r="J490" i="39" s="1"/>
  <c r="I482" i="39"/>
  <c r="J482" i="39" s="1"/>
  <c r="I474" i="39"/>
  <c r="J474" i="39" s="1"/>
  <c r="I489" i="39"/>
  <c r="J489" i="39" s="1"/>
  <c r="I481" i="39"/>
  <c r="J481" i="39" s="1"/>
  <c r="I473" i="39"/>
  <c r="J473" i="39" s="1"/>
  <c r="I183" i="39"/>
  <c r="J183" i="39" s="1"/>
  <c r="I329" i="39"/>
  <c r="J329" i="39" s="1"/>
  <c r="I75" i="39"/>
  <c r="J75" i="39" s="1"/>
  <c r="I413" i="39"/>
  <c r="J413" i="39" s="1"/>
  <c r="I205" i="39"/>
  <c r="J205" i="39" s="1"/>
  <c r="I451" i="39"/>
  <c r="J451" i="39" s="1"/>
  <c r="I471" i="39"/>
  <c r="J471" i="39" s="1"/>
  <c r="I483" i="39"/>
  <c r="J483" i="39" s="1"/>
  <c r="I255" i="39"/>
  <c r="J255" i="39" s="1"/>
  <c r="I231" i="39"/>
  <c r="J231" i="39" s="1"/>
  <c r="I88" i="39"/>
  <c r="J88" i="39" s="1"/>
  <c r="I100" i="39"/>
  <c r="J100" i="39" s="1"/>
  <c r="I292" i="39"/>
  <c r="J292" i="39" s="1"/>
  <c r="I384" i="39"/>
  <c r="J384" i="39" s="1"/>
  <c r="I458" i="39"/>
  <c r="J458" i="39" s="1"/>
  <c r="I445" i="39"/>
  <c r="J445" i="39" s="1"/>
  <c r="I469" i="39"/>
  <c r="J469" i="39" s="1"/>
  <c r="I462" i="39"/>
  <c r="J462" i="39" s="1"/>
  <c r="I488" i="39"/>
  <c r="J488" i="39" s="1"/>
  <c r="I480" i="39"/>
  <c r="J480" i="39" s="1"/>
  <c r="I229" i="39"/>
  <c r="J229" i="39" s="1"/>
  <c r="I321" i="39"/>
  <c r="J321" i="39" s="1"/>
  <c r="I244" i="39"/>
  <c r="J244" i="39" s="1"/>
  <c r="I168" i="39"/>
  <c r="J168" i="39" s="1"/>
  <c r="I68" i="39"/>
  <c r="J68" i="39" s="1"/>
  <c r="I217" i="39"/>
  <c r="J217" i="39" s="1"/>
  <c r="I164" i="39"/>
  <c r="J164" i="39" s="1"/>
  <c r="I288" i="39"/>
  <c r="J288" i="39" s="1"/>
  <c r="I95" i="39"/>
  <c r="J95" i="39" s="1"/>
  <c r="I427" i="39"/>
  <c r="J427" i="39" s="1"/>
  <c r="I386" i="39"/>
  <c r="J386" i="39" s="1"/>
  <c r="I369" i="39"/>
  <c r="J369" i="39" s="1"/>
  <c r="I143" i="39"/>
  <c r="J143" i="39" s="1"/>
  <c r="I370" i="39"/>
  <c r="J370" i="39" s="1"/>
  <c r="I145" i="39"/>
  <c r="J145" i="39" s="1"/>
  <c r="I73" i="39"/>
  <c r="J73" i="39" s="1"/>
  <c r="I52" i="39"/>
  <c r="J52" i="39" s="1"/>
  <c r="I362" i="39"/>
  <c r="J362" i="39" s="1"/>
  <c r="I405" i="39"/>
  <c r="J405" i="39" s="1"/>
  <c r="I438" i="39"/>
  <c r="J438" i="39" s="1"/>
  <c r="I463" i="39"/>
  <c r="J463" i="39" s="1"/>
  <c r="I475" i="39"/>
  <c r="J475" i="39" s="1"/>
  <c r="I60" i="39"/>
  <c r="J60" i="39" s="1"/>
  <c r="I328" i="39"/>
  <c r="J328" i="39" s="1"/>
  <c r="I90" i="39"/>
  <c r="J90" i="39" s="1"/>
  <c r="I135" i="39"/>
  <c r="J135" i="39" s="1"/>
  <c r="I178" i="39"/>
  <c r="J178" i="39" s="1"/>
  <c r="I76" i="39"/>
  <c r="J76" i="39" s="1"/>
  <c r="I171" i="39"/>
  <c r="J171" i="39" s="1"/>
  <c r="I116" i="39"/>
  <c r="J116" i="39" s="1"/>
  <c r="I330" i="39"/>
  <c r="J330" i="39" s="1"/>
  <c r="I422" i="39"/>
  <c r="J422" i="39" s="1"/>
  <c r="I378" i="39"/>
  <c r="J378" i="39" s="1"/>
  <c r="I198" i="39"/>
  <c r="J198" i="39" s="1"/>
  <c r="I181" i="39"/>
  <c r="J181" i="39" s="1"/>
  <c r="I442" i="39"/>
  <c r="J442" i="39" s="1"/>
  <c r="V132" i="26"/>
  <c r="I456" i="39"/>
  <c r="J456" i="39" s="1"/>
  <c r="I465" i="39"/>
  <c r="J465" i="39" s="1"/>
  <c r="I54" i="39"/>
  <c r="J54" i="39" s="1"/>
  <c r="I298" i="39"/>
  <c r="J298" i="39" s="1"/>
  <c r="I379" i="39"/>
  <c r="J379" i="39" s="1"/>
  <c r="I236" i="39"/>
  <c r="J236" i="39" s="1"/>
  <c r="I225" i="39"/>
  <c r="J225" i="39" s="1"/>
  <c r="I487" i="39"/>
  <c r="J487" i="39" s="1"/>
  <c r="I479" i="39"/>
  <c r="J479" i="39" s="1"/>
  <c r="I271" i="39"/>
  <c r="J271" i="39" s="1"/>
  <c r="I78" i="39"/>
  <c r="J78" i="39" s="1"/>
  <c r="I72" i="39"/>
  <c r="J72" i="39" s="1"/>
  <c r="I223" i="39"/>
  <c r="J223" i="39" s="1"/>
  <c r="I210" i="39"/>
  <c r="J210" i="39" s="1"/>
  <c r="I392" i="39"/>
  <c r="J392" i="39" s="1"/>
  <c r="I306" i="39"/>
  <c r="J306" i="39" s="1"/>
  <c r="I400" i="39"/>
  <c r="J400" i="39" s="1"/>
  <c r="I457" i="39"/>
  <c r="J457" i="39" s="1"/>
  <c r="I157" i="39"/>
  <c r="J157" i="39" s="1"/>
  <c r="I97" i="39"/>
  <c r="J97" i="39" s="1"/>
  <c r="FA179" i="26"/>
  <c r="EZ179" i="26" s="1"/>
  <c r="AO226" i="32" s="1"/>
  <c r="AP226" i="32" s="1"/>
  <c r="I142" i="39"/>
  <c r="J142" i="39" s="1"/>
  <c r="I59" i="39"/>
  <c r="J59" i="39" s="1"/>
  <c r="I424" i="39"/>
  <c r="J424" i="39" s="1"/>
  <c r="I459" i="39"/>
  <c r="J459" i="39" s="1"/>
  <c r="I103" i="39"/>
  <c r="J103" i="39" s="1"/>
  <c r="H1" i="39"/>
  <c r="I188" i="39"/>
  <c r="J188" i="39" s="1"/>
  <c r="V170" i="26"/>
  <c r="I167" i="39"/>
  <c r="J167" i="39" s="1"/>
  <c r="EZ202" i="26"/>
  <c r="FQ202" i="26" s="1"/>
  <c r="AP244" i="32" s="1"/>
  <c r="I284" i="39"/>
  <c r="J284" i="39" s="1"/>
  <c r="I107" i="39"/>
  <c r="J107" i="39" s="1"/>
  <c r="I249" i="39"/>
  <c r="J249" i="39" s="1"/>
  <c r="I94" i="39"/>
  <c r="J94" i="39" s="1"/>
  <c r="I357" i="39"/>
  <c r="J357" i="39" s="1"/>
  <c r="I163" i="39"/>
  <c r="J163" i="39" s="1"/>
  <c r="I399" i="39"/>
  <c r="J399" i="39" s="1"/>
  <c r="I420" i="39"/>
  <c r="J420" i="39" s="1"/>
  <c r="S182" i="32"/>
  <c r="T182" i="32" s="1"/>
  <c r="I446" i="39"/>
  <c r="J446" i="39" s="1"/>
  <c r="I464" i="39"/>
  <c r="J464" i="39" s="1"/>
  <c r="I105" i="39"/>
  <c r="J105" i="39" s="1"/>
  <c r="I220" i="39"/>
  <c r="J220" i="39" s="1"/>
  <c r="I127" i="39"/>
  <c r="J127" i="39" s="1"/>
  <c r="I212" i="39"/>
  <c r="J212" i="39" s="1"/>
  <c r="I331" i="39"/>
  <c r="J331" i="39" s="1"/>
  <c r="I112" i="39"/>
  <c r="J112" i="39" s="1"/>
  <c r="AO290" i="32"/>
  <c r="I207" i="39"/>
  <c r="J207" i="39" s="1"/>
  <c r="I194" i="39"/>
  <c r="J194" i="39" s="1"/>
  <c r="I316" i="39"/>
  <c r="J316" i="39" s="1"/>
  <c r="I240" i="39"/>
  <c r="J240" i="39" s="1"/>
  <c r="I332" i="39"/>
  <c r="J332" i="39" s="1"/>
  <c r="I74" i="39"/>
  <c r="J74" i="39" s="1"/>
  <c r="I313" i="39"/>
  <c r="J313" i="39" s="1"/>
  <c r="I71" i="39"/>
  <c r="J71" i="39" s="1"/>
  <c r="I411" i="39"/>
  <c r="J411" i="39" s="1"/>
  <c r="I452" i="39"/>
  <c r="J452" i="39" s="1"/>
  <c r="I450" i="39"/>
  <c r="J450" i="39" s="1"/>
  <c r="V51" i="26"/>
  <c r="I468" i="39"/>
  <c r="J468" i="39" s="1"/>
  <c r="I472" i="39"/>
  <c r="J472" i="39" s="1"/>
  <c r="I486" i="39"/>
  <c r="J486" i="39" s="1"/>
  <c r="I478" i="39"/>
  <c r="J478" i="39" s="1"/>
  <c r="S71" i="32"/>
  <c r="EZ273" i="26"/>
  <c r="FQ273" i="26" s="1"/>
  <c r="AP291" i="32" s="1"/>
  <c r="AO273" i="32"/>
  <c r="FA251" i="26"/>
  <c r="V167" i="26"/>
  <c r="EZ200" i="26"/>
  <c r="FQ200" i="26" s="1"/>
  <c r="AP242" i="32" s="1"/>
  <c r="V180" i="26"/>
  <c r="V166" i="26"/>
  <c r="V160" i="26"/>
  <c r="S205" i="32"/>
  <c r="T205" i="32" s="1"/>
  <c r="AS265" i="32"/>
  <c r="AT265" i="32" s="1"/>
  <c r="AS298" i="32"/>
  <c r="AT298" i="32" s="1"/>
  <c r="AS262" i="32"/>
  <c r="AT262" i="32" s="1"/>
  <c r="AS294" i="32"/>
  <c r="AT294" i="32" s="1"/>
  <c r="AS228" i="32"/>
  <c r="AT228" i="32" s="1"/>
  <c r="FS254" i="26"/>
  <c r="FR281" i="26"/>
  <c r="AS299" i="32" s="1"/>
  <c r="AT299" i="32" s="1"/>
  <c r="AS290" i="32"/>
  <c r="AT290" i="32" s="1"/>
  <c r="AT274" i="32"/>
  <c r="E82" i="32"/>
  <c r="E93" i="32" s="1"/>
  <c r="M82" i="32"/>
  <c r="M93" i="32" s="1"/>
  <c r="F82" i="32"/>
  <c r="F93" i="32" s="1"/>
  <c r="N82" i="32"/>
  <c r="N93" i="32" s="1"/>
  <c r="U198" i="32"/>
  <c r="AK207" i="32"/>
  <c r="AQ207" i="32" s="1"/>
  <c r="FS160" i="26"/>
  <c r="AB213" i="32"/>
  <c r="AQ213" i="32" s="1"/>
  <c r="T221" i="32"/>
  <c r="T228" i="32"/>
  <c r="BP152" i="26"/>
  <c r="U51" i="26"/>
  <c r="T207" i="32"/>
  <c r="AT254" i="32"/>
  <c r="V29" i="26"/>
  <c r="CI142" i="26"/>
  <c r="AG189" i="32" s="1"/>
  <c r="DC148" i="26"/>
  <c r="AI195" i="32" s="1"/>
  <c r="ER221" i="26"/>
  <c r="J114" i="26"/>
  <c r="T214" i="32"/>
  <c r="Q27" i="26"/>
  <c r="Q60" i="26"/>
  <c r="FD170" i="26"/>
  <c r="EV164" i="26"/>
  <c r="Q67" i="32"/>
  <c r="EV166" i="26"/>
  <c r="EY177" i="26"/>
  <c r="EX148" i="26"/>
  <c r="FD164" i="26"/>
  <c r="Q38" i="26"/>
  <c r="ET215" i="26"/>
  <c r="EW134" i="26"/>
  <c r="EU171" i="26"/>
  <c r="FC171" i="26"/>
  <c r="EY142" i="26"/>
  <c r="EV181" i="26"/>
  <c r="EV160" i="26"/>
  <c r="EV156" i="26"/>
  <c r="EV178" i="26"/>
  <c r="EV168" i="26"/>
  <c r="EU177" i="26"/>
  <c r="FF183" i="26"/>
  <c r="FD158" i="26"/>
  <c r="BP142" i="26"/>
  <c r="FF171" i="26"/>
  <c r="FF177" i="26"/>
  <c r="FD175" i="26"/>
  <c r="S56" i="32"/>
  <c r="T56" i="32" s="1"/>
  <c r="U50" i="26"/>
  <c r="EX134" i="26"/>
  <c r="FD157" i="26"/>
  <c r="FC142" i="26"/>
  <c r="EX171" i="26"/>
  <c r="EW137" i="26"/>
  <c r="U43" i="26"/>
  <c r="U189" i="32"/>
  <c r="U199" i="32"/>
  <c r="FD156" i="26"/>
  <c r="FR177" i="26"/>
  <c r="FS177" i="26" s="1"/>
  <c r="U155" i="26"/>
  <c r="BP137" i="26"/>
  <c r="ER194" i="26"/>
  <c r="U6" i="26"/>
  <c r="FG148" i="26"/>
  <c r="EV175" i="26"/>
  <c r="V6" i="26"/>
  <c r="U19" i="26"/>
  <c r="U44" i="26"/>
  <c r="AQ205" i="32"/>
  <c r="EV163" i="26"/>
  <c r="EV169" i="26"/>
  <c r="FD172" i="26"/>
  <c r="U62" i="32"/>
  <c r="U64" i="32"/>
  <c r="Z64" i="32" s="1"/>
  <c r="U67" i="32"/>
  <c r="Z67" i="32" s="1"/>
  <c r="U68" i="32"/>
  <c r="Z68" i="32" s="1"/>
  <c r="U69" i="32"/>
  <c r="Z69" i="32" s="1"/>
  <c r="T69" i="32"/>
  <c r="U71" i="32"/>
  <c r="Z71" i="32" s="1"/>
  <c r="U72" i="32"/>
  <c r="U74" i="32"/>
  <c r="Z74" i="32" s="1"/>
  <c r="K82" i="32"/>
  <c r="K93" i="32" s="1"/>
  <c r="U80" i="32"/>
  <c r="U201" i="32"/>
  <c r="U202" i="32"/>
  <c r="U204" i="32"/>
  <c r="U205" i="32"/>
  <c r="U206" i="32"/>
  <c r="S103" i="32" s="1"/>
  <c r="U207" i="32"/>
  <c r="U208" i="32"/>
  <c r="U210" i="32"/>
  <c r="U211" i="32"/>
  <c r="U212" i="32"/>
  <c r="S104" i="32" s="1"/>
  <c r="U213" i="32"/>
  <c r="U214" i="32"/>
  <c r="U215" i="32"/>
  <c r="U218" i="32"/>
  <c r="S105" i="32" s="1"/>
  <c r="U219" i="32"/>
  <c r="U221" i="32"/>
  <c r="U222" i="32"/>
  <c r="FD173" i="26"/>
  <c r="ER195" i="26"/>
  <c r="FS273" i="26"/>
  <c r="AQ225" i="32"/>
  <c r="FF197" i="26"/>
  <c r="FS285" i="26"/>
  <c r="AS303" i="32"/>
  <c r="AT303" i="32" s="1"/>
  <c r="EW171" i="26"/>
  <c r="EX152" i="26"/>
  <c r="FR239" i="26"/>
  <c r="FS239" i="26" s="1"/>
  <c r="AQ182" i="32"/>
  <c r="U177" i="32"/>
  <c r="U179" i="32"/>
  <c r="U178" i="32"/>
  <c r="U182" i="32"/>
  <c r="U185" i="32"/>
  <c r="U186" i="32"/>
  <c r="U187" i="32"/>
  <c r="U190" i="32"/>
  <c r="U196" i="32"/>
  <c r="U79" i="32"/>
  <c r="Z79" i="32" s="1"/>
  <c r="U195" i="32"/>
  <c r="AQ177" i="32"/>
  <c r="AQ193" i="32"/>
  <c r="AQ187" i="32"/>
  <c r="AQ197" i="32"/>
  <c r="AQ190" i="32"/>
  <c r="AT288" i="32"/>
  <c r="AT245" i="32"/>
  <c r="FA168" i="26"/>
  <c r="EZ168" i="26" s="1"/>
  <c r="AO215" i="32" s="1"/>
  <c r="AP215" i="32" s="1"/>
  <c r="U224" i="32"/>
  <c r="S106" i="32" s="1"/>
  <c r="U225" i="32"/>
  <c r="U226" i="32"/>
  <c r="U228" i="32"/>
  <c r="U229" i="32"/>
  <c r="U230" i="32"/>
  <c r="U232" i="32"/>
  <c r="U235" i="32"/>
  <c r="U236" i="32"/>
  <c r="EU159" i="26"/>
  <c r="FF152" i="26"/>
  <c r="U56" i="32"/>
  <c r="U59" i="32"/>
  <c r="U60" i="32"/>
  <c r="U223" i="32"/>
  <c r="AT240" i="32"/>
  <c r="AQ214" i="32"/>
  <c r="AQ221" i="32"/>
  <c r="AT253" i="32"/>
  <c r="U76" i="32"/>
  <c r="Z76" i="32" s="1"/>
  <c r="U78" i="32"/>
  <c r="Z78" i="32" s="1"/>
  <c r="Q81" i="32"/>
  <c r="T223" i="32"/>
  <c r="T235" i="32"/>
  <c r="U81" i="32"/>
  <c r="Z81" i="32" s="1"/>
  <c r="U181" i="32"/>
  <c r="AQ211" i="32"/>
  <c r="AT223" i="32"/>
  <c r="AQ226" i="32"/>
  <c r="AQ229" i="32"/>
  <c r="U58" i="32"/>
  <c r="U61" i="32"/>
  <c r="U66" i="32"/>
  <c r="Z66" i="32" s="1"/>
  <c r="U234" i="32"/>
  <c r="Q77" i="32"/>
  <c r="T66" i="32"/>
  <c r="X69" i="32"/>
  <c r="T208" i="32"/>
  <c r="AT226" i="32"/>
  <c r="U73" i="32"/>
  <c r="Q72" i="32"/>
  <c r="T217" i="32"/>
  <c r="U63" i="32"/>
  <c r="Z63" i="32" s="1"/>
  <c r="T79" i="32"/>
  <c r="AQ203" i="32"/>
  <c r="AQ208" i="32"/>
  <c r="AQ222" i="32"/>
  <c r="AQ227" i="32"/>
  <c r="U75" i="32"/>
  <c r="U200" i="32"/>
  <c r="U203" i="32"/>
  <c r="U217" i="32"/>
  <c r="U193" i="32"/>
  <c r="U191" i="32"/>
  <c r="U197" i="32"/>
  <c r="X64" i="32"/>
  <c r="AQ201" i="32"/>
  <c r="AQ202" i="32"/>
  <c r="AQ204" i="32"/>
  <c r="AQ209" i="32"/>
  <c r="AQ219" i="32"/>
  <c r="U57" i="32"/>
  <c r="U65" i="32"/>
  <c r="Z65" i="32" s="1"/>
  <c r="U70" i="32"/>
  <c r="Z70" i="32" s="1"/>
  <c r="U227" i="32"/>
  <c r="T229" i="32"/>
  <c r="AQ216" i="32"/>
  <c r="AQ220" i="32"/>
  <c r="T222" i="32"/>
  <c r="AQ228" i="32"/>
  <c r="U77" i="32"/>
  <c r="U209" i="32"/>
  <c r="U216" i="32"/>
  <c r="T215" i="32"/>
  <c r="AQ210" i="32"/>
  <c r="AQ215" i="32"/>
  <c r="AQ217" i="32"/>
  <c r="AQ223" i="32"/>
  <c r="T211" i="32"/>
  <c r="T80" i="32"/>
  <c r="Q16" i="26"/>
  <c r="AT210" i="32"/>
  <c r="AT201" i="32"/>
  <c r="Q49" i="26"/>
  <c r="AT205" i="32"/>
  <c r="AT278" i="32"/>
  <c r="K107" i="32"/>
  <c r="AA106" i="32"/>
  <c r="U114" i="26"/>
  <c r="U113" i="26"/>
  <c r="I114" i="32"/>
  <c r="U115" i="26"/>
  <c r="I115" i="32"/>
  <c r="P114" i="26"/>
  <c r="Y9" i="30"/>
  <c r="BP134" i="26"/>
  <c r="U188" i="26"/>
  <c r="U169" i="26"/>
  <c r="U162" i="26"/>
  <c r="U48" i="26"/>
  <c r="U47" i="26"/>
  <c r="U29" i="26"/>
  <c r="U23" i="26"/>
  <c r="U26" i="26"/>
  <c r="U17" i="26"/>
  <c r="U21" i="26"/>
  <c r="U24" i="26"/>
  <c r="U22" i="26"/>
  <c r="U20" i="26"/>
  <c r="U8" i="26"/>
  <c r="ER207" i="26"/>
  <c r="AN249" i="32"/>
  <c r="FQ276" i="26"/>
  <c r="AP294" i="32" s="1"/>
  <c r="AO294" i="32"/>
  <c r="V9" i="26"/>
  <c r="S60" i="32"/>
  <c r="T60" i="32" s="1"/>
  <c r="AO296" i="32"/>
  <c r="FQ260" i="26"/>
  <c r="AP284" i="32" s="1"/>
  <c r="AO284" i="32"/>
  <c r="S65" i="32"/>
  <c r="Y65" i="32" s="1"/>
  <c r="V18" i="26"/>
  <c r="I156" i="39"/>
  <c r="J156" i="39" s="1"/>
  <c r="I99" i="39"/>
  <c r="J99" i="39" s="1"/>
  <c r="I204" i="39"/>
  <c r="J204" i="39" s="1"/>
  <c r="I366" i="39"/>
  <c r="J366" i="39" s="1"/>
  <c r="I246" i="39"/>
  <c r="J246" i="39" s="1"/>
  <c r="I199" i="39"/>
  <c r="J199" i="39" s="1"/>
  <c r="I337" i="39"/>
  <c r="J337" i="39" s="1"/>
  <c r="I211" i="39"/>
  <c r="J211" i="39" s="1"/>
  <c r="I226" i="39"/>
  <c r="J226" i="39" s="1"/>
  <c r="I7" i="39"/>
  <c r="J7" i="39" s="1"/>
  <c r="I221" i="39"/>
  <c r="J221" i="39" s="1"/>
  <c r="I28" i="39"/>
  <c r="J28" i="39" s="1"/>
  <c r="I344" i="39"/>
  <c r="J344" i="39" s="1"/>
  <c r="I58" i="39"/>
  <c r="J58" i="39" s="1"/>
  <c r="I35" i="39"/>
  <c r="J35" i="39" s="1"/>
  <c r="I21" i="39"/>
  <c r="J21" i="39" s="1"/>
  <c r="I354" i="39"/>
  <c r="J354" i="39" s="1"/>
  <c r="I334" i="39"/>
  <c r="J334" i="39" s="1"/>
  <c r="I177" i="39"/>
  <c r="J177" i="39" s="1"/>
  <c r="I235" i="39"/>
  <c r="J235" i="39" s="1"/>
  <c r="I322" i="39"/>
  <c r="J322" i="39" s="1"/>
  <c r="I118" i="39"/>
  <c r="J118" i="39" s="1"/>
  <c r="I182" i="39"/>
  <c r="J182" i="39" s="1"/>
  <c r="I9" i="39"/>
  <c r="J9" i="39" s="1"/>
  <c r="I61" i="39"/>
  <c r="J61" i="39" s="1"/>
  <c r="I10" i="39"/>
  <c r="J10" i="39" s="1"/>
  <c r="I123" i="39"/>
  <c r="J123" i="39" s="1"/>
  <c r="I262" i="39"/>
  <c r="J262" i="39" s="1"/>
  <c r="I20" i="39"/>
  <c r="J20" i="39" s="1"/>
  <c r="I175" i="39"/>
  <c r="J175" i="39" s="1"/>
  <c r="I372" i="39"/>
  <c r="J372" i="39" s="1"/>
  <c r="I258" i="39"/>
  <c r="J258" i="39" s="1"/>
  <c r="I281" i="39"/>
  <c r="J281" i="39" s="1"/>
  <c r="I15" i="39"/>
  <c r="J15" i="39" s="1"/>
  <c r="I311" i="39"/>
  <c r="J311" i="39" s="1"/>
  <c r="I38" i="39"/>
  <c r="J38" i="39" s="1"/>
  <c r="I158" i="39"/>
  <c r="J158" i="39" s="1"/>
  <c r="I319" i="39"/>
  <c r="J319" i="39" s="1"/>
  <c r="I4" i="39"/>
  <c r="J4" i="39" s="1"/>
  <c r="I261" i="39"/>
  <c r="J261" i="39" s="1"/>
  <c r="I387" i="39"/>
  <c r="J387" i="39" s="1"/>
  <c r="I124" i="39"/>
  <c r="J124" i="39" s="1"/>
  <c r="I416" i="39"/>
  <c r="J416" i="39" s="1"/>
  <c r="I397" i="39"/>
  <c r="J397" i="39" s="1"/>
  <c r="I349" i="39"/>
  <c r="J349" i="39" s="1"/>
  <c r="I290" i="39"/>
  <c r="J290" i="39" s="1"/>
  <c r="I17" i="39"/>
  <c r="J17" i="39" s="1"/>
  <c r="I139" i="39"/>
  <c r="J139" i="39" s="1"/>
  <c r="I343" i="39"/>
  <c r="J343" i="39" s="1"/>
  <c r="I394" i="39"/>
  <c r="J394" i="39" s="1"/>
  <c r="I297" i="39"/>
  <c r="J297" i="39" s="1"/>
  <c r="I433" i="39"/>
  <c r="J433" i="39" s="1"/>
  <c r="V8" i="26"/>
  <c r="I277" i="39"/>
  <c r="J277" i="39" s="1"/>
  <c r="I257" i="39"/>
  <c r="J257" i="39" s="1"/>
  <c r="I230" i="39"/>
  <c r="J230" i="39" s="1"/>
  <c r="I376" i="39"/>
  <c r="J376" i="39" s="1"/>
  <c r="I350" i="39"/>
  <c r="J350" i="39" s="1"/>
  <c r="I176" i="39"/>
  <c r="J176" i="39" s="1"/>
  <c r="I190" i="39"/>
  <c r="J190" i="39" s="1"/>
  <c r="I40" i="39"/>
  <c r="J40" i="39" s="1"/>
  <c r="I374" i="39"/>
  <c r="J374" i="39" s="1"/>
  <c r="I8" i="39"/>
  <c r="J8" i="39" s="1"/>
  <c r="I252" i="39"/>
  <c r="J252" i="39" s="1"/>
  <c r="I161" i="39"/>
  <c r="J161" i="39" s="1"/>
  <c r="I293" i="39"/>
  <c r="J293" i="39" s="1"/>
  <c r="I65" i="39"/>
  <c r="J65" i="39" s="1"/>
  <c r="I325" i="39"/>
  <c r="J325" i="39" s="1"/>
  <c r="I353" i="39"/>
  <c r="J353" i="39" s="1"/>
  <c r="I132" i="39"/>
  <c r="J132" i="39" s="1"/>
  <c r="A3" i="39"/>
  <c r="I39" i="39"/>
  <c r="J39" i="39" s="1"/>
  <c r="I33" i="39"/>
  <c r="J33" i="39" s="1"/>
  <c r="I85" i="39"/>
  <c r="J85" i="39" s="1"/>
  <c r="I380" i="39"/>
  <c r="J380" i="39" s="1"/>
  <c r="I294" i="39"/>
  <c r="J294" i="39" s="1"/>
  <c r="I89" i="39"/>
  <c r="J89" i="39" s="1"/>
  <c r="I202" i="39"/>
  <c r="J202" i="39" s="1"/>
  <c r="I307" i="39"/>
  <c r="J307" i="39" s="1"/>
  <c r="I398" i="39"/>
  <c r="J398" i="39" s="1"/>
  <c r="I146" i="39"/>
  <c r="J146" i="39" s="1"/>
  <c r="I388" i="39"/>
  <c r="J388" i="39" s="1"/>
  <c r="I12" i="39"/>
  <c r="J12" i="39" s="1"/>
  <c r="I24" i="39"/>
  <c r="J24" i="39" s="1"/>
  <c r="I77" i="39"/>
  <c r="J77" i="39" s="1"/>
  <c r="I29" i="39"/>
  <c r="J29" i="39" s="1"/>
  <c r="I62" i="39"/>
  <c r="J62" i="39" s="1"/>
  <c r="I423" i="39"/>
  <c r="J423" i="39" s="1"/>
  <c r="I153" i="39"/>
  <c r="J153" i="39" s="1"/>
  <c r="I152" i="39"/>
  <c r="J152" i="39" s="1"/>
  <c r="I269" i="39"/>
  <c r="J269" i="39" s="1"/>
  <c r="I232" i="39"/>
  <c r="J232" i="39" s="1"/>
  <c r="I263" i="39"/>
  <c r="J263" i="39" s="1"/>
  <c r="I45" i="39"/>
  <c r="J45" i="39" s="1"/>
  <c r="I414" i="39"/>
  <c r="J414" i="39" s="1"/>
  <c r="I437" i="39"/>
  <c r="J437" i="39" s="1"/>
  <c r="I431" i="39"/>
  <c r="J431" i="39" s="1"/>
  <c r="I449" i="39"/>
  <c r="J449" i="39" s="1"/>
  <c r="I192" i="39"/>
  <c r="J192" i="39" s="1"/>
  <c r="I69" i="39"/>
  <c r="J69" i="39" s="1"/>
  <c r="I340" i="39"/>
  <c r="J340" i="39" s="1"/>
  <c r="I283" i="39"/>
  <c r="J283" i="39" s="1"/>
  <c r="I254" i="39"/>
  <c r="J254" i="39" s="1"/>
  <c r="I315" i="39"/>
  <c r="J315" i="39" s="1"/>
  <c r="I165" i="39"/>
  <c r="J165" i="39" s="1"/>
  <c r="I228" i="39"/>
  <c r="J228" i="39" s="1"/>
  <c r="I243" i="39"/>
  <c r="J243" i="39" s="1"/>
  <c r="I189" i="39"/>
  <c r="J189" i="39" s="1"/>
  <c r="I27" i="39"/>
  <c r="J27" i="39" s="1"/>
  <c r="I128" i="39"/>
  <c r="J128" i="39" s="1"/>
  <c r="I342" i="39"/>
  <c r="J342" i="39" s="1"/>
  <c r="I30" i="39"/>
  <c r="J30" i="39" s="1"/>
  <c r="I166" i="39"/>
  <c r="J166" i="39" s="1"/>
  <c r="FA323" i="26"/>
  <c r="I96" i="39"/>
  <c r="J96" i="39" s="1"/>
  <c r="I126" i="39"/>
  <c r="J126" i="39" s="1"/>
  <c r="I41" i="39"/>
  <c r="J41" i="39" s="1"/>
  <c r="I121" i="39"/>
  <c r="J121" i="39" s="1"/>
  <c r="I169" i="39"/>
  <c r="J169" i="39" s="1"/>
  <c r="I304" i="39"/>
  <c r="J304" i="39" s="1"/>
  <c r="I18" i="39"/>
  <c r="J18" i="39" s="1"/>
  <c r="I184" i="39"/>
  <c r="J184" i="39" s="1"/>
  <c r="I247" i="39"/>
  <c r="J247" i="39" s="1"/>
  <c r="I368" i="39"/>
  <c r="J368" i="39" s="1"/>
  <c r="I140" i="39"/>
  <c r="J140" i="39" s="1"/>
  <c r="I233" i="39"/>
  <c r="J233" i="39" s="1"/>
  <c r="I55" i="39"/>
  <c r="J55" i="39" s="1"/>
  <c r="I162" i="39"/>
  <c r="J162" i="39" s="1"/>
  <c r="I375" i="39"/>
  <c r="J375" i="39" s="1"/>
  <c r="I289" i="39"/>
  <c r="J289" i="39" s="1"/>
  <c r="I377" i="39"/>
  <c r="J377" i="39" s="1"/>
  <c r="I339" i="39"/>
  <c r="J339" i="39" s="1"/>
  <c r="I393" i="39"/>
  <c r="J393" i="39" s="1"/>
  <c r="I195" i="39"/>
  <c r="J195" i="39" s="1"/>
  <c r="I426" i="39"/>
  <c r="J426" i="39" s="1"/>
  <c r="I299" i="39"/>
  <c r="J299" i="39" s="1"/>
  <c r="I241" i="39"/>
  <c r="J241" i="39" s="1"/>
  <c r="I5" i="39"/>
  <c r="J5" i="39" s="1"/>
  <c r="I367" i="39"/>
  <c r="J367" i="39" s="1"/>
  <c r="I179" i="39"/>
  <c r="J179" i="39" s="1"/>
  <c r="I187" i="39"/>
  <c r="J187" i="39" s="1"/>
  <c r="I434" i="39"/>
  <c r="J434" i="39" s="1"/>
  <c r="I201" i="39"/>
  <c r="J201" i="39" s="1"/>
  <c r="I44" i="39"/>
  <c r="J44" i="39" s="1"/>
  <c r="I310" i="39"/>
  <c r="J310" i="39" s="1"/>
  <c r="I56" i="39"/>
  <c r="J56" i="39" s="1"/>
  <c r="I151" i="39"/>
  <c r="J151" i="39" s="1"/>
  <c r="I348" i="39"/>
  <c r="J348" i="39" s="1"/>
  <c r="I227" i="39"/>
  <c r="J227" i="39" s="1"/>
  <c r="I248" i="39"/>
  <c r="J248" i="39" s="1"/>
  <c r="I287" i="39"/>
  <c r="J287" i="39" s="1"/>
  <c r="I361" i="39"/>
  <c r="J361" i="39" s="1"/>
  <c r="I256" i="39"/>
  <c r="J256" i="39" s="1"/>
  <c r="I363" i="39"/>
  <c r="J363" i="39" s="1"/>
  <c r="I242" i="39"/>
  <c r="J242" i="39" s="1"/>
  <c r="I93" i="39"/>
  <c r="J93" i="39" s="1"/>
  <c r="I335" i="39"/>
  <c r="J335" i="39" s="1"/>
  <c r="I160" i="39"/>
  <c r="J160" i="39" s="1"/>
  <c r="I302" i="39"/>
  <c r="J302" i="39" s="1"/>
  <c r="I237" i="39"/>
  <c r="J237" i="39" s="1"/>
  <c r="I154" i="39"/>
  <c r="J154" i="39" s="1"/>
  <c r="I26" i="39"/>
  <c r="J26" i="39" s="1"/>
  <c r="I280" i="39"/>
  <c r="J280" i="39" s="1"/>
  <c r="I6" i="39"/>
  <c r="J6" i="39" s="1"/>
  <c r="I251" i="39"/>
  <c r="J251" i="39" s="1"/>
  <c r="I63" i="39"/>
  <c r="J63" i="39" s="1"/>
  <c r="I102" i="39"/>
  <c r="J102" i="39" s="1"/>
  <c r="I170" i="39"/>
  <c r="J170" i="39" s="1"/>
  <c r="I104" i="39"/>
  <c r="J104" i="39" s="1"/>
  <c r="I150" i="39"/>
  <c r="J150" i="39" s="1"/>
  <c r="I119" i="39"/>
  <c r="J119" i="39" s="1"/>
  <c r="I82" i="39"/>
  <c r="J82" i="39" s="1"/>
  <c r="I333" i="39"/>
  <c r="J333" i="39" s="1"/>
  <c r="I131" i="39"/>
  <c r="J131" i="39" s="1"/>
  <c r="I111" i="39"/>
  <c r="J111" i="39" s="1"/>
  <c r="I70" i="39"/>
  <c r="J70" i="39" s="1"/>
  <c r="I234" i="39"/>
  <c r="J234" i="39" s="1"/>
  <c r="I373" i="39"/>
  <c r="J373" i="39" s="1"/>
  <c r="I303" i="39"/>
  <c r="J303" i="39" s="1"/>
  <c r="I406" i="39"/>
  <c r="J406" i="39" s="1"/>
  <c r="I419" i="39"/>
  <c r="J419" i="39" s="1"/>
  <c r="I402" i="39"/>
  <c r="J402" i="39" s="1"/>
  <c r="I113" i="39"/>
  <c r="J113" i="39" s="1"/>
  <c r="I407" i="39"/>
  <c r="J407" i="39" s="1"/>
  <c r="I404" i="39"/>
  <c r="J404" i="39" s="1"/>
  <c r="I389" i="39"/>
  <c r="J389" i="39" s="1"/>
  <c r="I51" i="39"/>
  <c r="J51" i="39" s="1"/>
  <c r="I430" i="39"/>
  <c r="J430" i="39" s="1"/>
  <c r="I441" i="39"/>
  <c r="J441" i="39" s="1"/>
  <c r="FA269" i="26"/>
  <c r="I421" i="39"/>
  <c r="J421" i="39" s="1"/>
  <c r="I98" i="39"/>
  <c r="J98" i="39" s="1"/>
  <c r="I144" i="39"/>
  <c r="J144" i="39" s="1"/>
  <c r="I326" i="39"/>
  <c r="J326" i="39" s="1"/>
  <c r="I186" i="39"/>
  <c r="J186" i="39" s="1"/>
  <c r="I129" i="39"/>
  <c r="J129" i="39" s="1"/>
  <c r="I197" i="39"/>
  <c r="J197" i="39" s="1"/>
  <c r="I312" i="39"/>
  <c r="J312" i="39" s="1"/>
  <c r="I122" i="39"/>
  <c r="J122" i="39" s="1"/>
  <c r="I346" i="39"/>
  <c r="J346" i="39" s="1"/>
  <c r="I305" i="39"/>
  <c r="J305" i="39" s="1"/>
  <c r="I273" i="39"/>
  <c r="J273" i="39" s="1"/>
  <c r="I106" i="39"/>
  <c r="J106" i="39" s="1"/>
  <c r="I37" i="39"/>
  <c r="J37" i="39" s="1"/>
  <c r="I285" i="39"/>
  <c r="J285" i="39" s="1"/>
  <c r="I130" i="39"/>
  <c r="J130" i="39" s="1"/>
  <c r="I134" i="39"/>
  <c r="J134" i="39" s="1"/>
  <c r="I218" i="39"/>
  <c r="J218" i="39" s="1"/>
  <c r="I64" i="39"/>
  <c r="J64" i="39" s="1"/>
  <c r="I108" i="39"/>
  <c r="J108" i="39" s="1"/>
  <c r="I138" i="39"/>
  <c r="J138" i="39" s="1"/>
  <c r="I92" i="39"/>
  <c r="J92" i="39" s="1"/>
  <c r="I42" i="39"/>
  <c r="J42" i="39" s="1"/>
  <c r="I383" i="39"/>
  <c r="J383" i="39" s="1"/>
  <c r="I266" i="39"/>
  <c r="J266" i="39" s="1"/>
  <c r="I219" i="39"/>
  <c r="J219" i="39" s="1"/>
  <c r="I114" i="39"/>
  <c r="J114" i="39" s="1"/>
  <c r="I359" i="39"/>
  <c r="J359" i="39" s="1"/>
  <c r="I109" i="39"/>
  <c r="J109" i="39" s="1"/>
  <c r="I371" i="39"/>
  <c r="J371" i="39" s="1"/>
  <c r="I415" i="39"/>
  <c r="J415" i="39" s="1"/>
  <c r="I355" i="39"/>
  <c r="J355" i="39" s="1"/>
  <c r="I412" i="39"/>
  <c r="J412" i="39" s="1"/>
  <c r="I408" i="39"/>
  <c r="J408" i="39" s="1"/>
  <c r="I275" i="39"/>
  <c r="J275" i="39" s="1"/>
  <c r="I48" i="39"/>
  <c r="J48" i="39" s="1"/>
  <c r="I147" i="39"/>
  <c r="J147" i="39" s="1"/>
  <c r="I396" i="39"/>
  <c r="J396" i="39" s="1"/>
  <c r="I67" i="39"/>
  <c r="J67" i="39" s="1"/>
  <c r="I141" i="39"/>
  <c r="J141" i="39" s="1"/>
  <c r="I200" i="39"/>
  <c r="J200" i="39" s="1"/>
  <c r="I274" i="39"/>
  <c r="J274" i="39" s="1"/>
  <c r="I385" i="39"/>
  <c r="J385" i="39" s="1"/>
  <c r="I425" i="39"/>
  <c r="J425" i="39" s="1"/>
  <c r="I409" i="39"/>
  <c r="J409" i="39" s="1"/>
  <c r="I443" i="39"/>
  <c r="J443" i="39" s="1"/>
  <c r="I439" i="39"/>
  <c r="J439" i="39" s="1"/>
  <c r="I436" i="39"/>
  <c r="J436" i="39" s="1"/>
  <c r="I448" i="39"/>
  <c r="J448" i="39" s="1"/>
  <c r="I447" i="39"/>
  <c r="J447" i="39" s="1"/>
  <c r="I444" i="39"/>
  <c r="J444" i="39" s="1"/>
  <c r="FA227" i="26"/>
  <c r="FA157" i="26"/>
  <c r="FQ252" i="26"/>
  <c r="AP276" i="32" s="1"/>
  <c r="EZ265" i="26"/>
  <c r="EZ205" i="26"/>
  <c r="FQ205" i="26" s="1"/>
  <c r="AP247" i="32" s="1"/>
  <c r="EZ239" i="26"/>
  <c r="FB203" i="26"/>
  <c r="FA275" i="26"/>
  <c r="FA245" i="26"/>
  <c r="FB209" i="26"/>
  <c r="AO300" i="32"/>
  <c r="AO278" i="32"/>
  <c r="FA160" i="26"/>
  <c r="EZ160" i="26" s="1"/>
  <c r="FQ160" i="26" s="1"/>
  <c r="FQ238" i="26"/>
  <c r="AP268" i="32" s="1"/>
  <c r="AO264" i="32"/>
  <c r="FA239" i="26"/>
  <c r="FA172" i="26"/>
  <c r="EZ172" i="26" s="1"/>
  <c r="AO286" i="32"/>
  <c r="AO288" i="32"/>
  <c r="FA158" i="26"/>
  <c r="EZ158" i="26" s="1"/>
  <c r="FQ158" i="26" s="1"/>
  <c r="FA263" i="26"/>
  <c r="FA163" i="26"/>
  <c r="EZ163" i="26" s="1"/>
  <c r="FA166" i="26"/>
  <c r="FA305" i="26"/>
  <c r="V164" i="26"/>
  <c r="AO266" i="32"/>
  <c r="FQ286" i="26"/>
  <c r="AP304" i="32" s="1"/>
  <c r="FR311" i="26"/>
  <c r="FS311" i="26" s="1"/>
  <c r="FR159" i="26"/>
  <c r="FS159" i="26" s="1"/>
  <c r="AS258" i="32"/>
  <c r="AT258" i="32" s="1"/>
  <c r="FS260" i="26"/>
  <c r="FS259" i="26"/>
  <c r="FS247" i="26"/>
  <c r="FS282" i="26"/>
  <c r="FS175" i="26"/>
  <c r="AS280" i="32"/>
  <c r="AT280" i="32" s="1"/>
  <c r="FR323" i="26"/>
  <c r="FS319" i="26"/>
  <c r="FS274" i="26"/>
  <c r="FS270" i="26"/>
  <c r="FS158" i="26"/>
  <c r="FR287" i="26"/>
  <c r="AS305" i="32" s="1"/>
  <c r="AT305" i="32" s="1"/>
  <c r="FR275" i="26"/>
  <c r="AS272" i="32"/>
  <c r="AT272" i="32" s="1"/>
  <c r="FR305" i="26"/>
  <c r="FS305" i="26" s="1"/>
  <c r="FS320" i="26"/>
  <c r="FR299" i="26"/>
  <c r="FS299" i="26" s="1"/>
  <c r="AS259" i="32"/>
  <c r="AT259" i="32" s="1"/>
  <c r="FS322" i="26"/>
  <c r="AS304" i="32"/>
  <c r="AT304" i="32" s="1"/>
  <c r="FR257" i="26"/>
  <c r="FS257" i="26" s="1"/>
  <c r="AS202" i="32"/>
  <c r="AT202" i="32" s="1"/>
  <c r="FR233" i="26"/>
  <c r="FS233" i="26" s="1"/>
  <c r="FS283" i="26"/>
  <c r="FS318" i="26"/>
  <c r="ET177" i="26"/>
  <c r="EW152" i="26"/>
  <c r="EX165" i="26"/>
  <c r="EV167" i="26"/>
  <c r="ER214" i="26"/>
  <c r="EY165" i="26"/>
  <c r="ER213" i="26"/>
  <c r="EX137" i="26"/>
  <c r="EX142" i="26"/>
  <c r="EV157" i="26"/>
  <c r="ER193" i="26"/>
  <c r="ET183" i="26"/>
  <c r="EU134" i="26"/>
  <c r="ET197" i="26"/>
  <c r="EV161" i="26"/>
  <c r="EV162" i="26"/>
  <c r="EV179" i="26"/>
  <c r="EW183" i="26"/>
  <c r="EV170" i="26"/>
  <c r="EX177" i="26"/>
  <c r="EX215" i="26"/>
  <c r="EY152" i="26"/>
  <c r="FE152" i="26"/>
  <c r="FF142" i="26"/>
  <c r="FC148" i="26"/>
  <c r="FD168" i="26"/>
  <c r="FF137" i="26"/>
  <c r="FG183" i="26"/>
  <c r="FD178" i="26"/>
  <c r="FD182" i="26"/>
  <c r="FG137" i="26"/>
  <c r="FC134" i="26"/>
  <c r="FC177" i="26"/>
  <c r="V174" i="32"/>
  <c r="N116" i="32"/>
  <c r="O116" i="32" s="1"/>
  <c r="BO152" i="26"/>
  <c r="AE199" i="32" s="1"/>
  <c r="BP148" i="26"/>
  <c r="BO142" i="26"/>
  <c r="AE189" i="32" s="1"/>
  <c r="U159" i="26"/>
  <c r="U177" i="26"/>
  <c r="U153" i="26"/>
  <c r="U28" i="26"/>
  <c r="U32" i="26"/>
  <c r="U37" i="26"/>
  <c r="U25" i="26"/>
  <c r="U12" i="26"/>
  <c r="U13" i="26"/>
  <c r="U5" i="26"/>
  <c r="U15" i="26"/>
  <c r="U10" i="26"/>
  <c r="U9" i="26"/>
  <c r="U7" i="26"/>
  <c r="U14" i="26"/>
  <c r="U11" i="26"/>
  <c r="ES176" i="26"/>
  <c r="ER176" i="26" s="1"/>
  <c r="AN223" i="32" s="1"/>
  <c r="FA175" i="26"/>
  <c r="EZ175" i="26" s="1"/>
  <c r="AO222" i="32" s="1"/>
  <c r="AP222" i="32" s="1"/>
  <c r="FQ258" i="26"/>
  <c r="AP282" i="32" s="1"/>
  <c r="V19" i="26"/>
  <c r="S64" i="32"/>
  <c r="Y64" i="32" s="1"/>
  <c r="V42" i="26"/>
  <c r="S76" i="32"/>
  <c r="Y76" i="32" s="1"/>
  <c r="S148" i="26"/>
  <c r="V148" i="26" s="1"/>
  <c r="I250" i="39"/>
  <c r="J250" i="39" s="1"/>
  <c r="I50" i="39"/>
  <c r="J50" i="39" s="1"/>
  <c r="I360" i="39"/>
  <c r="J360" i="39" s="1"/>
  <c r="I101" i="39"/>
  <c r="J101" i="39" s="1"/>
  <c r="I364" i="39"/>
  <c r="J364" i="39" s="1"/>
  <c r="I253" i="39"/>
  <c r="J253" i="39" s="1"/>
  <c r="I193" i="39"/>
  <c r="J193" i="39" s="1"/>
  <c r="I327" i="39"/>
  <c r="J327" i="39" s="1"/>
  <c r="I84" i="39"/>
  <c r="J84" i="39" s="1"/>
  <c r="I365" i="39"/>
  <c r="J365" i="39" s="1"/>
  <c r="I320" i="39"/>
  <c r="J320" i="39" s="1"/>
  <c r="I341" i="39"/>
  <c r="J341" i="39" s="1"/>
  <c r="I173" i="39"/>
  <c r="J173" i="39" s="1"/>
  <c r="I191" i="39"/>
  <c r="J191" i="39" s="1"/>
  <c r="I270" i="39"/>
  <c r="J270" i="39" s="1"/>
  <c r="I267" i="39"/>
  <c r="J267" i="39" s="1"/>
  <c r="I291" i="39"/>
  <c r="J291" i="39" s="1"/>
  <c r="I238" i="39"/>
  <c r="J238" i="39" s="1"/>
  <c r="I260" i="39"/>
  <c r="J260" i="39" s="1"/>
  <c r="I13" i="39"/>
  <c r="J13" i="39" s="1"/>
  <c r="I66" i="39"/>
  <c r="J66" i="39" s="1"/>
  <c r="I295" i="39"/>
  <c r="J295" i="39" s="1"/>
  <c r="I214" i="39"/>
  <c r="J214" i="39" s="1"/>
  <c r="I159" i="39"/>
  <c r="J159" i="39" s="1"/>
  <c r="I286" i="39"/>
  <c r="J286" i="39" s="1"/>
  <c r="I428" i="39"/>
  <c r="J428" i="39" s="1"/>
  <c r="I49" i="39"/>
  <c r="J49" i="39" s="1"/>
  <c r="I117" i="39"/>
  <c r="J117" i="39" s="1"/>
  <c r="I224" i="39"/>
  <c r="J224" i="39" s="1"/>
  <c r="I265" i="39"/>
  <c r="J265" i="39" s="1"/>
  <c r="I279" i="39"/>
  <c r="J279" i="39" s="1"/>
  <c r="I429" i="39"/>
  <c r="J429" i="39" s="1"/>
  <c r="I418" i="39"/>
  <c r="J418" i="39" s="1"/>
  <c r="I87" i="39"/>
  <c r="J87" i="39" s="1"/>
  <c r="I79" i="39"/>
  <c r="J79" i="39" s="1"/>
  <c r="I395" i="39"/>
  <c r="J395" i="39" s="1"/>
  <c r="I133" i="39"/>
  <c r="J133" i="39" s="1"/>
  <c r="I401" i="39"/>
  <c r="J401" i="39" s="1"/>
  <c r="I358" i="39"/>
  <c r="J358" i="39" s="1"/>
  <c r="I91" i="39"/>
  <c r="J91" i="39" s="1"/>
  <c r="I203" i="39"/>
  <c r="J203" i="39" s="1"/>
  <c r="I390" i="39"/>
  <c r="J390" i="39" s="1"/>
  <c r="I19" i="39"/>
  <c r="J19" i="39" s="1"/>
  <c r="I435" i="39"/>
  <c r="J435" i="39" s="1"/>
  <c r="I432" i="39"/>
  <c r="J432" i="39" s="1"/>
  <c r="FA162" i="26"/>
  <c r="EZ162" i="26" s="1"/>
  <c r="FQ162" i="26" s="1"/>
  <c r="FA180" i="26"/>
  <c r="EZ180" i="26" s="1"/>
  <c r="FQ180" i="26" s="1"/>
  <c r="FQ319" i="26"/>
  <c r="AP307" i="32" s="1"/>
  <c r="AO307" i="32"/>
  <c r="FQ307" i="26"/>
  <c r="EZ311" i="26"/>
  <c r="FQ311" i="26" s="1"/>
  <c r="EZ221" i="26"/>
  <c r="FQ221" i="26" s="1"/>
  <c r="FQ321" i="26"/>
  <c r="AP309" i="32" s="1"/>
  <c r="AO309" i="32"/>
  <c r="AO262" i="32"/>
  <c r="FQ232" i="26"/>
  <c r="AP262" i="32" s="1"/>
  <c r="AO298" i="32"/>
  <c r="FQ280" i="26"/>
  <c r="AP298" i="32" s="1"/>
  <c r="FQ290" i="26"/>
  <c r="EZ293" i="26"/>
  <c r="FQ293" i="26" s="1"/>
  <c r="FA178" i="26"/>
  <c r="EZ178" i="26" s="1"/>
  <c r="AO225" i="32" s="1"/>
  <c r="AP225" i="32" s="1"/>
  <c r="FA173" i="26"/>
  <c r="EZ173" i="26" s="1"/>
  <c r="AO220" i="32" s="1"/>
  <c r="AP220" i="32" s="1"/>
  <c r="FQ285" i="26"/>
  <c r="AP303" i="32" s="1"/>
  <c r="EZ314" i="26"/>
  <c r="FQ314" i="26" s="1"/>
  <c r="FB137" i="26"/>
  <c r="FA221" i="26"/>
  <c r="S152" i="26"/>
  <c r="FA161" i="26"/>
  <c r="EZ161" i="26" s="1"/>
  <c r="FA176" i="26"/>
  <c r="EZ176" i="26" s="1"/>
  <c r="FQ176" i="26" s="1"/>
  <c r="EZ305" i="26"/>
  <c r="FQ305" i="26" s="1"/>
  <c r="FA287" i="26"/>
  <c r="S202" i="32"/>
  <c r="T202" i="32" s="1"/>
  <c r="FA257" i="26"/>
  <c r="AO252" i="32"/>
  <c r="V161" i="26"/>
  <c r="V175" i="26"/>
  <c r="FA317" i="26"/>
  <c r="S232" i="32"/>
  <c r="T232" i="32" s="1"/>
  <c r="FQ225" i="26"/>
  <c r="AP255" i="32" s="1"/>
  <c r="S203" i="32"/>
  <c r="T203" i="32" s="1"/>
  <c r="FA293" i="26"/>
  <c r="V172" i="26"/>
  <c r="FA181" i="26"/>
  <c r="S142" i="26"/>
  <c r="V142" i="26" s="1"/>
  <c r="FQ320" i="26"/>
  <c r="AP308" i="32" s="1"/>
  <c r="FB157" i="26"/>
  <c r="FB159" i="26" s="1"/>
  <c r="V174" i="26"/>
  <c r="FA311" i="26"/>
  <c r="V182" i="26"/>
  <c r="V181" i="26"/>
  <c r="FA155" i="26"/>
  <c r="EZ155" i="26" s="1"/>
  <c r="FQ155" i="26" s="1"/>
  <c r="S183" i="26"/>
  <c r="S230" i="32" s="1"/>
  <c r="T230" i="32" s="1"/>
  <c r="S165" i="26"/>
  <c r="V165" i="26" s="1"/>
  <c r="AS225" i="32"/>
  <c r="AT225" i="32" s="1"/>
  <c r="FS234" i="26"/>
  <c r="FR165" i="26"/>
  <c r="AS212" i="32" s="1"/>
  <c r="AT212" i="32" s="1"/>
  <c r="FS255" i="26"/>
  <c r="AS252" i="32"/>
  <c r="AT252" i="32" s="1"/>
  <c r="FS262" i="26"/>
  <c r="FS321" i="26"/>
  <c r="FS238" i="26"/>
  <c r="FR293" i="26"/>
  <c r="FS293" i="26" s="1"/>
  <c r="FR263" i="26"/>
  <c r="FR183" i="26"/>
  <c r="FS179" i="26"/>
  <c r="AS211" i="32"/>
  <c r="AT211" i="32" s="1"/>
  <c r="AS204" i="32"/>
  <c r="AT204" i="32" s="1"/>
  <c r="FR221" i="26"/>
  <c r="FS221" i="26" s="1"/>
  <c r="EW159" i="26"/>
  <c r="EV211" i="26"/>
  <c r="ER211" i="26" s="1"/>
  <c r="EY137" i="26"/>
  <c r="EV180" i="26"/>
  <c r="EU142" i="26"/>
  <c r="EV182" i="26"/>
  <c r="EW142" i="26"/>
  <c r="EU148" i="26"/>
  <c r="EY171" i="26"/>
  <c r="EV174" i="26"/>
  <c r="ER212" i="26"/>
  <c r="EV158" i="26"/>
  <c r="EU152" i="26"/>
  <c r="EV154" i="26"/>
  <c r="EV173" i="26"/>
  <c r="EW148" i="26"/>
  <c r="EX183" i="26"/>
  <c r="EU183" i="26"/>
  <c r="EY159" i="26"/>
  <c r="EW177" i="26"/>
  <c r="ER196" i="26"/>
  <c r="EU137" i="26"/>
  <c r="EY183" i="26"/>
  <c r="EY148" i="26"/>
  <c r="FB142" i="26"/>
  <c r="FD162" i="26"/>
  <c r="FB165" i="26"/>
  <c r="FG171" i="26"/>
  <c r="FD176" i="26"/>
  <c r="FE134" i="26"/>
  <c r="FC137" i="26"/>
  <c r="FD169" i="26"/>
  <c r="FB183" i="26"/>
  <c r="FD154" i="26"/>
  <c r="FC165" i="26"/>
  <c r="FD163" i="26"/>
  <c r="FD174" i="26"/>
  <c r="FG134" i="26"/>
  <c r="FD181" i="26"/>
  <c r="FE165" i="26"/>
  <c r="FF134" i="26"/>
  <c r="FC183" i="26"/>
  <c r="FD155" i="26"/>
  <c r="FF159" i="26"/>
  <c r="FD167" i="26"/>
  <c r="FG142" i="26"/>
  <c r="FG177" i="26"/>
  <c r="FE177" i="26"/>
  <c r="FD180" i="26"/>
  <c r="FD161" i="26"/>
  <c r="FE171" i="26"/>
  <c r="FD197" i="26"/>
  <c r="FP127" i="26"/>
  <c r="O121" i="26"/>
  <c r="O119" i="26"/>
  <c r="O120" i="26"/>
  <c r="BO148" i="26"/>
  <c r="AE195" i="32" s="1"/>
  <c r="BO137" i="26"/>
  <c r="AE184" i="32" s="1"/>
  <c r="U182" i="26"/>
  <c r="S112" i="26"/>
  <c r="U181" i="26"/>
  <c r="U171" i="26"/>
  <c r="U165" i="26"/>
  <c r="U57" i="26"/>
  <c r="U41" i="26"/>
  <c r="U45" i="26"/>
  <c r="U40" i="26"/>
  <c r="U34" i="26"/>
  <c r="U36" i="26"/>
  <c r="U35" i="26"/>
  <c r="T101" i="26"/>
  <c r="U49" i="26" s="1"/>
  <c r="F112" i="26" s="1"/>
  <c r="U18" i="26"/>
  <c r="ET156" i="26"/>
  <c r="ET142" i="26" s="1"/>
  <c r="ES239" i="26"/>
  <c r="AN269" i="32" s="1"/>
  <c r="ER206" i="26"/>
  <c r="AN248" i="32"/>
  <c r="ES179" i="26"/>
  <c r="ER179" i="26" s="1"/>
  <c r="AN226" i="32" s="1"/>
  <c r="ES162" i="26"/>
  <c r="ER162" i="26" s="1"/>
  <c r="AN209" i="32" s="1"/>
  <c r="ES181" i="26"/>
  <c r="ER181" i="26" s="1"/>
  <c r="AN228" i="32" s="1"/>
  <c r="ES323" i="26"/>
  <c r="AN311" i="32" s="1"/>
  <c r="ES168" i="26"/>
  <c r="ER168" i="26" s="1"/>
  <c r="AN215" i="32" s="1"/>
  <c r="AN250" i="32"/>
  <c r="ER208" i="26"/>
  <c r="ET167" i="26"/>
  <c r="ES175" i="26"/>
  <c r="ER175" i="26" s="1"/>
  <c r="AN222" i="32" s="1"/>
  <c r="ES317" i="26"/>
  <c r="ES182" i="26"/>
  <c r="ER182" i="26" s="1"/>
  <c r="AN229" i="32" s="1"/>
  <c r="ES227" i="26"/>
  <c r="AN257" i="32" s="1"/>
  <c r="R189" i="26"/>
  <c r="R236" i="32" s="1"/>
  <c r="ES155" i="26"/>
  <c r="ES164" i="26"/>
  <c r="ER164" i="26" s="1"/>
  <c r="AN211" i="32" s="1"/>
  <c r="ES170" i="26"/>
  <c r="ER170" i="26" s="1"/>
  <c r="AN217" i="32" s="1"/>
  <c r="ES263" i="26"/>
  <c r="AN287" i="32" s="1"/>
  <c r="AN247" i="32"/>
  <c r="ES299" i="26"/>
  <c r="ES180" i="26"/>
  <c r="ER180" i="26" s="1"/>
  <c r="AN227" i="32" s="1"/>
  <c r="ES173" i="26"/>
  <c r="ER173" i="26" s="1"/>
  <c r="AN220" i="32" s="1"/>
  <c r="ES305" i="26"/>
  <c r="ES169" i="26"/>
  <c r="ER169" i="26" s="1"/>
  <c r="AN216" i="32" s="1"/>
  <c r="ES158" i="26"/>
  <c r="ES172" i="26"/>
  <c r="ER172" i="26" s="1"/>
  <c r="AN219" i="32" s="1"/>
  <c r="ES156" i="26"/>
  <c r="R159" i="26"/>
  <c r="ES251" i="26"/>
  <c r="AN275" i="32" s="1"/>
  <c r="R206" i="32"/>
  <c r="ES233" i="26"/>
  <c r="AN263" i="32" s="1"/>
  <c r="R137" i="26"/>
  <c r="R184" i="32" s="1"/>
  <c r="ET209" i="26"/>
  <c r="AN251" i="32" s="1"/>
  <c r="AN246" i="32"/>
  <c r="ES166" i="26"/>
  <c r="R148" i="26"/>
  <c r="R195" i="32" s="1"/>
  <c r="ES161" i="26"/>
  <c r="ER161" i="26" s="1"/>
  <c r="AN208" i="32" s="1"/>
  <c r="R177" i="26"/>
  <c r="R224" i="32" s="1"/>
  <c r="R212" i="32"/>
  <c r="R152" i="26"/>
  <c r="R199" i="32" s="1"/>
  <c r="ES275" i="26"/>
  <c r="AN293" i="32" s="1"/>
  <c r="ES257" i="26"/>
  <c r="AN281" i="32" s="1"/>
  <c r="ES154" i="26"/>
  <c r="ES269" i="26"/>
  <c r="ES178" i="26"/>
  <c r="ES221" i="26"/>
  <c r="ET166" i="26"/>
  <c r="ES293" i="26"/>
  <c r="EZ296" i="26"/>
  <c r="FQ296" i="26" s="1"/>
  <c r="FA299" i="26"/>
  <c r="AO258" i="32"/>
  <c r="V7" i="26"/>
  <c r="AO270" i="32"/>
  <c r="EZ251" i="26"/>
  <c r="FQ251" i="26" s="1"/>
  <c r="AP275" i="32" s="1"/>
  <c r="I120" i="39"/>
  <c r="J120" i="39" s="1"/>
  <c r="I110" i="39"/>
  <c r="J110" i="39" s="1"/>
  <c r="I86" i="39"/>
  <c r="J86" i="39" s="1"/>
  <c r="I185" i="39"/>
  <c r="J185" i="39" s="1"/>
  <c r="I136" i="39"/>
  <c r="J136" i="39" s="1"/>
  <c r="I149" i="39"/>
  <c r="J149" i="39" s="1"/>
  <c r="I83" i="39"/>
  <c r="J83" i="39" s="1"/>
  <c r="I215" i="39"/>
  <c r="J215" i="39" s="1"/>
  <c r="I137" i="39"/>
  <c r="J137" i="39" s="1"/>
  <c r="I213" i="39"/>
  <c r="J213" i="39" s="1"/>
  <c r="I308" i="39"/>
  <c r="J308" i="39" s="1"/>
  <c r="I32" i="39"/>
  <c r="J32" i="39" s="1"/>
  <c r="I264" i="39"/>
  <c r="J264" i="39" s="1"/>
  <c r="I206" i="39"/>
  <c r="J206" i="39" s="1"/>
  <c r="I80" i="39"/>
  <c r="J80" i="39" s="1"/>
  <c r="I301" i="39"/>
  <c r="J301" i="39" s="1"/>
  <c r="I239" i="39"/>
  <c r="J239" i="39" s="1"/>
  <c r="I382" i="39"/>
  <c r="J382" i="39" s="1"/>
  <c r="I155" i="39"/>
  <c r="J155" i="39" s="1"/>
  <c r="I22" i="39"/>
  <c r="J22" i="39" s="1"/>
  <c r="I245" i="39"/>
  <c r="J245" i="39" s="1"/>
  <c r="I180" i="39"/>
  <c r="J180" i="39" s="1"/>
  <c r="I338" i="39"/>
  <c r="J338" i="39" s="1"/>
  <c r="I196" i="39"/>
  <c r="J196" i="39" s="1"/>
  <c r="I115" i="39"/>
  <c r="J115" i="39" s="1"/>
  <c r="I272" i="39"/>
  <c r="J272" i="39" s="1"/>
  <c r="I14" i="39"/>
  <c r="J14" i="39" s="1"/>
  <c r="I172" i="39"/>
  <c r="J172" i="39" s="1"/>
  <c r="I324" i="39"/>
  <c r="J324" i="39" s="1"/>
  <c r="I351" i="39"/>
  <c r="J351" i="39" s="1"/>
  <c r="S189" i="26"/>
  <c r="V189" i="26" s="1"/>
  <c r="FA164" i="26"/>
  <c r="EZ164" i="26" s="1"/>
  <c r="AO211" i="32" s="1"/>
  <c r="AP211" i="32" s="1"/>
  <c r="S171" i="26"/>
  <c r="V171" i="26" s="1"/>
  <c r="AO297" i="32"/>
  <c r="FQ279" i="26"/>
  <c r="AP297" i="32" s="1"/>
  <c r="AO261" i="32"/>
  <c r="EZ281" i="26"/>
  <c r="EZ198" i="26"/>
  <c r="S137" i="26"/>
  <c r="AO253" i="32"/>
  <c r="V162" i="26"/>
  <c r="FB166" i="26"/>
  <c r="FB134" i="26" s="1"/>
  <c r="EZ204" i="26"/>
  <c r="FQ248" i="26"/>
  <c r="AP272" i="32" s="1"/>
  <c r="EZ263" i="26"/>
  <c r="AO272" i="32"/>
  <c r="EZ245" i="26"/>
  <c r="FQ245" i="26" s="1"/>
  <c r="EZ257" i="26"/>
  <c r="S204" i="32"/>
  <c r="T204" i="32" s="1"/>
  <c r="FA233" i="26"/>
  <c r="FA154" i="26"/>
  <c r="EZ229" i="26"/>
  <c r="EZ316" i="26"/>
  <c r="FQ316" i="26" s="1"/>
  <c r="FA182" i="26"/>
  <c r="EZ182" i="26" s="1"/>
  <c r="FQ255" i="26"/>
  <c r="AP279" i="32" s="1"/>
  <c r="V157" i="26"/>
  <c r="EZ323" i="26"/>
  <c r="AO256" i="32"/>
  <c r="FQ226" i="26"/>
  <c r="AP256" i="32" s="1"/>
  <c r="FQ237" i="26"/>
  <c r="AP267" i="32" s="1"/>
  <c r="AO267" i="32"/>
  <c r="EZ287" i="26"/>
  <c r="FB152" i="26"/>
  <c r="S159" i="26"/>
  <c r="V159" i="26" s="1"/>
  <c r="V154" i="26"/>
  <c r="S231" i="32"/>
  <c r="T231" i="32" s="1"/>
  <c r="V184" i="26"/>
  <c r="EZ207" i="26"/>
  <c r="FB169" i="26"/>
  <c r="S201" i="32"/>
  <c r="FA156" i="26"/>
  <c r="EZ156" i="26" s="1"/>
  <c r="AO295" i="32"/>
  <c r="FQ277" i="26"/>
  <c r="AP295" i="32" s="1"/>
  <c r="S134" i="26"/>
  <c r="EZ199" i="26"/>
  <c r="AO277" i="32"/>
  <c r="EZ224" i="26"/>
  <c r="AO285" i="32"/>
  <c r="AO301" i="32"/>
  <c r="S210" i="32"/>
  <c r="S177" i="26"/>
  <c r="R218" i="32"/>
  <c r="AN240" i="32"/>
  <c r="ER203" i="26"/>
  <c r="ES160" i="26"/>
  <c r="ER160" i="26" s="1"/>
  <c r="AN207" i="32" s="1"/>
  <c r="ES174" i="26"/>
  <c r="ER174" i="26" s="1"/>
  <c r="AN221" i="32" s="1"/>
  <c r="ES287" i="26"/>
  <c r="AN305" i="32" s="1"/>
  <c r="R134" i="26"/>
  <c r="R181" i="32" s="1"/>
  <c r="ES281" i="26"/>
  <c r="AN299" i="32" s="1"/>
  <c r="R171" i="26"/>
  <c r="ES167" i="26"/>
  <c r="ET155" i="26"/>
  <c r="R219" i="32"/>
  <c r="AN276" i="32"/>
  <c r="ET158" i="26"/>
  <c r="ET152" i="26" s="1"/>
  <c r="ET157" i="26"/>
  <c r="R142" i="26"/>
  <c r="R189" i="32" s="1"/>
  <c r="ES163" i="26"/>
  <c r="ER163" i="26" s="1"/>
  <c r="AN210" i="32" s="1"/>
  <c r="ES311" i="26"/>
  <c r="R165" i="26"/>
  <c r="ET154" i="26"/>
  <c r="ES157" i="26"/>
  <c r="ES245" i="26"/>
  <c r="ET203" i="26"/>
  <c r="R183" i="26"/>
  <c r="R230" i="32" s="1"/>
  <c r="FS223" i="26"/>
  <c r="FR245" i="26"/>
  <c r="FS245" i="26" s="1"/>
  <c r="FR227" i="26"/>
  <c r="EV197" i="26"/>
  <c r="ER192" i="26"/>
  <c r="ER210" i="26"/>
  <c r="EU165" i="26"/>
  <c r="EX159" i="26"/>
  <c r="ET165" i="26"/>
  <c r="EV176" i="26"/>
  <c r="EX197" i="26"/>
  <c r="EV172" i="26"/>
  <c r="EY134" i="26"/>
  <c r="EV155" i="26"/>
  <c r="EW165" i="26"/>
  <c r="FQ211" i="26"/>
  <c r="EZ215" i="26"/>
  <c r="FQ215" i="26" s="1"/>
  <c r="FD215" i="26"/>
  <c r="EZ197" i="26"/>
  <c r="FQ197" i="26" s="1"/>
  <c r="FQ192" i="26"/>
  <c r="FC152" i="26"/>
  <c r="FF165" i="26"/>
  <c r="FG159" i="26"/>
  <c r="FF148" i="26"/>
  <c r="FD160" i="26"/>
  <c r="FB197" i="26"/>
  <c r="FB177" i="26"/>
  <c r="FE148" i="26"/>
  <c r="FE142" i="26"/>
  <c r="FG165" i="26"/>
  <c r="FE137" i="26"/>
  <c r="FE159" i="26"/>
  <c r="FB215" i="26"/>
  <c r="FD166" i="26"/>
  <c r="FG152" i="26"/>
  <c r="FC159" i="26"/>
  <c r="FD179" i="26"/>
  <c r="FF215" i="26"/>
  <c r="FE183" i="26"/>
  <c r="K1" i="36"/>
  <c r="K114" i="26" l="1"/>
  <c r="AP160" i="32"/>
  <c r="P9" i="33"/>
  <c r="AO159" i="32"/>
  <c r="BF153" i="26"/>
  <c r="G102" i="26" s="1"/>
  <c r="AV153" i="26"/>
  <c r="F102" i="26" s="1"/>
  <c r="AL153" i="26"/>
  <c r="E102" i="26" s="1"/>
  <c r="AK153" i="26"/>
  <c r="AB200" i="32" s="1"/>
  <c r="AB181" i="32"/>
  <c r="AQ181" i="32" s="1"/>
  <c r="AR179" i="32" s="1"/>
  <c r="AB153" i="26"/>
  <c r="D102" i="26" s="1"/>
  <c r="AO157" i="32"/>
  <c r="S156" i="32"/>
  <c r="AO156" i="32"/>
  <c r="AN170" i="32"/>
  <c r="AP170" i="32" s="1"/>
  <c r="AO155" i="32"/>
  <c r="AO158" i="32"/>
  <c r="AM126" i="32"/>
  <c r="R127" i="32"/>
  <c r="R130" i="32"/>
  <c r="R125" i="32"/>
  <c r="T130" i="32"/>
  <c r="R129" i="32"/>
  <c r="S158" i="32"/>
  <c r="S160" i="32"/>
  <c r="S159" i="32"/>
  <c r="U160" i="32"/>
  <c r="S155" i="32"/>
  <c r="S157" i="32"/>
  <c r="AM130" i="32"/>
  <c r="AM128" i="32"/>
  <c r="AM127" i="32"/>
  <c r="AM129" i="32"/>
  <c r="AN130" i="32"/>
  <c r="R128" i="32"/>
  <c r="DX153" i="26"/>
  <c r="N102" i="26" s="1"/>
  <c r="DW153" i="26"/>
  <c r="AK200" i="32" s="1"/>
  <c r="AK184" i="32"/>
  <c r="V192" i="32"/>
  <c r="U134" i="26"/>
  <c r="E109" i="26" s="1"/>
  <c r="CT153" i="26"/>
  <c r="K102" i="26" s="1"/>
  <c r="CS153" i="26"/>
  <c r="AH200" i="32" s="1"/>
  <c r="U132" i="26"/>
  <c r="U130" i="26"/>
  <c r="U145" i="26"/>
  <c r="T75" i="32"/>
  <c r="U151" i="26"/>
  <c r="T73" i="32"/>
  <c r="U148" i="26"/>
  <c r="E112" i="26" s="1"/>
  <c r="U144" i="26"/>
  <c r="U146" i="26"/>
  <c r="CJ153" i="26"/>
  <c r="J102" i="26" s="1"/>
  <c r="CI153" i="26"/>
  <c r="AG200" i="32" s="1"/>
  <c r="V231" i="32"/>
  <c r="FR206" i="26"/>
  <c r="AS248" i="32" s="1"/>
  <c r="AT248" i="32" s="1"/>
  <c r="AO248" i="32"/>
  <c r="U149" i="26"/>
  <c r="DD153" i="26"/>
  <c r="L102" i="26" s="1"/>
  <c r="EH153" i="26"/>
  <c r="O102" i="26" s="1"/>
  <c r="EG153" i="26"/>
  <c r="AL200" i="32" s="1"/>
  <c r="DM153" i="26"/>
  <c r="AJ200" i="32" s="1"/>
  <c r="U142" i="26"/>
  <c r="E111" i="26" s="1"/>
  <c r="DN153" i="26"/>
  <c r="M102" i="26" s="1"/>
  <c r="U139" i="26"/>
  <c r="U138" i="26"/>
  <c r="AA153" i="26"/>
  <c r="AA200" i="32" s="1"/>
  <c r="U152" i="26"/>
  <c r="E113" i="26" s="1"/>
  <c r="AU153" i="26"/>
  <c r="AC200" i="32" s="1"/>
  <c r="AD184" i="32"/>
  <c r="BE153" i="26"/>
  <c r="AD200" i="32" s="1"/>
  <c r="DC153" i="26"/>
  <c r="AI200" i="32" s="1"/>
  <c r="V233" i="32"/>
  <c r="S218" i="32"/>
  <c r="T218" i="32" s="1"/>
  <c r="AS275" i="32"/>
  <c r="AT275" i="32" s="1"/>
  <c r="S115" i="26"/>
  <c r="T112" i="26" s="1"/>
  <c r="AO244" i="32"/>
  <c r="V186" i="32"/>
  <c r="V216" i="32"/>
  <c r="T68" i="32"/>
  <c r="V184" i="32"/>
  <c r="E104" i="32" s="1"/>
  <c r="V177" i="32"/>
  <c r="FS281" i="26"/>
  <c r="AS269" i="32"/>
  <c r="AT269" i="32" s="1"/>
  <c r="V197" i="32"/>
  <c r="V56" i="32"/>
  <c r="AO247" i="32"/>
  <c r="AO242" i="32"/>
  <c r="FR205" i="26"/>
  <c r="FS205" i="26" s="1"/>
  <c r="EZ169" i="26"/>
  <c r="AO216" i="32" s="1"/>
  <c r="AP216" i="32" s="1"/>
  <c r="V203" i="32"/>
  <c r="V74" i="32"/>
  <c r="T70" i="32"/>
  <c r="AQ199" i="32"/>
  <c r="AR198" i="32" s="1"/>
  <c r="V225" i="32"/>
  <c r="V234" i="32"/>
  <c r="V228" i="32"/>
  <c r="V209" i="32"/>
  <c r="V210" i="32"/>
  <c r="V213" i="32"/>
  <c r="V217" i="32"/>
  <c r="V196" i="32"/>
  <c r="V187" i="32"/>
  <c r="Z77" i="32"/>
  <c r="V70" i="32"/>
  <c r="AO291" i="32"/>
  <c r="EZ275" i="26"/>
  <c r="FQ275" i="26" s="1"/>
  <c r="AP293" i="32" s="1"/>
  <c r="AS263" i="32"/>
  <c r="AT263" i="32" s="1"/>
  <c r="O114" i="32"/>
  <c r="AQ195" i="32"/>
  <c r="AR193" i="32" s="1"/>
  <c r="S107" i="32"/>
  <c r="S108" i="32" s="1"/>
  <c r="T105" i="32" s="1"/>
  <c r="V215" i="32"/>
  <c r="V214" i="32"/>
  <c r="V189" i="32"/>
  <c r="E105" i="32" s="1"/>
  <c r="V185" i="32"/>
  <c r="V182" i="32"/>
  <c r="V179" i="32"/>
  <c r="V80" i="32"/>
  <c r="V76" i="32"/>
  <c r="V75" i="32"/>
  <c r="V73" i="32"/>
  <c r="T71" i="32"/>
  <c r="Y71" i="32"/>
  <c r="AS250" i="32"/>
  <c r="AT250" i="32" s="1"/>
  <c r="FR170" i="26"/>
  <c r="FS170" i="26" s="1"/>
  <c r="AO250" i="32"/>
  <c r="FQ208" i="26"/>
  <c r="AP250" i="32" s="1"/>
  <c r="AS224" i="32"/>
  <c r="AT224" i="32" s="1"/>
  <c r="AQ230" i="32"/>
  <c r="AR225" i="32" s="1"/>
  <c r="BY153" i="26"/>
  <c r="AF200" i="32" s="1"/>
  <c r="AQ189" i="32"/>
  <c r="AR186" i="32" s="1"/>
  <c r="BZ153" i="26"/>
  <c r="I102" i="26" s="1"/>
  <c r="AQ218" i="32"/>
  <c r="AR213" i="32" s="1"/>
  <c r="AQ206" i="32"/>
  <c r="V232" i="32"/>
  <c r="V227" i="32"/>
  <c r="V223" i="32"/>
  <c r="V220" i="32"/>
  <c r="V221" i="32"/>
  <c r="V222" i="32"/>
  <c r="V219" i="32"/>
  <c r="V211" i="32"/>
  <c r="V198" i="32"/>
  <c r="V195" i="32"/>
  <c r="E106" i="32" s="1"/>
  <c r="V178" i="32"/>
  <c r="Z73" i="32"/>
  <c r="V57" i="32"/>
  <c r="EZ299" i="26"/>
  <c r="FQ299" i="26" s="1"/>
  <c r="FQ161" i="26"/>
  <c r="AO208" i="32"/>
  <c r="AP208" i="32" s="1"/>
  <c r="V65" i="32"/>
  <c r="V236" i="32"/>
  <c r="V200" i="32"/>
  <c r="V62" i="32"/>
  <c r="V78" i="32"/>
  <c r="V208" i="32"/>
  <c r="V60" i="32"/>
  <c r="V218" i="32"/>
  <c r="V224" i="32"/>
  <c r="V66" i="32"/>
  <c r="V181" i="32"/>
  <c r="E103" i="32" s="1"/>
  <c r="V212" i="32"/>
  <c r="V206" i="32"/>
  <c r="V190" i="32"/>
  <c r="V68" i="32"/>
  <c r="V199" i="32"/>
  <c r="E107" i="32" s="1"/>
  <c r="V226" i="32"/>
  <c r="V205" i="32"/>
  <c r="Z80" i="32"/>
  <c r="V230" i="32"/>
  <c r="V59" i="32"/>
  <c r="EV171" i="26"/>
  <c r="EV215" i="26"/>
  <c r="AO227" i="32"/>
  <c r="AP227" i="32" s="1"/>
  <c r="FQ164" i="26"/>
  <c r="EY153" i="26"/>
  <c r="FQ167" i="26"/>
  <c r="EV183" i="26"/>
  <c r="EW153" i="26"/>
  <c r="FA171" i="26"/>
  <c r="EV159" i="26"/>
  <c r="FD159" i="26"/>
  <c r="FD177" i="26"/>
  <c r="EU153" i="26"/>
  <c r="FD165" i="26"/>
  <c r="EV148" i="26"/>
  <c r="FF153" i="26"/>
  <c r="AO207" i="32"/>
  <c r="AP207" i="32" s="1"/>
  <c r="FA137" i="26"/>
  <c r="FD148" i="26"/>
  <c r="EV165" i="26"/>
  <c r="ER215" i="26"/>
  <c r="EV177" i="26"/>
  <c r="ER197" i="26"/>
  <c r="FS165" i="26"/>
  <c r="T65" i="32"/>
  <c r="U82" i="32"/>
  <c r="V81" i="32" s="1"/>
  <c r="F107" i="32" s="1"/>
  <c r="V204" i="32"/>
  <c r="V229" i="32"/>
  <c r="V207" i="32"/>
  <c r="Z75" i="32"/>
  <c r="EX153" i="26"/>
  <c r="V64" i="32"/>
  <c r="V69" i="32"/>
  <c r="EV134" i="26"/>
  <c r="AS206" i="32"/>
  <c r="AT206" i="32" s="1"/>
  <c r="AQ224" i="32"/>
  <c r="AR219" i="32" s="1"/>
  <c r="V191" i="32"/>
  <c r="AQ212" i="32"/>
  <c r="AR207" i="32" s="1"/>
  <c r="V58" i="32"/>
  <c r="V201" i="32"/>
  <c r="Z72" i="32"/>
  <c r="V202" i="32"/>
  <c r="FD152" i="26"/>
  <c r="V193" i="32"/>
  <c r="V71" i="32"/>
  <c r="V235" i="32"/>
  <c r="AO275" i="32"/>
  <c r="O115" i="32"/>
  <c r="EV142" i="26"/>
  <c r="V79" i="32"/>
  <c r="V61" i="32"/>
  <c r="Q101" i="26"/>
  <c r="AM200" i="32"/>
  <c r="Q82" i="32" s="1"/>
  <c r="I116" i="32"/>
  <c r="K108" i="32"/>
  <c r="BP153" i="26"/>
  <c r="H102" i="26" s="1"/>
  <c r="EZ157" i="26"/>
  <c r="FQ157" i="26" s="1"/>
  <c r="S189" i="32"/>
  <c r="T189" i="32" s="1"/>
  <c r="AO269" i="32"/>
  <c r="FQ239" i="26"/>
  <c r="AP269" i="32" s="1"/>
  <c r="FQ265" i="26"/>
  <c r="EZ269" i="26"/>
  <c r="FQ269" i="26" s="1"/>
  <c r="FQ173" i="26"/>
  <c r="S195" i="32"/>
  <c r="T195" i="32" s="1"/>
  <c r="FS275" i="26"/>
  <c r="AS293" i="32"/>
  <c r="AT293" i="32" s="1"/>
  <c r="AS281" i="32"/>
  <c r="AT281" i="32" s="1"/>
  <c r="FS323" i="26"/>
  <c r="AS311" i="32"/>
  <c r="AT311" i="32" s="1"/>
  <c r="FS287" i="26"/>
  <c r="EV152" i="26"/>
  <c r="EV137" i="26"/>
  <c r="FG153" i="26"/>
  <c r="FA165" i="26"/>
  <c r="FA148" i="26"/>
  <c r="FQ175" i="26"/>
  <c r="AO209" i="32"/>
  <c r="AP209" i="32" s="1"/>
  <c r="FA177" i="26"/>
  <c r="FE153" i="26"/>
  <c r="FC153" i="26"/>
  <c r="FA134" i="26"/>
  <c r="FD171" i="26"/>
  <c r="FD183" i="26"/>
  <c r="T64" i="32"/>
  <c r="FQ178" i="26"/>
  <c r="AO202" i="32"/>
  <c r="AP202" i="32" s="1"/>
  <c r="EZ181" i="26"/>
  <c r="EZ183" i="26" s="1"/>
  <c r="AO205" i="32"/>
  <c r="AP205" i="32" s="1"/>
  <c r="T76" i="32"/>
  <c r="FQ168" i="26"/>
  <c r="V183" i="26"/>
  <c r="S199" i="32"/>
  <c r="T199" i="32" s="1"/>
  <c r="V152" i="26"/>
  <c r="EZ137" i="26"/>
  <c r="FQ137" i="26" s="1"/>
  <c r="S236" i="32"/>
  <c r="T236" i="32" s="1"/>
  <c r="FQ179" i="26"/>
  <c r="EZ317" i="26"/>
  <c r="FQ317" i="26" s="1"/>
  <c r="AO223" i="32"/>
  <c r="AP223" i="32" s="1"/>
  <c r="FS183" i="26"/>
  <c r="AS230" i="32"/>
  <c r="AT230" i="32" s="1"/>
  <c r="AS287" i="32"/>
  <c r="AT287" i="32" s="1"/>
  <c r="FS263" i="26"/>
  <c r="FD142" i="26"/>
  <c r="BO153" i="26"/>
  <c r="AE200" i="32" s="1"/>
  <c r="U27" i="26"/>
  <c r="F110" i="26" s="1"/>
  <c r="U101" i="26"/>
  <c r="U38" i="26"/>
  <c r="F111" i="26" s="1"/>
  <c r="U60" i="26"/>
  <c r="F113" i="26" s="1"/>
  <c r="U16" i="26"/>
  <c r="F109" i="26" s="1"/>
  <c r="ER156" i="26"/>
  <c r="AN203" i="32" s="1"/>
  <c r="ER209" i="26"/>
  <c r="ER155" i="26"/>
  <c r="AN202" i="32" s="1"/>
  <c r="ES159" i="26"/>
  <c r="ET134" i="26"/>
  <c r="ES152" i="26"/>
  <c r="ES183" i="26"/>
  <c r="ES134" i="26"/>
  <c r="ES137" i="26"/>
  <c r="ER158" i="26"/>
  <c r="ER152" i="26" s="1"/>
  <c r="ER178" i="26"/>
  <c r="ER166" i="26"/>
  <c r="AN213" i="32" s="1"/>
  <c r="ES148" i="26"/>
  <c r="ET171" i="26"/>
  <c r="EZ154" i="26"/>
  <c r="FA183" i="26"/>
  <c r="FA142" i="26"/>
  <c r="S212" i="32"/>
  <c r="T212" i="32" s="1"/>
  <c r="T210" i="32"/>
  <c r="V134" i="26"/>
  <c r="S181" i="32"/>
  <c r="T181" i="32" s="1"/>
  <c r="FQ257" i="26"/>
  <c r="AP281" i="32" s="1"/>
  <c r="AO281" i="32"/>
  <c r="AO287" i="32"/>
  <c r="FQ263" i="26"/>
  <c r="AP287" i="32" s="1"/>
  <c r="S184" i="32"/>
  <c r="T184" i="32" s="1"/>
  <c r="V137" i="26"/>
  <c r="S224" i="32"/>
  <c r="T224" i="32" s="1"/>
  <c r="V177" i="26"/>
  <c r="EZ152" i="26"/>
  <c r="AO229" i="32"/>
  <c r="AP229" i="32" s="1"/>
  <c r="FQ182" i="26"/>
  <c r="AO246" i="32"/>
  <c r="FQ204" i="26"/>
  <c r="AP246" i="32" s="1"/>
  <c r="FR204" i="26"/>
  <c r="EZ209" i="26"/>
  <c r="EZ203" i="26"/>
  <c r="AO240" i="32"/>
  <c r="FQ198" i="26"/>
  <c r="AP240" i="32" s="1"/>
  <c r="AO249" i="32"/>
  <c r="FR207" i="26"/>
  <c r="FQ207" i="26"/>
  <c r="AP249" i="32" s="1"/>
  <c r="FB148" i="26"/>
  <c r="FB153" i="26" s="1"/>
  <c r="AO254" i="32"/>
  <c r="FQ224" i="26"/>
  <c r="AP254" i="32" s="1"/>
  <c r="EZ227" i="26"/>
  <c r="FQ323" i="26"/>
  <c r="AP311" i="32" s="1"/>
  <c r="AO311" i="32"/>
  <c r="FB171" i="26"/>
  <c r="EZ166" i="26"/>
  <c r="FQ281" i="26"/>
  <c r="AP299" i="32" s="1"/>
  <c r="AO299" i="32"/>
  <c r="S153" i="26"/>
  <c r="V153" i="26" s="1"/>
  <c r="FQ229" i="26"/>
  <c r="AP259" i="32" s="1"/>
  <c r="EZ233" i="26"/>
  <c r="AO259" i="32"/>
  <c r="FQ199" i="26"/>
  <c r="AP241" i="32" s="1"/>
  <c r="AO241" i="32"/>
  <c r="S206" i="32"/>
  <c r="T206" i="32" s="1"/>
  <c r="T201" i="32"/>
  <c r="FQ287" i="26"/>
  <c r="AP305" i="32" s="1"/>
  <c r="AO305" i="32"/>
  <c r="FA159" i="26"/>
  <c r="FA152" i="26"/>
  <c r="ER154" i="26"/>
  <c r="ER167" i="26"/>
  <c r="AN214" i="32" s="1"/>
  <c r="R200" i="32"/>
  <c r="ER177" i="26"/>
  <c r="AN224" i="32" s="1"/>
  <c r="ES165" i="26"/>
  <c r="ET159" i="26"/>
  <c r="ER157" i="26"/>
  <c r="AN204" i="32" s="1"/>
  <c r="ET148" i="26"/>
  <c r="ES171" i="26"/>
  <c r="R153" i="26"/>
  <c r="ES177" i="26"/>
  <c r="ES142" i="26"/>
  <c r="ET137" i="26"/>
  <c r="FS227" i="26"/>
  <c r="AS257" i="32"/>
  <c r="AT257" i="32" s="1"/>
  <c r="ER165" i="26"/>
  <c r="AN212" i="32" s="1"/>
  <c r="EZ177" i="26"/>
  <c r="FQ172" i="26"/>
  <c r="AO219" i="32"/>
  <c r="AP219" i="32" s="1"/>
  <c r="FQ163" i="26"/>
  <c r="AO210" i="32"/>
  <c r="AP210" i="32" s="1"/>
  <c r="AO217" i="32"/>
  <c r="AP217" i="32" s="1"/>
  <c r="FQ170" i="26"/>
  <c r="FD134" i="26"/>
  <c r="AO221" i="32"/>
  <c r="AP221" i="32" s="1"/>
  <c r="FQ174" i="26"/>
  <c r="EZ142" i="26"/>
  <c r="FQ156" i="26"/>
  <c r="AO203" i="32"/>
  <c r="AP203" i="32" s="1"/>
  <c r="FD137" i="26"/>
  <c r="EZ165" i="26"/>
  <c r="AQ184" i="32" l="1"/>
  <c r="AR182" i="32" s="1"/>
  <c r="AR201" i="32"/>
  <c r="N103" i="32"/>
  <c r="FR167" i="26"/>
  <c r="AS214" i="32" s="1"/>
  <c r="AT214" i="32" s="1"/>
  <c r="FR168" i="26"/>
  <c r="AS215" i="32" s="1"/>
  <c r="AT215" i="32" s="1"/>
  <c r="FS206" i="26"/>
  <c r="AR178" i="32"/>
  <c r="E114" i="26"/>
  <c r="AR177" i="32"/>
  <c r="T113" i="26"/>
  <c r="T115" i="26"/>
  <c r="T110" i="26"/>
  <c r="T109" i="26"/>
  <c r="T111" i="26"/>
  <c r="T114" i="26"/>
  <c r="AS247" i="32"/>
  <c r="AT247" i="32" s="1"/>
  <c r="EZ171" i="26"/>
  <c r="AO218" i="32" s="1"/>
  <c r="AP218" i="32" s="1"/>
  <c r="FQ169" i="26"/>
  <c r="AR196" i="32"/>
  <c r="AR197" i="32"/>
  <c r="AO293" i="32"/>
  <c r="AR192" i="32"/>
  <c r="AR190" i="32"/>
  <c r="AR191" i="32"/>
  <c r="AS217" i="32"/>
  <c r="AT217" i="32" s="1"/>
  <c r="FR152" i="26"/>
  <c r="FS152" i="26" s="1"/>
  <c r="AQ200" i="32"/>
  <c r="AR195" i="32" s="1"/>
  <c r="D106" i="32" s="1"/>
  <c r="AR227" i="32"/>
  <c r="AR229" i="32"/>
  <c r="N107" i="32"/>
  <c r="AR226" i="32"/>
  <c r="AR228" i="32"/>
  <c r="AR185" i="32"/>
  <c r="AR187" i="32"/>
  <c r="AR223" i="32"/>
  <c r="N106" i="32"/>
  <c r="AR221" i="32"/>
  <c r="AR222" i="32"/>
  <c r="AR220" i="32"/>
  <c r="AR214" i="32"/>
  <c r="AR215" i="32"/>
  <c r="AR216" i="32"/>
  <c r="AR217" i="32"/>
  <c r="N105" i="32"/>
  <c r="AR208" i="32"/>
  <c r="N104" i="32"/>
  <c r="AR210" i="32"/>
  <c r="AR211" i="32"/>
  <c r="AR202" i="32"/>
  <c r="AR203" i="32"/>
  <c r="AR205" i="32"/>
  <c r="AR204" i="32"/>
  <c r="T103" i="32"/>
  <c r="T106" i="32"/>
  <c r="T107" i="32"/>
  <c r="T104" i="32"/>
  <c r="T108" i="32"/>
  <c r="E108" i="32"/>
  <c r="V67" i="32"/>
  <c r="F104" i="32" s="1"/>
  <c r="V72" i="32"/>
  <c r="F105" i="32" s="1"/>
  <c r="S60" i="26"/>
  <c r="V60" i="26" s="1"/>
  <c r="EV153" i="26"/>
  <c r="AO204" i="32"/>
  <c r="AP204" i="32" s="1"/>
  <c r="V63" i="32"/>
  <c r="F103" i="32" s="1"/>
  <c r="V77" i="32"/>
  <c r="F106" i="32" s="1"/>
  <c r="AR209" i="32"/>
  <c r="V82" i="32"/>
  <c r="EZ134" i="26"/>
  <c r="FQ134" i="26" s="1"/>
  <c r="Z82" i="32"/>
  <c r="FQ154" i="26"/>
  <c r="AO201" i="32"/>
  <c r="AP201" i="32" s="1"/>
  <c r="EZ159" i="26"/>
  <c r="FQ159" i="26" s="1"/>
  <c r="S27" i="26"/>
  <c r="V27" i="26" s="1"/>
  <c r="AO184" i="32"/>
  <c r="AP184" i="32" s="1"/>
  <c r="EZ148" i="26"/>
  <c r="FQ148" i="26" s="1"/>
  <c r="FQ183" i="26"/>
  <c r="AO230" i="32"/>
  <c r="AP230" i="32" s="1"/>
  <c r="AO228" i="32"/>
  <c r="AP228" i="32" s="1"/>
  <c r="FQ181" i="26"/>
  <c r="FD153" i="26"/>
  <c r="F114" i="26"/>
  <c r="ER142" i="26"/>
  <c r="R38" i="26" s="1"/>
  <c r="ET153" i="26"/>
  <c r="AN205" i="32"/>
  <c r="ES153" i="26"/>
  <c r="ER171" i="26"/>
  <c r="AN218" i="32" s="1"/>
  <c r="AN225" i="32"/>
  <c r="ER183" i="26"/>
  <c r="AN230" i="32" s="1"/>
  <c r="FQ152" i="26"/>
  <c r="AO199" i="32"/>
  <c r="AP199" i="32" s="1"/>
  <c r="FS204" i="26"/>
  <c r="FR166" i="26"/>
  <c r="AS246" i="32"/>
  <c r="AT246" i="32" s="1"/>
  <c r="FR209" i="26"/>
  <c r="AO263" i="32"/>
  <c r="FQ233" i="26"/>
  <c r="AP263" i="32" s="1"/>
  <c r="FR169" i="26"/>
  <c r="FS207" i="26"/>
  <c r="AS249" i="32"/>
  <c r="AT249" i="32" s="1"/>
  <c r="FQ227" i="26"/>
  <c r="AP257" i="32" s="1"/>
  <c r="AO257" i="32"/>
  <c r="AO245" i="32"/>
  <c r="FQ203" i="26"/>
  <c r="AP245" i="32" s="1"/>
  <c r="FA153" i="26"/>
  <c r="FQ209" i="26"/>
  <c r="AP251" i="32" s="1"/>
  <c r="AO251" i="32"/>
  <c r="FQ166" i="26"/>
  <c r="AO213" i="32"/>
  <c r="AP213" i="32" s="1"/>
  <c r="S200" i="32"/>
  <c r="T200" i="32" s="1"/>
  <c r="ER137" i="26"/>
  <c r="R27" i="26" s="1"/>
  <c r="AN201" i="32"/>
  <c r="ER134" i="26"/>
  <c r="ER159" i="26"/>
  <c r="AN206" i="32" s="1"/>
  <c r="ER148" i="26"/>
  <c r="R49" i="26" s="1"/>
  <c r="AN199" i="32"/>
  <c r="R81" i="32" s="1"/>
  <c r="R60" i="26"/>
  <c r="S38" i="26"/>
  <c r="V38" i="26" s="1"/>
  <c r="AO189" i="32"/>
  <c r="FQ142" i="26"/>
  <c r="AO224" i="32"/>
  <c r="AP224" i="32" s="1"/>
  <c r="FQ177" i="26"/>
  <c r="AO212" i="32"/>
  <c r="AP212" i="32" s="1"/>
  <c r="FQ165" i="26"/>
  <c r="FR137" i="26" l="1"/>
  <c r="W27" i="26" s="1"/>
  <c r="X27" i="26" s="1"/>
  <c r="FS167" i="26"/>
  <c r="FS168" i="26"/>
  <c r="FR142" i="26"/>
  <c r="AS189" i="32" s="1"/>
  <c r="AT189" i="32" s="1"/>
  <c r="FQ171" i="26"/>
  <c r="W60" i="26"/>
  <c r="X60" i="26" s="1"/>
  <c r="AR184" i="32"/>
  <c r="D104" i="32" s="1"/>
  <c r="AR206" i="32"/>
  <c r="AS199" i="32"/>
  <c r="W81" i="32" s="1"/>
  <c r="X81" i="32" s="1"/>
  <c r="C114" i="32"/>
  <c r="D114" i="32" s="1"/>
  <c r="AR224" i="32"/>
  <c r="AR199" i="32"/>
  <c r="D107" i="32" s="1"/>
  <c r="AR189" i="32"/>
  <c r="D105" i="32" s="1"/>
  <c r="AR212" i="32"/>
  <c r="AR200" i="32"/>
  <c r="AR181" i="32"/>
  <c r="D103" i="32" s="1"/>
  <c r="AR218" i="32"/>
  <c r="AR230" i="32"/>
  <c r="N108" i="32"/>
  <c r="O103" i="32" s="1"/>
  <c r="F108" i="32"/>
  <c r="AO181" i="32"/>
  <c r="AP181" i="32" s="1"/>
  <c r="S16" i="26"/>
  <c r="V16" i="26" s="1"/>
  <c r="AO206" i="32"/>
  <c r="AP206" i="32" s="1"/>
  <c r="S67" i="32"/>
  <c r="Y67" i="32" s="1"/>
  <c r="EZ153" i="26"/>
  <c r="FQ153" i="26" s="1"/>
  <c r="S81" i="32"/>
  <c r="Y81" i="32" s="1"/>
  <c r="AO195" i="32"/>
  <c r="S49" i="26"/>
  <c r="V49" i="26" s="1"/>
  <c r="AN189" i="32"/>
  <c r="R72" i="32" s="1"/>
  <c r="AN184" i="32"/>
  <c r="R67" i="32" s="1"/>
  <c r="AN195" i="32"/>
  <c r="R77" i="32" s="1"/>
  <c r="FS169" i="26"/>
  <c r="AS216" i="32"/>
  <c r="AT216" i="32" s="1"/>
  <c r="FR148" i="26"/>
  <c r="FS209" i="26"/>
  <c r="AS251" i="32"/>
  <c r="AT251" i="32" s="1"/>
  <c r="AS213" i="32"/>
  <c r="AT213" i="32" s="1"/>
  <c r="FS166" i="26"/>
  <c r="FR134" i="26"/>
  <c r="FR171" i="26"/>
  <c r="AN181" i="32"/>
  <c r="R63" i="32" s="1"/>
  <c r="R16" i="26"/>
  <c r="R101" i="26" s="1"/>
  <c r="ER153" i="26"/>
  <c r="AN200" i="32" s="1"/>
  <c r="R82" i="32" s="1"/>
  <c r="S72" i="32"/>
  <c r="Y72" i="32" s="1"/>
  <c r="AP189" i="32"/>
  <c r="AS184" i="32" l="1"/>
  <c r="W67" i="32" s="1"/>
  <c r="X67" i="32" s="1"/>
  <c r="FS137" i="26"/>
  <c r="W72" i="32"/>
  <c r="X72" i="32" s="1"/>
  <c r="FS142" i="26"/>
  <c r="W38" i="26"/>
  <c r="X38" i="26" s="1"/>
  <c r="O107" i="32"/>
  <c r="E114" i="32"/>
  <c r="F114" i="32" s="1"/>
  <c r="AT199" i="32"/>
  <c r="D108" i="32"/>
  <c r="O108" i="32"/>
  <c r="O104" i="32"/>
  <c r="O105" i="32"/>
  <c r="O106" i="32"/>
  <c r="AO200" i="32"/>
  <c r="S82" i="32" s="1"/>
  <c r="Y82" i="32" s="1"/>
  <c r="S63" i="32"/>
  <c r="Y63" i="32" s="1"/>
  <c r="T67" i="32"/>
  <c r="S101" i="26"/>
  <c r="V101" i="26" s="1"/>
  <c r="T81" i="32"/>
  <c r="AP195" i="32"/>
  <c r="S77" i="32"/>
  <c r="Y77" i="32" s="1"/>
  <c r="AS195" i="32"/>
  <c r="FS148" i="26"/>
  <c r="W49" i="26"/>
  <c r="X49" i="26" s="1"/>
  <c r="FR153" i="26"/>
  <c r="AS218" i="32"/>
  <c r="AT218" i="32" s="1"/>
  <c r="FS171" i="26"/>
  <c r="AS181" i="32"/>
  <c r="W63" i="32" s="1"/>
  <c r="X63" i="32" s="1"/>
  <c r="FS134" i="26"/>
  <c r="W16" i="26"/>
  <c r="T72" i="32"/>
  <c r="AT184" i="32" l="1"/>
  <c r="AP200" i="32"/>
  <c r="T63" i="32"/>
  <c r="T77" i="32"/>
  <c r="AT195" i="32"/>
  <c r="W77" i="32"/>
  <c r="X77" i="32" s="1"/>
  <c r="X16" i="26"/>
  <c r="W101" i="26"/>
  <c r="X101" i="26" s="1"/>
  <c r="AT181" i="32"/>
  <c r="AS200" i="32"/>
  <c r="AT200" i="32" s="1"/>
  <c r="FS153" i="26"/>
  <c r="T82" i="32"/>
  <c r="W82" i="32" l="1"/>
  <c r="X82" i="32" s="1"/>
  <c r="FK163" i="26"/>
  <c r="FK295" i="26"/>
  <c r="FI206" i="26"/>
  <c r="FK315" i="26"/>
  <c r="FK195" i="26"/>
  <c r="FJ193" i="26"/>
  <c r="FL271" i="26"/>
  <c r="FI278" i="26"/>
  <c r="FK216" i="26"/>
  <c r="FK314" i="26"/>
  <c r="FK213" i="26"/>
  <c r="FJ246" i="26"/>
  <c r="FL282" i="26"/>
  <c r="FN173" i="26"/>
  <c r="FL232" i="26"/>
  <c r="FH170" i="26"/>
  <c r="FK181" i="26"/>
  <c r="FI223" i="26"/>
  <c r="FK276" i="26"/>
  <c r="FN179" i="26"/>
  <c r="FO266" i="26"/>
  <c r="FH172" i="26"/>
  <c r="FJ160" i="26"/>
  <c r="FL198" i="26"/>
  <c r="FL258" i="26"/>
  <c r="FN178" i="26"/>
  <c r="FK179" i="26"/>
  <c r="FK199" i="26"/>
  <c r="FJ180" i="26"/>
  <c r="FL214" i="26"/>
  <c r="FK218" i="26"/>
  <c r="FO206" i="26"/>
  <c r="FL167" i="26"/>
  <c r="FO168" i="26"/>
  <c r="FN134" i="26"/>
  <c r="FN289" i="26"/>
  <c r="FJ194" i="26"/>
  <c r="FK210" i="26"/>
  <c r="FK170" i="26"/>
  <c r="FK252" i="26"/>
  <c r="FK158" i="26"/>
  <c r="FI195" i="26"/>
  <c r="FI246" i="26"/>
  <c r="FO284" i="26"/>
  <c r="FK313" i="26"/>
  <c r="FI208" i="26"/>
  <c r="FK228" i="26"/>
  <c r="FO172" i="26"/>
  <c r="FJ247" i="26"/>
  <c r="FJ170" i="26"/>
  <c r="FI294" i="26"/>
  <c r="FK155" i="26"/>
  <c r="FI152" i="26"/>
  <c r="FK278" i="26"/>
  <c r="FM204" i="26"/>
  <c r="FN216" i="26"/>
  <c r="FO193" i="26"/>
  <c r="FJ182" i="26"/>
  <c r="FO247" i="26"/>
  <c r="FH195" i="26"/>
  <c r="FK205" i="26"/>
  <c r="FI162" i="26"/>
  <c r="FK230" i="26"/>
  <c r="FJ198" i="26"/>
  <c r="FJ220" i="26"/>
  <c r="FL196" i="26"/>
  <c r="FL283" i="26"/>
  <c r="FO288" i="26"/>
  <c r="FI212" i="26"/>
  <c r="FN259" i="26"/>
  <c r="FO278" i="26"/>
  <c r="FO301" i="26"/>
  <c r="FJ224" i="26"/>
  <c r="FI244" i="26"/>
  <c r="FL291" i="26"/>
  <c r="FK178" i="26"/>
  <c r="FI288" i="26"/>
  <c r="FK265" i="26"/>
  <c r="FH134" i="26"/>
  <c r="FJ179" i="26"/>
  <c r="FM302" i="26"/>
  <c r="FM161" i="26"/>
  <c r="FM172" i="26"/>
  <c r="FI232" i="26"/>
  <c r="FH166" i="26"/>
  <c r="FL241" i="26"/>
  <c r="FM137" i="26"/>
  <c r="FK180" i="26"/>
  <c r="FJ276" i="26"/>
  <c r="FI161" i="26"/>
  <c r="FI229" i="26"/>
  <c r="FM242" i="26"/>
  <c r="FI238" i="26"/>
  <c r="FL228" i="26"/>
  <c r="FM295" i="26"/>
  <c r="FJ206" i="26"/>
  <c r="FI266" i="26"/>
  <c r="FL231" i="26"/>
  <c r="FM236" i="26"/>
  <c r="FH192" i="26"/>
  <c r="FN272" i="26"/>
  <c r="FH193" i="26"/>
  <c r="FO314" i="26"/>
  <c r="FO240" i="26"/>
  <c r="FM266" i="26"/>
  <c r="FI252" i="26"/>
  <c r="FK169" i="26"/>
  <c r="FO166" i="26"/>
  <c r="FM142" i="26"/>
  <c r="FI249" i="26"/>
  <c r="FK288" i="26"/>
  <c r="FK258" i="26"/>
  <c r="FJ142" i="26"/>
  <c r="FN260" i="26"/>
  <c r="FI166" i="26"/>
  <c r="FJ155" i="26"/>
  <c r="FH154" i="26"/>
  <c r="FI248" i="26"/>
  <c r="FM224" i="26"/>
  <c r="FN265" i="26"/>
  <c r="FL250" i="26"/>
  <c r="FK286" i="26"/>
  <c r="FJ314" i="26"/>
  <c r="FL199" i="26"/>
  <c r="FJ172" i="26"/>
  <c r="FJ205" i="26"/>
  <c r="FJ218" i="26"/>
  <c r="FH199" i="26"/>
  <c r="FK204" i="26"/>
  <c r="FK202" i="26"/>
  <c r="FL292" i="26"/>
  <c r="FO236" i="26"/>
  <c r="FI271" i="26"/>
  <c r="FL267" i="26"/>
  <c r="FI175" i="26"/>
  <c r="FI297" i="26"/>
  <c r="FO211" i="26"/>
  <c r="FN172" i="26"/>
  <c r="FH181" i="26"/>
  <c r="FO308" i="26"/>
  <c r="FI291" i="26"/>
  <c r="FK236" i="26"/>
  <c r="FO306" i="26"/>
  <c r="FN277" i="26"/>
  <c r="FI222" i="26"/>
  <c r="FM168" i="26"/>
  <c r="FL226" i="26"/>
  <c r="FO270" i="26"/>
  <c r="FK224" i="26"/>
  <c r="FJ231" i="26"/>
  <c r="FO192" i="26"/>
  <c r="FM160" i="26"/>
  <c r="FL238" i="26"/>
  <c r="FO137" i="26"/>
  <c r="FN276" i="26"/>
  <c r="FN254" i="26"/>
  <c r="FJ158" i="26"/>
  <c r="FH196" i="26"/>
  <c r="FK242" i="26"/>
  <c r="FK217" i="26"/>
  <c r="FH142" i="26"/>
  <c r="FI198" i="26"/>
  <c r="FM296" i="26"/>
  <c r="FN319" i="26"/>
  <c r="FO222" i="26"/>
  <c r="FI218" i="26"/>
  <c r="FK256" i="26"/>
  <c r="FJ226" i="26"/>
  <c r="FK249" i="26"/>
  <c r="FI228" i="26"/>
  <c r="FK220" i="26"/>
  <c r="FM218" i="26"/>
  <c r="FL321" i="26"/>
  <c r="FO134" i="26"/>
  <c r="FO319" i="26"/>
  <c r="FM248" i="26"/>
  <c r="FL217" i="26"/>
  <c r="FL168" i="26"/>
  <c r="FK273" i="26"/>
  <c r="FH202" i="26"/>
  <c r="FK164" i="26"/>
  <c r="FM173" i="26"/>
  <c r="FL322" i="26"/>
  <c r="FN205" i="26"/>
  <c r="FO253" i="26"/>
  <c r="FM319" i="26"/>
  <c r="FI243" i="26"/>
  <c r="FK200" i="26"/>
  <c r="FJ310" i="26"/>
  <c r="FK259" i="26"/>
  <c r="FL247" i="26"/>
  <c r="FI260" i="26"/>
  <c r="FN228" i="26"/>
  <c r="FK198" i="26"/>
  <c r="FM211" i="26"/>
  <c r="FJ271" i="26"/>
  <c r="FJ266" i="26"/>
  <c r="FH157" i="26"/>
  <c r="FM198" i="26"/>
  <c r="FH200" i="26"/>
  <c r="FM253" i="26"/>
  <c r="FK175" i="26"/>
  <c r="FI181" i="26"/>
  <c r="FI268" i="26"/>
  <c r="FO259" i="26"/>
  <c r="FM276" i="26"/>
  <c r="FI137" i="26"/>
  <c r="FK291" i="26"/>
  <c r="FO246" i="26"/>
  <c r="FH219" i="26"/>
  <c r="FN235" i="26"/>
  <c r="FN166" i="26"/>
  <c r="FH220" i="26"/>
  <c r="FK289" i="26"/>
  <c r="FO194" i="26"/>
  <c r="FH162" i="26"/>
  <c r="FI214" i="26"/>
  <c r="FM234" i="26"/>
  <c r="FN204" i="26"/>
  <c r="FJ262" i="26"/>
  <c r="FN266" i="26"/>
  <c r="FM200" i="26"/>
  <c r="FJ321" i="26"/>
  <c r="FO264" i="26"/>
  <c r="FL220" i="26"/>
  <c r="FJ289" i="26"/>
  <c r="FJ249" i="26"/>
  <c r="FJ256" i="26"/>
  <c r="FK316" i="26"/>
  <c r="FM288" i="26"/>
  <c r="FL224" i="26"/>
  <c r="FI242" i="26"/>
  <c r="FJ161" i="26"/>
  <c r="FM174" i="26"/>
  <c r="FO229" i="26"/>
  <c r="FI241" i="26"/>
  <c r="FJ308" i="26"/>
  <c r="FK137" i="26"/>
  <c r="FJ195" i="26"/>
  <c r="FL173" i="26"/>
  <c r="FL216" i="26"/>
  <c r="FJ284" i="26"/>
  <c r="FK312" i="26"/>
  <c r="FM272" i="26"/>
  <c r="FI155" i="26"/>
  <c r="FH214" i="26"/>
  <c r="FM235" i="26"/>
  <c r="FO198" i="26"/>
  <c r="FL274" i="26"/>
  <c r="FL318" i="26"/>
  <c r="FI216" i="26"/>
  <c r="FH176" i="26"/>
  <c r="FM314" i="26"/>
  <c r="FH218" i="26"/>
  <c r="FO179" i="26"/>
  <c r="FI255" i="26"/>
  <c r="FO313" i="26"/>
  <c r="FL230" i="26"/>
  <c r="FL161" i="26"/>
  <c r="FI322" i="26"/>
  <c r="FI156" i="26"/>
  <c r="FN312" i="26"/>
  <c r="FK154" i="26"/>
  <c r="FJ322" i="26"/>
  <c r="FO318" i="26"/>
  <c r="FK250" i="26"/>
  <c r="FO282" i="26"/>
  <c r="FL302" i="26"/>
  <c r="FL307" i="26"/>
  <c r="FK148" i="26"/>
  <c r="FJ264" i="26"/>
  <c r="FO265" i="26"/>
  <c r="FN308" i="26"/>
  <c r="FM229" i="26"/>
  <c r="FM259" i="26"/>
  <c r="FI253" i="26"/>
  <c r="FL297" i="26"/>
  <c r="FN294" i="26"/>
  <c r="FM290" i="26"/>
  <c r="FL218" i="26"/>
  <c r="FI220" i="26"/>
  <c r="FJ273" i="26"/>
  <c r="FL242" i="26"/>
  <c r="FH180" i="26"/>
  <c r="FL277" i="26"/>
  <c r="FI226" i="26"/>
  <c r="FI319" i="26"/>
  <c r="FL207" i="26"/>
  <c r="FL222" i="26"/>
  <c r="FN247" i="26"/>
  <c r="FJ223" i="26"/>
  <c r="FN258" i="26"/>
  <c r="FH212" i="26"/>
  <c r="FK201" i="26"/>
  <c r="FH158" i="26"/>
  <c r="FO260" i="26"/>
  <c r="FJ230" i="26"/>
  <c r="FK208" i="26"/>
  <c r="FL253" i="26"/>
  <c r="FH161" i="26"/>
  <c r="FO234" i="26"/>
  <c r="FI178" i="26"/>
  <c r="FL154" i="26"/>
  <c r="FN199" i="26"/>
  <c r="FI173" i="26"/>
  <c r="FL296" i="26"/>
  <c r="FJ261" i="26"/>
  <c r="FL179" i="26"/>
  <c r="FL316" i="26"/>
  <c r="FN314" i="26"/>
  <c r="FH213" i="26"/>
  <c r="FH216" i="26"/>
  <c r="FK280" i="26"/>
  <c r="FI265" i="26"/>
  <c r="FM166" i="26"/>
  <c r="FK206" i="26"/>
  <c r="FJ252" i="26"/>
  <c r="FL249" i="26"/>
  <c r="FM223" i="26"/>
  <c r="FJ134" i="26"/>
  <c r="FJ234" i="26"/>
  <c r="FN217" i="26"/>
  <c r="FK156" i="26"/>
  <c r="FI270" i="26"/>
  <c r="FJ265" i="26"/>
  <c r="FN206" i="26"/>
  <c r="FM230" i="26"/>
  <c r="FK320" i="26"/>
  <c r="FL280" i="26"/>
  <c r="FH217" i="26"/>
  <c r="FI314" i="26"/>
  <c r="FN278" i="26"/>
  <c r="FJ204" i="26"/>
  <c r="FH163" i="26"/>
  <c r="FJ208" i="26"/>
  <c r="FI280" i="26"/>
  <c r="FO241" i="26"/>
  <c r="FI301" i="26"/>
  <c r="FJ253" i="26"/>
  <c r="FJ200" i="26"/>
  <c r="FI284" i="26"/>
  <c r="FJ285" i="26"/>
  <c r="FI225" i="26"/>
  <c r="FM212" i="26"/>
  <c r="FN282" i="26"/>
  <c r="FN302" i="26"/>
  <c r="FK272" i="26"/>
  <c r="FH167" i="26"/>
  <c r="FK194" i="26"/>
  <c r="FI168" i="26"/>
  <c r="FK166" i="26"/>
  <c r="FN252" i="26"/>
  <c r="FI296" i="26"/>
  <c r="FM278" i="26"/>
  <c r="FL278" i="26"/>
  <c r="FO173" i="26"/>
  <c r="FL294" i="26"/>
  <c r="FN180" i="26"/>
  <c r="FL204" i="26"/>
  <c r="FJ260" i="26"/>
  <c r="FJ313" i="26"/>
  <c r="FL290" i="26"/>
  <c r="FH173" i="26"/>
  <c r="FN242" i="26"/>
  <c r="FJ163" i="26"/>
  <c r="FI298" i="26"/>
  <c r="FL155" i="26"/>
  <c r="FJ199" i="26"/>
  <c r="FO216" i="26"/>
  <c r="FO295" i="26"/>
  <c r="FI148" i="26"/>
  <c r="FI307" i="26"/>
  <c r="FO162" i="26"/>
  <c r="FH198" i="26"/>
  <c r="FI303" i="26"/>
  <c r="FK168" i="26"/>
  <c r="FO271" i="26"/>
  <c r="FJ212" i="26"/>
  <c r="FM134" i="26"/>
  <c r="FO218" i="26"/>
  <c r="FM205" i="26"/>
  <c r="FL254" i="26"/>
  <c r="FI224" i="26"/>
  <c r="FI201" i="26"/>
  <c r="FO223" i="26"/>
  <c r="FK290" i="26"/>
  <c r="FL212" i="26"/>
  <c r="FN271" i="26"/>
  <c r="FM192" i="26"/>
  <c r="FL310" i="26"/>
  <c r="FL194" i="26"/>
  <c r="FL137" i="26"/>
  <c r="FI313" i="26"/>
  <c r="FI194" i="26"/>
  <c r="FN160" i="26"/>
  <c r="FO167" i="26"/>
  <c r="FJ240" i="26"/>
  <c r="FJ164" i="26"/>
  <c r="FI202" i="26"/>
  <c r="FJ225" i="26"/>
  <c r="FJ291" i="26"/>
  <c r="FL279" i="26"/>
  <c r="FK226" i="26"/>
  <c r="FK254" i="26"/>
  <c r="FL206" i="26"/>
  <c r="FL260" i="26"/>
  <c r="FN156" i="26"/>
  <c r="FI276" i="26"/>
  <c r="FI204" i="26"/>
  <c r="FI258" i="26"/>
  <c r="FJ174" i="26"/>
  <c r="FI304" i="26"/>
  <c r="FN155" i="26"/>
  <c r="FI236" i="26"/>
  <c r="FL300" i="26"/>
  <c r="FK268" i="26"/>
  <c r="FI193" i="26"/>
  <c r="FL235" i="26"/>
  <c r="FK266" i="26"/>
  <c r="FK260" i="26"/>
  <c r="FJ181" i="26"/>
  <c r="FL286" i="26"/>
  <c r="FI172" i="26"/>
  <c r="FJ192" i="26"/>
  <c r="FI154" i="26"/>
  <c r="FO155" i="26"/>
  <c r="FJ307" i="26"/>
  <c r="FO312" i="26"/>
  <c r="FO235" i="26"/>
  <c r="FI250" i="26"/>
  <c r="FL246" i="26"/>
  <c r="FJ320" i="26"/>
  <c r="FK223" i="26"/>
  <c r="FJ196" i="26"/>
  <c r="FO294" i="26"/>
  <c r="FK176" i="26"/>
  <c r="FJ259" i="26"/>
  <c r="FL223" i="26"/>
  <c r="FN284" i="26"/>
  <c r="FK267" i="26"/>
  <c r="FL298" i="26"/>
  <c r="FO320" i="26"/>
  <c r="FL195" i="26"/>
  <c r="FN137" i="26"/>
  <c r="FL229" i="26"/>
  <c r="FI254" i="26"/>
  <c r="FN142" i="26"/>
  <c r="FJ270" i="26"/>
  <c r="FK167" i="26"/>
  <c r="FK308" i="26"/>
  <c r="FM178" i="26"/>
  <c r="FM320" i="26"/>
  <c r="FM306" i="26"/>
  <c r="FK229" i="26"/>
  <c r="FI272" i="26"/>
  <c r="FJ272" i="26"/>
  <c r="FL202" i="26"/>
  <c r="FJ228" i="26"/>
  <c r="FN290" i="26"/>
  <c r="FH148" i="26"/>
  <c r="FL295" i="26"/>
  <c r="FJ280" i="26"/>
  <c r="FJ167" i="26"/>
  <c r="FO174" i="26"/>
  <c r="FN154" i="26"/>
  <c r="FK319" i="26"/>
  <c r="FJ244" i="26"/>
  <c r="FL225" i="26"/>
  <c r="FK253" i="26"/>
  <c r="FK234" i="26"/>
  <c r="FM155" i="26"/>
  <c r="FN320" i="26"/>
  <c r="FK302" i="26"/>
  <c r="FJ216" i="26"/>
  <c r="FM318" i="26"/>
  <c r="FJ176" i="26"/>
  <c r="FI295" i="26"/>
  <c r="FK297" i="26"/>
  <c r="FI306" i="26"/>
  <c r="FK321" i="26"/>
  <c r="FN212" i="26"/>
  <c r="FI134" i="26"/>
  <c r="FK211" i="26"/>
  <c r="FK264" i="26"/>
  <c r="FN246" i="26"/>
  <c r="FJ217" i="26"/>
  <c r="FI261" i="26"/>
  <c r="FJ173" i="26"/>
  <c r="FK279" i="26"/>
  <c r="FN296" i="26"/>
  <c r="FK142" i="26"/>
  <c r="FL162" i="26"/>
  <c r="FK162" i="26"/>
  <c r="FK160" i="26"/>
  <c r="FK182" i="26"/>
  <c r="FI174" i="26"/>
  <c r="FJ169" i="26"/>
  <c r="FO228" i="26"/>
  <c r="FJ202" i="26"/>
  <c r="FI200" i="26"/>
  <c r="FK310" i="26"/>
  <c r="FL178" i="26"/>
  <c r="FM246" i="26"/>
  <c r="FM217" i="26"/>
  <c r="FI142" i="26"/>
  <c r="FO160" i="26"/>
  <c r="FJ278" i="26"/>
  <c r="FL160" i="26"/>
  <c r="FM180" i="26"/>
  <c r="FJ211" i="26"/>
  <c r="FL309" i="26"/>
  <c r="FH210" i="26"/>
  <c r="FK322" i="26"/>
  <c r="FL320" i="26"/>
  <c r="FN236" i="26"/>
  <c r="FI180" i="26"/>
  <c r="FI286" i="26"/>
  <c r="FN218" i="26"/>
  <c r="FM162" i="26"/>
  <c r="FI160" i="26"/>
  <c r="FO258" i="26"/>
  <c r="FL201" i="26"/>
  <c r="FM283" i="26"/>
  <c r="FN174" i="26"/>
  <c r="FI167" i="26"/>
  <c r="FJ201" i="26"/>
  <c r="FK193" i="26"/>
  <c r="FK296" i="26"/>
  <c r="FI277" i="26"/>
  <c r="FL312" i="26"/>
  <c r="FJ248" i="26"/>
  <c r="FN210" i="26"/>
  <c r="FL200" i="26"/>
  <c r="FK318" i="26"/>
  <c r="FM222" i="26"/>
  <c r="FJ162" i="26"/>
  <c r="FJ315" i="26"/>
  <c r="FM307" i="26"/>
  <c r="FK261" i="26"/>
  <c r="FL308" i="26"/>
  <c r="FN198" i="26"/>
  <c r="FJ219" i="26"/>
  <c r="FJ301" i="26"/>
  <c r="FH182" i="26"/>
  <c r="FH174" i="26"/>
  <c r="FI285" i="26"/>
  <c r="FM247" i="26"/>
  <c r="FI309" i="26"/>
  <c r="FI289" i="26"/>
  <c r="FJ157" i="26"/>
  <c r="FL237" i="26"/>
  <c r="FJ258" i="26"/>
  <c r="FI163" i="26"/>
  <c r="FJ207" i="26"/>
  <c r="FL315" i="26"/>
  <c r="FK304" i="26"/>
  <c r="FO205" i="26"/>
  <c r="FO210" i="26"/>
  <c r="FJ241" i="26"/>
  <c r="FN307" i="26"/>
  <c r="FK241" i="26"/>
  <c r="FL210" i="26"/>
  <c r="FL211" i="26"/>
  <c r="FO290" i="26"/>
  <c r="FM252" i="26"/>
  <c r="FN193" i="26"/>
  <c r="FK270" i="26"/>
  <c r="FN224" i="26"/>
  <c r="FJ303" i="26"/>
  <c r="FM312" i="26"/>
  <c r="FO296" i="26"/>
  <c r="FJ304" i="26"/>
  <c r="FL266" i="26"/>
  <c r="FN161" i="26"/>
  <c r="FL264" i="26"/>
  <c r="FM228" i="26"/>
  <c r="FL289" i="26"/>
  <c r="FI318" i="26"/>
  <c r="FK225" i="26"/>
  <c r="FI235" i="26"/>
  <c r="FL240" i="26"/>
  <c r="FL262" i="26"/>
  <c r="FJ250" i="26"/>
  <c r="FO277" i="26"/>
  <c r="FN283" i="26"/>
  <c r="FK219" i="26"/>
  <c r="FO272" i="26"/>
  <c r="FK237" i="26"/>
  <c r="FJ152" i="26"/>
  <c r="FI283" i="26"/>
  <c r="FI273" i="26"/>
  <c r="FK306" i="26"/>
  <c r="FI247" i="26"/>
  <c r="FN240" i="26"/>
  <c r="FN229" i="26"/>
  <c r="FJ297" i="26"/>
  <c r="FI231" i="26"/>
  <c r="FN200" i="26"/>
  <c r="FI210" i="26"/>
  <c r="FL166" i="26"/>
  <c r="FK282" i="26"/>
  <c r="FK214" i="26"/>
  <c r="FL252" i="26"/>
  <c r="FL192" i="26"/>
  <c r="FL180" i="26"/>
  <c r="FL261" i="26"/>
  <c r="FM194" i="26"/>
  <c r="FH168" i="26"/>
  <c r="FH169" i="26"/>
  <c r="FH156" i="26"/>
  <c r="FJ277" i="26"/>
  <c r="FM294" i="26"/>
  <c r="FO230" i="26"/>
  <c r="FI207" i="26"/>
  <c r="FK238" i="26"/>
  <c r="FK301" i="26"/>
  <c r="FL265" i="26"/>
  <c r="FJ178" i="26"/>
  <c r="FM154" i="26"/>
  <c r="FL234" i="26"/>
  <c r="FJ306" i="26"/>
  <c r="FO180" i="26"/>
  <c r="FK196" i="26"/>
  <c r="FK298" i="26"/>
  <c r="FL268" i="26"/>
  <c r="FI315" i="26"/>
  <c r="FK134" i="26"/>
  <c r="FI176" i="26"/>
  <c r="FJ137" i="26"/>
  <c r="FL243" i="26"/>
  <c r="FM277" i="26"/>
  <c r="FM260" i="26"/>
  <c r="FK243" i="26"/>
  <c r="FI230" i="26"/>
  <c r="FL276" i="26"/>
  <c r="FM265" i="26"/>
  <c r="FK192" i="26"/>
  <c r="FK244" i="26"/>
  <c r="FM199" i="26"/>
  <c r="FO156" i="26"/>
  <c r="FH178" i="26"/>
  <c r="FK277" i="26"/>
  <c r="FL314" i="26"/>
  <c r="FH137" i="26"/>
  <c r="FN248" i="26"/>
  <c r="FL306" i="26"/>
  <c r="FL259" i="26"/>
  <c r="FO200" i="26"/>
  <c r="FK262" i="26"/>
  <c r="FN306" i="26"/>
  <c r="FJ229" i="26"/>
  <c r="FJ254" i="26"/>
  <c r="FK274" i="26"/>
  <c r="FO204" i="26"/>
  <c r="FL134" i="26"/>
  <c r="FL156" i="26"/>
  <c r="FI213" i="26"/>
  <c r="FI192" i="26"/>
  <c r="FM300" i="26"/>
  <c r="FI300" i="26"/>
  <c r="FI267" i="26"/>
  <c r="FK152" i="26"/>
  <c r="FM264" i="26"/>
  <c r="FI262" i="26"/>
  <c r="FO161" i="26"/>
  <c r="FK246" i="26"/>
  <c r="FN194" i="26"/>
  <c r="FK174" i="26"/>
  <c r="FJ154" i="26"/>
  <c r="FJ295" i="26"/>
  <c r="FO252" i="26"/>
  <c r="FJ292" i="26"/>
  <c r="FJ312" i="26"/>
  <c r="FM156" i="26"/>
  <c r="FL174" i="26"/>
  <c r="FI320" i="26"/>
  <c r="FL256" i="26"/>
  <c r="FK307" i="26"/>
  <c r="FJ243" i="26"/>
  <c r="FM240" i="26"/>
  <c r="FJ148" i="26"/>
  <c r="FJ222" i="26"/>
  <c r="FI312" i="26"/>
  <c r="FI205" i="26"/>
  <c r="FI199" i="26"/>
  <c r="FI264" i="26"/>
  <c r="FN168" i="26"/>
  <c r="FK172" i="26"/>
  <c r="FO178" i="26"/>
  <c r="FM179" i="26"/>
  <c r="FK255" i="26"/>
  <c r="FJ214" i="26"/>
  <c r="FK271" i="26"/>
  <c r="FJ298" i="26"/>
  <c r="FK247" i="26"/>
  <c r="FM284" i="26"/>
  <c r="FI157" i="26"/>
  <c r="FJ294" i="26"/>
  <c r="FM193" i="26"/>
  <c r="FL172" i="26"/>
  <c r="FL193" i="26"/>
  <c r="FI169" i="26"/>
  <c r="FI211" i="26"/>
  <c r="FN211" i="26"/>
  <c r="FN295" i="26"/>
  <c r="FL244" i="26"/>
  <c r="FJ283" i="26"/>
  <c r="FK294" i="26"/>
  <c r="FI290" i="26"/>
  <c r="FL288" i="26"/>
  <c r="FK173" i="26"/>
  <c r="FO199" i="26"/>
  <c r="FJ237" i="26"/>
  <c r="FJ290" i="26"/>
  <c r="FK212" i="26"/>
  <c r="FN300" i="26"/>
  <c r="FI279" i="26"/>
  <c r="FN222" i="26"/>
  <c r="FJ175" i="26"/>
  <c r="FM289" i="26"/>
  <c r="FJ288" i="26"/>
  <c r="FM313" i="26"/>
  <c r="FN270" i="26"/>
  <c r="FI164" i="26"/>
  <c r="FL301" i="26"/>
  <c r="FK248" i="26"/>
  <c r="FJ166" i="26"/>
  <c r="FI308" i="26"/>
  <c r="FL303" i="26"/>
  <c r="FI316" i="26"/>
  <c r="FJ210" i="26"/>
  <c r="FH194" i="26"/>
  <c r="FH164" i="26"/>
  <c r="FJ309" i="26"/>
  <c r="FJ319" i="26"/>
  <c r="FN234" i="26"/>
  <c r="FJ168" i="26"/>
  <c r="FJ235" i="26"/>
  <c r="FJ156" i="26"/>
  <c r="FM308" i="26"/>
  <c r="FM258" i="26"/>
  <c r="FJ282" i="26"/>
  <c r="FL248" i="26"/>
  <c r="FJ286" i="26"/>
  <c r="FN253" i="26"/>
  <c r="FI196" i="26"/>
  <c r="FH152" i="26"/>
  <c r="FO307" i="26"/>
  <c r="FL255" i="26"/>
  <c r="FI302" i="26"/>
  <c r="FI274" i="26"/>
  <c r="FM282" i="26"/>
  <c r="FI237" i="26"/>
  <c r="FK232" i="26"/>
  <c r="FH155" i="26"/>
  <c r="FM167" i="26"/>
  <c r="FO154" i="26"/>
  <c r="FO254" i="26"/>
  <c r="FL142" i="26"/>
  <c r="FI259" i="26"/>
  <c r="FN318" i="26"/>
  <c r="FJ279" i="26"/>
  <c r="FO142" i="26"/>
  <c r="FM241" i="26"/>
  <c r="FK207" i="26"/>
  <c r="FK285" i="26"/>
  <c r="FN288" i="26"/>
  <c r="FL285" i="26"/>
  <c r="FM270" i="26"/>
  <c r="FO283" i="26"/>
  <c r="FI179" i="26"/>
  <c r="FJ296" i="26"/>
  <c r="FJ238" i="26"/>
  <c r="FI217" i="26"/>
  <c r="FO289" i="26"/>
  <c r="FJ236" i="26"/>
  <c r="FK161" i="26"/>
  <c r="FK222" i="26"/>
  <c r="FO302" i="26"/>
  <c r="FI170" i="26"/>
  <c r="FK235" i="26"/>
  <c r="FN230" i="26"/>
  <c r="FK231" i="26"/>
  <c r="FO212" i="26"/>
  <c r="FJ267" i="26"/>
  <c r="FL270" i="26"/>
  <c r="FL208" i="26"/>
  <c r="FJ316" i="26"/>
  <c r="FI292" i="26"/>
  <c r="FL272" i="26"/>
  <c r="FI240" i="26"/>
  <c r="FK284" i="26"/>
  <c r="FL304" i="26"/>
  <c r="FM254" i="26"/>
  <c r="FJ268" i="26"/>
  <c r="FO248" i="26"/>
  <c r="FI282" i="26"/>
  <c r="FL205" i="26"/>
  <c r="FN313" i="26"/>
  <c r="FJ318" i="26"/>
  <c r="FL313" i="26"/>
  <c r="FI182" i="26"/>
  <c r="FN301" i="26"/>
  <c r="FN223" i="26"/>
  <c r="FO300" i="26"/>
  <c r="FJ232" i="26"/>
  <c r="FM216" i="26"/>
  <c r="FM301" i="26"/>
  <c r="FO242" i="26"/>
  <c r="FH211" i="26"/>
  <c r="FH179" i="26"/>
  <c r="FH175" i="26"/>
  <c r="FN162" i="26"/>
  <c r="FI158" i="26"/>
  <c r="FJ274" i="26"/>
  <c r="FL273" i="26"/>
  <c r="FK292" i="26"/>
  <c r="FO217" i="26"/>
  <c r="FH201" i="26"/>
  <c r="FN167" i="26"/>
  <c r="FJ242" i="26"/>
  <c r="FL236" i="26"/>
  <c r="FI310" i="26"/>
  <c r="FN192" i="26"/>
  <c r="FI256" i="26"/>
  <c r="FK240" i="26"/>
  <c r="FJ255" i="26"/>
  <c r="FM210" i="26"/>
  <c r="FI321" i="26"/>
  <c r="FO276" i="26"/>
  <c r="FO224" i="26"/>
  <c r="FN241" i="26"/>
  <c r="FM206" i="26"/>
  <c r="FK309" i="26"/>
  <c r="FJ302" i="26"/>
  <c r="FN264" i="26"/>
  <c r="FL319" i="26"/>
  <c r="FK303" i="26"/>
  <c r="FL284" i="26"/>
  <c r="FJ300" i="26"/>
  <c r="FI234" i="26"/>
  <c r="FM271" i="26"/>
  <c r="FI219" i="26"/>
  <c r="FK283" i="26"/>
  <c r="FK157" i="26"/>
  <c r="FJ213" i="26"/>
  <c r="FK300" i="26"/>
  <c r="FH160" i="26"/>
  <c r="FL219" i="26"/>
  <c r="FL213" i="26"/>
  <c r="FH165" i="26" l="1"/>
  <c r="FP163" i="26" s="1"/>
  <c r="FK305" i="26"/>
  <c r="FI239" i="26"/>
  <c r="FH234" i="26"/>
  <c r="FJ305" i="26"/>
  <c r="FN269" i="26"/>
  <c r="FO281" i="26"/>
  <c r="FH321" i="26"/>
  <c r="AQ309" i="32" s="1"/>
  <c r="FM215" i="26"/>
  <c r="FK245" i="26"/>
  <c r="FH256" i="26"/>
  <c r="FN197" i="26"/>
  <c r="FH310" i="26"/>
  <c r="AQ243" i="32"/>
  <c r="FM221" i="26"/>
  <c r="FO305" i="26"/>
  <c r="FJ323" i="26"/>
  <c r="FH282" i="26"/>
  <c r="FI287" i="26"/>
  <c r="FH240" i="26"/>
  <c r="FI245" i="26"/>
  <c r="FH292" i="26"/>
  <c r="FL275" i="26"/>
  <c r="FK227" i="26"/>
  <c r="FM275" i="26"/>
  <c r="FN293" i="26"/>
  <c r="FN323" i="26"/>
  <c r="FH259" i="26"/>
  <c r="FO159" i="26"/>
  <c r="FH237" i="26"/>
  <c r="FM287" i="26"/>
  <c r="FH274" i="26"/>
  <c r="AQ292" i="32" s="1"/>
  <c r="FH302" i="26"/>
  <c r="FH153" i="26"/>
  <c r="FP148" i="26" s="1"/>
  <c r="D112" i="26" s="1"/>
  <c r="FJ287" i="26"/>
  <c r="FM263" i="26"/>
  <c r="FN239" i="26"/>
  <c r="FJ215" i="26"/>
  <c r="FH316" i="26"/>
  <c r="FH308" i="26"/>
  <c r="FJ171" i="26"/>
  <c r="FN275" i="26"/>
  <c r="FJ293" i="26"/>
  <c r="FN227" i="26"/>
  <c r="FH279" i="26"/>
  <c r="FN305" i="26"/>
  <c r="FL293" i="26"/>
  <c r="FH290" i="26"/>
  <c r="FK299" i="26"/>
  <c r="FL177" i="26"/>
  <c r="FJ299" i="26"/>
  <c r="FO183" i="26"/>
  <c r="FK177" i="26"/>
  <c r="FH264" i="26"/>
  <c r="FI269" i="26"/>
  <c r="FH205" i="26"/>
  <c r="FI317" i="26"/>
  <c r="FH312" i="26"/>
  <c r="FJ227" i="26"/>
  <c r="FM245" i="26"/>
  <c r="FH320" i="26"/>
  <c r="FJ317" i="26"/>
  <c r="FO257" i="26"/>
  <c r="FJ159" i="26"/>
  <c r="FK251" i="26"/>
  <c r="FH262" i="26"/>
  <c r="AQ286" i="32" s="1"/>
  <c r="FM269" i="26"/>
  <c r="FH267" i="26"/>
  <c r="FI305" i="26"/>
  <c r="FH300" i="26"/>
  <c r="FM305" i="26"/>
  <c r="FI197" i="26"/>
  <c r="FL153" i="26"/>
  <c r="FO209" i="26"/>
  <c r="FN311" i="26"/>
  <c r="FL311" i="26"/>
  <c r="FH183" i="26"/>
  <c r="FP179" i="26" s="1"/>
  <c r="FK197" i="26"/>
  <c r="FL281" i="26"/>
  <c r="FH230" i="26"/>
  <c r="FK153" i="26"/>
  <c r="FH315" i="26"/>
  <c r="FJ311" i="26"/>
  <c r="FL239" i="26"/>
  <c r="FM159" i="26"/>
  <c r="FJ183" i="26"/>
  <c r="FH207" i="26"/>
  <c r="FM299" i="26"/>
  <c r="FL197" i="26"/>
  <c r="FL257" i="26"/>
  <c r="FK287" i="26"/>
  <c r="FL171" i="26"/>
  <c r="FI215" i="26"/>
  <c r="FH231" i="26"/>
  <c r="FN245" i="26"/>
  <c r="FH247" i="26"/>
  <c r="FK311" i="26"/>
  <c r="FH273" i="26"/>
  <c r="FH283" i="26"/>
  <c r="FJ153" i="26"/>
  <c r="FL245" i="26"/>
  <c r="FH235" i="26"/>
  <c r="FH318" i="26"/>
  <c r="FI323" i="26"/>
  <c r="FM233" i="26"/>
  <c r="FL269" i="26"/>
  <c r="FM317" i="26"/>
  <c r="FK275" i="26"/>
  <c r="FM257" i="26"/>
  <c r="FL215" i="26"/>
  <c r="FO215" i="26"/>
  <c r="FJ263" i="26"/>
  <c r="FH289" i="26"/>
  <c r="FH309" i="26"/>
  <c r="FH285" i="26"/>
  <c r="FN203" i="26"/>
  <c r="FM227" i="26"/>
  <c r="FK323" i="26"/>
  <c r="FN215" i="26"/>
  <c r="FL317" i="26"/>
  <c r="FH277" i="26"/>
  <c r="FO263" i="26"/>
  <c r="FI165" i="26"/>
  <c r="FH286" i="26"/>
  <c r="FH215" i="26"/>
  <c r="FP215" i="26" s="1"/>
  <c r="FL165" i="26"/>
  <c r="FO165" i="26"/>
  <c r="FM251" i="26"/>
  <c r="FL183" i="26"/>
  <c r="FO233" i="26"/>
  <c r="FK165" i="26"/>
  <c r="FH261" i="26"/>
  <c r="FN251" i="26"/>
  <c r="FK269" i="26"/>
  <c r="FH306" i="26"/>
  <c r="FI311" i="26"/>
  <c r="FH295" i="26"/>
  <c r="FM323" i="26"/>
  <c r="FJ221" i="26"/>
  <c r="FK239" i="26"/>
  <c r="FN159" i="26"/>
  <c r="FJ233" i="26"/>
  <c r="FH272" i="26"/>
  <c r="FM311" i="26"/>
  <c r="FM183" i="26"/>
  <c r="FJ275" i="26"/>
  <c r="FH254" i="26"/>
  <c r="AQ278" i="32" s="1"/>
  <c r="FO299" i="26"/>
  <c r="FL251" i="26"/>
  <c r="FH250" i="26"/>
  <c r="AQ274" i="32" s="1"/>
  <c r="FO317" i="26"/>
  <c r="FI159" i="26"/>
  <c r="FJ197" i="26"/>
  <c r="FI177" i="26"/>
  <c r="FL305" i="26"/>
  <c r="FH236" i="26"/>
  <c r="AQ266" i="32" s="1"/>
  <c r="FH304" i="26"/>
  <c r="FH258" i="26"/>
  <c r="FI263" i="26"/>
  <c r="FI209" i="26"/>
  <c r="FH204" i="26"/>
  <c r="FH276" i="26"/>
  <c r="FI281" i="26"/>
  <c r="FJ245" i="26"/>
  <c r="FN165" i="26"/>
  <c r="FH313" i="26"/>
  <c r="FM197" i="26"/>
  <c r="FH224" i="26"/>
  <c r="FM153" i="26"/>
  <c r="FH303" i="26"/>
  <c r="FH203" i="26"/>
  <c r="AQ240" i="32"/>
  <c r="FH307" i="26"/>
  <c r="FO221" i="26"/>
  <c r="FH298" i="26"/>
  <c r="FL209" i="26"/>
  <c r="FL299" i="26"/>
  <c r="FH296" i="26"/>
  <c r="FN257" i="26"/>
  <c r="FK171" i="26"/>
  <c r="FN287" i="26"/>
  <c r="FH225" i="26"/>
  <c r="FH284" i="26"/>
  <c r="AQ302" i="32" s="1"/>
  <c r="FH301" i="26"/>
  <c r="FH280" i="26"/>
  <c r="FJ209" i="26"/>
  <c r="FH314" i="26"/>
  <c r="FI275" i="26"/>
  <c r="FH270" i="26"/>
  <c r="FJ239" i="26"/>
  <c r="FJ257" i="26"/>
  <c r="FM171" i="26"/>
  <c r="FH265" i="26"/>
  <c r="FH221" i="26"/>
  <c r="FP216" i="26" s="1"/>
  <c r="FL159" i="26"/>
  <c r="FI183" i="26"/>
  <c r="FO239" i="26"/>
  <c r="FN263" i="26"/>
  <c r="FL227" i="26"/>
  <c r="FH319" i="26"/>
  <c r="FH226" i="26"/>
  <c r="AQ256" i="32" s="1"/>
  <c r="FN299" i="26"/>
  <c r="FH253" i="26"/>
  <c r="FJ269" i="26"/>
  <c r="FO287" i="26"/>
  <c r="FO323" i="26"/>
  <c r="FK159" i="26"/>
  <c r="FN317" i="26"/>
  <c r="FH322" i="26"/>
  <c r="FH255" i="26"/>
  <c r="FI221" i="26"/>
  <c r="FL323" i="26"/>
  <c r="FO203" i="26"/>
  <c r="FK317" i="26"/>
  <c r="FL221" i="26"/>
  <c r="FH241" i="26"/>
  <c r="FH242" i="26"/>
  <c r="FM293" i="26"/>
  <c r="FO269" i="26"/>
  <c r="FN209" i="26"/>
  <c r="FM239" i="26"/>
  <c r="FN171" i="26"/>
  <c r="FO251" i="26"/>
  <c r="FM281" i="26"/>
  <c r="FH268" i="26"/>
  <c r="AQ242" i="32"/>
  <c r="FM203" i="26"/>
  <c r="FK203" i="26"/>
  <c r="FN233" i="26"/>
  <c r="FH260" i="26"/>
  <c r="FH243" i="26"/>
  <c r="AQ244" i="32"/>
  <c r="FO153" i="26"/>
  <c r="FH228" i="26"/>
  <c r="FI233" i="26"/>
  <c r="FO227" i="26"/>
  <c r="FI203" i="26"/>
  <c r="FN281" i="26"/>
  <c r="FM165" i="26"/>
  <c r="FO197" i="26"/>
  <c r="FO275" i="26"/>
  <c r="FI227" i="26"/>
  <c r="FH222" i="26"/>
  <c r="FO311" i="26"/>
  <c r="FH291" i="26"/>
  <c r="FN177" i="26"/>
  <c r="FH297" i="26"/>
  <c r="FH271" i="26"/>
  <c r="FK209" i="26"/>
  <c r="AQ241" i="32"/>
  <c r="FJ177" i="26"/>
  <c r="FH248" i="26"/>
  <c r="FH159" i="26"/>
  <c r="FI171" i="26"/>
  <c r="FK263" i="26"/>
  <c r="FK293" i="26"/>
  <c r="FH249" i="26"/>
  <c r="FO171" i="26"/>
  <c r="FH252" i="26"/>
  <c r="FI257" i="26"/>
  <c r="FO245" i="26"/>
  <c r="FH197" i="26"/>
  <c r="FP197" i="26" s="1"/>
  <c r="FH266" i="26"/>
  <c r="FL233" i="26"/>
  <c r="FH238" i="26"/>
  <c r="FH229" i="26"/>
  <c r="FJ281" i="26"/>
  <c r="FH171" i="26"/>
  <c r="FP169" i="26" s="1"/>
  <c r="FH232" i="26"/>
  <c r="FM177" i="26"/>
  <c r="FI293" i="26"/>
  <c r="FH288" i="26"/>
  <c r="FK183" i="26"/>
  <c r="FH244" i="26"/>
  <c r="FO293" i="26"/>
  <c r="FJ203" i="26"/>
  <c r="FN221" i="26"/>
  <c r="FM209" i="26"/>
  <c r="FI153" i="26"/>
  <c r="FH294" i="26"/>
  <c r="FI299" i="26"/>
  <c r="FO177" i="26"/>
  <c r="FK233" i="26"/>
  <c r="FH208" i="26"/>
  <c r="FI251" i="26"/>
  <c r="FH246" i="26"/>
  <c r="FK257" i="26"/>
  <c r="FK215" i="26"/>
  <c r="FN153" i="26"/>
  <c r="FN183" i="26"/>
  <c r="FL263" i="26"/>
  <c r="FL203" i="26"/>
  <c r="FJ165" i="26"/>
  <c r="FH177" i="26"/>
  <c r="FP175" i="26" s="1"/>
  <c r="FK281" i="26"/>
  <c r="FH223" i="26"/>
  <c r="FL287" i="26"/>
  <c r="FJ251" i="26"/>
  <c r="FK221" i="26"/>
  <c r="FH278" i="26"/>
  <c r="FH206" i="26"/>
  <c r="FP192" i="26" l="1"/>
  <c r="FP164" i="26"/>
  <c r="FP180" i="26"/>
  <c r="FP214" i="26"/>
  <c r="FP195" i="26"/>
  <c r="FP217" i="26"/>
  <c r="FP196" i="26"/>
  <c r="FP219" i="26"/>
  <c r="FP220" i="26"/>
  <c r="FP182" i="26"/>
  <c r="FP181" i="26"/>
  <c r="FP218" i="26"/>
  <c r="FP162" i="26"/>
  <c r="FP212" i="26"/>
  <c r="FP170" i="26"/>
  <c r="FP161" i="26"/>
  <c r="FP200" i="26"/>
  <c r="AR242" i="32" s="1"/>
  <c r="FP210" i="26"/>
  <c r="FP173" i="26"/>
  <c r="FP152" i="26"/>
  <c r="D113" i="26" s="1"/>
  <c r="FP154" i="26"/>
  <c r="FP159" i="26"/>
  <c r="N109" i="26"/>
  <c r="AQ291" i="32"/>
  <c r="AQ259" i="32"/>
  <c r="AQ284" i="32"/>
  <c r="AQ279" i="32"/>
  <c r="AQ301" i="32"/>
  <c r="FP157" i="26"/>
  <c r="FH311" i="26"/>
  <c r="FP311" i="26" s="1"/>
  <c r="AQ297" i="32"/>
  <c r="AQ280" i="32"/>
  <c r="AQ246" i="32"/>
  <c r="FH209" i="26"/>
  <c r="FP204" i="26"/>
  <c r="AR246" i="32" s="1"/>
  <c r="FH317" i="26"/>
  <c r="FP317" i="26" s="1"/>
  <c r="FH245" i="26"/>
  <c r="FP245" i="26" s="1"/>
  <c r="FP142" i="26"/>
  <c r="D111" i="26" s="1"/>
  <c r="AQ298" i="32"/>
  <c r="AQ261" i="32"/>
  <c r="FH251" i="26"/>
  <c r="FP247" i="26" s="1"/>
  <c r="AR271" i="32" s="1"/>
  <c r="AQ270" i="32"/>
  <c r="FP193" i="26"/>
  <c r="AQ289" i="32"/>
  <c r="FP213" i="26"/>
  <c r="FP198" i="26"/>
  <c r="AR240" i="32" s="1"/>
  <c r="AQ285" i="32"/>
  <c r="FH305" i="26"/>
  <c r="FP305" i="26" s="1"/>
  <c r="FP205" i="26"/>
  <c r="AR247" i="32" s="1"/>
  <c r="AQ247" i="32"/>
  <c r="FH287" i="26"/>
  <c r="FP285" i="26" s="1"/>
  <c r="AR303" i="32" s="1"/>
  <c r="AQ300" i="32"/>
  <c r="FH293" i="26"/>
  <c r="FP293" i="26" s="1"/>
  <c r="AQ277" i="32"/>
  <c r="FH263" i="26"/>
  <c r="FP258" i="26" s="1"/>
  <c r="AR282" i="32" s="1"/>
  <c r="AQ282" i="32"/>
  <c r="AQ267" i="32"/>
  <c r="AQ255" i="32"/>
  <c r="FP203" i="26"/>
  <c r="AR245" i="32" s="1"/>
  <c r="AQ245" i="32"/>
  <c r="AQ290" i="32"/>
  <c r="AQ260" i="32"/>
  <c r="FH269" i="26"/>
  <c r="FP269" i="26" s="1"/>
  <c r="FP155" i="26"/>
  <c r="AQ310" i="32"/>
  <c r="AQ249" i="32"/>
  <c r="FP207" i="26"/>
  <c r="AR249" i="32" s="1"/>
  <c r="FP206" i="26"/>
  <c r="AR248" i="32" s="1"/>
  <c r="AQ248" i="32"/>
  <c r="AQ271" i="32"/>
  <c r="AQ268" i="32"/>
  <c r="AQ294" i="32"/>
  <c r="FH281" i="26"/>
  <c r="FP276" i="26" s="1"/>
  <c r="AR294" i="32" s="1"/>
  <c r="AQ296" i="32"/>
  <c r="AQ262" i="32"/>
  <c r="FP167" i="26"/>
  <c r="AQ306" i="32"/>
  <c r="FH323" i="26"/>
  <c r="AQ283" i="32"/>
  <c r="FP211" i="26"/>
  <c r="AQ264" i="32"/>
  <c r="FH239" i="26"/>
  <c r="FP238" i="26" s="1"/>
  <c r="AR268" i="32" s="1"/>
  <c r="AQ272" i="32"/>
  <c r="FP134" i="26"/>
  <c r="D109" i="26" s="1"/>
  <c r="FP153" i="26"/>
  <c r="C119" i="26"/>
  <c r="E119" i="26" s="1"/>
  <c r="AQ295" i="32"/>
  <c r="AQ250" i="32"/>
  <c r="FP208" i="26"/>
  <c r="AR250" i="32" s="1"/>
  <c r="AQ253" i="32"/>
  <c r="FP172" i="26"/>
  <c r="FP166" i="26"/>
  <c r="AQ273" i="32"/>
  <c r="FP202" i="26"/>
  <c r="AR244" i="32" s="1"/>
  <c r="AQ307" i="32"/>
  <c r="AQ254" i="32"/>
  <c r="FP174" i="26"/>
  <c r="AQ265" i="32"/>
  <c r="FP168" i="26"/>
  <c r="FP178" i="26"/>
  <c r="FP194" i="26"/>
  <c r="FP176" i="26"/>
  <c r="AQ303" i="32"/>
  <c r="N113" i="26"/>
  <c r="FP183" i="26"/>
  <c r="FP158" i="26"/>
  <c r="AQ304" i="32"/>
  <c r="AQ308" i="32"/>
  <c r="FH257" i="26"/>
  <c r="FP252" i="26" s="1"/>
  <c r="AR276" i="32" s="1"/>
  <c r="AQ276" i="32"/>
  <c r="AQ258" i="32"/>
  <c r="FH233" i="26"/>
  <c r="FP229" i="26" s="1"/>
  <c r="AR259" i="32" s="1"/>
  <c r="FP177" i="26"/>
  <c r="N112" i="26"/>
  <c r="FH299" i="26"/>
  <c r="FP299" i="26" s="1"/>
  <c r="FP199" i="26"/>
  <c r="AR241" i="32" s="1"/>
  <c r="N111" i="26"/>
  <c r="FP171" i="26"/>
  <c r="FH227" i="26"/>
  <c r="FP225" i="26" s="1"/>
  <c r="AR255" i="32" s="1"/>
  <c r="AQ252" i="32"/>
  <c r="AQ288" i="32"/>
  <c r="FH275" i="26"/>
  <c r="FP272" i="26" s="1"/>
  <c r="AR290" i="32" s="1"/>
  <c r="FP156" i="26"/>
  <c r="FP137" i="26"/>
  <c r="D110" i="26" s="1"/>
  <c r="FP201" i="26"/>
  <c r="AR243" i="32" s="1"/>
  <c r="FP160" i="26"/>
  <c r="N110" i="26"/>
  <c r="FP165" i="26"/>
  <c r="FP294" i="26" l="1"/>
  <c r="FP300" i="26"/>
  <c r="FP292" i="26"/>
  <c r="FP288" i="26"/>
  <c r="FP270" i="26"/>
  <c r="AR288" i="32" s="1"/>
  <c r="FP264" i="26"/>
  <c r="D119" i="26"/>
  <c r="F119" i="26" s="1"/>
  <c r="FP312" i="26"/>
  <c r="FP291" i="26"/>
  <c r="FP306" i="26"/>
  <c r="FP308" i="26"/>
  <c r="FP307" i="26"/>
  <c r="FP221" i="26"/>
  <c r="FP289" i="26"/>
  <c r="FP309" i="26"/>
  <c r="FP235" i="26"/>
  <c r="AR265" i="32" s="1"/>
  <c r="FP315" i="26"/>
  <c r="FP253" i="26"/>
  <c r="AR277" i="32" s="1"/>
  <c r="FP286" i="26"/>
  <c r="AR304" i="32" s="1"/>
  <c r="FP224" i="26"/>
  <c r="AR254" i="32" s="1"/>
  <c r="D114" i="26"/>
  <c r="FP230" i="26"/>
  <c r="AR260" i="32" s="1"/>
  <c r="FP242" i="26"/>
  <c r="FP243" i="26"/>
  <c r="FP234" i="26"/>
  <c r="AR264" i="32" s="1"/>
  <c r="FP282" i="26"/>
  <c r="AR300" i="32" s="1"/>
  <c r="FP231" i="26"/>
  <c r="AR261" i="32" s="1"/>
  <c r="FP256" i="26"/>
  <c r="AR280" i="32" s="1"/>
  <c r="FP316" i="26"/>
  <c r="FP283" i="26"/>
  <c r="AR301" i="32" s="1"/>
  <c r="FP255" i="26"/>
  <c r="AR279" i="32" s="1"/>
  <c r="FP280" i="26"/>
  <c r="AR298" i="32" s="1"/>
  <c r="FP279" i="26"/>
  <c r="AR297" i="32" s="1"/>
  <c r="FP313" i="26"/>
  <c r="FP228" i="26"/>
  <c r="AR258" i="32" s="1"/>
  <c r="FP241" i="26"/>
  <c r="FP262" i="26"/>
  <c r="AR286" i="32" s="1"/>
  <c r="AQ287" i="32"/>
  <c r="FP263" i="26"/>
  <c r="AR287" i="32" s="1"/>
  <c r="FP260" i="26"/>
  <c r="AR284" i="32" s="1"/>
  <c r="FP265" i="26"/>
  <c r="FP232" i="26"/>
  <c r="AR262" i="32" s="1"/>
  <c r="FP304" i="26"/>
  <c r="FP297" i="26"/>
  <c r="FP301" i="26"/>
  <c r="FP250" i="26"/>
  <c r="AR274" i="32" s="1"/>
  <c r="FP251" i="26"/>
  <c r="AR275" i="32" s="1"/>
  <c r="AQ275" i="32"/>
  <c r="FP274" i="26"/>
  <c r="AR292" i="32" s="1"/>
  <c r="FP275" i="26"/>
  <c r="AR293" i="32" s="1"/>
  <c r="AQ293" i="32"/>
  <c r="FP268" i="26"/>
  <c r="FP222" i="26"/>
  <c r="AR252" i="32" s="1"/>
  <c r="FP236" i="26"/>
  <c r="AR266" i="32" s="1"/>
  <c r="FP239" i="26"/>
  <c r="AR269" i="32" s="1"/>
  <c r="AQ269" i="32"/>
  <c r="FP278" i="26"/>
  <c r="AR296" i="32" s="1"/>
  <c r="FP244" i="26"/>
  <c r="FP249" i="26"/>
  <c r="AR273" i="32" s="1"/>
  <c r="FP254" i="26"/>
  <c r="AR278" i="32" s="1"/>
  <c r="AQ281" i="32"/>
  <c r="FP257" i="26"/>
  <c r="AR281" i="32" s="1"/>
  <c r="FP223" i="26"/>
  <c r="AR253" i="32" s="1"/>
  <c r="FP271" i="26"/>
  <c r="AR289" i="32" s="1"/>
  <c r="FP240" i="26"/>
  <c r="FP298" i="26"/>
  <c r="FP273" i="26"/>
  <c r="AR291" i="32" s="1"/>
  <c r="FP321" i="26"/>
  <c r="AR309" i="32" s="1"/>
  <c r="AQ311" i="32"/>
  <c r="FP323" i="26"/>
  <c r="AR311" i="32" s="1"/>
  <c r="FP209" i="26"/>
  <c r="AR251" i="32" s="1"/>
  <c r="AQ251" i="32"/>
  <c r="FP248" i="26"/>
  <c r="AR272" i="32" s="1"/>
  <c r="FP281" i="26"/>
  <c r="AR299" i="32" s="1"/>
  <c r="AQ299" i="32"/>
  <c r="FP322" i="26"/>
  <c r="AR310" i="32" s="1"/>
  <c r="FP303" i="26"/>
  <c r="FP261" i="26"/>
  <c r="AR285" i="32" s="1"/>
  <c r="FP302" i="26"/>
  <c r="FP310" i="26"/>
  <c r="N114" i="26"/>
  <c r="O114" i="26" s="1"/>
  <c r="FP267" i="26"/>
  <c r="FP296" i="26"/>
  <c r="FP233" i="26"/>
  <c r="AR263" i="32" s="1"/>
  <c r="AQ263" i="32"/>
  <c r="FP259" i="26"/>
  <c r="AR283" i="32" s="1"/>
  <c r="FP266" i="26"/>
  <c r="FP237" i="26"/>
  <c r="AR267" i="32" s="1"/>
  <c r="FP284" i="26"/>
  <c r="AR302" i="32" s="1"/>
  <c r="AQ305" i="32"/>
  <c r="FP287" i="26"/>
  <c r="AR305" i="32" s="1"/>
  <c r="FP246" i="26"/>
  <c r="AR270" i="32" s="1"/>
  <c r="FP314" i="26"/>
  <c r="FP319" i="26"/>
  <c r="AR307" i="32" s="1"/>
  <c r="FP226" i="26"/>
  <c r="AR256" i="32" s="1"/>
  <c r="FP227" i="26"/>
  <c r="AR257" i="32" s="1"/>
  <c r="AQ257" i="32"/>
  <c r="FP320" i="26"/>
  <c r="AR308" i="32" s="1"/>
  <c r="FP277" i="26"/>
  <c r="AR295" i="32" s="1"/>
  <c r="FP318" i="26"/>
  <c r="AR306" i="32" s="1"/>
  <c r="FP295" i="26"/>
  <c r="FP290" i="26"/>
  <c r="O113" i="26" l="1"/>
  <c r="O112" i="26"/>
  <c r="O109" i="26"/>
  <c r="O110" i="26"/>
  <c r="O111"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tc={E1D5BF5D-0CB4-4487-B989-F5FB66A476E0}</author>
    <author>Chaisongrit, Waralee</author>
  </authors>
  <commentList>
    <comment ref="R53" authorId="0" shapeId="0" xr:uid="{E1D5BF5D-0CB4-4487-B989-F5FB66A476E0}">
      <text>
        <t>[Threaded comment]
Your version of Excel allows you to read this threaded comment; however, any edits to it will get removed if the file is opened in a newer version of Excel. Learn more: https://go.microsoft.com/fwlink/?linkid=870924
Comment:
    Time gone based on MT-GT working calendar, excluded public holiday</t>
      </text>
    </comment>
    <comment ref="W54" authorId="1" shapeId="0" xr:uid="{079C0E01-B49E-4002-BC18-B09ABEA6A280}">
      <text>
        <r>
          <rPr>
            <b/>
            <sz val="14"/>
            <color indexed="81"/>
            <rFont val="Tahoma"/>
            <family val="2"/>
          </rPr>
          <t>Chaisongrit, Waralee:</t>
        </r>
        <r>
          <rPr>
            <sz val="14"/>
            <color indexed="81"/>
            <rFont val="Tahoma"/>
            <family val="2"/>
          </rPr>
          <t xml:space="preserve">
</t>
        </r>
        <r>
          <rPr>
            <b/>
            <sz val="14"/>
            <color indexed="81"/>
            <rFont val="Tahoma"/>
            <family val="2"/>
          </rPr>
          <t>Sell-Out</t>
        </r>
        <r>
          <rPr>
            <sz val="14"/>
            <color indexed="81"/>
            <rFont val="Tahoma"/>
            <family val="2"/>
          </rPr>
          <t xml:space="preserve">
GT= Distributor to Retailer
MT= JTI to Key Account</t>
        </r>
      </text>
    </comment>
    <comment ref="AA54" authorId="1" shapeId="0" xr:uid="{DAE64F04-CBD0-4CF4-AD79-A06DBCEA3CE6}">
      <text>
        <r>
          <rPr>
            <b/>
            <sz val="9"/>
            <color indexed="81"/>
            <rFont val="Tahoma"/>
            <family val="2"/>
          </rPr>
          <t xml:space="preserve"> The first 2024 submission for Week 5 (Jan 22nd to Jan 28th) is due on January 30th 2023.</t>
        </r>
      </text>
    </comment>
    <comment ref="AN159" authorId="1" shapeId="0" xr:uid="{27734399-CFA9-41A5-83D3-5C2E3BF25859}">
      <text>
        <r>
          <rPr>
            <b/>
            <sz val="14"/>
            <color indexed="81"/>
            <rFont val="Tahoma"/>
            <family val="2"/>
          </rPr>
          <t>CACO 22 = 1.2 mmu</t>
        </r>
      </text>
    </comment>
    <comment ref="AS175" authorId="1" shapeId="0" xr:uid="{096C4DDF-9F34-4ABC-8E3D-AEBD065F5B89}">
      <text>
        <r>
          <rPr>
            <b/>
            <sz val="12"/>
            <color indexed="81"/>
            <rFont val="Tahoma"/>
            <family val="2"/>
          </rPr>
          <t>Chaisongrit, Waralee:</t>
        </r>
        <r>
          <rPr>
            <sz val="12"/>
            <color indexed="81"/>
            <rFont val="Tahoma"/>
            <family val="2"/>
          </rPr>
          <t xml:space="preserve">
</t>
        </r>
        <r>
          <rPr>
            <b/>
            <sz val="12"/>
            <color indexed="81"/>
            <rFont val="Tahoma"/>
            <family val="2"/>
          </rPr>
          <t>GT Sell-Out = Distributor to Retailers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Cust_Cat" description="Connection to the 'Cust_Cat' query in the workbook." type="5" refreshedVersion="8" saveData="1">
    <dbPr connection="Provider=Microsoft.Mashup.OleDb.1;Data Source=$Workbook$;Location=Cust_Cat;Extended Properties=&quot;&quot;" command="SELECT * FROM [Cust_Cat]"/>
  </connection>
  <connection id="2" xr16:uid="{00000000-0015-0000-FFFF-FFFF01000000}" keepAlive="1" name="Query - Daily_Vol" description="Connection to the 'Daily_Vol' query in the workbook." type="5" refreshedVersion="8" saveData="1">
    <dbPr connection="Provider=Microsoft.Mashup.OleDb.1;Data Source=$Workbook$;Location=Daily_Vol;Extended Properties=&quot;&quot;" command="SELECT * FROM [Daily_Vol]"/>
  </connection>
  <connection id="3" xr16:uid="{00000000-0015-0000-FFFF-FFFF02000000}" keepAlive="1" name="Query - Daily_Vol_yesterday" description="Connection to the 'Daily_Vol_yesterday' query in the workbook." type="5" refreshedVersion="8" saveData="1">
    <dbPr connection="Provider=Microsoft.Mashup.OleDb.1;Data Source=$Workbook$;Location=Daily_Vol_yesterday;Extended Properties=&quot;&quot;" command="SELECT * FROM [Daily_Vol_yesterday]"/>
  </connection>
  <connection id="4" xr16:uid="{00000000-0015-0000-FFFF-FFFF03000000}" keepAlive="1" name="Query - Map_Product" description="Connection to the 'Map_Product' query in the workbook." type="5" refreshedVersion="8" saveData="1">
    <dbPr connection="Provider=Microsoft.Mashup.OleDb.1;Data Source=$Workbook$;Location=Map_Product;Extended Properties=&quot;&quot;" command="SELECT * FROM [Map_Product]"/>
  </connection>
  <connection id="5" xr16:uid="{00000000-0015-0000-FFFF-FFFF04000000}" keepAlive="1" name="Query - TME_MTD" description="Connection to the 'TME_MTD' query in the workbook." type="5" refreshedVersion="8" saveData="1">
    <dbPr connection="Provider=Microsoft.Mashup.OleDb.1;Data Source=$Workbook$;Location=TME_MTD;Extended Properties=&quot;&quot;" command="SELECT * FROM [TME_MTD]"/>
  </connection>
  <connection id="6" xr16:uid="{16E8157D-0612-4C98-9388-78B1F40F2CBB}" keepAlive="1" name="Query - TME_MTD_Dist" description="Connection to the 'TME_MTD_Dist' query in the workbook." type="5" refreshedVersion="8" saveData="1">
    <dbPr connection="Provider=Microsoft.Mashup.OleDb.1;Data Source=$Workbook$;Location=TME_MTD_Dist;Extended Properties=&quot;&quot;" command="SELECT * FROM [TME_MTD_Dist]"/>
  </connection>
  <connection id="7" xr16:uid="{00000000-0015-0000-FFFF-FFFF05000000}" keepAlive="1" name="Query - TME_Yesterday" description="Connection to the 'TME_Yesterday' query in the workbook." type="5" refreshedVersion="8" saveData="1">
    <dbPr connection="Provider=Microsoft.Mashup.OleDb.1;Data Source=$Workbook$;Location=TME_Yesterday;Extended Properties=&quot;&quot;" command="SELECT * FROM [TME_Yesterday]"/>
  </connection>
  <connection id="8" xr16:uid="{00000000-0015-0000-FFFF-FFFF06000000}" keepAlive="1" name="Query - Weekly_Vol" description="Connection to the 'Weekly_Vol' query in the workbook." type="5" refreshedVersion="8" saveData="1">
    <dbPr connection="Provider=Microsoft.Mashup.OleDb.1;Data Source=$Workbook$;Location=Weekly_Vol;Extended Properties=&quot;&quot;" command="SELECT * FROM [Weekly_Vol]"/>
  </connection>
  <connection id="9" xr16:uid="{6E91F721-E6F1-4D91-BEF1-AB99E9E706A9}" keepAlive="1" name="SCD_Rawdata" type="5" refreshedVersion="8" savePassword="1" saveData="1">
    <dbPr connection="Provider=SQLOLEDB.1;Password=JFUd8809FrW9087;Persist Security Info=True;User ID=thadwh_prd_usr;Initial Catalog=sqldb-msfsax01-27-thadwh-prd;Data Source=sql-msfsax01-01.database.windows.net;Use Procedure for Prepare=1;Auto Translate=True;Packet Size=4096;Workstation ID=OTTO-PC;Use Encryption for Data=False;Tag with column collation when possible=False" command=" select Region,Dist_Name,DIST_CD,Brand,SKU,sum(Dist_Stock) Dist_Stock, sum(Dist_Receipt) Dist_Receipt,  sum(PRDperDay) PRDperDay,sum(SellOut) SellOut from (  select d.HQ_DEFINE3 Region, case when left(t.DIST_CD,2) = 'S5' then 'Ratchasima P.D.C. Co., Ltd.' else  d.HQ_DEFINE1 end Dist_Name,  case when left(t.DIST_CD,2) = 'S5' then 'S504' else t.DIST_CD end DIST_CD, t.Brand,t.SKU,sum(t.Dist_Stock) Dist_Stock, sum(Dist_Receipt) Dist_Receipt, sum(PRDperDay) PRDperDay,sum(SellOut) SellOut from (SELECT a.DIST_CD,p.HQ_DEFINE2 Brand ,p.HQ_DEFINE1 SKU ,case when sum(a.CLOSEBAL) = 0 then sum(a.OPENBAL) else sum(a.CLOSEBAL) end Dist_Stock,0 Dist_Receipt,0 PRDperDay,0 SellOut  FROM INVT_MASTERHIS AS a INNER JOIN MST_PRD AS p ON a.PRD_CD = p.PRD_CD INNER JOIN MST_DIST AS dist  ON dist.DIST_CD = a.DIST_CD  and a.INVT_DT = '2025-09-08'  WHERE left(a.PRD_CD,2) = 'CG' and left(a.DIST_CD,1) = 'S' and a.CLOSEBAL &lt;&gt; 0 and right(a.whs_cd,3) &lt;&gt; 'BWH' and right(a.whs_cd,1) &lt;&gt; 'B' group by a.DIST_CD,p.HQ_DEFINE2 ,p.HQ_DEFINE1 union all SELECT a.DIST_CD,p.HQ_DEFINE2 Brand,p.HQ_DEFINE1 SKU ,0 Dist_Stock,sum(a.STKRCP_QTY) Dist_Receipt,0 PRDperDay,0 SellOut  FROM INVT_MASTERHIS AS a INNER JOIN MST_PRD AS p ON a.PRD_CD = p.PRD_CD INNER JOIN MST_DIST AS dist  ON dist.DIST_CD = a.DIST_CD  WHERE left(a.PRD_CD,2) = 'CG' and left(a.DIST_CD,1) = 'S' and a.STKRCP_QTY &lt;&gt; 0 and right(a.whs_cd,3) &lt;&gt; 'BWH' and right(a.whs_cd,1) &lt;&gt; 'B' and year(a.INVT_DT) = 2025 and month(a.INVT_DT) = 6  group by a.DIST_CD,p.HQ_DEFINE2 ,p.HQ_DEFINE1  union all select INV.DIST_CD,i.HQ_DEFINE2 Brand, i.HQ_Define1 SKU,0 Dist_Stock,0 Dist_Receipt,sum(PRD_QTY)/ttday.TotDay PRDperDay,0 SellOut  from TXN_INVOICE INV inner join TXN_INVDTL INV_D on INV.INV_KEY = INV_D.INV_KEY inner join MST_PRD i on i.PRD_CD = INV_D.PRD_CD Left join (select Dist_CD,INV_Key from TXN_NOTEHDR where TXN_TYPE = 'C' and [status]='I') CN   on Inv.INV_Key = CN.INV_Key and Inv.Dist_CD = CN.Dist_CD Left join M_RETHDR RT on Inv.INV_Key = RT.INV_Key and Inv.Dist_CD = RT.Dist_CD  inner join (select Dist_Work Dist_cd,count(workdate) TotDay from TH.SI_Working_Day_Master where WorkDate &gt;= FORMAT(DATEADD(day, -60, getdate()), 'yyyy-MM-dd')  and WorkDate &lt; FORMAT(getdate(), 'yyyy-MM-dd') and WorkType = 'Work' group by Dist_Work) ttday on ttday.DIST_CD = inv.DIST_CD where INV_D.prd_slstype in ('S','F') and CN.Inv_Key is null and RT.Inv_Key is null and left(INV_D.PRD_CD,2) = 'CG'  and INV.INV_DT &gt;= FORMAT(DATEADD(day, -60, getdate()), 'yyyy-MM-dd') group by INV.DIST_CD,i.HQ_DEFINE2 , i.HQ_Define1,ttday.TotDay union all select INV.DIST_CD,i.HQ_DEFINE2 Brand, i.HQ_Define1 SKU,0 Dist_Stock,0 Dist_Receipt,0 PRDperDay,sum(PRD_QTY) SellOut  from TXN_INVOICE INV inner join TXN_INVDTL INV_D on INV.INV_KEY = INV_D.INV_KEY inner join MST_PRD i on i.PRD_CD = INV_D.PRD_CD  Left join (select Dist_CD,INV_Key from TXN_NOTEHDR where TXN_TYPE = 'C' and [status]='I') CN   on Inv.INV_Key = CN.INV_Key  and Inv.Dist_CD = CN.Dist_CD Left join M_RETHDR RT on Inv.INV_Key = RT.INV_Key and Inv.Dist_CD = RT.Dist_CD   where INV_D.prd_slstype in ('S','F') and CN.Inv_Key is null and RT.Inv_Key is null  and left(INV_D.PRD_CD,2) = 'CG' and left(inv.dist_cd,1) = 'S'  and year(INV.INV_DT) = '2025'  and month(INV.INV_DT) = '6'  group by INV.DIST_CD,i.HQ_DEFINE2 , i.HQ_Define1 ) t inner join MST_DIST d on t.DIST_CD = d.DIST_CD  where t.Dist_cd not in ('S101','S103','S106','S204','S402','S403')  group by d.HQ_DEFINE3 ,d.HQ_DEFINE1,t.DIST_CD,t.Brand,t.SKU ) SCD group by Region ,Dist_Name,DIST_CD,Brand,SKU"/>
  </connection>
  <connection id="10" xr16:uid="{00000000-0015-0000-FFFF-FFFF07000000}" name="WorksheetConnection_Vol_Reader.xlsm!Cust_map" type="102" refreshedVersion="6" minRefreshableVersion="5">
    <extLst>
      <ext xmlns:x15="http://schemas.microsoft.com/office/spreadsheetml/2010/11/main" uri="{DE250136-89BD-433C-8126-D09CA5730AF9}">
        <x15:connection id="Cust_map">
          <x15:rangePr sourceName="_xlcn.WorksheetConnection_Vol_Reader.xlsmCust_map1"/>
        </x15:connection>
      </ext>
    </extLst>
  </connection>
  <connection id="11" xr16:uid="{00000000-0015-0000-FFFF-FFFF08000000}" name="WorksheetConnection_Vol_Reader.xlsm!Prod_map" type="102" refreshedVersion="6" minRefreshableVersion="5" saveData="1">
    <extLst>
      <ext xmlns:x15="http://schemas.microsoft.com/office/spreadsheetml/2010/11/main" uri="{DE250136-89BD-433C-8126-D09CA5730AF9}">
        <x15:connection id="Prod_map">
          <x15:rangePr sourceName="_xlcn.WorksheetConnection_Vol_Reader.xlsmProd_map1"/>
        </x15:connection>
      </ext>
    </extLst>
  </connection>
  <connection id="12" xr16:uid="{00000000-0015-0000-FFFF-FFFF09000000}" name="WorksheetConnection_Vol_Reader.xlsm!Table_Date_Dim" type="102" refreshedVersion="6" minRefreshableVersion="5">
    <extLst>
      <ext xmlns:x15="http://schemas.microsoft.com/office/spreadsheetml/2010/11/main" uri="{DE250136-89BD-433C-8126-D09CA5730AF9}">
        <x15:connection id="Table_Date_Dim">
          <x15:rangePr sourceName="_xlcn.WorksheetConnection_Vol_Reader.xlsmTable_Date_Dim1"/>
        </x15:connection>
      </ext>
    </extLst>
  </connection>
  <connection id="13" xr16:uid="{00000000-0015-0000-FFFF-FFFF0A000000}" name="WorksheetConnection_Vol_Reader.xlsm!Working_sheet" type="102" refreshedVersion="6" minRefreshableVersion="5">
    <extLst>
      <ext xmlns:x15="http://schemas.microsoft.com/office/spreadsheetml/2010/11/main" uri="{DE250136-89BD-433C-8126-D09CA5730AF9}">
        <x15:connection id="Working_sheet">
          <x15:rangePr sourceName="_xlcn.WorksheetConnection_Vol_Reader.xlsmWorking_sheet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<sst xmlns="http://schemas.openxmlformats.org/spreadsheetml/2006/main" count="7043" uniqueCount="729">
  <si>
    <t>Criteria</t>
  </si>
  <si>
    <t>Cri_Value</t>
  </si>
  <si>
    <t>No.</t>
  </si>
  <si>
    <t>file path</t>
  </si>
  <si>
    <t>https://jticorp-my.sharepoint.com/my?id=%2Fpersonal%2Ftkr9739%5Fcorp%5Fjti%5Fcom%2FDocuments%2FDocuments</t>
  </si>
  <si>
    <t>Weekly file</t>
  </si>
  <si>
    <t>Sales report Jun 2025_master.xlsx</t>
  </si>
  <si>
    <t>เปลี่ยนทุกครั้งที่เริ่มเดือนใหม่</t>
  </si>
  <si>
    <t>Daily file</t>
  </si>
  <si>
    <t>SAP Rawdata export.XLSX</t>
  </si>
  <si>
    <t>self file</t>
  </si>
  <si>
    <t>250616 Daily Volume Report.xlsm</t>
  </si>
  <si>
    <t>ชื่อต้องตรงกับที่ไฟล์ที่เปิดปัจจุบัน</t>
  </si>
  <si>
    <t>year</t>
  </si>
  <si>
    <t>month</t>
  </si>
  <si>
    <t>Weekly max day</t>
  </si>
  <si>
    <t>วันสุดท้ายของไฟล์ Weekly</t>
  </si>
  <si>
    <t xml:space="preserve">Yesterday </t>
  </si>
  <si>
    <t>Daily file 2</t>
  </si>
  <si>
    <t>ถ้าไม่มีข้อมูลต้องใส่ไฟล์ที่มีแต่ Header ไว้นะ</t>
  </si>
  <si>
    <t>Daily file 3</t>
  </si>
  <si>
    <t>Daily file 4</t>
  </si>
  <si>
    <t>Daily file 5</t>
  </si>
  <si>
    <t>TME Updated</t>
  </si>
  <si>
    <t>วิธีใช้</t>
  </si>
  <si>
    <t>Total TH</t>
  </si>
  <si>
    <t>Total Volume 2020</t>
  </si>
  <si>
    <t>Brand</t>
  </si>
  <si>
    <t>Jan</t>
  </si>
  <si>
    <t>Feb</t>
  </si>
  <si>
    <t>Mar</t>
  </si>
  <si>
    <t>Apr</t>
  </si>
  <si>
    <t>May</t>
  </si>
  <si>
    <t>Jun</t>
  </si>
  <si>
    <t>Jul</t>
  </si>
  <si>
    <t>Aug</t>
  </si>
  <si>
    <t>Sep</t>
  </si>
  <si>
    <t>Oct</t>
  </si>
  <si>
    <t>Nov</t>
  </si>
  <si>
    <t>Dec</t>
  </si>
  <si>
    <t>Total 2020</t>
  </si>
  <si>
    <t>Total 2019</t>
  </si>
  <si>
    <t>Ratio 2020</t>
  </si>
  <si>
    <t>2020 vs 2019</t>
  </si>
  <si>
    <t>MV</t>
  </si>
  <si>
    <t>WIKS</t>
  </si>
  <si>
    <t>WICO</t>
  </si>
  <si>
    <t>CA</t>
  </si>
  <si>
    <t>CACO</t>
  </si>
  <si>
    <t>Total Volume 2021</t>
  </si>
  <si>
    <t>Total 2021</t>
  </si>
  <si>
    <t>Ratio 2021</t>
  </si>
  <si>
    <t>2021 vs 2020</t>
  </si>
  <si>
    <t>Total Volume 2022</t>
  </si>
  <si>
    <t>Total 2022</t>
  </si>
  <si>
    <t>Ratio 2022</t>
  </si>
  <si>
    <t>2022 vs 2021</t>
  </si>
  <si>
    <t>Total Volume 2023</t>
  </si>
  <si>
    <t>Total 2023</t>
  </si>
  <si>
    <t>Ratio 2023</t>
  </si>
  <si>
    <t>2023 vs 2022</t>
  </si>
  <si>
    <t>CA100</t>
  </si>
  <si>
    <t>Total Volume 2024</t>
  </si>
  <si>
    <t>Total 2024</t>
  </si>
  <si>
    <t>Ratio 2024</t>
  </si>
  <si>
    <t>2024 vs 2023</t>
  </si>
  <si>
    <t>Total Volume 2025</t>
  </si>
  <si>
    <t>Time Gone</t>
  </si>
  <si>
    <t>Date:</t>
  </si>
  <si>
    <t>SKU</t>
  </si>
  <si>
    <t xml:space="preserve">Sell-In				</t>
  </si>
  <si>
    <t xml:space="preserve">Sell-Out	</t>
  </si>
  <si>
    <t>Sell-In vs Buttom-up</t>
  </si>
  <si>
    <t>Sell-In vs AP**</t>
  </si>
  <si>
    <t>AP25 (From GBS  weekly Brief working file AP25)</t>
  </si>
  <si>
    <t>Yesterday</t>
  </si>
  <si>
    <t>MTD</t>
  </si>
  <si>
    <t>MTD vs Target</t>
  </si>
  <si>
    <t>YTD</t>
  </si>
  <si>
    <t>YTD Ratio</t>
  </si>
  <si>
    <t>Total</t>
  </si>
  <si>
    <t>MV_CA</t>
  </si>
  <si>
    <t>MV_CG</t>
  </si>
  <si>
    <t>MV_OB</t>
  </si>
  <si>
    <t>MV_OPT</t>
  </si>
  <si>
    <t>MV_SB</t>
  </si>
  <si>
    <t>MV_WB</t>
  </si>
  <si>
    <t>MV_NG</t>
  </si>
  <si>
    <t>WIKS_BL</t>
  </si>
  <si>
    <t>WIKS_BM</t>
  </si>
  <si>
    <t>WIKS_CL</t>
  </si>
  <si>
    <t>WICO_BK</t>
  </si>
  <si>
    <t>WICO_BL</t>
  </si>
  <si>
    <t>WICO_GR</t>
  </si>
  <si>
    <t>WICO_RE</t>
  </si>
  <si>
    <t>CA_BL</t>
  </si>
  <si>
    <t>CA_EC</t>
  </si>
  <si>
    <t>CA_FF</t>
  </si>
  <si>
    <t>CA_MN</t>
  </si>
  <si>
    <t>CAHD_YL</t>
  </si>
  <si>
    <t>CAHD_GR</t>
  </si>
  <si>
    <t>CAHD_BL</t>
  </si>
  <si>
    <t>FOC</t>
  </si>
  <si>
    <t>Total TH FOC</t>
  </si>
  <si>
    <t>**Source: weekly brief</t>
  </si>
  <si>
    <t>weekly calendar</t>
  </si>
  <si>
    <t>Daily Run Rate 2022*</t>
  </si>
  <si>
    <t>Daily Run Rate 2024*</t>
  </si>
  <si>
    <t>*remark: actual working days excluded holidays.</t>
  </si>
  <si>
    <t>Daily Run Rate 2025*</t>
  </si>
  <si>
    <t>% Contribution (YTD)</t>
  </si>
  <si>
    <t>Contribution by Brand</t>
  </si>
  <si>
    <t>Brand Performance YTD24 vs PY</t>
  </si>
  <si>
    <t>Region Performance</t>
  </si>
  <si>
    <t>Key Acct. Performance</t>
  </si>
  <si>
    <t>YTD 2024</t>
  </si>
  <si>
    <t>GT</t>
  </si>
  <si>
    <t xml:space="preserve">MT </t>
  </si>
  <si>
    <t>TOTAL</t>
  </si>
  <si>
    <t>Region</t>
  </si>
  <si>
    <t>Ratio</t>
  </si>
  <si>
    <t>vs. PY</t>
  </si>
  <si>
    <t>Key Acct.</t>
  </si>
  <si>
    <t>KS</t>
  </si>
  <si>
    <t>GBKK</t>
  </si>
  <si>
    <t>7-11</t>
  </si>
  <si>
    <t>CTL</t>
  </si>
  <si>
    <t>Lotus’s</t>
  </si>
  <si>
    <t>CO</t>
  </si>
  <si>
    <t>STH</t>
  </si>
  <si>
    <t>Tops</t>
  </si>
  <si>
    <t>CAHD</t>
  </si>
  <si>
    <t>NTH</t>
  </si>
  <si>
    <t>Big C</t>
  </si>
  <si>
    <t>NTE</t>
  </si>
  <si>
    <t>Other MT</t>
  </si>
  <si>
    <t>Total GT</t>
  </si>
  <si>
    <t>Total MT</t>
  </si>
  <si>
    <t>YTD 2025</t>
  </si>
  <si>
    <t>Source: SAP</t>
  </si>
  <si>
    <t xml:space="preserve">Source: SAP                                                                                                                                                                        </t>
  </si>
  <si>
    <t xml:space="preserve"> </t>
  </si>
  <si>
    <t>% Growth used like for like</t>
  </si>
  <si>
    <t>Contribution by Channel</t>
  </si>
  <si>
    <t xml:space="preserve">Channel Performance </t>
  </si>
  <si>
    <t>GT Channel Performance</t>
  </si>
  <si>
    <t>MT</t>
  </si>
  <si>
    <t>YTD24 vs. PY</t>
  </si>
  <si>
    <t>Channel</t>
  </si>
  <si>
    <t>JAN</t>
  </si>
  <si>
    <t>RTL</t>
  </si>
  <si>
    <t>WHS</t>
  </si>
  <si>
    <t>*Full year report sheet by brand</t>
  </si>
  <si>
    <t>Source: TME Lite</t>
  </si>
  <si>
    <t>MT Volume 2020</t>
  </si>
  <si>
    <t>GT Volume 2020</t>
  </si>
  <si>
    <t>Total 20</t>
  </si>
  <si>
    <t>Total 19</t>
  </si>
  <si>
    <t>Ratio 20</t>
  </si>
  <si>
    <t>MT Volume 2021</t>
  </si>
  <si>
    <t>GT Volume 2021</t>
  </si>
  <si>
    <t>Total 21</t>
  </si>
  <si>
    <t>Ratio 21</t>
  </si>
  <si>
    <t>MT Volume 2022</t>
  </si>
  <si>
    <t>GT Volume 2022</t>
  </si>
  <si>
    <t>Total 22</t>
  </si>
  <si>
    <t>Ratio 22</t>
  </si>
  <si>
    <t>22 vs 21</t>
  </si>
  <si>
    <t>MT Volume 2023</t>
  </si>
  <si>
    <t>GT Volume 2023</t>
  </si>
  <si>
    <t>Total 23</t>
  </si>
  <si>
    <t>Ratio 23</t>
  </si>
  <si>
    <t>23 vs 22</t>
  </si>
  <si>
    <t>MT Volume 2024</t>
  </si>
  <si>
    <t>GT Volume 2024</t>
  </si>
  <si>
    <t>Total 24</t>
  </si>
  <si>
    <t>Ratio 24</t>
  </si>
  <si>
    <t>24 vs 23</t>
  </si>
  <si>
    <t xml:space="preserve">GT </t>
  </si>
  <si>
    <t>Date</t>
  </si>
  <si>
    <t>Date :</t>
  </si>
  <si>
    <t>Key Account</t>
  </si>
  <si>
    <t>Sell-In</t>
  </si>
  <si>
    <t>Sell-Out</t>
  </si>
  <si>
    <t>CM_BL</t>
  </si>
  <si>
    <t>CM_EC</t>
  </si>
  <si>
    <t>CM_FF</t>
  </si>
  <si>
    <t>CM_MN</t>
  </si>
  <si>
    <t>CMHD_YL</t>
  </si>
  <si>
    <t>CMHD_GR</t>
  </si>
  <si>
    <t>CMHD_BL</t>
  </si>
  <si>
    <t>7- 11</t>
  </si>
  <si>
    <t>Total  7- 11</t>
  </si>
  <si>
    <t>Total GBKK</t>
  </si>
  <si>
    <t>CENTRAL</t>
  </si>
  <si>
    <t>Total Lotus’s</t>
  </si>
  <si>
    <t>Total CENTRAL</t>
  </si>
  <si>
    <t>SOUTH</t>
  </si>
  <si>
    <t>Total Tops</t>
  </si>
  <si>
    <t>Total SOUTH</t>
  </si>
  <si>
    <t>NORTH</t>
  </si>
  <si>
    <t>Total Big C</t>
  </si>
  <si>
    <t>Total NORTH</t>
  </si>
  <si>
    <t>Jiffy</t>
  </si>
  <si>
    <t>NE</t>
  </si>
  <si>
    <t>Total Jiffy</t>
  </si>
  <si>
    <t>Total NE</t>
  </si>
  <si>
    <t>Total Other MT</t>
  </si>
  <si>
    <t>Dist. &amp; Local Chains Primary Sales (Sell-in) from SAP</t>
  </si>
  <si>
    <t>Local MT</t>
  </si>
  <si>
    <t>Total Local MT</t>
  </si>
  <si>
    <t>Supercheap</t>
  </si>
  <si>
    <t>Total Supercheap</t>
  </si>
  <si>
    <t>NATTHAKORN</t>
  </si>
  <si>
    <t>BKK1</t>
  </si>
  <si>
    <t>Total NATTHAKORN</t>
  </si>
  <si>
    <t>M PROSPER</t>
  </si>
  <si>
    <t>BKK2</t>
  </si>
  <si>
    <t xml:space="preserve">Total M Prosper </t>
  </si>
  <si>
    <t>WEALIMEX</t>
  </si>
  <si>
    <t>BKK3</t>
  </si>
  <si>
    <t>Total Wealimex</t>
  </si>
  <si>
    <t>SERICHAI</t>
  </si>
  <si>
    <t>CTL1</t>
  </si>
  <si>
    <t xml:space="preserve">Total Serichai </t>
  </si>
  <si>
    <t>RPB</t>
  </si>
  <si>
    <t>CTL2</t>
  </si>
  <si>
    <t xml:space="preserve">Total RPB </t>
  </si>
  <si>
    <t>SAMSUB</t>
  </si>
  <si>
    <t>CTL3</t>
  </si>
  <si>
    <t>Total Samsub</t>
  </si>
  <si>
    <t>RDC</t>
  </si>
  <si>
    <t>STH2</t>
  </si>
  <si>
    <t>Total RDC</t>
  </si>
  <si>
    <t>MM BEVERAGE</t>
  </si>
  <si>
    <t>STH1</t>
  </si>
  <si>
    <t>Total M M Beverage</t>
  </si>
  <si>
    <t>SOR CHAROEN</t>
  </si>
  <si>
    <t>NTH1</t>
  </si>
  <si>
    <t>Total Sor. Charoen</t>
  </si>
  <si>
    <t>RATCHASIMA PDC</t>
  </si>
  <si>
    <t>NTE1</t>
  </si>
  <si>
    <t>Total P.D.C</t>
  </si>
  <si>
    <t>SAP</t>
  </si>
  <si>
    <t>As of End of</t>
  </si>
  <si>
    <t>Act. Jan</t>
  </si>
  <si>
    <t>Act. Feb</t>
  </si>
  <si>
    <t>Act. Mar</t>
  </si>
  <si>
    <t>Act. Apr</t>
  </si>
  <si>
    <t>Act. May</t>
  </si>
  <si>
    <t>Act. Jun</t>
  </si>
  <si>
    <t>Act. Jul</t>
  </si>
  <si>
    <t>Act. Aug</t>
  </si>
  <si>
    <t>Act. Sep</t>
  </si>
  <si>
    <t>Act. Oct</t>
  </si>
  <si>
    <t>Act. Nov</t>
  </si>
  <si>
    <t>Act. Dec</t>
  </si>
  <si>
    <t>Act. Sales 
Yesterday</t>
  </si>
  <si>
    <t>MTD
Actual</t>
  </si>
  <si>
    <t>%Con</t>
  </si>
  <si>
    <t>% Ach</t>
  </si>
  <si>
    <t>Sell Out 
(TME)</t>
  </si>
  <si>
    <t>% Ach
(Sale Out)</t>
  </si>
  <si>
    <t>CM</t>
  </si>
  <si>
    <t>CMHD</t>
  </si>
  <si>
    <t>% Contribution by Brand</t>
  </si>
  <si>
    <t>% YTD'20 Growth by Brand vs YTD'19</t>
  </si>
  <si>
    <t>% Contribution of GT</t>
  </si>
  <si>
    <t>% Contribution of MT</t>
  </si>
  <si>
    <t>YTD 2019</t>
  </si>
  <si>
    <t xml:space="preserve">Brand </t>
  </si>
  <si>
    <t>% Con</t>
  </si>
  <si>
    <t>%Growth*</t>
  </si>
  <si>
    <t>Familymart</t>
  </si>
  <si>
    <t>Tesco</t>
  </si>
  <si>
    <t>-</t>
  </si>
  <si>
    <t>YTD 2020</t>
  </si>
  <si>
    <t>% Contribution by Channel</t>
  </si>
  <si>
    <t>% YTD'20 Growth by Channel vs YTD'19</t>
  </si>
  <si>
    <t>% Contribution of GT by Channel</t>
  </si>
  <si>
    <t>YTD'19</t>
  </si>
  <si>
    <t>NEO</t>
  </si>
  <si>
    <t>Remark: source from SAP</t>
  </si>
  <si>
    <t xml:space="preserve">Remark: source from TME Lite                                                                                                                                                                           </t>
  </si>
  <si>
    <t>MTD TME</t>
  </si>
  <si>
    <t>MTD
FOC Actual</t>
  </si>
  <si>
    <t>Act. FOC 
Yesterday</t>
  </si>
  <si>
    <t>YTD FOC</t>
  </si>
  <si>
    <t>Sale Out 
(TME)</t>
  </si>
  <si>
    <t>Total GT FOC</t>
  </si>
  <si>
    <t>WHS FOC</t>
  </si>
  <si>
    <t>RTL FOC</t>
  </si>
  <si>
    <t>NEO FOC</t>
  </si>
  <si>
    <t>Total Tesco</t>
  </si>
  <si>
    <t>Prison</t>
  </si>
  <si>
    <t>Total Prison</t>
  </si>
  <si>
    <t>บริษัท พงษ์ทรัพย์ วัฒนา จำกัด</t>
  </si>
  <si>
    <t>Total บริษัท พงษ์ทรัพย์ วัฒนา จำกัด</t>
  </si>
  <si>
    <t>SIAM FOOD</t>
  </si>
  <si>
    <t>Total SIAM FOOD</t>
  </si>
  <si>
    <t>Total M PROSPER</t>
  </si>
  <si>
    <t>Total WEALIMEX</t>
  </si>
  <si>
    <t>SATE MILLENNIUM</t>
  </si>
  <si>
    <t>Total SATE MILLENNIUM</t>
  </si>
  <si>
    <t>Total SERICHAI</t>
  </si>
  <si>
    <t>Total RPB</t>
  </si>
  <si>
    <t>Total SAMSUB</t>
  </si>
  <si>
    <t>CE PROSPER</t>
  </si>
  <si>
    <t>Total CE PROSPER</t>
  </si>
  <si>
    <t>Total MM BEVERAGE</t>
  </si>
  <si>
    <t>Total SOR CHAROEN</t>
  </si>
  <si>
    <t>BIG BIZ PLUS</t>
  </si>
  <si>
    <t>Total BIG BIZ PLUS</t>
  </si>
  <si>
    <t>BV</t>
  </si>
  <si>
    <t>Total BV</t>
  </si>
  <si>
    <t>BANPAEW</t>
  </si>
  <si>
    <t>Total BANPAEW</t>
  </si>
  <si>
    <t>KHONKAEN PANICH</t>
  </si>
  <si>
    <t>Total KHONKAEN PANICH</t>
  </si>
  <si>
    <t>RATCHASIMA</t>
  </si>
  <si>
    <t>Total RATCHASIMA</t>
  </si>
  <si>
    <t>Total RATCHASIMA PDC</t>
  </si>
  <si>
    <t>JTI Shipment</t>
  </si>
  <si>
    <t>MAT 2022</t>
  </si>
  <si>
    <t>MAT 2021</t>
  </si>
  <si>
    <t xml:space="preserve">Data as of </t>
  </si>
  <si>
    <t>(Multiple Items)</t>
  </si>
  <si>
    <t>(All)</t>
  </si>
  <si>
    <t>Brand/SKU</t>
  </si>
  <si>
    <t>Stock Received MTD</t>
  </si>
  <si>
    <t>Sell Out MTD</t>
  </si>
  <si>
    <t>Stock Available</t>
  </si>
  <si>
    <t>Sell  Out/Day</t>
  </si>
  <si>
    <t>Stock Cover Day</t>
  </si>
  <si>
    <t>DIST_CD</t>
  </si>
  <si>
    <t>Dist_Name</t>
  </si>
  <si>
    <t>S102</t>
  </si>
  <si>
    <t>Natthakorn Distributor Co., Ltd.</t>
  </si>
  <si>
    <t>S104</t>
  </si>
  <si>
    <t>M Prosper Co., Ltd.</t>
  </si>
  <si>
    <t>S105</t>
  </si>
  <si>
    <t>Wealimex Co., Ltd.</t>
  </si>
  <si>
    <t>GBKK Total</t>
  </si>
  <si>
    <t>S201</t>
  </si>
  <si>
    <t>Samsub Distributor Ltd., Part.</t>
  </si>
  <si>
    <t>S202</t>
  </si>
  <si>
    <t>Serichai AS&amp;D Co., Ltd.</t>
  </si>
  <si>
    <t>Grand Total</t>
  </si>
  <si>
    <t>S203</t>
  </si>
  <si>
    <t>RPB Distribution Co., Ltd.</t>
  </si>
  <si>
    <t>CENTRAL Total</t>
  </si>
  <si>
    <t>S301</t>
  </si>
  <si>
    <t>M M Beverage Co., Ltd.</t>
  </si>
  <si>
    <t>S302</t>
  </si>
  <si>
    <t>Ratchasima D.C. Co., Ltd.</t>
  </si>
  <si>
    <t>SOUTH Total</t>
  </si>
  <si>
    <t>S401</t>
  </si>
  <si>
    <t>Sor. Charoen Supply 2018 Co., Ltd.</t>
  </si>
  <si>
    <t>NORTH Total</t>
  </si>
  <si>
    <t>S504</t>
  </si>
  <si>
    <t>Ratchasima P.D.C. Co., Ltd.</t>
  </si>
  <si>
    <t>NE Total</t>
  </si>
  <si>
    <t xml:space="preserve">Notes: </t>
  </si>
  <si>
    <t>Stock Received MTD - The actual stocks received by distributors accumulated from every 1st of the month, Exclude Super Cheap</t>
  </si>
  <si>
    <t>Sell Out MTD - The actual sell out accumulated from every 1st of the month</t>
  </si>
  <si>
    <t xml:space="preserve">Stock Available - The total stocks in the distributor warehouses </t>
  </si>
  <si>
    <t>Sell Out per Day - Calculated from the average sell out in past 60 days excluding Sundays and public holidays</t>
  </si>
  <si>
    <t>Dist_Stock</t>
  </si>
  <si>
    <t>Dist_Receipt</t>
  </si>
  <si>
    <t>PRDperDay</t>
  </si>
  <si>
    <t>SellOut</t>
  </si>
  <si>
    <t>Chk</t>
  </si>
  <si>
    <t>Diff</t>
  </si>
  <si>
    <t>Final_Stock</t>
  </si>
  <si>
    <t>AP20</t>
  </si>
  <si>
    <t>Mevius</t>
  </si>
  <si>
    <t>Original blue</t>
  </si>
  <si>
    <t>Option purple</t>
  </si>
  <si>
    <t>Skyblue</t>
  </si>
  <si>
    <t>MV_Caster</t>
  </si>
  <si>
    <t>Caster</t>
  </si>
  <si>
    <t>MV_OPR</t>
  </si>
  <si>
    <t>Option Red</t>
  </si>
  <si>
    <t>Winston KS</t>
  </si>
  <si>
    <t>WIKS Blue</t>
  </si>
  <si>
    <t>WIKS Red</t>
  </si>
  <si>
    <t>WIKS Green</t>
  </si>
  <si>
    <t>Winston CO</t>
  </si>
  <si>
    <t>WICO Blue</t>
  </si>
  <si>
    <t>WICO Red</t>
  </si>
  <si>
    <t>WICO Green</t>
  </si>
  <si>
    <t>WICO Black</t>
  </si>
  <si>
    <t>Camel</t>
  </si>
  <si>
    <t>Camel Eclip</t>
  </si>
  <si>
    <t>Camel Red</t>
  </si>
  <si>
    <t>Camel Blue</t>
  </si>
  <si>
    <t>Camel Green</t>
  </si>
  <si>
    <t>Camel CO</t>
  </si>
  <si>
    <t>CA CPBL</t>
  </si>
  <si>
    <t>Camel Compact Red</t>
  </si>
  <si>
    <t>CA CPCL</t>
  </si>
  <si>
    <t>Camel Compact Blue</t>
  </si>
  <si>
    <t>CA CPME</t>
  </si>
  <si>
    <t>Camel Compact Green</t>
  </si>
  <si>
    <t>Data from sheet daily sales volume "Column N"</t>
  </si>
  <si>
    <t>YTD 23</t>
  </si>
  <si>
    <t>YTD 24</t>
  </si>
  <si>
    <t>%Growth</t>
  </si>
  <si>
    <t xml:space="preserve">*** จบเดือน อัพเดตตัวเลขเดือนถัดไป ห้าม sum </t>
  </si>
  <si>
    <t>Data from sheet daily sales volume "Column S"</t>
  </si>
  <si>
    <t>Lotus</t>
  </si>
  <si>
    <t>YTD 25</t>
  </si>
  <si>
    <t>Shipment 2024</t>
  </si>
  <si>
    <t>Material</t>
  </si>
  <si>
    <t>Brand_Name</t>
  </si>
  <si>
    <t>Prod_map2.SAP_BrandName</t>
  </si>
  <si>
    <t>TME_Brand</t>
  </si>
  <si>
    <t>TME_SKU</t>
  </si>
  <si>
    <t>ME SB</t>
  </si>
  <si>
    <t>ME OB</t>
  </si>
  <si>
    <t>ME OP</t>
  </si>
  <si>
    <t>WI BL</t>
  </si>
  <si>
    <t>WC RE</t>
  </si>
  <si>
    <t>WC BL</t>
  </si>
  <si>
    <t>WC GR</t>
  </si>
  <si>
    <t>CA FL</t>
  </si>
  <si>
    <t>CA BL</t>
  </si>
  <si>
    <t>CA MN</t>
  </si>
  <si>
    <t>CA 100S YL</t>
  </si>
  <si>
    <t>CA 100S GR</t>
  </si>
  <si>
    <t>Cust_Name</t>
  </si>
  <si>
    <t>Customer category</t>
  </si>
  <si>
    <t>cust_channel</t>
  </si>
  <si>
    <t>Count</t>
  </si>
  <si>
    <t>AEON (Thailand) Co.,Ltd.</t>
  </si>
  <si>
    <t>Big C Supercenter Public Co.,Ltd.</t>
  </si>
  <si>
    <t>CJ Express Group Co., Ltd.</t>
  </si>
  <si>
    <t>CP All Public Company Limited</t>
  </si>
  <si>
    <t>Central Food Retail Co., Ltd.</t>
  </si>
  <si>
    <t>Central Food Wholesales Limited</t>
  </si>
  <si>
    <t>Ek-Chai Distribution System Co. Ltd</t>
  </si>
  <si>
    <t>FOODLAND SUPERMARKET CO., LTD.</t>
  </si>
  <si>
    <t>M M BEVERAGE CO., LTD.</t>
  </si>
  <si>
    <t>Distributor</t>
  </si>
  <si>
    <t>M PROSPER CO., LTD.</t>
  </si>
  <si>
    <t>NATTHAKORN DISTRIBUTION CO., LTD.</t>
  </si>
  <si>
    <t>PTT Retail Management Co., Ltd</t>
  </si>
  <si>
    <t>Petroleum Thai Corporation Co.,Ltd.</t>
  </si>
  <si>
    <t>RATCHASIMA D.C. CO., LTD</t>
  </si>
  <si>
    <t>RATCHASIMA P.D.C. CO., LTD.</t>
  </si>
  <si>
    <t>SAMSUB DISTRIBUTOR LIMITED</t>
  </si>
  <si>
    <t>SERICHAI AS&amp;D CO., LTD.</t>
  </si>
  <si>
    <t>SOR.CHAROEN SUPPLY 2018 LIMITED</t>
  </si>
  <si>
    <t>SUN 108 CO., LTD.</t>
  </si>
  <si>
    <t>Siam Makro Public Company Limited</t>
  </si>
  <si>
    <t>The Mall Group Co., Ltd. (DC)</t>
  </si>
  <si>
    <t>UFM Fuji Super Co.,Ltd.</t>
  </si>
  <si>
    <t>VILLA MARKET J.P. CO., LTD.</t>
  </si>
  <si>
    <t>WEALIMEX CO., LTD.</t>
  </si>
  <si>
    <t>yearmonth</t>
  </si>
  <si>
    <t>Sell_WHS_QTY</t>
  </si>
  <si>
    <t>Sell_RTL_QTY</t>
  </si>
  <si>
    <t>Sell_NEO_QTY</t>
  </si>
  <si>
    <t>FOC_WHS_QTY</t>
  </si>
  <si>
    <t>FOC_RTL_QTY</t>
  </si>
  <si>
    <t>FOC_NEO_QTY</t>
  </si>
  <si>
    <t>Document Date</t>
  </si>
  <si>
    <t>Name 1</t>
  </si>
  <si>
    <t>Cust_Cat.Cust_Name</t>
  </si>
  <si>
    <t>Cust_Cat.Customer category</t>
  </si>
  <si>
    <t>Cust_Cat.cust_channel</t>
  </si>
  <si>
    <t>Map_Product.TME_Brand</t>
  </si>
  <si>
    <t>Map_Product.TME_SKU</t>
  </si>
  <si>
    <t>Order Quantity</t>
  </si>
  <si>
    <t>Bill. date</t>
  </si>
  <si>
    <t>date_Source3.Week_no</t>
  </si>
  <si>
    <t>Quantity</t>
  </si>
  <si>
    <t>Row Labels</t>
  </si>
  <si>
    <t>Sum of Quantity</t>
  </si>
  <si>
    <t>S102CM_FF</t>
  </si>
  <si>
    <t>S102CM_MN</t>
  </si>
  <si>
    <t>S102MV_OB</t>
  </si>
  <si>
    <t>S102MV_OPT</t>
  </si>
  <si>
    <t>S104CM_BL</t>
  </si>
  <si>
    <t>S104CM_FF</t>
  </si>
  <si>
    <t>S104CM_MN</t>
  </si>
  <si>
    <t>S104MV_SB</t>
  </si>
  <si>
    <t>S104WICO_BL</t>
  </si>
  <si>
    <t>S104WICO_GR</t>
  </si>
  <si>
    <t>S104WICO_RE</t>
  </si>
  <si>
    <t>S105CM_BL</t>
  </si>
  <si>
    <t>S105CM_FF</t>
  </si>
  <si>
    <t>S105CM_MN</t>
  </si>
  <si>
    <t>S105WICO_BL</t>
  </si>
  <si>
    <t>S105WICO_GR</t>
  </si>
  <si>
    <t>S105WICO_RE</t>
  </si>
  <si>
    <t>S105WIKS_BL</t>
  </si>
  <si>
    <t>S201CM_BL</t>
  </si>
  <si>
    <t>S201CM_FF</t>
  </si>
  <si>
    <t>S201CM_MN</t>
  </si>
  <si>
    <t>S201MV_OPT</t>
  </si>
  <si>
    <t>S201MV_SB</t>
  </si>
  <si>
    <t>S201WICO_BL</t>
  </si>
  <si>
    <t>S201WICO_GR</t>
  </si>
  <si>
    <t>S201WICO_RE</t>
  </si>
  <si>
    <t>S202CM_BL</t>
  </si>
  <si>
    <t>S202CM_FF</t>
  </si>
  <si>
    <t>S202CM_MN</t>
  </si>
  <si>
    <t>S202MV_SB</t>
  </si>
  <si>
    <t>S202WICO_BL</t>
  </si>
  <si>
    <t>S202WICO_GR</t>
  </si>
  <si>
    <t>S202WICO_RE</t>
  </si>
  <si>
    <t>S202WIKS_BL</t>
  </si>
  <si>
    <t>S203CM_BL</t>
  </si>
  <si>
    <t>S203CM_FF</t>
  </si>
  <si>
    <t>S203CM_MN</t>
  </si>
  <si>
    <t>S203MV_OB</t>
  </si>
  <si>
    <t>S203WICO_BL</t>
  </si>
  <si>
    <t>S203WICO_GR</t>
  </si>
  <si>
    <t>S203WICO_RE</t>
  </si>
  <si>
    <t>S301CM_BL</t>
  </si>
  <si>
    <t>S301CM_FF</t>
  </si>
  <si>
    <t>S301CM_MN</t>
  </si>
  <si>
    <t>S301MV_OB</t>
  </si>
  <si>
    <t>S301MV_SB</t>
  </si>
  <si>
    <t>S301WICO_BL</t>
  </si>
  <si>
    <t>S301WICO_GR</t>
  </si>
  <si>
    <t>S301WICO_RE</t>
  </si>
  <si>
    <t>S301WIKS_BL</t>
  </si>
  <si>
    <t>S302CM_BL</t>
  </si>
  <si>
    <t>S302CM_FF</t>
  </si>
  <si>
    <t>S302CM_MN</t>
  </si>
  <si>
    <t>S302MV_OB</t>
  </si>
  <si>
    <t>S302MV_SB</t>
  </si>
  <si>
    <t>S302WICO_BL</t>
  </si>
  <si>
    <t>S302WICO_RE</t>
  </si>
  <si>
    <t>S302WIKS_BL</t>
  </si>
  <si>
    <t>S401CM_BL</t>
  </si>
  <si>
    <t>S401CM_FF</t>
  </si>
  <si>
    <t>S401CM_MN</t>
  </si>
  <si>
    <t>S401MV_SB</t>
  </si>
  <si>
    <t>S401WICO_BL</t>
  </si>
  <si>
    <t>S401WICO_GR</t>
  </si>
  <si>
    <t>S401WICO_RE</t>
  </si>
  <si>
    <t>S105MV_SB</t>
  </si>
  <si>
    <t>S504MV_SB</t>
  </si>
  <si>
    <t>S504WICO_BL</t>
  </si>
  <si>
    <t>S504CM_FF</t>
  </si>
  <si>
    <t>S504CM_BL</t>
  </si>
  <si>
    <t>(blank)</t>
  </si>
  <si>
    <t>S104MV_OPT</t>
  </si>
  <si>
    <t>S202MV_OPT</t>
  </si>
  <si>
    <t>S504WICO_RE</t>
  </si>
  <si>
    <t>S504CM_MN</t>
  </si>
  <si>
    <t>S504WICO_GR</t>
  </si>
  <si>
    <t>S302MV_OPT</t>
  </si>
  <si>
    <t>S203CMHD_YL</t>
  </si>
  <si>
    <t>S401CMHD_YL</t>
  </si>
  <si>
    <t>S504CMHD_YL</t>
  </si>
  <si>
    <t>S201CMHD_YL</t>
  </si>
  <si>
    <t>S302CMHD_YL</t>
  </si>
  <si>
    <t>S102CMHD_YL</t>
  </si>
  <si>
    <t>S202CMHD_YL</t>
  </si>
  <si>
    <t>S105CMHD_YL</t>
  </si>
  <si>
    <t>S104CMHD_YL</t>
  </si>
  <si>
    <t>S301CMHD_YL</t>
  </si>
  <si>
    <t>S201CMHD_GR</t>
  </si>
  <si>
    <t>S401CMHD_GR</t>
  </si>
  <si>
    <t>S504CMHD_GR</t>
  </si>
  <si>
    <t>S105CMHD_GR</t>
  </si>
  <si>
    <t>S104CMHD_GR</t>
  </si>
  <si>
    <t>S203CMHD_GR</t>
  </si>
  <si>
    <t>S202CMHD_GR</t>
  </si>
  <si>
    <t>Dist_Code</t>
  </si>
  <si>
    <t>Check</t>
  </si>
  <si>
    <t>Distributor name (SAP)</t>
  </si>
  <si>
    <t>Distributor Code</t>
  </si>
  <si>
    <t xml:space="preserve">Distributor name (TME) </t>
  </si>
  <si>
    <t>SIAM FOOD AND CONSUMER CO., LTD.</t>
  </si>
  <si>
    <t>Siam Food and Consumer Co., Ltd.</t>
  </si>
  <si>
    <t>ASIACHAI WEST COMPANY LIMITED</t>
  </si>
  <si>
    <t>Asiachai West Company Limited.</t>
  </si>
  <si>
    <t>Natthakorn Distribution Co., Ltd.</t>
  </si>
  <si>
    <t>SATE MILLENNIUM CO., LTD.</t>
  </si>
  <si>
    <t>S106</t>
  </si>
  <si>
    <t>Sate Millennium Co., Ltd.</t>
  </si>
  <si>
    <t>RPB DISTRIBUTION CO., LTD.</t>
  </si>
  <si>
    <t>CE PROSPER CO., LTD.</t>
  </si>
  <si>
    <t>S204</t>
  </si>
  <si>
    <t>CE Prosper Co., Ltd.</t>
  </si>
  <si>
    <t>OCEAN D.C. CO., LTD.</t>
  </si>
  <si>
    <t>BIG BIZ PLUS CO., LTD.</t>
  </si>
  <si>
    <t>S402</t>
  </si>
  <si>
    <t>Big Biz Plus Co., Ltd.</t>
  </si>
  <si>
    <t>B.V. DISTRIBUTOR LIMITED</t>
  </si>
  <si>
    <t>S403</t>
  </si>
  <si>
    <t>B.V. Distributor Ltd., Part.</t>
  </si>
  <si>
    <t>BANPAEW DISTRIBUTION LIMITED</t>
  </si>
  <si>
    <t>S501</t>
  </si>
  <si>
    <t>Banpaew Distribution Ltd., Part.</t>
  </si>
  <si>
    <t>KHONKAEN PANICH CO., LTD.</t>
  </si>
  <si>
    <t>S502</t>
  </si>
  <si>
    <t>Khonkaen Panich Co., Ltd.</t>
  </si>
  <si>
    <t>RATCHASIMA P.AS&amp;D CO., LTD.</t>
  </si>
  <si>
    <t>S503</t>
  </si>
  <si>
    <t>Ratchasima P.AS&amp;D Co., Ltd.</t>
  </si>
  <si>
    <t>Customer_code</t>
  </si>
  <si>
    <t>Customer_Name</t>
  </si>
  <si>
    <t>Group1</t>
  </si>
  <si>
    <t>Group2</t>
  </si>
  <si>
    <t>Cat_Type</t>
  </si>
  <si>
    <t>SUB_DIST</t>
  </si>
  <si>
    <t>TSM_CD</t>
  </si>
  <si>
    <t>SLSMAN_CD</t>
  </si>
  <si>
    <t>MT_Vol</t>
  </si>
  <si>
    <t>1014040</t>
  </si>
  <si>
    <t>Yokhong</t>
  </si>
  <si>
    <t>GT_Vol</t>
  </si>
  <si>
    <t>J101</t>
  </si>
  <si>
    <t>HQ1</t>
  </si>
  <si>
    <t>FSMA51500</t>
  </si>
  <si>
    <t>SR000000</t>
  </si>
  <si>
    <t>1014615</t>
  </si>
  <si>
    <t>HQNC</t>
  </si>
  <si>
    <t>1014645</t>
  </si>
  <si>
    <t>1014654</t>
  </si>
  <si>
    <t>1014690</t>
  </si>
  <si>
    <t>Isetan (Thailand) Co.,Ltd.</t>
  </si>
  <si>
    <t>1490714</t>
  </si>
  <si>
    <t>1517112</t>
  </si>
  <si>
    <t>1014780</t>
  </si>
  <si>
    <t>BANGKOK-TOKYU DEPARTMENTSTORE</t>
  </si>
  <si>
    <t>1015079</t>
  </si>
  <si>
    <t>Bangchak Retail Company Limited</t>
  </si>
  <si>
    <t>1015197</t>
  </si>
  <si>
    <t>1085097</t>
  </si>
  <si>
    <t>Tang Hua Seng Department</t>
  </si>
  <si>
    <t>1106976</t>
  </si>
  <si>
    <t>1014023</t>
  </si>
  <si>
    <t>The Mall Group Co., Ltd.</t>
  </si>
  <si>
    <t>The Mall group</t>
  </si>
  <si>
    <t>1014627</t>
  </si>
  <si>
    <t>1014642</t>
  </si>
  <si>
    <t>The Mall Ratchasima Co., Ltd.</t>
  </si>
  <si>
    <t>1014687</t>
  </si>
  <si>
    <t>1014693</t>
  </si>
  <si>
    <t>1014753</t>
  </si>
  <si>
    <t>1014760</t>
  </si>
  <si>
    <t>City Mall Group Co.,Ltd.</t>
  </si>
  <si>
    <t>1122492</t>
  </si>
  <si>
    <t>1014761</t>
  </si>
  <si>
    <t>1075143</t>
  </si>
  <si>
    <t>Siam Paragon Retail Co., Ltd.</t>
  </si>
  <si>
    <t>1102077</t>
  </si>
  <si>
    <t>Emporium Food Gallery Co., Ltd.</t>
  </si>
  <si>
    <t>1109335</t>
  </si>
  <si>
    <t>1111901</t>
  </si>
  <si>
    <t>Promenade Homefreshmart Co., Ltd.</t>
  </si>
  <si>
    <t>1127107</t>
  </si>
  <si>
    <t>HUAHIN RETAIL CO., LTD.</t>
  </si>
  <si>
    <t>1128361</t>
  </si>
  <si>
    <t>1136869</t>
  </si>
  <si>
    <t>The Mall Group Co., Ltd. (Rajapruk)</t>
  </si>
  <si>
    <t>7 ELEVEN</t>
  </si>
  <si>
    <t>Central Familymart Co., Ltd.</t>
  </si>
  <si>
    <t>1246173</t>
  </si>
  <si>
    <t>1246010</t>
  </si>
  <si>
    <t>BANPAEW DISTRIBUTION LIMITED PARTNERSHIP</t>
  </si>
  <si>
    <t>1254363</t>
  </si>
  <si>
    <t>1255251</t>
  </si>
  <si>
    <t>1412734</t>
  </si>
  <si>
    <t>1255253</t>
  </si>
  <si>
    <t>SIAM FOOD AND CONSUMER CO., LTD</t>
  </si>
  <si>
    <t>1076141</t>
  </si>
  <si>
    <t>1014103</t>
  </si>
  <si>
    <t>1255550</t>
  </si>
  <si>
    <t>1260935</t>
  </si>
  <si>
    <t>1255551</t>
  </si>
  <si>
    <t>1262220</t>
  </si>
  <si>
    <t>MM BEVERAGE CO., LTD.</t>
  </si>
  <si>
    <t>1256072</t>
  </si>
  <si>
    <t>SOR.CHAROEN SUPPLY 2018 CO., LTD.</t>
  </si>
  <si>
    <t>1255254</t>
  </si>
  <si>
    <t>1266589</t>
  </si>
  <si>
    <t>1256811</t>
  </si>
  <si>
    <t>1256074</t>
  </si>
  <si>
    <t>1262221</t>
  </si>
  <si>
    <t>1268011</t>
  </si>
  <si>
    <t>1530016</t>
  </si>
  <si>
    <t>1268316</t>
  </si>
  <si>
    <t>OCEAN DC</t>
  </si>
  <si>
    <t>1268274</t>
  </si>
  <si>
    <t>1533815</t>
  </si>
  <si>
    <t>RATCHASIMA D.C. CO., LTD.</t>
  </si>
  <si>
    <t>1533947</t>
  </si>
  <si>
    <t>1406172</t>
  </si>
  <si>
    <t>1406173</t>
  </si>
  <si>
    <t>ASIACHAI</t>
  </si>
  <si>
    <t>1406366</t>
  </si>
  <si>
    <t>1014696</t>
  </si>
  <si>
    <t>1077703</t>
  </si>
  <si>
    <t>SAP_BrandName</t>
  </si>
  <si>
    <t>ME WB</t>
  </si>
  <si>
    <t>ME CG</t>
  </si>
  <si>
    <t>ME CA</t>
  </si>
  <si>
    <t>WI CLS</t>
  </si>
  <si>
    <t>WI BM</t>
  </si>
  <si>
    <t>WI MGXS</t>
  </si>
  <si>
    <t>WIKS_XP</t>
  </si>
  <si>
    <t>RYO YL</t>
  </si>
  <si>
    <t>CM_RYO_Y</t>
  </si>
  <si>
    <t>CA EC</t>
  </si>
  <si>
    <t>CC YL</t>
  </si>
  <si>
    <t>CMCO</t>
  </si>
  <si>
    <t>CMCO_YL</t>
  </si>
  <si>
    <t>CC BL</t>
  </si>
  <si>
    <t>CMCO_BL</t>
  </si>
  <si>
    <t>CC GR</t>
  </si>
  <si>
    <t>CMCO_GR</t>
  </si>
  <si>
    <t>WC BK</t>
  </si>
  <si>
    <t>ME OR</t>
  </si>
  <si>
    <t>MV_OR</t>
  </si>
  <si>
    <t>CA 100S BL</t>
  </si>
  <si>
    <t>ME NG</t>
  </si>
  <si>
    <t>Date_all_Day</t>
  </si>
  <si>
    <t>Day_in_month</t>
  </si>
  <si>
    <t>Week_no</t>
  </si>
  <si>
    <t>date_text</t>
  </si>
  <si>
    <t>YearMonth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</si>
</sst>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3" formatCode="_(* #,##0.00_);_(* \(#,##0.00\);_(* &quot;-&quot;??_);_(@_)"/>
    <numFmt numFmtId="164" formatCode="[$-F800]dddd\,\ mmmm\ dd\,\ yyyy"/>
    <numFmt numFmtId="165" formatCode="dddd"/>
    <numFmt numFmtId="166" formatCode="0.0%"/>
    <numFmt numFmtId="167" formatCode="_(* #,##0.0_);_(* \(#,##0.0\);_(* &quot;-&quot;??_);_(@_)"/>
    <numFmt numFmtId="168" formatCode="0.0"/>
    <numFmt numFmtId="169" formatCode="_(* #,##0_);_(* \(#,##0\);_(* &quot;-&quot;??_);_(@_)"/>
    <numFmt numFmtId="170" formatCode="_(* #,##0.000_);_(* \(#,##0.000\);_(* &quot;-&quot;??_);_(@_)"/>
    <numFmt numFmtId="171" formatCode="0.0000"/>
    <numFmt numFmtId="172" formatCode="0.000"/>
    <numFmt numFmtId="173" formatCode="dd\-mm\-yyyy"/>
    <numFmt numFmtId="174" formatCode="_-* #,##0.00_-;\-* #,##0.00_-;_-* &quot;-&quot;??_-;_-@_-"/>
    <numFmt numFmtId="175" formatCode="###,000"/>
    <numFmt numFmtId="176" formatCode="yyyy\-mm\-dd"/>
    <numFmt numFmtId="177" formatCode="_(* #,##0.0_);_(* \(#,##0.0\);_(* &quot;-&quot;?_);_(@_)"/>
  </numFmts>
  <fonts count="103">
    <font>
      <sz val="11"/>
      <color theme="1"/>
      <name val="Calibri"/>
      <family val="2"/>
      <scheme val="minor"/>
    </font>
    <font>
      <sz val="11"/>
      <color rgb="FFFF0000"/>
      <name val="Calibri"/>
      <family val="2"/>
      <scheme val="minor"/>
    </font>
    <font>
      <b/>
      <sz val="11"/>
      <color theme="1"/>
      <name val="Calibri"/>
      <family val="2"/>
      <scheme val="minor"/>
    </font>
    <font>
      <sz val="10"/>
      <name val="Arial"/>
      <family val="2"/>
    </font>
    <font>
      <sz val="10"/>
      <color indexed="8"/>
      <name val="Calibri"/>
      <family val="2"/>
      <scheme val="minor"/>
    </font>
    <font>
      <sz val="11"/>
      <color theme="1"/>
      <name val="Calibri"/>
      <family val="2"/>
      <scheme val="minor"/>
    </font>
    <font>
      <b/>
      <sz val="11"/>
      <color theme="0"/>
      <name val="Calibri"/>
      <family val="2"/>
      <scheme val="minor"/>
    </font>
    <font>
      <b/>
      <sz val="16"/>
      <color theme="0"/>
      <name val="Calibri"/>
      <family val="2"/>
      <scheme val="minor"/>
    </font>
    <font>
      <sz val="16"/>
      <color theme="1"/>
      <name val="Calibri"/>
      <family val="2"/>
      <scheme val="minor"/>
    </font>
    <font>
      <b/>
      <sz val="11"/>
      <color theme="1"/>
      <name val="Arial Unicode MS"/>
      <family val="2"/>
    </font>
    <font>
      <sz val="11"/>
      <color theme="1"/>
      <name val="Arial Unicode MS"/>
      <family val="2"/>
    </font>
    <font>
      <b/>
      <sz val="11"/>
      <color rgb="FFFF0000"/>
      <name val="Arial Unicode MS"/>
      <family val="2"/>
    </font>
    <font>
      <b/>
      <sz val="11"/>
      <color rgb="FFFF0000"/>
      <name val="Calibri"/>
      <family val="2"/>
      <scheme val="minor"/>
    </font>
    <font>
      <b/>
      <sz val="12"/>
      <color rgb="FFFF0000"/>
      <name val="Arial Unicode MS"/>
      <family val="2"/>
    </font>
    <font>
      <b/>
      <sz val="12"/>
      <color rgb="FFFF0000"/>
      <name val="Calibri"/>
      <family val="2"/>
      <scheme val="minor"/>
    </font>
    <font>
      <b/>
      <sz val="12"/>
      <color theme="1"/>
      <name val="Calibri"/>
      <family val="2"/>
      <scheme val="minor"/>
    </font>
    <font>
      <b/>
      <sz val="12"/>
      <color theme="0"/>
      <name val="Calibri"/>
      <family val="2"/>
      <scheme val="minor"/>
    </font>
    <font>
      <b/>
      <sz val="11"/>
      <name val="Calibri"/>
      <family val="2"/>
      <scheme val="minor"/>
    </font>
    <font>
      <b/>
      <sz val="16"/>
      <color rgb="FFFF0000"/>
      <name val="Calibri"/>
      <family val="2"/>
      <scheme val="minor"/>
    </font>
    <font>
      <sz val="11"/>
      <color theme="0" tint="-0.499984740745262"/>
      <name val="Calibri"/>
      <family val="2"/>
      <scheme val="minor"/>
    </font>
    <font>
      <sz val="11"/>
      <color theme="5"/>
      <name val="Calibri"/>
      <family val="2"/>
      <scheme val="minor"/>
    </font>
    <font>
      <sz val="11"/>
      <color theme="5" tint="-0.249977111117893"/>
      <name val="Calibri"/>
      <family val="2"/>
      <scheme val="minor"/>
    </font>
    <font>
      <b/>
      <sz val="11"/>
      <color theme="5" tint="-0.249977111117893"/>
      <name val="Calibri"/>
      <family val="2"/>
      <scheme val="minor"/>
    </font>
    <font>
      <sz val="11"/>
      <color theme="2" tint="-0.749992370372631"/>
      <name val="Calibri"/>
      <family val="2"/>
      <scheme val="minor"/>
    </font>
    <font>
      <b/>
      <sz val="11"/>
      <color theme="2" tint="-0.749992370372631"/>
      <name val="Calibri"/>
      <family val="2"/>
      <scheme val="minor"/>
    </font>
    <font>
      <sz val="9"/>
      <color rgb="FFFF0000"/>
      <name val="Calibri"/>
      <family val="2"/>
      <scheme val="minor"/>
    </font>
    <font>
      <b/>
      <sz val="11"/>
      <color theme="2" tint="-0.499984740745262"/>
      <name val="Calibri"/>
      <family val="2"/>
      <scheme val="minor"/>
    </font>
    <font>
      <b/>
      <sz val="10"/>
      <color theme="2" tint="-0.499984740745262"/>
      <name val="Calibri"/>
      <family val="2"/>
      <scheme val="minor"/>
    </font>
    <font>
      <b/>
      <sz val="11"/>
      <color theme="1"/>
      <name val="Calibri Light"/>
      <family val="2"/>
    </font>
    <font>
      <b/>
      <sz val="11"/>
      <color rgb="FF122632"/>
      <name val="Calibri Light"/>
      <family val="2"/>
    </font>
    <font>
      <sz val="11"/>
      <color rgb="FFC00000"/>
      <name val="Calibri"/>
      <family val="2"/>
      <scheme val="minor"/>
    </font>
    <font>
      <sz val="11"/>
      <color theme="0" tint="-4.9989318521683403E-2"/>
      <name val="Calibri"/>
      <family val="2"/>
      <scheme val="minor"/>
    </font>
    <font>
      <sz val="11"/>
      <color rgb="FF0070C0"/>
      <name val="Calibri"/>
      <family val="2"/>
      <scheme val="minor"/>
    </font>
    <font>
      <b/>
      <sz val="11"/>
      <color rgb="FF0070C0"/>
      <name val="Calibri"/>
      <family val="2"/>
      <scheme val="minor"/>
    </font>
    <font>
      <b/>
      <sz val="12"/>
      <color theme="0"/>
      <name val="Arial Black"/>
      <family val="2"/>
    </font>
    <font>
      <sz val="12"/>
      <color theme="1"/>
      <name val="Arial Black"/>
      <family val="2"/>
    </font>
    <font>
      <b/>
      <sz val="12"/>
      <color theme="1"/>
      <name val="Arial Unicode MS"/>
      <family val="2"/>
    </font>
    <font>
      <sz val="11"/>
      <name val="Calibri"/>
      <family val="2"/>
      <scheme val="minor"/>
    </font>
    <font>
      <sz val="11"/>
      <color theme="0" tint="-0.14999847407452621"/>
      <name val="Calibri"/>
      <family val="2"/>
      <scheme val="minor"/>
    </font>
    <font>
      <b/>
      <sz val="11"/>
      <color theme="1"/>
      <name val="Arial Black"/>
      <family val="2"/>
    </font>
    <font>
      <b/>
      <sz val="10"/>
      <color theme="1"/>
      <name val="Calibri"/>
      <family val="2"/>
      <scheme val="minor"/>
    </font>
    <font>
      <b/>
      <sz val="11"/>
      <color theme="3"/>
      <name val="Calibri"/>
      <family val="2"/>
    </font>
    <font>
      <sz val="11"/>
      <color rgb="FF7030A0"/>
      <name val="Calibri"/>
      <family val="2"/>
      <scheme val="minor"/>
    </font>
    <font>
      <b/>
      <sz val="11"/>
      <color rgb="FF7030A0"/>
      <name val="Calibri"/>
      <family val="2"/>
      <scheme val="minor"/>
    </font>
    <font>
      <sz val="11"/>
      <color rgb="FF00B050"/>
      <name val="Calibri"/>
      <family val="2"/>
      <scheme val="minor"/>
    </font>
    <font>
      <b/>
      <sz val="11"/>
      <color rgb="FF00B050"/>
      <name val="Calibri"/>
      <family val="2"/>
      <scheme val="minor"/>
    </font>
    <font>
      <sz val="11"/>
      <color theme="7" tint="-0.249977111117893"/>
      <name val="Calibri"/>
      <family val="2"/>
      <scheme val="minor"/>
    </font>
    <font>
      <b/>
      <sz val="11"/>
      <color theme="7" tint="-0.249977111117893"/>
      <name val="Calibri"/>
      <family val="2"/>
      <scheme val="minor"/>
    </font>
    <font>
      <sz val="11"/>
      <color theme="5" tint="-0.499984740745262"/>
      <name val="Calibri"/>
      <family val="2"/>
      <scheme val="minor"/>
    </font>
    <font>
      <b/>
      <sz val="11"/>
      <color theme="5" tint="-0.499984740745262"/>
      <name val="Calibri"/>
      <family val="2"/>
      <scheme val="minor"/>
    </font>
    <font>
      <b/>
      <sz val="11"/>
      <color theme="8"/>
      <name val="Calibri"/>
      <family val="2"/>
      <scheme val="minor"/>
    </font>
    <font>
      <sz val="11"/>
      <color theme="8"/>
      <name val="Calibri"/>
      <family val="2"/>
      <scheme val="minor"/>
    </font>
    <font>
      <b/>
      <sz val="11"/>
      <color theme="5"/>
      <name val="Calibri"/>
      <family val="2"/>
      <scheme val="minor"/>
    </font>
    <font>
      <sz val="11"/>
      <color theme="1"/>
      <name val="Calibri Light"/>
      <family val="2"/>
    </font>
    <font>
      <sz val="11"/>
      <color rgb="FF122632"/>
      <name val="Calibri Light"/>
      <family val="2"/>
    </font>
    <font>
      <sz val="10"/>
      <color theme="1"/>
      <name val="Calibri"/>
      <family val="2"/>
      <scheme val="minor"/>
    </font>
    <font>
      <b/>
      <i/>
      <sz val="11"/>
      <color theme="7" tint="-0.499984740745262"/>
      <name val="Calibri"/>
      <family val="2"/>
      <scheme val="minor"/>
    </font>
    <font>
      <b/>
      <sz val="11"/>
      <color theme="4" tint="-0.499984740745262"/>
      <name val="Calibri"/>
      <family val="2"/>
      <scheme val="minor"/>
    </font>
    <font>
      <b/>
      <sz val="11"/>
      <color theme="4" tint="-0.249977111117893"/>
      <name val="Calibri"/>
      <family val="2"/>
      <scheme val="minor"/>
    </font>
    <font>
      <sz val="8"/>
      <name val="Calibri"/>
      <family val="2"/>
      <scheme val="minor"/>
    </font>
    <font>
      <b/>
      <sz val="11"/>
      <color rgb="FF002060"/>
      <name val="Calibri"/>
      <family val="2"/>
      <scheme val="minor"/>
    </font>
    <font>
      <b/>
      <sz val="11"/>
      <color rgb="FF9900CC"/>
      <name val="Calibri"/>
      <family val="2"/>
      <scheme val="minor"/>
    </font>
    <font>
      <sz val="9"/>
      <color theme="1"/>
      <name val="Calibri"/>
      <family val="2"/>
      <scheme val="minor"/>
    </font>
    <font>
      <b/>
      <sz val="9"/>
      <color rgb="FFFF0000"/>
      <name val="Calibri"/>
      <family val="2"/>
      <scheme val="minor"/>
    </font>
    <font>
      <b/>
      <sz val="11"/>
      <color theme="1"/>
      <name val="Arial Unicode MS"/>
    </font>
    <font>
      <b/>
      <sz val="11"/>
      <color rgb="FFFF0000"/>
      <name val="Arial Unicode MS"/>
    </font>
    <font>
      <b/>
      <sz val="11"/>
      <color theme="1"/>
      <name val="Calibri"/>
      <family val="2"/>
    </font>
    <font>
      <b/>
      <sz val="11"/>
      <color theme="0" tint="-0.499984740745262"/>
      <name val="Calibri"/>
      <family val="2"/>
      <scheme val="minor"/>
    </font>
    <font>
      <sz val="11"/>
      <color theme="0"/>
      <name val="Calibri"/>
      <family val="2"/>
      <scheme val="minor"/>
    </font>
    <font>
      <b/>
      <sz val="12"/>
      <color indexed="81"/>
      <name val="Tahoma"/>
      <family val="2"/>
    </font>
    <font>
      <sz val="12"/>
      <color indexed="81"/>
      <name val="Tahoma"/>
      <family val="2"/>
    </font>
    <font>
      <b/>
      <sz val="14"/>
      <color indexed="81"/>
      <name val="Tahoma"/>
      <family val="2"/>
    </font>
    <font>
      <sz val="14"/>
      <color indexed="81"/>
      <name val="Tahoma"/>
      <family val="2"/>
    </font>
    <font>
      <sz val="10"/>
      <color theme="1"/>
      <name val="Arial"/>
      <family val="2"/>
    </font>
    <font>
      <b/>
      <sz val="14"/>
      <color theme="0"/>
      <name val="Calibri"/>
      <family val="2"/>
      <scheme val="minor"/>
    </font>
    <font>
      <sz val="12"/>
      <color rgb="FF002060"/>
      <name val="Calibri"/>
      <family val="2"/>
      <scheme val="minor"/>
    </font>
    <font>
      <b/>
      <sz val="12"/>
      <color rgb="FFC00000"/>
      <name val="Calibri"/>
      <family val="2"/>
      <scheme val="minor"/>
    </font>
    <font>
      <sz val="12"/>
      <color theme="1"/>
      <name val="Calibri"/>
      <family val="2"/>
      <scheme val="minor"/>
    </font>
    <font>
      <b/>
      <i/>
      <sz val="12"/>
      <color theme="7" tint="-0.499984740745262"/>
      <name val="Calibri"/>
      <family val="2"/>
      <scheme val="minor"/>
    </font>
    <font>
      <b/>
      <sz val="14"/>
      <color theme="1" tint="0.249977111117893"/>
      <name val="CordiaUPC"/>
      <family val="2"/>
    </font>
    <font>
      <sz val="11"/>
      <color theme="1"/>
      <name val="Century Gothic"/>
      <family val="2"/>
    </font>
    <font>
      <b/>
      <sz val="11"/>
      <color theme="1"/>
      <name val="Century Gothic"/>
      <family val="2"/>
    </font>
    <font>
      <i/>
      <sz val="9"/>
      <color theme="1"/>
      <name val="Calibri"/>
      <family val="2"/>
      <scheme val="minor"/>
    </font>
    <font>
      <sz val="8"/>
      <color theme="1"/>
      <name val="Calibri"/>
      <family val="2"/>
      <scheme val="minor"/>
    </font>
    <font>
      <b/>
      <sz val="8"/>
      <color indexed="12"/>
      <name val="Calibri"/>
      <family val="2"/>
      <scheme val="minor"/>
    </font>
    <font>
      <b/>
      <sz val="11"/>
      <color rgb="FF329664"/>
      <name val="Calibri"/>
      <family val="2"/>
      <scheme val="minor"/>
    </font>
    <font>
      <b/>
      <sz val="11"/>
      <color rgb="FF0000C0"/>
      <name val="Calibri"/>
      <family val="2"/>
      <scheme val="minor"/>
    </font>
    <font>
      <b/>
      <sz val="10.5"/>
      <color rgb="FF165D81"/>
      <name val="Calibri"/>
      <family val="2"/>
    </font>
    <font>
      <b/>
      <sz val="10.5"/>
      <color theme="1" tint="0.24994659260841701"/>
      <name val="Calibri"/>
      <family val="2"/>
    </font>
    <font>
      <b/>
      <sz val="10.5"/>
      <color theme="4"/>
      <name val="Calibri"/>
      <family val="2"/>
    </font>
    <font>
      <b/>
      <sz val="10.5"/>
      <color theme="7"/>
      <name val="Calibri"/>
      <family val="2"/>
    </font>
    <font>
      <sz val="9"/>
      <color rgb="FF000000"/>
      <name val="Arial"/>
      <family val="2"/>
      <charset val="238"/>
    </font>
    <font>
      <b/>
      <sz val="9"/>
      <color rgb="FF000000"/>
      <name val="Arial"/>
      <family val="2"/>
      <charset val="238"/>
    </font>
    <font>
      <sz val="10"/>
      <color theme="2" tint="-0.499984740745262"/>
      <name val="Calibri"/>
      <family val="2"/>
      <scheme val="minor"/>
    </font>
    <font>
      <sz val="11"/>
      <color theme="1" tint="0.34998626667073579"/>
      <name val="Calibri"/>
      <family val="2"/>
      <scheme val="minor"/>
    </font>
    <font>
      <b/>
      <sz val="11"/>
      <color theme="1" tint="0.14999847407452621"/>
      <name val="Calibri"/>
      <family val="2"/>
      <scheme val="minor"/>
    </font>
    <font>
      <b/>
      <sz val="9"/>
      <color indexed="81"/>
      <name val="Tahoma"/>
      <family val="2"/>
    </font>
    <font>
      <b/>
      <sz val="11"/>
      <color rgb="FFFF0000"/>
      <name val="Calibri Light"/>
      <family val="2"/>
    </font>
    <font>
      <sz val="12"/>
      <color rgb="FFFF0000"/>
      <name val="Calibri"/>
      <family val="2"/>
      <scheme val="minor"/>
    </font>
    <font>
      <sz val="11"/>
      <color rgb="FFCC00FF"/>
      <name val="Calibri"/>
      <family val="2"/>
      <scheme val="minor"/>
    </font>
    <font>
      <sz val="11"/>
      <color rgb="FF00B0F0"/>
      <name val="Calibri"/>
      <family val="2"/>
      <scheme val="minor"/>
    </font>
    <font>
      <sz val="11"/>
      <color rgb="FF0000CC"/>
      <name val="Calibri"/>
      <family val="2"/>
      <scheme val="minor"/>
    </font>
    <font>
      <u/>
      <sz val="11"/>
      <color theme="10"/>
      <name val="Calibri"/>
      <family val="2"/>
      <scheme val="minor"/>
    </font>
  </fonts>
  <fills count="51">
    <fill>
      <patternFill patternType="none"/>
    </fill>
    <fill>
      <patternFill patternType="gray125"/>
    </fill>
    <fill>
      <patternFill patternType="solid">
        <fgColor rgb="FFFFFF00"/>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4" tint="0.79998168889431442"/>
        <bgColor indexed="64"/>
      </patternFill>
    </fill>
    <fill>
      <patternFill patternType="solid">
        <fgColor theme="8" tint="-0.499984740745262"/>
        <bgColor indexed="64"/>
      </patternFill>
    </fill>
    <fill>
      <patternFill patternType="solid">
        <fgColor theme="7" tint="0.39997558519241921"/>
        <bgColor indexed="64"/>
      </patternFill>
    </fill>
    <fill>
      <patternFill patternType="solid">
        <fgColor theme="5" tint="-0.499984740745262"/>
        <bgColor indexed="64"/>
      </patternFill>
    </fill>
    <fill>
      <patternFill patternType="solid">
        <fgColor rgb="FF00B050"/>
        <bgColor indexed="64"/>
      </patternFill>
    </fill>
    <fill>
      <patternFill patternType="solid">
        <fgColor theme="0" tint="-4.9989318521683403E-2"/>
        <bgColor indexed="64"/>
      </patternFill>
    </fill>
    <fill>
      <patternFill patternType="solid">
        <fgColor theme="0"/>
        <bgColor indexed="64"/>
      </patternFill>
    </fill>
    <fill>
      <patternFill patternType="solid">
        <fgColor theme="7" tint="0.59999389629810485"/>
        <bgColor indexed="64"/>
      </patternFill>
    </fill>
    <fill>
      <patternFill patternType="solid">
        <fgColor theme="5"/>
        <bgColor indexed="64"/>
      </patternFill>
    </fill>
    <fill>
      <patternFill patternType="solid">
        <fgColor theme="8" tint="-0.249977111117893"/>
        <bgColor indexed="64"/>
      </patternFill>
    </fill>
    <fill>
      <patternFill patternType="solid">
        <fgColor theme="4" tint="0.39997558519241921"/>
        <bgColor indexed="64"/>
      </patternFill>
    </fill>
    <fill>
      <patternFill patternType="solid">
        <fgColor theme="5" tint="-0.249977111117893"/>
        <bgColor indexed="64"/>
      </patternFill>
    </fill>
    <fill>
      <patternFill patternType="solid">
        <fgColor rgb="FF92D050"/>
        <bgColor indexed="64"/>
      </patternFill>
    </fill>
    <fill>
      <patternFill patternType="solid">
        <fgColor theme="7" tint="-0.249977111117893"/>
        <bgColor indexed="64"/>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9"/>
        <bgColor indexed="64"/>
      </patternFill>
    </fill>
    <fill>
      <patternFill patternType="solid">
        <fgColor theme="8" tint="0.79998168889431442"/>
        <bgColor indexed="64"/>
      </patternFill>
    </fill>
    <fill>
      <patternFill patternType="solid">
        <fgColor theme="5" tint="0.79998168889431442"/>
        <bgColor theme="7" tint="0.59996337778862885"/>
      </patternFill>
    </fill>
    <fill>
      <patternFill patternType="solid">
        <fgColor theme="5" tint="0.59999389629810485"/>
        <bgColor theme="7" tint="0.59996337778862885"/>
      </patternFill>
    </fill>
    <fill>
      <patternFill patternType="solid">
        <fgColor theme="9" tint="0.79998168889431442"/>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rgb="FFCC99FF"/>
        <bgColor indexed="64"/>
      </patternFill>
    </fill>
    <fill>
      <patternFill patternType="solid">
        <fgColor rgb="FFCCCCFF"/>
        <bgColor indexed="64"/>
      </patternFill>
    </fill>
    <fill>
      <patternFill patternType="solid">
        <fgColor theme="2"/>
        <bgColor indexed="64"/>
      </patternFill>
    </fill>
    <fill>
      <patternFill patternType="solid">
        <fgColor rgb="FFBDD6E7"/>
        <bgColor indexed="64"/>
      </patternFill>
    </fill>
    <fill>
      <patternFill patternType="solid">
        <fgColor rgb="FFDFDFDF"/>
        <bgColor indexed="64"/>
      </patternFill>
    </fill>
    <fill>
      <patternFill patternType="solid">
        <fgColor rgb="FFE5F2FF"/>
        <bgColor indexed="64"/>
      </patternFill>
    </fill>
    <fill>
      <patternFill patternType="solid">
        <fgColor rgb="FFFFFACD"/>
        <bgColor indexed="64"/>
      </patternFill>
    </fill>
    <fill>
      <patternFill patternType="lightTrellis">
        <fgColor rgb="FFAFAFAF"/>
        <bgColor rgb="FFEBEBEB"/>
      </patternFill>
    </fill>
    <fill>
      <patternFill patternType="solid">
        <fgColor rgb="FFEBEBEB"/>
        <bgColor indexed="64"/>
      </patternFill>
    </fill>
    <fill>
      <patternFill patternType="solid">
        <fgColor indexed="47"/>
        <bgColor indexed="64"/>
      </patternFill>
    </fill>
    <fill>
      <patternFill patternType="solid">
        <fgColor rgb="FFC8EADB"/>
        <bgColor rgb="FFFFFFFF"/>
      </patternFill>
    </fill>
    <fill>
      <patternFill patternType="solid">
        <fgColor rgb="FFC8EADB"/>
        <bgColor rgb="FF000000"/>
      </patternFill>
    </fill>
    <fill>
      <patternFill patternType="solid">
        <fgColor rgb="FFFFFFFF"/>
        <bgColor rgb="FF000000"/>
      </patternFill>
    </fill>
    <fill>
      <patternFill patternType="solid">
        <fgColor rgb="FFE6E6E6"/>
        <bgColor rgb="FF000000"/>
      </patternFill>
    </fill>
    <fill>
      <patternFill patternType="solid">
        <fgColor theme="9" tint="0.59999389629810485"/>
        <bgColor theme="7" tint="0.59996337778862885"/>
      </patternFill>
    </fill>
    <fill>
      <patternFill patternType="solid">
        <fgColor theme="9"/>
        <bgColor theme="4" tint="0.79998168889431442"/>
      </patternFill>
    </fill>
    <fill>
      <patternFill patternType="solid">
        <fgColor rgb="FFFFFF00"/>
        <bgColor theme="4" tint="0.79998168889431442"/>
      </patternFill>
    </fill>
    <fill>
      <patternFill patternType="solid">
        <fgColor rgb="FFFFC000"/>
        <bgColor indexed="64"/>
      </patternFill>
    </fill>
    <fill>
      <patternFill patternType="solid">
        <fgColor theme="6" tint="0.79998168889431442"/>
        <bgColor indexed="64"/>
      </patternFill>
    </fill>
  </fills>
  <borders count="29">
    <border>
      <left/>
      <right/>
      <top/>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4" tint="0.39997558519241921"/>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style="thin">
        <color theme="0" tint="-0.24994659260841701"/>
      </left>
      <right style="thin">
        <color theme="0" tint="-0.24994659260841701"/>
      </right>
      <top/>
      <bottom/>
      <diagonal/>
    </border>
    <border>
      <left style="thin">
        <color rgb="FFACB9CA"/>
      </left>
      <right style="thin">
        <color rgb="FFACB9CA"/>
      </right>
      <top style="thin">
        <color rgb="FFACB9CA"/>
      </top>
      <bottom style="thin">
        <color rgb="FFACB9CA"/>
      </bottom>
      <diagonal/>
    </border>
    <border>
      <left style="thin">
        <color rgb="FF808080"/>
      </left>
      <right style="thin">
        <color rgb="FF808080"/>
      </right>
      <top style="thin">
        <color rgb="FF808080"/>
      </top>
      <bottom style="thin">
        <color rgb="FF808080"/>
      </bottom>
      <diagonal/>
    </border>
    <border>
      <left/>
      <right/>
      <top style="thin">
        <color theme="4" tint="0.39997558519241921"/>
      </top>
      <bottom style="thin">
        <color theme="4" tint="0.39997558519241921"/>
      </bottom>
      <diagonal/>
    </border>
  </borders>
  <cellStyleXfs count="70">
    <xf numFmtId="0" fontId="0" fillId="0" borderId="0"/>
    <xf numFmtId="0" fontId="3" fillId="0" borderId="0"/>
    <xf numFmtId="43" fontId="5" fillId="0" borderId="0" applyFont="0" applyFill="0" applyBorder="0" applyAlignment="0" applyProtection="0"/>
    <xf numFmtId="9" fontId="5" fillId="0" borderId="0" applyFont="0" applyFill="0" applyBorder="0" applyAlignment="0" applyProtection="0"/>
    <xf numFmtId="0" fontId="5" fillId="35" borderId="7">
      <alignment horizontal="left" vertical="center"/>
    </xf>
    <xf numFmtId="0" fontId="2" fillId="36" borderId="7">
      <alignment horizontal="left" vertical="center"/>
    </xf>
    <xf numFmtId="0" fontId="2" fillId="37" borderId="7">
      <alignment horizontal="left" vertical="center"/>
    </xf>
    <xf numFmtId="0" fontId="82" fillId="35" borderId="7">
      <alignment horizontal="center" vertical="center"/>
    </xf>
    <xf numFmtId="0" fontId="5" fillId="35" borderId="7">
      <alignment horizontal="center" vertical="center"/>
    </xf>
    <xf numFmtId="0" fontId="2" fillId="36" borderId="7">
      <alignment horizontal="center" vertical="center"/>
    </xf>
    <xf numFmtId="0" fontId="2" fillId="37" borderId="7">
      <alignment horizontal="center" vertical="center"/>
    </xf>
    <xf numFmtId="0" fontId="82" fillId="35" borderId="7">
      <alignment horizontal="center" vertical="center"/>
    </xf>
    <xf numFmtId="0" fontId="83" fillId="0" borderId="7">
      <alignment horizontal="right" vertical="center"/>
    </xf>
    <xf numFmtId="0" fontId="83" fillId="38" borderId="7">
      <alignment horizontal="right" vertical="center"/>
    </xf>
    <xf numFmtId="0" fontId="83" fillId="0" borderId="7">
      <alignment horizontal="center" vertical="center"/>
    </xf>
    <xf numFmtId="0" fontId="82" fillId="36" borderId="7"/>
    <xf numFmtId="0" fontId="82" fillId="0" borderId="7">
      <alignment horizontal="center" vertical="center" wrapText="1"/>
    </xf>
    <xf numFmtId="0" fontId="82" fillId="37" borderId="7"/>
    <xf numFmtId="0" fontId="5" fillId="0" borderId="7">
      <alignment horizontal="left" vertical="center"/>
    </xf>
    <xf numFmtId="0" fontId="5" fillId="0" borderId="7">
      <alignment horizontal="left" vertical="top"/>
    </xf>
    <xf numFmtId="0" fontId="5" fillId="35" borderId="7">
      <alignment horizontal="center" vertical="center"/>
    </xf>
    <xf numFmtId="0" fontId="5" fillId="35" borderId="7">
      <alignment horizontal="left" vertical="center"/>
    </xf>
    <xf numFmtId="0" fontId="83" fillId="0" borderId="7">
      <alignment horizontal="right" vertical="center"/>
    </xf>
    <xf numFmtId="0" fontId="83" fillId="0" borderId="7">
      <alignment horizontal="right" vertical="center"/>
    </xf>
    <xf numFmtId="0" fontId="84" fillId="35" borderId="7">
      <alignment horizontal="left" vertical="center" indent="1"/>
    </xf>
    <xf numFmtId="0" fontId="5" fillId="39" borderId="7"/>
    <xf numFmtId="0" fontId="85" fillId="0" borderId="7"/>
    <xf numFmtId="0" fontId="86" fillId="0" borderId="7"/>
    <xf numFmtId="0" fontId="83" fillId="40" borderId="7"/>
    <xf numFmtId="0" fontId="83" fillId="41" borderId="7"/>
    <xf numFmtId="0" fontId="87" fillId="0" borderId="24" applyNumberFormat="0" applyFill="0" applyProtection="0">
      <alignment horizontal="center" vertical="center"/>
    </xf>
    <xf numFmtId="3" fontId="88" fillId="0" borderId="25" applyFont="0" applyFill="0" applyAlignment="0" applyProtection="0"/>
    <xf numFmtId="3" fontId="88" fillId="0" borderId="25" applyFont="0" applyFill="0" applyAlignment="0" applyProtection="0"/>
    <xf numFmtId="3" fontId="88" fillId="0" borderId="25" applyFont="0" applyFill="0" applyAlignment="0" applyProtection="0"/>
    <xf numFmtId="3" fontId="88" fillId="0" borderId="25" applyFont="0" applyFill="0" applyAlignment="0" applyProtection="0"/>
    <xf numFmtId="3" fontId="88" fillId="0" borderId="25" applyFont="0" applyFill="0" applyAlignment="0" applyProtection="0"/>
    <xf numFmtId="3" fontId="88" fillId="0" borderId="25" applyFont="0" applyFill="0" applyAlignment="0" applyProtection="0"/>
    <xf numFmtId="3" fontId="88" fillId="0" borderId="25" applyFont="0" applyFill="0" applyAlignment="0" applyProtection="0"/>
    <xf numFmtId="3" fontId="88" fillId="0" borderId="25" applyFont="0" applyFill="0" applyAlignment="0" applyProtection="0"/>
    <xf numFmtId="3" fontId="87" fillId="0" borderId="24" applyNumberFormat="0" applyFill="0" applyAlignment="0" applyProtection="0"/>
    <xf numFmtId="0" fontId="87" fillId="0" borderId="24" applyNumberFormat="0" applyFill="0" applyAlignment="0" applyProtection="0"/>
    <xf numFmtId="3" fontId="87" fillId="0" borderId="24" applyNumberFormat="0" applyFill="0" applyAlignment="0" applyProtection="0"/>
    <xf numFmtId="0" fontId="87" fillId="0" borderId="24" applyNumberFormat="0" applyFill="0" applyAlignment="0" applyProtection="0"/>
    <xf numFmtId="0" fontId="87" fillId="0" borderId="24" applyNumberFormat="0" applyFill="0" applyAlignment="0" applyProtection="0"/>
    <xf numFmtId="0" fontId="87" fillId="0" borderId="24" applyNumberFormat="0" applyFill="0" applyAlignment="0" applyProtection="0"/>
    <xf numFmtId="0" fontId="87" fillId="0" borderId="24" applyNumberFormat="0" applyFill="0" applyAlignment="0" applyProtection="0"/>
    <xf numFmtId="0" fontId="87" fillId="0" borderId="24" applyNumberFormat="0" applyFill="0" applyAlignment="0" applyProtection="0"/>
    <xf numFmtId="3" fontId="88" fillId="0" borderId="0" applyNumberFormat="0" applyBorder="0" applyAlignment="0" applyProtection="0"/>
    <xf numFmtId="3" fontId="88" fillId="0" borderId="0" applyNumberFormat="0" applyBorder="0" applyAlignment="0" applyProtection="0"/>
    <xf numFmtId="3" fontId="88" fillId="0" borderId="0" applyNumberFormat="0" applyBorder="0" applyAlignment="0" applyProtection="0"/>
    <xf numFmtId="3" fontId="88" fillId="0" borderId="0" applyNumberFormat="0" applyBorder="0" applyAlignment="0" applyProtection="0"/>
    <xf numFmtId="3" fontId="88" fillId="0" borderId="0" applyNumberFormat="0" applyBorder="0" applyAlignment="0" applyProtection="0"/>
    <xf numFmtId="3" fontId="88" fillId="0" borderId="25" applyNumberFormat="0" applyBorder="0" applyAlignment="0" applyProtection="0"/>
    <xf numFmtId="3" fontId="88" fillId="0" borderId="25" applyNumberFormat="0" applyBorder="0" applyAlignment="0" applyProtection="0"/>
    <xf numFmtId="3" fontId="88" fillId="0" borderId="25" applyNumberFormat="0" applyBorder="0" applyAlignment="0" applyProtection="0"/>
    <xf numFmtId="0" fontId="88" fillId="0" borderId="25" applyNumberFormat="0" applyFill="0" applyAlignment="0" applyProtection="0"/>
    <xf numFmtId="0" fontId="88" fillId="0" borderId="25" applyNumberFormat="0" applyFill="0" applyAlignment="0" applyProtection="0"/>
    <xf numFmtId="3" fontId="89" fillId="0" borderId="25"/>
    <xf numFmtId="3" fontId="90" fillId="0" borderId="25"/>
    <xf numFmtId="175" fontId="91" fillId="42" borderId="26" applyNumberFormat="0" applyProtection="0">
      <alignment horizontal="left" vertical="center" wrapText="1"/>
    </xf>
    <xf numFmtId="0" fontId="92" fillId="43" borderId="26" applyNumberFormat="0" applyAlignment="0" applyProtection="0">
      <alignment horizontal="left" vertical="center" indent="1"/>
    </xf>
    <xf numFmtId="0" fontId="91" fillId="44" borderId="27" applyAlignment="0">
      <alignment horizontal="left" vertical="center" indent="1"/>
      <protection locked="0"/>
    </xf>
    <xf numFmtId="0" fontId="91" fillId="45" borderId="26" applyNumberFormat="0" applyProtection="0">
      <alignment vertical="center" wrapText="1"/>
    </xf>
    <xf numFmtId="0" fontId="92" fillId="43" borderId="26" applyNumberFormat="0" applyProtection="0">
      <alignment horizontal="left" vertical="center" wrapText="1"/>
    </xf>
    <xf numFmtId="0" fontId="91" fillId="44" borderId="27" applyAlignment="0">
      <alignment horizontal="left" vertical="center" indent="1"/>
      <protection locked="0"/>
    </xf>
    <xf numFmtId="175" fontId="92" fillId="45" borderId="26" applyNumberFormat="0" applyProtection="0">
      <alignment vertical="center" wrapText="1"/>
    </xf>
    <xf numFmtId="174" fontId="53" fillId="0" borderId="0" applyFont="0" applyFill="0" applyBorder="0" applyAlignment="0" applyProtection="0"/>
    <xf numFmtId="0" fontId="5" fillId="0" borderId="0"/>
    <xf numFmtId="43" fontId="5" fillId="0" borderId="0" applyFont="0" applyFill="0" applyBorder="0" applyAlignment="0" applyProtection="0"/>
    <xf numFmtId="0" fontId="102" fillId="0" borderId="0" applyNumberFormat="0" applyFill="0" applyBorder="0" applyAlignment="0" applyProtection="0"/>
  </cellStyleXfs>
  <cellXfs count="848">
    <xf numFmtId="0" fontId="0" fillId="0" borderId="0" xfId="0"/>
    <xf numFmtId="0" fontId="2" fillId="0" borderId="1" xfId="0" applyFont="1" applyBorder="1" applyAlignment="1">
      <alignment horizontal="center"/>
    </xf>
    <xf numFmtId="0" fontId="0" fillId="2" borderId="0" xfId="0" applyFill="1"/>
    <xf numFmtId="0" fontId="4" fillId="3" borderId="3" xfId="1" applyFont="1" applyFill="1" applyBorder="1" applyAlignment="1">
      <alignment horizontal="center" vertical="center" wrapText="1"/>
    </xf>
    <xf numFmtId="0" fontId="0" fillId="0" borderId="4" xfId="0" applyBorder="1" applyAlignment="1">
      <alignment horizontal="center"/>
    </xf>
    <xf numFmtId="0" fontId="0" fillId="0" borderId="3" xfId="0" applyBorder="1" applyAlignment="1">
      <alignment horizontal="center"/>
    </xf>
    <xf numFmtId="0" fontId="1" fillId="0" borderId="4" xfId="0" applyFont="1" applyBorder="1" applyAlignment="1">
      <alignment horizontal="center"/>
    </xf>
    <xf numFmtId="0" fontId="0" fillId="0" borderId="2" xfId="0" applyBorder="1" applyAlignment="1">
      <alignment horizontal="center"/>
    </xf>
    <xf numFmtId="14" fontId="0" fillId="0" borderId="0" xfId="0" applyNumberFormat="1"/>
    <xf numFmtId="0" fontId="0" fillId="4" borderId="0" xfId="0" applyFill="1"/>
    <xf numFmtId="0" fontId="0" fillId="0" borderId="0" xfId="0" applyAlignment="1">
      <alignment horizontal="left"/>
    </xf>
    <xf numFmtId="164" fontId="0" fillId="0" borderId="5" xfId="0" applyNumberFormat="1" applyBorder="1"/>
    <xf numFmtId="165" fontId="0" fillId="0" borderId="0" xfId="0" applyNumberFormat="1" applyAlignment="1">
      <alignment horizontal="left"/>
    </xf>
    <xf numFmtId="1" fontId="0" fillId="0" borderId="0" xfId="0" applyNumberFormat="1" applyAlignment="1">
      <alignment horizontal="left"/>
    </xf>
    <xf numFmtId="22" fontId="0" fillId="0" borderId="0" xfId="0" applyNumberFormat="1"/>
    <xf numFmtId="0" fontId="0" fillId="0" borderId="0" xfId="0" applyAlignment="1">
      <alignment vertical="center"/>
    </xf>
    <xf numFmtId="0" fontId="10" fillId="0" borderId="0" xfId="0" applyFont="1" applyAlignment="1">
      <alignment vertical="center"/>
    </xf>
    <xf numFmtId="0" fontId="9" fillId="0" borderId="0" xfId="0" applyFont="1" applyAlignment="1">
      <alignment horizontal="right" vertical="center"/>
    </xf>
    <xf numFmtId="9" fontId="11" fillId="0" borderId="0" xfId="3" applyFont="1" applyAlignment="1">
      <alignment horizontal="center" vertical="center"/>
    </xf>
    <xf numFmtId="14" fontId="11" fillId="0" borderId="0" xfId="0" applyNumberFormat="1" applyFont="1" applyAlignment="1">
      <alignment vertical="center"/>
    </xf>
    <xf numFmtId="0" fontId="0" fillId="0" borderId="7" xfId="0" applyBorder="1" applyAlignment="1">
      <alignment horizontal="center" vertical="center"/>
    </xf>
    <xf numFmtId="43" fontId="0" fillId="0" borderId="7" xfId="2" applyFont="1" applyBorder="1" applyAlignment="1">
      <alignment vertical="center"/>
    </xf>
    <xf numFmtId="10" fontId="0" fillId="0" borderId="7" xfId="3" applyNumberFormat="1" applyFont="1" applyBorder="1" applyAlignment="1">
      <alignment vertical="center"/>
    </xf>
    <xf numFmtId="166" fontId="0" fillId="0" borderId="7" xfId="3" applyNumberFormat="1" applyFont="1" applyBorder="1" applyAlignment="1">
      <alignment vertical="center"/>
    </xf>
    <xf numFmtId="0" fontId="2" fillId="13" borderId="7" xfId="0" applyFont="1" applyFill="1" applyBorder="1" applyAlignment="1">
      <alignment horizontal="center" vertical="center"/>
    </xf>
    <xf numFmtId="43" fontId="2" fillId="13" borderId="7" xfId="2" applyFont="1" applyFill="1" applyBorder="1" applyAlignment="1">
      <alignment vertical="center"/>
    </xf>
    <xf numFmtId="9" fontId="2" fillId="13" borderId="7" xfId="3" applyFont="1" applyFill="1" applyBorder="1" applyAlignment="1">
      <alignment vertical="center"/>
    </xf>
    <xf numFmtId="166" fontId="2" fillId="13" borderId="7" xfId="3" applyNumberFormat="1" applyFont="1" applyFill="1" applyBorder="1" applyAlignment="1">
      <alignment vertical="center"/>
    </xf>
    <xf numFmtId="0" fontId="14" fillId="0" borderId="0" xfId="0" applyFont="1" applyAlignment="1">
      <alignment horizontal="left"/>
    </xf>
    <xf numFmtId="0" fontId="0" fillId="0" borderId="8" xfId="0" applyBorder="1" applyAlignment="1">
      <alignment vertical="center"/>
    </xf>
    <xf numFmtId="0" fontId="0" fillId="0" borderId="9" xfId="0" applyBorder="1" applyAlignment="1">
      <alignment vertical="center"/>
    </xf>
    <xf numFmtId="0" fontId="0" fillId="0" borderId="10" xfId="0" applyBorder="1" applyAlignment="1">
      <alignment vertical="center"/>
    </xf>
    <xf numFmtId="0" fontId="15" fillId="0" borderId="0" xfId="0" applyFont="1" applyAlignment="1">
      <alignment vertical="center"/>
    </xf>
    <xf numFmtId="0" fontId="2" fillId="0" borderId="0" xfId="0" applyFont="1" applyAlignment="1">
      <alignment vertical="center"/>
    </xf>
    <xf numFmtId="0" fontId="0" fillId="0" borderId="11" xfId="0" applyBorder="1" applyAlignment="1">
      <alignment vertical="center"/>
    </xf>
    <xf numFmtId="0" fontId="0" fillId="0" borderId="12" xfId="0" applyBorder="1" applyAlignment="1">
      <alignment vertical="center"/>
    </xf>
    <xf numFmtId="0" fontId="2" fillId="0" borderId="0" xfId="0" applyFont="1" applyAlignment="1">
      <alignment horizontal="center" vertical="center"/>
    </xf>
    <xf numFmtId="9" fontId="5" fillId="0" borderId="0" xfId="3" applyFont="1" applyFill="1" applyBorder="1" applyAlignment="1">
      <alignment horizontal="center" vertical="center"/>
    </xf>
    <xf numFmtId="9" fontId="0" fillId="0" borderId="0" xfId="0" applyNumberFormat="1" applyAlignment="1">
      <alignment horizontal="center" vertical="center"/>
    </xf>
    <xf numFmtId="0" fontId="2" fillId="13" borderId="0" xfId="0" applyFont="1" applyFill="1" applyAlignment="1">
      <alignment horizontal="center" vertical="center"/>
    </xf>
    <xf numFmtId="9" fontId="2" fillId="13" borderId="0" xfId="3" applyFont="1" applyFill="1" applyBorder="1" applyAlignment="1">
      <alignment horizontal="center" vertical="center"/>
    </xf>
    <xf numFmtId="9" fontId="0" fillId="0" borderId="0" xfId="3" applyFont="1" applyFill="1" applyBorder="1" applyAlignment="1">
      <alignment vertical="center"/>
    </xf>
    <xf numFmtId="43" fontId="0" fillId="0" borderId="0" xfId="2" applyFont="1" applyFill="1" applyBorder="1" applyAlignment="1">
      <alignment vertical="center"/>
    </xf>
    <xf numFmtId="43" fontId="2" fillId="0" borderId="0" xfId="0" applyNumberFormat="1" applyFont="1" applyAlignment="1">
      <alignment vertical="center"/>
    </xf>
    <xf numFmtId="9" fontId="2" fillId="0" borderId="0" xfId="3" applyFont="1" applyFill="1" applyBorder="1" applyAlignment="1">
      <alignment vertical="center"/>
    </xf>
    <xf numFmtId="0" fontId="2" fillId="0" borderId="0" xfId="0" applyFont="1" applyAlignment="1">
      <alignment horizontal="right" vertical="center"/>
    </xf>
    <xf numFmtId="10" fontId="5" fillId="0" borderId="0" xfId="3" applyNumberFormat="1" applyFont="1" applyFill="1" applyBorder="1" applyAlignment="1">
      <alignment horizontal="center" vertical="center"/>
    </xf>
    <xf numFmtId="0" fontId="15" fillId="0" borderId="0" xfId="0" applyFont="1" applyAlignment="1">
      <alignment horizontal="center" vertical="center"/>
    </xf>
    <xf numFmtId="43" fontId="2" fillId="0" borderId="0" xfId="0" applyNumberFormat="1" applyFont="1" applyAlignment="1">
      <alignment horizontal="center" vertical="center"/>
    </xf>
    <xf numFmtId="0" fontId="0" fillId="0" borderId="13" xfId="0" applyBorder="1" applyAlignment="1">
      <alignment vertical="center"/>
    </xf>
    <xf numFmtId="0" fontId="0" fillId="0" borderId="14" xfId="0" applyBorder="1" applyAlignment="1">
      <alignment vertical="center"/>
    </xf>
    <xf numFmtId="0" fontId="0" fillId="0" borderId="15" xfId="0" applyBorder="1" applyAlignment="1">
      <alignment vertical="center"/>
    </xf>
    <xf numFmtId="0" fontId="9" fillId="0" borderId="3" xfId="0" applyFont="1" applyBorder="1" applyAlignment="1">
      <alignment vertical="center"/>
    </xf>
    <xf numFmtId="0" fontId="0" fillId="0" borderId="0" xfId="0" applyAlignment="1">
      <alignment horizontal="center" vertical="center"/>
    </xf>
    <xf numFmtId="0" fontId="6" fillId="9" borderId="7" xfId="0" applyFont="1" applyFill="1" applyBorder="1" applyAlignment="1">
      <alignment horizontal="center" vertical="center" wrapText="1"/>
    </xf>
    <xf numFmtId="0" fontId="2" fillId="6" borderId="7" xfId="0" applyFont="1" applyFill="1" applyBorder="1" applyAlignment="1">
      <alignment horizontal="center" vertical="center" wrapText="1"/>
    </xf>
    <xf numFmtId="0" fontId="6" fillId="10" borderId="7" xfId="0" applyFont="1" applyFill="1" applyBorder="1" applyAlignment="1">
      <alignment horizontal="center" vertical="center" wrapText="1"/>
    </xf>
    <xf numFmtId="39" fontId="0" fillId="0" borderId="7" xfId="2" applyNumberFormat="1" applyFont="1" applyBorder="1" applyAlignment="1">
      <alignment vertical="center"/>
    </xf>
    <xf numFmtId="10" fontId="5" fillId="0" borderId="7" xfId="3" applyNumberFormat="1" applyFont="1" applyFill="1" applyBorder="1" applyAlignment="1">
      <alignment vertical="center"/>
    </xf>
    <xf numFmtId="10" fontId="2" fillId="13" borderId="7" xfId="3" applyNumberFormat="1" applyFont="1" applyFill="1" applyBorder="1" applyAlignment="1">
      <alignment vertical="center"/>
    </xf>
    <xf numFmtId="43" fontId="0" fillId="0" borderId="7" xfId="2" applyFont="1" applyFill="1" applyBorder="1" applyAlignment="1">
      <alignment vertical="center"/>
    </xf>
    <xf numFmtId="10" fontId="0" fillId="0" borderId="7" xfId="3" applyNumberFormat="1" applyFont="1" applyFill="1" applyBorder="1" applyAlignment="1">
      <alignment vertical="center"/>
    </xf>
    <xf numFmtId="166" fontId="0" fillId="0" borderId="7" xfId="3" applyNumberFormat="1" applyFont="1" applyFill="1" applyBorder="1" applyAlignment="1">
      <alignment vertical="center"/>
    </xf>
    <xf numFmtId="43" fontId="2" fillId="6" borderId="7" xfId="2" applyFont="1" applyFill="1" applyBorder="1" applyAlignment="1">
      <alignment vertical="center"/>
    </xf>
    <xf numFmtId="9" fontId="2" fillId="6" borderId="7" xfId="3" applyFont="1" applyFill="1" applyBorder="1" applyAlignment="1">
      <alignment vertical="center"/>
    </xf>
    <xf numFmtId="166" fontId="2" fillId="6" borderId="7" xfId="3" applyNumberFormat="1" applyFont="1" applyFill="1" applyBorder="1" applyAlignment="1">
      <alignment vertical="center"/>
    </xf>
    <xf numFmtId="10" fontId="2" fillId="6" borderId="7" xfId="3" applyNumberFormat="1" applyFont="1" applyFill="1" applyBorder="1" applyAlignment="1">
      <alignment vertical="center"/>
    </xf>
    <xf numFmtId="43" fontId="0" fillId="0" borderId="0" xfId="2" applyFont="1" applyAlignment="1">
      <alignment vertical="center"/>
    </xf>
    <xf numFmtId="0" fontId="6" fillId="17" borderId="7" xfId="0" applyFont="1" applyFill="1" applyBorder="1" applyAlignment="1">
      <alignment horizontal="center" vertical="center" wrapText="1"/>
    </xf>
    <xf numFmtId="0" fontId="6" fillId="14" borderId="7" xfId="0" applyFont="1" applyFill="1" applyBorder="1" applyAlignment="1">
      <alignment horizontal="center" vertical="center" wrapText="1"/>
    </xf>
    <xf numFmtId="43" fontId="2" fillId="0" borderId="7" xfId="2" applyFont="1" applyBorder="1" applyAlignment="1">
      <alignment vertical="center"/>
    </xf>
    <xf numFmtId="0" fontId="2" fillId="16" borderId="7" xfId="0" applyFont="1" applyFill="1" applyBorder="1" applyAlignment="1">
      <alignment horizontal="center" vertical="center" wrapText="1"/>
    </xf>
    <xf numFmtId="2" fontId="0" fillId="0" borderId="7" xfId="2" applyNumberFormat="1" applyFont="1" applyFill="1" applyBorder="1" applyAlignment="1">
      <alignment vertical="center"/>
    </xf>
    <xf numFmtId="49" fontId="0" fillId="0" borderId="7" xfId="0" quotePrefix="1" applyNumberFormat="1" applyBorder="1" applyAlignment="1">
      <alignment horizontal="center" vertical="center"/>
    </xf>
    <xf numFmtId="0" fontId="0" fillId="0" borderId="7" xfId="0" applyBorder="1" applyAlignment="1">
      <alignment horizontal="left" vertical="center" indent="4"/>
    </xf>
    <xf numFmtId="0" fontId="9" fillId="0" borderId="0" xfId="0" applyFont="1" applyAlignment="1">
      <alignment horizontal="center" vertical="center"/>
    </xf>
    <xf numFmtId="43" fontId="0" fillId="0" borderId="0" xfId="2" applyFont="1"/>
    <xf numFmtId="43" fontId="0" fillId="0" borderId="0" xfId="0" applyNumberFormat="1"/>
    <xf numFmtId="43" fontId="2" fillId="12" borderId="0" xfId="2" applyFont="1" applyFill="1" applyBorder="1" applyAlignment="1">
      <alignment horizontal="center" vertical="center"/>
    </xf>
    <xf numFmtId="0" fontId="18" fillId="0" borderId="0" xfId="0" applyFont="1"/>
    <xf numFmtId="0" fontId="6" fillId="18" borderId="7" xfId="0" applyFont="1" applyFill="1" applyBorder="1" applyAlignment="1">
      <alignment horizontal="center" vertical="center" wrapText="1"/>
    </xf>
    <xf numFmtId="0" fontId="2" fillId="0" borderId="7" xfId="0" applyFont="1" applyBorder="1" applyAlignment="1">
      <alignment horizontal="center" vertical="center"/>
    </xf>
    <xf numFmtId="43" fontId="2" fillId="12" borderId="7" xfId="2" applyFont="1" applyFill="1" applyBorder="1" applyAlignment="1">
      <alignment vertical="center"/>
    </xf>
    <xf numFmtId="10" fontId="2" fillId="0" borderId="7" xfId="3" applyNumberFormat="1" applyFont="1" applyBorder="1" applyAlignment="1">
      <alignment vertical="center"/>
    </xf>
    <xf numFmtId="166" fontId="2" fillId="0" borderId="7" xfId="3" applyNumberFormat="1" applyFont="1" applyBorder="1" applyAlignment="1">
      <alignment vertical="center"/>
    </xf>
    <xf numFmtId="0" fontId="19" fillId="0" borderId="0" xfId="0" applyFont="1" applyAlignment="1">
      <alignment vertical="center"/>
    </xf>
    <xf numFmtId="43" fontId="19" fillId="0" borderId="0" xfId="0" applyNumberFormat="1" applyFont="1" applyAlignment="1">
      <alignment horizontal="center" vertical="center"/>
    </xf>
    <xf numFmtId="43" fontId="19" fillId="12" borderId="0" xfId="2" applyFont="1" applyFill="1" applyBorder="1" applyAlignment="1">
      <alignment vertical="center"/>
    </xf>
    <xf numFmtId="43" fontId="19" fillId="0" borderId="0" xfId="2" applyFont="1" applyAlignment="1">
      <alignment horizontal="left" vertical="center"/>
    </xf>
    <xf numFmtId="43" fontId="19" fillId="0" borderId="0" xfId="2" applyFont="1" applyFill="1" applyAlignment="1">
      <alignment horizontal="left" vertical="center"/>
    </xf>
    <xf numFmtId="43" fontId="20" fillId="0" borderId="0" xfId="2" applyFont="1" applyFill="1" applyAlignment="1">
      <alignment horizontal="left" vertical="center"/>
    </xf>
    <xf numFmtId="43" fontId="20" fillId="0" borderId="0" xfId="0" applyNumberFormat="1" applyFont="1" applyAlignment="1">
      <alignment horizontal="center" vertical="center"/>
    </xf>
    <xf numFmtId="0" fontId="20" fillId="0" borderId="0" xfId="0" applyFont="1" applyAlignment="1">
      <alignment vertical="center"/>
    </xf>
    <xf numFmtId="16" fontId="0" fillId="0" borderId="0" xfId="0" applyNumberFormat="1"/>
    <xf numFmtId="43" fontId="0" fillId="0" borderId="0" xfId="0" applyNumberFormat="1" applyAlignment="1">
      <alignment vertical="center"/>
    </xf>
    <xf numFmtId="0" fontId="21" fillId="0" borderId="7" xfId="0" applyFont="1" applyBorder="1" applyAlignment="1">
      <alignment horizontal="left" vertical="center"/>
    </xf>
    <xf numFmtId="43" fontId="22" fillId="0" borderId="7" xfId="2" applyFont="1" applyBorder="1" applyAlignment="1">
      <alignment vertical="center"/>
    </xf>
    <xf numFmtId="43" fontId="21" fillId="0" borderId="7" xfId="2" applyFont="1" applyBorder="1" applyAlignment="1">
      <alignment vertical="center"/>
    </xf>
    <xf numFmtId="43" fontId="21" fillId="0" borderId="7" xfId="2" applyFont="1" applyFill="1" applyBorder="1" applyAlignment="1">
      <alignment vertical="center"/>
    </xf>
    <xf numFmtId="10" fontId="21" fillId="0" borderId="7" xfId="3" applyNumberFormat="1" applyFont="1" applyFill="1" applyBorder="1" applyAlignment="1">
      <alignment vertical="center"/>
    </xf>
    <xf numFmtId="166" fontId="21" fillId="0" borderId="7" xfId="3" applyNumberFormat="1" applyFont="1" applyBorder="1" applyAlignment="1">
      <alignment vertical="center"/>
    </xf>
    <xf numFmtId="0" fontId="22" fillId="6" borderId="18" xfId="0" applyFont="1" applyFill="1" applyBorder="1" applyAlignment="1">
      <alignment horizontal="left" vertical="center"/>
    </xf>
    <xf numFmtId="43" fontId="22" fillId="6" borderId="7" xfId="2" applyFont="1" applyFill="1" applyBorder="1" applyAlignment="1">
      <alignment vertical="center"/>
    </xf>
    <xf numFmtId="43" fontId="22" fillId="13" borderId="7" xfId="2" applyFont="1" applyFill="1" applyBorder="1" applyAlignment="1">
      <alignment vertical="center"/>
    </xf>
    <xf numFmtId="9" fontId="22" fillId="6" borderId="7" xfId="3" applyFont="1" applyFill="1" applyBorder="1" applyAlignment="1">
      <alignment vertical="center"/>
    </xf>
    <xf numFmtId="10" fontId="22" fillId="6" borderId="7" xfId="3" applyNumberFormat="1" applyFont="1" applyFill="1" applyBorder="1" applyAlignment="1">
      <alignment vertical="center"/>
    </xf>
    <xf numFmtId="0" fontId="21" fillId="0" borderId="7" xfId="0" applyFont="1" applyBorder="1" applyAlignment="1">
      <alignment horizontal="center" vertical="center"/>
    </xf>
    <xf numFmtId="0" fontId="23" fillId="0" borderId="7" xfId="0" applyFont="1" applyBorder="1" applyAlignment="1">
      <alignment horizontal="center" vertical="center"/>
    </xf>
    <xf numFmtId="43" fontId="24" fillId="0" borderId="7" xfId="2" applyFont="1" applyBorder="1" applyAlignment="1">
      <alignment vertical="center"/>
    </xf>
    <xf numFmtId="43" fontId="23" fillId="0" borderId="7" xfId="2" applyFont="1" applyBorder="1" applyAlignment="1">
      <alignment vertical="center"/>
    </xf>
    <xf numFmtId="43" fontId="23" fillId="0" borderId="7" xfId="2" applyFont="1" applyFill="1" applyBorder="1" applyAlignment="1">
      <alignment vertical="center"/>
    </xf>
    <xf numFmtId="10" fontId="23" fillId="0" borderId="7" xfId="3" applyNumberFormat="1" applyFont="1" applyFill="1" applyBorder="1" applyAlignment="1">
      <alignment vertical="center"/>
    </xf>
    <xf numFmtId="166" fontId="23" fillId="0" borderId="7" xfId="3" applyNumberFormat="1" applyFont="1" applyBorder="1" applyAlignment="1">
      <alignment vertical="center"/>
    </xf>
    <xf numFmtId="0" fontId="24" fillId="6" borderId="18" xfId="0" applyFont="1" applyFill="1" applyBorder="1" applyAlignment="1">
      <alignment horizontal="left" vertical="center"/>
    </xf>
    <xf numFmtId="43" fontId="24" fillId="6" borderId="7" xfId="2" applyFont="1" applyFill="1" applyBorder="1" applyAlignment="1">
      <alignment vertical="center"/>
    </xf>
    <xf numFmtId="43" fontId="24" fillId="13" borderId="7" xfId="2" applyFont="1" applyFill="1" applyBorder="1" applyAlignment="1">
      <alignment vertical="center"/>
    </xf>
    <xf numFmtId="9" fontId="24" fillId="6" borderId="7" xfId="3" applyFont="1" applyFill="1" applyBorder="1" applyAlignment="1">
      <alignment vertical="center"/>
    </xf>
    <xf numFmtId="10" fontId="24" fillId="6" borderId="7" xfId="3" applyNumberFormat="1" applyFont="1" applyFill="1" applyBorder="1" applyAlignment="1">
      <alignment vertical="center"/>
    </xf>
    <xf numFmtId="0" fontId="25" fillId="0" borderId="0" xfId="0" applyFont="1"/>
    <xf numFmtId="0" fontId="1" fillId="0" borderId="0" xfId="0" applyFont="1"/>
    <xf numFmtId="167" fontId="0" fillId="0" borderId="0" xfId="0" applyNumberFormat="1" applyAlignment="1">
      <alignment horizontal="center" vertical="center"/>
    </xf>
    <xf numFmtId="167" fontId="2" fillId="13" borderId="0" xfId="0" applyNumberFormat="1" applyFont="1" applyFill="1" applyAlignment="1">
      <alignment horizontal="center" vertical="center"/>
    </xf>
    <xf numFmtId="166" fontId="0" fillId="0" borderId="0" xfId="0" applyNumberFormat="1" applyAlignment="1">
      <alignment horizontal="center" vertical="center"/>
    </xf>
    <xf numFmtId="167" fontId="2" fillId="13" borderId="0" xfId="2" applyNumberFormat="1" applyFont="1" applyFill="1" applyBorder="1" applyAlignment="1">
      <alignment horizontal="center" vertical="center"/>
    </xf>
    <xf numFmtId="166" fontId="5" fillId="0" borderId="0" xfId="3" applyNumberFormat="1" applyFont="1" applyFill="1" applyBorder="1" applyAlignment="1">
      <alignment horizontal="center" vertical="center"/>
    </xf>
    <xf numFmtId="0" fontId="2" fillId="13" borderId="7" xfId="0" applyFont="1" applyFill="1" applyBorder="1" applyAlignment="1">
      <alignment horizontal="left" vertical="center"/>
    </xf>
    <xf numFmtId="0" fontId="26" fillId="12" borderId="7" xfId="0" applyFont="1" applyFill="1" applyBorder="1" applyAlignment="1">
      <alignment horizontal="center" vertical="center"/>
    </xf>
    <xf numFmtId="43" fontId="26" fillId="12" borderId="7" xfId="2" applyFont="1" applyFill="1" applyBorder="1" applyAlignment="1">
      <alignment vertical="center"/>
    </xf>
    <xf numFmtId="39" fontId="26" fillId="12" borderId="7" xfId="2" applyNumberFormat="1" applyFont="1" applyFill="1" applyBorder="1" applyAlignment="1">
      <alignment vertical="center"/>
    </xf>
    <xf numFmtId="9" fontId="26" fillId="12" borderId="7" xfId="3" applyFont="1" applyFill="1" applyBorder="1" applyAlignment="1">
      <alignment vertical="center"/>
    </xf>
    <xf numFmtId="166" fontId="26" fillId="12" borderId="7" xfId="3" applyNumberFormat="1" applyFont="1" applyFill="1" applyBorder="1" applyAlignment="1">
      <alignment vertical="center"/>
    </xf>
    <xf numFmtId="0" fontId="27" fillId="12" borderId="7" xfId="0" applyFont="1" applyFill="1" applyBorder="1" applyAlignment="1">
      <alignment horizontal="left" vertical="center"/>
    </xf>
    <xf numFmtId="0" fontId="1" fillId="0" borderId="0" xfId="0" applyFont="1" applyAlignment="1">
      <alignment horizontal="left"/>
    </xf>
    <xf numFmtId="0" fontId="2" fillId="0" borderId="12" xfId="0" applyFont="1" applyBorder="1" applyAlignment="1">
      <alignment horizontal="center" vertical="center"/>
    </xf>
    <xf numFmtId="0" fontId="2" fillId="0" borderId="11" xfId="0" applyFont="1" applyBorder="1" applyAlignment="1">
      <alignment horizontal="center" vertical="center"/>
    </xf>
    <xf numFmtId="0" fontId="2" fillId="0" borderId="0" xfId="0" quotePrefix="1" applyFont="1" applyAlignment="1">
      <alignment horizontal="left" vertical="top"/>
    </xf>
    <xf numFmtId="0" fontId="2" fillId="0" borderId="0" xfId="0" applyFont="1" applyAlignment="1">
      <alignment horizontal="left" vertical="top"/>
    </xf>
    <xf numFmtId="0" fontId="28" fillId="20" borderId="20" xfId="0" applyFont="1" applyFill="1" applyBorder="1"/>
    <xf numFmtId="43" fontId="28" fillId="0" borderId="0" xfId="0" applyNumberFormat="1" applyFont="1"/>
    <xf numFmtId="43" fontId="28" fillId="21" borderId="20" xfId="0" applyNumberFormat="1" applyFont="1" applyFill="1" applyBorder="1"/>
    <xf numFmtId="43" fontId="29" fillId="0" borderId="0" xfId="0" applyNumberFormat="1" applyFont="1"/>
    <xf numFmtId="166" fontId="5" fillId="12" borderId="0" xfId="3" applyNumberFormat="1" applyFont="1" applyFill="1" applyBorder="1" applyAlignment="1">
      <alignment horizontal="center" vertical="center"/>
    </xf>
    <xf numFmtId="9" fontId="0" fillId="0" borderId="12" xfId="0" applyNumberFormat="1" applyBorder="1" applyAlignment="1">
      <alignment horizontal="center" vertical="center"/>
    </xf>
    <xf numFmtId="2" fontId="2" fillId="0" borderId="0" xfId="0" applyNumberFormat="1" applyFont="1"/>
    <xf numFmtId="0" fontId="30" fillId="0" borderId="0" xfId="0" applyFont="1" applyAlignment="1">
      <alignment vertical="center"/>
    </xf>
    <xf numFmtId="166" fontId="2" fillId="0" borderId="0" xfId="3" applyNumberFormat="1" applyFont="1" applyFill="1" applyBorder="1" applyAlignment="1">
      <alignment horizontal="center" vertical="center"/>
    </xf>
    <xf numFmtId="9" fontId="2" fillId="0" borderId="0" xfId="0" applyNumberFormat="1" applyFont="1" applyAlignment="1">
      <alignment horizontal="center" vertical="center"/>
    </xf>
    <xf numFmtId="9" fontId="0" fillId="0" borderId="0" xfId="3" applyFont="1"/>
    <xf numFmtId="0" fontId="0" fillId="0" borderId="19" xfId="0" applyBorder="1" applyAlignment="1">
      <alignment horizontal="left" vertical="center" indent="4"/>
    </xf>
    <xf numFmtId="0" fontId="0" fillId="0" borderId="0" xfId="0" quotePrefix="1" applyAlignment="1">
      <alignment horizontal="center" vertical="center"/>
    </xf>
    <xf numFmtId="0" fontId="31" fillId="0" borderId="0" xfId="0" applyFont="1" applyAlignment="1">
      <alignment vertical="center"/>
    </xf>
    <xf numFmtId="0" fontId="0" fillId="0" borderId="19" xfId="0" applyBorder="1" applyAlignment="1">
      <alignment horizontal="center" vertical="center"/>
    </xf>
    <xf numFmtId="0" fontId="24" fillId="6" borderId="19" xfId="0" applyFont="1" applyFill="1" applyBorder="1" applyAlignment="1">
      <alignment horizontal="center" vertical="center"/>
    </xf>
    <xf numFmtId="0" fontId="22" fillId="6" borderId="19" xfId="0" applyFont="1" applyFill="1" applyBorder="1" applyAlignment="1">
      <alignment horizontal="center" vertical="center"/>
    </xf>
    <xf numFmtId="0" fontId="32" fillId="0" borderId="0" xfId="0" applyFont="1" applyAlignment="1">
      <alignment vertical="center"/>
    </xf>
    <xf numFmtId="43" fontId="32" fillId="0" borderId="0" xfId="2" applyFont="1" applyFill="1" applyAlignment="1">
      <alignment horizontal="left" vertical="center"/>
    </xf>
    <xf numFmtId="43" fontId="32" fillId="0" borderId="0" xfId="0" applyNumberFormat="1" applyFont="1" applyAlignment="1">
      <alignment horizontal="center" vertical="center"/>
    </xf>
    <xf numFmtId="0" fontId="32" fillId="0" borderId="7" xfId="0" applyFont="1" applyBorder="1" applyAlignment="1">
      <alignment horizontal="center" vertical="center"/>
    </xf>
    <xf numFmtId="43" fontId="33" fillId="0" borderId="7" xfId="2" applyFont="1" applyBorder="1" applyAlignment="1">
      <alignment vertical="center"/>
    </xf>
    <xf numFmtId="43" fontId="32" fillId="0" borderId="7" xfId="2" applyFont="1" applyBorder="1" applyAlignment="1">
      <alignment vertical="center"/>
    </xf>
    <xf numFmtId="43" fontId="32" fillId="0" borderId="7" xfId="2" applyFont="1" applyFill="1" applyBorder="1" applyAlignment="1">
      <alignment vertical="center"/>
    </xf>
    <xf numFmtId="10" fontId="32" fillId="0" borderId="7" xfId="3" applyNumberFormat="1" applyFont="1" applyFill="1" applyBorder="1" applyAlignment="1">
      <alignment vertical="center"/>
    </xf>
    <xf numFmtId="166" fontId="32" fillId="0" borderId="7" xfId="3" applyNumberFormat="1" applyFont="1" applyBorder="1" applyAlignment="1">
      <alignment vertical="center"/>
    </xf>
    <xf numFmtId="0" fontId="33" fillId="6" borderId="18" xfId="0" applyFont="1" applyFill="1" applyBorder="1" applyAlignment="1">
      <alignment horizontal="left" vertical="center"/>
    </xf>
    <xf numFmtId="0" fontId="33" fillId="6" borderId="19" xfId="0" applyFont="1" applyFill="1" applyBorder="1" applyAlignment="1">
      <alignment horizontal="center" vertical="center"/>
    </xf>
    <xf numFmtId="43" fontId="33" fillId="6" borderId="7" xfId="2" applyFont="1" applyFill="1" applyBorder="1" applyAlignment="1">
      <alignment vertical="center"/>
    </xf>
    <xf numFmtId="43" fontId="33" fillId="13" borderId="7" xfId="2" applyFont="1" applyFill="1" applyBorder="1" applyAlignment="1">
      <alignment vertical="center"/>
    </xf>
    <xf numFmtId="9" fontId="33" fillId="6" borderId="7" xfId="3" applyFont="1" applyFill="1" applyBorder="1" applyAlignment="1">
      <alignment vertical="center"/>
    </xf>
    <xf numFmtId="10" fontId="33" fillId="6" borderId="7" xfId="3" applyNumberFormat="1" applyFont="1" applyFill="1" applyBorder="1" applyAlignment="1">
      <alignment vertical="center"/>
    </xf>
    <xf numFmtId="0" fontId="32" fillId="0" borderId="7" xfId="0" applyFont="1" applyBorder="1" applyAlignment="1">
      <alignment horizontal="left" vertical="center"/>
    </xf>
    <xf numFmtId="43" fontId="2" fillId="13" borderId="0" xfId="0" applyNumberFormat="1" applyFont="1" applyFill="1" applyAlignment="1">
      <alignment horizontal="center" vertical="center"/>
    </xf>
    <xf numFmtId="0" fontId="9" fillId="22" borderId="3" xfId="0" applyFont="1" applyFill="1" applyBorder="1" applyAlignment="1">
      <alignment horizontal="center" vertical="center"/>
    </xf>
    <xf numFmtId="0" fontId="36" fillId="13" borderId="0" xfId="0" applyFont="1" applyFill="1" applyAlignment="1">
      <alignment horizontal="center" vertical="center"/>
    </xf>
    <xf numFmtId="0" fontId="30" fillId="0" borderId="0" xfId="0" applyFont="1" applyAlignment="1">
      <alignment horizontal="left" vertical="center"/>
    </xf>
    <xf numFmtId="0" fontId="30" fillId="0" borderId="14" xfId="0" applyFont="1" applyBorder="1" applyAlignment="1">
      <alignment vertical="center"/>
    </xf>
    <xf numFmtId="0" fontId="0" fillId="0" borderId="12" xfId="0" applyBorder="1" applyAlignment="1">
      <alignment horizontal="center" vertical="center"/>
    </xf>
    <xf numFmtId="0" fontId="1" fillId="0" borderId="0" xfId="0" applyFont="1" applyAlignment="1">
      <alignment vertical="center"/>
    </xf>
    <xf numFmtId="9" fontId="2" fillId="13" borderId="12" xfId="3" applyFont="1" applyFill="1" applyBorder="1" applyAlignment="1">
      <alignment horizontal="center" vertical="center"/>
    </xf>
    <xf numFmtId="168" fontId="1" fillId="0" borderId="0" xfId="0" applyNumberFormat="1" applyFont="1" applyAlignment="1">
      <alignment vertical="center"/>
    </xf>
    <xf numFmtId="43" fontId="5" fillId="0" borderId="7" xfId="2" applyFont="1" applyBorder="1" applyAlignment="1">
      <alignment vertical="center"/>
    </xf>
    <xf numFmtId="43" fontId="5" fillId="0" borderId="7" xfId="2" applyFont="1" applyFill="1" applyBorder="1" applyAlignment="1">
      <alignment vertical="center"/>
    </xf>
    <xf numFmtId="43" fontId="32" fillId="23" borderId="7" xfId="2" applyFont="1" applyFill="1" applyBorder="1" applyAlignment="1">
      <alignment vertical="center"/>
    </xf>
    <xf numFmtId="1" fontId="9" fillId="13" borderId="0" xfId="0" applyNumberFormat="1" applyFont="1" applyFill="1" applyAlignment="1">
      <alignment horizontal="center" vertical="center"/>
    </xf>
    <xf numFmtId="0" fontId="37" fillId="0" borderId="0" xfId="0" applyFont="1" applyAlignment="1">
      <alignment vertical="center"/>
    </xf>
    <xf numFmtId="0" fontId="38" fillId="0" borderId="0" xfId="0" applyFont="1" applyAlignment="1">
      <alignment horizontal="center" vertical="center"/>
    </xf>
    <xf numFmtId="0" fontId="38" fillId="0" borderId="0" xfId="0" applyFont="1" applyAlignment="1">
      <alignment vertical="center"/>
    </xf>
    <xf numFmtId="0" fontId="37" fillId="0" borderId="0" xfId="0" applyFont="1" applyAlignment="1">
      <alignment horizontal="center" vertical="center"/>
    </xf>
    <xf numFmtId="9" fontId="38" fillId="0" borderId="0" xfId="3" applyFont="1" applyAlignment="1">
      <alignment vertical="center"/>
    </xf>
    <xf numFmtId="1" fontId="9" fillId="0" borderId="0" xfId="0" applyNumberFormat="1" applyFont="1" applyAlignment="1">
      <alignment horizontal="center" vertical="center"/>
    </xf>
    <xf numFmtId="0" fontId="31" fillId="0" borderId="0" xfId="0" applyFont="1" applyAlignment="1">
      <alignment horizontal="center" vertical="center"/>
    </xf>
    <xf numFmtId="2" fontId="31" fillId="0" borderId="0" xfId="0" applyNumberFormat="1" applyFont="1" applyAlignment="1">
      <alignment horizontal="center" vertical="center"/>
    </xf>
    <xf numFmtId="2" fontId="31" fillId="0" borderId="0" xfId="0" applyNumberFormat="1" applyFont="1" applyAlignment="1">
      <alignment vertical="center"/>
    </xf>
    <xf numFmtId="43" fontId="31" fillId="0" borderId="0" xfId="0" applyNumberFormat="1" applyFont="1" applyAlignment="1">
      <alignment horizontal="center" vertical="center"/>
    </xf>
    <xf numFmtId="43" fontId="31" fillId="0" borderId="0" xfId="0" applyNumberFormat="1" applyFont="1" applyAlignment="1">
      <alignment vertical="center"/>
    </xf>
    <xf numFmtId="0" fontId="9" fillId="0" borderId="3" xfId="0" applyFont="1" applyBorder="1" applyAlignment="1">
      <alignment horizontal="center" vertical="center"/>
    </xf>
    <xf numFmtId="0" fontId="34" fillId="0" borderId="0" xfId="0" applyFont="1" applyAlignment="1">
      <alignment horizontal="center" vertical="center"/>
    </xf>
    <xf numFmtId="0" fontId="35" fillId="0" borderId="0" xfId="0" applyFont="1" applyAlignment="1">
      <alignment horizontal="center" vertical="center"/>
    </xf>
    <xf numFmtId="0" fontId="9" fillId="24" borderId="3" xfId="0" applyFont="1" applyFill="1" applyBorder="1" applyAlignment="1">
      <alignment vertical="center"/>
    </xf>
    <xf numFmtId="0" fontId="2" fillId="11" borderId="7" xfId="0" applyFont="1" applyFill="1" applyBorder="1" applyAlignment="1">
      <alignment horizontal="center" vertical="center"/>
    </xf>
    <xf numFmtId="166" fontId="2" fillId="13" borderId="7" xfId="3" applyNumberFormat="1" applyFont="1" applyFill="1" applyBorder="1" applyAlignment="1"/>
    <xf numFmtId="166" fontId="2" fillId="0" borderId="0" xfId="3" applyNumberFormat="1" applyFont="1" applyFill="1" applyBorder="1" applyAlignment="1"/>
    <xf numFmtId="166" fontId="2" fillId="11" borderId="7" xfId="3" applyNumberFormat="1" applyFont="1" applyFill="1" applyBorder="1" applyAlignment="1"/>
    <xf numFmtId="1" fontId="9" fillId="24" borderId="0" xfId="0" applyNumberFormat="1" applyFont="1" applyFill="1" applyAlignment="1">
      <alignment horizontal="center" vertical="center"/>
    </xf>
    <xf numFmtId="9" fontId="11" fillId="24" borderId="0" xfId="3" applyFont="1" applyFill="1" applyAlignment="1">
      <alignment horizontal="center" vertical="center"/>
    </xf>
    <xf numFmtId="0" fontId="10" fillId="24" borderId="0" xfId="0" applyFont="1" applyFill="1" applyAlignment="1">
      <alignment vertical="center"/>
    </xf>
    <xf numFmtId="0" fontId="9" fillId="24" borderId="0" xfId="0" applyFont="1" applyFill="1" applyAlignment="1">
      <alignment horizontal="right" vertical="center"/>
    </xf>
    <xf numFmtId="14" fontId="11" fillId="24" borderId="0" xfId="0" applyNumberFormat="1" applyFont="1" applyFill="1" applyAlignment="1">
      <alignment vertical="center"/>
    </xf>
    <xf numFmtId="0" fontId="9" fillId="24" borderId="0" xfId="0" applyFont="1" applyFill="1" applyAlignment="1">
      <alignment horizontal="center" vertical="center"/>
    </xf>
    <xf numFmtId="43" fontId="2" fillId="26" borderId="0" xfId="2" applyFont="1" applyFill="1"/>
    <xf numFmtId="0" fontId="2" fillId="24" borderId="0" xfId="0" applyFont="1" applyFill="1"/>
    <xf numFmtId="43" fontId="2" fillId="24" borderId="0" xfId="2" applyFont="1" applyFill="1"/>
    <xf numFmtId="0" fontId="2" fillId="0" borderId="0" xfId="0" applyFont="1"/>
    <xf numFmtId="43" fontId="2" fillId="0" borderId="0" xfId="2" applyFont="1"/>
    <xf numFmtId="0" fontId="42" fillId="0" borderId="7" xfId="0" applyFont="1" applyBorder="1" applyAlignment="1">
      <alignment horizontal="left" vertical="center"/>
    </xf>
    <xf numFmtId="0" fontId="42" fillId="0" borderId="7" xfId="0" applyFont="1" applyBorder="1" applyAlignment="1">
      <alignment horizontal="center" vertical="center"/>
    </xf>
    <xf numFmtId="43" fontId="43" fillId="0" borderId="7" xfId="2" applyFont="1" applyBorder="1" applyAlignment="1">
      <alignment vertical="center"/>
    </xf>
    <xf numFmtId="43" fontId="42" fillId="0" borderId="7" xfId="2" applyFont="1" applyBorder="1" applyAlignment="1">
      <alignment vertical="center"/>
    </xf>
    <xf numFmtId="43" fontId="42" fillId="0" borderId="7" xfId="2" applyFont="1" applyFill="1" applyBorder="1" applyAlignment="1">
      <alignment vertical="center"/>
    </xf>
    <xf numFmtId="10" fontId="42" fillId="0" borderId="7" xfId="3" applyNumberFormat="1" applyFont="1" applyFill="1" applyBorder="1" applyAlignment="1">
      <alignment vertical="center"/>
    </xf>
    <xf numFmtId="166" fontId="42" fillId="0" borderId="7" xfId="3" applyNumberFormat="1" applyFont="1" applyBorder="1" applyAlignment="1">
      <alignment vertical="center"/>
    </xf>
    <xf numFmtId="0" fontId="43" fillId="6" borderId="18" xfId="0" applyFont="1" applyFill="1" applyBorder="1" applyAlignment="1">
      <alignment horizontal="left" vertical="center"/>
    </xf>
    <xf numFmtId="0" fontId="43" fillId="6" borderId="19" xfId="0" applyFont="1" applyFill="1" applyBorder="1" applyAlignment="1">
      <alignment horizontal="center" vertical="center"/>
    </xf>
    <xf numFmtId="43" fontId="43" fillId="6" borderId="7" xfId="2" applyFont="1" applyFill="1" applyBorder="1" applyAlignment="1">
      <alignment vertical="center"/>
    </xf>
    <xf numFmtId="43" fontId="43" fillId="13" borderId="7" xfId="2" applyFont="1" applyFill="1" applyBorder="1" applyAlignment="1">
      <alignment vertical="center"/>
    </xf>
    <xf numFmtId="9" fontId="43" fillId="6" borderId="7" xfId="3" applyFont="1" applyFill="1" applyBorder="1" applyAlignment="1">
      <alignment vertical="center"/>
    </xf>
    <xf numFmtId="10" fontId="43" fillId="6" borderId="7" xfId="3" applyNumberFormat="1" applyFont="1" applyFill="1" applyBorder="1" applyAlignment="1">
      <alignment vertical="center"/>
    </xf>
    <xf numFmtId="0" fontId="44" fillId="0" borderId="7" xfId="0" applyFont="1" applyBorder="1" applyAlignment="1">
      <alignment horizontal="left" vertical="center"/>
    </xf>
    <xf numFmtId="0" fontId="44" fillId="0" borderId="7" xfId="0" applyFont="1" applyBorder="1" applyAlignment="1">
      <alignment horizontal="center" vertical="center"/>
    </xf>
    <xf numFmtId="43" fontId="45" fillId="0" borderId="7" xfId="2" applyFont="1" applyBorder="1" applyAlignment="1">
      <alignment vertical="center"/>
    </xf>
    <xf numFmtId="43" fontId="44" fillId="0" borderId="7" xfId="2" applyFont="1" applyBorder="1" applyAlignment="1">
      <alignment vertical="center"/>
    </xf>
    <xf numFmtId="43" fontId="44" fillId="0" borderId="7" xfId="2" applyFont="1" applyFill="1" applyBorder="1" applyAlignment="1">
      <alignment vertical="center"/>
    </xf>
    <xf numFmtId="10" fontId="44" fillId="0" borderId="7" xfId="3" applyNumberFormat="1" applyFont="1" applyFill="1" applyBorder="1" applyAlignment="1">
      <alignment vertical="center"/>
    </xf>
    <xf numFmtId="166" fontId="44" fillId="0" borderId="7" xfId="3" applyNumberFormat="1" applyFont="1" applyBorder="1" applyAlignment="1">
      <alignment vertical="center"/>
    </xf>
    <xf numFmtId="0" fontId="45" fillId="6" borderId="18" xfId="0" applyFont="1" applyFill="1" applyBorder="1" applyAlignment="1">
      <alignment horizontal="left" vertical="center"/>
    </xf>
    <xf numFmtId="0" fontId="45" fillId="6" borderId="19" xfId="0" applyFont="1" applyFill="1" applyBorder="1" applyAlignment="1">
      <alignment horizontal="center" vertical="center"/>
    </xf>
    <xf numFmtId="43" fontId="45" fillId="6" borderId="7" xfId="2" applyFont="1" applyFill="1" applyBorder="1" applyAlignment="1">
      <alignment vertical="center"/>
    </xf>
    <xf numFmtId="43" fontId="45" fillId="13" borderId="7" xfId="2" applyFont="1" applyFill="1" applyBorder="1" applyAlignment="1">
      <alignment vertical="center"/>
    </xf>
    <xf numFmtId="9" fontId="45" fillId="6" borderId="7" xfId="3" applyFont="1" applyFill="1" applyBorder="1" applyAlignment="1">
      <alignment vertical="center"/>
    </xf>
    <xf numFmtId="10" fontId="45" fillId="6" borderId="7" xfId="3" applyNumberFormat="1" applyFont="1" applyFill="1" applyBorder="1" applyAlignment="1">
      <alignment vertical="center"/>
    </xf>
    <xf numFmtId="0" fontId="46" fillId="0" borderId="7" xfId="0" applyFont="1" applyBorder="1" applyAlignment="1">
      <alignment horizontal="left" vertical="center"/>
    </xf>
    <xf numFmtId="0" fontId="46" fillId="0" borderId="7" xfId="0" applyFont="1" applyBorder="1" applyAlignment="1">
      <alignment horizontal="center" vertical="center"/>
    </xf>
    <xf numFmtId="43" fontId="47" fillId="0" borderId="7" xfId="2" applyFont="1" applyBorder="1" applyAlignment="1">
      <alignment vertical="center"/>
    </xf>
    <xf numFmtId="43" fontId="46" fillId="0" borderId="7" xfId="2" applyFont="1" applyBorder="1" applyAlignment="1">
      <alignment vertical="center"/>
    </xf>
    <xf numFmtId="43" fontId="46" fillId="0" borderId="7" xfId="2" applyFont="1" applyFill="1" applyBorder="1" applyAlignment="1">
      <alignment vertical="center"/>
    </xf>
    <xf numFmtId="10" fontId="46" fillId="0" borderId="7" xfId="3" applyNumberFormat="1" applyFont="1" applyFill="1" applyBorder="1" applyAlignment="1">
      <alignment vertical="center"/>
    </xf>
    <xf numFmtId="166" fontId="46" fillId="0" borderId="7" xfId="3" applyNumberFormat="1" applyFont="1" applyBorder="1" applyAlignment="1">
      <alignment vertical="center"/>
    </xf>
    <xf numFmtId="0" fontId="47" fillId="6" borderId="18" xfId="0" applyFont="1" applyFill="1" applyBorder="1" applyAlignment="1">
      <alignment horizontal="left" vertical="center"/>
    </xf>
    <xf numFmtId="0" fontId="47" fillId="6" borderId="19" xfId="0" applyFont="1" applyFill="1" applyBorder="1" applyAlignment="1">
      <alignment horizontal="center" vertical="center"/>
    </xf>
    <xf numFmtId="43" fontId="47" fillId="6" borderId="7" xfId="2" applyFont="1" applyFill="1" applyBorder="1" applyAlignment="1">
      <alignment vertical="center"/>
    </xf>
    <xf numFmtId="43" fontId="47" fillId="13" borderId="7" xfId="2" applyFont="1" applyFill="1" applyBorder="1" applyAlignment="1">
      <alignment vertical="center"/>
    </xf>
    <xf numFmtId="9" fontId="47" fillId="6" borderId="7" xfId="3" applyFont="1" applyFill="1" applyBorder="1" applyAlignment="1">
      <alignment vertical="center"/>
    </xf>
    <xf numFmtId="10" fontId="47" fillId="6" borderId="7" xfId="3" applyNumberFormat="1" applyFont="1" applyFill="1" applyBorder="1" applyAlignment="1">
      <alignment vertical="center"/>
    </xf>
    <xf numFmtId="0" fontId="48" fillId="0" borderId="7" xfId="0" applyFont="1" applyBorder="1" applyAlignment="1">
      <alignment horizontal="left" vertical="center"/>
    </xf>
    <xf numFmtId="0" fontId="48" fillId="0" borderId="7" xfId="0" applyFont="1" applyBorder="1" applyAlignment="1">
      <alignment horizontal="center" vertical="center"/>
    </xf>
    <xf numFmtId="43" fontId="49" fillId="0" borderId="7" xfId="2" applyFont="1" applyBorder="1" applyAlignment="1">
      <alignment vertical="center"/>
    </xf>
    <xf numFmtId="43" fontId="48" fillId="0" borderId="7" xfId="2" applyFont="1" applyBorder="1" applyAlignment="1">
      <alignment vertical="center"/>
    </xf>
    <xf numFmtId="43" fontId="48" fillId="0" borderId="7" xfId="2" applyFont="1" applyFill="1" applyBorder="1" applyAlignment="1">
      <alignment vertical="center"/>
    </xf>
    <xf numFmtId="10" fontId="48" fillId="0" borderId="7" xfId="3" applyNumberFormat="1" applyFont="1" applyFill="1" applyBorder="1" applyAlignment="1">
      <alignment vertical="center"/>
    </xf>
    <xf numFmtId="166" fontId="48" fillId="0" borderId="7" xfId="3" applyNumberFormat="1" applyFont="1" applyBorder="1" applyAlignment="1">
      <alignment vertical="center"/>
    </xf>
    <xf numFmtId="0" fontId="49" fillId="6" borderId="18" xfId="0" applyFont="1" applyFill="1" applyBorder="1" applyAlignment="1">
      <alignment horizontal="left" vertical="center"/>
    </xf>
    <xf numFmtId="0" fontId="49" fillId="6" borderId="19" xfId="0" applyFont="1" applyFill="1" applyBorder="1" applyAlignment="1">
      <alignment horizontal="center" vertical="center"/>
    </xf>
    <xf numFmtId="43" fontId="49" fillId="6" borderId="7" xfId="2" applyFont="1" applyFill="1" applyBorder="1" applyAlignment="1">
      <alignment vertical="center"/>
    </xf>
    <xf numFmtId="43" fontId="49" fillId="13" borderId="7" xfId="2" applyFont="1" applyFill="1" applyBorder="1" applyAlignment="1">
      <alignment vertical="center"/>
    </xf>
    <xf numFmtId="9" fontId="49" fillId="6" borderId="7" xfId="3" applyFont="1" applyFill="1" applyBorder="1" applyAlignment="1">
      <alignment vertical="center"/>
    </xf>
    <xf numFmtId="10" fontId="49" fillId="6" borderId="7" xfId="3" applyNumberFormat="1" applyFont="1" applyFill="1" applyBorder="1" applyAlignment="1">
      <alignment vertical="center"/>
    </xf>
    <xf numFmtId="10" fontId="23" fillId="0" borderId="7" xfId="2" applyNumberFormat="1" applyFont="1" applyFill="1" applyBorder="1" applyAlignment="1">
      <alignment vertical="center"/>
    </xf>
    <xf numFmtId="166" fontId="24" fillId="0" borderId="7" xfId="3" applyNumberFormat="1" applyFont="1" applyBorder="1" applyAlignment="1">
      <alignment vertical="center"/>
    </xf>
    <xf numFmtId="0" fontId="43" fillId="6" borderId="4" xfId="0" applyFont="1" applyFill="1" applyBorder="1" applyAlignment="1">
      <alignment horizontal="left" vertical="center"/>
    </xf>
    <xf numFmtId="0" fontId="42" fillId="0" borderId="19" xfId="0" applyFont="1" applyBorder="1" applyAlignment="1">
      <alignment horizontal="left" vertical="center"/>
    </xf>
    <xf numFmtId="9" fontId="23" fillId="0" borderId="7" xfId="3" applyFont="1" applyFill="1" applyBorder="1" applyAlignment="1">
      <alignment vertical="center"/>
    </xf>
    <xf numFmtId="166" fontId="43" fillId="6" borderId="7" xfId="3" applyNumberFormat="1" applyFont="1" applyFill="1" applyBorder="1" applyAlignment="1">
      <alignment vertical="center"/>
    </xf>
    <xf numFmtId="9" fontId="42" fillId="0" borderId="7" xfId="3" applyFont="1" applyFill="1" applyBorder="1" applyAlignment="1">
      <alignment vertical="center"/>
    </xf>
    <xf numFmtId="166" fontId="43" fillId="0" borderId="7" xfId="3" applyNumberFormat="1" applyFont="1" applyBorder="1" applyAlignment="1">
      <alignment vertical="center"/>
    </xf>
    <xf numFmtId="166" fontId="45" fillId="6" borderId="7" xfId="3" applyNumberFormat="1" applyFont="1" applyFill="1" applyBorder="1" applyAlignment="1">
      <alignment vertical="center"/>
    </xf>
    <xf numFmtId="9" fontId="44" fillId="0" borderId="7" xfId="3" applyFont="1" applyFill="1" applyBorder="1" applyAlignment="1">
      <alignment vertical="center"/>
    </xf>
    <xf numFmtId="166" fontId="45" fillId="0" borderId="7" xfId="3" applyNumberFormat="1" applyFont="1" applyBorder="1" applyAlignment="1">
      <alignment vertical="center"/>
    </xf>
    <xf numFmtId="166" fontId="49" fillId="6" borderId="7" xfId="3" applyNumberFormat="1" applyFont="1" applyFill="1" applyBorder="1" applyAlignment="1">
      <alignment vertical="center"/>
    </xf>
    <xf numFmtId="9" fontId="50" fillId="6" borderId="7" xfId="3" applyFont="1" applyFill="1" applyBorder="1" applyAlignment="1">
      <alignment vertical="center"/>
    </xf>
    <xf numFmtId="166" fontId="50" fillId="6" borderId="7" xfId="3" applyNumberFormat="1" applyFont="1" applyFill="1" applyBorder="1" applyAlignment="1">
      <alignment vertical="center"/>
    </xf>
    <xf numFmtId="9" fontId="51" fillId="0" borderId="7" xfId="3" applyFont="1" applyFill="1" applyBorder="1" applyAlignment="1">
      <alignment vertical="center"/>
    </xf>
    <xf numFmtId="166" fontId="50" fillId="0" borderId="7" xfId="3" applyNumberFormat="1" applyFont="1" applyBorder="1" applyAlignment="1">
      <alignment vertical="center"/>
    </xf>
    <xf numFmtId="0" fontId="0" fillId="0" borderId="0" xfId="0" quotePrefix="1"/>
    <xf numFmtId="43" fontId="53" fillId="0" borderId="0" xfId="0" applyNumberFormat="1" applyFont="1"/>
    <xf numFmtId="4" fontId="0" fillId="0" borderId="0" xfId="0" applyNumberFormat="1"/>
    <xf numFmtId="2" fontId="0" fillId="0" borderId="0" xfId="0" applyNumberFormat="1"/>
    <xf numFmtId="43" fontId="54" fillId="0" borderId="0" xfId="0" applyNumberFormat="1" applyFont="1"/>
    <xf numFmtId="0" fontId="52" fillId="6" borderId="19" xfId="0" applyFont="1" applyFill="1" applyBorder="1" applyAlignment="1">
      <alignment horizontal="center" vertical="center"/>
    </xf>
    <xf numFmtId="0" fontId="20" fillId="0" borderId="7" xfId="0" applyFont="1" applyBorder="1" applyAlignment="1">
      <alignment horizontal="center" vertical="center"/>
    </xf>
    <xf numFmtId="3" fontId="0" fillId="0" borderId="0" xfId="0" applyNumberFormat="1" applyAlignment="1">
      <alignment vertical="center"/>
    </xf>
    <xf numFmtId="2" fontId="0" fillId="0" borderId="0" xfId="0" applyNumberFormat="1" applyAlignment="1">
      <alignment vertical="center"/>
    </xf>
    <xf numFmtId="9" fontId="52" fillId="6" borderId="7" xfId="3" applyFont="1" applyFill="1" applyBorder="1" applyAlignment="1">
      <alignment vertical="center"/>
    </xf>
    <xf numFmtId="166" fontId="52" fillId="6" borderId="7" xfId="3" applyNumberFormat="1" applyFont="1" applyFill="1" applyBorder="1" applyAlignment="1">
      <alignment vertical="center"/>
    </xf>
    <xf numFmtId="9" fontId="20" fillId="0" borderId="7" xfId="3" applyFont="1" applyFill="1" applyBorder="1" applyAlignment="1">
      <alignment vertical="center"/>
    </xf>
    <xf numFmtId="166" fontId="52" fillId="0" borderId="7" xfId="3" applyNumberFormat="1" applyFont="1" applyBorder="1" applyAlignment="1">
      <alignment vertical="center"/>
    </xf>
    <xf numFmtId="0" fontId="55" fillId="0" borderId="0" xfId="0" applyFont="1"/>
    <xf numFmtId="1" fontId="0" fillId="0" borderId="0" xfId="0" applyNumberFormat="1"/>
    <xf numFmtId="0" fontId="0" fillId="0" borderId="0" xfId="0" applyAlignment="1">
      <alignment horizontal="center" vertical="center" wrapText="1"/>
    </xf>
    <xf numFmtId="0" fontId="2" fillId="0" borderId="0" xfId="0" applyFont="1" applyAlignment="1">
      <alignment horizontal="center" vertical="center" wrapText="1"/>
    </xf>
    <xf numFmtId="0" fontId="56" fillId="0" borderId="0" xfId="0" applyFont="1" applyAlignment="1">
      <alignment horizontal="right"/>
    </xf>
    <xf numFmtId="0" fontId="56" fillId="0" borderId="0" xfId="0" applyFont="1" applyAlignment="1">
      <alignment horizontal="center"/>
    </xf>
    <xf numFmtId="9" fontId="0" fillId="0" borderId="0" xfId="3" applyFont="1" applyAlignment="1">
      <alignment vertical="center"/>
    </xf>
    <xf numFmtId="0" fontId="57" fillId="0" borderId="7" xfId="0" applyFont="1" applyBorder="1" applyAlignment="1">
      <alignment horizontal="center" vertical="center"/>
    </xf>
    <xf numFmtId="0" fontId="33" fillId="0" borderId="7" xfId="0" applyFont="1" applyBorder="1" applyAlignment="1">
      <alignment horizontal="center" vertical="center"/>
    </xf>
    <xf numFmtId="0" fontId="58" fillId="0" borderId="7" xfId="0" applyFont="1" applyBorder="1" applyAlignment="1">
      <alignment horizontal="center" vertical="center"/>
    </xf>
    <xf numFmtId="43" fontId="58" fillId="0" borderId="7" xfId="2" applyFont="1" applyBorder="1" applyAlignment="1">
      <alignment vertical="center"/>
    </xf>
    <xf numFmtId="43" fontId="58" fillId="12" borderId="7" xfId="2" applyFont="1" applyFill="1" applyBorder="1" applyAlignment="1">
      <alignment vertical="center"/>
    </xf>
    <xf numFmtId="10" fontId="58" fillId="0" borderId="7" xfId="3" applyNumberFormat="1" applyFont="1" applyBorder="1" applyAlignment="1">
      <alignment vertical="center"/>
    </xf>
    <xf numFmtId="0" fontId="30" fillId="0" borderId="10" xfId="0" applyFont="1" applyBorder="1" applyAlignment="1">
      <alignment vertical="center"/>
    </xf>
    <xf numFmtId="0" fontId="30" fillId="0" borderId="12" xfId="0" applyFont="1" applyBorder="1" applyAlignment="1">
      <alignment vertical="center"/>
    </xf>
    <xf numFmtId="0" fontId="30" fillId="0" borderId="15" xfId="0" applyFont="1" applyBorder="1" applyAlignment="1">
      <alignment vertical="center"/>
    </xf>
    <xf numFmtId="0" fontId="19" fillId="0" borderId="7" xfId="0" applyFont="1" applyBorder="1" applyAlignment="1">
      <alignment vertical="center"/>
    </xf>
    <xf numFmtId="0" fontId="20" fillId="0" borderId="7" xfId="0" applyFont="1" applyBorder="1" applyAlignment="1">
      <alignment vertical="center"/>
    </xf>
    <xf numFmtId="14" fontId="11" fillId="24" borderId="3" xfId="0" applyNumberFormat="1" applyFont="1" applyFill="1" applyBorder="1" applyAlignment="1">
      <alignment vertical="center"/>
    </xf>
    <xf numFmtId="43" fontId="58" fillId="0" borderId="18" xfId="2" applyFont="1" applyBorder="1" applyAlignment="1">
      <alignment vertical="center"/>
    </xf>
    <xf numFmtId="0" fontId="37" fillId="0" borderId="7" xfId="0" applyFont="1" applyBorder="1" applyAlignment="1">
      <alignment horizontal="center" vertical="center"/>
    </xf>
    <xf numFmtId="166" fontId="33" fillId="0" borderId="7" xfId="3" applyNumberFormat="1" applyFont="1" applyBorder="1" applyAlignment="1">
      <alignment vertical="center"/>
    </xf>
    <xf numFmtId="0" fontId="9" fillId="24" borderId="3" xfId="0" applyFont="1" applyFill="1" applyBorder="1" applyAlignment="1">
      <alignment horizontal="right" vertical="center"/>
    </xf>
    <xf numFmtId="0" fontId="60" fillId="34" borderId="1" xfId="0" applyFont="1" applyFill="1" applyBorder="1" applyAlignment="1">
      <alignment horizontal="center" vertical="center" wrapText="1"/>
    </xf>
    <xf numFmtId="0" fontId="62" fillId="0" borderId="0" xfId="0" applyFont="1"/>
    <xf numFmtId="0" fontId="63" fillId="0" borderId="0" xfId="0" applyFont="1"/>
    <xf numFmtId="0" fontId="36" fillId="24" borderId="18" xfId="0" applyFont="1" applyFill="1" applyBorder="1" applyAlignment="1">
      <alignment horizontal="center" vertical="center"/>
    </xf>
    <xf numFmtId="1" fontId="9" fillId="24" borderId="4" xfId="0" applyNumberFormat="1" applyFont="1" applyFill="1" applyBorder="1" applyAlignment="1">
      <alignment horizontal="center" vertical="center"/>
    </xf>
    <xf numFmtId="0" fontId="9" fillId="24" borderId="4" xfId="0" applyFont="1" applyFill="1" applyBorder="1" applyAlignment="1">
      <alignment horizontal="right" vertical="center"/>
    </xf>
    <xf numFmtId="9" fontId="11" fillId="24" borderId="4" xfId="3" applyFont="1" applyFill="1" applyBorder="1" applyAlignment="1">
      <alignment horizontal="center" vertical="center"/>
    </xf>
    <xf numFmtId="0" fontId="10" fillId="24" borderId="4" xfId="0" applyFont="1" applyFill="1" applyBorder="1" applyAlignment="1">
      <alignment vertical="center"/>
    </xf>
    <xf numFmtId="170" fontId="46" fillId="0" borderId="7" xfId="2" applyNumberFormat="1" applyFont="1" applyFill="1" applyBorder="1" applyAlignment="1">
      <alignment vertical="center"/>
    </xf>
    <xf numFmtId="0" fontId="64" fillId="24" borderId="4" xfId="0" applyFont="1" applyFill="1" applyBorder="1" applyAlignment="1">
      <alignment horizontal="right" vertical="center"/>
    </xf>
    <xf numFmtId="0" fontId="65" fillId="24" borderId="4" xfId="0" applyFont="1" applyFill="1" applyBorder="1" applyAlignment="1">
      <alignment vertical="center"/>
    </xf>
    <xf numFmtId="0" fontId="2" fillId="16" borderId="1" xfId="0" applyFont="1" applyFill="1" applyBorder="1" applyAlignment="1">
      <alignment horizontal="center" vertical="center" wrapText="1"/>
    </xf>
    <xf numFmtId="0" fontId="6" fillId="10" borderId="1" xfId="0" applyFont="1" applyFill="1" applyBorder="1" applyAlignment="1">
      <alignment horizontal="center" vertical="center" wrapText="1"/>
    </xf>
    <xf numFmtId="14" fontId="11" fillId="24" borderId="4" xfId="0" applyNumberFormat="1" applyFont="1" applyFill="1" applyBorder="1" applyAlignment="1">
      <alignment vertical="center"/>
    </xf>
    <xf numFmtId="166" fontId="2" fillId="13" borderId="0" xfId="3" applyNumberFormat="1" applyFont="1" applyFill="1" applyBorder="1" applyAlignment="1">
      <alignment horizontal="center" vertical="center"/>
    </xf>
    <xf numFmtId="0" fontId="66" fillId="28" borderId="6" xfId="0" applyFont="1" applyFill="1" applyBorder="1" applyAlignment="1">
      <alignment horizontal="center" vertical="center" wrapText="1"/>
    </xf>
    <xf numFmtId="166" fontId="2" fillId="12" borderId="7" xfId="3" applyNumberFormat="1" applyFont="1" applyFill="1" applyBorder="1" applyAlignment="1">
      <alignment horizontal="center" vertical="center"/>
    </xf>
    <xf numFmtId="166" fontId="2" fillId="13" borderId="7" xfId="3" applyNumberFormat="1" applyFont="1" applyFill="1" applyBorder="1" applyAlignment="1">
      <alignment horizontal="center" vertical="center"/>
    </xf>
    <xf numFmtId="0" fontId="2" fillId="34" borderId="1" xfId="0" applyFont="1" applyFill="1" applyBorder="1" applyAlignment="1">
      <alignment horizontal="center" vertical="center" wrapText="1"/>
    </xf>
    <xf numFmtId="0" fontId="2" fillId="6" borderId="0" xfId="0" applyFont="1" applyFill="1" applyAlignment="1">
      <alignment horizontal="center" vertical="center"/>
    </xf>
    <xf numFmtId="167" fontId="2" fillId="11" borderId="7" xfId="2" applyNumberFormat="1" applyFont="1" applyFill="1" applyBorder="1" applyAlignment="1">
      <alignment vertical="center"/>
    </xf>
    <xf numFmtId="167" fontId="2" fillId="13" borderId="7" xfId="2" applyNumberFormat="1" applyFont="1" applyFill="1" applyBorder="1" applyAlignment="1">
      <alignment vertical="center"/>
    </xf>
    <xf numFmtId="167" fontId="2" fillId="13" borderId="18" xfId="2" applyNumberFormat="1" applyFont="1" applyFill="1" applyBorder="1" applyAlignment="1">
      <alignment vertical="center"/>
    </xf>
    <xf numFmtId="167" fontId="2" fillId="0" borderId="7" xfId="2" applyNumberFormat="1" applyFont="1" applyBorder="1" applyAlignment="1">
      <alignment vertical="center"/>
    </xf>
    <xf numFmtId="167" fontId="2" fillId="12" borderId="7" xfId="2" applyNumberFormat="1" applyFont="1" applyFill="1" applyBorder="1" applyAlignment="1">
      <alignment vertical="center"/>
    </xf>
    <xf numFmtId="167" fontId="58" fillId="0" borderId="7" xfId="2" applyNumberFormat="1" applyFont="1" applyBorder="1" applyAlignment="1">
      <alignment vertical="center"/>
    </xf>
    <xf numFmtId="167" fontId="58" fillId="12" borderId="7" xfId="2" applyNumberFormat="1" applyFont="1" applyFill="1" applyBorder="1" applyAlignment="1">
      <alignment vertical="center"/>
    </xf>
    <xf numFmtId="166" fontId="58" fillId="0" borderId="7" xfId="3" applyNumberFormat="1" applyFont="1" applyBorder="1" applyAlignment="1">
      <alignment vertical="center"/>
    </xf>
    <xf numFmtId="167" fontId="0" fillId="0" borderId="7" xfId="0" applyNumberFormat="1" applyBorder="1" applyAlignment="1">
      <alignment vertical="center"/>
    </xf>
    <xf numFmtId="167" fontId="2" fillId="0" borderId="7" xfId="0" applyNumberFormat="1" applyFont="1" applyBorder="1" applyAlignment="1">
      <alignment vertical="center"/>
    </xf>
    <xf numFmtId="167" fontId="2" fillId="11" borderId="18" xfId="2" applyNumberFormat="1" applyFont="1" applyFill="1" applyBorder="1" applyAlignment="1"/>
    <xf numFmtId="167" fontId="0" fillId="0" borderId="7" xfId="2" applyNumberFormat="1" applyFont="1" applyBorder="1" applyAlignment="1">
      <alignment vertical="center"/>
    </xf>
    <xf numFmtId="167" fontId="2" fillId="6" borderId="7" xfId="2" applyNumberFormat="1" applyFont="1" applyFill="1" applyBorder="1" applyAlignment="1">
      <alignment vertical="center"/>
    </xf>
    <xf numFmtId="167" fontId="0" fillId="0" borderId="7" xfId="2" applyNumberFormat="1" applyFont="1" applyFill="1" applyBorder="1" applyAlignment="1">
      <alignment vertical="center"/>
    </xf>
    <xf numFmtId="167" fontId="2" fillId="11" borderId="7" xfId="2" applyNumberFormat="1" applyFont="1" applyFill="1" applyBorder="1" applyAlignment="1"/>
    <xf numFmtId="167" fontId="2" fillId="13" borderId="7" xfId="2" applyNumberFormat="1" applyFont="1" applyFill="1" applyBorder="1" applyAlignment="1">
      <alignment horizontal="center" vertical="center"/>
    </xf>
    <xf numFmtId="167" fontId="5" fillId="0" borderId="7" xfId="2" applyNumberFormat="1" applyFont="1" applyBorder="1" applyAlignment="1">
      <alignment vertical="center"/>
    </xf>
    <xf numFmtId="167" fontId="32" fillId="23" borderId="7" xfId="2" applyNumberFormat="1" applyFont="1" applyFill="1" applyBorder="1" applyAlignment="1">
      <alignment vertical="center"/>
    </xf>
    <xf numFmtId="167" fontId="17" fillId="6" borderId="7" xfId="2" applyNumberFormat="1" applyFont="1" applyFill="1" applyBorder="1" applyAlignment="1">
      <alignment horizontal="center" vertical="center"/>
    </xf>
    <xf numFmtId="166" fontId="5" fillId="0" borderId="7" xfId="3" applyNumberFormat="1" applyFont="1" applyFill="1" applyBorder="1" applyAlignment="1">
      <alignment vertical="center"/>
    </xf>
    <xf numFmtId="167" fontId="24" fillId="6" borderId="7" xfId="2" applyNumberFormat="1" applyFont="1" applyFill="1" applyBorder="1" applyAlignment="1">
      <alignment vertical="center"/>
    </xf>
    <xf numFmtId="167" fontId="23" fillId="0" borderId="7" xfId="2" applyNumberFormat="1" applyFont="1" applyFill="1" applyBorder="1" applyAlignment="1">
      <alignment vertical="center"/>
    </xf>
    <xf numFmtId="167" fontId="43" fillId="6" borderId="7" xfId="2" applyNumberFormat="1" applyFont="1" applyFill="1" applyBorder="1" applyAlignment="1">
      <alignment vertical="center"/>
    </xf>
    <xf numFmtId="167" fontId="42" fillId="0" borderId="7" xfId="2" applyNumberFormat="1" applyFont="1" applyFill="1" applyBorder="1" applyAlignment="1">
      <alignment vertical="center"/>
    </xf>
    <xf numFmtId="167" fontId="45" fillId="6" borderId="7" xfId="2" applyNumberFormat="1" applyFont="1" applyFill="1" applyBorder="1" applyAlignment="1">
      <alignment vertical="center"/>
    </xf>
    <xf numFmtId="167" fontId="44" fillId="0" borderId="7" xfId="2" applyNumberFormat="1" applyFont="1" applyFill="1" applyBorder="1" applyAlignment="1">
      <alignment vertical="center"/>
    </xf>
    <xf numFmtId="167" fontId="52" fillId="6" borderId="7" xfId="2" applyNumberFormat="1" applyFont="1" applyFill="1" applyBorder="1" applyAlignment="1">
      <alignment vertical="center"/>
    </xf>
    <xf numFmtId="167" fontId="20" fillId="0" borderId="7" xfId="2" applyNumberFormat="1" applyFont="1" applyFill="1" applyBorder="1" applyAlignment="1">
      <alignment vertical="center"/>
    </xf>
    <xf numFmtId="167" fontId="49" fillId="6" borderId="7" xfId="2" applyNumberFormat="1" applyFont="1" applyFill="1" applyBorder="1" applyAlignment="1">
      <alignment vertical="center"/>
    </xf>
    <xf numFmtId="167" fontId="50" fillId="6" borderId="7" xfId="2" applyNumberFormat="1" applyFont="1" applyFill="1" applyBorder="1" applyAlignment="1">
      <alignment vertical="center"/>
    </xf>
    <xf numFmtId="167" fontId="51" fillId="0" borderId="7" xfId="2" applyNumberFormat="1" applyFont="1" applyFill="1" applyBorder="1" applyAlignment="1">
      <alignment vertical="center"/>
    </xf>
    <xf numFmtId="167" fontId="24" fillId="0" borderId="7" xfId="2" applyNumberFormat="1" applyFont="1" applyBorder="1" applyAlignment="1">
      <alignment vertical="center"/>
    </xf>
    <xf numFmtId="167" fontId="23" fillId="0" borderId="7" xfId="2" applyNumberFormat="1" applyFont="1" applyBorder="1" applyAlignment="1">
      <alignment vertical="center"/>
    </xf>
    <xf numFmtId="167" fontId="52" fillId="0" borderId="7" xfId="2" applyNumberFormat="1" applyFont="1" applyBorder="1" applyAlignment="1">
      <alignment vertical="center"/>
    </xf>
    <xf numFmtId="167" fontId="20" fillId="0" borderId="7" xfId="2" applyNumberFormat="1" applyFont="1" applyBorder="1" applyAlignment="1">
      <alignment vertical="center"/>
    </xf>
    <xf numFmtId="167" fontId="61" fillId="6" borderId="7" xfId="2" applyNumberFormat="1" applyFont="1" applyFill="1" applyBorder="1" applyAlignment="1">
      <alignment vertical="center"/>
    </xf>
    <xf numFmtId="167" fontId="43" fillId="0" borderId="7" xfId="2" applyNumberFormat="1" applyFont="1" applyBorder="1" applyAlignment="1">
      <alignment vertical="center"/>
    </xf>
    <xf numFmtId="167" fontId="42" fillId="0" borderId="7" xfId="2" applyNumberFormat="1" applyFont="1" applyBorder="1" applyAlignment="1">
      <alignment vertical="center"/>
    </xf>
    <xf numFmtId="167" fontId="45" fillId="0" borderId="7" xfId="2" applyNumberFormat="1" applyFont="1" applyBorder="1" applyAlignment="1">
      <alignment vertical="center"/>
    </xf>
    <xf numFmtId="167" fontId="44" fillId="0" borderId="7" xfId="2" applyNumberFormat="1" applyFont="1" applyBorder="1" applyAlignment="1">
      <alignment vertical="center"/>
    </xf>
    <xf numFmtId="167" fontId="33" fillId="6" borderId="7" xfId="2" applyNumberFormat="1" applyFont="1" applyFill="1" applyBorder="1" applyAlignment="1">
      <alignment vertical="center"/>
    </xf>
    <xf numFmtId="167" fontId="58" fillId="6" borderId="7" xfId="2" applyNumberFormat="1" applyFont="1" applyFill="1" applyBorder="1" applyAlignment="1">
      <alignment vertical="center"/>
    </xf>
    <xf numFmtId="167" fontId="33" fillId="0" borderId="7" xfId="2" applyNumberFormat="1" applyFont="1" applyBorder="1" applyAlignment="1">
      <alignment vertical="center"/>
    </xf>
    <xf numFmtId="167" fontId="32" fillId="0" borderId="7" xfId="2" applyNumberFormat="1" applyFont="1" applyBorder="1" applyAlignment="1">
      <alignment vertical="center"/>
    </xf>
    <xf numFmtId="167" fontId="51" fillId="0" borderId="7" xfId="2" applyNumberFormat="1" applyFont="1" applyBorder="1" applyAlignment="1">
      <alignment vertical="center"/>
    </xf>
    <xf numFmtId="0" fontId="2" fillId="0" borderId="0" xfId="0" applyFont="1" applyAlignment="1">
      <alignment vertical="top"/>
    </xf>
    <xf numFmtId="0" fontId="1" fillId="0" borderId="0" xfId="0" applyFont="1" applyAlignment="1">
      <alignment horizontal="center" vertical="center"/>
    </xf>
    <xf numFmtId="43" fontId="32" fillId="13" borderId="7" xfId="2" applyFont="1" applyFill="1" applyBorder="1" applyAlignment="1">
      <alignment vertical="center"/>
    </xf>
    <xf numFmtId="43" fontId="42" fillId="13" borderId="7" xfId="2" applyFont="1" applyFill="1" applyBorder="1" applyAlignment="1">
      <alignment vertical="center"/>
    </xf>
    <xf numFmtId="43" fontId="44" fillId="13" borderId="7" xfId="2" applyFont="1" applyFill="1" applyBorder="1" applyAlignment="1">
      <alignment vertical="center"/>
    </xf>
    <xf numFmtId="43" fontId="46" fillId="13" borderId="7" xfId="2" applyFont="1" applyFill="1" applyBorder="1" applyAlignment="1">
      <alignment vertical="center"/>
    </xf>
    <xf numFmtId="43" fontId="48" fillId="13" borderId="7" xfId="2" applyFont="1" applyFill="1" applyBorder="1" applyAlignment="1">
      <alignment vertical="center"/>
    </xf>
    <xf numFmtId="166" fontId="0" fillId="0" borderId="0" xfId="3" applyNumberFormat="1" applyFont="1" applyAlignment="1">
      <alignment horizontal="center"/>
    </xf>
    <xf numFmtId="172" fontId="12" fillId="0" borderId="0" xfId="0" applyNumberFormat="1" applyFont="1" applyAlignment="1">
      <alignment vertical="center"/>
    </xf>
    <xf numFmtId="0" fontId="67" fillId="0" borderId="0" xfId="0" applyFont="1" applyAlignment="1">
      <alignment horizontal="right" vertical="center"/>
    </xf>
    <xf numFmtId="167" fontId="26" fillId="12" borderId="7" xfId="2" applyNumberFormat="1" applyFont="1" applyFill="1" applyBorder="1" applyAlignment="1">
      <alignment vertical="center"/>
    </xf>
    <xf numFmtId="167" fontId="26" fillId="12" borderId="7" xfId="3" applyNumberFormat="1" applyFont="1" applyFill="1" applyBorder="1" applyAlignment="1">
      <alignment vertical="center"/>
    </xf>
    <xf numFmtId="167" fontId="12" fillId="0" borderId="0" xfId="0" applyNumberFormat="1" applyFont="1" applyAlignment="1">
      <alignment vertical="center"/>
    </xf>
    <xf numFmtId="167" fontId="0" fillId="0" borderId="0" xfId="0" applyNumberFormat="1" applyAlignment="1">
      <alignment vertical="center"/>
    </xf>
    <xf numFmtId="171" fontId="26" fillId="0" borderId="0" xfId="0" applyNumberFormat="1" applyFont="1" applyAlignment="1">
      <alignment horizontal="right" vertical="center"/>
    </xf>
    <xf numFmtId="166" fontId="0" fillId="0" borderId="0" xfId="3" applyNumberFormat="1" applyFont="1" applyAlignment="1">
      <alignment vertical="center"/>
    </xf>
    <xf numFmtId="0" fontId="57" fillId="13" borderId="7" xfId="0" applyFont="1" applyFill="1" applyBorder="1" applyAlignment="1">
      <alignment horizontal="center" vertical="center"/>
    </xf>
    <xf numFmtId="43" fontId="2" fillId="13" borderId="18" xfId="2" applyFont="1" applyFill="1" applyBorder="1" applyAlignment="1">
      <alignment vertical="center"/>
    </xf>
    <xf numFmtId="0" fontId="2" fillId="22" borderId="7" xfId="0" applyFont="1" applyFill="1" applyBorder="1" applyAlignment="1">
      <alignment horizontal="center" vertical="center"/>
    </xf>
    <xf numFmtId="43" fontId="2" fillId="22" borderId="7" xfId="2" applyFont="1" applyFill="1" applyBorder="1" applyAlignment="1">
      <alignment vertical="center"/>
    </xf>
    <xf numFmtId="9" fontId="2" fillId="22" borderId="7" xfId="3" applyFont="1" applyFill="1" applyBorder="1" applyAlignment="1">
      <alignment vertical="center"/>
    </xf>
    <xf numFmtId="166" fontId="2" fillId="22" borderId="7" xfId="3" applyNumberFormat="1" applyFont="1" applyFill="1" applyBorder="1" applyAlignment="1">
      <alignment vertical="center"/>
    </xf>
    <xf numFmtId="0" fontId="68" fillId="0" borderId="0" xfId="0" applyFont="1" applyAlignment="1">
      <alignment vertical="center"/>
    </xf>
    <xf numFmtId="168" fontId="2" fillId="11" borderId="19" xfId="2" applyNumberFormat="1" applyFont="1" applyFill="1" applyBorder="1" applyAlignment="1">
      <alignment vertical="center"/>
    </xf>
    <xf numFmtId="168" fontId="2" fillId="11" borderId="4" xfId="3" applyNumberFormat="1" applyFont="1" applyFill="1" applyBorder="1" applyAlignment="1">
      <alignment vertical="center"/>
    </xf>
    <xf numFmtId="168" fontId="2" fillId="13" borderId="4" xfId="2" applyNumberFormat="1" applyFont="1" applyFill="1" applyBorder="1" applyAlignment="1">
      <alignment vertical="center"/>
    </xf>
    <xf numFmtId="43" fontId="0" fillId="0" borderId="0" xfId="0" applyNumberFormat="1" applyAlignment="1">
      <alignment horizontal="center" vertical="center"/>
    </xf>
    <xf numFmtId="0" fontId="28" fillId="20" borderId="20" xfId="0" applyFont="1" applyFill="1" applyBorder="1" applyAlignment="1">
      <alignment horizontal="center"/>
    </xf>
    <xf numFmtId="168" fontId="12" fillId="0" borderId="0" xfId="0" applyNumberFormat="1" applyFont="1" applyAlignment="1">
      <alignment vertical="center"/>
    </xf>
    <xf numFmtId="166" fontId="12" fillId="0" borderId="0" xfId="3" applyNumberFormat="1" applyFont="1" applyFill="1" applyAlignment="1">
      <alignment vertical="center"/>
    </xf>
    <xf numFmtId="167" fontId="73" fillId="0" borderId="0" xfId="0" applyNumberFormat="1" applyFont="1" applyAlignment="1">
      <alignment vertical="center"/>
    </xf>
    <xf numFmtId="166" fontId="73" fillId="0" borderId="0" xfId="3" applyNumberFormat="1" applyFont="1" applyAlignment="1">
      <alignment horizontal="center" vertical="center"/>
    </xf>
    <xf numFmtId="168" fontId="0" fillId="0" borderId="0" xfId="0" applyNumberFormat="1" applyAlignment="1">
      <alignment horizontal="center" vertical="center"/>
    </xf>
    <xf numFmtId="168" fontId="19" fillId="0" borderId="0" xfId="0" applyNumberFormat="1" applyFont="1" applyAlignment="1">
      <alignment horizontal="center" vertical="center"/>
    </xf>
    <xf numFmtId="166" fontId="0" fillId="0" borderId="0" xfId="3" applyNumberFormat="1" applyFont="1" applyAlignment="1">
      <alignment horizontal="center" vertical="center"/>
    </xf>
    <xf numFmtId="167" fontId="12" fillId="0" borderId="0" xfId="2" applyNumberFormat="1" applyFont="1" applyAlignment="1">
      <alignment horizontal="left" vertical="center"/>
    </xf>
    <xf numFmtId="166" fontId="67" fillId="0" borderId="0" xfId="3" applyNumberFormat="1" applyFont="1" applyAlignment="1">
      <alignment horizontal="right" vertical="center"/>
    </xf>
    <xf numFmtId="167" fontId="19" fillId="0" borderId="0" xfId="0" applyNumberFormat="1" applyFont="1" applyAlignment="1">
      <alignment vertical="center"/>
    </xf>
    <xf numFmtId="168" fontId="73" fillId="0" borderId="0" xfId="3" applyNumberFormat="1" applyFont="1" applyAlignment="1">
      <alignment horizontal="center" vertical="center"/>
    </xf>
    <xf numFmtId="43" fontId="20" fillId="0" borderId="7" xfId="0" applyNumberFormat="1" applyFont="1" applyBorder="1" applyAlignment="1">
      <alignment vertical="center"/>
    </xf>
    <xf numFmtId="43" fontId="0" fillId="23" borderId="7" xfId="2" applyFont="1" applyFill="1" applyBorder="1" applyAlignment="1">
      <alignment vertical="center"/>
    </xf>
    <xf numFmtId="0" fontId="2" fillId="13" borderId="18" xfId="0" applyFont="1" applyFill="1" applyBorder="1" applyAlignment="1">
      <alignment horizontal="left" vertical="center"/>
    </xf>
    <xf numFmtId="0" fontId="2" fillId="13" borderId="19" xfId="0" applyFont="1" applyFill="1" applyBorder="1" applyAlignment="1">
      <alignment horizontal="left" vertical="center"/>
    </xf>
    <xf numFmtId="0" fontId="2" fillId="6" borderId="18" xfId="0" applyFont="1" applyFill="1" applyBorder="1" applyAlignment="1">
      <alignment horizontal="left" vertical="center"/>
    </xf>
    <xf numFmtId="0" fontId="2" fillId="6" borderId="19" xfId="0" applyFont="1" applyFill="1" applyBorder="1" applyAlignment="1">
      <alignment horizontal="left" vertical="center"/>
    </xf>
    <xf numFmtId="0" fontId="2" fillId="11" borderId="6" xfId="0" applyFont="1" applyFill="1" applyBorder="1" applyAlignment="1">
      <alignment horizontal="center" vertical="center"/>
    </xf>
    <xf numFmtId="0" fontId="2" fillId="11" borderId="23" xfId="0" applyFont="1" applyFill="1" applyBorder="1" applyAlignment="1">
      <alignment horizontal="center" vertical="center"/>
    </xf>
    <xf numFmtId="0" fontId="2" fillId="11" borderId="1" xfId="0" applyFont="1" applyFill="1" applyBorder="1" applyAlignment="1">
      <alignment horizontal="center" vertical="center"/>
    </xf>
    <xf numFmtId="0" fontId="9" fillId="24" borderId="3" xfId="0" applyFont="1" applyFill="1" applyBorder="1" applyAlignment="1">
      <alignment horizontal="center" vertical="center"/>
    </xf>
    <xf numFmtId="0" fontId="6" fillId="17" borderId="1" xfId="0" applyFont="1" applyFill="1" applyBorder="1" applyAlignment="1">
      <alignment horizontal="center" vertical="center" wrapText="1"/>
    </xf>
    <xf numFmtId="0" fontId="75" fillId="0" borderId="0" xfId="0" applyFont="1"/>
    <xf numFmtId="0" fontId="76" fillId="0" borderId="0" xfId="0" applyFont="1" applyAlignment="1">
      <alignment horizontal="center" vertical="center" wrapText="1"/>
    </xf>
    <xf numFmtId="0" fontId="76" fillId="0" borderId="0" xfId="0" applyFont="1" applyAlignment="1">
      <alignment horizontal="right" vertical="center" wrapText="1"/>
    </xf>
    <xf numFmtId="0" fontId="77" fillId="0" borderId="0" xfId="0" applyFont="1"/>
    <xf numFmtId="0" fontId="78" fillId="0" borderId="0" xfId="0" applyFont="1" applyAlignment="1">
      <alignment horizontal="right"/>
    </xf>
    <xf numFmtId="0" fontId="78" fillId="0" borderId="0" xfId="0" applyFont="1" applyAlignment="1">
      <alignment horizontal="center"/>
    </xf>
    <xf numFmtId="0" fontId="0" fillId="0" borderId="0" xfId="0" applyAlignment="1">
      <alignment wrapText="1"/>
    </xf>
    <xf numFmtId="173" fontId="0" fillId="0" borderId="0" xfId="0" applyNumberFormat="1"/>
    <xf numFmtId="169" fontId="0" fillId="0" borderId="0" xfId="2" applyNumberFormat="1" applyFont="1"/>
    <xf numFmtId="173" fontId="0" fillId="33" borderId="0" xfId="0" applyNumberFormat="1" applyFill="1"/>
    <xf numFmtId="14" fontId="0" fillId="33" borderId="0" xfId="0" applyNumberFormat="1" applyFill="1"/>
    <xf numFmtId="1" fontId="0" fillId="33" borderId="0" xfId="0" applyNumberFormat="1" applyFill="1"/>
    <xf numFmtId="0" fontId="0" fillId="33" borderId="0" xfId="0" applyFill="1"/>
    <xf numFmtId="169" fontId="0" fillId="0" borderId="0" xfId="0" applyNumberFormat="1"/>
    <xf numFmtId="0" fontId="79" fillId="0" borderId="0" xfId="0" applyFont="1" applyAlignment="1">
      <alignment vertical="center"/>
    </xf>
    <xf numFmtId="0" fontId="30" fillId="0" borderId="12" xfId="0" applyFont="1" applyBorder="1" applyAlignment="1">
      <alignment horizontal="right" vertical="center"/>
    </xf>
    <xf numFmtId="0" fontId="2" fillId="6" borderId="1" xfId="0" applyFont="1" applyFill="1" applyBorder="1" applyAlignment="1">
      <alignment horizontal="center" vertical="center" wrapText="1"/>
    </xf>
    <xf numFmtId="1" fontId="12" fillId="0" borderId="0" xfId="0" applyNumberFormat="1" applyFont="1" applyAlignment="1">
      <alignment vertical="center"/>
    </xf>
    <xf numFmtId="166" fontId="12" fillId="0" borderId="0" xfId="3" applyNumberFormat="1" applyFont="1" applyAlignment="1">
      <alignment vertical="center"/>
    </xf>
    <xf numFmtId="168" fontId="26" fillId="0" borderId="0" xfId="0" applyNumberFormat="1" applyFont="1" applyAlignment="1">
      <alignment horizontal="right" vertical="center"/>
    </xf>
    <xf numFmtId="166" fontId="26" fillId="0" borderId="0" xfId="3" applyNumberFormat="1" applyFont="1" applyFill="1" applyAlignment="1">
      <alignment horizontal="right" vertical="center"/>
    </xf>
    <xf numFmtId="168" fontId="67" fillId="0" borderId="0" xfId="0" applyNumberFormat="1" applyFont="1" applyAlignment="1">
      <alignment horizontal="right" vertical="center"/>
    </xf>
    <xf numFmtId="167" fontId="0" fillId="0" borderId="0" xfId="0" applyNumberFormat="1"/>
    <xf numFmtId="9" fontId="20" fillId="0" borderId="0" xfId="3" applyFont="1" applyAlignment="1">
      <alignment vertical="center"/>
    </xf>
    <xf numFmtId="43" fontId="19" fillId="0" borderId="0" xfId="0" applyNumberFormat="1" applyFont="1" applyAlignment="1">
      <alignment vertical="center"/>
    </xf>
    <xf numFmtId="166" fontId="0" fillId="0" borderId="0" xfId="3" applyNumberFormat="1" applyFont="1"/>
    <xf numFmtId="166" fontId="0" fillId="0" borderId="0" xfId="3" applyNumberFormat="1" applyFont="1" applyFill="1" applyAlignment="1">
      <alignment vertical="center"/>
    </xf>
    <xf numFmtId="167" fontId="30" fillId="0" borderId="0" xfId="0" applyNumberFormat="1" applyFont="1" applyAlignment="1">
      <alignment vertical="center"/>
    </xf>
    <xf numFmtId="166" fontId="20" fillId="0" borderId="0" xfId="3" applyNumberFormat="1" applyFont="1" applyAlignment="1">
      <alignment vertical="center"/>
    </xf>
    <xf numFmtId="3" fontId="30" fillId="0" borderId="12" xfId="0" applyNumberFormat="1" applyFont="1" applyBorder="1" applyAlignment="1">
      <alignment horizontal="center" vertical="center"/>
    </xf>
    <xf numFmtId="168" fontId="30" fillId="0" borderId="12" xfId="0" applyNumberFormat="1" applyFont="1" applyBorder="1" applyAlignment="1">
      <alignment horizontal="center" vertical="center"/>
    </xf>
    <xf numFmtId="166" fontId="73" fillId="0" borderId="0" xfId="3" applyNumberFormat="1" applyFont="1" applyFill="1" applyAlignment="1">
      <alignment horizontal="center" vertical="center"/>
    </xf>
    <xf numFmtId="0" fontId="2" fillId="0" borderId="3" xfId="0" applyFont="1" applyBorder="1" applyAlignment="1">
      <alignment horizontal="center" vertical="center"/>
    </xf>
    <xf numFmtId="0" fontId="2" fillId="0" borderId="3" xfId="0" applyFont="1" applyBorder="1" applyAlignment="1">
      <alignment horizontal="left" vertical="center"/>
    </xf>
    <xf numFmtId="167" fontId="2" fillId="0" borderId="3" xfId="2" applyNumberFormat="1" applyFont="1" applyFill="1" applyBorder="1" applyAlignment="1">
      <alignment vertical="center"/>
    </xf>
    <xf numFmtId="166" fontId="2" fillId="0" borderId="3" xfId="3" applyNumberFormat="1" applyFont="1" applyFill="1" applyBorder="1" applyAlignment="1">
      <alignment horizontal="center"/>
    </xf>
    <xf numFmtId="166" fontId="2" fillId="0" borderId="3" xfId="3" applyNumberFormat="1" applyFont="1" applyFill="1" applyBorder="1" applyAlignment="1"/>
    <xf numFmtId="10" fontId="0" fillId="0" borderId="0" xfId="3" applyNumberFormat="1" applyFont="1" applyFill="1" applyAlignment="1">
      <alignment vertical="center"/>
    </xf>
    <xf numFmtId="166" fontId="73" fillId="0" borderId="0" xfId="3" applyNumberFormat="1" applyFont="1" applyAlignment="1">
      <alignment vertical="center"/>
    </xf>
    <xf numFmtId="10" fontId="0" fillId="0" borderId="0" xfId="3" applyNumberFormat="1" applyFont="1" applyAlignment="1">
      <alignment vertical="center"/>
    </xf>
    <xf numFmtId="0" fontId="0" fillId="23" borderId="0" xfId="0" applyFill="1" applyAlignment="1">
      <alignment vertical="center"/>
    </xf>
    <xf numFmtId="171" fontId="0" fillId="23" borderId="0" xfId="0" applyNumberFormat="1" applyFill="1" applyAlignment="1">
      <alignment vertical="center"/>
    </xf>
    <xf numFmtId="171" fontId="0" fillId="0" borderId="0" xfId="0" applyNumberFormat="1" applyAlignment="1">
      <alignment vertical="center"/>
    </xf>
    <xf numFmtId="2" fontId="68" fillId="0" borderId="0" xfId="0" applyNumberFormat="1" applyFont="1" applyAlignment="1">
      <alignment vertical="center"/>
    </xf>
    <xf numFmtId="167" fontId="2" fillId="0" borderId="0" xfId="0" applyNumberFormat="1" applyFont="1" applyAlignment="1">
      <alignment horizontal="right" vertical="center"/>
    </xf>
    <xf numFmtId="166" fontId="2" fillId="0" borderId="0" xfId="3" applyNumberFormat="1" applyFont="1" applyBorder="1" applyAlignment="1">
      <alignment horizontal="right" vertical="center"/>
    </xf>
    <xf numFmtId="168" fontId="80" fillId="0" borderId="0" xfId="3" applyNumberFormat="1" applyFont="1"/>
    <xf numFmtId="166" fontId="80" fillId="0" borderId="0" xfId="0" applyNumberFormat="1" applyFont="1" applyAlignment="1">
      <alignment horizontal="center" vertical="center"/>
    </xf>
    <xf numFmtId="166" fontId="0" fillId="0" borderId="0" xfId="3" applyNumberFormat="1" applyFont="1" applyFill="1" applyBorder="1" applyAlignment="1">
      <alignment vertical="center"/>
    </xf>
    <xf numFmtId="0" fontId="0" fillId="0" borderId="0" xfId="0" applyAlignment="1">
      <alignment horizontal="left" indent="1"/>
    </xf>
    <xf numFmtId="0" fontId="0" fillId="0" borderId="0" xfId="0" pivotButton="1" applyAlignment="1">
      <alignment horizontal="center" vertical="center" wrapText="1"/>
    </xf>
    <xf numFmtId="0" fontId="0" fillId="22" borderId="0" xfId="0" applyFill="1" applyAlignment="1">
      <alignment horizontal="center" vertical="center" wrapText="1"/>
    </xf>
    <xf numFmtId="0" fontId="0" fillId="29" borderId="0" xfId="0" applyFill="1" applyAlignment="1">
      <alignment horizontal="center" vertical="center" wrapText="1"/>
    </xf>
    <xf numFmtId="0" fontId="0" fillId="13" borderId="0" xfId="0" applyFill="1" applyAlignment="1">
      <alignment horizontal="center" vertical="center" wrapText="1"/>
    </xf>
    <xf numFmtId="169" fontId="0" fillId="22" borderId="0" xfId="0" applyNumberFormat="1" applyFill="1" applyAlignment="1">
      <alignment horizontal="center" vertical="center"/>
    </xf>
    <xf numFmtId="169" fontId="0" fillId="29" borderId="0" xfId="0" applyNumberFormat="1" applyFill="1" applyAlignment="1">
      <alignment horizontal="center" vertical="center"/>
    </xf>
    <xf numFmtId="169" fontId="0" fillId="13" borderId="0" xfId="0" applyNumberFormat="1" applyFill="1" applyAlignment="1">
      <alignment horizontal="center" vertical="center"/>
    </xf>
    <xf numFmtId="0" fontId="0" fillId="30" borderId="0" xfId="0" applyFill="1" applyAlignment="1">
      <alignment vertical="center"/>
    </xf>
    <xf numFmtId="0" fontId="0" fillId="24" borderId="0" xfId="0" applyFill="1" applyAlignment="1">
      <alignment vertical="center"/>
    </xf>
    <xf numFmtId="169" fontId="0" fillId="24" borderId="0" xfId="0" applyNumberFormat="1" applyFill="1" applyAlignment="1">
      <alignment horizontal="center" vertical="center"/>
    </xf>
    <xf numFmtId="0" fontId="0" fillId="0" borderId="0" xfId="0" pivotButton="1" applyAlignment="1">
      <alignment horizontal="center" vertical="center"/>
    </xf>
    <xf numFmtId="0" fontId="0" fillId="0" borderId="0" xfId="0" pivotButton="1" applyAlignment="1">
      <alignment vertical="center"/>
    </xf>
    <xf numFmtId="43" fontId="0" fillId="22" borderId="0" xfId="0" applyNumberFormat="1" applyFill="1" applyAlignment="1">
      <alignment horizontal="center" vertical="center" wrapText="1"/>
    </xf>
    <xf numFmtId="43" fontId="0" fillId="22" borderId="0" xfId="0" applyNumberFormat="1" applyFill="1" applyAlignment="1">
      <alignment horizontal="center" vertical="center"/>
    </xf>
    <xf numFmtId="43" fontId="0" fillId="24" borderId="0" xfId="0" applyNumberFormat="1" applyFill="1" applyAlignment="1">
      <alignment horizontal="center" vertical="center"/>
    </xf>
    <xf numFmtId="43" fontId="0" fillId="29" borderId="0" xfId="0" applyNumberFormat="1" applyFill="1" applyAlignment="1">
      <alignment horizontal="center" vertical="center" wrapText="1"/>
    </xf>
    <xf numFmtId="43" fontId="0" fillId="29" borderId="0" xfId="0" applyNumberFormat="1" applyFill="1" applyAlignment="1">
      <alignment horizontal="center" vertical="center"/>
    </xf>
    <xf numFmtId="43" fontId="0" fillId="13" borderId="0" xfId="0" applyNumberFormat="1" applyFill="1" applyAlignment="1">
      <alignment horizontal="center" vertical="center" wrapText="1"/>
    </xf>
    <xf numFmtId="43" fontId="0" fillId="13" borderId="0" xfId="0" applyNumberFormat="1" applyFill="1" applyAlignment="1">
      <alignment horizontal="center" vertical="center"/>
    </xf>
    <xf numFmtId="167" fontId="0" fillId="30" borderId="0" xfId="0" applyNumberFormat="1" applyFill="1" applyAlignment="1">
      <alignment horizontal="center" vertical="center"/>
    </xf>
    <xf numFmtId="0" fontId="0" fillId="0" borderId="0" xfId="0" pivotButton="1"/>
    <xf numFmtId="0" fontId="24" fillId="6" borderId="4" xfId="0" applyFont="1" applyFill="1" applyBorder="1" applyAlignment="1">
      <alignment horizontal="left" vertical="center"/>
    </xf>
    <xf numFmtId="0" fontId="23" fillId="0" borderId="19" xfId="0" applyFont="1" applyBorder="1" applyAlignment="1">
      <alignment horizontal="center" vertical="center"/>
    </xf>
    <xf numFmtId="0" fontId="44" fillId="0" borderId="19" xfId="0" applyFont="1" applyBorder="1" applyAlignment="1">
      <alignment horizontal="left" vertical="center"/>
    </xf>
    <xf numFmtId="0" fontId="45" fillId="6" borderId="4" xfId="0" applyFont="1" applyFill="1" applyBorder="1" applyAlignment="1">
      <alignment horizontal="left" vertical="center"/>
    </xf>
    <xf numFmtId="0" fontId="46" fillId="0" borderId="19" xfId="0" applyFont="1" applyBorder="1" applyAlignment="1">
      <alignment horizontal="left" vertical="center"/>
    </xf>
    <xf numFmtId="0" fontId="52" fillId="6" borderId="4" xfId="0" applyFont="1" applyFill="1" applyBorder="1" applyAlignment="1">
      <alignment horizontal="left" vertical="center"/>
    </xf>
    <xf numFmtId="0" fontId="20" fillId="0" borderId="19" xfId="0" applyFont="1" applyBorder="1" applyAlignment="1">
      <alignment horizontal="left" vertical="center"/>
    </xf>
    <xf numFmtId="0" fontId="48" fillId="0" borderId="19" xfId="0" applyFont="1" applyBorder="1" applyAlignment="1">
      <alignment horizontal="left" vertical="center"/>
    </xf>
    <xf numFmtId="0" fontId="49" fillId="6" borderId="4" xfId="0" applyFont="1" applyFill="1" applyBorder="1" applyAlignment="1">
      <alignment horizontal="left" vertical="center"/>
    </xf>
    <xf numFmtId="0" fontId="32" fillId="0" borderId="19" xfId="0" applyFont="1" applyBorder="1" applyAlignment="1">
      <alignment horizontal="left" vertical="center"/>
    </xf>
    <xf numFmtId="0" fontId="33" fillId="6" borderId="4" xfId="0" applyFont="1" applyFill="1" applyBorder="1" applyAlignment="1">
      <alignment horizontal="left" vertical="center"/>
    </xf>
    <xf numFmtId="0" fontId="33" fillId="0" borderId="0" xfId="0" applyFont="1" applyAlignment="1">
      <alignment vertical="center" textRotation="45"/>
    </xf>
    <xf numFmtId="43" fontId="2" fillId="13" borderId="7" xfId="2" applyFont="1" applyFill="1" applyBorder="1" applyAlignment="1">
      <alignment horizontal="center" vertical="center"/>
    </xf>
    <xf numFmtId="43" fontId="17" fillId="6" borderId="7" xfId="2" applyFont="1" applyFill="1" applyBorder="1" applyAlignment="1">
      <alignment horizontal="center" vertical="center"/>
    </xf>
    <xf numFmtId="167" fontId="2" fillId="0" borderId="0" xfId="0" applyNumberFormat="1" applyFont="1"/>
    <xf numFmtId="166" fontId="2" fillId="0" borderId="0" xfId="3" applyNumberFormat="1" applyFont="1"/>
    <xf numFmtId="2" fontId="80" fillId="0" borderId="0" xfId="3" applyNumberFormat="1" applyFont="1" applyAlignment="1">
      <alignment horizontal="center" vertical="center"/>
    </xf>
    <xf numFmtId="166" fontId="80" fillId="0" borderId="0" xfId="3" applyNumberFormat="1" applyFont="1" applyAlignment="1">
      <alignment horizontal="center" vertical="center"/>
    </xf>
    <xf numFmtId="43" fontId="80" fillId="0" borderId="0" xfId="0" applyNumberFormat="1" applyFont="1" applyAlignment="1">
      <alignment horizontal="center" vertical="center"/>
    </xf>
    <xf numFmtId="9" fontId="80" fillId="0" borderId="0" xfId="3" applyFont="1" applyAlignment="1">
      <alignment horizontal="center" vertical="center"/>
    </xf>
    <xf numFmtId="168" fontId="80" fillId="0" borderId="0" xfId="0" applyNumberFormat="1" applyFont="1" applyAlignment="1">
      <alignment horizontal="center" vertical="center"/>
    </xf>
    <xf numFmtId="168" fontId="80" fillId="0" borderId="0" xfId="3" applyNumberFormat="1" applyFont="1" applyAlignment="1">
      <alignment horizontal="center" vertical="center"/>
    </xf>
    <xf numFmtId="167" fontId="80" fillId="0" borderId="0" xfId="0" applyNumberFormat="1" applyFont="1" applyAlignment="1">
      <alignment horizontal="center" vertical="center"/>
    </xf>
    <xf numFmtId="2" fontId="81" fillId="0" borderId="0" xfId="3" applyNumberFormat="1" applyFont="1" applyFill="1" applyBorder="1" applyAlignment="1">
      <alignment horizontal="center"/>
    </xf>
    <xf numFmtId="166" fontId="2" fillId="11" borderId="18" xfId="3" applyNumberFormat="1" applyFont="1" applyFill="1" applyBorder="1" applyAlignment="1">
      <alignment horizontal="center" vertical="center"/>
    </xf>
    <xf numFmtId="166" fontId="2" fillId="13" borderId="18" xfId="3" applyNumberFormat="1" applyFont="1" applyFill="1" applyBorder="1" applyAlignment="1">
      <alignment horizontal="center" vertical="center"/>
    </xf>
    <xf numFmtId="0" fontId="2" fillId="13" borderId="6" xfId="0" applyFont="1" applyFill="1" applyBorder="1" applyAlignment="1">
      <alignment horizontal="center" vertical="center"/>
    </xf>
    <xf numFmtId="167" fontId="2" fillId="13" borderId="6" xfId="2" applyNumberFormat="1" applyFont="1" applyFill="1" applyBorder="1" applyAlignment="1">
      <alignment vertical="center"/>
    </xf>
    <xf numFmtId="168" fontId="2" fillId="13" borderId="2" xfId="2" applyNumberFormat="1" applyFont="1" applyFill="1" applyBorder="1" applyAlignment="1">
      <alignment vertical="center"/>
    </xf>
    <xf numFmtId="167" fontId="2" fillId="0" borderId="0" xfId="2" applyNumberFormat="1" applyFont="1" applyFill="1" applyBorder="1" applyAlignment="1">
      <alignment vertical="center"/>
    </xf>
    <xf numFmtId="168" fontId="2" fillId="0" borderId="0" xfId="2" applyNumberFormat="1" applyFont="1" applyFill="1" applyBorder="1" applyAlignment="1">
      <alignment vertical="center"/>
    </xf>
    <xf numFmtId="166" fontId="2" fillId="11" borderId="7" xfId="3" applyNumberFormat="1" applyFont="1" applyFill="1" applyBorder="1" applyAlignment="1">
      <alignment horizontal="center" vertical="center"/>
    </xf>
    <xf numFmtId="0" fontId="26" fillId="12" borderId="0" xfId="0" applyFont="1" applyFill="1" applyAlignment="1">
      <alignment horizontal="center" vertical="center"/>
    </xf>
    <xf numFmtId="0" fontId="27" fillId="12" borderId="0" xfId="0" applyFont="1" applyFill="1" applyAlignment="1">
      <alignment horizontal="left" vertical="center"/>
    </xf>
    <xf numFmtId="43" fontId="26" fillId="12" borderId="0" xfId="2" applyFont="1" applyFill="1" applyBorder="1" applyAlignment="1">
      <alignment vertical="center"/>
    </xf>
    <xf numFmtId="167" fontId="26" fillId="12" borderId="0" xfId="2" applyNumberFormat="1" applyFont="1" applyFill="1" applyBorder="1" applyAlignment="1">
      <alignment vertical="center"/>
    </xf>
    <xf numFmtId="167" fontId="26" fillId="12" borderId="0" xfId="3" applyNumberFormat="1" applyFont="1" applyFill="1" applyBorder="1" applyAlignment="1">
      <alignment vertical="center"/>
    </xf>
    <xf numFmtId="166" fontId="26" fillId="12" borderId="0" xfId="3" applyNumberFormat="1" applyFont="1" applyFill="1" applyBorder="1" applyAlignment="1">
      <alignment vertical="center"/>
    </xf>
    <xf numFmtId="0" fontId="26" fillId="12" borderId="6" xfId="0" applyFont="1" applyFill="1" applyBorder="1" applyAlignment="1">
      <alignment horizontal="center" vertical="center"/>
    </xf>
    <xf numFmtId="0" fontId="27" fillId="12" borderId="6" xfId="0" applyFont="1" applyFill="1" applyBorder="1" applyAlignment="1">
      <alignment horizontal="left" vertical="center"/>
    </xf>
    <xf numFmtId="43" fontId="26" fillId="12" borderId="6" xfId="2" applyFont="1" applyFill="1" applyBorder="1" applyAlignment="1">
      <alignment vertical="center"/>
    </xf>
    <xf numFmtId="167" fontId="26" fillId="12" borderId="6" xfId="2" applyNumberFormat="1" applyFont="1" applyFill="1" applyBorder="1" applyAlignment="1">
      <alignment vertical="center"/>
    </xf>
    <xf numFmtId="1" fontId="26" fillId="12" borderId="0" xfId="2" applyNumberFormat="1" applyFont="1" applyFill="1" applyBorder="1" applyAlignment="1">
      <alignment vertical="center"/>
    </xf>
    <xf numFmtId="0" fontId="2" fillId="11" borderId="7" xfId="0" applyFont="1" applyFill="1" applyBorder="1" applyAlignment="1">
      <alignment horizontal="left" vertical="top"/>
    </xf>
    <xf numFmtId="43" fontId="26" fillId="11" borderId="19" xfId="2" applyFont="1" applyFill="1" applyBorder="1" applyAlignment="1">
      <alignment vertical="center"/>
    </xf>
    <xf numFmtId="0" fontId="40" fillId="11" borderId="18" xfId="0" applyFont="1" applyFill="1" applyBorder="1" applyAlignment="1">
      <alignment horizontal="left" vertical="center"/>
    </xf>
    <xf numFmtId="0" fontId="40" fillId="0" borderId="0" xfId="0" applyFont="1" applyAlignment="1">
      <alignment horizontal="left" vertical="center"/>
    </xf>
    <xf numFmtId="43" fontId="26" fillId="0" borderId="0" xfId="2" applyFont="1" applyFill="1" applyBorder="1" applyAlignment="1">
      <alignment vertical="center"/>
    </xf>
    <xf numFmtId="0" fontId="93" fillId="0" borderId="0" xfId="0" applyFont="1" applyAlignment="1">
      <alignment horizontal="left" vertical="top"/>
    </xf>
    <xf numFmtId="0" fontId="6" fillId="0" borderId="0" xfId="0" applyFont="1" applyAlignment="1">
      <alignment vertical="center"/>
    </xf>
    <xf numFmtId="0" fontId="6" fillId="0" borderId="0" xfId="0" applyFont="1" applyAlignment="1">
      <alignment horizontal="center" vertical="center"/>
    </xf>
    <xf numFmtId="2" fontId="68" fillId="0" borderId="0" xfId="0" applyNumberFormat="1" applyFont="1" applyAlignment="1">
      <alignment horizontal="center" vertical="center"/>
    </xf>
    <xf numFmtId="2" fontId="6" fillId="0" borderId="0" xfId="0" applyNumberFormat="1" applyFont="1" applyAlignment="1">
      <alignment vertical="center"/>
    </xf>
    <xf numFmtId="2" fontId="6" fillId="0" borderId="0" xfId="0" applyNumberFormat="1" applyFont="1" applyAlignment="1">
      <alignment horizontal="center" vertical="center"/>
    </xf>
    <xf numFmtId="0" fontId="66" fillId="46" borderId="6" xfId="0" applyFont="1" applyFill="1" applyBorder="1" applyAlignment="1">
      <alignment horizontal="center" vertical="center" wrapText="1"/>
    </xf>
    <xf numFmtId="0" fontId="94" fillId="0" borderId="0" xfId="0" applyFont="1" applyAlignment="1">
      <alignment vertical="center"/>
    </xf>
    <xf numFmtId="167" fontId="95" fillId="11" borderId="7" xfId="2" applyNumberFormat="1" applyFont="1" applyFill="1" applyBorder="1" applyAlignment="1">
      <alignment vertical="center"/>
    </xf>
    <xf numFmtId="167" fontId="95" fillId="0" borderId="0" xfId="2" applyNumberFormat="1" applyFont="1" applyFill="1" applyBorder="1" applyAlignment="1">
      <alignment vertical="center"/>
    </xf>
    <xf numFmtId="2" fontId="73" fillId="0" borderId="0" xfId="3" applyNumberFormat="1" applyFont="1" applyAlignment="1">
      <alignment horizontal="center" vertical="center"/>
    </xf>
    <xf numFmtId="2" fontId="0" fillId="0" borderId="0" xfId="3" applyNumberFormat="1" applyFont="1" applyAlignment="1">
      <alignment vertical="center"/>
    </xf>
    <xf numFmtId="0" fontId="26" fillId="12" borderId="3" xfId="0" applyFont="1" applyFill="1" applyBorder="1" applyAlignment="1">
      <alignment horizontal="center" vertical="center"/>
    </xf>
    <xf numFmtId="43" fontId="26" fillId="12" borderId="3" xfId="2" applyFont="1" applyFill="1" applyBorder="1" applyAlignment="1">
      <alignment vertical="center"/>
    </xf>
    <xf numFmtId="0" fontId="0" fillId="0" borderId="3" xfId="0" applyBorder="1" applyAlignment="1">
      <alignment vertical="center"/>
    </xf>
    <xf numFmtId="1" fontId="26" fillId="12" borderId="3" xfId="2" applyNumberFormat="1" applyFont="1" applyFill="1" applyBorder="1" applyAlignment="1">
      <alignment vertical="center"/>
    </xf>
    <xf numFmtId="168" fontId="2" fillId="11" borderId="7" xfId="2" applyNumberFormat="1" applyFont="1" applyFill="1" applyBorder="1" applyAlignment="1">
      <alignment vertical="center"/>
    </xf>
    <xf numFmtId="0" fontId="7" fillId="15" borderId="0" xfId="0" applyFont="1" applyFill="1" applyAlignment="1">
      <alignment horizontal="center" vertical="center"/>
    </xf>
    <xf numFmtId="0" fontId="8" fillId="15" borderId="0" xfId="0" applyFont="1" applyFill="1" applyAlignment="1">
      <alignment horizontal="center" vertical="center"/>
    </xf>
    <xf numFmtId="0" fontId="0" fillId="23" borderId="7" xfId="0" applyFill="1" applyBorder="1" applyAlignment="1">
      <alignment horizontal="center" vertical="center"/>
    </xf>
    <xf numFmtId="0" fontId="0" fillId="23" borderId="7" xfId="0" applyFill="1" applyBorder="1" applyAlignment="1">
      <alignment horizontal="left" vertical="center" indent="4"/>
    </xf>
    <xf numFmtId="39" fontId="0" fillId="23" borderId="7" xfId="2" applyNumberFormat="1" applyFont="1" applyFill="1" applyBorder="1" applyAlignment="1">
      <alignment vertical="center"/>
    </xf>
    <xf numFmtId="10" fontId="0" fillId="23" borderId="7" xfId="3" applyNumberFormat="1" applyFont="1" applyFill="1" applyBorder="1" applyAlignment="1">
      <alignment vertical="center"/>
    </xf>
    <xf numFmtId="166" fontId="0" fillId="23" borderId="7" xfId="3" applyNumberFormat="1" applyFont="1" applyFill="1" applyBorder="1" applyAlignment="1">
      <alignment vertical="center"/>
    </xf>
    <xf numFmtId="0" fontId="0" fillId="23" borderId="19" xfId="0" applyFill="1" applyBorder="1" applyAlignment="1">
      <alignment horizontal="left" vertical="center" indent="4"/>
    </xf>
    <xf numFmtId="0" fontId="50" fillId="0" borderId="7" xfId="0" applyFont="1" applyBorder="1" applyAlignment="1">
      <alignment horizontal="center" vertical="center"/>
    </xf>
    <xf numFmtId="43" fontId="51" fillId="0" borderId="7" xfId="2" applyFont="1" applyBorder="1" applyAlignment="1">
      <alignment vertical="center"/>
    </xf>
    <xf numFmtId="39" fontId="51" fillId="0" borderId="7" xfId="2" applyNumberFormat="1" applyFont="1" applyBorder="1" applyAlignment="1">
      <alignment vertical="center"/>
    </xf>
    <xf numFmtId="10" fontId="51" fillId="0" borderId="7" xfId="3" applyNumberFormat="1" applyFont="1" applyBorder="1" applyAlignment="1">
      <alignment vertical="center"/>
    </xf>
    <xf numFmtId="166" fontId="51" fillId="0" borderId="7" xfId="3" applyNumberFormat="1" applyFont="1" applyBorder="1" applyAlignment="1">
      <alignment vertical="center"/>
    </xf>
    <xf numFmtId="0" fontId="51" fillId="0" borderId="7" xfId="0" applyFont="1" applyBorder="1" applyAlignment="1">
      <alignment horizontal="left" vertical="center" indent="4"/>
    </xf>
    <xf numFmtId="43" fontId="50" fillId="0" borderId="7" xfId="2" applyFont="1" applyBorder="1" applyAlignment="1">
      <alignment vertical="center"/>
    </xf>
    <xf numFmtId="39" fontId="50" fillId="0" borderId="7" xfId="2" applyNumberFormat="1" applyFont="1" applyBorder="1" applyAlignment="1">
      <alignment vertical="center"/>
    </xf>
    <xf numFmtId="10" fontId="50" fillId="0" borderId="7" xfId="3" applyNumberFormat="1" applyFont="1" applyBorder="1" applyAlignment="1">
      <alignment vertical="center"/>
    </xf>
    <xf numFmtId="43" fontId="50" fillId="0" borderId="7" xfId="2" applyFont="1" applyFill="1" applyBorder="1" applyAlignment="1">
      <alignment vertical="center"/>
    </xf>
    <xf numFmtId="39" fontId="50" fillId="0" borderId="7" xfId="2" applyNumberFormat="1" applyFont="1" applyFill="1" applyBorder="1" applyAlignment="1">
      <alignment vertical="center"/>
    </xf>
    <xf numFmtId="10" fontId="50" fillId="0" borderId="7" xfId="3" applyNumberFormat="1" applyFont="1" applyFill="1" applyBorder="1" applyAlignment="1">
      <alignment vertical="center"/>
    </xf>
    <xf numFmtId="166" fontId="50" fillId="0" borderId="7" xfId="3" applyNumberFormat="1" applyFont="1" applyFill="1" applyBorder="1" applyAlignment="1">
      <alignment vertical="center"/>
    </xf>
    <xf numFmtId="10" fontId="51" fillId="0" borderId="7" xfId="3" applyNumberFormat="1" applyFont="1" applyFill="1" applyBorder="1" applyAlignment="1">
      <alignment vertical="center"/>
    </xf>
    <xf numFmtId="0" fontId="51" fillId="0" borderId="7" xfId="0" applyFont="1" applyBorder="1" applyAlignment="1">
      <alignment horizontal="center" vertical="center"/>
    </xf>
    <xf numFmtId="167" fontId="50" fillId="0" borderId="7" xfId="2" applyNumberFormat="1" applyFont="1" applyBorder="1" applyAlignment="1">
      <alignment vertical="center"/>
    </xf>
    <xf numFmtId="0" fontId="50" fillId="0" borderId="7" xfId="0" applyFont="1" applyBorder="1" applyAlignment="1">
      <alignment horizontal="left" vertical="center" indent="4"/>
    </xf>
    <xf numFmtId="43" fontId="5" fillId="23" borderId="7" xfId="2" applyFont="1" applyFill="1" applyBorder="1" applyAlignment="1">
      <alignment vertical="center"/>
    </xf>
    <xf numFmtId="167" fontId="0" fillId="23" borderId="7" xfId="2" applyNumberFormat="1" applyFont="1" applyFill="1" applyBorder="1" applyAlignment="1">
      <alignment vertical="center"/>
    </xf>
    <xf numFmtId="10" fontId="5" fillId="23" borderId="7" xfId="3" applyNumberFormat="1" applyFont="1" applyFill="1" applyBorder="1" applyAlignment="1">
      <alignment vertical="center"/>
    </xf>
    <xf numFmtId="0" fontId="0" fillId="12" borderId="7" xfId="0" applyFill="1" applyBorder="1" applyAlignment="1">
      <alignment horizontal="center" vertical="center"/>
    </xf>
    <xf numFmtId="43" fontId="0" fillId="12" borderId="7" xfId="2" applyFont="1" applyFill="1" applyBorder="1" applyAlignment="1">
      <alignment vertical="center"/>
    </xf>
    <xf numFmtId="166" fontId="0" fillId="12" borderId="7" xfId="3" applyNumberFormat="1" applyFont="1" applyFill="1" applyBorder="1" applyAlignment="1">
      <alignment vertical="center"/>
    </xf>
    <xf numFmtId="39" fontId="0" fillId="12" borderId="7" xfId="2" applyNumberFormat="1" applyFont="1" applyFill="1" applyBorder="1" applyAlignment="1">
      <alignment vertical="center"/>
    </xf>
    <xf numFmtId="10" fontId="0" fillId="12" borderId="7" xfId="3" applyNumberFormat="1" applyFont="1" applyFill="1" applyBorder="1" applyAlignment="1">
      <alignment vertical="center"/>
    </xf>
    <xf numFmtId="0" fontId="0" fillId="12" borderId="0" xfId="0" applyFill="1" applyAlignment="1">
      <alignment vertical="center"/>
    </xf>
    <xf numFmtId="43" fontId="5" fillId="12" borderId="7" xfId="2" applyFont="1" applyFill="1" applyBorder="1" applyAlignment="1">
      <alignment vertical="center"/>
    </xf>
    <xf numFmtId="10" fontId="5" fillId="12" borderId="7" xfId="3" applyNumberFormat="1" applyFont="1" applyFill="1" applyBorder="1" applyAlignment="1">
      <alignment vertical="center"/>
    </xf>
    <xf numFmtId="166" fontId="73" fillId="12" borderId="0" xfId="3" applyNumberFormat="1" applyFont="1" applyFill="1" applyAlignment="1">
      <alignment horizontal="center" vertical="center"/>
    </xf>
    <xf numFmtId="2" fontId="73" fillId="12" borderId="0" xfId="3" applyNumberFormat="1" applyFont="1" applyFill="1" applyAlignment="1">
      <alignment horizontal="center" vertical="center"/>
    </xf>
    <xf numFmtId="166" fontId="0" fillId="12" borderId="0" xfId="3" applyNumberFormat="1" applyFont="1" applyFill="1" applyAlignment="1">
      <alignment horizontal="center" vertical="center"/>
    </xf>
    <xf numFmtId="2" fontId="0" fillId="12" borderId="0" xfId="3" applyNumberFormat="1" applyFont="1" applyFill="1" applyAlignment="1">
      <alignment vertical="center"/>
    </xf>
    <xf numFmtId="2" fontId="0" fillId="12" borderId="0" xfId="0" applyNumberFormat="1" applyFill="1" applyAlignment="1">
      <alignment vertical="center"/>
    </xf>
    <xf numFmtId="166" fontId="0" fillId="12" borderId="0" xfId="3" applyNumberFormat="1" applyFont="1" applyFill="1" applyAlignment="1">
      <alignment vertical="center"/>
    </xf>
    <xf numFmtId="0" fontId="0" fillId="12" borderId="19" xfId="0" applyFill="1" applyBorder="1" applyAlignment="1">
      <alignment horizontal="center" vertical="center"/>
    </xf>
    <xf numFmtId="0" fontId="0" fillId="12" borderId="18" xfId="0" applyFill="1" applyBorder="1" applyAlignment="1">
      <alignment horizontal="center" vertical="center"/>
    </xf>
    <xf numFmtId="43" fontId="50" fillId="12" borderId="7" xfId="2" applyFont="1" applyFill="1" applyBorder="1" applyAlignment="1">
      <alignment vertical="center"/>
    </xf>
    <xf numFmtId="39" fontId="50" fillId="12" borderId="7" xfId="2" applyNumberFormat="1" applyFont="1" applyFill="1" applyBorder="1" applyAlignment="1">
      <alignment vertical="center"/>
    </xf>
    <xf numFmtId="10" fontId="50" fillId="12" borderId="7" xfId="3" applyNumberFormat="1" applyFont="1" applyFill="1" applyBorder="1" applyAlignment="1">
      <alignment vertical="center"/>
    </xf>
    <xf numFmtId="2" fontId="80" fillId="0" borderId="11" xfId="3" applyNumberFormat="1" applyFont="1" applyBorder="1" applyAlignment="1">
      <alignment vertical="center"/>
    </xf>
    <xf numFmtId="166" fontId="5" fillId="12" borderId="7" xfId="3" applyNumberFormat="1" applyFont="1" applyFill="1" applyBorder="1" applyAlignment="1">
      <alignment vertical="center"/>
    </xf>
    <xf numFmtId="166" fontId="51" fillId="12" borderId="7" xfId="3" applyNumberFormat="1" applyFont="1" applyFill="1" applyBorder="1" applyAlignment="1">
      <alignment vertical="center"/>
    </xf>
    <xf numFmtId="2" fontId="1" fillId="0" borderId="0" xfId="0" applyNumberFormat="1" applyFont="1" applyAlignment="1">
      <alignment vertical="center"/>
    </xf>
    <xf numFmtId="0" fontId="68" fillId="0" borderId="0" xfId="0" applyFont="1" applyAlignment="1">
      <alignment horizontal="center" vertical="center"/>
    </xf>
    <xf numFmtId="0" fontId="68" fillId="0" borderId="0" xfId="0" applyFont="1" applyAlignment="1">
      <alignment horizontal="right" vertical="center"/>
    </xf>
    <xf numFmtId="49" fontId="0" fillId="0" borderId="5" xfId="0" applyNumberFormat="1" applyBorder="1"/>
    <xf numFmtId="0" fontId="2" fillId="0" borderId="16" xfId="0" applyFont="1" applyBorder="1" applyAlignment="1">
      <alignment horizontal="center" vertical="center"/>
    </xf>
    <xf numFmtId="0" fontId="2" fillId="0" borderId="2" xfId="0" applyFont="1" applyBorder="1" applyAlignment="1">
      <alignment horizontal="center" vertical="center"/>
    </xf>
    <xf numFmtId="167" fontId="2" fillId="0" borderId="2" xfId="2" applyNumberFormat="1" applyFont="1" applyFill="1" applyBorder="1" applyAlignment="1">
      <alignment vertical="center"/>
    </xf>
    <xf numFmtId="168" fontId="2" fillId="0" borderId="2" xfId="2" applyNumberFormat="1" applyFont="1" applyFill="1" applyBorder="1" applyAlignment="1">
      <alignment vertical="center"/>
    </xf>
    <xf numFmtId="166" fontId="2" fillId="0" borderId="2" xfId="3" applyNumberFormat="1" applyFont="1" applyFill="1" applyBorder="1" applyAlignment="1">
      <alignment horizontal="center" vertical="center"/>
    </xf>
    <xf numFmtId="166" fontId="2" fillId="0" borderId="17" xfId="3" applyNumberFormat="1" applyFont="1" applyFill="1" applyBorder="1" applyAlignment="1">
      <alignment horizontal="center" vertical="center"/>
    </xf>
    <xf numFmtId="166" fontId="73" fillId="0" borderId="0" xfId="3" applyNumberFormat="1" applyFont="1" applyFill="1" applyAlignment="1">
      <alignment vertical="center"/>
    </xf>
    <xf numFmtId="167" fontId="2" fillId="11" borderId="7" xfId="2" applyNumberFormat="1" applyFont="1" applyFill="1" applyBorder="1" applyAlignment="1">
      <alignment horizontal="right" vertical="center"/>
    </xf>
    <xf numFmtId="166" fontId="80" fillId="0" borderId="0" xfId="3" applyNumberFormat="1" applyFont="1" applyFill="1" applyAlignment="1">
      <alignment horizontal="center" vertical="center"/>
    </xf>
    <xf numFmtId="0" fontId="1" fillId="0" borderId="7" xfId="0" applyFont="1" applyBorder="1" applyAlignment="1">
      <alignment horizontal="center" vertical="center"/>
    </xf>
    <xf numFmtId="43" fontId="6" fillId="12" borderId="0" xfId="2" applyFont="1" applyFill="1" applyBorder="1" applyAlignment="1">
      <alignment vertical="center"/>
    </xf>
    <xf numFmtId="43" fontId="2" fillId="0" borderId="0" xfId="0" applyNumberFormat="1" applyFont="1"/>
    <xf numFmtId="9" fontId="68" fillId="0" borderId="0" xfId="3" applyFont="1" applyAlignment="1">
      <alignment vertical="center"/>
    </xf>
    <xf numFmtId="1" fontId="6" fillId="12" borderId="0" xfId="2" applyNumberFormat="1" applyFont="1" applyFill="1" applyBorder="1" applyAlignment="1">
      <alignment vertical="center"/>
    </xf>
    <xf numFmtId="0" fontId="0" fillId="0" borderId="0" xfId="0" quotePrefix="1" applyAlignment="1">
      <alignment horizontal="left"/>
    </xf>
    <xf numFmtId="49" fontId="0" fillId="0" borderId="0" xfId="0" applyNumberFormat="1"/>
    <xf numFmtId="0" fontId="98" fillId="0" borderId="0" xfId="0" applyFont="1"/>
    <xf numFmtId="43" fontId="0" fillId="29" borderId="0" xfId="0" applyNumberFormat="1" applyFill="1"/>
    <xf numFmtId="167" fontId="2" fillId="29" borderId="0" xfId="0" applyNumberFormat="1" applyFont="1" applyFill="1" applyAlignment="1">
      <alignment horizontal="center" vertical="center"/>
    </xf>
    <xf numFmtId="43" fontId="2" fillId="29" borderId="0" xfId="0" applyNumberFormat="1" applyFont="1" applyFill="1" applyAlignment="1">
      <alignment horizontal="center" vertical="center"/>
    </xf>
    <xf numFmtId="43" fontId="97" fillId="21" borderId="20" xfId="0" applyNumberFormat="1" applyFont="1" applyFill="1" applyBorder="1"/>
    <xf numFmtId="43" fontId="1" fillId="0" borderId="0" xfId="0" applyNumberFormat="1" applyFont="1"/>
    <xf numFmtId="43" fontId="12" fillId="0" borderId="0" xfId="0" applyNumberFormat="1" applyFont="1"/>
    <xf numFmtId="0" fontId="68" fillId="0" borderId="0" xfId="0" applyFont="1"/>
    <xf numFmtId="0" fontId="68" fillId="0" borderId="0" xfId="0" applyFont="1" applyAlignment="1">
      <alignment vertical="center" wrapText="1"/>
    </xf>
    <xf numFmtId="0" fontId="99" fillId="0" borderId="0" xfId="0" applyFont="1"/>
    <xf numFmtId="176" fontId="0" fillId="0" borderId="0" xfId="0" applyNumberFormat="1" applyAlignment="1">
      <alignment horizontal="left"/>
    </xf>
    <xf numFmtId="0" fontId="0" fillId="2" borderId="28" xfId="0" applyFill="1" applyBorder="1"/>
    <xf numFmtId="43" fontId="0" fillId="2" borderId="0" xfId="0" applyNumberFormat="1" applyFill="1" applyAlignment="1">
      <alignment vertical="center"/>
    </xf>
    <xf numFmtId="0" fontId="28" fillId="47" borderId="20" xfId="0" applyFont="1" applyFill="1" applyBorder="1" applyAlignment="1">
      <alignment horizontal="center"/>
    </xf>
    <xf numFmtId="167" fontId="17" fillId="11" borderId="7" xfId="2" applyNumberFormat="1" applyFont="1" applyFill="1" applyBorder="1" applyAlignment="1">
      <alignment horizontal="right" vertical="center"/>
    </xf>
    <xf numFmtId="177" fontId="2" fillId="11" borderId="7" xfId="2" applyNumberFormat="1" applyFont="1" applyFill="1" applyBorder="1" applyAlignment="1">
      <alignment horizontal="right" vertical="center"/>
    </xf>
    <xf numFmtId="0" fontId="2" fillId="2" borderId="0" xfId="0" applyFont="1" applyFill="1"/>
    <xf numFmtId="168" fontId="68" fillId="0" borderId="0" xfId="0" applyNumberFormat="1" applyFont="1" applyAlignment="1">
      <alignment vertical="center"/>
    </xf>
    <xf numFmtId="2" fontId="6" fillId="0" borderId="0" xfId="2" applyNumberFormat="1" applyFont="1" applyAlignment="1">
      <alignment horizontal="center" vertical="center"/>
    </xf>
    <xf numFmtId="166" fontId="68" fillId="0" borderId="0" xfId="3" applyNumberFormat="1" applyFont="1" applyAlignment="1">
      <alignment vertical="center"/>
    </xf>
    <xf numFmtId="43" fontId="68" fillId="0" borderId="0" xfId="0" applyNumberFormat="1" applyFont="1" applyAlignment="1">
      <alignment horizontal="center" vertical="center"/>
    </xf>
    <xf numFmtId="167" fontId="68" fillId="0" borderId="0" xfId="0" applyNumberFormat="1" applyFont="1" applyAlignment="1">
      <alignment vertical="center"/>
    </xf>
    <xf numFmtId="43" fontId="6" fillId="0" borderId="0" xfId="0" applyNumberFormat="1" applyFont="1" applyAlignment="1">
      <alignment vertical="center"/>
    </xf>
    <xf numFmtId="167" fontId="17" fillId="0" borderId="7" xfId="2" applyNumberFormat="1" applyFont="1" applyBorder="1" applyAlignment="1">
      <alignment vertical="center"/>
    </xf>
    <xf numFmtId="0" fontId="6" fillId="12" borderId="0" xfId="0" applyFont="1" applyFill="1" applyAlignment="1">
      <alignment horizontal="center" vertical="center"/>
    </xf>
    <xf numFmtId="167" fontId="6" fillId="12" borderId="0" xfId="2" applyNumberFormat="1" applyFont="1" applyFill="1" applyBorder="1" applyAlignment="1">
      <alignment vertical="center"/>
    </xf>
    <xf numFmtId="167" fontId="6" fillId="12" borderId="0" xfId="3" applyNumberFormat="1" applyFont="1" applyFill="1" applyBorder="1" applyAlignment="1">
      <alignment vertical="center"/>
    </xf>
    <xf numFmtId="166" fontId="6" fillId="12" borderId="0" xfId="3" applyNumberFormat="1" applyFont="1" applyFill="1" applyBorder="1" applyAlignment="1">
      <alignment vertical="center"/>
    </xf>
    <xf numFmtId="168" fontId="0" fillId="0" borderId="0" xfId="0" applyNumberFormat="1"/>
    <xf numFmtId="0" fontId="12" fillId="0" borderId="0" xfId="0" applyFont="1"/>
    <xf numFmtId="0" fontId="28" fillId="48" borderId="0" xfId="0" applyFont="1" applyFill="1" applyAlignment="1">
      <alignment horizontal="center"/>
    </xf>
    <xf numFmtId="168" fontId="0" fillId="2" borderId="0" xfId="0" applyNumberFormat="1" applyFill="1"/>
    <xf numFmtId="0" fontId="2" fillId="49" borderId="0" xfId="0" applyFont="1" applyFill="1"/>
    <xf numFmtId="168" fontId="2" fillId="13" borderId="0" xfId="0" applyNumberFormat="1" applyFont="1" applyFill="1"/>
    <xf numFmtId="0" fontId="2" fillId="50" borderId="0" xfId="0" applyFont="1" applyFill="1"/>
    <xf numFmtId="168" fontId="2" fillId="50" borderId="0" xfId="0" applyNumberFormat="1" applyFont="1" applyFill="1"/>
    <xf numFmtId="166" fontId="6" fillId="0" borderId="0" xfId="3" applyNumberFormat="1" applyFont="1" applyAlignment="1">
      <alignment vertical="center"/>
    </xf>
    <xf numFmtId="43" fontId="68" fillId="0" borderId="0" xfId="0" applyNumberFormat="1" applyFont="1" applyAlignment="1">
      <alignment vertical="center"/>
    </xf>
    <xf numFmtId="0" fontId="1" fillId="0" borderId="0" xfId="0" applyFont="1" applyAlignment="1">
      <alignment vertical="center" wrapText="1"/>
    </xf>
    <xf numFmtId="0" fontId="68" fillId="0" borderId="0" xfId="0" applyFont="1" applyAlignment="1">
      <alignment vertical="top" wrapText="1"/>
    </xf>
    <xf numFmtId="168" fontId="68" fillId="0" borderId="0" xfId="0" applyNumberFormat="1" applyFont="1" applyAlignment="1">
      <alignment horizontal="center" vertical="center"/>
    </xf>
    <xf numFmtId="166" fontId="68" fillId="0" borderId="0" xfId="3" applyNumberFormat="1" applyFont="1" applyAlignment="1">
      <alignment horizontal="center" vertical="center"/>
    </xf>
    <xf numFmtId="167" fontId="68" fillId="0" borderId="0" xfId="0" applyNumberFormat="1" applyFont="1" applyAlignment="1">
      <alignment horizontal="center" vertical="center"/>
    </xf>
    <xf numFmtId="0" fontId="100" fillId="0" borderId="0" xfId="0" applyFont="1" applyAlignment="1">
      <alignment vertical="center"/>
    </xf>
    <xf numFmtId="168" fontId="100" fillId="0" borderId="0" xfId="0" applyNumberFormat="1" applyFont="1" applyAlignment="1">
      <alignment horizontal="center" vertical="center"/>
    </xf>
    <xf numFmtId="0" fontId="21" fillId="0" borderId="0" xfId="0" applyFont="1" applyAlignment="1">
      <alignment vertical="center"/>
    </xf>
    <xf numFmtId="0" fontId="68" fillId="0" borderId="0" xfId="0" applyFont="1" applyAlignment="1">
      <alignment horizontal="left" vertical="center"/>
    </xf>
    <xf numFmtId="0" fontId="101" fillId="0" borderId="0" xfId="0" applyFont="1" applyAlignment="1">
      <alignment vertical="center"/>
    </xf>
    <xf numFmtId="43" fontId="1" fillId="2" borderId="0" xfId="0" applyNumberFormat="1" applyFont="1" applyFill="1"/>
    <xf numFmtId="43" fontId="12" fillId="2" borderId="0" xfId="0" applyNumberFormat="1" applyFont="1" applyFill="1"/>
    <xf numFmtId="0" fontId="1" fillId="0" borderId="0" xfId="0" applyFont="1" applyAlignment="1">
      <alignment vertical="top" wrapText="1"/>
    </xf>
    <xf numFmtId="168" fontId="1" fillId="0" borderId="0" xfId="0" applyNumberFormat="1" applyFont="1" applyAlignment="1">
      <alignment horizontal="center" vertical="center"/>
    </xf>
    <xf numFmtId="171" fontId="1" fillId="0" borderId="0" xfId="0" applyNumberFormat="1" applyFont="1" applyAlignment="1">
      <alignment horizontal="center" vertical="center"/>
    </xf>
    <xf numFmtId="166" fontId="1" fillId="0" borderId="0" xfId="3" applyNumberFormat="1" applyFont="1" applyAlignment="1">
      <alignment vertical="center"/>
    </xf>
    <xf numFmtId="43" fontId="1" fillId="0" borderId="0" xfId="0" applyNumberFormat="1" applyFont="1" applyAlignment="1">
      <alignment horizontal="center" vertical="center"/>
    </xf>
    <xf numFmtId="167" fontId="1" fillId="0" borderId="0" xfId="0" applyNumberFormat="1" applyFont="1" applyAlignment="1">
      <alignment vertical="center"/>
    </xf>
    <xf numFmtId="166" fontId="1" fillId="0" borderId="0" xfId="3" applyNumberFormat="1" applyFont="1" applyAlignment="1">
      <alignment horizontal="center" vertical="center"/>
    </xf>
    <xf numFmtId="9" fontId="1" fillId="0" borderId="0" xfId="3" applyFont="1" applyAlignment="1">
      <alignment vertical="center"/>
    </xf>
    <xf numFmtId="167" fontId="1" fillId="0" borderId="0" xfId="0" applyNumberFormat="1" applyFont="1" applyAlignment="1">
      <alignment horizontal="center" vertical="center"/>
    </xf>
    <xf numFmtId="0" fontId="102" fillId="0" borderId="0" xfId="69"/>
    <xf numFmtId="166" fontId="2" fillId="13" borderId="18" xfId="3" applyNumberFormat="1" applyFont="1" applyFill="1" applyBorder="1" applyAlignment="1">
      <alignment horizontal="center"/>
    </xf>
    <xf numFmtId="166" fontId="2" fillId="13" borderId="19" xfId="3" applyNumberFormat="1" applyFont="1" applyFill="1" applyBorder="1" applyAlignment="1">
      <alignment horizontal="center"/>
    </xf>
    <xf numFmtId="0" fontId="2" fillId="8" borderId="6" xfId="0" applyFont="1" applyFill="1" applyBorder="1" applyAlignment="1">
      <alignment horizontal="center" vertical="center" wrapText="1"/>
    </xf>
    <xf numFmtId="0" fontId="2" fillId="8" borderId="1" xfId="0" applyFont="1" applyFill="1" applyBorder="1" applyAlignment="1">
      <alignment horizontal="center" vertical="center" wrapText="1"/>
    </xf>
    <xf numFmtId="0" fontId="2" fillId="11" borderId="6" xfId="0" applyFont="1" applyFill="1" applyBorder="1" applyAlignment="1">
      <alignment horizontal="center" vertical="center"/>
    </xf>
    <xf numFmtId="0" fontId="2" fillId="11" borderId="23" xfId="0" applyFont="1" applyFill="1" applyBorder="1" applyAlignment="1">
      <alignment horizontal="center" vertical="center"/>
    </xf>
    <xf numFmtId="0" fontId="2" fillId="11" borderId="1" xfId="0" applyFont="1" applyFill="1" applyBorder="1" applyAlignment="1">
      <alignment horizontal="center" vertical="center"/>
    </xf>
    <xf numFmtId="0" fontId="2" fillId="11" borderId="18" xfId="0" applyFont="1" applyFill="1" applyBorder="1" applyAlignment="1">
      <alignment horizontal="center" vertical="center"/>
    </xf>
    <xf numFmtId="0" fontId="2" fillId="11" borderId="19" xfId="0" applyFont="1" applyFill="1" applyBorder="1" applyAlignment="1">
      <alignment horizontal="center" vertical="center"/>
    </xf>
    <xf numFmtId="166" fontId="2" fillId="11" borderId="18" xfId="3" applyNumberFormat="1" applyFont="1" applyFill="1" applyBorder="1" applyAlignment="1">
      <alignment horizontal="center"/>
    </xf>
    <xf numFmtId="166" fontId="2" fillId="11" borderId="19" xfId="3" applyNumberFormat="1" applyFont="1" applyFill="1" applyBorder="1" applyAlignment="1">
      <alignment horizontal="center"/>
    </xf>
    <xf numFmtId="0" fontId="2" fillId="8" borderId="6" xfId="0" applyFont="1" applyFill="1" applyBorder="1" applyAlignment="1">
      <alignment horizontal="center" vertical="center"/>
    </xf>
    <xf numFmtId="0" fontId="2" fillId="8" borderId="1" xfId="0" applyFont="1" applyFill="1" applyBorder="1" applyAlignment="1">
      <alignment horizontal="center" vertical="center"/>
    </xf>
    <xf numFmtId="0" fontId="2" fillId="8" borderId="16" xfId="0" applyFont="1" applyFill="1" applyBorder="1" applyAlignment="1">
      <alignment horizontal="center" vertical="center"/>
    </xf>
    <xf numFmtId="0" fontId="2" fillId="8" borderId="17" xfId="0" applyFont="1" applyFill="1" applyBorder="1" applyAlignment="1">
      <alignment horizontal="center" vertical="center"/>
    </xf>
    <xf numFmtId="0" fontId="2" fillId="8" borderId="21" xfId="0" applyFont="1" applyFill="1" applyBorder="1" applyAlignment="1">
      <alignment horizontal="center" vertical="center"/>
    </xf>
    <xf numFmtId="0" fontId="2" fillId="8" borderId="22" xfId="0" applyFont="1" applyFill="1" applyBorder="1" applyAlignment="1">
      <alignment horizontal="center" vertical="center"/>
    </xf>
    <xf numFmtId="0" fontId="2" fillId="11" borderId="7" xfId="0" applyFont="1" applyFill="1" applyBorder="1" applyAlignment="1">
      <alignment horizontal="center" vertical="center"/>
    </xf>
    <xf numFmtId="0" fontId="2" fillId="13" borderId="7" xfId="0" applyFont="1" applyFill="1" applyBorder="1" applyAlignment="1">
      <alignment horizontal="center" vertical="center"/>
    </xf>
    <xf numFmtId="0" fontId="39" fillId="22" borderId="3" xfId="0" applyFont="1" applyFill="1" applyBorder="1" applyAlignment="1">
      <alignment horizontal="center" vertical="center"/>
    </xf>
    <xf numFmtId="0" fontId="40" fillId="8" borderId="6" xfId="0" applyFont="1" applyFill="1" applyBorder="1" applyAlignment="1">
      <alignment horizontal="center" vertical="center"/>
    </xf>
    <xf numFmtId="0" fontId="40" fillId="8" borderId="1" xfId="0" applyFont="1" applyFill="1" applyBorder="1" applyAlignment="1">
      <alignment horizontal="center" vertical="center"/>
    </xf>
    <xf numFmtId="0" fontId="9" fillId="8" borderId="16" xfId="0" applyFont="1" applyFill="1" applyBorder="1" applyAlignment="1">
      <alignment horizontal="center" vertical="center" wrapText="1"/>
    </xf>
    <xf numFmtId="0" fontId="9" fillId="8" borderId="17" xfId="0" applyFont="1" applyFill="1" applyBorder="1" applyAlignment="1">
      <alignment horizontal="center" vertical="center" wrapText="1"/>
    </xf>
    <xf numFmtId="0" fontId="9" fillId="8" borderId="21" xfId="0" applyFont="1" applyFill="1" applyBorder="1" applyAlignment="1">
      <alignment horizontal="center" vertical="center" wrapText="1"/>
    </xf>
    <xf numFmtId="0" fontId="9" fillId="8" borderId="22" xfId="0" applyFont="1" applyFill="1" applyBorder="1" applyAlignment="1">
      <alignment horizontal="center" vertical="center" wrapText="1"/>
    </xf>
    <xf numFmtId="0" fontId="2" fillId="13" borderId="6" xfId="0" applyFont="1" applyFill="1" applyBorder="1" applyAlignment="1">
      <alignment horizontal="center" vertical="center"/>
    </xf>
    <xf numFmtId="0" fontId="2" fillId="13" borderId="1" xfId="0" applyFont="1" applyFill="1" applyBorder="1" applyAlignment="1">
      <alignment horizontal="center" vertical="center"/>
    </xf>
    <xf numFmtId="0" fontId="41" fillId="27" borderId="4" xfId="0" applyFont="1" applyFill="1" applyBorder="1" applyAlignment="1">
      <alignment horizontal="center" vertical="center" wrapText="1"/>
    </xf>
    <xf numFmtId="0" fontId="41" fillId="27" borderId="19" xfId="0" applyFont="1" applyFill="1" applyBorder="1" applyAlignment="1">
      <alignment horizontal="center" vertical="center" wrapText="1"/>
    </xf>
    <xf numFmtId="0" fontId="9" fillId="22" borderId="18" xfId="0" applyFont="1" applyFill="1" applyBorder="1" applyAlignment="1">
      <alignment horizontal="center" vertical="center"/>
    </xf>
    <xf numFmtId="0" fontId="9" fillId="22" borderId="4" xfId="0" applyFont="1" applyFill="1" applyBorder="1" applyAlignment="1">
      <alignment horizontal="center" vertical="center"/>
    </xf>
    <xf numFmtId="0" fontId="9" fillId="22" borderId="19" xfId="0" applyFont="1" applyFill="1" applyBorder="1" applyAlignment="1">
      <alignment horizontal="center" vertical="center"/>
    </xf>
    <xf numFmtId="0" fontId="6" fillId="7" borderId="23" xfId="0" applyFont="1" applyFill="1" applyBorder="1" applyAlignment="1">
      <alignment horizontal="center" vertical="center"/>
    </xf>
    <xf numFmtId="0" fontId="6" fillId="7" borderId="1" xfId="0" applyFont="1" applyFill="1" applyBorder="1" applyAlignment="1">
      <alignment horizontal="center" vertical="center"/>
    </xf>
    <xf numFmtId="0" fontId="2" fillId="30" borderId="21" xfId="0" applyFont="1" applyFill="1" applyBorder="1" applyAlignment="1">
      <alignment horizontal="center" vertical="center"/>
    </xf>
    <xf numFmtId="0" fontId="2" fillId="30" borderId="3" xfId="0" applyFont="1" applyFill="1" applyBorder="1" applyAlignment="1">
      <alignment horizontal="center" vertical="center"/>
    </xf>
    <xf numFmtId="0" fontId="2" fillId="30" borderId="22" xfId="0" applyFont="1" applyFill="1" applyBorder="1" applyAlignment="1">
      <alignment horizontal="center" vertical="center"/>
    </xf>
    <xf numFmtId="0" fontId="9" fillId="24" borderId="18" xfId="0" applyFont="1" applyFill="1" applyBorder="1" applyAlignment="1">
      <alignment horizontal="center" vertical="center"/>
    </xf>
    <xf numFmtId="0" fontId="9" fillId="24" borderId="4" xfId="0" applyFont="1" applyFill="1" applyBorder="1" applyAlignment="1">
      <alignment horizontal="center" vertical="center"/>
    </xf>
    <xf numFmtId="0" fontId="2" fillId="11" borderId="0" xfId="0" applyFont="1" applyFill="1" applyAlignment="1">
      <alignment horizontal="center" vertical="center"/>
    </xf>
    <xf numFmtId="0" fontId="2" fillId="8" borderId="23" xfId="0" applyFont="1" applyFill="1" applyBorder="1" applyAlignment="1">
      <alignment horizontal="center" vertical="center" wrapText="1"/>
    </xf>
    <xf numFmtId="0" fontId="9" fillId="26" borderId="18" xfId="0" applyFont="1" applyFill="1" applyBorder="1" applyAlignment="1">
      <alignment horizontal="center" vertical="center"/>
    </xf>
    <xf numFmtId="0" fontId="9" fillId="26" borderId="4" xfId="0" applyFont="1" applyFill="1" applyBorder="1" applyAlignment="1">
      <alignment horizontal="center" vertical="center"/>
    </xf>
    <xf numFmtId="0" fontId="9" fillId="26" borderId="19" xfId="0" applyFont="1" applyFill="1" applyBorder="1" applyAlignment="1">
      <alignment horizontal="center" vertical="center"/>
    </xf>
    <xf numFmtId="166" fontId="2" fillId="11" borderId="18" xfId="3" applyNumberFormat="1" applyFont="1" applyFill="1" applyBorder="1" applyAlignment="1">
      <alignment horizontal="center" vertical="center"/>
    </xf>
    <xf numFmtId="166" fontId="2" fillId="11" borderId="19" xfId="3" applyNumberFormat="1" applyFont="1" applyFill="1" applyBorder="1" applyAlignment="1">
      <alignment horizontal="center" vertical="center"/>
    </xf>
    <xf numFmtId="166" fontId="2" fillId="13" borderId="18" xfId="3" applyNumberFormat="1" applyFont="1" applyFill="1" applyBorder="1" applyAlignment="1">
      <alignment horizontal="center" vertical="center"/>
    </xf>
    <xf numFmtId="166" fontId="2" fillId="13" borderId="19" xfId="3" applyNumberFormat="1" applyFont="1" applyFill="1" applyBorder="1" applyAlignment="1">
      <alignment horizontal="center" vertical="center"/>
    </xf>
    <xf numFmtId="0" fontId="2" fillId="6" borderId="23" xfId="0" applyFont="1" applyFill="1" applyBorder="1" applyAlignment="1">
      <alignment horizontal="center" vertical="center"/>
    </xf>
    <xf numFmtId="0" fontId="2" fillId="6" borderId="1" xfId="0" applyFont="1" applyFill="1" applyBorder="1" applyAlignment="1">
      <alignment horizontal="center" vertical="center"/>
    </xf>
    <xf numFmtId="0" fontId="34" fillId="25" borderId="18" xfId="0" applyFont="1" applyFill="1" applyBorder="1" applyAlignment="1">
      <alignment horizontal="center" vertical="center"/>
    </xf>
    <xf numFmtId="0" fontId="34" fillId="25" borderId="4" xfId="0" applyFont="1" applyFill="1" applyBorder="1" applyAlignment="1">
      <alignment horizontal="center" vertical="center"/>
    </xf>
    <xf numFmtId="0" fontId="34" fillId="25" borderId="19" xfId="0" applyFont="1" applyFill="1" applyBorder="1" applyAlignment="1">
      <alignment horizontal="center" vertical="center"/>
    </xf>
    <xf numFmtId="0" fontId="2" fillId="8" borderId="7" xfId="0" applyFont="1" applyFill="1" applyBorder="1" applyAlignment="1">
      <alignment horizontal="center" vertical="center"/>
    </xf>
    <xf numFmtId="0" fontId="2" fillId="34" borderId="18" xfId="0" applyFont="1" applyFill="1" applyBorder="1" applyAlignment="1">
      <alignment horizontal="center" vertical="center" wrapText="1"/>
    </xf>
    <xf numFmtId="0" fontId="2" fillId="34" borderId="19" xfId="0" applyFont="1" applyFill="1" applyBorder="1" applyAlignment="1">
      <alignment horizontal="center" vertical="center" wrapText="1"/>
    </xf>
    <xf numFmtId="0" fontId="39" fillId="6" borderId="3" xfId="0" applyFont="1" applyFill="1" applyBorder="1" applyAlignment="1">
      <alignment horizontal="center" vertical="center"/>
    </xf>
    <xf numFmtId="0" fontId="66" fillId="28" borderId="18" xfId="0" applyFont="1" applyFill="1" applyBorder="1" applyAlignment="1">
      <alignment horizontal="center" vertical="center" wrapText="1"/>
    </xf>
    <xf numFmtId="0" fontId="66" fillId="28" borderId="19" xfId="0" applyFont="1" applyFill="1" applyBorder="1" applyAlignment="1">
      <alignment horizontal="center" vertical="center" wrapText="1"/>
    </xf>
    <xf numFmtId="0" fontId="66" fillId="46" borderId="18" xfId="0" applyFont="1" applyFill="1" applyBorder="1" applyAlignment="1">
      <alignment horizontal="center" vertical="center" wrapText="1"/>
    </xf>
    <xf numFmtId="0" fontId="66" fillId="46" borderId="19" xfId="0" applyFont="1" applyFill="1" applyBorder="1" applyAlignment="1">
      <alignment horizontal="center" vertical="center" wrapText="1"/>
    </xf>
    <xf numFmtId="0" fontId="2" fillId="4" borderId="4" xfId="0" applyFont="1" applyFill="1" applyBorder="1" applyAlignment="1">
      <alignment horizontal="center" vertical="center"/>
    </xf>
    <xf numFmtId="0" fontId="6" fillId="7" borderId="6" xfId="0" applyFont="1" applyFill="1" applyBorder="1" applyAlignment="1">
      <alignment horizontal="center" vertical="center"/>
    </xf>
    <xf numFmtId="0" fontId="2" fillId="24" borderId="18" xfId="0" applyFont="1" applyFill="1" applyBorder="1" applyAlignment="1">
      <alignment horizontal="center" vertical="center"/>
    </xf>
    <xf numFmtId="0" fontId="2" fillId="24" borderId="4" xfId="0" applyFont="1" applyFill="1" applyBorder="1" applyAlignment="1">
      <alignment horizontal="center" vertical="center"/>
    </xf>
    <xf numFmtId="0" fontId="74" fillId="10" borderId="6" xfId="0" applyFont="1" applyFill="1" applyBorder="1" applyAlignment="1">
      <alignment horizontal="center" vertical="center" wrapText="1"/>
    </xf>
    <xf numFmtId="0" fontId="74" fillId="10" borderId="1" xfId="0" applyFont="1" applyFill="1" applyBorder="1" applyAlignment="1">
      <alignment horizontal="center" vertical="center" wrapText="1"/>
    </xf>
    <xf numFmtId="0" fontId="2" fillId="6" borderId="6" xfId="0" applyFont="1" applyFill="1" applyBorder="1" applyAlignment="1">
      <alignment horizontal="center" vertical="center"/>
    </xf>
    <xf numFmtId="0" fontId="17" fillId="19" borderId="0" xfId="0" applyFont="1" applyFill="1" applyAlignment="1">
      <alignment horizontal="center" vertical="center"/>
    </xf>
    <xf numFmtId="0" fontId="2" fillId="6" borderId="0" xfId="0" applyFont="1" applyFill="1" applyAlignment="1">
      <alignment horizontal="center" vertical="center"/>
    </xf>
    <xf numFmtId="0" fontId="6" fillId="10" borderId="0" xfId="0" applyFont="1" applyFill="1" applyAlignment="1">
      <alignment horizontal="center" vertical="center"/>
    </xf>
    <xf numFmtId="0" fontId="2" fillId="31" borderId="0" xfId="0" applyFont="1" applyFill="1" applyAlignment="1">
      <alignment horizontal="center" vertical="center"/>
    </xf>
    <xf numFmtId="0" fontId="2" fillId="8" borderId="0" xfId="0" applyFont="1" applyFill="1" applyAlignment="1">
      <alignment horizontal="center" vertical="center"/>
    </xf>
    <xf numFmtId="166" fontId="2" fillId="13" borderId="0" xfId="3" applyNumberFormat="1" applyFont="1" applyFill="1" applyBorder="1" applyAlignment="1">
      <alignment horizontal="center" vertical="center"/>
    </xf>
    <xf numFmtId="166" fontId="2" fillId="0" borderId="0" xfId="0" applyNumberFormat="1" applyFont="1" applyAlignment="1">
      <alignment horizontal="center" vertical="center"/>
    </xf>
    <xf numFmtId="0" fontId="2" fillId="6" borderId="0" xfId="0" applyFont="1" applyFill="1" applyAlignment="1">
      <alignment horizontal="center" vertical="center" wrapText="1"/>
    </xf>
    <xf numFmtId="0" fontId="6" fillId="10" borderId="11" xfId="0" applyFont="1" applyFill="1" applyBorder="1" applyAlignment="1">
      <alignment horizontal="center" vertical="center"/>
    </xf>
    <xf numFmtId="0" fontId="2" fillId="6" borderId="18" xfId="0" applyFont="1" applyFill="1" applyBorder="1" applyAlignment="1">
      <alignment horizontal="left" vertical="center"/>
    </xf>
    <xf numFmtId="0" fontId="2" fillId="6" borderId="19" xfId="0" applyFont="1" applyFill="1" applyBorder="1" applyAlignment="1">
      <alignment horizontal="left" vertical="center"/>
    </xf>
    <xf numFmtId="0" fontId="6" fillId="17" borderId="6" xfId="0" applyFont="1" applyFill="1" applyBorder="1" applyAlignment="1">
      <alignment horizontal="center" vertical="center" wrapText="1"/>
    </xf>
    <xf numFmtId="0" fontId="6" fillId="17" borderId="1" xfId="0" applyFont="1" applyFill="1" applyBorder="1" applyAlignment="1">
      <alignment horizontal="center" vertical="center" wrapText="1"/>
    </xf>
    <xf numFmtId="0" fontId="2" fillId="13" borderId="18" xfId="0" applyFont="1" applyFill="1" applyBorder="1" applyAlignment="1">
      <alignment horizontal="left" vertical="center"/>
    </xf>
    <xf numFmtId="0" fontId="2" fillId="13" borderId="19" xfId="0" applyFont="1" applyFill="1" applyBorder="1" applyAlignment="1">
      <alignment horizontal="left" vertical="center"/>
    </xf>
    <xf numFmtId="0" fontId="2" fillId="6" borderId="6" xfId="0" applyFont="1" applyFill="1" applyBorder="1" applyAlignment="1">
      <alignment horizontal="center" vertical="center" wrapText="1"/>
    </xf>
    <xf numFmtId="0" fontId="2" fillId="6" borderId="1" xfId="0" applyFont="1" applyFill="1" applyBorder="1" applyAlignment="1">
      <alignment horizontal="center" vertical="center" wrapText="1"/>
    </xf>
    <xf numFmtId="0" fontId="7" fillId="15" borderId="0" xfId="0" applyFont="1" applyFill="1" applyAlignment="1">
      <alignment horizontal="center" vertical="center"/>
    </xf>
    <xf numFmtId="0" fontId="9" fillId="24" borderId="0" xfId="0" applyFont="1" applyFill="1" applyAlignment="1">
      <alignment horizontal="center" vertical="center"/>
    </xf>
    <xf numFmtId="0" fontId="2" fillId="13" borderId="16" xfId="0" applyFont="1" applyFill="1" applyBorder="1" applyAlignment="1">
      <alignment horizontal="center" vertical="center"/>
    </xf>
    <xf numFmtId="0" fontId="2" fillId="13" borderId="17" xfId="0" applyFont="1" applyFill="1" applyBorder="1" applyAlignment="1">
      <alignment horizontal="center" vertical="center"/>
    </xf>
    <xf numFmtId="0" fontId="2" fillId="13" borderId="21" xfId="0" applyFont="1" applyFill="1" applyBorder="1" applyAlignment="1">
      <alignment horizontal="center" vertical="center"/>
    </xf>
    <xf numFmtId="0" fontId="2" fillId="13" borderId="22" xfId="0" applyFont="1" applyFill="1" applyBorder="1" applyAlignment="1">
      <alignment horizontal="center" vertical="center"/>
    </xf>
    <xf numFmtId="166" fontId="2" fillId="13" borderId="16" xfId="3" applyNumberFormat="1" applyFont="1" applyFill="1" applyBorder="1" applyAlignment="1">
      <alignment horizontal="center" vertical="center"/>
    </xf>
    <xf numFmtId="166" fontId="2" fillId="13" borderId="17" xfId="3" applyNumberFormat="1" applyFont="1" applyFill="1" applyBorder="1" applyAlignment="1">
      <alignment horizontal="center" vertical="center"/>
    </xf>
    <xf numFmtId="0" fontId="2" fillId="6" borderId="7" xfId="0" applyFont="1" applyFill="1" applyBorder="1" applyAlignment="1">
      <alignment horizontal="center" vertical="center"/>
    </xf>
    <xf numFmtId="0" fontId="60" fillId="33" borderId="7" xfId="0" applyFont="1" applyFill="1" applyBorder="1" applyAlignment="1">
      <alignment horizontal="center" vertical="center" wrapText="1"/>
    </xf>
    <xf numFmtId="0" fontId="60" fillId="33" borderId="7" xfId="0" applyFont="1" applyFill="1" applyBorder="1" applyAlignment="1">
      <alignment horizontal="center" vertical="center"/>
    </xf>
    <xf numFmtId="0" fontId="60" fillId="32" borderId="7" xfId="0" applyFont="1" applyFill="1" applyBorder="1" applyAlignment="1">
      <alignment horizontal="center" vertical="center" wrapText="1"/>
    </xf>
    <xf numFmtId="0" fontId="60" fillId="32" borderId="7" xfId="0" applyFont="1" applyFill="1" applyBorder="1" applyAlignment="1">
      <alignment horizontal="center" vertical="center"/>
    </xf>
    <xf numFmtId="0" fontId="34" fillId="5" borderId="0" xfId="0" applyFont="1" applyFill="1" applyAlignment="1">
      <alignment horizontal="center" vertical="center"/>
    </xf>
    <xf numFmtId="0" fontId="2" fillId="22" borderId="18" xfId="0" applyFont="1" applyFill="1" applyBorder="1" applyAlignment="1">
      <alignment horizontal="center" vertical="center"/>
    </xf>
    <xf numFmtId="0" fontId="2" fillId="22" borderId="19" xfId="0" applyFont="1" applyFill="1" applyBorder="1" applyAlignment="1">
      <alignment horizontal="center" vertical="center"/>
    </xf>
    <xf numFmtId="0" fontId="12" fillId="11" borderId="0" xfId="0" applyFont="1" applyFill="1" applyAlignment="1">
      <alignment horizontal="center" vertical="center"/>
    </xf>
    <xf numFmtId="0" fontId="6" fillId="9" borderId="18" xfId="0" applyFont="1" applyFill="1" applyBorder="1" applyAlignment="1">
      <alignment horizontal="center" vertical="center" wrapText="1"/>
    </xf>
    <xf numFmtId="0" fontId="6" fillId="9" borderId="4" xfId="0" applyFont="1" applyFill="1" applyBorder="1" applyAlignment="1">
      <alignment horizontal="center" vertical="center" wrapText="1"/>
    </xf>
    <xf numFmtId="0" fontId="6" fillId="14" borderId="18" xfId="0" applyFont="1" applyFill="1" applyBorder="1" applyAlignment="1">
      <alignment horizontal="center" vertical="center" wrapText="1"/>
    </xf>
    <xf numFmtId="0" fontId="6" fillId="14" borderId="4" xfId="0" applyFont="1" applyFill="1" applyBorder="1" applyAlignment="1">
      <alignment horizontal="center" vertical="center" wrapText="1"/>
    </xf>
    <xf numFmtId="0" fontId="2" fillId="4" borderId="0" xfId="0" applyFont="1" applyFill="1" applyAlignment="1">
      <alignment horizontal="center" vertical="center"/>
    </xf>
    <xf numFmtId="0" fontId="6" fillId="14" borderId="0" xfId="0" applyFont="1" applyFill="1" applyAlignment="1">
      <alignment horizontal="center" vertical="center"/>
    </xf>
    <xf numFmtId="9" fontId="0" fillId="0" borderId="0" xfId="0" applyNumberFormat="1" applyAlignment="1">
      <alignment horizontal="center" vertical="center"/>
    </xf>
    <xf numFmtId="9" fontId="2" fillId="13" borderId="0" xfId="3" applyFont="1" applyFill="1" applyBorder="1" applyAlignment="1">
      <alignment horizontal="center" vertical="center"/>
    </xf>
    <xf numFmtId="14" fontId="11" fillId="0" borderId="3" xfId="0" applyNumberFormat="1" applyFont="1" applyBorder="1" applyAlignment="1">
      <alignment horizontal="center" vertical="center"/>
    </xf>
    <xf numFmtId="0" fontId="12" fillId="6" borderId="18" xfId="0" applyFont="1" applyFill="1" applyBorder="1" applyAlignment="1">
      <alignment horizontal="left" vertical="center"/>
    </xf>
    <xf numFmtId="0" fontId="12" fillId="6" borderId="19" xfId="0" applyFont="1" applyFill="1" applyBorder="1" applyAlignment="1">
      <alignment horizontal="left" vertical="center"/>
    </xf>
    <xf numFmtId="0" fontId="14" fillId="11" borderId="6" xfId="0" applyFont="1" applyFill="1" applyBorder="1" applyAlignment="1">
      <alignment horizontal="center" vertical="center" wrapText="1"/>
    </xf>
    <xf numFmtId="0" fontId="14" fillId="11" borderId="1" xfId="0" applyFont="1" applyFill="1" applyBorder="1" applyAlignment="1">
      <alignment horizontal="center" vertical="center" wrapText="1"/>
    </xf>
    <xf numFmtId="0" fontId="6" fillId="17" borderId="18" xfId="0" applyFont="1" applyFill="1" applyBorder="1" applyAlignment="1">
      <alignment horizontal="center" vertical="center" wrapText="1"/>
    </xf>
    <xf numFmtId="0" fontId="6" fillId="17" borderId="4" xfId="0" applyFont="1" applyFill="1" applyBorder="1" applyAlignment="1">
      <alignment horizontal="center" vertical="center" wrapText="1"/>
    </xf>
    <xf numFmtId="0" fontId="6" fillId="9" borderId="6" xfId="0" applyFont="1" applyFill="1" applyBorder="1" applyAlignment="1">
      <alignment horizontal="center" vertical="center" wrapText="1"/>
    </xf>
    <xf numFmtId="0" fontId="6" fillId="9" borderId="1" xfId="0" applyFont="1" applyFill="1" applyBorder="1" applyAlignment="1">
      <alignment horizontal="center" vertical="center" wrapText="1"/>
    </xf>
    <xf numFmtId="0" fontId="34" fillId="10" borderId="6" xfId="0" applyFont="1" applyFill="1" applyBorder="1" applyAlignment="1">
      <alignment horizontal="center" vertical="center" wrapText="1"/>
    </xf>
    <xf numFmtId="0" fontId="34" fillId="10" borderId="1" xfId="0" applyFont="1" applyFill="1" applyBorder="1" applyAlignment="1">
      <alignment horizontal="center" vertical="center" wrapText="1"/>
    </xf>
    <xf numFmtId="0" fontId="13" fillId="11" borderId="6" xfId="0" applyFont="1" applyFill="1" applyBorder="1" applyAlignment="1">
      <alignment horizontal="center" vertical="center" wrapText="1"/>
    </xf>
    <xf numFmtId="0" fontId="13" fillId="11" borderId="1" xfId="0" applyFont="1" applyFill="1" applyBorder="1" applyAlignment="1">
      <alignment horizontal="center" vertical="center" wrapText="1"/>
    </xf>
    <xf numFmtId="0" fontId="12" fillId="11" borderId="12" xfId="0" applyFont="1" applyFill="1" applyBorder="1" applyAlignment="1">
      <alignment horizontal="center" vertical="center"/>
    </xf>
    <xf numFmtId="0" fontId="6" fillId="18" borderId="16" xfId="0" applyFont="1" applyFill="1" applyBorder="1" applyAlignment="1">
      <alignment horizontal="center" vertical="center" wrapText="1"/>
    </xf>
    <xf numFmtId="0" fontId="6" fillId="18" borderId="2" xfId="0" applyFont="1" applyFill="1" applyBorder="1" applyAlignment="1">
      <alignment horizontal="center" vertical="center" wrapText="1"/>
    </xf>
    <xf numFmtId="0" fontId="6" fillId="18" borderId="17" xfId="0" applyFont="1" applyFill="1" applyBorder="1" applyAlignment="1">
      <alignment horizontal="center" vertical="center" wrapText="1"/>
    </xf>
    <xf numFmtId="0" fontId="2" fillId="16" borderId="18" xfId="0" applyFont="1" applyFill="1" applyBorder="1" applyAlignment="1">
      <alignment horizontal="center" vertical="center" wrapText="1"/>
    </xf>
    <xf numFmtId="0" fontId="2" fillId="16" borderId="4"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8" fillId="15" borderId="0" xfId="0" applyFont="1" applyFill="1" applyAlignment="1">
      <alignment horizontal="center" vertical="center"/>
    </xf>
    <xf numFmtId="0" fontId="16" fillId="10" borderId="6" xfId="0" applyFont="1" applyFill="1" applyBorder="1" applyAlignment="1">
      <alignment horizontal="center" vertical="center" wrapText="1"/>
    </xf>
    <xf numFmtId="0" fontId="16" fillId="10" borderId="1" xfId="0" applyFont="1" applyFill="1" applyBorder="1" applyAlignment="1">
      <alignment horizontal="center" vertical="center" wrapText="1"/>
    </xf>
    <xf numFmtId="0" fontId="9" fillId="0" borderId="3" xfId="0" applyFont="1" applyBorder="1" applyAlignment="1">
      <alignment horizontal="right" vertical="center"/>
    </xf>
    <xf numFmtId="0" fontId="16" fillId="10" borderId="16" xfId="0" applyFont="1" applyFill="1" applyBorder="1" applyAlignment="1">
      <alignment horizontal="center" vertical="center" wrapText="1"/>
    </xf>
    <xf numFmtId="0" fontId="16" fillId="10" borderId="2" xfId="0" applyFont="1" applyFill="1" applyBorder="1" applyAlignment="1">
      <alignment horizontal="center" vertical="center" wrapText="1"/>
    </xf>
    <xf numFmtId="0" fontId="16" fillId="10" borderId="17" xfId="0" applyFont="1" applyFill="1" applyBorder="1" applyAlignment="1">
      <alignment horizontal="center" vertical="center" wrapText="1"/>
    </xf>
    <xf numFmtId="0" fontId="2" fillId="6" borderId="18" xfId="0" applyFont="1" applyFill="1" applyBorder="1" applyAlignment="1">
      <alignment horizontal="center" vertical="center" wrapText="1"/>
    </xf>
    <xf numFmtId="0" fontId="2" fillId="6" borderId="4" xfId="0" applyFont="1" applyFill="1" applyBorder="1" applyAlignment="1">
      <alignment horizontal="center" vertical="center" wrapText="1"/>
    </xf>
    <xf numFmtId="0" fontId="2" fillId="0" borderId="0" xfId="0" applyFont="1" applyAlignment="1">
      <alignment horizontal="center" wrapText="1"/>
    </xf>
    <xf numFmtId="0" fontId="6" fillId="25" borderId="6" xfId="0" applyFont="1" applyFill="1" applyBorder="1" applyAlignment="1">
      <alignment horizontal="center" vertical="center"/>
    </xf>
    <xf numFmtId="0" fontId="6" fillId="25" borderId="1" xfId="0" applyFont="1" applyFill="1" applyBorder="1" applyAlignment="1">
      <alignment horizontal="center" vertical="center"/>
    </xf>
    <xf numFmtId="0" fontId="2" fillId="0" borderId="6" xfId="0" applyFont="1" applyBorder="1" applyAlignment="1">
      <alignment horizontal="center" vertical="center"/>
    </xf>
    <xf numFmtId="0" fontId="2" fillId="0" borderId="23" xfId="0" applyFont="1" applyBorder="1" applyAlignment="1">
      <alignment horizontal="center" vertical="center"/>
    </xf>
    <xf numFmtId="0" fontId="2" fillId="0" borderId="1" xfId="0" applyFont="1" applyBorder="1" applyAlignment="1">
      <alignment horizontal="center" vertical="center"/>
    </xf>
    <xf numFmtId="0" fontId="6" fillId="10" borderId="0" xfId="0" applyFont="1" applyFill="1" applyAlignment="1">
      <alignment horizontal="center" vertical="center" wrapText="1"/>
    </xf>
    <xf numFmtId="0" fontId="6" fillId="14" borderId="0" xfId="0" applyFont="1" applyFill="1" applyAlignment="1">
      <alignment horizontal="center" vertical="center" wrapText="1"/>
    </xf>
    <xf numFmtId="0" fontId="0" fillId="0" borderId="0" xfId="0" applyNumberFormat="1"/>
  </cellXfs>
  <cellStyles count="70">
    <cellStyle name="AF Column - IBM Cognos" xfId="30" xr:uid="{36E8C45D-3C9B-44B2-ADFA-B7D8A96AB859}"/>
    <cellStyle name="AF Data - IBM Cognos" xfId="31" xr:uid="{9BB3E4DE-2FA7-45E1-9CB2-5256F7BA297E}"/>
    <cellStyle name="AF Data 0 - IBM Cognos" xfId="32" xr:uid="{59E8037D-9273-4C11-9009-C89CABCFB9F0}"/>
    <cellStyle name="AF Data 1 - IBM Cognos" xfId="33" xr:uid="{BBB5F13C-5E4E-4356-A24B-6BFC19F0E090}"/>
    <cellStyle name="AF Data 2 - IBM Cognos" xfId="34" xr:uid="{60F473D4-C911-4442-8638-B10C140E6A07}"/>
    <cellStyle name="AF Data 3 - IBM Cognos" xfId="35" xr:uid="{AE41DE5A-6FC4-4E42-B257-9D166BDBD92F}"/>
    <cellStyle name="AF Data 4 - IBM Cognos" xfId="36" xr:uid="{970FEA06-F519-421F-83D4-9F255BE31CC5}"/>
    <cellStyle name="AF Data 5 - IBM Cognos" xfId="37" xr:uid="{B5456F16-F87B-4F14-8001-4705A2522C43}"/>
    <cellStyle name="AF Data Leaf - IBM Cognos" xfId="38" xr:uid="{1978E5EE-44B5-4C4E-ADC2-659805BD0B36}"/>
    <cellStyle name="AF Header - IBM Cognos" xfId="39" xr:uid="{187C6DA0-7A79-4919-BD95-1DD6BF434766}"/>
    <cellStyle name="AF Header 0 - IBM Cognos" xfId="40" xr:uid="{AD7212A9-0BED-4138-B2C3-ADD1FFA9DBC6}"/>
    <cellStyle name="AF Header 1 - IBM Cognos" xfId="41" xr:uid="{EDCE69E8-D022-40C8-ABBA-1BB341941462}"/>
    <cellStyle name="AF Header 2 - IBM Cognos" xfId="42" xr:uid="{160B3CFF-4CC6-46BE-A0AA-E9F98A084887}"/>
    <cellStyle name="AF Header 3 - IBM Cognos" xfId="43" xr:uid="{4960D21D-DF79-4454-976B-57E09B94840C}"/>
    <cellStyle name="AF Header 4 - IBM Cognos" xfId="44" xr:uid="{6497A6D6-9D85-46CE-9FA3-22FE76E2054E}"/>
    <cellStyle name="AF Header 5 - IBM Cognos" xfId="45" xr:uid="{B6468BAB-5995-4E7A-A63B-6F802C85414A}"/>
    <cellStyle name="AF Header Leaf - IBM Cognos" xfId="46" xr:uid="{BF3EFF0E-AA19-497A-B07A-A3AF595DC023}"/>
    <cellStyle name="AF Row - IBM Cognos" xfId="47" xr:uid="{BFBCA266-15B5-47FF-9949-9FEF0623007E}"/>
    <cellStyle name="AF Row 0 - IBM Cognos" xfId="48" xr:uid="{4C1E5DDA-4B03-4EFD-A30C-1947F1B18A81}"/>
    <cellStyle name="AF Row 1 - IBM Cognos" xfId="49" xr:uid="{75800F02-6485-40BA-8FAA-BE1D986F81C9}"/>
    <cellStyle name="AF Row 2 - IBM Cognos" xfId="50" xr:uid="{0317246E-50C6-4B59-95B5-90C814C56F0B}"/>
    <cellStyle name="AF Row 3 - IBM Cognos" xfId="51" xr:uid="{18A56FD2-C70D-4A0B-B546-48A2DCC62E9D}"/>
    <cellStyle name="AF Row 4 - IBM Cognos" xfId="52" xr:uid="{B72992AF-092D-451F-A0A2-3E5E4A43BA71}"/>
    <cellStyle name="AF Row 5 - IBM Cognos" xfId="53" xr:uid="{89695231-33F6-4560-9CC3-F9E0B7887BCA}"/>
    <cellStyle name="AF Row Leaf - IBM Cognos" xfId="54" xr:uid="{4074EA1E-C17B-427F-8153-1E44153E4CA2}"/>
    <cellStyle name="AF Subnm - IBM Cognos" xfId="55" xr:uid="{75E3F9E0-3768-4A67-808B-6CF7B75BBD47}"/>
    <cellStyle name="AF Title - IBM Cognos" xfId="56" xr:uid="{4B92584F-EDF6-4AB2-997E-EE86F9D4F94D}"/>
    <cellStyle name="Calculated Column - IBM Cognos" xfId="22" xr:uid="{B70E56C6-B051-4516-8E55-CAB5C1D040A3}"/>
    <cellStyle name="Calculated Column Name - IBM Cognos" xfId="20" xr:uid="{7EF6A970-D4FE-4650-AC5F-521861389202}"/>
    <cellStyle name="Calculated Row - IBM Cognos" xfId="23" xr:uid="{6E903643-364B-4D6D-A040-000FE1BC779A}"/>
    <cellStyle name="Calculated Row Name - IBM Cognos" xfId="21" xr:uid="{3AF2DD92-683C-4C03-9EB2-2B3D96C873BF}"/>
    <cellStyle name="Column Name - IBM Cognos" xfId="8" xr:uid="{4516029F-BDC2-4EE8-AAC4-BE6C0DFEDF0E}"/>
    <cellStyle name="Column Template - IBM Cognos" xfId="11" xr:uid="{DE60D3A9-A3FC-44BE-944F-838F22BDA0CF}"/>
    <cellStyle name="Comma" xfId="2" builtinId="3"/>
    <cellStyle name="Comma 2" xfId="68" xr:uid="{7CDD1417-A570-43D3-84BC-5C4ABAF67347}"/>
    <cellStyle name="Comma 3" xfId="66" xr:uid="{CA498196-82DD-4228-943C-97C183E33A63}"/>
    <cellStyle name="Differs From Base - IBM Cognos" xfId="29" xr:uid="{D9AC5586-80C8-4EED-BABA-516744F04416}"/>
    <cellStyle name="Edit - IBM Cognos" xfId="57" xr:uid="{CA58B19C-5018-45DE-865E-F540EDA6742C}"/>
    <cellStyle name="Formula - IBM Cognos" xfId="58" xr:uid="{1C6D20DB-16B8-47B4-A13C-47A764E15963}"/>
    <cellStyle name="Group Name - IBM Cognos" xfId="19" xr:uid="{70D1C4F4-0B04-4BCA-A618-419ED0967F74}"/>
    <cellStyle name="Hold Values - IBM Cognos" xfId="25" xr:uid="{81EE0201-B9F5-4C71-9797-78AD80C82010}"/>
    <cellStyle name="Hyperlink" xfId="69" builtinId="8"/>
    <cellStyle name="List Name - IBM Cognos" xfId="18" xr:uid="{3494778C-78AE-4676-8F33-185977DFB486}"/>
    <cellStyle name="Locked - IBM Cognos" xfId="28" xr:uid="{275E7BB7-7B9E-4376-A1A5-2EE329D31E52}"/>
    <cellStyle name="Measure - IBM Cognos" xfId="12" xr:uid="{A4C1ED11-A344-4601-B964-4853E94AD64D}"/>
    <cellStyle name="Measure Header - IBM Cognos" xfId="13" xr:uid="{1968522B-0362-43F4-B298-9EB4D344FEBA}"/>
    <cellStyle name="Measure Name - IBM Cognos" xfId="14" xr:uid="{468E1636-AF04-4D69-84EE-0892D64253B0}"/>
    <cellStyle name="Measure Summary - IBM Cognos" xfId="15" xr:uid="{9EA3B2CF-FB78-42DB-85F3-F4ED01C5E946}"/>
    <cellStyle name="Measure Summary TM1 - IBM Cognos" xfId="17" xr:uid="{F74BA67C-E536-4DBB-BFEC-A6403112D988}"/>
    <cellStyle name="Measure Template - IBM Cognos" xfId="16" xr:uid="{0971F7AE-454E-4370-A44F-96EF90A6CEDA}"/>
    <cellStyle name="More - IBM Cognos" xfId="24" xr:uid="{68B3CCE5-9F77-4DF3-BD5E-604C74B9E341}"/>
    <cellStyle name="Normal" xfId="0" builtinId="0"/>
    <cellStyle name="Normal 2" xfId="1" xr:uid="{00000000-0005-0000-0000-000002000000}"/>
    <cellStyle name="Normal 78" xfId="67" xr:uid="{512D86B2-B41F-4776-84DE-A1B3669CF1C1}"/>
    <cellStyle name="Pending Change - IBM Cognos" xfId="26" xr:uid="{14DF2C55-CFD9-4202-910F-5D49AA257882}"/>
    <cellStyle name="Percent" xfId="3" builtinId="5"/>
    <cellStyle name="Row Name - IBM Cognos" xfId="4" xr:uid="{25B479BD-FC7C-482E-A889-18D633D8BE6E}"/>
    <cellStyle name="Row Template - IBM Cognos" xfId="7" xr:uid="{5B9486B1-B1F1-43E4-84E6-263AEE35FA3D}"/>
    <cellStyle name="SAPDimensionCell" xfId="60" xr:uid="{C36C47EC-553C-4E91-B93E-E385CA562DE8}"/>
    <cellStyle name="SAPEditableDataCell" xfId="61" xr:uid="{32DC2C84-F214-4532-9861-BB2F8EF26585}"/>
    <cellStyle name="SAPEditableDataTotalCell" xfId="64" xr:uid="{69DA250F-9489-4FF8-A9E3-1D4CB1728963}"/>
    <cellStyle name="SAPMemberCell" xfId="59" xr:uid="{7D79FAA2-8034-4CB6-A622-31BDC6A73767}"/>
    <cellStyle name="SAPMemberTotalCell" xfId="63" xr:uid="{3E048868-8C37-40C1-AD57-7514E5370BA9}"/>
    <cellStyle name="SAPReadonlyDataCell" xfId="62" xr:uid="{9CBA8471-98B5-4166-9805-4BE51039E315}"/>
    <cellStyle name="SAPReadonlyDataTotalCell" xfId="65" xr:uid="{3D5749F1-4CA9-4880-889F-7527A18F5DA0}"/>
    <cellStyle name="Summary Column Name - IBM Cognos" xfId="9" xr:uid="{3EBA4C0E-6132-4B1C-B6A6-B855AE330AAB}"/>
    <cellStyle name="Summary Column Name TM1 - IBM Cognos" xfId="10" xr:uid="{4A3C5AF8-43D4-48D2-BC97-3110AF169FF7}"/>
    <cellStyle name="Summary Row Name - IBM Cognos" xfId="5" xr:uid="{52F00E74-770A-434D-A128-961D2762C0D0}"/>
    <cellStyle name="Summary Row Name TM1 - IBM Cognos" xfId="6" xr:uid="{28EBE4CF-CD71-49C4-890A-A4915EF95F21}"/>
    <cellStyle name="Unsaved Change - IBM Cognos" xfId="27" xr:uid="{21C9320F-8BE8-4A2D-8788-3DAB50649610}"/>
  </cellStyles>
  <dxfs count="274">
    <dxf>
      <numFmt numFmtId="1" formatCode="0"/>
    </dxf>
    <dxf>
      <numFmt numFmtId="0" formatCode="General"/>
    </dxf>
    <dxf>
      <numFmt numFmtId="165" formatCode="dddd"/>
      <alignment horizontal="left" vertical="bottom" textRotation="0" wrapText="0" indent="0" justifyLastLine="0" shrinkToFit="0" readingOrder="0"/>
    </dxf>
    <dxf>
      <numFmt numFmtId="0" formatCode="Genera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border diagonalUp="0" diagonalDown="0">
        <left/>
        <right/>
        <top style="thin">
          <color indexed="64"/>
        </top>
        <bottom style="thin">
          <color indexed="64"/>
        </bottom>
        <vertical/>
        <horizontal/>
      </border>
    </dxf>
    <dxf>
      <alignment horizontal="center" vertical="bottom" textRotation="0" wrapText="0" indent="0" justifyLastLine="0" shrinkToFit="0" readingOrder="0"/>
      <border diagonalUp="0" diagonalDown="0">
        <left/>
        <right/>
        <top style="thin">
          <color indexed="64"/>
        </top>
        <bottom style="thin">
          <color indexed="64"/>
        </bottom>
        <vertical/>
        <horizontal/>
      </border>
    </dxf>
    <dxf>
      <alignment horizontal="center" vertical="bottom" textRotation="0" wrapText="0" indent="0" justifyLastLine="0" shrinkToFit="0" readingOrder="0"/>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indexed="8"/>
        <name val="Calibri"/>
        <scheme val="minor"/>
      </font>
      <fill>
        <patternFill patternType="solid">
          <fgColor indexed="64"/>
          <bgColor theme="0" tint="-0.34998626667073579"/>
        </patternFill>
      </fill>
      <alignment horizontal="center" vertical="center" textRotation="0" wrapText="1" indent="0" justifyLastLine="0" shrinkToFit="0" readingOrder="0"/>
    </dxf>
    <dxf>
      <fill>
        <patternFill patternType="solid">
          <fgColor indexed="64"/>
          <bgColor rgb="FFFFFF00"/>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9" formatCode="m/d/yyyy"/>
    </dxf>
    <dxf>
      <numFmt numFmtId="21" formatCode="d\-mmm"/>
    </dxf>
    <dxf>
      <numFmt numFmtId="19" formatCode="m/d/yyyy"/>
    </dxf>
    <dxf>
      <numFmt numFmtId="0" formatCode="General"/>
    </dxf>
    <dxf>
      <numFmt numFmtId="0" formatCode="General"/>
    </dxf>
    <dxf>
      <numFmt numFmtId="0" formatCode="General"/>
    </dxf>
    <dxf>
      <numFmt numFmtId="0" formatCode="General"/>
    </dxf>
    <dxf>
      <alignment wrapText="1"/>
    </dxf>
    <dxf>
      <alignment horizontal="center"/>
    </dxf>
    <dxf>
      <alignment vertical="center"/>
    </dxf>
    <dxf>
      <fill>
        <patternFill patternType="solid">
          <bgColor theme="4" tint="0.59999389629810485"/>
        </patternFill>
      </fill>
    </dxf>
    <dxf>
      <fill>
        <patternFill patternType="solid">
          <bgColor theme="9" tint="0.79998168889431442"/>
        </patternFill>
      </fill>
    </dxf>
    <dxf>
      <alignment wrapText="1"/>
    </dxf>
    <dxf>
      <alignment horizontal="center"/>
    </dxf>
    <dxf>
      <alignment vertical="center"/>
    </dxf>
    <dxf>
      <numFmt numFmtId="167" formatCode="_(* #,##0.0_);_(* \(#,##0.0\);_(* &quot;-&quot;??_);_(@_)"/>
    </dxf>
    <dxf>
      <alignment vertical="center"/>
    </dxf>
    <dxf>
      <alignment vertical="center"/>
    </dxf>
    <dxf>
      <alignment horizontal="center"/>
    </dxf>
    <dxf>
      <alignment vertical="center"/>
    </dxf>
    <dxf>
      <fill>
        <patternFill>
          <bgColor theme="5" tint="0.79998168889431442"/>
        </patternFill>
      </fill>
    </dxf>
    <dxf>
      <numFmt numFmtId="169" formatCode="_(* #,##0_);_(* \(#,##0\);_(* &quot;-&quot;??_);_(@_)"/>
    </dxf>
    <dxf>
      <fill>
        <patternFill patternType="solid">
          <bgColor theme="3" tint="0.79998168889431442"/>
        </patternFill>
      </fill>
    </dxf>
    <dxf>
      <alignment vertical="center"/>
    </dxf>
    <dxf>
      <alignment vertical="center"/>
    </dxf>
    <dxf>
      <fill>
        <patternFill patternType="solid">
          <bgColor theme="5" tint="0.59999389629810485"/>
        </patternFill>
      </fill>
    </dxf>
    <dxf>
      <alignment vertical="center"/>
    </dxf>
    <dxf>
      <alignment horizontal="center"/>
    </dxf>
    <dxf>
      <alignment horizontal="center"/>
    </dxf>
    <dxf>
      <alignment horizontal="center"/>
    </dxf>
    <dxf>
      <alignment vertical="center"/>
    </dxf>
    <dxf>
      <alignment vertical="center"/>
    </dxf>
    <dxf>
      <alignment wrapText="1"/>
    </dxf>
    <dxf>
      <alignment wrapText="1"/>
    </dxf>
    <dxf>
      <fill>
        <patternFill patternType="solid">
          <bgColor theme="7" tint="0.59999389629810485"/>
        </patternFill>
      </fill>
    </dxf>
    <dxf>
      <numFmt numFmtId="169" formatCode="_(* #,##0_);_(* \(#,##0\);_(* &quot;-&quot;??_);_(@_)"/>
    </dxf>
    <dxf>
      <fill>
        <patternFill patternType="solid">
          <bgColor theme="9" tint="0.79998168889431442"/>
        </patternFill>
      </fill>
    </dxf>
    <dxf>
      <alignment wrapText="1"/>
    </dxf>
    <dxf>
      <alignment horizontal="center"/>
    </dxf>
    <dxf>
      <alignment vertical="center"/>
    </dxf>
    <dxf>
      <fill>
        <patternFill patternType="solid">
          <bgColor theme="4" tint="0.59999389629810485"/>
        </patternFill>
      </fill>
    </dxf>
    <dxf>
      <alignment wrapText="1"/>
    </dxf>
    <dxf>
      <alignment horizontal="center"/>
    </dxf>
    <dxf>
      <alignment vertical="center"/>
    </dxf>
    <dxf>
      <numFmt numFmtId="167" formatCode="_(* #,##0.0_);_(* \(#,##0.0\);_(* &quot;-&quot;??_);_(@_)"/>
    </dxf>
    <dxf>
      <fill>
        <patternFill>
          <bgColor theme="5" tint="0.79998168889431442"/>
        </patternFill>
      </fill>
    </dxf>
    <dxf>
      <numFmt numFmtId="169" formatCode="_(* #,##0_);_(* \(#,##0\);_(* &quot;-&quot;??_);_(@_)"/>
    </dxf>
    <dxf>
      <fill>
        <patternFill patternType="solid">
          <bgColor theme="3" tint="0.79998168889431442"/>
        </patternFill>
      </fill>
    </dxf>
    <dxf>
      <alignment vertical="center"/>
    </dxf>
    <dxf>
      <alignment vertical="center"/>
    </dxf>
    <dxf>
      <fill>
        <patternFill patternType="solid">
          <bgColor theme="5" tint="0.59999389629810485"/>
        </patternFill>
      </fill>
    </dxf>
    <dxf>
      <alignment vertical="center"/>
    </dxf>
    <dxf>
      <alignment horizontal="center"/>
    </dxf>
    <dxf>
      <alignment horizontal="center"/>
    </dxf>
    <dxf>
      <alignment horizontal="center"/>
    </dxf>
    <dxf>
      <alignment vertical="center"/>
    </dxf>
    <dxf>
      <alignment vertical="center"/>
    </dxf>
    <dxf>
      <alignment wrapText="1"/>
    </dxf>
    <dxf>
      <alignment wrapText="1"/>
    </dxf>
    <dxf>
      <fill>
        <patternFill patternType="solid">
          <bgColor theme="7" tint="0.59999389629810485"/>
        </patternFill>
      </fill>
    </dxf>
    <dxf>
      <numFmt numFmtId="169" formatCode="_(* #,##0_);_(* \(#,##0\);_(* &quot;-&quot;??_);_(@_)"/>
    </dxf>
    <dxf>
      <numFmt numFmtId="167" formatCode="_(* #,##0.0_);_(* \(#,##0.0\);_(* &quot;-&quot;??_);_(@_)"/>
    </dxf>
    <dxf>
      <numFmt numFmtId="35" formatCode="_(* #,##0.00_);_(* \(#,##0.00\);_(* &quot;-&quot;??_);_(@_)"/>
    </dxf>
    <dxf>
      <fill>
        <patternFill patternType="solid">
          <bgColor theme="7" tint="0.59999389629810485"/>
        </patternFill>
      </fill>
    </dxf>
    <dxf>
      <alignment wrapText="1"/>
    </dxf>
    <dxf>
      <alignment horizontal="center"/>
    </dxf>
    <dxf>
      <alignment vertical="center"/>
    </dxf>
    <dxf>
      <numFmt numFmtId="35" formatCode="_(* #,##0.00_);_(* \(#,##0.00\);_(* &quot;-&quot;??_);_(@_)"/>
    </dxf>
    <dxf>
      <fill>
        <patternFill patternType="solid">
          <bgColor theme="9" tint="0.79998168889431442"/>
        </patternFill>
      </fill>
    </dxf>
    <dxf>
      <alignment wrapText="1"/>
    </dxf>
    <dxf>
      <alignment horizontal="center"/>
    </dxf>
    <dxf>
      <alignment vertical="center"/>
    </dxf>
    <dxf>
      <numFmt numFmtId="35" formatCode="_(* #,##0.00_);_(* \(#,##0.00\);_(* &quot;-&quot;??_);_(@_)"/>
    </dxf>
    <dxf>
      <fill>
        <patternFill patternType="solid">
          <bgColor theme="5" tint="0.79998168889431442"/>
        </patternFill>
      </fill>
    </dxf>
    <dxf>
      <alignment horizontal="center"/>
    </dxf>
    <dxf>
      <alignment vertical="center"/>
    </dxf>
    <dxf>
      <numFmt numFmtId="35" formatCode="_(* #,##0.00_);_(* \(#,##0.00\);_(* &quot;-&quot;??_);_(@_)"/>
    </dxf>
    <dxf>
      <alignment vertical="center"/>
    </dxf>
    <dxf>
      <alignment horizontal="center"/>
    </dxf>
    <dxf>
      <alignment wrapText="1"/>
    </dxf>
    <dxf>
      <fill>
        <patternFill patternType="solid">
          <bgColor theme="4" tint="0.59999389629810485"/>
        </patternFill>
      </fill>
    </dxf>
    <dxf>
      <numFmt numFmtId="169" formatCode="_(* #,##0_);_(* \(#,##0\);_(* &quot;-&quot;??_);_(@_)"/>
    </dxf>
    <dxf>
      <alignment vertical="center"/>
    </dxf>
    <dxf>
      <fill>
        <patternFill patternType="solid">
          <bgColor theme="5" tint="0.59999389629810485"/>
        </patternFill>
      </fill>
    </dxf>
    <dxf>
      <alignment vertical="center"/>
    </dxf>
    <dxf>
      <alignment horizontal="center"/>
    </dxf>
    <dxf>
      <alignment horizontal="center"/>
    </dxf>
    <dxf>
      <alignment vertical="center"/>
    </dxf>
    <dxf>
      <alignment wrapText="1"/>
    </dxf>
    <dxf>
      <numFmt numFmtId="169" formatCode="_(* #,##0_);_(* \(#,##0\);_(* &quot;-&quot;??_);_(@_)"/>
    </dxf>
    <dxf>
      <numFmt numFmtId="35" formatCode="_(* #,##0.00_);_(* \(#,##0.00\);_(* &quot;-&quot;??_);_(@_)"/>
    </dxf>
    <dxf>
      <numFmt numFmtId="35" formatCode="_(* #,##0.00_);_(* \(#,##0.00\);_(* &quot;-&quot;??_);_(@_)"/>
    </dxf>
    <dxf>
      <numFmt numFmtId="167" formatCode="_(* #,##0.0_);_(* \(#,##0.0\);_(* &quot;-&quot;??_);_(@_)"/>
    </dxf>
    <dxf>
      <numFmt numFmtId="35" formatCode="_(* #,##0.00_);_(* \(#,##0.00\);_(* &quot;-&quot;??_);_(@_)"/>
    </dxf>
    <dxf>
      <fill>
        <patternFill patternType="solid">
          <bgColor theme="7" tint="0.59999389629810485"/>
        </patternFill>
      </fill>
    </dxf>
    <dxf>
      <alignment wrapText="1"/>
    </dxf>
    <dxf>
      <alignment horizontal="center"/>
    </dxf>
    <dxf>
      <alignment vertical="center"/>
    </dxf>
    <dxf>
      <numFmt numFmtId="35" formatCode="_(* #,##0.00_);_(* \(#,##0.00\);_(* &quot;-&quot;??_);_(@_)"/>
    </dxf>
    <dxf>
      <fill>
        <patternFill patternType="solid">
          <bgColor theme="9" tint="0.79998168889431442"/>
        </patternFill>
      </fill>
    </dxf>
    <dxf>
      <alignment wrapText="1"/>
    </dxf>
    <dxf>
      <alignment horizontal="center"/>
    </dxf>
    <dxf>
      <alignment vertical="center"/>
    </dxf>
    <dxf>
      <numFmt numFmtId="35" formatCode="_(* #,##0.00_);_(* \(#,##0.00\);_(* &quot;-&quot;??_);_(@_)"/>
    </dxf>
    <dxf>
      <numFmt numFmtId="35" formatCode="_(* #,##0.00_);_(* \(#,##0.00\);_(* &quot;-&quot;??_);_(@_)"/>
    </dxf>
    <dxf>
      <fill>
        <patternFill patternType="solid">
          <bgColor theme="5" tint="0.79998168889431442"/>
        </patternFill>
      </fill>
    </dxf>
    <dxf>
      <alignment horizontal="center"/>
    </dxf>
    <dxf>
      <alignment vertical="center"/>
    </dxf>
    <dxf>
      <numFmt numFmtId="35" formatCode="_(* #,##0.00_);_(* \(#,##0.00\);_(* &quot;-&quot;??_);_(@_)"/>
    </dxf>
    <dxf>
      <alignment wrapText="1"/>
    </dxf>
    <dxf>
      <alignment horizontal="center"/>
    </dxf>
    <dxf>
      <alignment vertical="center"/>
    </dxf>
    <dxf>
      <fill>
        <patternFill patternType="solid">
          <bgColor theme="4" tint="0.59999389629810485"/>
        </patternFill>
      </fill>
    </dxf>
    <dxf>
      <alignment vertical="center"/>
    </dxf>
    <dxf>
      <alignment vertical="center"/>
    </dxf>
    <dxf>
      <alignment horizontal="center"/>
    </dxf>
    <dxf>
      <alignment vertical="center"/>
    </dxf>
    <dxf>
      <numFmt numFmtId="169" formatCode="_(* #,##0_);_(* \(#,##0\);_(* &quot;-&quot;??_);_(@_)"/>
    </dxf>
    <dxf>
      <alignment vertical="center"/>
    </dxf>
    <dxf>
      <fill>
        <patternFill patternType="solid">
          <bgColor theme="5" tint="0.59999389629810485"/>
        </patternFill>
      </fill>
    </dxf>
    <dxf>
      <alignment vertical="center"/>
    </dxf>
    <dxf>
      <alignment horizontal="center"/>
    </dxf>
    <dxf>
      <alignment horizontal="center"/>
    </dxf>
    <dxf>
      <alignment vertical="center"/>
    </dxf>
    <dxf>
      <alignment wrapText="1"/>
    </dxf>
    <dxf>
      <numFmt numFmtId="169" formatCode="_(* #,##0_);_(* \(#,##0\);_(* &quot;-&quot;??_);_(@_)"/>
    </dxf>
    <dxf>
      <numFmt numFmtId="35" formatCode="_(* #,##0.00_);_(* \(#,##0.00\);_(* &quot;-&quot;??_);_(@_)"/>
    </dxf>
    <dxf>
      <numFmt numFmtId="35" formatCode="_(* #,##0.00_);_(* \(#,##0.00\);_(* &quot;-&quot;??_);_(@_)"/>
    </dxf>
    <dxf>
      <numFmt numFmtId="167" formatCode="_(* #,##0.0_);_(* \(#,##0.0\);_(* &quot;-&quot;??_);_(@_)"/>
    </dxf>
    <dxf>
      <numFmt numFmtId="35" formatCode="_(* #,##0.00_);_(* \(#,##0.00\);_(* &quot;-&quot;??_);_(@_)"/>
    </dxf>
    <dxf>
      <fill>
        <patternFill patternType="solid">
          <bgColor theme="7" tint="0.59999389629810485"/>
        </patternFill>
      </fill>
    </dxf>
    <dxf>
      <alignment wrapText="1"/>
    </dxf>
    <dxf>
      <alignment horizontal="center"/>
    </dxf>
    <dxf>
      <alignment vertical="center"/>
    </dxf>
    <dxf>
      <numFmt numFmtId="35" formatCode="_(* #,##0.00_);_(* \(#,##0.00\);_(* &quot;-&quot;??_);_(@_)"/>
    </dxf>
    <dxf>
      <fill>
        <patternFill patternType="solid">
          <bgColor theme="9" tint="0.79998168889431442"/>
        </patternFill>
      </fill>
    </dxf>
    <dxf>
      <alignment wrapText="1"/>
    </dxf>
    <dxf>
      <alignment horizontal="center"/>
    </dxf>
    <dxf>
      <alignment vertical="center"/>
    </dxf>
    <dxf>
      <numFmt numFmtId="35" formatCode="_(* #,##0.00_);_(* \(#,##0.00\);_(* &quot;-&quot;??_);_(@_)"/>
    </dxf>
    <dxf>
      <numFmt numFmtId="35" formatCode="_(* #,##0.00_);_(* \(#,##0.00\);_(* &quot;-&quot;??_);_(@_)"/>
    </dxf>
    <dxf>
      <fill>
        <patternFill patternType="solid">
          <bgColor theme="5" tint="0.79998168889431442"/>
        </patternFill>
      </fill>
    </dxf>
    <dxf>
      <alignment horizontal="center"/>
    </dxf>
    <dxf>
      <alignment vertical="center"/>
    </dxf>
    <dxf>
      <numFmt numFmtId="35" formatCode="_(* #,##0.00_);_(* \(#,##0.00\);_(* &quot;-&quot;??_);_(@_)"/>
    </dxf>
    <dxf>
      <alignment wrapText="1"/>
    </dxf>
    <dxf>
      <alignment horizontal="center"/>
    </dxf>
    <dxf>
      <alignment vertical="center"/>
    </dxf>
    <dxf>
      <fill>
        <patternFill patternType="solid">
          <bgColor theme="4" tint="0.59999389629810485"/>
        </patternFill>
      </fill>
    </dxf>
    <dxf>
      <alignment vertical="center"/>
    </dxf>
    <dxf>
      <alignment vertical="center"/>
    </dxf>
    <dxf>
      <alignment horizontal="center"/>
    </dxf>
    <dxf>
      <alignment vertical="center"/>
    </dxf>
    <dxf>
      <numFmt numFmtId="169" formatCode="_(* #,##0_);_(* \(#,##0\);_(* &quot;-&quot;??_);_(@_)"/>
    </dxf>
    <dxf>
      <alignment vertical="center"/>
    </dxf>
    <dxf>
      <fill>
        <patternFill patternType="solid">
          <bgColor theme="5" tint="0.59999389629810485"/>
        </patternFill>
      </fill>
    </dxf>
    <dxf>
      <alignment vertical="center"/>
    </dxf>
    <dxf>
      <alignment horizontal="center"/>
    </dxf>
    <dxf>
      <alignment horizontal="center"/>
    </dxf>
    <dxf>
      <alignment vertical="center"/>
    </dxf>
    <dxf>
      <alignment wrapText="1"/>
    </dxf>
    <dxf>
      <numFmt numFmtId="169" formatCode="_(* #,##0_);_(* \(#,##0\);_(* &quot;-&quot;??_);_(@_)"/>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CC00FF"/>
      <color rgb="FFCCCCFF"/>
      <color rgb="FF00CCFF"/>
      <color rgb="FF0099CC"/>
      <color rgb="FF9900CC"/>
      <color rgb="FFD60093"/>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eetMetadata" Target="metadata.xml"/><Relationship Id="rId42" Type="http://schemas.openxmlformats.org/officeDocument/2006/relationships/customXml" Target="../customXml/item6.xml"/><Relationship Id="rId47" Type="http://schemas.openxmlformats.org/officeDocument/2006/relationships/customXml" Target="../customXml/item11.xml"/><Relationship Id="rId50" Type="http://schemas.openxmlformats.org/officeDocument/2006/relationships/customXml" Target="../customXml/item14.xml"/><Relationship Id="rId55" Type="http://schemas.openxmlformats.org/officeDocument/2006/relationships/customXml" Target="../customXml/item19.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4.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45" Type="http://schemas.openxmlformats.org/officeDocument/2006/relationships/customXml" Target="../customXml/item9.xml"/><Relationship Id="rId53" Type="http://schemas.openxmlformats.org/officeDocument/2006/relationships/customXml" Target="../customXml/item17.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2.xml"/><Relationship Id="rId30" Type="http://schemas.openxmlformats.org/officeDocument/2006/relationships/theme" Target="theme/theme1.xml"/><Relationship Id="rId35" Type="http://schemas.microsoft.com/office/2017/10/relationships/person" Target="persons/person.xml"/><Relationship Id="rId43" Type="http://schemas.openxmlformats.org/officeDocument/2006/relationships/customXml" Target="../customXml/item7.xml"/><Relationship Id="rId48" Type="http://schemas.openxmlformats.org/officeDocument/2006/relationships/customXml" Target="../customXml/item12.xml"/><Relationship Id="rId56" Type="http://schemas.openxmlformats.org/officeDocument/2006/relationships/customXml" Target="../customXml/item20.xml"/><Relationship Id="rId8" Type="http://schemas.openxmlformats.org/officeDocument/2006/relationships/worksheet" Target="worksheets/sheet8.xml"/><Relationship Id="rId51" Type="http://schemas.openxmlformats.org/officeDocument/2006/relationships/customXml" Target="../customXml/item1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sharedStrings" Target="sharedStrings.xml"/><Relationship Id="rId38" Type="http://schemas.openxmlformats.org/officeDocument/2006/relationships/customXml" Target="../customXml/item2.xml"/><Relationship Id="rId46" Type="http://schemas.openxmlformats.org/officeDocument/2006/relationships/customXml" Target="../customXml/item10.xml"/><Relationship Id="rId20" Type="http://schemas.openxmlformats.org/officeDocument/2006/relationships/worksheet" Target="worksheets/sheet20.xml"/><Relationship Id="rId41" Type="http://schemas.openxmlformats.org/officeDocument/2006/relationships/customXml" Target="../customXml/item5.xml"/><Relationship Id="rId54"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3.xml"/><Relationship Id="rId36" Type="http://schemas.openxmlformats.org/officeDocument/2006/relationships/calcChain" Target="calcChain.xml"/><Relationship Id="rId49" Type="http://schemas.openxmlformats.org/officeDocument/2006/relationships/customXml" Target="../customXml/item13.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connections" Target="connections.xml"/><Relationship Id="rId44" Type="http://schemas.openxmlformats.org/officeDocument/2006/relationships/customXml" Target="../customXml/item8.xml"/><Relationship Id="rId52" Type="http://schemas.openxmlformats.org/officeDocument/2006/relationships/customXml" Target="../customXml/item16.xml"/></Relationships>
</file>

<file path=xl/drawings/drawing1.xml><?xml version="1.0" encoding="utf-8"?>
<xdr:wsDr xmlns:xdr="http://schemas.openxmlformats.org/drawingml/2006/spreadsheetDrawing" xmlns:a="http://schemas.openxmlformats.org/drawingml/2006/main">
  <xdr:twoCellAnchor>
    <xdr:from>
      <xdr:col>1</xdr:col>
      <xdr:colOff>853440</xdr:colOff>
      <xdr:row>16</xdr:row>
      <xdr:rowOff>7620</xdr:rowOff>
    </xdr:from>
    <xdr:to>
      <xdr:col>2</xdr:col>
      <xdr:colOff>1066800</xdr:colOff>
      <xdr:row>17</xdr:row>
      <xdr:rowOff>99060</xdr:rowOff>
    </xdr:to>
    <xdr:sp macro="[0]!refresh_data" textlink="">
      <xdr:nvSpPr>
        <xdr:cNvPr id="2" name="Rectangle 1">
          <a:extLst>
            <a:ext uri="{FF2B5EF4-FFF2-40B4-BE49-F238E27FC236}">
              <a16:creationId xmlns:a16="http://schemas.microsoft.com/office/drawing/2014/main" id="{00000000-0008-0000-0000-000002000000}"/>
            </a:ext>
          </a:extLst>
        </xdr:cNvPr>
        <xdr:cNvSpPr/>
      </xdr:nvSpPr>
      <xdr:spPr>
        <a:xfrm>
          <a:off x="1463040" y="2933700"/>
          <a:ext cx="1165860" cy="27432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 Refresh data</a:t>
          </a:r>
        </a:p>
      </xdr:txBody>
    </xdr:sp>
    <xdr:clientData/>
  </xdr:twoCellAnchor>
  <xdr:twoCellAnchor>
    <xdr:from>
      <xdr:col>2</xdr:col>
      <xdr:colOff>3550919</xdr:colOff>
      <xdr:row>16</xdr:row>
      <xdr:rowOff>7620</xdr:rowOff>
    </xdr:from>
    <xdr:to>
      <xdr:col>2</xdr:col>
      <xdr:colOff>6477000</xdr:colOff>
      <xdr:row>17</xdr:row>
      <xdr:rowOff>121920</xdr:rowOff>
    </xdr:to>
    <xdr:sp macro="[0]!copyData" textlink="">
      <xdr:nvSpPr>
        <xdr:cNvPr id="3" name="Rectangle 2">
          <a:extLst>
            <a:ext uri="{FF2B5EF4-FFF2-40B4-BE49-F238E27FC236}">
              <a16:creationId xmlns:a16="http://schemas.microsoft.com/office/drawing/2014/main" id="{00000000-0008-0000-0000-000003000000}"/>
            </a:ext>
          </a:extLst>
        </xdr:cNvPr>
        <xdr:cNvSpPr/>
      </xdr:nvSpPr>
      <xdr:spPr>
        <a:xfrm>
          <a:off x="5198744" y="3055620"/>
          <a:ext cx="2926081"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 Copy data to  Act. Month</a:t>
          </a:r>
        </a:p>
      </xdr:txBody>
    </xdr:sp>
    <xdr:clientData/>
  </xdr:twoCellAnchor>
  <xdr:twoCellAnchor>
    <xdr:from>
      <xdr:col>2</xdr:col>
      <xdr:colOff>1257300</xdr:colOff>
      <xdr:row>16</xdr:row>
      <xdr:rowOff>15240</xdr:rowOff>
    </xdr:from>
    <xdr:to>
      <xdr:col>2</xdr:col>
      <xdr:colOff>3409950</xdr:colOff>
      <xdr:row>17</xdr:row>
      <xdr:rowOff>121920</xdr:rowOff>
    </xdr:to>
    <xdr:sp macro="[0]!getDailySAP_from_weekly" textlink="">
      <xdr:nvSpPr>
        <xdr:cNvPr id="4" name="Rectangle 3">
          <a:extLst>
            <a:ext uri="{FF2B5EF4-FFF2-40B4-BE49-F238E27FC236}">
              <a16:creationId xmlns:a16="http://schemas.microsoft.com/office/drawing/2014/main" id="{00000000-0008-0000-0000-000004000000}"/>
            </a:ext>
          </a:extLst>
        </xdr:cNvPr>
        <xdr:cNvSpPr/>
      </xdr:nvSpPr>
      <xdr:spPr>
        <a:xfrm>
          <a:off x="2905125" y="3063240"/>
          <a:ext cx="2152650" cy="297180"/>
        </a:xfrm>
        <a:prstGeom prst="rect">
          <a:avLst/>
        </a:prstGeom>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t>2. use SAP Weekly to Daily</a:t>
          </a:r>
          <a:endParaRPr lang="en-US" sz="1100"/>
        </a:p>
      </xdr:txBody>
    </xdr:sp>
    <xdr:clientData/>
  </xdr:twoCellAnchor>
  <xdr:twoCellAnchor>
    <xdr:from>
      <xdr:col>2</xdr:col>
      <xdr:colOff>4997532</xdr:colOff>
      <xdr:row>18</xdr:row>
      <xdr:rowOff>82468</xdr:rowOff>
    </xdr:from>
    <xdr:to>
      <xdr:col>2</xdr:col>
      <xdr:colOff>6481948</xdr:colOff>
      <xdr:row>21</xdr:row>
      <xdr:rowOff>107208</xdr:rowOff>
    </xdr:to>
    <xdr:sp macro="[0]!refresh_All" textlink="">
      <xdr:nvSpPr>
        <xdr:cNvPr id="5" name="Rectangle 4">
          <a:extLst>
            <a:ext uri="{FF2B5EF4-FFF2-40B4-BE49-F238E27FC236}">
              <a16:creationId xmlns:a16="http://schemas.microsoft.com/office/drawing/2014/main" id="{08ABE651-DF11-410E-A49F-969D36675C3C}"/>
            </a:ext>
          </a:extLst>
        </xdr:cNvPr>
        <xdr:cNvSpPr/>
      </xdr:nvSpPr>
      <xdr:spPr>
        <a:xfrm>
          <a:off x="6696363" y="3348182"/>
          <a:ext cx="1484416" cy="47006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Refresh</a:t>
          </a:r>
          <a:r>
            <a:rPr lang="en-US" sz="1100" baseline="0"/>
            <a:t> All</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137583</xdr:colOff>
      <xdr:row>0</xdr:row>
      <xdr:rowOff>122242</xdr:rowOff>
    </xdr:from>
    <xdr:to>
      <xdr:col>2</xdr:col>
      <xdr:colOff>1081808</xdr:colOff>
      <xdr:row>3</xdr:row>
      <xdr:rowOff>161926</xdr:rowOff>
    </xdr:to>
    <mc:AlternateContent xmlns:mc="http://schemas.openxmlformats.org/markup-compatibility/2006" xmlns:a14="http://schemas.microsoft.com/office/drawing/2010/main">
      <mc:Choice Requires="a14">
        <xdr:graphicFrame macro="">
          <xdr:nvGraphicFramePr>
            <xdr:cNvPr id="2" name="Region 1">
              <a:extLst>
                <a:ext uri="{FF2B5EF4-FFF2-40B4-BE49-F238E27FC236}">
                  <a16:creationId xmlns:a16="http://schemas.microsoft.com/office/drawing/2014/main" id="{56002F0E-619C-4E03-A985-F73A3C2B8BE8}"/>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37583" y="122242"/>
              <a:ext cx="4012265" cy="5762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793747</xdr:colOff>
      <xdr:row>0</xdr:row>
      <xdr:rowOff>88295</xdr:rowOff>
    </xdr:from>
    <xdr:to>
      <xdr:col>11</xdr:col>
      <xdr:colOff>1104667</xdr:colOff>
      <xdr:row>5</xdr:row>
      <xdr:rowOff>172168</xdr:rowOff>
    </xdr:to>
    <mc:AlternateContent xmlns:mc="http://schemas.openxmlformats.org/markup-compatibility/2006" xmlns:a14="http://schemas.microsoft.com/office/drawing/2010/main">
      <mc:Choice Requires="a14">
        <xdr:graphicFrame macro="">
          <xdr:nvGraphicFramePr>
            <xdr:cNvPr id="3" name="Dist_Name 1">
              <a:extLst>
                <a:ext uri="{FF2B5EF4-FFF2-40B4-BE49-F238E27FC236}">
                  <a16:creationId xmlns:a16="http://schemas.microsoft.com/office/drawing/2014/main" id="{93736DFD-7273-490C-B6DA-12B7758444D5}"/>
                </a:ext>
              </a:extLst>
            </xdr:cNvPr>
            <xdr:cNvGraphicFramePr/>
          </xdr:nvGraphicFramePr>
          <xdr:xfrm>
            <a:off x="0" y="0"/>
            <a:ext cx="0" cy="0"/>
          </xdr:xfrm>
          <a:graphic>
            <a:graphicData uri="http://schemas.microsoft.com/office/drawing/2010/slicer">
              <sle:slicer xmlns:sle="http://schemas.microsoft.com/office/drawing/2010/slicer" name="Dist_Name 1"/>
            </a:graphicData>
          </a:graphic>
        </xdr:graphicFrame>
      </mc:Choice>
      <mc:Fallback xmlns="">
        <xdr:sp macro="" textlink="">
          <xdr:nvSpPr>
            <xdr:cNvPr id="0" name=""/>
            <xdr:cNvSpPr>
              <a:spLocks noTextEdit="1"/>
            </xdr:cNvSpPr>
          </xdr:nvSpPr>
          <xdr:spPr>
            <a:xfrm>
              <a:off x="4783664" y="88295"/>
              <a:ext cx="9631718" cy="9834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74083</xdr:colOff>
      <xdr:row>0</xdr:row>
      <xdr:rowOff>143409</xdr:rowOff>
    </xdr:from>
    <xdr:to>
      <xdr:col>3</xdr:col>
      <xdr:colOff>44169</xdr:colOff>
      <xdr:row>4</xdr:row>
      <xdr:rowOff>1</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EBBF4374-7145-4233-A462-76DFB949FD2D}"/>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4083" y="143408"/>
              <a:ext cx="3959228" cy="5736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264580</xdr:colOff>
      <xdr:row>0</xdr:row>
      <xdr:rowOff>172962</xdr:rowOff>
    </xdr:from>
    <xdr:to>
      <xdr:col>12</xdr:col>
      <xdr:colOff>306308</xdr:colOff>
      <xdr:row>6</xdr:row>
      <xdr:rowOff>76918</xdr:rowOff>
    </xdr:to>
    <mc:AlternateContent xmlns:mc="http://schemas.openxmlformats.org/markup-compatibility/2006" xmlns:a14="http://schemas.microsoft.com/office/drawing/2010/main">
      <mc:Choice Requires="a14">
        <xdr:graphicFrame macro="">
          <xdr:nvGraphicFramePr>
            <xdr:cNvPr id="6" name="Dist_Name">
              <a:extLst>
                <a:ext uri="{FF2B5EF4-FFF2-40B4-BE49-F238E27FC236}">
                  <a16:creationId xmlns:a16="http://schemas.microsoft.com/office/drawing/2014/main" id="{9CF03296-8D30-4677-8EC3-5DC536A71377}"/>
                </a:ext>
              </a:extLst>
            </xdr:cNvPr>
            <xdr:cNvGraphicFramePr/>
          </xdr:nvGraphicFramePr>
          <xdr:xfrm>
            <a:off x="0" y="0"/>
            <a:ext cx="0" cy="0"/>
          </xdr:xfrm>
          <a:graphic>
            <a:graphicData uri="http://schemas.microsoft.com/office/drawing/2010/slicer">
              <sle:slicer xmlns:sle="http://schemas.microsoft.com/office/drawing/2010/slicer" name="Dist_Name"/>
            </a:graphicData>
          </a:graphic>
        </xdr:graphicFrame>
      </mc:Choice>
      <mc:Fallback xmlns="">
        <xdr:sp macro="" textlink="">
          <xdr:nvSpPr>
            <xdr:cNvPr id="0" name=""/>
            <xdr:cNvSpPr>
              <a:spLocks noTextEdit="1"/>
            </xdr:cNvSpPr>
          </xdr:nvSpPr>
          <xdr:spPr>
            <a:xfrm>
              <a:off x="4233330" y="172962"/>
              <a:ext cx="9673170" cy="9834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person displayName="Treevipanon, Pattama" id="{EE34C9DE-EE90-4180-9F72-EA489323748F}" userId="Treevipanon, Pattama" providerId="Non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slam, Md Rakibul" refreshedDate="45909.735034722224" createdVersion="6" refreshedVersion="8" minRefreshableVersion="3" recordCount="6017" xr:uid="{1487AEE5-713B-49EE-8B06-9E715572E4C1}">
  <cacheSource type="worksheet">
    <worksheetSource ref="A2:J7000" sheet="Weekly_Vol_Dist"/>
  </cacheSource>
  <cacheFields count="10">
    <cacheField name="Bill. date" numFmtId="173">
      <sharedItems containsNonDate="0" containsDate="1" containsString="0" containsBlank="1" minDate="2025-06-02T00:00:00" maxDate="2025-06-17T00:00:00"/>
    </cacheField>
    <cacheField name="Cust_Cat.Cust_Name" numFmtId="0">
      <sharedItems containsBlank="1"/>
    </cacheField>
    <cacheField name="Cust_Cat.Customer category" numFmtId="0">
      <sharedItems containsBlank="1"/>
    </cacheField>
    <cacheField name="Cust_Cat.cust_channel" numFmtId="0">
      <sharedItems containsBlank="1"/>
    </cacheField>
    <cacheField name="Map_Product.TME_Brand" numFmtId="0">
      <sharedItems containsBlank="1"/>
    </cacheField>
    <cacheField name="Map_Product.TME_SKU" numFmtId="0">
      <sharedItems containsBlank="1"/>
    </cacheField>
    <cacheField name="date_Source3.Week_no" numFmtId="1">
      <sharedItems containsString="0" containsBlank="1" containsNumber="1" containsInteger="1" minValue="0" maxValue="0"/>
    </cacheField>
    <cacheField name="Quantity" numFmtId="1">
      <sharedItems containsString="0" containsBlank="1" containsNumber="1" containsInteger="1" minValue="10" maxValue="41000"/>
    </cacheField>
    <cacheField name="Dist_Code" numFmtId="0">
      <sharedItems containsBlank="1"/>
    </cacheField>
    <cacheField name="Check" numFmtId="0">
      <sharedItems containsBlank="1" count="330">
        <s v="S201MV_SB"/>
        <s v="S201MV_OPT"/>
        <s v="S201WICO_RE"/>
        <s v="S201WICO_BL"/>
        <s v="S201WICO_GR"/>
        <s v="S201CM_FF"/>
        <s v="S201CM_BL"/>
        <s v="S201CM_MN"/>
        <s v="S201CMHD_YL"/>
        <s v="S201CMHD_GR"/>
        <s v="S401MV_SB"/>
        <s v="S401WICO_RE"/>
        <s v="S401WICO_GR"/>
        <s v="S401CM_FF"/>
        <s v="S401CM_BL"/>
        <s v="S401CM_MN"/>
        <s v="S401CMHD_YL"/>
        <s v="S401CMHD_GR"/>
        <s v="S504WICO_RE"/>
        <s v="S504WICO_BL"/>
        <s v="S504WICO_GR"/>
        <s v="S504CM_FF"/>
        <s v="S504CM_BL"/>
        <s v="S504CM_MN"/>
        <s v="S504CMHD_YL"/>
        <s v="S504CMHD_GR"/>
        <s v="S203CM_FF"/>
        <s v="S203CM_BL"/>
        <s v="S203CMHD_YL"/>
        <s v="S203CMHD_GR"/>
        <s v="S203WICO_RE"/>
        <s v="S203WICO_BL"/>
        <s v="S203WICO_GR"/>
        <s v="S203CM_MN"/>
        <s v="S202MV_SB"/>
        <s v="S202MV_OPT"/>
        <s v="S202WIKS_BL"/>
        <s v="S202WICO_RE"/>
        <s v="S202WICO_BL"/>
        <s v="S202WICO_GR"/>
        <s v="S202CM_FF"/>
        <s v="S202CM_BL"/>
        <s v="S202CM_MN"/>
        <s v="S202CMHD_YL"/>
        <s v="S105MV_SB"/>
        <s v="S105CM_FF"/>
        <s v="S105CMHD_YL"/>
        <s v="S105CMHD_GR"/>
        <s v="S302MV_OB"/>
        <s v="S302MV_SB"/>
        <s v="S302MV_OPT"/>
        <s v="S302WICO_RE"/>
        <s v="S302WICO_BL"/>
        <s v="S302CM_FF"/>
        <s v="S302CM_BL"/>
        <s v="S302CM_MN"/>
        <s v="S302CMHD_YL"/>
        <s v="S302WIKS_BL"/>
        <s v="S105WIKS_BL"/>
        <s v="S105WICO_BL"/>
        <s v="S504MV_SB"/>
        <s v="S102MV_OB"/>
        <s v="S102MV_OPT"/>
        <s v="S102CM_FF"/>
        <s v="S102CM_MN"/>
        <s v="S102CMHD_YL"/>
        <s v="S401WICO_BL"/>
        <s v="S104MV_SB"/>
        <s v="S104MV_OPT"/>
        <s v="S104WICO_RE"/>
        <s v="S104WICO_BL"/>
        <s v="S104WICO_GR"/>
        <s v="S104CM_FF"/>
        <s v="S104CM_BL"/>
        <s v="S104CMHD_YL"/>
        <s v="S203MV_OB"/>
        <s v="S202CMHD_GR"/>
        <s v="S301MV_OB"/>
        <s v="S301MV_SB"/>
        <s v="S301WIKS_BL"/>
        <s v="S301WICO_RE"/>
        <s v="S301WICO_BL"/>
        <s v="S301WICO_GR"/>
        <s v="S301CM_FF"/>
        <s v="S301CM_BL"/>
        <s v="S301CM_MN"/>
        <s v="S301CMHD_YL"/>
        <s v="S105WICO_RE"/>
        <s v="S105WICO_GR"/>
        <s v="S105CM_BL"/>
        <s v="S105CM_MN"/>
        <s v="S104CM_MN"/>
        <s v="S104CMHD_GR"/>
        <s v=""/>
        <m/>
        <s v="S504MV_OPT" u="1"/>
        <s v="S401MV_OB" u="1"/>
        <s v="S302WICO_GR" u="1"/>
        <s v="S105MV_OB" u="1"/>
        <s v="S301MV_OPT" u="1"/>
        <s v="S102WIKS_BL" u="1"/>
        <s v="S102WICO_BL" u="1"/>
        <s v="S102CM_BL" u="1"/>
        <s v="S102CMHD_GR" u="1"/>
        <s v="S203WIKS_BL" u="1"/>
        <s v="S504MV_OB" u="1"/>
        <s v="S102WICO_RE" u="1"/>
        <s v="S102WICO_GR" u="1"/>
        <s v="S202MV_OB" u="1"/>
        <s v="S102MV_SB" u="1"/>
        <s v="S201WIKS_BL" u="1"/>
        <s v="S105MV_OPT" u="1"/>
        <s v="S401WIKS_BL" u="1"/>
        <s v="S104MV_OB" u="1"/>
        <s v="S104WIKS_BL" u="1"/>
        <s v="S203MV_SB" u="1"/>
        <s v="S401MV_OPT" u="1"/>
        <s v="S203MV_OPT" u="1"/>
        <s v="S504WIKS_BL" u="1"/>
        <s v="S104CMHD_BL" u="1"/>
        <s v="S203CMHD_BL" u="1"/>
        <s v="S302CMHD_BL" u="1"/>
        <s v="MV_OB" u="1"/>
        <s v="MV_SB" u="1"/>
        <s v="WICO_RE" u="1"/>
        <s v="WICO_BL" u="1"/>
        <s v="WICO_GR" u="1"/>
        <s v="CM_FF" u="1"/>
        <s v="CM_BL" u="1"/>
        <s v="CM_MN" u="1"/>
        <s v="CMHD_YL" u="1"/>
        <s v="CMHD_GR" u="1"/>
        <s v="MV_OPT" u="1"/>
        <s v="WIKS_BL" u="1"/>
        <s v="S301CMHD_BL" u="1"/>
        <s v="S102CMHD_BL" u="1"/>
        <s v="S105CMHD_BL" u="1"/>
        <s v="S201CMHD_BL" u="1"/>
        <s v="S202CMHD_BL" u="1"/>
        <s v="CM_EC" u="1"/>
        <s v="S106MV_SB" u="1"/>
        <s v="S501CM_BL" u="1"/>
        <s v="S503CM_EC" u="1"/>
        <s v="S203WICO_BK" u="1"/>
        <s v="S302CMCO_BL" u="1"/>
        <s v="S402WIKS_CL" u="1"/>
        <s v="S102CM_EC" u="1"/>
        <s v="S503CM_MN" u="1"/>
        <s v="S204WICO_BL" u="1"/>
        <s v="S402WIKS_BM" u="1"/>
        <s v="S502MV_OPT" u="1"/>
        <s v="S106WIKS_CL" u="1"/>
        <s v="S301CMCO_YL" u="1"/>
        <s v="S403WICO_BK" u="1"/>
        <s v="S503CMCO_GR" u="1"/>
        <s v="S302CM_EC" u="1"/>
        <s v="S102CMCO_GR" u="1"/>
        <s v="S201WIKS_CL" u="1"/>
        <s v="S501CM_FF" u="1"/>
        <s v="S106WIKS_BM" u="1"/>
        <s v="S201WIKS_BM" u="1"/>
        <s v="S501CMCO_YL" u="1"/>
        <s v="S502CM_EC" u="1"/>
        <s v="S202WICO_BK" u="1"/>
        <s v="S302CMCO_GR" u="1"/>
        <s v="S401WIKS_CL" u="1"/>
        <s v="S502CM_MN" u="1"/>
        <s v="S204WICO_GR" u="1"/>
        <s v="S401WIKS_BM" u="1"/>
        <s v="S204CM_BL" u="1"/>
        <s v="S501MV_OPT" u="1"/>
        <s v="S105WIKS_CL" u="1"/>
        <s v="S402WICO_BK" u="1"/>
        <s v="S502CMCO_GR" u="1"/>
        <s v="S204MV_NG" u="1"/>
        <s v="S301CM_EC" u="1"/>
        <s v="S403WICO_BL" u="1"/>
        <s v="S503MV_OB" u="1"/>
        <s v="S105WIKS_BM" u="1"/>
        <s v="S106WICO_BK" u="1"/>
        <s v="S501CM_EC" u="1"/>
        <s v="S201WICO_BK" u="1"/>
        <s v="S301CMCO_GR" u="1"/>
        <s v="S204CM_FF" u="1"/>
        <s v="S501CM_MN" u="1"/>
        <s v="S204CMCO_YL" u="1"/>
        <s v="S104WIKS_CL" u="1"/>
        <s v="S501CMCO_GR" u="1"/>
        <s v="S503WICO_RE" u="1"/>
        <s v="S203MV_NG" u="1"/>
        <s v="S402WICO_BL" u="1"/>
        <s v="S403WICO_GR" u="1"/>
        <s v="S502MV_OB" u="1"/>
        <s v="S104WIKS_BM" u="1"/>
        <s v="S403CM_BL" u="1"/>
        <s v="S204MV_OPT" u="1"/>
        <s v="S105WICO_BK" u="1"/>
        <s v="S106WICO_BL" u="1"/>
        <s v="S203CMCO_YL" u="1"/>
        <s v="S504WIKS_CL" u="1"/>
        <s v="S204CM_EC" u="1"/>
        <s v="S502WICO_RE" u="1"/>
        <s v="S503WIKS_BL" u="1"/>
        <s v="S202MV_NG" u="1"/>
        <s v="S204CM_MN" u="1"/>
        <s v="S403CM_FF" u="1"/>
        <s v="S402WICO_GR" u="1"/>
        <s v="S504WIKS_BM" u="1"/>
        <s v="S403CMCO_YL" u="1"/>
        <s v="S402CM_BL" u="1"/>
        <s v="S503MV_SB" u="1"/>
        <s v="S104WICO_BK" u="1"/>
        <s v="S203CMCO_BL" u="1"/>
        <s v="S204CMCO_GR" u="1"/>
        <s v="S106WICO_GR" u="1"/>
        <s v="S106CM_BL" u="1"/>
        <s v="S403MV_OPT" u="1"/>
        <s v="S202CMCO_YL" u="1"/>
        <s v="S503WIKS_CL" u="1"/>
        <s v="S106MV_NG" u="1"/>
        <s v="S203CM_EC" u="1"/>
        <s v="S102WIKS_CL" u="1"/>
        <s v="S501WICO_RE" u="1"/>
        <s v="S502WIKS_BL" u="1"/>
        <s v="S201MV_NG" u="1"/>
        <s v="S402CM_FF" u="1"/>
        <s v="S503WIKS_BM" u="1"/>
        <s v="S102WIKS_BM" u="1"/>
        <s v="S402CMCO_YL" u="1"/>
        <s v="S403CM_EC" u="1"/>
        <s v="S502MV_SB" u="1"/>
        <s v="S202CMCO_BL" u="1"/>
        <s v="S203CMCO_GR" u="1"/>
        <s v="S302WIKS_CL" u="1"/>
        <s v="S106CM_FF" u="1"/>
        <s v="S401MV_NG" u="1"/>
        <s v="S403CM_MN" u="1"/>
        <s v="S204MV_OB" u="1"/>
        <s v="S106CMCO_YL" u="1"/>
        <s v="S302WIKS_BM" u="1"/>
        <s v="S402MV_OPT" u="1"/>
        <s v="S201CMCO_YL" u="1"/>
        <s v="S403CMCO_GR" u="1"/>
        <s v="S502WIKS_CL" u="1"/>
        <s v="S105MV_NG" u="1"/>
        <s v="S202CM_EC" u="1"/>
        <s v="S501WIKS_BL" u="1"/>
        <s v="S302CMHD_GR" u="1"/>
        <s v="S502WIKS_BM" u="1"/>
        <s v="S106MV_OPT" u="1"/>
        <s v="S401CMCO_YL" u="1"/>
        <s v="S503WICO_BK" u="1"/>
        <s v="S402CM_EC" u="1"/>
        <s v="S102WICO_BK" u="1"/>
        <s v="S201CMCO_BL" u="1"/>
        <s v="S202CMCO_GR" u="1"/>
        <s v="S204WICO_RE" u="1"/>
        <s v="S301WIKS_CL" u="1"/>
        <s v="S402CM_MN" u="1"/>
        <s v="S105CMCO_YL" u="1"/>
        <s v="S301WIKS_BM" u="1"/>
        <s v="S106CM_EC" u="1"/>
        <s v="S302WICO_BK" u="1"/>
        <s v="S401CMCO_BL" u="1"/>
        <s v="S402CMCO_GR" u="1"/>
        <s v="S501WIKS_CL" u="1"/>
        <s v="S104MV_NG" u="1"/>
        <s v="S106CM_MN" u="1"/>
        <s v="S201CM_EC" u="1"/>
        <s v="S403MV_OB" u="1"/>
        <s v="S105CMCO_BL" u="1"/>
        <s v="S106CMCO_GR" u="1"/>
        <s v="S502WICO_BK" u="1"/>
        <s v="S401CM_EC" u="1"/>
        <s v="S201CMCO_GR" u="1"/>
        <s v="S204WIKS_BL" u="1"/>
        <s v="S503WICO_BL" u="1"/>
        <s v="S104CMCO_YL" u="1"/>
        <s v="S105CM_EC" u="1"/>
        <s v="S204MV_SB" u="1"/>
        <s v="S504MV_NG" u="1"/>
        <s v="S301WICO_BK" u="1"/>
        <s v="S401CMCO_GR" u="1"/>
        <s v="S403WICO_RE" u="1"/>
        <s v="S402MV_OB" u="1"/>
        <s v="S104CMCO_BL" u="1"/>
        <s v="S105CMCO_GR" u="1"/>
        <s v="S204WIKS_CL" u="1"/>
        <s v="S502WICO_BL" u="1"/>
        <s v="S503WICO_GR" u="1"/>
        <s v="S106MV_OB" u="1"/>
        <s v="S204WIKS_BM" u="1"/>
        <s v="S504CMCO_YL" u="1"/>
        <s v="S201MV_OB" u="1"/>
        <s v="S503CM_BL" u="1"/>
        <s v="S104CM_EC" u="1"/>
        <s v="S503MV_NG" u="1"/>
        <s v="S402WICO_RE" u="1"/>
        <s v="S403WIKS_BL" u="1"/>
        <s v="S102MV_NG" u="1"/>
        <s v="S504CMCO_BL" u="1"/>
        <s v="S403MV_SB" u="1"/>
        <s v="S104CMCO_GR" u="1"/>
        <s v="S106WICO_RE" u="1"/>
        <s v="S203WIKS_CL" u="1"/>
        <s v="S302MV_NG" u="1"/>
        <s v="S503CM_FF" u="1"/>
        <s v="S501WICO_BL" u="1"/>
        <s v="S502WICO_GR" u="1"/>
        <s v="S203WIKS_BM" u="1"/>
        <s v="S503CMCO_YL" u="1"/>
        <s v="S502CM_BL" u="1"/>
        <s v="S504CM_EC" u="1"/>
        <s v="S102CMCO_YL" u="1"/>
        <s v="S403WIKS_CL" u="1"/>
        <s v="S502MV_NG" u="1"/>
        <s v="S402WIKS_BL" u="1"/>
        <s v="S403WIKS_BM" u="1"/>
        <s v="S503MV_OPT" u="1"/>
        <s v="S302CMCO_YL" u="1"/>
        <s v="S504CMCO_GR" u="1"/>
        <s v="S402MV_SB" u="1"/>
        <s v="S102CMCO_BL" u="1"/>
        <s v="S106WIKS_BL" u="1"/>
        <s v="S202WIKS_CL" u="1"/>
        <s v="S301MV_NG" u="1"/>
        <s v="S502CM_FF" u="1"/>
        <s v="S501WICO_GR" u="1"/>
        <s v="S202WIKS_BM" u="1"/>
        <s v="S502CMCO_YL"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slam, Md Rakibul" refreshedDate="45909.735035300924" createdVersion="6" refreshedVersion="8" minRefreshableVersion="3" recordCount="122" xr:uid="{2AE1A40B-96FC-4552-A16D-CA7563FEFC66}">
  <cacheSource type="worksheet">
    <worksheetSource name="Table_ExternalData_1141214"/>
  </cacheSource>
  <cacheFields count="18">
    <cacheField name="Region" numFmtId="1">
      <sharedItems containsBlank="1" count="7">
        <s v="GBKK"/>
        <s v="CENTRAL"/>
        <s v="SOUTH"/>
        <s v="NORTH"/>
        <s v="NE"/>
        <m u="1"/>
        <s v="NTE" u="1"/>
      </sharedItems>
    </cacheField>
    <cacheField name="DIST_CD" numFmtId="0">
      <sharedItems count="17">
        <s v="S102"/>
        <s v="S104"/>
        <s v="S105"/>
        <s v="S201"/>
        <s v="S202"/>
        <s v="S203"/>
        <s v="S301"/>
        <s v="S302"/>
        <s v="S401"/>
        <s v="S504"/>
        <s v="S503" u="1"/>
        <s v="S502" u="1"/>
        <s v="S501" u="1"/>
        <s v="S204" u="1"/>
        <s v="S403" u="1"/>
        <s v="S402" u="1"/>
        <s v="S106" u="1"/>
      </sharedItems>
    </cacheField>
    <cacheField name="Dist_Name" numFmtId="0">
      <sharedItems containsBlank="1" count="31">
        <s v="Natthakorn Distributor Co., Ltd."/>
        <s v="M Prosper Co., Ltd."/>
        <s v="Wealimex Co., Ltd."/>
        <s v="Samsub Distributor Ltd., Part."/>
        <s v="Serichai AS&amp;D Co., Ltd."/>
        <s v="RPB Distribution Co., Ltd."/>
        <s v="M M Beverage Co., Ltd."/>
        <s v="Ratchasima D.C. Co., Ltd."/>
        <s v="Sor. Charoen Supply 2018 Co., Ltd."/>
        <s v="Ratchasima P.D.C. Co., Ltd."/>
        <m u="1"/>
        <s v="Ocean D.C. Co., Ltd." u="1"/>
        <s v="NATTHAKORN DISTRIBUTION CO., LTD." u="1"/>
        <s v="Asiachai West Co., Ltd." u="1"/>
        <s v="Ratchasima P.D.C. Co,. Ltd. (Ubon)" u="1"/>
        <s v="B.V. Distributor Ltd., Part." u="1"/>
        <s v="Sate Millennium Co., Ltd." u="1"/>
        <s v="Ratchasima P.D.C. Co,. Ltd. (Korat)" u="1"/>
        <s v="B.V. Distributor Limited Partnership" u="1"/>
        <s v="Big Biz Plus Co., Ltd." u="1"/>
        <s v="Siam Food and Consumer Co., Ltd." u="1"/>
        <s v="Banpaew Distribution Ltd., Part." u="1"/>
        <s v="Khonkaen Panich Co., Ltd." u="1"/>
        <s v="Sor. Charoen Supply 2018 Limited Partnership" u="1"/>
        <s v="Ratchasima P.D.C. Co,. Ltd. (Khon Kaen)" u="1"/>
        <s v="BANPAEW DISTRIBUTION LIMITED PARTNERSHIP" u="1"/>
        <s v="CE Prosper Co., Ltd." u="1"/>
        <s v="Samsub Distributor Limited Partnership" u="1"/>
        <s v="CE Prosper Co., Ltd. " u="1"/>
        <s v="Ratchasima P.AS&amp;D Co., Ltd." u="1"/>
        <s v="RPB Distribution" u="1"/>
      </sharedItems>
    </cacheField>
    <cacheField name="Brand" numFmtId="0">
      <sharedItems containsBlank="1" count="7">
        <s v="MV"/>
        <s v="CM"/>
        <s v="CMHD"/>
        <s v="WICO"/>
        <s v="WIKS"/>
        <s v="CMCO" u="1"/>
        <m u="1"/>
      </sharedItems>
    </cacheField>
    <cacheField name="SKU" numFmtId="0">
      <sharedItems containsBlank="1" count="23">
        <s v="MV_SB"/>
        <s v="CM_FF"/>
        <s v="CMHD_GR"/>
        <s v="CMHD_YL"/>
        <s v="WICO_GR"/>
        <s v="MV_OB"/>
        <s v="CM_MN"/>
        <s v="CM_BL"/>
        <s v="WIKS_BL"/>
        <s v="WICO_BL"/>
        <s v="MV_OPT"/>
        <s v="WICO_RE"/>
        <s v="CMHD_BL"/>
        <s v="CM_EC"/>
        <s v="CMCO_BL" u="1"/>
        <s v="WICO_BK" u="1"/>
        <s v="CMCO_YL" u="1"/>
        <m u="1"/>
        <s v="WIKS_CL" u="1"/>
        <s v="WIKS_BM" u="1"/>
        <s v="MV_NG" u="1"/>
        <s v="MV_CA" u="1"/>
        <s v="CMCO_GR" u="1"/>
      </sharedItems>
    </cacheField>
    <cacheField name="Dist_Stock" numFmtId="0">
      <sharedItems containsSemiMixedTypes="0" containsString="0" containsNumber="1" containsInteger="1" minValue="0" maxValue="48755"/>
    </cacheField>
    <cacheField name="Dist_Receipt" numFmtId="0">
      <sharedItems containsSemiMixedTypes="0" containsString="0" containsNumber="1" containsInteger="1" minValue="0" maxValue="90000"/>
    </cacheField>
    <cacheField name="PRDperDay" numFmtId="0">
      <sharedItems containsSemiMixedTypes="0" containsString="0" containsNumber="1" minValue="0" maxValue="4256.3265300000003"/>
    </cacheField>
    <cacheField name="SellOut" numFmtId="0">
      <sharedItems containsSemiMixedTypes="0" containsString="0" containsNumber="1" containsInteger="1" minValue="0" maxValue="108804"/>
    </cacheField>
    <cacheField name="Chk" numFmtId="0">
      <sharedItems/>
    </cacheField>
    <cacheField name="SAP" numFmtId="0">
      <sharedItems containsSemiMixedTypes="0" containsString="0" containsNumber="1" containsInteger="1" minValue="0" maxValue="46500"/>
    </cacheField>
    <cacheField name="Diff" numFmtId="0">
      <sharedItems containsSemiMixedTypes="0" containsString="0" containsNumber="1" containsInteger="1" minValue="-44500" maxValue="0"/>
    </cacheField>
    <cacheField name="Final_Stock" numFmtId="0">
      <sharedItems containsSemiMixedTypes="0" containsString="0" containsNumber="1" containsInteger="1" minValue="0" maxValue="48755"/>
    </cacheField>
    <cacheField name="Coverday" numFmtId="0" formula=" IFERROR(Final_Stock/PRDperDay,Final_Stock)" databaseField="0"/>
    <cacheField name="Stock receipt MMU" numFmtId="0" formula="IFERROR(SAP/50000,0)" databaseField="0"/>
    <cacheField name="Sell out MMU" numFmtId="0" formula=" IFERROR(SellOut/50000,0)" databaseField="0"/>
    <cacheField name="Stock Ava" numFmtId="0" formula=" IFERROR(Final_Stock/50000,0)" databaseField="0"/>
    <cacheField name="Sell out day MMU" numFmtId="0" formula=" IFERROR(PRDperDay/50000,0)" databaseField="0"/>
  </cacheFields>
  <extLst>
    <ext xmlns:x14="http://schemas.microsoft.com/office/spreadsheetml/2009/9/main" uri="{725AE2AE-9491-48be-B2B4-4EB974FC3084}">
      <x14:pivotCacheDefinition pivotCacheId="20515087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17">
  <r>
    <d v="2025-06-02T00:00:00"/>
    <s v="SAMSUB DISTRIBUTOR LIMITED"/>
    <s v="Distributor"/>
    <s v="SAMSUB"/>
    <s v="MV"/>
    <s v="MV_SB"/>
    <n v="0"/>
    <n v="10"/>
    <s v="S201"/>
    <x v="0"/>
  </r>
  <r>
    <d v="2025-06-02T00:00:00"/>
    <s v="SAMSUB DISTRIBUTOR LIMITED"/>
    <s v="Distributor"/>
    <s v="SAMSUB"/>
    <s v="MV"/>
    <s v="MV_OPT"/>
    <n v="0"/>
    <n v="20"/>
    <s v="S201"/>
    <x v="1"/>
  </r>
  <r>
    <d v="2025-06-02T00:00:00"/>
    <s v="SAMSUB DISTRIBUTOR LIMITED"/>
    <s v="Distributor"/>
    <s v="SAMSUB"/>
    <s v="WICO"/>
    <s v="WICO_RE"/>
    <n v="0"/>
    <n v="2000"/>
    <s v="S201"/>
    <x v="2"/>
  </r>
  <r>
    <d v="2025-06-02T00:00:00"/>
    <s v="SAMSUB DISTRIBUTOR LIMITED"/>
    <s v="Distributor"/>
    <s v="SAMSUB"/>
    <s v="WICO"/>
    <s v="WICO_BL"/>
    <n v="0"/>
    <n v="1000"/>
    <s v="S201"/>
    <x v="3"/>
  </r>
  <r>
    <d v="2025-06-02T00:00:00"/>
    <s v="SAMSUB DISTRIBUTOR LIMITED"/>
    <s v="Distributor"/>
    <s v="SAMSUB"/>
    <s v="WICO"/>
    <s v="WICO_GR"/>
    <n v="0"/>
    <n v="2000"/>
    <s v="S201"/>
    <x v="4"/>
  </r>
  <r>
    <d v="2025-06-02T00:00:00"/>
    <s v="SAMSUB DISTRIBUTOR LIMITED"/>
    <s v="Distributor"/>
    <s v="SAMSUB"/>
    <s v="CM"/>
    <s v="CM_FF"/>
    <n v="0"/>
    <n v="6000"/>
    <s v="S201"/>
    <x v="5"/>
  </r>
  <r>
    <d v="2025-06-02T00:00:00"/>
    <s v="SAMSUB DISTRIBUTOR LIMITED"/>
    <s v="Distributor"/>
    <s v="SAMSUB"/>
    <s v="CM"/>
    <s v="CM_BL"/>
    <n v="0"/>
    <n v="1000"/>
    <s v="S201"/>
    <x v="6"/>
  </r>
  <r>
    <d v="2025-06-02T00:00:00"/>
    <s v="SAMSUB DISTRIBUTOR LIMITED"/>
    <s v="Distributor"/>
    <s v="SAMSUB"/>
    <s v="CM"/>
    <s v="CM_MN"/>
    <n v="0"/>
    <n v="1500"/>
    <s v="S201"/>
    <x v="7"/>
  </r>
  <r>
    <d v="2025-06-02T00:00:00"/>
    <s v="SAMSUB DISTRIBUTOR LIMITED"/>
    <s v="Distributor"/>
    <s v="SAMSUB"/>
    <s v="CMHD"/>
    <s v="CMHD_YL"/>
    <n v="0"/>
    <n v="5500"/>
    <s v="S201"/>
    <x v="8"/>
  </r>
  <r>
    <d v="2025-06-02T00:00:00"/>
    <s v="SAMSUB DISTRIBUTOR LIMITED"/>
    <s v="Distributor"/>
    <s v="SAMSUB"/>
    <s v="CMHD"/>
    <s v="CMHD_GR"/>
    <n v="0"/>
    <n v="1000"/>
    <s v="S201"/>
    <x v="9"/>
  </r>
  <r>
    <d v="2025-06-02T00:00:00"/>
    <s v="SOR.CHAROEN SUPPLY 2018 LIMITED"/>
    <s v="Distributor"/>
    <s v="SOR CHAROEN"/>
    <s v="MV"/>
    <s v="MV_SB"/>
    <n v="0"/>
    <n v="500"/>
    <s v="S401"/>
    <x v="10"/>
  </r>
  <r>
    <d v="2025-06-02T00:00:00"/>
    <s v="SOR.CHAROEN SUPPLY 2018 LIMITED"/>
    <s v="Distributor"/>
    <s v="SOR CHAROEN"/>
    <s v="WICO"/>
    <s v="WICO_RE"/>
    <n v="0"/>
    <n v="3000"/>
    <s v="S401"/>
    <x v="11"/>
  </r>
  <r>
    <d v="2025-06-02T00:00:00"/>
    <s v="SOR.CHAROEN SUPPLY 2018 LIMITED"/>
    <s v="Distributor"/>
    <s v="SOR CHAROEN"/>
    <s v="WICO"/>
    <s v="WICO_GR"/>
    <n v="0"/>
    <n v="2000"/>
    <s v="S401"/>
    <x v="12"/>
  </r>
  <r>
    <d v="2025-06-02T00:00:00"/>
    <s v="SOR.CHAROEN SUPPLY 2018 LIMITED"/>
    <s v="Distributor"/>
    <s v="SOR CHAROEN"/>
    <s v="CM"/>
    <s v="CM_FF"/>
    <n v="0"/>
    <n v="10000"/>
    <s v="S401"/>
    <x v="13"/>
  </r>
  <r>
    <d v="2025-06-02T00:00:00"/>
    <s v="SOR.CHAROEN SUPPLY 2018 LIMITED"/>
    <s v="Distributor"/>
    <s v="SOR CHAROEN"/>
    <s v="CM"/>
    <s v="CM_BL"/>
    <n v="0"/>
    <n v="3000"/>
    <s v="S401"/>
    <x v="14"/>
  </r>
  <r>
    <d v="2025-06-02T00:00:00"/>
    <s v="SOR.CHAROEN SUPPLY 2018 LIMITED"/>
    <s v="Distributor"/>
    <s v="SOR CHAROEN"/>
    <s v="CM"/>
    <s v="CM_MN"/>
    <n v="0"/>
    <n v="3000"/>
    <s v="S401"/>
    <x v="15"/>
  </r>
  <r>
    <d v="2025-06-02T00:00:00"/>
    <s v="SOR.CHAROEN SUPPLY 2018 LIMITED"/>
    <s v="Distributor"/>
    <s v="SOR CHAROEN"/>
    <s v="CMHD"/>
    <s v="CMHD_YL"/>
    <n v="0"/>
    <n v="6500"/>
    <s v="S401"/>
    <x v="16"/>
  </r>
  <r>
    <d v="2025-06-02T00:00:00"/>
    <s v="SOR.CHAROEN SUPPLY 2018 LIMITED"/>
    <s v="Distributor"/>
    <s v="SOR CHAROEN"/>
    <s v="CMHD"/>
    <s v="CMHD_GR"/>
    <n v="0"/>
    <n v="2000"/>
    <s v="S401"/>
    <x v="17"/>
  </r>
  <r>
    <d v="2025-06-04T00:00:00"/>
    <s v="RATCHASIMA P.D.C. CO., LTD."/>
    <s v="Distributor"/>
    <s v="RATCHASIMA PDC"/>
    <s v="WICO"/>
    <s v="WICO_RE"/>
    <n v="0"/>
    <n v="2000"/>
    <s v="S504"/>
    <x v="18"/>
  </r>
  <r>
    <d v="2025-06-04T00:00:00"/>
    <s v="RATCHASIMA P.D.C. CO., LTD."/>
    <s v="Distributor"/>
    <s v="RATCHASIMA PDC"/>
    <s v="WICO"/>
    <s v="WICO_BL"/>
    <n v="0"/>
    <n v="1000"/>
    <s v="S504"/>
    <x v="19"/>
  </r>
  <r>
    <d v="2025-06-04T00:00:00"/>
    <s v="RATCHASIMA P.D.C. CO., LTD."/>
    <s v="Distributor"/>
    <s v="RATCHASIMA PDC"/>
    <s v="WICO"/>
    <s v="WICO_GR"/>
    <n v="0"/>
    <n v="2000"/>
    <s v="S504"/>
    <x v="20"/>
  </r>
  <r>
    <d v="2025-06-04T00:00:00"/>
    <s v="RATCHASIMA P.D.C. CO., LTD."/>
    <s v="Distributor"/>
    <s v="RATCHASIMA PDC"/>
    <s v="CM"/>
    <s v="CM_FF"/>
    <n v="0"/>
    <n v="10500"/>
    <s v="S504"/>
    <x v="21"/>
  </r>
  <r>
    <d v="2025-06-04T00:00:00"/>
    <s v="RATCHASIMA P.D.C. CO., LTD."/>
    <s v="Distributor"/>
    <s v="RATCHASIMA PDC"/>
    <s v="CM"/>
    <s v="CM_BL"/>
    <n v="0"/>
    <n v="750"/>
    <s v="S504"/>
    <x v="22"/>
  </r>
  <r>
    <d v="2025-06-04T00:00:00"/>
    <s v="RATCHASIMA P.D.C. CO., LTD."/>
    <s v="Distributor"/>
    <s v="RATCHASIMA PDC"/>
    <s v="CM"/>
    <s v="CM_MN"/>
    <n v="0"/>
    <n v="1500"/>
    <s v="S504"/>
    <x v="23"/>
  </r>
  <r>
    <d v="2025-06-04T00:00:00"/>
    <s v="RATCHASIMA P.D.C. CO., LTD."/>
    <s v="Distributor"/>
    <s v="RATCHASIMA PDC"/>
    <s v="CMHD"/>
    <s v="CMHD_YL"/>
    <n v="0"/>
    <n v="12000"/>
    <s v="S504"/>
    <x v="24"/>
  </r>
  <r>
    <d v="2025-06-04T00:00:00"/>
    <s v="RATCHASIMA P.D.C. CO., LTD."/>
    <s v="Distributor"/>
    <s v="RATCHASIMA PDC"/>
    <s v="CMHD"/>
    <s v="CMHD_GR"/>
    <n v="0"/>
    <n v="2250"/>
    <s v="S504"/>
    <x v="25"/>
  </r>
  <r>
    <d v="2025-06-05T00:00:00"/>
    <s v="SOR.CHAROEN SUPPLY 2018 LIMITED"/>
    <s v="Distributor"/>
    <s v="SOR CHAROEN"/>
    <s v="WICO"/>
    <s v="WICO_RE"/>
    <n v="0"/>
    <n v="2000"/>
    <s v="S401"/>
    <x v="11"/>
  </r>
  <r>
    <d v="2025-06-05T00:00:00"/>
    <s v="SOR.CHAROEN SUPPLY 2018 LIMITED"/>
    <s v="Distributor"/>
    <s v="SOR CHAROEN"/>
    <s v="WICO"/>
    <s v="WICO_GR"/>
    <n v="0"/>
    <n v="2000"/>
    <s v="S401"/>
    <x v="12"/>
  </r>
  <r>
    <d v="2025-06-05T00:00:00"/>
    <s v="SOR.CHAROEN SUPPLY 2018 LIMITED"/>
    <s v="Distributor"/>
    <s v="SOR CHAROEN"/>
    <s v="CM"/>
    <s v="CM_FF"/>
    <n v="0"/>
    <n v="6000"/>
    <s v="S401"/>
    <x v="13"/>
  </r>
  <r>
    <d v="2025-06-05T00:00:00"/>
    <s v="SOR.CHAROEN SUPPLY 2018 LIMITED"/>
    <s v="Distributor"/>
    <s v="SOR CHAROEN"/>
    <s v="CM"/>
    <s v="CM_BL"/>
    <n v="0"/>
    <n v="5000"/>
    <s v="S401"/>
    <x v="14"/>
  </r>
  <r>
    <d v="2025-06-05T00:00:00"/>
    <s v="SOR.CHAROEN SUPPLY 2018 LIMITED"/>
    <s v="Distributor"/>
    <s v="SOR CHAROEN"/>
    <s v="CMHD"/>
    <s v="CMHD_YL"/>
    <n v="0"/>
    <n v="11000"/>
    <s v="S401"/>
    <x v="16"/>
  </r>
  <r>
    <d v="2025-06-05T00:00:00"/>
    <s v="SOR.CHAROEN SUPPLY 2018 LIMITED"/>
    <s v="Distributor"/>
    <s v="SOR CHAROEN"/>
    <s v="CMHD"/>
    <s v="CMHD_GR"/>
    <n v="0"/>
    <n v="2000"/>
    <s v="S401"/>
    <x v="17"/>
  </r>
  <r>
    <d v="2025-06-06T00:00:00"/>
    <s v="RPB Distribution Co., Ltd."/>
    <s v="Distributor"/>
    <s v="RPB"/>
    <s v="CM"/>
    <s v="CM_FF"/>
    <n v="0"/>
    <n v="16000"/>
    <s v="S203"/>
    <x v="26"/>
  </r>
  <r>
    <d v="2025-06-06T00:00:00"/>
    <s v="RPB Distribution Co., Ltd."/>
    <s v="Distributor"/>
    <s v="RPB"/>
    <s v="CM"/>
    <s v="CM_BL"/>
    <n v="0"/>
    <n v="2500"/>
    <s v="S203"/>
    <x v="27"/>
  </r>
  <r>
    <d v="2025-06-06T00:00:00"/>
    <s v="RPB Distribution Co., Ltd."/>
    <s v="Distributor"/>
    <s v="RPB"/>
    <s v="CMHD"/>
    <s v="CMHD_YL"/>
    <n v="0"/>
    <n v="4500"/>
    <s v="S203"/>
    <x v="28"/>
  </r>
  <r>
    <d v="2025-06-06T00:00:00"/>
    <s v="RPB Distribution Co., Ltd."/>
    <s v="Distributor"/>
    <s v="RPB"/>
    <s v="CMHD"/>
    <s v="CMHD_GR"/>
    <n v="0"/>
    <n v="2500"/>
    <s v="S203"/>
    <x v="29"/>
  </r>
  <r>
    <d v="2025-06-06T00:00:00"/>
    <s v="RPB Distribution Co., Ltd."/>
    <s v="Distributor"/>
    <s v="RPB"/>
    <s v="WICO"/>
    <s v="WICO_RE"/>
    <n v="0"/>
    <n v="1500"/>
    <s v="S203"/>
    <x v="30"/>
  </r>
  <r>
    <d v="2025-06-06T00:00:00"/>
    <s v="RPB Distribution Co., Ltd."/>
    <s v="Distributor"/>
    <s v="RPB"/>
    <s v="WICO"/>
    <s v="WICO_BL"/>
    <n v="0"/>
    <n v="1000"/>
    <s v="S203"/>
    <x v="31"/>
  </r>
  <r>
    <d v="2025-06-06T00:00:00"/>
    <s v="RPB Distribution Co., Ltd."/>
    <s v="Distributor"/>
    <s v="RPB"/>
    <s v="WICO"/>
    <s v="WICO_GR"/>
    <n v="0"/>
    <n v="1500"/>
    <s v="S203"/>
    <x v="32"/>
  </r>
  <r>
    <d v="2025-06-06T00:00:00"/>
    <s v="RPB Distribution Co., Ltd."/>
    <s v="Distributor"/>
    <s v="RPB"/>
    <s v="CM"/>
    <s v="CM_MN"/>
    <n v="0"/>
    <n v="500"/>
    <s v="S203"/>
    <x v="33"/>
  </r>
  <r>
    <d v="2025-06-09T00:00:00"/>
    <s v="SERICHAI AS&amp;D CO., LTD."/>
    <s v="Distributor"/>
    <s v="SERICHAI"/>
    <s v="MV"/>
    <s v="MV_SB"/>
    <n v="0"/>
    <n v="500"/>
    <s v="S202"/>
    <x v="34"/>
  </r>
  <r>
    <d v="2025-06-09T00:00:00"/>
    <s v="SERICHAI AS&amp;D CO., LTD."/>
    <s v="Distributor"/>
    <s v="SERICHAI"/>
    <s v="MV"/>
    <s v="MV_OPT"/>
    <n v="0"/>
    <n v="500"/>
    <s v="S202"/>
    <x v="35"/>
  </r>
  <r>
    <d v="2025-06-09T00:00:00"/>
    <s v="SERICHAI AS&amp;D CO., LTD."/>
    <s v="Distributor"/>
    <s v="SERICHAI"/>
    <s v="WIKS"/>
    <s v="WIKS_BL"/>
    <n v="0"/>
    <n v="500"/>
    <s v="S202"/>
    <x v="36"/>
  </r>
  <r>
    <d v="2025-06-09T00:00:00"/>
    <s v="SERICHAI AS&amp;D CO., LTD."/>
    <s v="Distributor"/>
    <s v="SERICHAI"/>
    <s v="WICO"/>
    <s v="WICO_RE"/>
    <n v="0"/>
    <n v="4500"/>
    <s v="S202"/>
    <x v="37"/>
  </r>
  <r>
    <d v="2025-06-09T00:00:00"/>
    <s v="SERICHAI AS&amp;D CO., LTD."/>
    <s v="Distributor"/>
    <s v="SERICHAI"/>
    <s v="WICO"/>
    <s v="WICO_BL"/>
    <n v="0"/>
    <n v="5000"/>
    <s v="S202"/>
    <x v="38"/>
  </r>
  <r>
    <d v="2025-06-09T00:00:00"/>
    <s v="SERICHAI AS&amp;D CO., LTD."/>
    <s v="Distributor"/>
    <s v="SERICHAI"/>
    <s v="WICO"/>
    <s v="WICO_GR"/>
    <n v="0"/>
    <n v="4000"/>
    <s v="S202"/>
    <x v="39"/>
  </r>
  <r>
    <d v="2025-06-09T00:00:00"/>
    <s v="SERICHAI AS&amp;D CO., LTD."/>
    <s v="Distributor"/>
    <s v="SERICHAI"/>
    <s v="CM"/>
    <s v="CM_FF"/>
    <n v="0"/>
    <n v="11000"/>
    <s v="S202"/>
    <x v="40"/>
  </r>
  <r>
    <d v="2025-06-09T00:00:00"/>
    <s v="SERICHAI AS&amp;D CO., LTD."/>
    <s v="Distributor"/>
    <s v="SERICHAI"/>
    <s v="CM"/>
    <s v="CM_BL"/>
    <n v="0"/>
    <n v="2000"/>
    <s v="S202"/>
    <x v="41"/>
  </r>
  <r>
    <d v="2025-06-09T00:00:00"/>
    <s v="SERICHAI AS&amp;D CO., LTD."/>
    <s v="Distributor"/>
    <s v="SERICHAI"/>
    <s v="CM"/>
    <s v="CM_MN"/>
    <n v="0"/>
    <n v="500"/>
    <s v="S202"/>
    <x v="42"/>
  </r>
  <r>
    <d v="2025-06-09T00:00:00"/>
    <s v="SERICHAI AS&amp;D CO., LTD."/>
    <s v="Distributor"/>
    <s v="SERICHAI"/>
    <s v="CMHD"/>
    <s v="CMHD_YL"/>
    <n v="0"/>
    <n v="2000"/>
    <s v="S202"/>
    <x v="43"/>
  </r>
  <r>
    <d v="2025-06-09T00:00:00"/>
    <s v="WEALIMEX CO., LTD."/>
    <s v="Distributor"/>
    <s v="WEALIMEX"/>
    <s v="MV"/>
    <s v="MV_SB"/>
    <n v="0"/>
    <n v="200"/>
    <s v="S105"/>
    <x v="44"/>
  </r>
  <r>
    <d v="2025-06-09T00:00:00"/>
    <s v="WEALIMEX CO., LTD."/>
    <s v="Distributor"/>
    <s v="WEALIMEX"/>
    <s v="CM"/>
    <s v="CM_FF"/>
    <n v="0"/>
    <n v="3000"/>
    <s v="S105"/>
    <x v="45"/>
  </r>
  <r>
    <d v="2025-06-09T00:00:00"/>
    <s v="WEALIMEX CO., LTD."/>
    <s v="Distributor"/>
    <s v="WEALIMEX"/>
    <s v="CMHD"/>
    <s v="CMHD_YL"/>
    <n v="0"/>
    <n v="1500"/>
    <s v="S105"/>
    <x v="46"/>
  </r>
  <r>
    <d v="2025-06-09T00:00:00"/>
    <s v="WEALIMEX CO., LTD."/>
    <s v="Distributor"/>
    <s v="WEALIMEX"/>
    <s v="CMHD"/>
    <s v="CMHD_GR"/>
    <n v="0"/>
    <n v="500"/>
    <s v="S105"/>
    <x v="47"/>
  </r>
  <r>
    <d v="2025-06-10T00:00:00"/>
    <s v="RATCHASIMA D.C. CO., LTD"/>
    <s v="Distributor"/>
    <s v="RDC"/>
    <s v="MV"/>
    <s v="MV_OB"/>
    <n v="0"/>
    <n v="750"/>
    <s v="S302"/>
    <x v="48"/>
  </r>
  <r>
    <d v="2025-06-10T00:00:00"/>
    <s v="RATCHASIMA D.C. CO., LTD"/>
    <s v="Distributor"/>
    <s v="RDC"/>
    <s v="MV"/>
    <s v="MV_SB"/>
    <n v="0"/>
    <n v="400"/>
    <s v="S302"/>
    <x v="49"/>
  </r>
  <r>
    <d v="2025-06-10T00:00:00"/>
    <s v="RATCHASIMA D.C. CO., LTD"/>
    <s v="Distributor"/>
    <s v="RDC"/>
    <s v="MV"/>
    <s v="MV_OPT"/>
    <n v="0"/>
    <n v="80"/>
    <s v="S302"/>
    <x v="50"/>
  </r>
  <r>
    <d v="2025-06-10T00:00:00"/>
    <s v="RATCHASIMA D.C. CO., LTD"/>
    <s v="Distributor"/>
    <s v="RDC"/>
    <s v="WICO"/>
    <s v="WICO_RE"/>
    <n v="0"/>
    <n v="6000"/>
    <s v="S302"/>
    <x v="51"/>
  </r>
  <r>
    <d v="2025-06-10T00:00:00"/>
    <s v="RATCHASIMA D.C. CO., LTD"/>
    <s v="Distributor"/>
    <s v="RDC"/>
    <s v="WICO"/>
    <s v="WICO_BL"/>
    <n v="0"/>
    <n v="7500"/>
    <s v="S302"/>
    <x v="52"/>
  </r>
  <r>
    <d v="2025-06-10T00:00:00"/>
    <s v="RATCHASIMA D.C. CO., LTD"/>
    <s v="Distributor"/>
    <s v="RDC"/>
    <s v="CM"/>
    <s v="CM_FF"/>
    <n v="0"/>
    <n v="41000"/>
    <s v="S302"/>
    <x v="53"/>
  </r>
  <r>
    <d v="2025-06-10T00:00:00"/>
    <s v="RATCHASIMA D.C. CO., LTD"/>
    <s v="Distributor"/>
    <s v="RDC"/>
    <s v="CM"/>
    <s v="CM_BL"/>
    <n v="0"/>
    <n v="7000"/>
    <s v="S302"/>
    <x v="54"/>
  </r>
  <r>
    <d v="2025-06-10T00:00:00"/>
    <s v="RATCHASIMA D.C. CO., LTD"/>
    <s v="Distributor"/>
    <s v="RDC"/>
    <s v="CM"/>
    <s v="CM_MN"/>
    <n v="0"/>
    <n v="2500"/>
    <s v="S302"/>
    <x v="55"/>
  </r>
  <r>
    <d v="2025-06-10T00:00:00"/>
    <s v="RATCHASIMA D.C. CO., LTD"/>
    <s v="Distributor"/>
    <s v="RDC"/>
    <s v="CMHD"/>
    <s v="CMHD_YL"/>
    <n v="0"/>
    <n v="4000"/>
    <s v="S302"/>
    <x v="56"/>
  </r>
  <r>
    <d v="2025-06-10T00:00:00"/>
    <s v="RATCHASIMA D.C. CO., LTD"/>
    <s v="Distributor"/>
    <s v="RDC"/>
    <s v="WIKS"/>
    <s v="WIKS_BL"/>
    <n v="0"/>
    <n v="50"/>
    <s v="S302"/>
    <x v="57"/>
  </r>
  <r>
    <d v="2025-06-10T00:00:00"/>
    <s v="WEALIMEX CO., LTD."/>
    <s v="Distributor"/>
    <s v="WEALIMEX"/>
    <s v="WIKS"/>
    <s v="WIKS_BL"/>
    <n v="0"/>
    <n v="50"/>
    <s v="S105"/>
    <x v="58"/>
  </r>
  <r>
    <d v="2025-06-10T00:00:00"/>
    <s v="WEALIMEX CO., LTD."/>
    <s v="Distributor"/>
    <s v="WEALIMEX"/>
    <s v="WICO"/>
    <s v="WICO_BL"/>
    <n v="0"/>
    <n v="1000"/>
    <s v="S105"/>
    <x v="59"/>
  </r>
  <r>
    <d v="2025-06-10T00:00:00"/>
    <s v="WEALIMEX CO., LTD."/>
    <s v="Distributor"/>
    <s v="WEALIMEX"/>
    <s v="CM"/>
    <s v="CM_FF"/>
    <n v="0"/>
    <n v="5000"/>
    <s v="S105"/>
    <x v="45"/>
  </r>
  <r>
    <d v="2025-06-10T00:00:00"/>
    <s v="RATCHASIMA P.D.C. CO., LTD."/>
    <s v="Distributor"/>
    <s v="RATCHASIMA PDC"/>
    <s v="MV"/>
    <s v="MV_SB"/>
    <n v="0"/>
    <n v="40"/>
    <s v="S504"/>
    <x v="60"/>
  </r>
  <r>
    <d v="2025-06-10T00:00:00"/>
    <s v="RATCHASIMA P.D.C. CO., LTD."/>
    <s v="Distributor"/>
    <s v="RATCHASIMA PDC"/>
    <s v="WICO"/>
    <s v="WICO_RE"/>
    <n v="0"/>
    <n v="3000"/>
    <s v="S504"/>
    <x v="18"/>
  </r>
  <r>
    <d v="2025-06-10T00:00:00"/>
    <s v="RATCHASIMA P.D.C. CO., LTD."/>
    <s v="Distributor"/>
    <s v="RATCHASIMA PDC"/>
    <s v="WICO"/>
    <s v="WICO_BL"/>
    <n v="0"/>
    <n v="500"/>
    <s v="S504"/>
    <x v="19"/>
  </r>
  <r>
    <d v="2025-06-10T00:00:00"/>
    <s v="RATCHASIMA P.D.C. CO., LTD."/>
    <s v="Distributor"/>
    <s v="RATCHASIMA PDC"/>
    <s v="WICO"/>
    <s v="WICO_GR"/>
    <n v="0"/>
    <n v="750"/>
    <s v="S504"/>
    <x v="20"/>
  </r>
  <r>
    <d v="2025-06-10T00:00:00"/>
    <s v="RATCHASIMA P.D.C. CO., LTD."/>
    <s v="Distributor"/>
    <s v="RATCHASIMA PDC"/>
    <s v="CM"/>
    <s v="CM_BL"/>
    <n v="0"/>
    <n v="1210"/>
    <s v="S504"/>
    <x v="22"/>
  </r>
  <r>
    <d v="2025-06-10T00:00:00"/>
    <s v="RATCHASIMA P.D.C. CO., LTD."/>
    <s v="Distributor"/>
    <s v="RATCHASIMA PDC"/>
    <s v="CM"/>
    <s v="CM_MN"/>
    <n v="0"/>
    <n v="2500"/>
    <s v="S504"/>
    <x v="23"/>
  </r>
  <r>
    <d v="2025-06-10T00:00:00"/>
    <s v="RATCHASIMA P.D.C. CO., LTD."/>
    <s v="Distributor"/>
    <s v="RATCHASIMA PDC"/>
    <s v="CM"/>
    <s v="CM_FF"/>
    <n v="0"/>
    <n v="8500"/>
    <s v="S504"/>
    <x v="21"/>
  </r>
  <r>
    <d v="2025-06-10T00:00:00"/>
    <s v="RATCHASIMA P.D.C. CO., LTD."/>
    <s v="Distributor"/>
    <s v="RATCHASIMA PDC"/>
    <s v="CMHD"/>
    <s v="CMHD_YL"/>
    <n v="0"/>
    <n v="6000"/>
    <s v="S504"/>
    <x v="24"/>
  </r>
  <r>
    <d v="2025-06-10T00:00:00"/>
    <s v="RATCHASIMA P.D.C. CO., LTD."/>
    <s v="Distributor"/>
    <s v="RATCHASIMA PDC"/>
    <s v="CMHD"/>
    <s v="CMHD_GR"/>
    <n v="0"/>
    <n v="1250"/>
    <s v="S504"/>
    <x v="25"/>
  </r>
  <r>
    <d v="2025-06-10T00:00:00"/>
    <s v="SOR.CHAROEN SUPPLY 2018 LIMITED"/>
    <s v="Distributor"/>
    <s v="SOR CHAROEN"/>
    <s v="MV"/>
    <s v="MV_SB"/>
    <n v="0"/>
    <n v="500"/>
    <s v="S401"/>
    <x v="10"/>
  </r>
  <r>
    <d v="2025-06-10T00:00:00"/>
    <s v="SOR.CHAROEN SUPPLY 2018 LIMITED"/>
    <s v="Distributor"/>
    <s v="SOR CHAROEN"/>
    <s v="WICO"/>
    <s v="WICO_RE"/>
    <n v="0"/>
    <n v="4000"/>
    <s v="S401"/>
    <x v="11"/>
  </r>
  <r>
    <d v="2025-06-10T00:00:00"/>
    <s v="SOR.CHAROEN SUPPLY 2018 LIMITED"/>
    <s v="Distributor"/>
    <s v="SOR CHAROEN"/>
    <s v="CM"/>
    <s v="CM_FF"/>
    <n v="0"/>
    <n v="5000"/>
    <s v="S401"/>
    <x v="13"/>
  </r>
  <r>
    <d v="2025-06-10T00:00:00"/>
    <s v="SOR.CHAROEN SUPPLY 2018 LIMITED"/>
    <s v="Distributor"/>
    <s v="SOR CHAROEN"/>
    <s v="CMHD"/>
    <s v="CMHD_YL"/>
    <n v="0"/>
    <n v="1500"/>
    <s v="S401"/>
    <x v="16"/>
  </r>
  <r>
    <d v="2025-06-10T00:00:00"/>
    <s v="SAMSUB DISTRIBUTOR LIMITED"/>
    <s v="Distributor"/>
    <s v="SAMSUB"/>
    <s v="WICO"/>
    <s v="WICO_RE"/>
    <n v="0"/>
    <n v="500"/>
    <s v="S201"/>
    <x v="2"/>
  </r>
  <r>
    <d v="2025-06-10T00:00:00"/>
    <s v="SAMSUB DISTRIBUTOR LIMITED"/>
    <s v="Distributor"/>
    <s v="SAMSUB"/>
    <s v="WICO"/>
    <s v="WICO_BL"/>
    <n v="0"/>
    <n v="500"/>
    <s v="S201"/>
    <x v="3"/>
  </r>
  <r>
    <d v="2025-06-10T00:00:00"/>
    <s v="SAMSUB DISTRIBUTOR LIMITED"/>
    <s v="Distributor"/>
    <s v="SAMSUB"/>
    <s v="WICO"/>
    <s v="WICO_GR"/>
    <n v="0"/>
    <n v="1000"/>
    <s v="S201"/>
    <x v="4"/>
  </r>
  <r>
    <d v="2025-06-10T00:00:00"/>
    <s v="SAMSUB DISTRIBUTOR LIMITED"/>
    <s v="Distributor"/>
    <s v="SAMSUB"/>
    <s v="CM"/>
    <s v="CM_FF"/>
    <n v="0"/>
    <n v="4000"/>
    <s v="S201"/>
    <x v="5"/>
  </r>
  <r>
    <d v="2025-06-10T00:00:00"/>
    <s v="SAMSUB DISTRIBUTOR LIMITED"/>
    <s v="Distributor"/>
    <s v="SAMSUB"/>
    <s v="CM"/>
    <s v="CM_BL"/>
    <n v="0"/>
    <n v="500"/>
    <s v="S201"/>
    <x v="6"/>
  </r>
  <r>
    <d v="2025-06-10T00:00:00"/>
    <s v="SAMSUB DISTRIBUTOR LIMITED"/>
    <s v="Distributor"/>
    <s v="SAMSUB"/>
    <s v="CM"/>
    <s v="CM_MN"/>
    <n v="0"/>
    <n v="1500"/>
    <s v="S201"/>
    <x v="7"/>
  </r>
  <r>
    <d v="2025-06-10T00:00:00"/>
    <s v="SAMSUB DISTRIBUTOR LIMITED"/>
    <s v="Distributor"/>
    <s v="SAMSUB"/>
    <s v="CMHD"/>
    <s v="CMHD_YL"/>
    <n v="0"/>
    <n v="2500"/>
    <s v="S201"/>
    <x v="8"/>
  </r>
  <r>
    <d v="2025-06-10T00:00:00"/>
    <s v="SAMSUB DISTRIBUTOR LIMITED"/>
    <s v="Distributor"/>
    <s v="SAMSUB"/>
    <s v="CMHD"/>
    <s v="CMHD_GR"/>
    <n v="0"/>
    <n v="1500"/>
    <s v="S201"/>
    <x v="9"/>
  </r>
  <r>
    <d v="2025-06-11T00:00:00"/>
    <s v="NATTHAKORN DISTRIBUTION CO., LTD."/>
    <s v="Distributor"/>
    <s v="NATTHAKORN"/>
    <s v="MV"/>
    <s v="MV_OB"/>
    <n v="0"/>
    <n v="150"/>
    <s v="S102"/>
    <x v="61"/>
  </r>
  <r>
    <d v="2025-06-11T00:00:00"/>
    <s v="NATTHAKORN DISTRIBUTION CO., LTD."/>
    <s v="Distributor"/>
    <s v="NATTHAKORN"/>
    <s v="MV"/>
    <s v="MV_OPT"/>
    <n v="0"/>
    <n v="200"/>
    <s v="S102"/>
    <x v="62"/>
  </r>
  <r>
    <d v="2025-06-11T00:00:00"/>
    <s v="NATTHAKORN DISTRIBUTION CO., LTD."/>
    <s v="Distributor"/>
    <s v="NATTHAKORN"/>
    <s v="CM"/>
    <s v="CM_FF"/>
    <n v="0"/>
    <n v="10150"/>
    <s v="S102"/>
    <x v="63"/>
  </r>
  <r>
    <d v="2025-06-11T00:00:00"/>
    <s v="NATTHAKORN DISTRIBUTION CO., LTD."/>
    <s v="Distributor"/>
    <s v="NATTHAKORN"/>
    <s v="CM"/>
    <s v="CM_MN"/>
    <n v="0"/>
    <n v="2000"/>
    <s v="S102"/>
    <x v="64"/>
  </r>
  <r>
    <d v="2025-06-11T00:00:00"/>
    <s v="NATTHAKORN DISTRIBUTION CO., LTD."/>
    <s v="Distributor"/>
    <s v="NATTHAKORN"/>
    <s v="CMHD"/>
    <s v="CMHD_YL"/>
    <n v="0"/>
    <n v="2500"/>
    <s v="S102"/>
    <x v="65"/>
  </r>
  <r>
    <d v="2025-06-12T00:00:00"/>
    <s v="SOR.CHAROEN SUPPLY 2018 LIMITED"/>
    <s v="Distributor"/>
    <s v="SOR CHAROEN"/>
    <s v="MV"/>
    <s v="MV_SB"/>
    <n v="0"/>
    <n v="250"/>
    <s v="S401"/>
    <x v="10"/>
  </r>
  <r>
    <d v="2025-06-12T00:00:00"/>
    <s v="SOR.CHAROEN SUPPLY 2018 LIMITED"/>
    <s v="Distributor"/>
    <s v="SOR CHAROEN"/>
    <s v="WICO"/>
    <s v="WICO_RE"/>
    <n v="0"/>
    <n v="3250"/>
    <s v="S401"/>
    <x v="11"/>
  </r>
  <r>
    <d v="2025-06-12T00:00:00"/>
    <s v="SOR.CHAROEN SUPPLY 2018 LIMITED"/>
    <s v="Distributor"/>
    <s v="SOR CHAROEN"/>
    <s v="WICO"/>
    <s v="WICO_BL"/>
    <n v="0"/>
    <n v="2000"/>
    <s v="S401"/>
    <x v="66"/>
  </r>
  <r>
    <d v="2025-06-12T00:00:00"/>
    <s v="SOR.CHAROEN SUPPLY 2018 LIMITED"/>
    <s v="Distributor"/>
    <s v="SOR CHAROEN"/>
    <s v="WICO"/>
    <s v="WICO_GR"/>
    <n v="0"/>
    <n v="3000"/>
    <s v="S401"/>
    <x v="12"/>
  </r>
  <r>
    <d v="2025-06-12T00:00:00"/>
    <s v="SOR.CHAROEN SUPPLY 2018 LIMITED"/>
    <s v="Distributor"/>
    <s v="SOR CHAROEN"/>
    <s v="CM"/>
    <s v="CM_FF"/>
    <n v="0"/>
    <n v="10000"/>
    <s v="S401"/>
    <x v="13"/>
  </r>
  <r>
    <d v="2025-06-12T00:00:00"/>
    <s v="SOR.CHAROEN SUPPLY 2018 LIMITED"/>
    <s v="Distributor"/>
    <s v="SOR CHAROEN"/>
    <s v="CM"/>
    <s v="CM_BL"/>
    <n v="0"/>
    <n v="1000"/>
    <s v="S401"/>
    <x v="14"/>
  </r>
  <r>
    <d v="2025-06-12T00:00:00"/>
    <s v="SOR.CHAROEN SUPPLY 2018 LIMITED"/>
    <s v="Distributor"/>
    <s v="SOR CHAROEN"/>
    <s v="CM"/>
    <s v="CM_MN"/>
    <n v="0"/>
    <n v="1000"/>
    <s v="S401"/>
    <x v="15"/>
  </r>
  <r>
    <d v="2025-06-12T00:00:00"/>
    <s v="SOR.CHAROEN SUPPLY 2018 LIMITED"/>
    <s v="Distributor"/>
    <s v="SOR CHAROEN"/>
    <s v="CMHD"/>
    <s v="CMHD_YL"/>
    <n v="0"/>
    <n v="8000"/>
    <s v="S401"/>
    <x v="16"/>
  </r>
  <r>
    <d v="2025-06-12T00:00:00"/>
    <s v="M PROSPER CO., LTD."/>
    <s v="Distributor"/>
    <s v="M PROSPER"/>
    <s v="MV"/>
    <s v="MV_SB"/>
    <n v="0"/>
    <n v="100"/>
    <s v="S104"/>
    <x v="67"/>
  </r>
  <r>
    <d v="2025-06-12T00:00:00"/>
    <s v="M PROSPER CO., LTD."/>
    <s v="Distributor"/>
    <s v="M PROSPER"/>
    <s v="MV"/>
    <s v="MV_OPT"/>
    <n v="0"/>
    <n v="50"/>
    <s v="S104"/>
    <x v="68"/>
  </r>
  <r>
    <d v="2025-06-12T00:00:00"/>
    <s v="M PROSPER CO., LTD."/>
    <s v="Distributor"/>
    <s v="M PROSPER"/>
    <s v="WICO"/>
    <s v="WICO_RE"/>
    <n v="0"/>
    <n v="1000"/>
    <s v="S104"/>
    <x v="69"/>
  </r>
  <r>
    <d v="2025-06-12T00:00:00"/>
    <s v="M PROSPER CO., LTD."/>
    <s v="Distributor"/>
    <s v="M PROSPER"/>
    <s v="WICO"/>
    <s v="WICO_BL"/>
    <n v="0"/>
    <n v="500"/>
    <s v="S104"/>
    <x v="70"/>
  </r>
  <r>
    <d v="2025-06-12T00:00:00"/>
    <s v="M PROSPER CO., LTD."/>
    <s v="Distributor"/>
    <s v="M PROSPER"/>
    <s v="WICO"/>
    <s v="WICO_GR"/>
    <n v="0"/>
    <n v="1000"/>
    <s v="S104"/>
    <x v="71"/>
  </r>
  <r>
    <d v="2025-06-12T00:00:00"/>
    <s v="M PROSPER CO., LTD."/>
    <s v="Distributor"/>
    <s v="M PROSPER"/>
    <s v="CM"/>
    <s v="CM_FF"/>
    <n v="0"/>
    <n v="13000"/>
    <s v="S104"/>
    <x v="72"/>
  </r>
  <r>
    <d v="2025-06-12T00:00:00"/>
    <s v="M PROSPER CO., LTD."/>
    <s v="Distributor"/>
    <s v="M PROSPER"/>
    <s v="CM"/>
    <s v="CM_BL"/>
    <n v="0"/>
    <n v="1500"/>
    <s v="S104"/>
    <x v="73"/>
  </r>
  <r>
    <d v="2025-06-12T00:00:00"/>
    <s v="M PROSPER CO., LTD."/>
    <s v="Distributor"/>
    <s v="M PROSPER"/>
    <s v="CMHD"/>
    <s v="CMHD_YL"/>
    <n v="0"/>
    <n v="3000"/>
    <s v="S104"/>
    <x v="74"/>
  </r>
  <r>
    <d v="2025-06-12T00:00:00"/>
    <s v="RPB Distribution Co., Ltd."/>
    <s v="Distributor"/>
    <s v="RPB"/>
    <s v="WICO"/>
    <s v="WICO_GR"/>
    <n v="0"/>
    <n v="1500"/>
    <s v="S203"/>
    <x v="32"/>
  </r>
  <r>
    <d v="2025-06-12T00:00:00"/>
    <s v="RPB Distribution Co., Ltd."/>
    <s v="Distributor"/>
    <s v="RPB"/>
    <s v="CMHD"/>
    <s v="CMHD_YL"/>
    <n v="0"/>
    <n v="5500"/>
    <s v="S203"/>
    <x v="28"/>
  </r>
  <r>
    <d v="2025-06-12T00:00:00"/>
    <s v="RPB Distribution Co., Ltd."/>
    <s v="Distributor"/>
    <s v="RPB"/>
    <s v="CMHD"/>
    <s v="CMHD_GR"/>
    <n v="0"/>
    <n v="2250"/>
    <s v="S203"/>
    <x v="29"/>
  </r>
  <r>
    <d v="2025-06-12T00:00:00"/>
    <s v="RPB Distribution Co., Ltd."/>
    <s v="Distributor"/>
    <s v="RPB"/>
    <s v="MV"/>
    <s v="MV_OB"/>
    <n v="0"/>
    <n v="50"/>
    <s v="S203"/>
    <x v="75"/>
  </r>
  <r>
    <d v="2025-06-12T00:00:00"/>
    <s v="RPB Distribution Co., Ltd."/>
    <s v="Distributor"/>
    <s v="RPB"/>
    <s v="WICO"/>
    <s v="WICO_RE"/>
    <n v="0"/>
    <n v="2500"/>
    <s v="S203"/>
    <x v="30"/>
  </r>
  <r>
    <d v="2025-06-12T00:00:00"/>
    <s v="RPB Distribution Co., Ltd."/>
    <s v="Distributor"/>
    <s v="RPB"/>
    <s v="WICO"/>
    <s v="WICO_BL"/>
    <n v="0"/>
    <n v="500"/>
    <s v="S203"/>
    <x v="31"/>
  </r>
  <r>
    <d v="2025-06-12T00:00:00"/>
    <s v="RPB Distribution Co., Ltd."/>
    <s v="Distributor"/>
    <s v="RPB"/>
    <s v="CM"/>
    <s v="CM_FF"/>
    <n v="0"/>
    <n v="6700"/>
    <s v="S203"/>
    <x v="26"/>
  </r>
  <r>
    <d v="2025-06-12T00:00:00"/>
    <s v="RPB Distribution Co., Ltd."/>
    <s v="Distributor"/>
    <s v="RPB"/>
    <s v="CM"/>
    <s v="CM_MN"/>
    <n v="0"/>
    <n v="1000"/>
    <s v="S203"/>
    <x v="33"/>
  </r>
  <r>
    <d v="2025-06-12T00:00:00"/>
    <s v="SERICHAI AS&amp;D CO., LTD."/>
    <s v="Distributor"/>
    <s v="SERICHAI"/>
    <s v="WICO"/>
    <s v="WICO_RE"/>
    <n v="0"/>
    <n v="6000"/>
    <s v="S202"/>
    <x v="37"/>
  </r>
  <r>
    <d v="2025-06-12T00:00:00"/>
    <s v="SERICHAI AS&amp;D CO., LTD."/>
    <s v="Distributor"/>
    <s v="SERICHAI"/>
    <s v="WICO"/>
    <s v="WICO_GR"/>
    <n v="0"/>
    <n v="6000"/>
    <s v="S202"/>
    <x v="39"/>
  </r>
  <r>
    <d v="2025-06-12T00:00:00"/>
    <s v="SERICHAI AS&amp;D CO., LTD."/>
    <s v="Distributor"/>
    <s v="SERICHAI"/>
    <s v="CM"/>
    <s v="CM_FF"/>
    <n v="0"/>
    <n v="5500"/>
    <s v="S202"/>
    <x v="40"/>
  </r>
  <r>
    <d v="2025-06-12T00:00:00"/>
    <s v="SERICHAI AS&amp;D CO., LTD."/>
    <s v="Distributor"/>
    <s v="SERICHAI"/>
    <s v="CM"/>
    <s v="CM_BL"/>
    <n v="0"/>
    <n v="3000"/>
    <s v="S202"/>
    <x v="41"/>
  </r>
  <r>
    <d v="2025-06-12T00:00:00"/>
    <s v="SERICHAI AS&amp;D CO., LTD."/>
    <s v="Distributor"/>
    <s v="SERICHAI"/>
    <s v="CM"/>
    <s v="CM_MN"/>
    <n v="0"/>
    <n v="5500"/>
    <s v="S202"/>
    <x v="42"/>
  </r>
  <r>
    <d v="2025-06-12T00:00:00"/>
    <s v="SERICHAI AS&amp;D CO., LTD."/>
    <s v="Distributor"/>
    <s v="SERICHAI"/>
    <s v="CMHD"/>
    <s v="CMHD_YL"/>
    <n v="0"/>
    <n v="1000"/>
    <s v="S202"/>
    <x v="43"/>
  </r>
  <r>
    <d v="2025-06-12T00:00:00"/>
    <s v="SERICHAI AS&amp;D CO., LTD."/>
    <s v="Distributor"/>
    <s v="SERICHAI"/>
    <s v="CMHD"/>
    <s v="CMHD_GR"/>
    <n v="0"/>
    <n v="500"/>
    <s v="S202"/>
    <x v="76"/>
  </r>
  <r>
    <d v="2025-06-12T00:00:00"/>
    <s v="SERICHAI AS&amp;D CO., LTD."/>
    <s v="Distributor"/>
    <s v="SERICHAI"/>
    <s v="MV"/>
    <s v="MV_SB"/>
    <n v="0"/>
    <n v="50"/>
    <s v="S202"/>
    <x v="34"/>
  </r>
  <r>
    <d v="2025-06-12T00:00:00"/>
    <s v="SERICHAI AS&amp;D CO., LTD."/>
    <s v="Distributor"/>
    <s v="SERICHAI"/>
    <s v="WIKS"/>
    <s v="WIKS_BL"/>
    <n v="0"/>
    <n v="50"/>
    <s v="S202"/>
    <x v="36"/>
  </r>
  <r>
    <d v="2025-06-12T00:00:00"/>
    <s v="SERICHAI AS&amp;D CO., LTD."/>
    <s v="Distributor"/>
    <s v="SERICHAI"/>
    <s v="WICO"/>
    <s v="WICO_BL"/>
    <n v="0"/>
    <n v="4000"/>
    <s v="S202"/>
    <x v="38"/>
  </r>
  <r>
    <d v="2025-06-13T00:00:00"/>
    <s v="M M BEVERAGE CO., LTD."/>
    <s v="Distributor"/>
    <s v="MM BEVERAGE"/>
    <s v="MV"/>
    <s v="MV_OB"/>
    <n v="0"/>
    <n v="100"/>
    <s v="S301"/>
    <x v="77"/>
  </r>
  <r>
    <d v="2025-06-13T00:00:00"/>
    <s v="M M BEVERAGE CO., LTD."/>
    <s v="Distributor"/>
    <s v="MM BEVERAGE"/>
    <s v="MV"/>
    <s v="MV_SB"/>
    <n v="0"/>
    <n v="200"/>
    <s v="S301"/>
    <x v="78"/>
  </r>
  <r>
    <d v="2025-06-13T00:00:00"/>
    <s v="M M BEVERAGE CO., LTD."/>
    <s v="Distributor"/>
    <s v="MM BEVERAGE"/>
    <s v="WIKS"/>
    <s v="WIKS_BL"/>
    <n v="0"/>
    <n v="200"/>
    <s v="S301"/>
    <x v="79"/>
  </r>
  <r>
    <d v="2025-06-13T00:00:00"/>
    <s v="M M BEVERAGE CO., LTD."/>
    <s v="Distributor"/>
    <s v="MM BEVERAGE"/>
    <s v="WICO"/>
    <s v="WICO_RE"/>
    <n v="0"/>
    <n v="3000"/>
    <s v="S301"/>
    <x v="80"/>
  </r>
  <r>
    <d v="2025-06-13T00:00:00"/>
    <s v="M M BEVERAGE CO., LTD."/>
    <s v="Distributor"/>
    <s v="MM BEVERAGE"/>
    <s v="WICO"/>
    <s v="WICO_BL"/>
    <n v="0"/>
    <n v="7000"/>
    <s v="S301"/>
    <x v="81"/>
  </r>
  <r>
    <d v="2025-06-13T00:00:00"/>
    <s v="M M BEVERAGE CO., LTD."/>
    <s v="Distributor"/>
    <s v="MM BEVERAGE"/>
    <s v="WICO"/>
    <s v="WICO_GR"/>
    <n v="0"/>
    <n v="500"/>
    <s v="S301"/>
    <x v="82"/>
  </r>
  <r>
    <d v="2025-06-13T00:00:00"/>
    <s v="M M BEVERAGE CO., LTD."/>
    <s v="Distributor"/>
    <s v="MM BEVERAGE"/>
    <s v="CM"/>
    <s v="CM_FF"/>
    <n v="0"/>
    <n v="15000"/>
    <s v="S301"/>
    <x v="83"/>
  </r>
  <r>
    <d v="2025-06-13T00:00:00"/>
    <s v="M M BEVERAGE CO., LTD."/>
    <s v="Distributor"/>
    <s v="MM BEVERAGE"/>
    <s v="CM"/>
    <s v="CM_BL"/>
    <n v="0"/>
    <n v="10500"/>
    <s v="S301"/>
    <x v="84"/>
  </r>
  <r>
    <d v="2025-06-13T00:00:00"/>
    <s v="M M BEVERAGE CO., LTD."/>
    <s v="Distributor"/>
    <s v="MM BEVERAGE"/>
    <s v="CM"/>
    <s v="CM_MN"/>
    <n v="0"/>
    <n v="1000"/>
    <s v="S301"/>
    <x v="85"/>
  </r>
  <r>
    <d v="2025-06-13T00:00:00"/>
    <s v="M M BEVERAGE CO., LTD."/>
    <s v="Distributor"/>
    <s v="MM BEVERAGE"/>
    <s v="CMHD"/>
    <s v="CMHD_YL"/>
    <n v="0"/>
    <n v="1500"/>
    <s v="S301"/>
    <x v="86"/>
  </r>
  <r>
    <d v="2025-06-13T00:00:00"/>
    <s v="WEALIMEX CO., LTD."/>
    <s v="Distributor"/>
    <s v="WEALIMEX"/>
    <s v="WICO"/>
    <s v="WICO_RE"/>
    <n v="0"/>
    <n v="2000"/>
    <s v="S105"/>
    <x v="87"/>
  </r>
  <r>
    <d v="2025-06-13T00:00:00"/>
    <s v="WEALIMEX CO., LTD."/>
    <s v="Distributor"/>
    <s v="WEALIMEX"/>
    <s v="WICO"/>
    <s v="WICO_BL"/>
    <n v="0"/>
    <n v="1000"/>
    <s v="S105"/>
    <x v="59"/>
  </r>
  <r>
    <d v="2025-06-13T00:00:00"/>
    <s v="WEALIMEX CO., LTD."/>
    <s v="Distributor"/>
    <s v="WEALIMEX"/>
    <s v="WICO"/>
    <s v="WICO_GR"/>
    <n v="0"/>
    <n v="1000"/>
    <s v="S105"/>
    <x v="88"/>
  </r>
  <r>
    <d v="2025-06-13T00:00:00"/>
    <s v="WEALIMEX CO., LTD."/>
    <s v="Distributor"/>
    <s v="WEALIMEX"/>
    <s v="CM"/>
    <s v="CM_FF"/>
    <n v="0"/>
    <n v="10000"/>
    <s v="S105"/>
    <x v="45"/>
  </r>
  <r>
    <d v="2025-06-13T00:00:00"/>
    <s v="WEALIMEX CO., LTD."/>
    <s v="Distributor"/>
    <s v="WEALIMEX"/>
    <s v="CM"/>
    <s v="CM_BL"/>
    <n v="0"/>
    <n v="1500"/>
    <s v="S105"/>
    <x v="89"/>
  </r>
  <r>
    <d v="2025-06-13T00:00:00"/>
    <s v="WEALIMEX CO., LTD."/>
    <s v="Distributor"/>
    <s v="WEALIMEX"/>
    <s v="CM"/>
    <s v="CM_MN"/>
    <n v="0"/>
    <n v="1000"/>
    <s v="S105"/>
    <x v="90"/>
  </r>
  <r>
    <d v="2025-06-13T00:00:00"/>
    <s v="WEALIMEX CO., LTD."/>
    <s v="Distributor"/>
    <s v="WEALIMEX"/>
    <s v="CMHD"/>
    <s v="CMHD_YL"/>
    <n v="0"/>
    <n v="2000"/>
    <s v="S105"/>
    <x v="46"/>
  </r>
  <r>
    <d v="2025-06-13T00:00:00"/>
    <s v="WEALIMEX CO., LTD."/>
    <s v="Distributor"/>
    <s v="WEALIMEX"/>
    <s v="CMHD"/>
    <s v="CMHD_GR"/>
    <n v="0"/>
    <n v="500"/>
    <s v="S105"/>
    <x v="47"/>
  </r>
  <r>
    <d v="2025-06-13T00:00:00"/>
    <s v="RPB Distribution Co., Ltd."/>
    <s v="Distributor"/>
    <s v="RPB"/>
    <s v="MV"/>
    <s v="MV_OB"/>
    <n v="0"/>
    <n v="150"/>
    <s v="S203"/>
    <x v="75"/>
  </r>
  <r>
    <d v="2025-06-13T00:00:00"/>
    <s v="RPB Distribution Co., Ltd."/>
    <s v="Distributor"/>
    <s v="RPB"/>
    <s v="WICO"/>
    <s v="WICO_RE"/>
    <n v="0"/>
    <n v="1500"/>
    <s v="S203"/>
    <x v="30"/>
  </r>
  <r>
    <d v="2025-06-13T00:00:00"/>
    <s v="RPB Distribution Co., Ltd."/>
    <s v="Distributor"/>
    <s v="RPB"/>
    <s v="WICO"/>
    <s v="WICO_BL"/>
    <n v="0"/>
    <n v="500"/>
    <s v="S203"/>
    <x v="31"/>
  </r>
  <r>
    <d v="2025-06-13T00:00:00"/>
    <s v="RPB Distribution Co., Ltd."/>
    <s v="Distributor"/>
    <s v="RPB"/>
    <s v="WICO"/>
    <s v="WICO_GR"/>
    <n v="0"/>
    <n v="500"/>
    <s v="S203"/>
    <x v="32"/>
  </r>
  <r>
    <d v="2025-06-13T00:00:00"/>
    <s v="RPB Distribution Co., Ltd."/>
    <s v="Distributor"/>
    <s v="RPB"/>
    <s v="CMHD"/>
    <s v="CMHD_YL"/>
    <n v="0"/>
    <n v="1850"/>
    <s v="S203"/>
    <x v="28"/>
  </r>
  <r>
    <d v="2025-06-13T00:00:00"/>
    <s v="RPB Distribution Co., Ltd."/>
    <s v="Distributor"/>
    <s v="RPB"/>
    <s v="CMHD"/>
    <s v="CMHD_GR"/>
    <n v="0"/>
    <n v="500"/>
    <s v="S203"/>
    <x v="29"/>
  </r>
  <r>
    <d v="2025-06-16T00:00:00"/>
    <s v="M PROSPER CO., LTD."/>
    <s v="Distributor"/>
    <s v="M PROSPER"/>
    <s v="MV"/>
    <s v="MV_SB"/>
    <n v="0"/>
    <n v="100"/>
    <s v="S104"/>
    <x v="67"/>
  </r>
  <r>
    <d v="2025-06-16T00:00:00"/>
    <s v="M PROSPER CO., LTD."/>
    <s v="Distributor"/>
    <s v="M PROSPER"/>
    <s v="WICO"/>
    <s v="WICO_RE"/>
    <n v="0"/>
    <n v="1500"/>
    <s v="S104"/>
    <x v="69"/>
  </r>
  <r>
    <d v="2025-06-16T00:00:00"/>
    <s v="M PROSPER CO., LTD."/>
    <s v="Distributor"/>
    <s v="M PROSPER"/>
    <s v="WICO"/>
    <s v="WICO_BL"/>
    <n v="0"/>
    <n v="1000"/>
    <s v="S104"/>
    <x v="70"/>
  </r>
  <r>
    <d v="2025-06-16T00:00:00"/>
    <s v="M PROSPER CO., LTD."/>
    <s v="Distributor"/>
    <s v="M PROSPER"/>
    <s v="WICO"/>
    <s v="WICO_GR"/>
    <n v="0"/>
    <n v="1500"/>
    <s v="S104"/>
    <x v="71"/>
  </r>
  <r>
    <d v="2025-06-16T00:00:00"/>
    <s v="M PROSPER CO., LTD."/>
    <s v="Distributor"/>
    <s v="M PROSPER"/>
    <s v="CM"/>
    <s v="CM_FF"/>
    <n v="0"/>
    <n v="10500"/>
    <s v="S104"/>
    <x v="72"/>
  </r>
  <r>
    <d v="2025-06-16T00:00:00"/>
    <s v="M PROSPER CO., LTD."/>
    <s v="Distributor"/>
    <s v="M PROSPER"/>
    <s v="CM"/>
    <s v="CM_BL"/>
    <n v="0"/>
    <n v="2500"/>
    <s v="S104"/>
    <x v="73"/>
  </r>
  <r>
    <d v="2025-06-16T00:00:00"/>
    <s v="M PROSPER CO., LTD."/>
    <s v="Distributor"/>
    <s v="M PROSPER"/>
    <s v="CM"/>
    <s v="CM_MN"/>
    <n v="0"/>
    <n v="1000"/>
    <s v="S104"/>
    <x v="91"/>
  </r>
  <r>
    <d v="2025-06-16T00:00:00"/>
    <s v="M PROSPER CO., LTD."/>
    <s v="Distributor"/>
    <s v="M PROSPER"/>
    <s v="CMHD"/>
    <s v="CMHD_YL"/>
    <n v="0"/>
    <n v="4000"/>
    <s v="S104"/>
    <x v="74"/>
  </r>
  <r>
    <d v="2025-06-16T00:00:00"/>
    <s v="M PROSPER CO., LTD."/>
    <s v="Distributor"/>
    <s v="M PROSPER"/>
    <s v="CMHD"/>
    <s v="CMHD_GR"/>
    <n v="0"/>
    <n v="500"/>
    <s v="S104"/>
    <x v="92"/>
  </r>
  <r>
    <d v="2025-06-16T00:00:00"/>
    <s v="SERICHAI AS&amp;D CO., LTD."/>
    <s v="Distributor"/>
    <s v="SERICHAI"/>
    <s v="MV"/>
    <s v="MV_SB"/>
    <n v="0"/>
    <n v="500"/>
    <s v="S202"/>
    <x v="34"/>
  </r>
  <r>
    <d v="2025-06-16T00:00:00"/>
    <s v="SERICHAI AS&amp;D CO., LTD."/>
    <s v="Distributor"/>
    <s v="SERICHAI"/>
    <s v="WICO"/>
    <s v="WICO_RE"/>
    <n v="0"/>
    <n v="4500"/>
    <s v="S202"/>
    <x v="37"/>
  </r>
  <r>
    <d v="2025-06-16T00:00:00"/>
    <s v="SERICHAI AS&amp;D CO., LTD."/>
    <s v="Distributor"/>
    <s v="SERICHAI"/>
    <s v="WICO"/>
    <s v="WICO_BL"/>
    <n v="0"/>
    <n v="4000"/>
    <s v="S202"/>
    <x v="38"/>
  </r>
  <r>
    <d v="2025-06-16T00:00:00"/>
    <s v="SERICHAI AS&amp;D CO., LTD."/>
    <s v="Distributor"/>
    <s v="SERICHAI"/>
    <s v="WICO"/>
    <s v="WICO_GR"/>
    <n v="0"/>
    <n v="3500"/>
    <s v="S202"/>
    <x v="39"/>
  </r>
  <r>
    <d v="2025-06-16T00:00:00"/>
    <s v="SERICHAI AS&amp;D CO., LTD."/>
    <s v="Distributor"/>
    <s v="SERICHAI"/>
    <s v="CM"/>
    <s v="CM_FF"/>
    <n v="0"/>
    <n v="30000"/>
    <s v="S202"/>
    <x v="40"/>
  </r>
  <r>
    <d v="2025-06-16T00:00:00"/>
    <s v="SERICHAI AS&amp;D CO., LTD."/>
    <s v="Distributor"/>
    <s v="SERICHAI"/>
    <s v="CM"/>
    <s v="CM_BL"/>
    <n v="0"/>
    <n v="5000"/>
    <s v="S202"/>
    <x v="41"/>
  </r>
  <r>
    <d v="2025-06-16T00:00:00"/>
    <s v="SERICHAI AS&amp;D CO., LTD."/>
    <s v="Distributor"/>
    <s v="SERICHAI"/>
    <s v="CM"/>
    <s v="CM_MN"/>
    <n v="0"/>
    <n v="3500"/>
    <s v="S202"/>
    <x v="42"/>
  </r>
  <r>
    <d v="2025-06-16T00:00:00"/>
    <s v="SERICHAI AS&amp;D CO., LTD."/>
    <s v="Distributor"/>
    <s v="SERICHAI"/>
    <s v="CMHD"/>
    <s v="CMHD_YL"/>
    <n v="0"/>
    <n v="12000"/>
    <s v="S202"/>
    <x v="43"/>
  </r>
  <r>
    <d v="2025-06-16T00:00:00"/>
    <s v="SERICHAI AS&amp;D CO., LTD."/>
    <s v="Distributor"/>
    <s v="SERICHAI"/>
    <s v="CMHD"/>
    <s v="CMHD_GR"/>
    <n v="0"/>
    <n v="2000"/>
    <s v="S202"/>
    <x v="76"/>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m/>
    <x v="9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2">
  <r>
    <x v="0"/>
    <x v="0"/>
    <x v="0"/>
    <x v="0"/>
    <x v="0"/>
    <n v="577"/>
    <n v="500"/>
    <n v="26.877551"/>
    <n v="456"/>
    <s v="S102MV_SB"/>
    <n v="0"/>
    <n v="-500"/>
    <n v="577"/>
  </r>
  <r>
    <x v="0"/>
    <x v="0"/>
    <x v="0"/>
    <x v="1"/>
    <x v="1"/>
    <n v="15193"/>
    <n v="30150"/>
    <n v="1645.6326529999999"/>
    <n v="41281"/>
    <s v="S102CM_FF"/>
    <n v="10150"/>
    <n v="-20000"/>
    <n v="15193"/>
  </r>
  <r>
    <x v="0"/>
    <x v="0"/>
    <x v="0"/>
    <x v="2"/>
    <x v="2"/>
    <n v="937"/>
    <n v="1000"/>
    <n v="79.367345999999998"/>
    <n v="1856"/>
    <s v="S102CMHD_GR"/>
    <n v="0"/>
    <n v="-1000"/>
    <n v="937"/>
  </r>
  <r>
    <x v="0"/>
    <x v="0"/>
    <x v="0"/>
    <x v="2"/>
    <x v="3"/>
    <n v="3105"/>
    <n v="8000"/>
    <n v="356.16326500000002"/>
    <n v="7530"/>
    <s v="S102CMHD_YL"/>
    <n v="2500"/>
    <n v="-5500"/>
    <n v="3105"/>
  </r>
  <r>
    <x v="0"/>
    <x v="0"/>
    <x v="0"/>
    <x v="3"/>
    <x v="4"/>
    <n v="4131"/>
    <n v="5500"/>
    <n v="272.10203999999999"/>
    <n v="7099"/>
    <s v="S102WICO_GR"/>
    <n v="0"/>
    <n v="-5500"/>
    <n v="4131"/>
  </r>
  <r>
    <x v="0"/>
    <x v="0"/>
    <x v="0"/>
    <x v="0"/>
    <x v="5"/>
    <n v="250"/>
    <n v="350"/>
    <n v="12.857142"/>
    <n v="389"/>
    <s v="S102MV_OB"/>
    <n v="150"/>
    <n v="-200"/>
    <n v="250"/>
  </r>
  <r>
    <x v="0"/>
    <x v="0"/>
    <x v="0"/>
    <x v="1"/>
    <x v="6"/>
    <n v="5234"/>
    <n v="6500"/>
    <n v="302.65306099999998"/>
    <n v="7088"/>
    <s v="S102CM_MN"/>
    <n v="2000"/>
    <n v="-4500"/>
    <n v="5234"/>
  </r>
  <r>
    <x v="0"/>
    <x v="0"/>
    <x v="0"/>
    <x v="1"/>
    <x v="7"/>
    <n v="4487"/>
    <n v="7500"/>
    <n v="407.73469299999999"/>
    <n v="10656"/>
    <s v="S102CM_BL"/>
    <n v="0"/>
    <n v="-7500"/>
    <n v="4487"/>
  </r>
  <r>
    <x v="0"/>
    <x v="0"/>
    <x v="0"/>
    <x v="4"/>
    <x v="8"/>
    <n v="340"/>
    <n v="500"/>
    <n v="6.32653"/>
    <n v="150"/>
    <s v="S102WIKS_BL"/>
    <n v="0"/>
    <n v="-500"/>
    <n v="340"/>
  </r>
  <r>
    <x v="0"/>
    <x v="0"/>
    <x v="0"/>
    <x v="3"/>
    <x v="9"/>
    <n v="3501"/>
    <n v="5000"/>
    <n v="197.91836699999999"/>
    <n v="4848"/>
    <s v="S102WICO_BL"/>
    <n v="0"/>
    <n v="-5000"/>
    <n v="3501"/>
  </r>
  <r>
    <x v="0"/>
    <x v="0"/>
    <x v="0"/>
    <x v="0"/>
    <x v="10"/>
    <n v="185"/>
    <n v="200"/>
    <n v="6.32653"/>
    <n v="185"/>
    <s v="S102MV_OPT"/>
    <n v="200"/>
    <n v="0"/>
    <n v="185"/>
  </r>
  <r>
    <x v="0"/>
    <x v="0"/>
    <x v="0"/>
    <x v="3"/>
    <x v="11"/>
    <n v="7297"/>
    <n v="6000"/>
    <n v="292.87755099999998"/>
    <n v="7103"/>
    <s v="S102WICO_RE"/>
    <n v="0"/>
    <n v="-6000"/>
    <n v="7297"/>
  </r>
  <r>
    <x v="0"/>
    <x v="1"/>
    <x v="1"/>
    <x v="3"/>
    <x v="9"/>
    <n v="1863"/>
    <n v="6500"/>
    <n v="277.75510200000002"/>
    <n v="6393"/>
    <s v="S104WICO_BL"/>
    <n v="1500"/>
    <n v="-5000"/>
    <n v="1863"/>
  </r>
  <r>
    <x v="0"/>
    <x v="1"/>
    <x v="1"/>
    <x v="3"/>
    <x v="11"/>
    <n v="2269"/>
    <n v="10000"/>
    <n v="374.57142800000003"/>
    <n v="8169"/>
    <s v="S104WICO_RE"/>
    <n v="2500"/>
    <n v="-7500"/>
    <n v="2269"/>
  </r>
  <r>
    <x v="0"/>
    <x v="1"/>
    <x v="1"/>
    <x v="0"/>
    <x v="5"/>
    <n v="50"/>
    <n v="150"/>
    <n v="8.1632650000000009"/>
    <n v="150"/>
    <s v="S104MV_OB"/>
    <n v="0"/>
    <n v="-150"/>
    <n v="50"/>
  </r>
  <r>
    <x v="0"/>
    <x v="1"/>
    <x v="1"/>
    <x v="0"/>
    <x v="10"/>
    <n v="50"/>
    <n v="50"/>
    <n v="1"/>
    <n v="40"/>
    <s v="S104MV_OPT"/>
    <n v="50"/>
    <n v="0"/>
    <n v="50"/>
  </r>
  <r>
    <x v="0"/>
    <x v="1"/>
    <x v="1"/>
    <x v="0"/>
    <x v="0"/>
    <n v="210"/>
    <n v="500"/>
    <n v="18.469387000000001"/>
    <n v="560"/>
    <s v="S104MV_SB"/>
    <n v="200"/>
    <n v="-300"/>
    <n v="210"/>
  </r>
  <r>
    <x v="0"/>
    <x v="1"/>
    <x v="1"/>
    <x v="1"/>
    <x v="6"/>
    <n v="2209"/>
    <n v="6500"/>
    <n v="261.183673"/>
    <n v="8097"/>
    <s v="S104CM_MN"/>
    <n v="1000"/>
    <n v="-5500"/>
    <n v="2209"/>
  </r>
  <r>
    <x v="0"/>
    <x v="1"/>
    <x v="1"/>
    <x v="3"/>
    <x v="4"/>
    <n v="2306"/>
    <n v="9000"/>
    <n v="355.26530600000001"/>
    <n v="7069"/>
    <s v="S104WICO_GR"/>
    <n v="2500"/>
    <n v="-6500"/>
    <n v="2306"/>
  </r>
  <r>
    <x v="0"/>
    <x v="1"/>
    <x v="1"/>
    <x v="2"/>
    <x v="2"/>
    <n v="714"/>
    <n v="2950"/>
    <n v="112.83673400000001"/>
    <n v="2889"/>
    <s v="S104CMHD_GR"/>
    <n v="500"/>
    <n v="-2450"/>
    <n v="714"/>
  </r>
  <r>
    <x v="0"/>
    <x v="1"/>
    <x v="1"/>
    <x v="1"/>
    <x v="1"/>
    <n v="9894"/>
    <n v="68000"/>
    <n v="2907.367346"/>
    <n v="76756"/>
    <s v="S104CM_FF"/>
    <n v="23500"/>
    <n v="-44500"/>
    <n v="9894"/>
  </r>
  <r>
    <x v="0"/>
    <x v="1"/>
    <x v="1"/>
    <x v="2"/>
    <x v="3"/>
    <n v="952"/>
    <n v="19350"/>
    <n v="687.61224400000003"/>
    <n v="19191"/>
    <s v="S104CMHD_YL"/>
    <n v="7000"/>
    <n v="-12350"/>
    <n v="952"/>
  </r>
  <r>
    <x v="0"/>
    <x v="1"/>
    <x v="1"/>
    <x v="1"/>
    <x v="7"/>
    <n v="2020"/>
    <n v="10000"/>
    <n v="472.57142800000003"/>
    <n v="11443"/>
    <s v="S104CM_BL"/>
    <n v="4000"/>
    <n v="-6000"/>
    <n v="2020"/>
  </r>
  <r>
    <x v="0"/>
    <x v="1"/>
    <x v="1"/>
    <x v="4"/>
    <x v="8"/>
    <n v="50"/>
    <n v="0"/>
    <n v="1.020408"/>
    <n v="40"/>
    <s v="S104WIKS_BL"/>
    <n v="0"/>
    <n v="0"/>
    <n v="50"/>
  </r>
  <r>
    <x v="0"/>
    <x v="2"/>
    <x v="2"/>
    <x v="3"/>
    <x v="9"/>
    <n v="2513"/>
    <n v="4000"/>
    <n v="263.816326"/>
    <n v="6123"/>
    <s v="S105WICO_BL"/>
    <n v="2000"/>
    <n v="-2000"/>
    <n v="2513"/>
  </r>
  <r>
    <x v="0"/>
    <x v="2"/>
    <x v="2"/>
    <x v="0"/>
    <x v="0"/>
    <n v="191"/>
    <n v="200"/>
    <n v="24.693877000000001"/>
    <n v="610"/>
    <s v="S105MV_SB"/>
    <n v="200"/>
    <n v="0"/>
    <n v="191"/>
  </r>
  <r>
    <x v="0"/>
    <x v="2"/>
    <x v="2"/>
    <x v="2"/>
    <x v="2"/>
    <n v="1851"/>
    <n v="2500"/>
    <n v="191.408163"/>
    <n v="3373"/>
    <s v="S105CMHD_GR"/>
    <n v="1000"/>
    <n v="-1500"/>
    <n v="1851"/>
  </r>
  <r>
    <x v="0"/>
    <x v="2"/>
    <x v="2"/>
    <x v="2"/>
    <x v="3"/>
    <n v="6700"/>
    <n v="10500"/>
    <n v="829.16326500000002"/>
    <n v="16615"/>
    <s v="S105CMHD_YL"/>
    <n v="3500"/>
    <n v="-7000"/>
    <n v="6700"/>
  </r>
  <r>
    <x v="0"/>
    <x v="2"/>
    <x v="2"/>
    <x v="1"/>
    <x v="7"/>
    <n v="4536"/>
    <n v="5500"/>
    <n v="412"/>
    <n v="9388"/>
    <s v="S105CM_BL"/>
    <n v="1500"/>
    <n v="-4000"/>
    <n v="4536"/>
  </r>
  <r>
    <x v="0"/>
    <x v="2"/>
    <x v="2"/>
    <x v="1"/>
    <x v="6"/>
    <n v="3511"/>
    <n v="4000"/>
    <n v="346.91836699999999"/>
    <n v="7738"/>
    <s v="S105CM_MN"/>
    <n v="1000"/>
    <n v="-3000"/>
    <n v="3511"/>
  </r>
  <r>
    <x v="0"/>
    <x v="2"/>
    <x v="2"/>
    <x v="3"/>
    <x v="11"/>
    <n v="4143"/>
    <n v="6000"/>
    <n v="364.22448900000001"/>
    <n v="8541"/>
    <s v="S105WICO_RE"/>
    <n v="2000"/>
    <n v="-4000"/>
    <n v="4143"/>
  </r>
  <r>
    <x v="0"/>
    <x v="2"/>
    <x v="2"/>
    <x v="1"/>
    <x v="1"/>
    <n v="24713"/>
    <n v="51000"/>
    <n v="2573.836734"/>
    <n v="69316"/>
    <s v="S105CM_FF"/>
    <n v="18000"/>
    <n v="-33000"/>
    <n v="24713"/>
  </r>
  <r>
    <x v="0"/>
    <x v="2"/>
    <x v="2"/>
    <x v="0"/>
    <x v="5"/>
    <n v="1"/>
    <n v="300"/>
    <n v="13.469386999999999"/>
    <n v="300"/>
    <s v="S105MV_OB"/>
    <n v="0"/>
    <n v="-300"/>
    <n v="1"/>
  </r>
  <r>
    <x v="0"/>
    <x v="2"/>
    <x v="2"/>
    <x v="0"/>
    <x v="10"/>
    <n v="80"/>
    <n v="100"/>
    <n v="4.2857139999999996"/>
    <n v="80"/>
    <s v="S105MV_OPT"/>
    <n v="0"/>
    <n v="-100"/>
    <n v="80"/>
  </r>
  <r>
    <x v="0"/>
    <x v="2"/>
    <x v="2"/>
    <x v="3"/>
    <x v="4"/>
    <n v="3876"/>
    <n v="3500"/>
    <n v="293.16326500000002"/>
    <n v="7350"/>
    <s v="S105WICO_GR"/>
    <n v="1000"/>
    <n v="-2500"/>
    <n v="3876"/>
  </r>
  <r>
    <x v="0"/>
    <x v="2"/>
    <x v="2"/>
    <x v="2"/>
    <x v="12"/>
    <n v="17"/>
    <n v="0"/>
    <n v="0.20408100000000001"/>
    <n v="0"/>
    <s v="S105CMHD_BL"/>
    <n v="0"/>
    <n v="0"/>
    <n v="17"/>
  </r>
  <r>
    <x v="0"/>
    <x v="2"/>
    <x v="2"/>
    <x v="4"/>
    <x v="8"/>
    <n v="23"/>
    <n v="50"/>
    <n v="1.020408"/>
    <n v="50"/>
    <s v="S105WIKS_BL"/>
    <n v="50"/>
    <n v="0"/>
    <n v="23"/>
  </r>
  <r>
    <x v="1"/>
    <x v="3"/>
    <x v="3"/>
    <x v="0"/>
    <x v="0"/>
    <n v="260"/>
    <n v="110"/>
    <n v="6.9387749999999997"/>
    <n v="152"/>
    <s v="S201MV_SB"/>
    <n v="10"/>
    <n v="-100"/>
    <n v="260"/>
  </r>
  <r>
    <x v="1"/>
    <x v="3"/>
    <x v="3"/>
    <x v="1"/>
    <x v="6"/>
    <n v="4852"/>
    <n v="4500"/>
    <n v="205.32652999999999"/>
    <n v="7189"/>
    <s v="S201CM_MN"/>
    <n v="3000"/>
    <n v="-1500"/>
    <n v="4852"/>
  </r>
  <r>
    <x v="1"/>
    <x v="3"/>
    <x v="3"/>
    <x v="0"/>
    <x v="5"/>
    <n v="0"/>
    <n v="0"/>
    <n v="0"/>
    <n v="21"/>
    <s v="S201MV_OB"/>
    <n v="0"/>
    <n v="0"/>
    <n v="0"/>
  </r>
  <r>
    <x v="1"/>
    <x v="3"/>
    <x v="3"/>
    <x v="1"/>
    <x v="1"/>
    <n v="9344"/>
    <n v="18000"/>
    <n v="780.46938699999998"/>
    <n v="18256"/>
    <s v="S201CM_FF"/>
    <n v="10000"/>
    <n v="-8000"/>
    <n v="9344"/>
  </r>
  <r>
    <x v="1"/>
    <x v="3"/>
    <x v="3"/>
    <x v="1"/>
    <x v="7"/>
    <n v="3024"/>
    <n v="2500"/>
    <n v="95.632653000000005"/>
    <n v="3143"/>
    <s v="S201CM_BL"/>
    <n v="1500"/>
    <n v="-1000"/>
    <n v="3024"/>
  </r>
  <r>
    <x v="1"/>
    <x v="3"/>
    <x v="3"/>
    <x v="3"/>
    <x v="11"/>
    <n v="4597"/>
    <n v="6500"/>
    <n v="256.85714200000001"/>
    <n v="6808"/>
    <s v="S201WICO_RE"/>
    <n v="2500"/>
    <n v="-4000"/>
    <n v="4597"/>
  </r>
  <r>
    <x v="1"/>
    <x v="3"/>
    <x v="3"/>
    <x v="3"/>
    <x v="4"/>
    <n v="5432"/>
    <n v="7500"/>
    <n v="300.89795900000001"/>
    <n v="8534"/>
    <s v="S201WICO_GR"/>
    <n v="3000"/>
    <n v="-4500"/>
    <n v="5432"/>
  </r>
  <r>
    <x v="1"/>
    <x v="3"/>
    <x v="3"/>
    <x v="3"/>
    <x v="9"/>
    <n v="2810"/>
    <n v="2000"/>
    <n v="95.020408000000003"/>
    <n v="1883"/>
    <s v="S201WICO_BL"/>
    <n v="1500"/>
    <n v="-500"/>
    <n v="2810"/>
  </r>
  <r>
    <x v="1"/>
    <x v="3"/>
    <x v="3"/>
    <x v="0"/>
    <x v="10"/>
    <n v="40"/>
    <n v="20"/>
    <n v="0.408163"/>
    <n v="20"/>
    <s v="S201MV_OPT"/>
    <n v="20"/>
    <n v="0"/>
    <n v="40"/>
  </r>
  <r>
    <x v="1"/>
    <x v="3"/>
    <x v="3"/>
    <x v="2"/>
    <x v="2"/>
    <n v="3631"/>
    <n v="2500"/>
    <n v="154.959183"/>
    <n v="2789"/>
    <s v="S201CMHD_GR"/>
    <n v="2500"/>
    <n v="0"/>
    <n v="3631"/>
  </r>
  <r>
    <x v="1"/>
    <x v="3"/>
    <x v="3"/>
    <x v="1"/>
    <x v="13"/>
    <n v="20"/>
    <n v="0"/>
    <n v="0"/>
    <n v="0"/>
    <s v="S201CM_EC"/>
    <n v="0"/>
    <n v="0"/>
    <n v="20"/>
  </r>
  <r>
    <x v="1"/>
    <x v="3"/>
    <x v="3"/>
    <x v="2"/>
    <x v="12"/>
    <n v="0"/>
    <n v="0"/>
    <n v="0"/>
    <n v="2"/>
    <s v="S201CMHD_BL"/>
    <n v="0"/>
    <n v="0"/>
    <n v="0"/>
  </r>
  <r>
    <x v="1"/>
    <x v="3"/>
    <x v="3"/>
    <x v="4"/>
    <x v="8"/>
    <n v="23"/>
    <n v="0"/>
    <n v="2.040816"/>
    <n v="0"/>
    <s v="S201WIKS_BL"/>
    <n v="0"/>
    <n v="0"/>
    <n v="23"/>
  </r>
  <r>
    <x v="1"/>
    <x v="3"/>
    <x v="3"/>
    <x v="2"/>
    <x v="3"/>
    <n v="6936"/>
    <n v="12500"/>
    <n v="496.16326500000002"/>
    <n v="9705"/>
    <s v="S201CMHD_YL"/>
    <n v="8000"/>
    <n v="-4500"/>
    <n v="6936"/>
  </r>
  <r>
    <x v="1"/>
    <x v="4"/>
    <x v="4"/>
    <x v="4"/>
    <x v="8"/>
    <n v="270"/>
    <n v="550"/>
    <n v="29.591836000000001"/>
    <n v="780"/>
    <s v="S202WIKS_BL"/>
    <n v="550"/>
    <n v="0"/>
    <n v="270"/>
  </r>
  <r>
    <x v="1"/>
    <x v="4"/>
    <x v="4"/>
    <x v="1"/>
    <x v="7"/>
    <n v="10094"/>
    <n v="23500"/>
    <n v="1042.7755099999999"/>
    <n v="25527"/>
    <s v="S202CM_BL"/>
    <n v="10000"/>
    <n v="-13500"/>
    <n v="10094"/>
  </r>
  <r>
    <x v="1"/>
    <x v="4"/>
    <x v="4"/>
    <x v="0"/>
    <x v="10"/>
    <n v="70"/>
    <n v="500"/>
    <n v="6.5306119999999996"/>
    <n v="180"/>
    <s v="S202MV_OPT"/>
    <n v="500"/>
    <n v="0"/>
    <n v="70"/>
  </r>
  <r>
    <x v="1"/>
    <x v="4"/>
    <x v="4"/>
    <x v="3"/>
    <x v="4"/>
    <n v="5928"/>
    <n v="16500"/>
    <n v="509.30612200000002"/>
    <n v="14481"/>
    <s v="S202WICO_GR"/>
    <n v="13500"/>
    <n v="-3000"/>
    <n v="5928"/>
  </r>
  <r>
    <x v="1"/>
    <x v="4"/>
    <x v="4"/>
    <x v="3"/>
    <x v="9"/>
    <n v="9176"/>
    <n v="13000"/>
    <n v="450.367346"/>
    <n v="9352"/>
    <s v="S202WICO_BL"/>
    <n v="13000"/>
    <n v="0"/>
    <n v="9176"/>
  </r>
  <r>
    <x v="1"/>
    <x v="4"/>
    <x v="4"/>
    <x v="2"/>
    <x v="3"/>
    <n v="5406"/>
    <n v="32500"/>
    <n v="1468.5510200000001"/>
    <n v="37771"/>
    <s v="S202CMHD_YL"/>
    <n v="15000"/>
    <n v="-17500"/>
    <n v="5406"/>
  </r>
  <r>
    <x v="1"/>
    <x v="4"/>
    <x v="4"/>
    <x v="1"/>
    <x v="1"/>
    <n v="33442"/>
    <n v="90000"/>
    <n v="4256.3265300000003"/>
    <n v="108804"/>
    <s v="S202CM_FF"/>
    <n v="46500"/>
    <n v="-43500"/>
    <n v="33442"/>
  </r>
  <r>
    <x v="1"/>
    <x v="4"/>
    <x v="4"/>
    <x v="2"/>
    <x v="2"/>
    <n v="4595"/>
    <n v="3000"/>
    <n v="201.632653"/>
    <n v="4296"/>
    <s v="S202CMHD_GR"/>
    <n v="2500"/>
    <n v="-500"/>
    <n v="4595"/>
  </r>
  <r>
    <x v="1"/>
    <x v="4"/>
    <x v="4"/>
    <x v="0"/>
    <x v="0"/>
    <n v="120"/>
    <n v="1050"/>
    <n v="48.979590999999999"/>
    <n v="1140"/>
    <s v="S202MV_SB"/>
    <n v="1050"/>
    <n v="0"/>
    <n v="120"/>
  </r>
  <r>
    <x v="1"/>
    <x v="4"/>
    <x v="4"/>
    <x v="1"/>
    <x v="6"/>
    <n v="6757"/>
    <n v="17500"/>
    <n v="582.816326"/>
    <n v="14914"/>
    <s v="S202CM_MN"/>
    <n v="9500"/>
    <n v="-8000"/>
    <n v="6757"/>
  </r>
  <r>
    <x v="1"/>
    <x v="4"/>
    <x v="4"/>
    <x v="0"/>
    <x v="5"/>
    <n v="220"/>
    <n v="0"/>
    <n v="4.6938769999999996"/>
    <n v="180"/>
    <s v="S202MV_OB"/>
    <n v="0"/>
    <n v="0"/>
    <n v="220"/>
  </r>
  <r>
    <x v="1"/>
    <x v="4"/>
    <x v="4"/>
    <x v="3"/>
    <x v="11"/>
    <n v="11445"/>
    <n v="18000"/>
    <n v="523.34693800000002"/>
    <n v="13577"/>
    <s v="S202WICO_RE"/>
    <n v="15000"/>
    <n v="-3000"/>
    <n v="11445"/>
  </r>
  <r>
    <x v="1"/>
    <x v="5"/>
    <x v="5"/>
    <x v="3"/>
    <x v="11"/>
    <n v="21211"/>
    <n v="18000"/>
    <n v="758.02040799999997"/>
    <n v="19508"/>
    <s v="S203WICO_RE"/>
    <n v="5500"/>
    <n v="-12500"/>
    <n v="21211"/>
  </r>
  <r>
    <x v="1"/>
    <x v="5"/>
    <x v="5"/>
    <x v="3"/>
    <x v="4"/>
    <n v="14584"/>
    <n v="10500"/>
    <n v="363.367346"/>
    <n v="11222"/>
    <s v="S203WICO_GR"/>
    <n v="3500"/>
    <n v="-7000"/>
    <n v="14584"/>
  </r>
  <r>
    <x v="1"/>
    <x v="5"/>
    <x v="5"/>
    <x v="0"/>
    <x v="0"/>
    <n v="530"/>
    <n v="100"/>
    <n v="11.836734"/>
    <n v="290"/>
    <s v="S203MV_SB"/>
    <n v="0"/>
    <n v="-100"/>
    <n v="530"/>
  </r>
  <r>
    <x v="1"/>
    <x v="5"/>
    <x v="5"/>
    <x v="1"/>
    <x v="7"/>
    <n v="16378"/>
    <n v="11000"/>
    <n v="442.591836"/>
    <n v="11971"/>
    <s v="S203CM_BL"/>
    <n v="2500"/>
    <n v="-8500"/>
    <n v="16378"/>
  </r>
  <r>
    <x v="1"/>
    <x v="5"/>
    <x v="5"/>
    <x v="3"/>
    <x v="9"/>
    <n v="14228"/>
    <n v="8000"/>
    <n v="384.20408099999997"/>
    <n v="9178"/>
    <s v="S203WICO_BL"/>
    <n v="2000"/>
    <n v="-6000"/>
    <n v="14228"/>
  </r>
  <r>
    <x v="1"/>
    <x v="5"/>
    <x v="5"/>
    <x v="2"/>
    <x v="3"/>
    <n v="15004"/>
    <n v="21250"/>
    <n v="766.08163200000001"/>
    <n v="19104"/>
    <s v="S203CMHD_YL"/>
    <n v="11850"/>
    <n v="-9400"/>
    <n v="15004"/>
  </r>
  <r>
    <x v="1"/>
    <x v="5"/>
    <x v="5"/>
    <x v="2"/>
    <x v="2"/>
    <n v="7077"/>
    <n v="8000"/>
    <n v="221.26530600000001"/>
    <n v="5032"/>
    <s v="S203CMHD_GR"/>
    <n v="5250"/>
    <n v="-2750"/>
    <n v="7077"/>
  </r>
  <r>
    <x v="1"/>
    <x v="5"/>
    <x v="5"/>
    <x v="1"/>
    <x v="1"/>
    <n v="48755"/>
    <n v="57900"/>
    <n v="2092.4081630000001"/>
    <n v="51405"/>
    <s v="S203CM_FF"/>
    <n v="22700"/>
    <n v="-35200"/>
    <n v="48755"/>
  </r>
  <r>
    <x v="1"/>
    <x v="5"/>
    <x v="5"/>
    <x v="0"/>
    <x v="5"/>
    <n v="700"/>
    <n v="400"/>
    <n v="15.510204"/>
    <n v="360"/>
    <s v="S203MV_OB"/>
    <n v="200"/>
    <n v="-200"/>
    <n v="700"/>
  </r>
  <r>
    <x v="1"/>
    <x v="5"/>
    <x v="5"/>
    <x v="0"/>
    <x v="10"/>
    <n v="200"/>
    <n v="0"/>
    <n v="0.55101999999999995"/>
    <n v="70"/>
    <s v="S203MV_OPT"/>
    <n v="0"/>
    <n v="0"/>
    <n v="200"/>
  </r>
  <r>
    <x v="1"/>
    <x v="5"/>
    <x v="5"/>
    <x v="1"/>
    <x v="13"/>
    <n v="0"/>
    <n v="0"/>
    <n v="0"/>
    <n v="17"/>
    <s v="S203CM_EC"/>
    <n v="0"/>
    <n v="0"/>
    <n v="0"/>
  </r>
  <r>
    <x v="1"/>
    <x v="5"/>
    <x v="5"/>
    <x v="1"/>
    <x v="6"/>
    <n v="14252"/>
    <n v="4750"/>
    <n v="226.89795899999999"/>
    <n v="5370"/>
    <s v="S203CM_MN"/>
    <n v="1500"/>
    <n v="-3250"/>
    <n v="14252"/>
  </r>
  <r>
    <x v="1"/>
    <x v="5"/>
    <x v="5"/>
    <x v="4"/>
    <x v="8"/>
    <n v="130"/>
    <n v="100"/>
    <n v="3.4693870000000002"/>
    <n v="120"/>
    <s v="S203WIKS_BL"/>
    <n v="0"/>
    <n v="-100"/>
    <n v="130"/>
  </r>
  <r>
    <x v="2"/>
    <x v="6"/>
    <x v="6"/>
    <x v="0"/>
    <x v="0"/>
    <n v="544"/>
    <n v="400"/>
    <n v="14.795918"/>
    <n v="702"/>
    <s v="S301MV_SB"/>
    <n v="200"/>
    <n v="-200"/>
    <n v="544"/>
  </r>
  <r>
    <x v="2"/>
    <x v="6"/>
    <x v="6"/>
    <x v="3"/>
    <x v="4"/>
    <n v="3687"/>
    <n v="3000"/>
    <n v="70.673468999999997"/>
    <n v="1872"/>
    <s v="S301WICO_GR"/>
    <n v="500"/>
    <n v="-2500"/>
    <n v="3687"/>
  </r>
  <r>
    <x v="2"/>
    <x v="6"/>
    <x v="6"/>
    <x v="3"/>
    <x v="9"/>
    <n v="7049"/>
    <n v="16500"/>
    <n v="453.73469299999999"/>
    <n v="11238"/>
    <s v="S301WICO_BL"/>
    <n v="7000"/>
    <n v="-9500"/>
    <n v="7049"/>
  </r>
  <r>
    <x v="2"/>
    <x v="6"/>
    <x v="6"/>
    <x v="4"/>
    <x v="8"/>
    <n v="540"/>
    <n v="400"/>
    <n v="31.020408"/>
    <n v="510"/>
    <s v="S301WIKS_BL"/>
    <n v="200"/>
    <n v="-200"/>
    <n v="540"/>
  </r>
  <r>
    <x v="2"/>
    <x v="6"/>
    <x v="6"/>
    <x v="1"/>
    <x v="6"/>
    <n v="4045"/>
    <n v="5500"/>
    <n v="161.612244"/>
    <n v="3846"/>
    <s v="S301CM_MN"/>
    <n v="1000"/>
    <n v="-4500"/>
    <n v="4045"/>
  </r>
  <r>
    <x v="2"/>
    <x v="6"/>
    <x v="6"/>
    <x v="2"/>
    <x v="3"/>
    <n v="2360"/>
    <n v="5000"/>
    <n v="169.71428499999999"/>
    <n v="3466"/>
    <s v="S301CMHD_YL"/>
    <n v="1500"/>
    <n v="-3500"/>
    <n v="2360"/>
  </r>
  <r>
    <x v="2"/>
    <x v="6"/>
    <x v="6"/>
    <x v="0"/>
    <x v="5"/>
    <n v="380"/>
    <n v="150"/>
    <n v="7.1428570000000002"/>
    <n v="219"/>
    <s v="S301MV_OB"/>
    <n v="100"/>
    <n v="-50"/>
    <n v="380"/>
  </r>
  <r>
    <x v="2"/>
    <x v="6"/>
    <x v="6"/>
    <x v="1"/>
    <x v="1"/>
    <n v="14597"/>
    <n v="46000"/>
    <n v="1191"/>
    <n v="34688"/>
    <s v="S301CM_FF"/>
    <n v="15000"/>
    <n v="-31000"/>
    <n v="14597"/>
  </r>
  <r>
    <x v="2"/>
    <x v="6"/>
    <x v="6"/>
    <x v="3"/>
    <x v="11"/>
    <n v="5063"/>
    <n v="10000"/>
    <n v="280.83673399999998"/>
    <n v="6922"/>
    <s v="S301WICO_RE"/>
    <n v="3000"/>
    <n v="-7000"/>
    <n v="5063"/>
  </r>
  <r>
    <x v="2"/>
    <x v="6"/>
    <x v="6"/>
    <x v="0"/>
    <x v="10"/>
    <n v="160"/>
    <n v="50"/>
    <n v="5.5102039999999999"/>
    <n v="80"/>
    <s v="S301MV_OPT"/>
    <n v="0"/>
    <n v="-50"/>
    <n v="160"/>
  </r>
  <r>
    <x v="2"/>
    <x v="6"/>
    <x v="6"/>
    <x v="1"/>
    <x v="7"/>
    <n v="13108"/>
    <n v="33500"/>
    <n v="853.85714199999995"/>
    <n v="23848"/>
    <s v="S301CM_BL"/>
    <n v="10500"/>
    <n v="-23000"/>
    <n v="13108"/>
  </r>
  <r>
    <x v="2"/>
    <x v="7"/>
    <x v="7"/>
    <x v="3"/>
    <x v="9"/>
    <n v="18453"/>
    <n v="12500"/>
    <n v="655.632653"/>
    <n v="17827"/>
    <s v="S302WICO_BL"/>
    <n v="7500"/>
    <n v="-5000"/>
    <n v="18453"/>
  </r>
  <r>
    <x v="2"/>
    <x v="7"/>
    <x v="7"/>
    <x v="0"/>
    <x v="5"/>
    <n v="1409"/>
    <n v="750"/>
    <n v="26.918367"/>
    <n v="771"/>
    <s v="S302MV_OB"/>
    <n v="750"/>
    <n v="0"/>
    <n v="1409"/>
  </r>
  <r>
    <x v="2"/>
    <x v="7"/>
    <x v="7"/>
    <x v="1"/>
    <x v="6"/>
    <n v="4428"/>
    <n v="2500"/>
    <n v="145.14285699999999"/>
    <n v="3588"/>
    <s v="S302CM_MN"/>
    <n v="2500"/>
    <n v="0"/>
    <n v="4428"/>
  </r>
  <r>
    <x v="2"/>
    <x v="7"/>
    <x v="7"/>
    <x v="0"/>
    <x v="10"/>
    <n v="20"/>
    <n v="80"/>
    <n v="0.61224400000000001"/>
    <n v="60"/>
    <s v="S302MV_OPT"/>
    <n v="80"/>
    <n v="0"/>
    <n v="20"/>
  </r>
  <r>
    <x v="2"/>
    <x v="7"/>
    <x v="7"/>
    <x v="1"/>
    <x v="7"/>
    <n v="24612"/>
    <n v="32000"/>
    <n v="1288.0408159999999"/>
    <n v="32238"/>
    <s v="S302CM_BL"/>
    <n v="7000"/>
    <n v="-25000"/>
    <n v="24612"/>
  </r>
  <r>
    <x v="2"/>
    <x v="7"/>
    <x v="7"/>
    <x v="3"/>
    <x v="11"/>
    <n v="18206"/>
    <n v="19000"/>
    <n v="776.89795900000001"/>
    <n v="16249"/>
    <s v="S302WICO_RE"/>
    <n v="6000"/>
    <n v="-13000"/>
    <n v="18206"/>
  </r>
  <r>
    <x v="2"/>
    <x v="7"/>
    <x v="7"/>
    <x v="2"/>
    <x v="3"/>
    <n v="4469"/>
    <n v="4000"/>
    <n v="186.48979499999999"/>
    <n v="4030"/>
    <s v="S302CMHD_YL"/>
    <n v="4000"/>
    <n v="0"/>
    <n v="4469"/>
  </r>
  <r>
    <x v="2"/>
    <x v="7"/>
    <x v="7"/>
    <x v="0"/>
    <x v="0"/>
    <n v="920"/>
    <n v="400"/>
    <n v="25.734693"/>
    <n v="580"/>
    <s v="S302MV_SB"/>
    <n v="400"/>
    <n v="0"/>
    <n v="920"/>
  </r>
  <r>
    <x v="2"/>
    <x v="7"/>
    <x v="7"/>
    <x v="3"/>
    <x v="4"/>
    <n v="3983"/>
    <n v="0"/>
    <n v="129.591836"/>
    <n v="2966"/>
    <s v="S302WICO_GR"/>
    <n v="0"/>
    <n v="0"/>
    <n v="3983"/>
  </r>
  <r>
    <x v="2"/>
    <x v="7"/>
    <x v="7"/>
    <x v="1"/>
    <x v="1"/>
    <n v="35293"/>
    <n v="51000"/>
    <n v="1991.387755"/>
    <n v="46804"/>
    <s v="S302CM_FF"/>
    <n v="41000"/>
    <n v="-10000"/>
    <n v="35293"/>
  </r>
  <r>
    <x v="2"/>
    <x v="7"/>
    <x v="7"/>
    <x v="4"/>
    <x v="8"/>
    <n v="865"/>
    <n v="550"/>
    <n v="34.183672999999999"/>
    <n v="690"/>
    <s v="S302WIKS_BL"/>
    <n v="50"/>
    <n v="-500"/>
    <n v="865"/>
  </r>
  <r>
    <x v="3"/>
    <x v="8"/>
    <x v="8"/>
    <x v="2"/>
    <x v="2"/>
    <n v="4274"/>
    <n v="5500"/>
    <n v="295.38"/>
    <n v="4956"/>
    <s v="S401CMHD_GR"/>
    <n v="4000"/>
    <n v="-1500"/>
    <n v="4274"/>
  </r>
  <r>
    <x v="3"/>
    <x v="8"/>
    <x v="8"/>
    <x v="1"/>
    <x v="13"/>
    <n v="16"/>
    <n v="0"/>
    <n v="0"/>
    <n v="0"/>
    <s v="S401CM_EC"/>
    <n v="0"/>
    <n v="0"/>
    <n v="16"/>
  </r>
  <r>
    <x v="3"/>
    <x v="8"/>
    <x v="8"/>
    <x v="0"/>
    <x v="5"/>
    <n v="230"/>
    <n v="0"/>
    <n v="3.04"/>
    <n v="90"/>
    <s v="S401MV_OB"/>
    <n v="0"/>
    <n v="0"/>
    <n v="230"/>
  </r>
  <r>
    <x v="3"/>
    <x v="8"/>
    <x v="8"/>
    <x v="4"/>
    <x v="8"/>
    <n v="198"/>
    <n v="250"/>
    <n v="9.44"/>
    <n v="230"/>
    <s v="S401WIKS_BL"/>
    <n v="0"/>
    <n v="-250"/>
    <n v="198"/>
  </r>
  <r>
    <x v="3"/>
    <x v="8"/>
    <x v="8"/>
    <x v="1"/>
    <x v="6"/>
    <n v="6482"/>
    <n v="6000"/>
    <n v="356.14"/>
    <n v="9354"/>
    <s v="S401CM_MN"/>
    <n v="4000"/>
    <n v="-2000"/>
    <n v="6482"/>
  </r>
  <r>
    <x v="3"/>
    <x v="8"/>
    <x v="8"/>
    <x v="3"/>
    <x v="11"/>
    <n v="21113"/>
    <n v="30250"/>
    <n v="1271.04"/>
    <n v="34335"/>
    <s v="S401WICO_RE"/>
    <n v="12250"/>
    <n v="-18000"/>
    <n v="21113"/>
  </r>
  <r>
    <x v="3"/>
    <x v="8"/>
    <x v="8"/>
    <x v="0"/>
    <x v="0"/>
    <n v="610"/>
    <n v="1750"/>
    <n v="30"/>
    <n v="1250"/>
    <s v="S401MV_SB"/>
    <n v="1250"/>
    <n v="-500"/>
    <n v="610"/>
  </r>
  <r>
    <x v="3"/>
    <x v="8"/>
    <x v="8"/>
    <x v="1"/>
    <x v="7"/>
    <n v="7258"/>
    <n v="22500"/>
    <n v="655.8"/>
    <n v="16882"/>
    <s v="S401CM_BL"/>
    <n v="9000"/>
    <n v="-13500"/>
    <n v="7258"/>
  </r>
  <r>
    <x v="3"/>
    <x v="8"/>
    <x v="8"/>
    <x v="3"/>
    <x v="4"/>
    <n v="19783"/>
    <n v="26000"/>
    <n v="1180.58"/>
    <n v="32475"/>
    <s v="S401WICO_GR"/>
    <n v="7000"/>
    <n v="-19000"/>
    <n v="19783"/>
  </r>
  <r>
    <x v="3"/>
    <x v="8"/>
    <x v="8"/>
    <x v="1"/>
    <x v="1"/>
    <n v="22345"/>
    <n v="55000"/>
    <n v="1965.74"/>
    <n v="48070"/>
    <s v="S401CM_FF"/>
    <n v="31000"/>
    <n v="-24000"/>
    <n v="22345"/>
  </r>
  <r>
    <x v="3"/>
    <x v="8"/>
    <x v="8"/>
    <x v="3"/>
    <x v="9"/>
    <n v="9831"/>
    <n v="9000"/>
    <n v="411.9"/>
    <n v="9767"/>
    <s v="S401WICO_BL"/>
    <n v="2000"/>
    <n v="-7000"/>
    <n v="9831"/>
  </r>
  <r>
    <x v="3"/>
    <x v="8"/>
    <x v="8"/>
    <x v="2"/>
    <x v="3"/>
    <n v="20246"/>
    <n v="45750"/>
    <n v="1999.92"/>
    <n v="39221"/>
    <s v="S401CMHD_YL"/>
    <n v="27000"/>
    <n v="-18750"/>
    <n v="20246"/>
  </r>
  <r>
    <x v="3"/>
    <x v="8"/>
    <x v="8"/>
    <x v="0"/>
    <x v="10"/>
    <n v="8"/>
    <n v="0"/>
    <n v="4"/>
    <n v="0"/>
    <s v="S401MV_OPT"/>
    <n v="0"/>
    <n v="0"/>
    <n v="8"/>
  </r>
  <r>
    <x v="4"/>
    <x v="9"/>
    <x v="9"/>
    <x v="1"/>
    <x v="1"/>
    <n v="17165"/>
    <n v="40750"/>
    <n v="1591.1836719999999"/>
    <n v="40636"/>
    <s v="S504CM_FF"/>
    <n v="19000"/>
    <n v="-21750"/>
    <n v="17165"/>
  </r>
  <r>
    <x v="4"/>
    <x v="9"/>
    <x v="9"/>
    <x v="2"/>
    <x v="3"/>
    <n v="14567"/>
    <n v="42750"/>
    <n v="1816.3673449999999"/>
    <n v="38607"/>
    <s v="S504CMHD_YL"/>
    <n v="18000"/>
    <n v="-24750"/>
    <n v="14567"/>
  </r>
  <r>
    <x v="4"/>
    <x v="9"/>
    <x v="9"/>
    <x v="2"/>
    <x v="2"/>
    <n v="6897"/>
    <n v="11750"/>
    <n v="439.99999800000001"/>
    <n v="9915"/>
    <s v="S504CMHD_GR"/>
    <n v="3500"/>
    <n v="-8250"/>
    <n v="6897"/>
  </r>
  <r>
    <x v="4"/>
    <x v="9"/>
    <x v="9"/>
    <x v="3"/>
    <x v="11"/>
    <n v="7231"/>
    <n v="12250"/>
    <n v="419.91836699999999"/>
    <n v="11300"/>
    <s v="S504WICO_RE"/>
    <n v="5000"/>
    <n v="-7250"/>
    <n v="7231"/>
  </r>
  <r>
    <x v="4"/>
    <x v="9"/>
    <x v="9"/>
    <x v="1"/>
    <x v="6"/>
    <n v="5411"/>
    <n v="8500"/>
    <n v="338.02040499999998"/>
    <n v="7617"/>
    <s v="S504CM_MN"/>
    <n v="4000"/>
    <n v="-4500"/>
    <n v="5411"/>
  </r>
  <r>
    <x v="4"/>
    <x v="9"/>
    <x v="9"/>
    <x v="3"/>
    <x v="4"/>
    <n v="6890"/>
    <n v="8500"/>
    <n v="277.22448700000001"/>
    <n v="7491"/>
    <s v="S504WICO_GR"/>
    <n v="2750"/>
    <n v="-5750"/>
    <n v="6890"/>
  </r>
  <r>
    <x v="4"/>
    <x v="9"/>
    <x v="9"/>
    <x v="1"/>
    <x v="7"/>
    <n v="4052"/>
    <n v="6210"/>
    <n v="253.65306000000001"/>
    <n v="6817"/>
    <s v="S504CM_BL"/>
    <n v="1960"/>
    <n v="-4250"/>
    <n v="4052"/>
  </r>
  <r>
    <x v="4"/>
    <x v="9"/>
    <x v="9"/>
    <x v="0"/>
    <x v="5"/>
    <n v="0"/>
    <n v="0"/>
    <n v="0"/>
    <n v="120"/>
    <s v="S504MV_OB"/>
    <n v="0"/>
    <n v="0"/>
    <n v="0"/>
  </r>
  <r>
    <x v="4"/>
    <x v="9"/>
    <x v="9"/>
    <x v="3"/>
    <x v="9"/>
    <n v="4063"/>
    <n v="3500"/>
    <n v="179.163263"/>
    <n v="3968"/>
    <s v="S504WICO_BL"/>
    <n v="1500"/>
    <n v="-2000"/>
    <n v="4063"/>
  </r>
  <r>
    <x v="4"/>
    <x v="9"/>
    <x v="9"/>
    <x v="0"/>
    <x v="10"/>
    <n v="60"/>
    <n v="0"/>
    <n v="0.81632499999999997"/>
    <n v="10"/>
    <s v="S504MV_OPT"/>
    <n v="0"/>
    <n v="0"/>
    <n v="60"/>
  </r>
  <r>
    <x v="4"/>
    <x v="9"/>
    <x v="9"/>
    <x v="0"/>
    <x v="0"/>
    <n v="50"/>
    <n v="40"/>
    <n v="10.714285"/>
    <n v="265"/>
    <s v="S504MV_SB"/>
    <n v="40"/>
    <n v="0"/>
    <n v="5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E158A80-9F98-4128-9539-7E3D88505196}" name="PivotTable2" cacheId="25"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rowHeaderCaption="Brand/SKU">
  <location ref="A10:F29" firstHeaderRow="0" firstDataRow="1" firstDataCol="1"/>
  <pivotFields count="18">
    <pivotField showAll="0">
      <items count="8">
        <item x="1"/>
        <item x="0"/>
        <item x="4"/>
        <item x="3"/>
        <item m="1" x="6"/>
        <item x="2"/>
        <item m="1" x="5"/>
        <item t="default"/>
      </items>
    </pivotField>
    <pivotField showAll="0"/>
    <pivotField showAll="0">
      <items count="32">
        <item m="1" x="13"/>
        <item m="1" x="18"/>
        <item m="1" x="15"/>
        <item m="1" x="25"/>
        <item m="1" x="21"/>
        <item m="1" x="19"/>
        <item m="1" x="26"/>
        <item m="1" x="28"/>
        <item m="1" x="22"/>
        <item x="6"/>
        <item x="1"/>
        <item m="1" x="12"/>
        <item x="0"/>
        <item m="1" x="11"/>
        <item x="7"/>
        <item m="1" x="29"/>
        <item m="1" x="24"/>
        <item m="1" x="17"/>
        <item m="1" x="14"/>
        <item x="9"/>
        <item m="1" x="30"/>
        <item x="5"/>
        <item m="1" x="27"/>
        <item x="3"/>
        <item m="1" x="16"/>
        <item x="4"/>
        <item m="1" x="20"/>
        <item x="8"/>
        <item m="1" x="23"/>
        <item x="2"/>
        <item m="1" x="10"/>
        <item t="default"/>
      </items>
    </pivotField>
    <pivotField axis="axisRow" showAll="0">
      <items count="8">
        <item x="0"/>
        <item x="4"/>
        <item x="3"/>
        <item x="1"/>
        <item m="1" x="5"/>
        <item x="2"/>
        <item m="1" x="6"/>
        <item t="default"/>
      </items>
    </pivotField>
    <pivotField axis="axisRow" multipleItemSelectionAllowed="1" showAll="0">
      <items count="24">
        <item x="7"/>
        <item h="1" x="13"/>
        <item x="1"/>
        <item x="6"/>
        <item m="1" x="14"/>
        <item m="1" x="22"/>
        <item m="1" x="16"/>
        <item m="1" x="21"/>
        <item x="5"/>
        <item x="10"/>
        <item x="0"/>
        <item m="1" x="15"/>
        <item x="9"/>
        <item x="4"/>
        <item x="11"/>
        <item x="8"/>
        <item m="1" x="19"/>
        <item m="1" x="18"/>
        <item m="1" x="20"/>
        <item x="3"/>
        <item x="2"/>
        <item x="12"/>
        <item m="1" x="17"/>
        <item t="default"/>
      </items>
    </pivotField>
    <pivotField showAll="0"/>
    <pivotField showAll="0"/>
    <pivotField showAll="0"/>
    <pivotField showAll="0"/>
    <pivotField showAll="0"/>
    <pivotField showAll="0"/>
    <pivotField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s>
  <rowFields count="2">
    <field x="3"/>
    <field x="4"/>
  </rowFields>
  <rowItems count="19">
    <i>
      <x/>
    </i>
    <i r="1">
      <x v="8"/>
    </i>
    <i r="1">
      <x v="9"/>
    </i>
    <i r="1">
      <x v="10"/>
    </i>
    <i>
      <x v="1"/>
    </i>
    <i r="1">
      <x v="15"/>
    </i>
    <i>
      <x v="2"/>
    </i>
    <i r="1">
      <x v="12"/>
    </i>
    <i r="1">
      <x v="13"/>
    </i>
    <i r="1">
      <x v="14"/>
    </i>
    <i>
      <x v="3"/>
    </i>
    <i r="1">
      <x/>
    </i>
    <i r="1">
      <x v="2"/>
    </i>
    <i r="1">
      <x v="3"/>
    </i>
    <i>
      <x v="5"/>
    </i>
    <i r="1">
      <x v="19"/>
    </i>
    <i r="1">
      <x v="20"/>
    </i>
    <i r="1">
      <x v="21"/>
    </i>
    <i t="grand">
      <x/>
    </i>
  </rowItems>
  <colFields count="1">
    <field x="-2"/>
  </colFields>
  <colItems count="5">
    <i>
      <x/>
    </i>
    <i i="1">
      <x v="1"/>
    </i>
    <i i="2">
      <x v="2"/>
    </i>
    <i i="3">
      <x v="3"/>
    </i>
    <i i="4">
      <x v="4"/>
    </i>
  </colItems>
  <dataFields count="5">
    <dataField name="Stock Received MTD" fld="14" baseField="0" baseItem="0"/>
    <dataField name="Sell Out MTD" fld="15" baseField="0" baseItem="0"/>
    <dataField name="Stock Available" fld="16" baseField="0" baseItem="0"/>
    <dataField name="Sell  Out/Day" fld="17" baseField="0" baseItem="0"/>
    <dataField name="Stock Cover Day" fld="13" baseField="0" baseItem="0" numFmtId="167"/>
  </dataFields>
  <formats count="29">
    <format dxfId="107">
      <pivotArea outline="0" collapsedLevelsAreSubtotals="1" fieldPosition="0"/>
    </format>
    <format dxfId="106">
      <pivotArea field="3" type="button" dataOnly="0" labelOnly="1" outline="0" axis="axisRow" fieldPosition="0"/>
    </format>
    <format dxfId="105">
      <pivotArea field="3" type="button" dataOnly="0" labelOnly="1" outline="0" axis="axisRow" fieldPosition="0"/>
    </format>
    <format dxfId="104">
      <pivotArea field="3" type="button" dataOnly="0" labelOnly="1" outline="0" axis="axisRow" fieldPosition="0"/>
    </format>
    <format dxfId="103">
      <pivotArea outline="0" collapsedLevelsAreSubtotals="1" fieldPosition="0"/>
    </format>
    <format dxfId="102">
      <pivotArea outline="0" collapsedLevelsAreSubtotals="1" fieldPosition="0"/>
    </format>
    <format dxfId="101">
      <pivotArea dataOnly="0" outline="0" fieldPosition="0">
        <references count="1">
          <reference field="4294967294" count="1">
            <x v="4"/>
          </reference>
        </references>
      </pivotArea>
    </format>
    <format dxfId="100">
      <pivotArea dataOnly="0" labelOnly="1" outline="0" fieldPosition="0">
        <references count="1">
          <reference field="4294967294" count="1">
            <x v="4"/>
          </reference>
        </references>
      </pivotArea>
    </format>
    <format dxfId="99">
      <pivotArea outline="0" collapsedLevelsAreSubtotals="1" fieldPosition="0"/>
    </format>
    <format dxfId="98">
      <pivotArea dataOnly="0" outline="0" fieldPosition="0">
        <references count="1">
          <reference field="4294967294" count="1">
            <x v="0"/>
          </reference>
        </references>
      </pivotArea>
    </format>
    <format dxfId="97">
      <pivotArea dataOnly="0" labelOnly="1" outline="0" fieldPosition="0">
        <references count="1">
          <reference field="4294967294" count="1">
            <x v="0"/>
          </reference>
        </references>
      </pivotArea>
    </format>
    <format dxfId="96">
      <pivotArea dataOnly="0" labelOnly="1" outline="0" fieldPosition="0">
        <references count="1">
          <reference field="4294967294" count="1">
            <x v="0"/>
          </reference>
        </references>
      </pivotArea>
    </format>
    <format dxfId="95">
      <pivotArea dataOnly="0" labelOnly="1" outline="0" fieldPosition="0">
        <references count="1">
          <reference field="4294967294" count="1">
            <x v="0"/>
          </reference>
        </references>
      </pivotArea>
    </format>
    <format dxfId="94">
      <pivotArea dataOnly="0" outline="0" fieldPosition="0">
        <references count="1">
          <reference field="4294967294" count="1">
            <x v="0"/>
          </reference>
        </references>
      </pivotArea>
    </format>
    <format dxfId="93">
      <pivotArea dataOnly="0" labelOnly="1" outline="0" fieldPosition="0">
        <references count="1">
          <reference field="4294967294" count="1">
            <x v="1"/>
          </reference>
        </references>
      </pivotArea>
    </format>
    <format dxfId="92">
      <pivotArea dataOnly="0" labelOnly="1" outline="0" fieldPosition="0">
        <references count="1">
          <reference field="4294967294" count="1">
            <x v="1"/>
          </reference>
        </references>
      </pivotArea>
    </format>
    <format dxfId="91">
      <pivotArea dataOnly="0" outline="0" fieldPosition="0">
        <references count="1">
          <reference field="4294967294" count="1">
            <x v="1"/>
          </reference>
        </references>
      </pivotArea>
    </format>
    <format dxfId="90">
      <pivotArea dataOnly="0" outline="0" fieldPosition="0">
        <references count="1">
          <reference field="4294967294" count="1">
            <x v="1"/>
          </reference>
        </references>
      </pivotArea>
    </format>
    <format dxfId="89">
      <pivotArea dataOnly="0" labelOnly="1" outline="0" fieldPosition="0">
        <references count="1">
          <reference field="4294967294" count="1">
            <x v="2"/>
          </reference>
        </references>
      </pivotArea>
    </format>
    <format dxfId="88">
      <pivotArea dataOnly="0" labelOnly="1" outline="0" fieldPosition="0">
        <references count="1">
          <reference field="4294967294" count="1">
            <x v="2"/>
          </reference>
        </references>
      </pivotArea>
    </format>
    <format dxfId="87">
      <pivotArea dataOnly="0" labelOnly="1" outline="0" fieldPosition="0">
        <references count="1">
          <reference field="4294967294" count="1">
            <x v="2"/>
          </reference>
        </references>
      </pivotArea>
    </format>
    <format dxfId="86">
      <pivotArea dataOnly="0" outline="0" fieldPosition="0">
        <references count="1">
          <reference field="4294967294" count="1">
            <x v="2"/>
          </reference>
        </references>
      </pivotArea>
    </format>
    <format dxfId="85">
      <pivotArea dataOnly="0" outline="0" fieldPosition="0">
        <references count="1">
          <reference field="4294967294" count="1">
            <x v="2"/>
          </reference>
        </references>
      </pivotArea>
    </format>
    <format dxfId="84">
      <pivotArea dataOnly="0" labelOnly="1" outline="0" fieldPosition="0">
        <references count="1">
          <reference field="4294967294" count="1">
            <x v="3"/>
          </reference>
        </references>
      </pivotArea>
    </format>
    <format dxfId="83">
      <pivotArea dataOnly="0" labelOnly="1" outline="0" fieldPosition="0">
        <references count="1">
          <reference field="4294967294" count="1">
            <x v="3"/>
          </reference>
        </references>
      </pivotArea>
    </format>
    <format dxfId="82">
      <pivotArea dataOnly="0" labelOnly="1" outline="0" fieldPosition="0">
        <references count="1">
          <reference field="4294967294" count="1">
            <x v="3"/>
          </reference>
        </references>
      </pivotArea>
    </format>
    <format dxfId="81">
      <pivotArea dataOnly="0" outline="0" fieldPosition="0">
        <references count="1">
          <reference field="4294967294" count="1">
            <x v="3"/>
          </reference>
        </references>
      </pivotArea>
    </format>
    <format dxfId="80">
      <pivotArea dataOnly="0" outline="0" fieldPosition="0">
        <references count="1">
          <reference field="4294967294" count="1">
            <x v="3"/>
          </reference>
        </references>
      </pivotArea>
    </format>
    <format dxfId="79">
      <pivotArea outline="0" collapsedLevelsAreSubtotals="1" fieldPosition="0">
        <references count="1">
          <reference field="4294967294" count="1" selected="0">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85E4E6B-014A-41F6-8B49-5AB5E1FAEBE8}" name="PivotTable1" cacheId="25"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rowHeaderCaption="Brand/SKU">
  <location ref="H10:O26" firstHeaderRow="0" firstDataRow="1" firstDataCol="3" rowPageCount="1" colPageCount="1"/>
  <pivotFields count="18">
    <pivotField axis="axisRow" compact="0" outline="0" showAll="0">
      <items count="8">
        <item x="0"/>
        <item x="1"/>
        <item x="2"/>
        <item x="3"/>
        <item x="4"/>
        <item m="1" x="6"/>
        <item m="1" x="5"/>
        <item t="default"/>
      </items>
    </pivotField>
    <pivotField axis="axisRow" compact="0" outline="0" showAll="0" sortType="ascending" defaultSubtotal="0">
      <items count="17">
        <item x="0"/>
        <item x="1"/>
        <item x="2"/>
        <item m="1" x="16"/>
        <item x="3"/>
        <item x="4"/>
        <item x="5"/>
        <item m="1" x="13"/>
        <item x="6"/>
        <item x="7"/>
        <item x="8"/>
        <item m="1" x="15"/>
        <item m="1" x="14"/>
        <item m="1" x="12"/>
        <item m="1" x="11"/>
        <item m="1" x="10"/>
        <item x="9"/>
      </items>
    </pivotField>
    <pivotField axis="axisRow" compact="0" outline="0" showAll="0">
      <items count="32">
        <item m="1" x="18"/>
        <item m="1" x="15"/>
        <item m="1" x="25"/>
        <item m="1" x="21"/>
        <item m="1" x="19"/>
        <item m="1" x="26"/>
        <item m="1" x="28"/>
        <item m="1" x="22"/>
        <item x="6"/>
        <item m="1" x="20"/>
        <item x="1"/>
        <item m="1" x="11"/>
        <item m="1" x="29"/>
        <item x="9"/>
        <item m="1" x="30"/>
        <item x="5"/>
        <item m="1" x="27"/>
        <item x="3"/>
        <item x="2"/>
        <item m="1" x="16"/>
        <item x="4"/>
        <item x="8"/>
        <item m="1" x="23"/>
        <item m="1" x="24"/>
        <item m="1" x="14"/>
        <item m="1" x="17"/>
        <item m="1" x="13"/>
        <item m="1" x="12"/>
        <item x="0"/>
        <item m="1" x="10"/>
        <item x="7"/>
        <item t="default"/>
      </items>
    </pivotField>
    <pivotField compact="0" outline="0" showAll="0">
      <items count="8">
        <item x="0"/>
        <item x="4"/>
        <item x="3"/>
        <item x="1"/>
        <item m="1" x="5"/>
        <item x="2"/>
        <item m="1" x="6"/>
        <item t="default"/>
      </items>
    </pivotField>
    <pivotField axis="axisPage" compact="0" outline="0" multipleItemSelectionAllowed="1" showAll="0">
      <items count="24">
        <item x="7"/>
        <item h="1" x="13"/>
        <item x="1"/>
        <item x="6"/>
        <item m="1" x="14"/>
        <item m="1" x="22"/>
        <item m="1" x="16"/>
        <item m="1" x="21"/>
        <item m="1" x="20"/>
        <item x="5"/>
        <item x="10"/>
        <item x="0"/>
        <item m="1" x="15"/>
        <item x="9"/>
        <item x="4"/>
        <item x="11"/>
        <item x="8"/>
        <item m="1" x="19"/>
        <item m="1" x="18"/>
        <item x="3"/>
        <item x="2"/>
        <item x="12"/>
        <item m="1" x="1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s>
  <rowFields count="3">
    <field x="0"/>
    <field x="1"/>
    <field x="2"/>
  </rowFields>
  <rowItems count="16">
    <i>
      <x/>
      <x/>
      <x v="28"/>
    </i>
    <i r="1">
      <x v="1"/>
      <x v="10"/>
    </i>
    <i r="1">
      <x v="2"/>
      <x v="18"/>
    </i>
    <i t="default">
      <x/>
    </i>
    <i>
      <x v="1"/>
      <x v="4"/>
      <x v="17"/>
    </i>
    <i r="1">
      <x v="5"/>
      <x v="20"/>
    </i>
    <i r="1">
      <x v="6"/>
      <x v="15"/>
    </i>
    <i t="default">
      <x v="1"/>
    </i>
    <i>
      <x v="2"/>
      <x v="8"/>
      <x v="8"/>
    </i>
    <i r="1">
      <x v="9"/>
      <x v="30"/>
    </i>
    <i t="default">
      <x v="2"/>
    </i>
    <i>
      <x v="3"/>
      <x v="10"/>
      <x v="21"/>
    </i>
    <i t="default">
      <x v="3"/>
    </i>
    <i>
      <x v="4"/>
      <x v="16"/>
      <x v="13"/>
    </i>
    <i t="default">
      <x v="4"/>
    </i>
    <i t="grand">
      <x/>
    </i>
  </rowItems>
  <colFields count="1">
    <field x="-2"/>
  </colFields>
  <colItems count="5">
    <i>
      <x/>
    </i>
    <i i="1">
      <x v="1"/>
    </i>
    <i i="2">
      <x v="2"/>
    </i>
    <i i="3">
      <x v="3"/>
    </i>
    <i i="4">
      <x v="4"/>
    </i>
  </colItems>
  <pageFields count="1">
    <pageField fld="4" hier="-1"/>
  </pageFields>
  <dataFields count="5">
    <dataField name="Stock Received MTD" fld="14" baseField="0" baseItem="0" numFmtId="43"/>
    <dataField name="Sell Out MTD" fld="15" baseField="0" baseItem="0"/>
    <dataField name="Stock Available" fld="16" baseField="0" baseItem="0"/>
    <dataField name="Sell  Out/Day" fld="17" baseField="0" baseItem="0"/>
    <dataField name="Stock Cover Day" fld="13" baseField="0" baseItem="0" numFmtId="167"/>
  </dataFields>
  <formats count="36">
    <format dxfId="143">
      <pivotArea outline="0" collapsedLevelsAreSubtotals="1" fieldPosition="0"/>
    </format>
    <format dxfId="142">
      <pivotArea field="3" type="button" dataOnly="0" labelOnly="1" outline="0"/>
    </format>
    <format dxfId="141">
      <pivotArea field="3" type="button" dataOnly="0" labelOnly="1" outline="0"/>
    </format>
    <format dxfId="140">
      <pivotArea field="3" type="button" dataOnly="0" labelOnly="1" outline="0"/>
    </format>
    <format dxfId="139">
      <pivotArea outline="0" collapsedLevelsAreSubtotals="1" fieldPosition="0"/>
    </format>
    <format dxfId="138">
      <pivotArea outline="0" collapsedLevelsAreSubtotals="1" fieldPosition="0"/>
    </format>
    <format dxfId="137">
      <pivotArea dataOnly="0" outline="0" fieldPosition="0">
        <references count="1">
          <reference field="4294967294" count="1">
            <x v="4"/>
          </reference>
        </references>
      </pivotArea>
    </format>
    <format dxfId="136">
      <pivotArea dataOnly="0" labelOnly="1" outline="0" fieldPosition="0">
        <references count="1">
          <reference field="4294967294" count="1">
            <x v="4"/>
          </reference>
        </references>
      </pivotArea>
    </format>
    <format dxfId="135">
      <pivotArea outline="0" collapsedLevelsAreSubtotals="1" fieldPosition="0"/>
    </format>
    <format dxfId="134">
      <pivotArea field="0" type="button" dataOnly="0" labelOnly="1" outline="0" axis="axisRow" fieldPosition="0"/>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dataOnly="0" outline="0" fieldPosition="0">
        <references count="1">
          <reference field="4294967294" count="1">
            <x v="0"/>
          </reference>
        </references>
      </pivotArea>
    </format>
    <format dxfId="129">
      <pivotArea dataOnly="0" labelOnly="1" outline="0" fieldPosition="0">
        <references count="1">
          <reference field="4294967294" count="1">
            <x v="0"/>
          </reference>
        </references>
      </pivotArea>
    </format>
    <format dxfId="128">
      <pivotArea dataOnly="0" labelOnly="1" outline="0" fieldPosition="0">
        <references count="1">
          <reference field="4294967294" count="1">
            <x v="0"/>
          </reference>
        </references>
      </pivotArea>
    </format>
    <format dxfId="127">
      <pivotArea dataOnly="0" labelOnly="1" outline="0" fieldPosition="0">
        <references count="1">
          <reference field="4294967294" count="1">
            <x v="0"/>
          </reference>
        </references>
      </pivotArea>
    </format>
    <format dxfId="126">
      <pivotArea dataOnly="0" outline="0" fieldPosition="0">
        <references count="1">
          <reference field="4294967294" count="1">
            <x v="0"/>
          </reference>
        </references>
      </pivotArea>
    </format>
    <format dxfId="125">
      <pivotArea dataOnly="0" labelOnly="1" outline="0" fieldPosition="0">
        <references count="1">
          <reference field="4294967294" count="1">
            <x v="1"/>
          </reference>
        </references>
      </pivotArea>
    </format>
    <format dxfId="124">
      <pivotArea dataOnly="0" labelOnly="1" outline="0" fieldPosition="0">
        <references count="1">
          <reference field="4294967294" count="1">
            <x v="1"/>
          </reference>
        </references>
      </pivotArea>
    </format>
    <format dxfId="123">
      <pivotArea dataOnly="0" outline="0" fieldPosition="0">
        <references count="1">
          <reference field="4294967294" count="1">
            <x v="1"/>
          </reference>
        </references>
      </pivotArea>
    </format>
    <format dxfId="122">
      <pivotArea dataOnly="0" outline="0" fieldPosition="0">
        <references count="1">
          <reference field="4294967294" count="1">
            <x v="1"/>
          </reference>
        </references>
      </pivotArea>
    </format>
    <format dxfId="121">
      <pivotArea dataOnly="0" outline="0" fieldPosition="0">
        <references count="1">
          <reference field="4294967294" count="1">
            <x v="2"/>
          </reference>
        </references>
      </pivotArea>
    </format>
    <format dxfId="120">
      <pivotArea dataOnly="0" labelOnly="1" outline="0" fieldPosition="0">
        <references count="1">
          <reference field="4294967294" count="1">
            <x v="2"/>
          </reference>
        </references>
      </pivotArea>
    </format>
    <format dxfId="119">
      <pivotArea dataOnly="0" labelOnly="1" outline="0" fieldPosition="0">
        <references count="1">
          <reference field="4294967294" count="1">
            <x v="2"/>
          </reference>
        </references>
      </pivotArea>
    </format>
    <format dxfId="118">
      <pivotArea dataOnly="0" labelOnly="1" outline="0" fieldPosition="0">
        <references count="1">
          <reference field="4294967294" count="1">
            <x v="2"/>
          </reference>
        </references>
      </pivotArea>
    </format>
    <format dxfId="117">
      <pivotArea dataOnly="0" outline="0" fieldPosition="0">
        <references count="1">
          <reference field="4294967294" count="1">
            <x v="2"/>
          </reference>
        </references>
      </pivotArea>
    </format>
    <format dxfId="116">
      <pivotArea dataOnly="0" outline="0" fieldPosition="0">
        <references count="1">
          <reference field="4294967294" count="1">
            <x v="2"/>
          </reference>
        </references>
      </pivotArea>
    </format>
    <format dxfId="115">
      <pivotArea dataOnly="0" labelOnly="1" outline="0" fieldPosition="0">
        <references count="1">
          <reference field="4294967294" count="1">
            <x v="3"/>
          </reference>
        </references>
      </pivotArea>
    </format>
    <format dxfId="114">
      <pivotArea dataOnly="0" labelOnly="1" outline="0" fieldPosition="0">
        <references count="1">
          <reference field="4294967294" count="1">
            <x v="3"/>
          </reference>
        </references>
      </pivotArea>
    </format>
    <format dxfId="113">
      <pivotArea dataOnly="0" labelOnly="1" outline="0" fieldPosition="0">
        <references count="1">
          <reference field="4294967294" count="1">
            <x v="3"/>
          </reference>
        </references>
      </pivotArea>
    </format>
    <format dxfId="112">
      <pivotArea dataOnly="0" outline="0" fieldPosition="0">
        <references count="1">
          <reference field="4294967294" count="1">
            <x v="3"/>
          </reference>
        </references>
      </pivotArea>
    </format>
    <format dxfId="111">
      <pivotArea dataOnly="0" outline="0" fieldPosition="0">
        <references count="1">
          <reference field="4294967294" count="1">
            <x v="3"/>
          </reference>
        </references>
      </pivotArea>
    </format>
    <format dxfId="110">
      <pivotArea outline="0" fieldPosition="0">
        <references count="1">
          <reference field="4294967294" count="1" selected="0">
            <x v="4"/>
          </reference>
        </references>
      </pivotArea>
    </format>
    <format dxfId="109">
      <pivotArea field="0" grandRow="1" outline="0" axis="axisRow" fieldPosition="0">
        <references count="1">
          <reference field="4294967294" count="1" selected="0">
            <x v="1"/>
          </reference>
        </references>
      </pivotArea>
    </format>
    <format dxfId="108">
      <pivotArea outline="0"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F6A6E7C-809F-49ED-A674-9408430B15E1}" name="PivotTable6" cacheId="25"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rowHeaderCaption="Brand/SKU">
  <location ref="Q10:V16" firstHeaderRow="0" firstDataRow="1" firstDataCol="1" rowPageCount="1" colPageCount="1"/>
  <pivotFields count="18">
    <pivotField axis="axisRow" compact="0" outline="0" showAll="0">
      <items count="8">
        <item x="0"/>
        <item x="1"/>
        <item x="2"/>
        <item x="3"/>
        <item x="4"/>
        <item m="1" x="6"/>
        <item m="1" x="5"/>
        <item t="default"/>
      </items>
    </pivotField>
    <pivotField compact="0" outline="0" showAll="0" sortType="ascending" defaultSubtotal="0">
      <items count="17">
        <item x="0"/>
        <item x="1"/>
        <item x="2"/>
        <item m="1" x="16"/>
        <item x="3"/>
        <item x="4"/>
        <item x="5"/>
        <item m="1" x="13"/>
        <item x="6"/>
        <item x="7"/>
        <item x="8"/>
        <item m="1" x="15"/>
        <item m="1" x="14"/>
        <item m="1" x="12"/>
        <item m="1" x="11"/>
        <item m="1" x="10"/>
        <item x="9"/>
      </items>
    </pivotField>
    <pivotField compact="0" outline="0" showAll="0">
      <items count="32">
        <item m="1" x="18"/>
        <item m="1" x="15"/>
        <item m="1" x="25"/>
        <item m="1" x="21"/>
        <item m="1" x="19"/>
        <item m="1" x="26"/>
        <item m="1" x="28"/>
        <item m="1" x="22"/>
        <item x="6"/>
        <item m="1" x="20"/>
        <item x="1"/>
        <item m="1" x="11"/>
        <item m="1" x="29"/>
        <item x="9"/>
        <item m="1" x="30"/>
        <item x="5"/>
        <item m="1" x="27"/>
        <item x="3"/>
        <item x="2"/>
        <item m="1" x="16"/>
        <item x="4"/>
        <item x="8"/>
        <item m="1" x="23"/>
        <item m="1" x="24"/>
        <item m="1" x="14"/>
        <item m="1" x="17"/>
        <item m="1" x="13"/>
        <item m="1" x="12"/>
        <item x="0"/>
        <item m="1" x="10"/>
        <item x="7"/>
        <item t="default"/>
      </items>
    </pivotField>
    <pivotField compact="0" outline="0" showAll="0">
      <items count="8">
        <item x="0"/>
        <item x="4"/>
        <item x="3"/>
        <item x="1"/>
        <item m="1" x="5"/>
        <item x="2"/>
        <item m="1" x="6"/>
        <item t="default"/>
      </items>
    </pivotField>
    <pivotField axis="axisPage" compact="0" outline="0" showAll="0">
      <items count="24">
        <item x="7"/>
        <item x="13"/>
        <item x="1"/>
        <item x="6"/>
        <item m="1" x="14"/>
        <item m="1" x="22"/>
        <item m="1" x="16"/>
        <item m="1" x="21"/>
        <item m="1" x="20"/>
        <item x="5"/>
        <item x="10"/>
        <item x="0"/>
        <item m="1" x="15"/>
        <item x="9"/>
        <item x="4"/>
        <item x="11"/>
        <item x="8"/>
        <item m="1" x="19"/>
        <item m="1" x="18"/>
        <item x="3"/>
        <item x="2"/>
        <item x="12"/>
        <item m="1" x="1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s>
  <rowFields count="1">
    <field x="0"/>
  </rowFields>
  <rowItems count="6">
    <i>
      <x/>
    </i>
    <i>
      <x v="1"/>
    </i>
    <i>
      <x v="2"/>
    </i>
    <i>
      <x v="3"/>
    </i>
    <i>
      <x v="4"/>
    </i>
    <i t="grand">
      <x/>
    </i>
  </rowItems>
  <colFields count="1">
    <field x="-2"/>
  </colFields>
  <colItems count="5">
    <i>
      <x/>
    </i>
    <i i="1">
      <x v="1"/>
    </i>
    <i i="2">
      <x v="2"/>
    </i>
    <i i="3">
      <x v="3"/>
    </i>
    <i i="4">
      <x v="4"/>
    </i>
  </colItems>
  <pageFields count="1">
    <pageField fld="4" hier="-1"/>
  </pageFields>
  <dataFields count="5">
    <dataField name="Stock Received MTD" fld="14" baseField="0" baseItem="0" numFmtId="43"/>
    <dataField name="Sell Out MTD" fld="15" baseField="0" baseItem="0"/>
    <dataField name="Stock Available" fld="16" baseField="0" baseItem="0"/>
    <dataField name="Sell  Out/Day" fld="17" baseField="0" baseItem="0"/>
    <dataField name="Stock Cover Day" fld="13" baseField="0" baseItem="0" numFmtId="167"/>
  </dataFields>
  <formats count="36">
    <format dxfId="179">
      <pivotArea outline="0" collapsedLevelsAreSubtotals="1" fieldPosition="0"/>
    </format>
    <format dxfId="178">
      <pivotArea field="3" type="button" dataOnly="0" labelOnly="1" outline="0"/>
    </format>
    <format dxfId="177">
      <pivotArea field="3" type="button" dataOnly="0" labelOnly="1" outline="0"/>
    </format>
    <format dxfId="176">
      <pivotArea field="3" type="button" dataOnly="0" labelOnly="1" outline="0"/>
    </format>
    <format dxfId="175">
      <pivotArea outline="0" collapsedLevelsAreSubtotals="1" fieldPosition="0"/>
    </format>
    <format dxfId="174">
      <pivotArea outline="0" collapsedLevelsAreSubtotals="1" fieldPosition="0"/>
    </format>
    <format dxfId="173">
      <pivotArea dataOnly="0" outline="0" fieldPosition="0">
        <references count="1">
          <reference field="4294967294" count="1">
            <x v="4"/>
          </reference>
        </references>
      </pivotArea>
    </format>
    <format dxfId="172">
      <pivotArea dataOnly="0" labelOnly="1" outline="0" fieldPosition="0">
        <references count="1">
          <reference field="4294967294" count="1">
            <x v="4"/>
          </reference>
        </references>
      </pivotArea>
    </format>
    <format dxfId="171">
      <pivotArea outline="0" collapsedLevelsAreSubtotals="1" fieldPosition="0"/>
    </format>
    <format dxfId="170">
      <pivotArea field="0" type="button" dataOnly="0" labelOnly="1" outline="0" axis="axisRow" fieldPosition="0"/>
    </format>
    <format dxfId="169">
      <pivotArea field="0" type="button" dataOnly="0" labelOnly="1" outline="0" axis="axisRow" fieldPosition="0"/>
    </format>
    <format dxfId="168">
      <pivotArea field="1" type="button" dataOnly="0" labelOnly="1" outline="0"/>
    </format>
    <format dxfId="167">
      <pivotArea field="2" type="button" dataOnly="0" labelOnly="1" outline="0"/>
    </format>
    <format dxfId="166">
      <pivotArea dataOnly="0" outline="0" fieldPosition="0">
        <references count="1">
          <reference field="4294967294" count="1">
            <x v="0"/>
          </reference>
        </references>
      </pivotArea>
    </format>
    <format dxfId="165">
      <pivotArea dataOnly="0" labelOnly="1" outline="0" fieldPosition="0">
        <references count="1">
          <reference field="4294967294" count="1">
            <x v="0"/>
          </reference>
        </references>
      </pivotArea>
    </format>
    <format dxfId="164">
      <pivotArea dataOnly="0" labelOnly="1" outline="0" fieldPosition="0">
        <references count="1">
          <reference field="4294967294" count="1">
            <x v="0"/>
          </reference>
        </references>
      </pivotArea>
    </format>
    <format dxfId="163">
      <pivotArea dataOnly="0" labelOnly="1" outline="0" fieldPosition="0">
        <references count="1">
          <reference field="4294967294" count="1">
            <x v="0"/>
          </reference>
        </references>
      </pivotArea>
    </format>
    <format dxfId="162">
      <pivotArea dataOnly="0" outline="0" fieldPosition="0">
        <references count="1">
          <reference field="4294967294" count="1">
            <x v="0"/>
          </reference>
        </references>
      </pivotArea>
    </format>
    <format dxfId="161">
      <pivotArea dataOnly="0" labelOnly="1" outline="0" fieldPosition="0">
        <references count="1">
          <reference field="4294967294" count="1">
            <x v="1"/>
          </reference>
        </references>
      </pivotArea>
    </format>
    <format dxfId="160">
      <pivotArea dataOnly="0" labelOnly="1" outline="0" fieldPosition="0">
        <references count="1">
          <reference field="4294967294" count="1">
            <x v="1"/>
          </reference>
        </references>
      </pivotArea>
    </format>
    <format dxfId="159">
      <pivotArea dataOnly="0" outline="0" fieldPosition="0">
        <references count="1">
          <reference field="4294967294" count="1">
            <x v="1"/>
          </reference>
        </references>
      </pivotArea>
    </format>
    <format dxfId="158">
      <pivotArea dataOnly="0" outline="0" fieldPosition="0">
        <references count="1">
          <reference field="4294967294" count="1">
            <x v="1"/>
          </reference>
        </references>
      </pivotArea>
    </format>
    <format dxfId="157">
      <pivotArea dataOnly="0" outline="0" fieldPosition="0">
        <references count="1">
          <reference field="4294967294" count="1">
            <x v="2"/>
          </reference>
        </references>
      </pivotArea>
    </format>
    <format dxfId="156">
      <pivotArea dataOnly="0" labelOnly="1" outline="0" fieldPosition="0">
        <references count="1">
          <reference field="4294967294" count="1">
            <x v="2"/>
          </reference>
        </references>
      </pivotArea>
    </format>
    <format dxfId="155">
      <pivotArea dataOnly="0" labelOnly="1" outline="0" fieldPosition="0">
        <references count="1">
          <reference field="4294967294" count="1">
            <x v="2"/>
          </reference>
        </references>
      </pivotArea>
    </format>
    <format dxfId="154">
      <pivotArea dataOnly="0" labelOnly="1" outline="0" fieldPosition="0">
        <references count="1">
          <reference field="4294967294" count="1">
            <x v="2"/>
          </reference>
        </references>
      </pivotArea>
    </format>
    <format dxfId="153">
      <pivotArea dataOnly="0" outline="0" fieldPosition="0">
        <references count="1">
          <reference field="4294967294" count="1">
            <x v="2"/>
          </reference>
        </references>
      </pivotArea>
    </format>
    <format dxfId="152">
      <pivotArea dataOnly="0" outline="0" fieldPosition="0">
        <references count="1">
          <reference field="4294967294" count="1">
            <x v="2"/>
          </reference>
        </references>
      </pivotArea>
    </format>
    <format dxfId="151">
      <pivotArea dataOnly="0" labelOnly="1" outline="0" fieldPosition="0">
        <references count="1">
          <reference field="4294967294" count="1">
            <x v="3"/>
          </reference>
        </references>
      </pivotArea>
    </format>
    <format dxfId="150">
      <pivotArea dataOnly="0" labelOnly="1" outline="0" fieldPosition="0">
        <references count="1">
          <reference field="4294967294" count="1">
            <x v="3"/>
          </reference>
        </references>
      </pivotArea>
    </format>
    <format dxfId="149">
      <pivotArea dataOnly="0" labelOnly="1" outline="0" fieldPosition="0">
        <references count="1">
          <reference field="4294967294" count="1">
            <x v="3"/>
          </reference>
        </references>
      </pivotArea>
    </format>
    <format dxfId="148">
      <pivotArea dataOnly="0" outline="0" fieldPosition="0">
        <references count="1">
          <reference field="4294967294" count="1">
            <x v="3"/>
          </reference>
        </references>
      </pivotArea>
    </format>
    <format dxfId="147">
      <pivotArea dataOnly="0" outline="0" fieldPosition="0">
        <references count="1">
          <reference field="4294967294" count="1">
            <x v="3"/>
          </reference>
        </references>
      </pivotArea>
    </format>
    <format dxfId="146">
      <pivotArea outline="0" fieldPosition="0">
        <references count="1">
          <reference field="4294967294" count="1" selected="0">
            <x v="4"/>
          </reference>
        </references>
      </pivotArea>
    </format>
    <format dxfId="145">
      <pivotArea field="0" grandRow="1" outline="0" axis="axisRow" fieldPosition="0">
        <references count="1">
          <reference field="4294967294" count="1" selected="0">
            <x v="1"/>
          </reference>
        </references>
      </pivotArea>
    </format>
    <format dxfId="144">
      <pivotArea outline="0"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C67AB0F-62A4-47BB-BE50-C4101043908F}" name="PivotTable1" cacheId="25"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rowHeaderCaption="Brand/SKU">
  <location ref="H11:O27" firstHeaderRow="0" firstDataRow="1" firstDataCol="3" rowPageCount="1" colPageCount="1"/>
  <pivotFields count="18">
    <pivotField axis="axisRow" compact="0" outline="0" showAll="0">
      <items count="8">
        <item x="0"/>
        <item x="1"/>
        <item x="2"/>
        <item x="3"/>
        <item x="4"/>
        <item m="1" x="6"/>
        <item m="1" x="5"/>
        <item t="default"/>
      </items>
    </pivotField>
    <pivotField axis="axisRow" compact="0" outline="0" showAll="0" sortType="ascending" defaultSubtotal="0">
      <items count="17">
        <item x="0"/>
        <item x="1"/>
        <item x="2"/>
        <item m="1" x="16"/>
        <item x="3"/>
        <item x="4"/>
        <item x="5"/>
        <item m="1" x="13"/>
        <item x="6"/>
        <item x="7"/>
        <item x="8"/>
        <item m="1" x="15"/>
        <item m="1" x="14"/>
        <item m="1" x="12"/>
        <item m="1" x="11"/>
        <item m="1" x="10"/>
        <item x="9"/>
      </items>
    </pivotField>
    <pivotField axis="axisRow" compact="0" outline="0" showAll="0">
      <items count="32">
        <item m="1" x="18"/>
        <item m="1" x="15"/>
        <item m="1" x="25"/>
        <item m="1" x="21"/>
        <item m="1" x="19"/>
        <item m="1" x="26"/>
        <item m="1" x="28"/>
        <item m="1" x="22"/>
        <item x="6"/>
        <item m="1" x="20"/>
        <item x="1"/>
        <item m="1" x="11"/>
        <item m="1" x="29"/>
        <item x="9"/>
        <item m="1" x="30"/>
        <item x="5"/>
        <item m="1" x="27"/>
        <item x="3"/>
        <item x="2"/>
        <item m="1" x="16"/>
        <item x="4"/>
        <item x="8"/>
        <item m="1" x="23"/>
        <item m="1" x="24"/>
        <item m="1" x="14"/>
        <item m="1" x="17"/>
        <item m="1" x="13"/>
        <item m="1" x="12"/>
        <item x="0"/>
        <item m="1" x="10"/>
        <item x="7"/>
        <item t="default"/>
      </items>
    </pivotField>
    <pivotField compact="0" outline="0" showAll="0">
      <items count="8">
        <item x="0"/>
        <item x="4"/>
        <item x="3"/>
        <item x="1"/>
        <item m="1" x="5"/>
        <item x="2"/>
        <item m="1" x="6"/>
        <item t="default"/>
      </items>
    </pivotField>
    <pivotField axis="axisPage" compact="0" outline="0" multipleItemSelectionAllowed="1" showAll="0">
      <items count="24">
        <item x="7"/>
        <item h="1" x="13"/>
        <item x="1"/>
        <item x="6"/>
        <item m="1" x="14"/>
        <item m="1" x="22"/>
        <item m="1" x="16"/>
        <item m="1" x="21"/>
        <item m="1" x="20"/>
        <item x="5"/>
        <item x="10"/>
        <item x="0"/>
        <item m="1" x="15"/>
        <item x="9"/>
        <item x="4"/>
        <item x="11"/>
        <item x="8"/>
        <item m="1" x="19"/>
        <item m="1" x="18"/>
        <item x="3"/>
        <item x="2"/>
        <item x="12"/>
        <item m="1" x="17"/>
        <item t="default"/>
      </items>
    </pivotField>
    <pivotField compact="0" outline="0" showAll="0"/>
    <pivotField compact="0" outline="0" showAll="0"/>
    <pivotField dataField="1" compact="0" outline="0" showAll="0"/>
    <pivotField dataField="1" compact="0" outline="0" showAll="0"/>
    <pivotField compact="0" outline="0" showAll="0"/>
    <pivotField dataField="1" compact="0" outline="0" showAll="0"/>
    <pivotField compact="0" outline="0" showAll="0"/>
    <pivotField dataField="1" compact="0" outline="0" showAll="0"/>
    <pivotField dataField="1"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3">
    <field x="0"/>
    <field x="1"/>
    <field x="2"/>
  </rowFields>
  <rowItems count="16">
    <i>
      <x/>
      <x/>
      <x v="28"/>
    </i>
    <i r="1">
      <x v="1"/>
      <x v="10"/>
    </i>
    <i r="1">
      <x v="2"/>
      <x v="18"/>
    </i>
    <i t="default">
      <x/>
    </i>
    <i>
      <x v="1"/>
      <x v="4"/>
      <x v="17"/>
    </i>
    <i r="1">
      <x v="5"/>
      <x v="20"/>
    </i>
    <i r="1">
      <x v="6"/>
      <x v="15"/>
    </i>
    <i t="default">
      <x v="1"/>
    </i>
    <i>
      <x v="2"/>
      <x v="8"/>
      <x v="8"/>
    </i>
    <i r="1">
      <x v="9"/>
      <x v="30"/>
    </i>
    <i t="default">
      <x v="2"/>
    </i>
    <i>
      <x v="3"/>
      <x v="10"/>
      <x v="21"/>
    </i>
    <i t="default">
      <x v="3"/>
    </i>
    <i>
      <x v="4"/>
      <x v="16"/>
      <x v="13"/>
    </i>
    <i t="default">
      <x v="4"/>
    </i>
    <i t="grand">
      <x/>
    </i>
  </rowItems>
  <colFields count="1">
    <field x="-2"/>
  </colFields>
  <colItems count="5">
    <i>
      <x/>
    </i>
    <i i="1">
      <x v="1"/>
    </i>
    <i i="2">
      <x v="2"/>
    </i>
    <i i="3">
      <x v="3"/>
    </i>
    <i i="4">
      <x v="4"/>
    </i>
  </colItems>
  <pageFields count="1">
    <pageField fld="4" hier="-1"/>
  </pageFields>
  <dataFields count="5">
    <dataField name="Stock Received MTD" fld="10" baseField="0" baseItem="0"/>
    <dataField name="Sell Out MTD" fld="8" baseField="0" baseItem="0"/>
    <dataField name="Stock Available" fld="12" baseField="0" baseItem="0"/>
    <dataField name="Sell  Out/Day" fld="7" baseField="0" baseItem="0"/>
    <dataField name="Stock Cover Day" fld="13" baseField="0" baseItem="0" numFmtId="167"/>
  </dataFields>
  <formats count="29">
    <format dxfId="53">
      <pivotArea outline="0" collapsedLevelsAreSubtotals="1" fieldPosition="0"/>
    </format>
    <format dxfId="52">
      <pivotArea dataOnly="0" outline="0" fieldPosition="0">
        <references count="1">
          <reference field="4294967294" count="1">
            <x v="3"/>
          </reference>
        </references>
      </pivotArea>
    </format>
    <format dxfId="51">
      <pivotArea field="3" type="button" dataOnly="0" labelOnly="1" outline="0"/>
    </format>
    <format dxfId="50">
      <pivotArea dataOnly="0" labelOnly="1" outline="0" fieldPosition="0">
        <references count="1">
          <reference field="4294967294" count="1">
            <x v="3"/>
          </reference>
        </references>
      </pivotArea>
    </format>
    <format dxfId="49">
      <pivotArea field="3" type="button" dataOnly="0" labelOnly="1" outline="0"/>
    </format>
    <format dxfId="48">
      <pivotArea dataOnly="0" labelOnly="1" outline="0" fieldPosition="0">
        <references count="1">
          <reference field="4294967294" count="1">
            <x v="3"/>
          </reference>
        </references>
      </pivotArea>
    </format>
    <format dxfId="47">
      <pivotArea field="3" type="button" dataOnly="0" labelOnly="1" outline="0"/>
    </format>
    <format dxfId="46">
      <pivotArea dataOnly="0" labelOnly="1" outline="0" fieldPosition="0">
        <references count="1">
          <reference field="4294967294" count="1">
            <x v="3"/>
          </reference>
        </references>
      </pivotArea>
    </format>
    <format dxfId="45">
      <pivotArea outline="0" collapsedLevelsAreSubtotals="1" fieldPosition="0"/>
    </format>
    <format dxfId="44">
      <pivotArea outline="0" collapsedLevelsAreSubtotals="1" fieldPosition="0"/>
    </format>
    <format dxfId="43">
      <pivotArea dataOnly="0" outline="0" fieldPosition="0">
        <references count="1">
          <reference field="4294967294" count="1">
            <x v="4"/>
          </reference>
        </references>
      </pivotArea>
    </format>
    <format dxfId="42">
      <pivotArea dataOnly="0" labelOnly="1" outline="0" fieldPosition="0">
        <references count="1">
          <reference field="4294967294" count="1">
            <x v="4"/>
          </reference>
        </references>
      </pivotArea>
    </format>
    <format dxfId="41">
      <pivotArea dataOnly="0" labelOnly="1" outline="0" fieldPosition="0">
        <references count="1">
          <reference field="4294967294" count="1">
            <x v="1"/>
          </reference>
        </references>
      </pivotArea>
    </format>
    <format dxfId="40">
      <pivotArea dataOnly="0" outline="0" fieldPosition="0">
        <references count="1">
          <reference field="4294967294" count="1">
            <x v="1"/>
          </reference>
        </references>
      </pivotArea>
    </format>
    <format dxfId="39">
      <pivotArea outline="0" collapsedLevelsAreSubtotals="1" fieldPosition="0"/>
    </format>
    <format dxfId="38">
      <pivotArea dataOnly="0" outline="0" fieldPosition="0">
        <references count="1">
          <reference field="4294967294" count="1">
            <x v="1"/>
          </reference>
        </references>
      </pivotArea>
    </format>
    <format dxfId="37">
      <pivotArea field="0" type="button" dataOnly="0" labelOnly="1" outline="0" axis="axisRow" fieldPosition="0"/>
    </format>
    <format dxfId="36">
      <pivotArea field="0" type="button" dataOnly="0" labelOnly="1" outline="0" axis="axisRow" fieldPosition="0"/>
    </format>
    <format dxfId="35">
      <pivotArea field="1" type="button" dataOnly="0" labelOnly="1" outline="0" axis="axisRow" fieldPosition="1"/>
    </format>
    <format dxfId="34">
      <pivotArea field="2" type="button" dataOnly="0" labelOnly="1" outline="0" axis="axisRow" fieldPosition="2"/>
    </format>
    <format dxfId="33">
      <pivotArea outline="0" fieldPosition="0">
        <references count="1">
          <reference field="4294967294" count="1" selected="0">
            <x v="4"/>
          </reference>
        </references>
      </pivotArea>
    </format>
    <format dxfId="32">
      <pivotArea dataOnly="0" labelOnly="1" outline="0" fieldPosition="0">
        <references count="1">
          <reference field="4294967294" count="1">
            <x v="0"/>
          </reference>
        </references>
      </pivotArea>
    </format>
    <format dxfId="31">
      <pivotArea dataOnly="0" labelOnly="1" outline="0" fieldPosition="0">
        <references count="1">
          <reference field="4294967294" count="1">
            <x v="0"/>
          </reference>
        </references>
      </pivotArea>
    </format>
    <format dxfId="30">
      <pivotArea dataOnly="0" labelOnly="1" outline="0" fieldPosition="0">
        <references count="1">
          <reference field="4294967294" count="1">
            <x v="0"/>
          </reference>
        </references>
      </pivotArea>
    </format>
    <format dxfId="29">
      <pivotArea dataOnly="0" outline="0" fieldPosition="0">
        <references count="1">
          <reference field="4294967294" count="1">
            <x v="2"/>
          </reference>
        </references>
      </pivotArea>
    </format>
    <format dxfId="28">
      <pivotArea dataOnly="0" outline="0" fieldPosition="0">
        <references count="1">
          <reference field="4294967294" count="1">
            <x v="0"/>
          </reference>
        </references>
      </pivotArea>
    </format>
    <format dxfId="27">
      <pivotArea dataOnly="0" labelOnly="1" outline="0" fieldPosition="0">
        <references count="1">
          <reference field="4294967294" count="1">
            <x v="2"/>
          </reference>
        </references>
      </pivotArea>
    </format>
    <format dxfId="26">
      <pivotArea dataOnly="0" labelOnly="1" outline="0" fieldPosition="0">
        <references count="1">
          <reference field="4294967294" count="1">
            <x v="2"/>
          </reference>
        </references>
      </pivotArea>
    </format>
    <format dxfId="25">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671FB78-D233-4C74-A6AB-A5A3A14B4A05}" name="PivotTable2" cacheId="25"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rowHeaderCaption="Brand/SKU">
  <location ref="A11:F30" firstHeaderRow="0" firstDataRow="1" firstDataCol="1"/>
  <pivotFields count="18">
    <pivotField showAll="0">
      <items count="8">
        <item x="1"/>
        <item x="0"/>
        <item x="4"/>
        <item x="3"/>
        <item m="1" x="6"/>
        <item x="2"/>
        <item m="1" x="5"/>
        <item t="default"/>
      </items>
    </pivotField>
    <pivotField showAll="0"/>
    <pivotField showAll="0">
      <items count="32">
        <item m="1" x="13"/>
        <item m="1" x="18"/>
        <item m="1" x="15"/>
        <item m="1" x="25"/>
        <item m="1" x="21"/>
        <item m="1" x="19"/>
        <item m="1" x="26"/>
        <item m="1" x="28"/>
        <item m="1" x="22"/>
        <item x="6"/>
        <item x="1"/>
        <item m="1" x="12"/>
        <item x="0"/>
        <item m="1" x="11"/>
        <item x="7"/>
        <item m="1" x="29"/>
        <item m="1" x="24"/>
        <item m="1" x="17"/>
        <item m="1" x="14"/>
        <item x="9"/>
        <item m="1" x="30"/>
        <item x="5"/>
        <item m="1" x="27"/>
        <item x="3"/>
        <item m="1" x="16"/>
        <item x="4"/>
        <item m="1" x="20"/>
        <item x="8"/>
        <item m="1" x="23"/>
        <item x="2"/>
        <item m="1" x="10"/>
        <item t="default"/>
      </items>
    </pivotField>
    <pivotField axis="axisRow" showAll="0">
      <items count="8">
        <item x="0"/>
        <item x="4"/>
        <item x="3"/>
        <item x="1"/>
        <item m="1" x="5"/>
        <item x="2"/>
        <item m="1" x="6"/>
        <item t="default"/>
      </items>
    </pivotField>
    <pivotField axis="axisRow" showAll="0">
      <items count="24">
        <item x="7"/>
        <item h="1" x="13"/>
        <item x="1"/>
        <item x="6"/>
        <item m="1" x="14"/>
        <item m="1" x="22"/>
        <item m="1" x="16"/>
        <item m="1" x="21"/>
        <item x="5"/>
        <item x="10"/>
        <item x="0"/>
        <item m="1" x="15"/>
        <item x="9"/>
        <item x="4"/>
        <item x="11"/>
        <item x="8"/>
        <item m="1" x="19"/>
        <item m="1" x="18"/>
        <item m="1" x="20"/>
        <item x="3"/>
        <item x="2"/>
        <item x="12"/>
        <item m="1" x="17"/>
        <item t="default"/>
      </items>
    </pivotField>
    <pivotField showAll="0"/>
    <pivotField showAll="0"/>
    <pivotField dataField="1" showAll="0"/>
    <pivotField dataField="1" showAll="0"/>
    <pivotField showAll="0"/>
    <pivotField dataField="1" showAll="0"/>
    <pivotField showAll="0"/>
    <pivotField dataField="1" showAl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2">
    <field x="3"/>
    <field x="4"/>
  </rowFields>
  <rowItems count="19">
    <i>
      <x/>
    </i>
    <i r="1">
      <x v="8"/>
    </i>
    <i r="1">
      <x v="9"/>
    </i>
    <i r="1">
      <x v="10"/>
    </i>
    <i>
      <x v="1"/>
    </i>
    <i r="1">
      <x v="15"/>
    </i>
    <i>
      <x v="2"/>
    </i>
    <i r="1">
      <x v="12"/>
    </i>
    <i r="1">
      <x v="13"/>
    </i>
    <i r="1">
      <x v="14"/>
    </i>
    <i>
      <x v="3"/>
    </i>
    <i r="1">
      <x/>
    </i>
    <i r="1">
      <x v="2"/>
    </i>
    <i r="1">
      <x v="3"/>
    </i>
    <i>
      <x v="5"/>
    </i>
    <i r="1">
      <x v="19"/>
    </i>
    <i r="1">
      <x v="20"/>
    </i>
    <i r="1">
      <x v="21"/>
    </i>
    <i t="grand">
      <x/>
    </i>
  </rowItems>
  <colFields count="1">
    <field x="-2"/>
  </colFields>
  <colItems count="5">
    <i>
      <x/>
    </i>
    <i i="1">
      <x v="1"/>
    </i>
    <i i="2">
      <x v="2"/>
    </i>
    <i i="3">
      <x v="3"/>
    </i>
    <i i="4">
      <x v="4"/>
    </i>
  </colItems>
  <dataFields count="5">
    <dataField name="Stock Received MTD" fld="10" baseField="0" baseItem="0"/>
    <dataField name="Sell Out MTD" fld="8" baseField="0" baseItem="0"/>
    <dataField name="Stock Available" fld="12" baseField="0" baseItem="0"/>
    <dataField name="Sell  Out/Day" fld="7" baseField="0" baseItem="0"/>
    <dataField name="Stock Cover Day" fld="13" baseField="0" baseItem="0" numFmtId="167"/>
  </dataFields>
  <formats count="25">
    <format dxfId="78">
      <pivotArea outline="0" collapsedLevelsAreSubtotals="1" fieldPosition="0"/>
    </format>
    <format dxfId="77">
      <pivotArea dataOnly="0" outline="0" fieldPosition="0">
        <references count="1">
          <reference field="4294967294" count="1">
            <x v="3"/>
          </reference>
        </references>
      </pivotArea>
    </format>
    <format dxfId="76">
      <pivotArea field="3" type="button" dataOnly="0" labelOnly="1" outline="0" axis="axisRow" fieldPosition="0"/>
    </format>
    <format dxfId="75">
      <pivotArea dataOnly="0" labelOnly="1" outline="0" fieldPosition="0">
        <references count="1">
          <reference field="4294967294" count="1">
            <x v="3"/>
          </reference>
        </references>
      </pivotArea>
    </format>
    <format dxfId="74">
      <pivotArea field="3" type="button" dataOnly="0" labelOnly="1" outline="0" axis="axisRow" fieldPosition="0"/>
    </format>
    <format dxfId="73">
      <pivotArea dataOnly="0" labelOnly="1" outline="0" fieldPosition="0">
        <references count="1">
          <reference field="4294967294" count="1">
            <x v="3"/>
          </reference>
        </references>
      </pivotArea>
    </format>
    <format dxfId="72">
      <pivotArea field="3" type="button" dataOnly="0" labelOnly="1" outline="0" axis="axisRow" fieldPosition="0"/>
    </format>
    <format dxfId="71">
      <pivotArea dataOnly="0" labelOnly="1" outline="0" fieldPosition="0">
        <references count="1">
          <reference field="4294967294" count="1">
            <x v="3"/>
          </reference>
        </references>
      </pivotArea>
    </format>
    <format dxfId="70">
      <pivotArea outline="0" collapsedLevelsAreSubtotals="1" fieldPosition="0"/>
    </format>
    <format dxfId="69">
      <pivotArea outline="0" collapsedLevelsAreSubtotals="1" fieldPosition="0"/>
    </format>
    <format dxfId="68">
      <pivotArea dataOnly="0" outline="0" fieldPosition="0">
        <references count="1">
          <reference field="4294967294" count="1">
            <x v="4"/>
          </reference>
        </references>
      </pivotArea>
    </format>
    <format dxfId="67">
      <pivotArea dataOnly="0" labelOnly="1" outline="0" fieldPosition="0">
        <references count="1">
          <reference field="4294967294" count="1">
            <x v="4"/>
          </reference>
        </references>
      </pivotArea>
    </format>
    <format dxfId="66">
      <pivotArea dataOnly="0" labelOnly="1" outline="0" fieldPosition="0">
        <references count="1">
          <reference field="4294967294" count="1">
            <x v="1"/>
          </reference>
        </references>
      </pivotArea>
    </format>
    <format dxfId="65">
      <pivotArea dataOnly="0" outline="0" fieldPosition="0">
        <references count="1">
          <reference field="4294967294" count="1">
            <x v="1"/>
          </reference>
        </references>
      </pivotArea>
    </format>
    <format dxfId="64">
      <pivotArea outline="0" collapsedLevelsAreSubtotals="1" fieldPosition="0"/>
    </format>
    <format dxfId="63">
      <pivotArea dataOnly="0" outline="0" fieldPosition="0">
        <references count="1">
          <reference field="4294967294" count="1">
            <x v="1"/>
          </reference>
        </references>
      </pivotArea>
    </format>
    <format dxfId="62">
      <pivotArea outline="0" collapsedLevelsAreSubtotals="1" fieldPosition="0">
        <references count="1">
          <reference field="4294967294" count="1" selected="0">
            <x v="4"/>
          </reference>
        </references>
      </pivotArea>
    </format>
    <format dxfId="61">
      <pivotArea dataOnly="0" labelOnly="1" outline="0" fieldPosition="0">
        <references count="1">
          <reference field="4294967294" count="1">
            <x v="0"/>
          </reference>
        </references>
      </pivotArea>
    </format>
    <format dxfId="60">
      <pivotArea dataOnly="0" labelOnly="1" outline="0" fieldPosition="0">
        <references count="1">
          <reference field="4294967294" count="1">
            <x v="0"/>
          </reference>
        </references>
      </pivotArea>
    </format>
    <format dxfId="59">
      <pivotArea dataOnly="0" labelOnly="1" outline="0" fieldPosition="0">
        <references count="1">
          <reference field="4294967294" count="1">
            <x v="0"/>
          </reference>
        </references>
      </pivotArea>
    </format>
    <format dxfId="58">
      <pivotArea dataOnly="0" outline="0" fieldPosition="0">
        <references count="1">
          <reference field="4294967294" count="1">
            <x v="0"/>
          </reference>
        </references>
      </pivotArea>
    </format>
    <format dxfId="57">
      <pivotArea dataOnly="0" labelOnly="1" outline="0" fieldPosition="0">
        <references count="1">
          <reference field="4294967294" count="1">
            <x v="2"/>
          </reference>
        </references>
      </pivotArea>
    </format>
    <format dxfId="56">
      <pivotArea dataOnly="0" labelOnly="1" outline="0" fieldPosition="0">
        <references count="1">
          <reference field="4294967294" count="1">
            <x v="2"/>
          </reference>
        </references>
      </pivotArea>
    </format>
    <format dxfId="55">
      <pivotArea dataOnly="0" labelOnly="1" outline="0" fieldPosition="0">
        <references count="1">
          <reference field="4294967294" count="1">
            <x v="2"/>
          </reference>
        </references>
      </pivotArea>
    </format>
    <format dxfId="54">
      <pivotArea dataOnly="0"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47EBF10-E508-4ED3-BB3C-5530E9D11F2B}" name="PivotTable1" cacheId="17" applyNumberFormats="0" applyBorderFormats="0" applyFontFormats="0" applyPatternFormats="0" applyAlignmentFormats="0" applyWidthHeightFormats="1" dataCaption="Values" updatedVersion="8" minRefreshableVersion="3" useAutoFormatting="1" rowGrandTotals="0" itemPrintTitles="1" createdVersion="6" indent="0" outline="1" outlineData="1" multipleFieldFilters="0">
  <location ref="A3:B98" firstHeaderRow="1" firstDataRow="1" firstDataCol="1"/>
  <pivotFields count="10">
    <pivotField showAll="0"/>
    <pivotField showAll="0"/>
    <pivotField showAll="0"/>
    <pivotField showAll="0"/>
    <pivotField showAll="0"/>
    <pivotField showAll="0"/>
    <pivotField showAll="0"/>
    <pivotField dataField="1" showAll="0"/>
    <pivotField showAll="0"/>
    <pivotField axis="axisRow" showAll="0">
      <items count="331">
        <item x="93"/>
        <item m="1" x="102"/>
        <item m="1" x="146"/>
        <item x="63"/>
        <item x="64"/>
        <item m="1" x="156"/>
        <item m="1" x="313"/>
        <item x="61"/>
        <item x="62"/>
        <item m="1" x="109"/>
        <item m="1" x="253"/>
        <item m="1" x="101"/>
        <item m="1" x="107"/>
        <item m="1" x="106"/>
        <item m="1" x="100"/>
        <item m="1" x="221"/>
        <item x="73"/>
        <item m="1" x="295"/>
        <item x="72"/>
        <item x="91"/>
        <item m="1" x="302"/>
        <item m="1" x="277"/>
        <item m="1" x="113"/>
        <item x="67"/>
        <item m="1" x="211"/>
        <item x="70"/>
        <item x="71"/>
        <item x="69"/>
        <item m="1" x="114"/>
        <item m="1" x="186"/>
        <item x="89"/>
        <item m="1" x="278"/>
        <item x="45"/>
        <item x="90"/>
        <item m="1" x="286"/>
        <item m="1" x="259"/>
        <item m="1" x="111"/>
        <item m="1" x="196"/>
        <item x="59"/>
        <item x="88"/>
        <item x="87"/>
        <item x="58"/>
        <item m="1" x="178"/>
        <item m="1" x="171"/>
        <item m="1" x="215"/>
        <item m="1" x="261"/>
        <item m="1" x="234"/>
        <item m="1" x="267"/>
        <item m="1" x="271"/>
        <item m="1" x="238"/>
        <item m="1" x="290"/>
        <item m="1" x="249"/>
        <item m="1" x="140"/>
        <item m="1" x="179"/>
        <item m="1" x="197"/>
        <item m="1" x="214"/>
        <item m="1" x="303"/>
        <item m="1" x="323"/>
        <item m="1" x="159"/>
        <item m="1" x="151"/>
        <item x="6"/>
        <item x="5"/>
        <item x="7"/>
        <item m="1" x="274"/>
        <item m="1" x="241"/>
        <item x="1"/>
        <item x="0"/>
        <item m="1" x="181"/>
        <item x="3"/>
        <item x="4"/>
        <item x="2"/>
        <item m="1" x="110"/>
        <item m="1" x="160"/>
        <item m="1" x="157"/>
        <item x="41"/>
        <item m="1" x="245"/>
        <item x="40"/>
        <item x="42"/>
        <item m="1" x="255"/>
        <item m="1" x="217"/>
        <item m="1" x="108"/>
        <item x="34"/>
        <item m="1" x="163"/>
        <item x="38"/>
        <item x="39"/>
        <item x="37"/>
        <item x="36"/>
        <item m="1" x="328"/>
        <item m="1" x="324"/>
        <item x="27"/>
        <item m="1" x="220"/>
        <item x="26"/>
        <item x="33"/>
        <item m="1" x="232"/>
        <item m="1" x="198"/>
        <item x="75"/>
        <item m="1" x="117"/>
        <item m="1" x="115"/>
        <item m="1" x="143"/>
        <item x="31"/>
        <item x="32"/>
        <item x="30"/>
        <item m="1" x="104"/>
        <item m="1" x="309"/>
        <item m="1" x="304"/>
        <item m="1" x="169"/>
        <item m="1" x="200"/>
        <item m="1" x="183"/>
        <item m="1" x="204"/>
        <item m="1" x="213"/>
        <item m="1" x="185"/>
        <item m="1" x="237"/>
        <item m="1" x="195"/>
        <item m="1" x="279"/>
        <item m="1" x="148"/>
        <item m="1" x="167"/>
        <item m="1" x="256"/>
        <item m="1" x="275"/>
        <item m="1" x="291"/>
        <item m="1" x="287"/>
        <item x="84"/>
        <item x="83"/>
        <item x="85"/>
        <item m="1" x="182"/>
        <item m="1" x="152"/>
        <item x="77"/>
        <item x="78"/>
        <item m="1" x="281"/>
        <item x="81"/>
        <item x="82"/>
        <item x="80"/>
        <item x="79"/>
        <item m="1" x="260"/>
        <item m="1" x="257"/>
        <item x="54"/>
        <item m="1" x="155"/>
        <item x="53"/>
        <item x="55"/>
        <item m="1" x="164"/>
        <item m="1" x="319"/>
        <item x="48"/>
        <item x="49"/>
        <item m="1" x="262"/>
        <item x="52"/>
        <item m="1" x="97"/>
        <item x="51"/>
        <item x="57"/>
        <item m="1" x="239"/>
        <item m="1" x="233"/>
        <item x="14"/>
        <item m="1" x="273"/>
        <item x="13"/>
        <item x="15"/>
        <item m="1" x="96"/>
        <item x="10"/>
        <item x="66"/>
        <item x="12"/>
        <item x="11"/>
        <item m="1" x="112"/>
        <item m="1" x="209"/>
        <item m="1" x="225"/>
        <item m="1" x="258"/>
        <item m="1" x="264"/>
        <item m="1" x="228"/>
        <item m="1" x="172"/>
        <item m="1" x="190"/>
        <item m="1" x="206"/>
        <item m="1" x="297"/>
        <item m="1" x="149"/>
        <item m="1" x="229"/>
        <item m="1" x="205"/>
        <item m="1" x="236"/>
        <item m="1" x="242"/>
        <item m="1" x="208"/>
        <item m="1" x="301"/>
        <item m="1" x="153"/>
        <item m="1" x="176"/>
        <item m="1" x="191"/>
        <item m="1" x="283"/>
        <item m="1" x="317"/>
        <item m="1" x="141"/>
        <item m="1" x="158"/>
        <item m="1" x="184"/>
        <item m="1" x="187"/>
        <item m="1" x="161"/>
        <item m="1" x="307"/>
        <item m="1" x="327"/>
        <item m="1" x="222"/>
        <item m="1" x="326"/>
        <item m="1" x="173"/>
        <item m="1" x="329"/>
        <item m="1" x="272"/>
        <item m="1" x="308"/>
        <item m="1" x="201"/>
        <item m="1" x="294"/>
        <item m="1" x="306"/>
        <item m="1" x="147"/>
        <item m="1" x="154"/>
        <item m="1" x="310"/>
        <item m="1" x="210"/>
        <item m="1" x="251"/>
        <item m="1" x="276"/>
        <item m="1" x="289"/>
        <item m="1" x="188"/>
        <item m="1" x="218"/>
        <item m="1" x="226"/>
        <item m="1" x="142"/>
        <item m="1" x="180"/>
        <item m="1" x="98"/>
        <item x="44"/>
        <item m="1" x="145"/>
        <item x="60"/>
        <item m="1" x="207"/>
        <item x="19"/>
        <item x="21"/>
        <item x="22"/>
        <item m="1" x="320"/>
        <item m="1" x="288"/>
        <item m="1" x="166"/>
        <item m="1" x="216"/>
        <item m="1" x="298"/>
        <item x="94"/>
        <item m="1" x="240"/>
        <item m="1" x="314"/>
        <item m="1" x="194"/>
        <item x="68"/>
        <item m="1" x="292"/>
        <item m="1" x="250"/>
        <item m="1" x="193"/>
        <item m="1" x="165"/>
        <item m="1" x="168"/>
        <item m="1" x="230"/>
        <item m="1" x="223"/>
        <item m="1" x="311"/>
        <item m="1" x="248"/>
        <item m="1" x="293"/>
        <item x="35"/>
        <item m="1" x="269"/>
        <item m="1" x="162"/>
        <item m="1" x="170"/>
        <item m="1" x="265"/>
        <item m="1" x="246"/>
        <item x="18"/>
        <item x="23"/>
        <item m="1" x="312"/>
        <item m="1" x="227"/>
        <item m="1" x="282"/>
        <item m="1" x="318"/>
        <item m="1" x="202"/>
        <item m="1" x="252"/>
        <item m="1" x="268"/>
        <item m="1" x="199"/>
        <item x="20"/>
        <item x="50"/>
        <item m="1" x="192"/>
        <item m="1" x="284"/>
        <item m="1" x="99"/>
        <item m="1" x="177"/>
        <item m="1" x="321"/>
        <item m="1" x="116"/>
        <item m="1" x="95"/>
        <item m="1" x="118"/>
        <item m="1" x="150"/>
        <item m="1" x="243"/>
        <item m="1" x="316"/>
        <item m="1" x="244"/>
        <item m="1" x="219"/>
        <item m="1" x="266"/>
        <item m="1" x="315"/>
        <item m="1" x="296"/>
        <item m="1" x="280"/>
        <item m="1" x="203"/>
        <item m="1" x="174"/>
        <item m="1" x="299"/>
        <item m="1" x="189"/>
        <item m="1" x="224"/>
        <item m="1" x="305"/>
        <item m="1" x="235"/>
        <item m="1" x="325"/>
        <item m="1" x="105"/>
        <item m="1" x="263"/>
        <item m="1" x="300"/>
        <item m="1" x="144"/>
        <item m="1" x="212"/>
        <item m="1" x="322"/>
        <item m="1" x="254"/>
        <item m="1" x="285"/>
        <item m="1" x="231"/>
        <item m="1" x="270"/>
        <item m="1" x="175"/>
        <item m="1" x="124"/>
        <item m="1" x="125"/>
        <item m="1" x="126"/>
        <item m="1" x="127"/>
        <item m="1" x="128"/>
        <item m="1" x="129"/>
        <item m="1" x="122"/>
        <item m="1" x="123"/>
        <item m="1" x="132"/>
        <item m="1" x="133"/>
        <item m="1" x="139"/>
        <item x="28"/>
        <item x="16"/>
        <item x="24"/>
        <item x="8"/>
        <item x="56"/>
        <item x="65"/>
        <item x="43"/>
        <item x="46"/>
        <item x="74"/>
        <item x="86"/>
        <item x="9"/>
        <item x="17"/>
        <item x="25"/>
        <item m="1" x="103"/>
        <item x="47"/>
        <item x="92"/>
        <item m="1" x="247"/>
        <item x="29"/>
        <item x="76"/>
        <item m="1" x="120"/>
        <item m="1" x="137"/>
        <item m="1" x="138"/>
        <item m="1" x="119"/>
        <item m="1" x="135"/>
        <item m="1" x="136"/>
        <item m="1" x="121"/>
        <item m="1" x="134"/>
        <item m="1" x="130"/>
        <item m="1" x="131"/>
        <item t="default"/>
      </items>
    </pivotField>
  </pivotFields>
  <rowFields count="1">
    <field x="9"/>
  </rowFields>
  <rowItems count="95">
    <i>
      <x/>
    </i>
    <i>
      <x v="3"/>
    </i>
    <i>
      <x v="4"/>
    </i>
    <i>
      <x v="7"/>
    </i>
    <i>
      <x v="8"/>
    </i>
    <i>
      <x v="16"/>
    </i>
    <i>
      <x v="18"/>
    </i>
    <i>
      <x v="19"/>
    </i>
    <i>
      <x v="23"/>
    </i>
    <i>
      <x v="25"/>
    </i>
    <i>
      <x v="26"/>
    </i>
    <i>
      <x v="27"/>
    </i>
    <i>
      <x v="30"/>
    </i>
    <i>
      <x v="32"/>
    </i>
    <i>
      <x v="33"/>
    </i>
    <i>
      <x v="38"/>
    </i>
    <i>
      <x v="39"/>
    </i>
    <i>
      <x v="40"/>
    </i>
    <i>
      <x v="41"/>
    </i>
    <i>
      <x v="60"/>
    </i>
    <i>
      <x v="61"/>
    </i>
    <i>
      <x v="62"/>
    </i>
    <i>
      <x v="65"/>
    </i>
    <i>
      <x v="66"/>
    </i>
    <i>
      <x v="68"/>
    </i>
    <i>
      <x v="69"/>
    </i>
    <i>
      <x v="70"/>
    </i>
    <i>
      <x v="74"/>
    </i>
    <i>
      <x v="76"/>
    </i>
    <i>
      <x v="77"/>
    </i>
    <i>
      <x v="81"/>
    </i>
    <i>
      <x v="83"/>
    </i>
    <i>
      <x v="84"/>
    </i>
    <i>
      <x v="85"/>
    </i>
    <i>
      <x v="86"/>
    </i>
    <i>
      <x v="89"/>
    </i>
    <i>
      <x v="91"/>
    </i>
    <i>
      <x v="92"/>
    </i>
    <i>
      <x v="95"/>
    </i>
    <i>
      <x v="99"/>
    </i>
    <i>
      <x v="100"/>
    </i>
    <i>
      <x v="101"/>
    </i>
    <i>
      <x v="120"/>
    </i>
    <i>
      <x v="121"/>
    </i>
    <i>
      <x v="122"/>
    </i>
    <i>
      <x v="125"/>
    </i>
    <i>
      <x v="126"/>
    </i>
    <i>
      <x v="128"/>
    </i>
    <i>
      <x v="129"/>
    </i>
    <i>
      <x v="130"/>
    </i>
    <i>
      <x v="131"/>
    </i>
    <i>
      <x v="134"/>
    </i>
    <i>
      <x v="136"/>
    </i>
    <i>
      <x v="137"/>
    </i>
    <i>
      <x v="140"/>
    </i>
    <i>
      <x v="141"/>
    </i>
    <i>
      <x v="143"/>
    </i>
    <i>
      <x v="145"/>
    </i>
    <i>
      <x v="146"/>
    </i>
    <i>
      <x v="149"/>
    </i>
    <i>
      <x v="151"/>
    </i>
    <i>
      <x v="152"/>
    </i>
    <i>
      <x v="154"/>
    </i>
    <i>
      <x v="155"/>
    </i>
    <i>
      <x v="156"/>
    </i>
    <i>
      <x v="157"/>
    </i>
    <i>
      <x v="209"/>
    </i>
    <i>
      <x v="211"/>
    </i>
    <i>
      <x v="213"/>
    </i>
    <i>
      <x v="214"/>
    </i>
    <i>
      <x v="215"/>
    </i>
    <i>
      <x v="221"/>
    </i>
    <i>
      <x v="225"/>
    </i>
    <i>
      <x v="236"/>
    </i>
    <i>
      <x v="242"/>
    </i>
    <i>
      <x v="243"/>
    </i>
    <i>
      <x v="252"/>
    </i>
    <i>
      <x v="253"/>
    </i>
    <i>
      <x v="301"/>
    </i>
    <i>
      <x v="302"/>
    </i>
    <i>
      <x v="303"/>
    </i>
    <i>
      <x v="304"/>
    </i>
    <i>
      <x v="305"/>
    </i>
    <i>
      <x v="306"/>
    </i>
    <i>
      <x v="307"/>
    </i>
    <i>
      <x v="308"/>
    </i>
    <i>
      <x v="309"/>
    </i>
    <i>
      <x v="310"/>
    </i>
    <i>
      <x v="311"/>
    </i>
    <i>
      <x v="312"/>
    </i>
    <i>
      <x v="313"/>
    </i>
    <i>
      <x v="315"/>
    </i>
    <i>
      <x v="316"/>
    </i>
    <i>
      <x v="318"/>
    </i>
    <i>
      <x v="319"/>
    </i>
  </rowItems>
  <colItems count="1">
    <i/>
  </colItems>
  <dataFields count="1">
    <dataField name="Sum of Quantity"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BC59C156-E63F-4A4F-8484-371E070631E7}" autoFormatId="16" applyNumberFormats="0" applyBorderFormats="0" applyFontFormats="0" applyPatternFormats="0" applyAlignmentFormats="0" applyWidthHeightFormats="0">
  <queryTableRefresh nextId="249" unboundColumnsRight="4">
    <queryTableFields count="13">
      <queryTableField id="148" name="Region" tableColumnId="123"/>
      <queryTableField id="1" name="DIST_CD" tableColumnId="41"/>
      <queryTableField id="236" name="Dist_Name" tableColumnId="1"/>
      <queryTableField id="241" name="Brand" tableColumnId="6"/>
      <queryTableField id="237" name="SKU" tableColumnId="2"/>
      <queryTableField id="238" name="Dist_Stock" tableColumnId="3"/>
      <queryTableField id="239" name="Dist_Receipt" tableColumnId="4"/>
      <queryTableField id="240" name="PRDperDay" tableColumnId="5"/>
      <queryTableField id="243" name="SellOut" tableColumnId="7"/>
      <queryTableField id="244" dataBound="0" tableColumnId="8"/>
      <queryTableField id="245" dataBound="0" tableColumnId="9"/>
      <queryTableField id="246" dataBound="0" tableColumnId="10"/>
      <queryTableField id="247"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00000000-0016-0000-0300-000000000000}" autoFormatId="0" applyNumberFormats="0" applyBorderFormats="0" applyFontFormats="1" applyPatternFormats="1" applyAlignmentFormats="0" applyWidthHeightFormats="0">
  <queryTableRefresh preserveSortFilterLayout="0" nextId="6">
    <queryTableFields count="5">
      <queryTableField id="1" name="Material" tableColumnId="1"/>
      <queryTableField id="2" name="Brand_Name" tableColumnId="2"/>
      <queryTableField id="3" name="Prod_map2.SAP_BrandName" tableColumnId="3"/>
      <queryTableField id="4" name="TME_Brand" tableColumnId="4"/>
      <queryTableField id="5" name="TME_SKU" tableColumnId="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0400-000001000000}" autoFormatId="0" applyNumberFormats="0" applyBorderFormats="0" applyFontFormats="1" applyPatternFormats="1" applyAlignmentFormats="0" applyWidthHeightFormats="0">
  <queryTableRefresh preserveSortFilterLayout="0" nextId="5">
    <queryTableFields count="4">
      <queryTableField id="1" name="Cust_Name" tableColumnId="1"/>
      <queryTableField id="2" name="Customer category" tableColumnId="2"/>
      <queryTableField id="3" name="cust_channel" tableColumnId="3"/>
      <queryTableField id="4" name="Count"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0000000-0016-0000-0500-000002000000}" autoFormatId="0" applyNumberFormats="0" applyBorderFormats="0" applyFontFormats="1" applyPatternFormats="1" applyAlignmentFormats="0" applyWidthHeightFormats="0">
  <queryTableRefresh preserveSortFilterLayout="0" nextId="10">
    <queryTableFields count="9">
      <queryTableField id="1" name="yearmonth" tableColumnId="1"/>
      <queryTableField id="2" name="Region" tableColumnId="2"/>
      <queryTableField id="3" name="Brand" tableColumnId="3"/>
      <queryTableField id="4" name="Sell_WHS_QTY" tableColumnId="4"/>
      <queryTableField id="5" name="Sell_RTL_QTY" tableColumnId="5"/>
      <queryTableField id="6" name="Sell_NEO_QTY" tableColumnId="6"/>
      <queryTableField id="7" name="FOC_WHS_QTY" tableColumnId="7"/>
      <queryTableField id="8" name="FOC_RTL_QTY" tableColumnId="8"/>
      <queryTableField id="9" name="FOC_NEO_QTY" tableColumnId="9"/>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7" xr16:uid="{00000000-0016-0000-0600-000003000000}" autoFormatId="0" applyNumberFormats="0" applyBorderFormats="0" applyFontFormats="1" applyPatternFormats="1" applyAlignmentFormats="0" applyWidthHeightFormats="0">
  <queryTableRefresh preserveSortFilterLayout="0" nextId="10">
    <queryTableFields count="9">
      <queryTableField id="1" name="yearmonth" tableColumnId="1"/>
      <queryTableField id="2" name="Region" tableColumnId="2"/>
      <queryTableField id="3" name="Brand" tableColumnId="3"/>
      <queryTableField id="4" name="Sell_WHS_QTY" tableColumnId="4"/>
      <queryTableField id="5" name="Sell_RTL_QTY" tableColumnId="5"/>
      <queryTableField id="6" name="Sell_NEO_QTY" tableColumnId="6"/>
      <queryTableField id="7" name="FOC_WHS_QTY" tableColumnId="7"/>
      <queryTableField id="8" name="FOC_RTL_QTY" tableColumnId="8"/>
      <queryTableField id="9" name="FOC_NEO_QTY" tableColumnId="9"/>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6" xr16:uid="{7FFFDCDF-5D8C-4882-B5A1-DFECB4F82E86}" autoFormatId="0" applyNumberFormats="0" applyBorderFormats="0" applyFontFormats="1" applyPatternFormats="1" applyAlignmentFormats="0" applyWidthHeightFormats="0">
  <queryTableRefresh preserveSortFilterLayout="0" nextId="12">
    <queryTableFields count="11">
      <queryTableField id="1" name="yearmonth" tableColumnId="1"/>
      <queryTableField id="2" name="Region" tableColumnId="2"/>
      <queryTableField id="3" name="Dist_Name" tableColumnId="3"/>
      <queryTableField id="4" name="Brand" tableColumnId="4"/>
      <queryTableField id="5" name="Sell_WHS_QTY" tableColumnId="5"/>
      <queryTableField id="6" name="Sell_RTL_QTY" tableColumnId="6"/>
      <queryTableField id="7" name="Sell_NEO_QTY" tableColumnId="7"/>
      <queryTableField id="8" name="FOC_WHS_QTY" tableColumnId="8"/>
      <queryTableField id="9" name="FOC_RTL_QTY" tableColumnId="9"/>
      <queryTableField id="10" name="FOC_NEO_QTY" tableColumnId="10"/>
      <queryTableField id="11" name="SKU" tableColumnId="1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00000000-0016-0000-0700-000004000000}" autoFormatId="0" applyNumberFormats="0" applyBorderFormats="0" applyFontFormats="1" applyPatternFormats="1" applyAlignmentFormats="0" applyWidthHeightFormats="0">
  <queryTableRefresh preserveSortFilterLayout="0" nextId="9">
    <queryTableFields count="8">
      <queryTableField id="1" name="Document Date" tableColumnId="1"/>
      <queryTableField id="2" name="Name 1" tableColumnId="2"/>
      <queryTableField id="3" name="Cust_Cat.Cust_Name" tableColumnId="3"/>
      <queryTableField id="4" name="Cust_Cat.Customer category" tableColumnId="4"/>
      <queryTableField id="5" name="Cust_Cat.cust_channel" tableColumnId="5"/>
      <queryTableField id="6" name="Map_Product.TME_Brand" tableColumnId="6"/>
      <queryTableField id="7" name="Map_Product.TME_SKU" tableColumnId="7"/>
      <queryTableField id="8" name="Order Quantity" tableColumnId="8"/>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0800-000005000000}" autoFormatId="0" applyNumberFormats="0" applyBorderFormats="0" applyFontFormats="1" applyPatternFormats="1" applyAlignmentFormats="0" applyWidthHeightFormats="0">
  <queryTableRefresh preserveSortFilterLayout="0" nextId="9">
    <queryTableFields count="8">
      <queryTableField id="1" name="Document Date" tableColumnId="1"/>
      <queryTableField id="2" name="Name 1" tableColumnId="2"/>
      <queryTableField id="3" name="Cust_Cat.Cust_Name" tableColumnId="3"/>
      <queryTableField id="4" name="Cust_Cat.Customer category" tableColumnId="4"/>
      <queryTableField id="5" name="Cust_Cat.cust_channel" tableColumnId="5"/>
      <queryTableField id="6" name="Map_Product.TME_Brand" tableColumnId="6"/>
      <queryTableField id="7" name="Map_Product.TME_SKU" tableColumnId="7"/>
      <queryTableField id="8" name="Order Quantity" tableColumnId="8"/>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8" xr16:uid="{00000000-0016-0000-0900-000006000000}" autoFormatId="0" applyNumberFormats="0" applyBorderFormats="0" applyFontFormats="1" applyPatternFormats="1" applyAlignmentFormats="0" applyWidthHeightFormats="0">
  <queryTableRefresh preserveSortFilterLayout="0" nextId="9">
    <queryTableFields count="8">
      <queryTableField id="1" name="Bill. date" tableColumnId="1"/>
      <queryTableField id="2" name="Cust_Cat.Cust_Name" tableColumnId="2"/>
      <queryTableField id="3" name="Cust_Cat.Customer category" tableColumnId="3"/>
      <queryTableField id="4" name="Cust_Cat.cust_channel" tableColumnId="4"/>
      <queryTableField id="5" name="Map_Product.TME_Brand" tableColumnId="5"/>
      <queryTableField id="6" name="Map_Product.TME_SKU" tableColumnId="6"/>
      <queryTableField id="7" name="date_Source3.Week_no" tableColumnId="7"/>
      <queryTableField id="8" name="Quantity"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793FA6C-6C4F-4945-858F-4873B9A8A1E7}" sourceName="Region">
  <pivotTables>
    <pivotTable tabId="34" name="PivotTable2"/>
    <pivotTable tabId="34" name="PivotTable1"/>
  </pivotTables>
  <data>
    <tabular pivotCacheId="205150872">
      <items count="7">
        <i x="1" s="1"/>
        <i x="0" s="1"/>
        <i x="4" s="1"/>
        <i x="3" s="1"/>
        <i x="2" s="1"/>
        <i x="6" s="1" nd="1"/>
        <i x="5"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t_Name" xr10:uid="{53DD0C6A-5A17-4CF9-BCD6-69F102A4DA0A}" sourceName="Dist_Name">
  <pivotTables>
    <pivotTable tabId="34" name="PivotTable2"/>
    <pivotTable tabId="34" name="PivotTable1"/>
  </pivotTables>
  <data>
    <tabular pivotCacheId="205150872" showMissing="0">
      <items count="31">
        <i x="6" s="1"/>
        <i x="1" s="1"/>
        <i x="0" s="1"/>
        <i x="7" s="1"/>
        <i x="9" s="1"/>
        <i x="5" s="1"/>
        <i x="3" s="1"/>
        <i x="4" s="1"/>
        <i x="8" s="1"/>
        <i x="2" s="1"/>
        <i x="13" s="1" nd="1"/>
        <i x="18" s="1" nd="1"/>
        <i x="15" s="1" nd="1"/>
        <i x="25" s="1" nd="1"/>
        <i x="21" s="1" nd="1"/>
        <i x="19" s="1" nd="1"/>
        <i x="26" s="1" nd="1"/>
        <i x="28" s="1" nd="1"/>
        <i x="22" s="1" nd="1"/>
        <i x="12" s="1" nd="1"/>
        <i x="11" s="1" nd="1"/>
        <i x="29" s="1" nd="1"/>
        <i x="24" s="1" nd="1"/>
        <i x="17" s="1" nd="1"/>
        <i x="14" s="1" nd="1"/>
        <i x="30" s="1" nd="1"/>
        <i x="27" s="1" nd="1"/>
        <i x="16" s="1" nd="1"/>
        <i x="20" s="1" nd="1"/>
        <i x="23" s="1" nd="1"/>
        <i x="1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B27ABBFE-9386-41E0-93EA-2B71107C9195}" sourceName="Region">
  <pivotTables>
    <pivotTable tabId="38" name="PivotTable2"/>
    <pivotTable tabId="38" name="PivotTable1"/>
    <pivotTable tabId="38" name="PivotTable6"/>
  </pivotTables>
  <data>
    <tabular pivotCacheId="205150872">
      <items count="7">
        <i x="1" s="1"/>
        <i x="0" s="1"/>
        <i x="4" s="1"/>
        <i x="3" s="1"/>
        <i x="2" s="1"/>
        <i x="6" s="1" nd="1"/>
        <i x="5"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t_Name1" xr10:uid="{41485D70-8B28-47BD-BBC3-D964A28C6E30}" sourceName="Dist_Name">
  <pivotTables>
    <pivotTable tabId="38" name="PivotTable2"/>
    <pivotTable tabId="38" name="PivotTable1"/>
    <pivotTable tabId="38" name="PivotTable6"/>
  </pivotTables>
  <data>
    <tabular pivotCacheId="205150872" showMissing="0">
      <items count="31">
        <i x="6" s="1"/>
        <i x="1" s="1"/>
        <i x="0" s="1"/>
        <i x="7" s="1"/>
        <i x="9" s="1"/>
        <i x="5" s="1"/>
        <i x="3" s="1"/>
        <i x="4" s="1"/>
        <i x="8" s="1"/>
        <i x="2" s="1"/>
        <i x="13" s="1" nd="1"/>
        <i x="18" s="1" nd="1"/>
        <i x="15" s="1" nd="1"/>
        <i x="25" s="1" nd="1"/>
        <i x="21" s="1" nd="1"/>
        <i x="19" s="1" nd="1"/>
        <i x="26" s="1" nd="1"/>
        <i x="28" s="1" nd="1"/>
        <i x="22" s="1" nd="1"/>
        <i x="12" s="1" nd="1"/>
        <i x="11" s="1" nd="1"/>
        <i x="29" s="1" nd="1"/>
        <i x="24" s="1" nd="1"/>
        <i x="17" s="1" nd="1"/>
        <i x="14" s="1" nd="1"/>
        <i x="30" s="1" nd="1"/>
        <i x="27" s="1" nd="1"/>
        <i x="16" s="1" nd="1"/>
        <i x="20" s="1" nd="1"/>
        <i x="23" s="1" nd="1"/>
        <i x="1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0BA1E99D-D427-40E7-AE6D-1BC72F7D9A45}" cache="Slicer_Region1" caption="Region" columnCount="5" rowHeight="182880"/>
  <slicer name="Dist_Name 1" xr10:uid="{E245C7A9-D5F6-4DD2-886A-2ADB5D482330}" cache="Slicer_Dist_Name1" caption="Dist_Name" columnCount="8" rowHeight="18288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6919CB1-21CF-428B-9540-FDA371D36437}" cache="Slicer_Region" caption="Region" columnCount="5" rowHeight="182880"/>
  <slicer name="Dist_Name" xr10:uid="{D6B3E43B-EE0E-4BEF-AE33-9165EE674D85}" cache="Slicer_Dist_Name" caption="Dist_Name" columnCount="8" rowHeight="18288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Para" displayName="Table_Para" ref="B2:D15" totalsRowShown="0">
  <autoFilter ref="B2:D15" xr:uid="{00000000-0009-0000-0100-000001000000}"/>
  <tableColumns count="3">
    <tableColumn id="1" xr3:uid="{00000000-0010-0000-0000-000001000000}" name="Criteria"/>
    <tableColumn id="2" xr3:uid="{00000000-0010-0000-0000-000002000000}" name="Cri_Value"/>
    <tableColumn id="3" xr3:uid="{00000000-0010-0000-0000-000003000000}" name="No."/>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648259A-1399-4C26-AB43-307D7487C898}" name="Table_ExternalData_1141214" displayName="Table_ExternalData_1141214" ref="A2:M124" tableType="queryTable" totalsRowShown="0">
  <autoFilter ref="A2:M124" xr:uid="{6D67EF7E-4C3F-4F1A-ABA3-C15BD11F266D}">
    <filterColumn colId="1">
      <filters>
        <filter val="S302"/>
      </filters>
    </filterColumn>
  </autoFilter>
  <sortState xmlns:xlrd2="http://schemas.microsoft.com/office/spreadsheetml/2017/richdata2" ref="A3:M124">
    <sortCondition ref="B2:B124"/>
  </sortState>
  <tableColumns count="13">
    <tableColumn id="123" xr3:uid="{33B14927-A4A9-429C-AF7D-10E4B2C14B89}" uniqueName="123" name="Region" queryTableFieldId="148" dataDxfId="0"/>
    <tableColumn id="41" xr3:uid="{1F6C1A79-B44E-40AB-AC13-08DCB9A275CD}" uniqueName="41" name="DIST_CD" queryTableFieldId="1"/>
    <tableColumn id="1" xr3:uid="{12286C51-3472-482D-AC82-378BE77A06DE}" uniqueName="1" name="Dist_Name" queryTableFieldId="236"/>
    <tableColumn id="6" xr3:uid="{2389611E-A4D4-49CB-AEC9-0D5FD693C9DC}" uniqueName="6" name="Brand" queryTableFieldId="241"/>
    <tableColumn id="2" xr3:uid="{FE6D031C-1580-46EA-BC2D-BF58AB3AE74B}" uniqueName="2" name="SKU" queryTableFieldId="237"/>
    <tableColumn id="3" xr3:uid="{E551D679-59E1-444E-8494-AA1174C7BBF4}" uniqueName="3" name="Dist_Stock" queryTableFieldId="238"/>
    <tableColumn id="4" xr3:uid="{88FFA299-A19D-425A-A198-45C0EFDD3F2E}" uniqueName="4" name="Dist_Receipt" queryTableFieldId="239"/>
    <tableColumn id="5" xr3:uid="{3E76C847-44E8-4CEF-B914-9A0A21EC86C1}" uniqueName="5" name="PRDperDay" queryTableFieldId="240"/>
    <tableColumn id="7" xr3:uid="{63F552B0-BD3D-4C99-909A-93B41C9D18DB}" uniqueName="7" name="SellOut" queryTableFieldId="243"/>
    <tableColumn id="8" xr3:uid="{D2A28E09-9F1C-4866-ACCA-E9F8F71E43D0}" uniqueName="8" name="Chk" queryTableFieldId="244" dataDxfId="24">
      <calculatedColumnFormula>Table_ExternalData_1141214[[#This Row],[DIST_CD]]&amp;Table_ExternalData_1141214[[#This Row],[SKU]]</calculatedColumnFormula>
    </tableColumn>
    <tableColumn id="9" xr3:uid="{8C424870-E5AE-43D4-9064-8375FA290E3A}" uniqueName="9" name="SAP" queryTableFieldId="245" dataDxfId="23">
      <calculatedColumnFormula>IFERROR(VLOOKUP(Table_ExternalData_1141214[[#This Row],[Chk]],'Weekly by Dist'!A:B,2,0),0)</calculatedColumnFormula>
    </tableColumn>
    <tableColumn id="10" xr3:uid="{5E3DD88C-D8FE-462B-B53F-6FB11483F627}" uniqueName="10" name="Diff" queryTableFieldId="246" dataDxfId="22">
      <calculatedColumnFormula>Table_ExternalData_1141214[[#This Row],[SAP]]-Table_ExternalData_1141214[[#This Row],[Dist_Receipt]]</calculatedColumnFormula>
    </tableColumn>
    <tableColumn id="11" xr3:uid="{DDACC34A-5FF5-4E50-B088-D7140BD1C4B6}" uniqueName="11" name="Final_Stock" queryTableFieldId="247" dataDxfId="21">
      <calculatedColumnFormula>IF(Table_ExternalData_1141214[[#This Row],[Diff]]&gt;0,Table_ExternalData_1141214[[#This Row],[Dist_Stock]]+Table_ExternalData_1141214[[#This Row],[Diff]],Table_ExternalData_1141214[[#This Row],[Dist_Stock]])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Map_Product" displayName="Map_Product" ref="A1:E14" tableType="queryTable" totalsRowShown="0">
  <autoFilter ref="A1:E14" xr:uid="{00000000-000C-0000-FFFF-FFFF01000000}"/>
  <tableColumns count="5">
    <tableColumn id="1" xr3:uid="{8C4E6560-3A3E-4602-B092-FC33608D5079}" uniqueName="1" name="Material" queryTableFieldId="1"/>
    <tableColumn id="2" xr3:uid="{48EFE346-D848-4DF8-BCF5-D81F09432C0B}" uniqueName="2" name="Brand_Name" queryTableFieldId="2"/>
    <tableColumn id="3" xr3:uid="{2138EC7D-4182-47CB-97C2-1D4439701F25}" uniqueName="3" name="Prod_map2.SAP_BrandName" queryTableFieldId="3"/>
    <tableColumn id="4" xr3:uid="{E49822DD-6F23-4592-B056-F9B918C4510C}" uniqueName="4" name="TME_Brand" queryTableFieldId="4"/>
    <tableColumn id="5" xr3:uid="{D87ECD62-E2FE-4545-BFF9-6C638870271A}" uniqueName="5" name="TME_SKU" queryTableFieldId="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2000000}" name="Cust_Cat_DSO" displayName="Cust_Cat_DSO" ref="A1:D27" tableType="queryTable" totalsRowShown="0">
  <autoFilter ref="A1:D27" xr:uid="{00000000-000C-0000-FFFF-FFFF02000000}"/>
  <sortState xmlns:xlrd2="http://schemas.microsoft.com/office/spreadsheetml/2017/richdata2" ref="A2:D187">
    <sortCondition ref="B1:B187"/>
  </sortState>
  <tableColumns count="4">
    <tableColumn id="1" xr3:uid="{171E9380-0A54-4121-AB67-2F2342D0F7F3}" uniqueName="1" name="Cust_Name" queryTableFieldId="1"/>
    <tableColumn id="2" xr3:uid="{C7661E27-1863-4C9C-84BD-569F5258B2EC}" uniqueName="2" name="Customer category" queryTableFieldId="2"/>
    <tableColumn id="3" xr3:uid="{A908C3FD-69BC-4A98-AD47-4BAA45CF5946}" uniqueName="3" name="cust_channel" queryTableFieldId="3"/>
    <tableColumn id="4" xr3:uid="{2C0BD214-48CA-4A66-A5F9-6AD854F1F91B}" uniqueName="4" name="Count" queryTableFieldId="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3000000}" name="TME_MTD" displayName="TME_MTD" ref="A1:I2" tableType="queryTable" insertRow="1" totalsRowShown="0">
  <autoFilter ref="A1:I2" xr:uid="{00000000-000C-0000-FFFF-FFFF03000000}"/>
  <tableColumns count="9">
    <tableColumn id="1" xr3:uid="{5F901AF8-D73F-4D0F-B88E-3F84E845F524}" uniqueName="1" name="yearmonth" queryTableFieldId="1"/>
    <tableColumn id="2" xr3:uid="{B613F145-32D1-4D55-84FC-D690A0737679}" uniqueName="2" name="Region" queryTableFieldId="2"/>
    <tableColumn id="3" xr3:uid="{86644610-64A9-48B4-B3FA-8BC7417992CA}" uniqueName="3" name="Brand" queryTableFieldId="3"/>
    <tableColumn id="4" xr3:uid="{9DCDD10E-D07B-4B81-B16D-01A9CE80AFD6}" uniqueName="4" name="Sell_WHS_QTY" queryTableFieldId="4"/>
    <tableColumn id="5" xr3:uid="{36C0C4E8-0F22-4A0B-9353-6AF7B36EBE58}" uniqueName="5" name="Sell_RTL_QTY" queryTableFieldId="5"/>
    <tableColumn id="6" xr3:uid="{08BEDEF0-EBB8-453E-9361-AE4AA96F836E}" uniqueName="6" name="Sell_NEO_QTY" queryTableFieldId="6"/>
    <tableColumn id="7" xr3:uid="{E8484760-A4AD-4226-AE40-A55C04E13830}" uniqueName="7" name="FOC_WHS_QTY" queryTableFieldId="7"/>
    <tableColumn id="8" xr3:uid="{5F517C19-3E1F-4E33-80BE-53DD6B46ACAC}" uniqueName="8" name="FOC_RTL_QTY" queryTableFieldId="8"/>
    <tableColumn id="9" xr3:uid="{7FAD24D1-C9BD-49E2-BE58-399E03E86E8D}" uniqueName="9" name="FOC_NEO_QTY" queryTableFieldId="9"/>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4000000}" name="TME_Yesterday" displayName="TME_Yesterday" ref="A1:I2" tableType="queryTable" insertRow="1" totalsRowShown="0">
  <autoFilter ref="A1:I2" xr:uid="{00000000-000C-0000-FFFF-FFFF04000000}"/>
  <tableColumns count="9">
    <tableColumn id="1" xr3:uid="{6187229A-2234-4FED-9503-16F08B21F145}" uniqueName="1" name="yearmonth" queryTableFieldId="1"/>
    <tableColumn id="2" xr3:uid="{3869A356-6B26-47D3-8F14-875A4FDCE426}" uniqueName="2" name="Region" queryTableFieldId="2"/>
    <tableColumn id="3" xr3:uid="{2E5ED368-3B2E-458A-B984-18DE1D4D4C6A}" uniqueName="3" name="Brand" queryTableFieldId="3"/>
    <tableColumn id="4" xr3:uid="{4891274A-DE57-4984-B980-D5448D8BBB1E}" uniqueName="4" name="Sell_WHS_QTY" queryTableFieldId="4"/>
    <tableColumn id="5" xr3:uid="{6F2E9909-C20A-4F4F-AF51-A5799FCD3A1C}" uniqueName="5" name="Sell_RTL_QTY" queryTableFieldId="5"/>
    <tableColumn id="6" xr3:uid="{630C2FB8-F357-48F4-97B1-E2276FA56C39}" uniqueName="6" name="Sell_NEO_QTY" queryTableFieldId="6"/>
    <tableColumn id="7" xr3:uid="{E8F965C9-3705-4222-A3A2-0CFCDA1C4AAA}" uniqueName="7" name="FOC_WHS_QTY" queryTableFieldId="7"/>
    <tableColumn id="8" xr3:uid="{53045ACC-B472-488A-B0BB-405E13502F39}" uniqueName="8" name="FOC_RTL_QTY" queryTableFieldId="8"/>
    <tableColumn id="9" xr3:uid="{B24E18D0-9207-46D4-9F40-7B742533A787}" uniqueName="9" name="FOC_NEO_QTY" queryTableFieldId="9"/>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B4DE9C8-CBED-409B-AFE5-968231E18302}" name="TME_MTD_Dist" displayName="TME_MTD_Dist" ref="A1:K2" tableType="queryTable" insertRow="1" totalsRowShown="0">
  <autoFilter ref="A1:K2" xr:uid="{0B4DE9C8-CBED-409B-AFE5-968231E18302}"/>
  <tableColumns count="11">
    <tableColumn id="1" xr3:uid="{4FAE0016-9B09-49F3-929F-33E5BF42200E}" uniqueName="1" name="yearmonth" queryTableFieldId="1"/>
    <tableColumn id="2" xr3:uid="{6D42EDAB-3F37-45DA-902D-F6FF99FB3DB4}" uniqueName="2" name="Region" queryTableFieldId="2"/>
    <tableColumn id="3" xr3:uid="{AECED951-965E-42BF-936E-03622BE96931}" uniqueName="3" name="Dist_Name" queryTableFieldId="3"/>
    <tableColumn id="4" xr3:uid="{10F78DA5-E583-4486-A005-FDFB427BA7FA}" uniqueName="4" name="Brand" queryTableFieldId="4"/>
    <tableColumn id="5" xr3:uid="{E663E8BD-57BD-4BE8-A959-C3600AB45B98}" uniqueName="5" name="Sell_WHS_QTY" queryTableFieldId="5"/>
    <tableColumn id="6" xr3:uid="{604C6A4B-02AA-4821-A2BD-20C40531C44A}" uniqueName="6" name="Sell_RTL_QTY" queryTableFieldId="6"/>
    <tableColumn id="7" xr3:uid="{0D93D1B2-393E-4C9C-8B29-2B846EE9CCBA}" uniqueName="7" name="Sell_NEO_QTY" queryTableFieldId="7"/>
    <tableColumn id="8" xr3:uid="{F64AF030-904F-4898-B2B6-338E43ABEEEC}" uniqueName="8" name="FOC_WHS_QTY" queryTableFieldId="8"/>
    <tableColumn id="9" xr3:uid="{0E0CE838-DFC9-438B-88E4-4C88F281DC20}" uniqueName="9" name="FOC_RTL_QTY" queryTableFieldId="9"/>
    <tableColumn id="10" xr3:uid="{316A61A9-E02B-4A36-9E41-CD1ADD243455}" uniqueName="10" name="FOC_NEO_QTY" queryTableFieldId="10"/>
    <tableColumn id="11" xr3:uid="{4A9D49D6-245A-4B16-8A10-AEDD608A2182}" uniqueName="11" name="SKU" queryTableFieldId="1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5000000}" name="Daily_Vol_yesterday" displayName="Daily_Vol_yesterday" ref="A2:H64" tableType="queryTable" totalsRowShown="0">
  <autoFilter ref="A2:H64" xr:uid="{00000000-000C-0000-FFFF-FFFF05000000}"/>
  <tableColumns count="8">
    <tableColumn id="1" xr3:uid="{EBC5406F-BFC0-454D-BC4A-858EF96041E8}" uniqueName="1" name="Document Date" queryTableFieldId="1" dataDxfId="20"/>
    <tableColumn id="2" xr3:uid="{EC2C616F-8075-457B-A997-EBB579786745}" uniqueName="2" name="Name 1" queryTableFieldId="2"/>
    <tableColumn id="3" xr3:uid="{A4FAF718-BB86-447E-AF23-3F761DE6F681}" uniqueName="3" name="Cust_Cat.Cust_Name" queryTableFieldId="3"/>
    <tableColumn id="4" xr3:uid="{433BB2AE-7686-48E5-9197-3B5BF2978C18}" uniqueName="4" name="Cust_Cat.Customer category" queryTableFieldId="4"/>
    <tableColumn id="5" xr3:uid="{62608FF5-136F-4BAB-AC24-C3E2951F9E33}" uniqueName="5" name="Cust_Cat.cust_channel" queryTableFieldId="5" dataDxfId="19"/>
    <tableColumn id="6" xr3:uid="{5594CF06-E437-43ED-AEB6-6B61EBB86709}" uniqueName="6" name="Map_Product.TME_Brand" queryTableFieldId="6"/>
    <tableColumn id="7" xr3:uid="{3C79E3CE-2815-423D-9282-B5115FA92EC7}" uniqueName="7" name="Map_Product.TME_SKU" queryTableFieldId="7"/>
    <tableColumn id="8" xr3:uid="{A5EE43C7-C057-43EB-90C9-F132C7022CCC}" uniqueName="8" name="Order Quantity" queryTableFieldId="8"/>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Daily_Vol" displayName="Daily_Vol" ref="A2:H3" tableType="queryTable" insertRow="1" totalsRowShown="0">
  <autoFilter ref="A2:H3" xr:uid="{00000000-000C-0000-FFFF-FFFF06000000}"/>
  <tableColumns count="8">
    <tableColumn id="1" xr3:uid="{69A6F3B5-73CE-4CDD-A5D8-57BE4E7EDAF5}" uniqueName="1" name="Document Date" queryTableFieldId="1" dataDxfId="18"/>
    <tableColumn id="2" xr3:uid="{05C79A06-DB7F-4C50-A28D-BD9669D6B662}" uniqueName="2" name="Name 1" queryTableFieldId="2"/>
    <tableColumn id="3" xr3:uid="{9A07B5F8-D439-445D-B0FD-669777DEB141}" uniqueName="3" name="Cust_Cat.Cust_Name" queryTableFieldId="3"/>
    <tableColumn id="4" xr3:uid="{33AA4C06-9770-49F2-BB07-6EEEC15F2113}" uniqueName="4" name="Cust_Cat.Customer category" queryTableFieldId="4"/>
    <tableColumn id="5" xr3:uid="{93F66417-FE6C-4921-8DAB-B05828C619E4}" uniqueName="5" name="Cust_Cat.cust_channel" queryTableFieldId="5"/>
    <tableColumn id="6" xr3:uid="{45EEB8C3-3014-42E9-BEDA-F143BB9C75DE}" uniqueName="6" name="Map_Product.TME_Brand" queryTableFieldId="6"/>
    <tableColumn id="7" xr3:uid="{8D32F7AF-D990-4E73-ACB3-E3B9C3CC18E4}" uniqueName="7" name="Map_Product.TME_SKU" queryTableFieldId="7"/>
    <tableColumn id="8" xr3:uid="{05F5D640-CF77-4B29-A460-1448F588F6F8}" uniqueName="8" name="Order Quantity" queryTableFieldId="8"/>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7000000}" name="Weekly_Vol" displayName="Weekly_Vol" ref="A2:H526" tableType="queryTable" totalsRowShown="0">
  <autoFilter ref="A2:H526" xr:uid="{00000000-000C-0000-FFFF-FFFF07000000}"/>
  <tableColumns count="8">
    <tableColumn id="1" xr3:uid="{A41344E8-FD5C-4C8A-8A62-178ECD2922C9}" uniqueName="1" name="Bill. date" queryTableFieldId="1"/>
    <tableColumn id="2" xr3:uid="{DBA035C7-E2E1-437D-92C4-338955163C41}" uniqueName="2" name="Cust_Cat.Cust_Name" queryTableFieldId="2"/>
    <tableColumn id="3" xr3:uid="{F252ECE1-07E6-4302-A92C-9287929DEC0D}" uniqueName="3" name="Cust_Cat.Customer category" queryTableFieldId="3"/>
    <tableColumn id="4" xr3:uid="{A3D40A70-5858-41A4-AB0E-AF99362090A2}" uniqueName="4" name="Cust_Cat.cust_channel" queryTableFieldId="4"/>
    <tableColumn id="5" xr3:uid="{F7A1B6B6-CE63-428A-A632-89A7197F1262}" uniqueName="5" name="Map_Product.TME_Brand" queryTableFieldId="5"/>
    <tableColumn id="6" xr3:uid="{A688D235-627B-44DE-A838-AE6FDF671551}" uniqueName="6" name="Map_Product.TME_SKU" queryTableFieldId="6"/>
    <tableColumn id="7" xr3:uid="{C786C555-9884-4904-A8A6-626CC55B01A8}" uniqueName="7" name="date_Source3.Week_no" queryTableFieldId="7"/>
    <tableColumn id="8" xr3:uid="{53DF322B-0DAA-48A4-B245-37CC0F8F1BBE}" uniqueName="8" name="Quantity" queryTableFieldId="8"/>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E40B41D-18EF-4986-948F-08F35E4208FF}" name="T_DistName" displayName="T_DistName" ref="A1:D21" totalsRowShown="0">
  <autoFilter ref="A1:D21" xr:uid="{D01EB5FC-DD4B-4FEA-8F6A-E8F2F60351EB}"/>
  <tableColumns count="4">
    <tableColumn id="3" xr3:uid="{21FFEE6F-3112-49CD-BE2D-21CE03F05AF1}" name="Distributor name (SAP)"/>
    <tableColumn id="1" xr3:uid="{82BE64FB-023A-4148-AB99-B21F6670B97D}" name="Region"/>
    <tableColumn id="2" xr3:uid="{20C66540-C94E-4B90-B9DA-965797B8001C}" name="Distributor Code"/>
    <tableColumn id="4" xr3:uid="{64615ED3-F86E-4C02-881B-553D264D6258}" name="Distributor name (TME) "/>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8000000}" name="Cust_map" displayName="Cust_map" ref="A1:I65" totalsRowShown="0" headerRowDxfId="17" headerRowBorderDxfId="16" tableBorderDxfId="15">
  <autoFilter ref="A1:I65" xr:uid="{00000000-0009-0000-0100-000002000000}"/>
  <tableColumns count="9">
    <tableColumn id="1" xr3:uid="{00000000-0010-0000-0800-000001000000}" name="Customer_code"/>
    <tableColumn id="2" xr3:uid="{00000000-0010-0000-0800-000002000000}" name="Customer_Name" dataDxfId="14"/>
    <tableColumn id="3" xr3:uid="{00000000-0010-0000-0800-000003000000}" name="Group1"/>
    <tableColumn id="4" xr3:uid="{00000000-0010-0000-0800-000004000000}" name="Group2"/>
    <tableColumn id="5" xr3:uid="{00000000-0010-0000-0800-000005000000}" name="Cat_Type"/>
    <tableColumn id="6" xr3:uid="{00000000-0010-0000-0800-000006000000}" name="DIST_CD"/>
    <tableColumn id="9" xr3:uid="{00000000-0010-0000-0800-000009000000}" name="SUB_DIST"/>
    <tableColumn id="7" xr3:uid="{00000000-0010-0000-0800-000007000000}" name="TSM_CD"/>
    <tableColumn id="8" xr3:uid="{00000000-0010-0000-0800-000008000000}" name="SLSMAN_CD"/>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9000000}" name="Prod_map2" displayName="Prod_map2" ref="A1:C28" totalsRowShown="0" headerRowDxfId="13" dataDxfId="11" headerRowBorderDxfId="12" tableBorderDxfId="10" totalsRowBorderDxfId="9" headerRowCellStyle="Normal 2">
  <autoFilter ref="A1:C28" xr:uid="{00000000-0009-0000-0100-000003000000}"/>
  <tableColumns count="3">
    <tableColumn id="1" xr3:uid="{00000000-0010-0000-0900-000001000000}" name="SAP_BrandName" dataDxfId="8"/>
    <tableColumn id="2" xr3:uid="{00000000-0010-0000-0900-000002000000}" name="TME_Brand" dataDxfId="7"/>
    <tableColumn id="3" xr3:uid="{00000000-0010-0000-0900-000003000000}" name="TME_SKU" dataDxfId="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A000000}" name="Table_Date_Dim" displayName="Table_Date_Dim" ref="A1:E488" totalsRowShown="0">
  <tableColumns count="5">
    <tableColumn id="1" xr3:uid="{00000000-0010-0000-0A00-000001000000}" name="Date_all_Day"/>
    <tableColumn id="2" xr3:uid="{00000000-0010-0000-0A00-000002000000}" name="Day_in_month" dataDxfId="3">
      <calculatedColumnFormula>DAY(Table_Date_Dim[[#This Row],[Date_all_Day]])</calculatedColumnFormula>
    </tableColumn>
    <tableColumn id="3" xr3:uid="{00000000-0010-0000-0A00-000003000000}" name="Week_no"/>
    <tableColumn id="5" xr3:uid="{00000000-0010-0000-0A00-000005000000}" name="date_text" dataDxfId="2">
      <calculatedColumnFormula>TEXT(Table_Date_Dim[[#This Row],[Date_all_Day]],"dddd")</calculatedColumnFormula>
    </tableColumn>
    <tableColumn id="4" xr3:uid="{00000000-0010-0000-0A00-000004000000}" name="YearMonth" dataDxfId="1">
      <calculatedColumnFormula>CONCATENATE(YEAR(Table_Date_Dim[[#This Row],[Date_all_Day]]),RIGHT("0"&amp;MONTH(Table_Date_Dim[[#This Row],[Date_all_Day]]),2))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R53" dT="2021-07-06T07:01:01.88" personId="{EE34C9DE-EE90-4180-9F72-EA489323748F}" id="{E1D5BF5D-0CB4-4487-B989-F5FB66A476E0}">
    <text>Time gone based on MT-GT working calendar, excluded public holiday</text>
  </threadedComment>
</ThreadedComments>
</file>

<file path=xl/worksheets/_rels/sheet1.xml.rels><?xml version="1.0" encoding="UTF-8" standalone="yes"?>
<Relationships xmlns="http://schemas.openxmlformats.org/package/2006/relationships"><Relationship Id="rId3" Type="http://schemas.openxmlformats.org/officeDocument/2006/relationships/customProperty" Target="../customProperty1.bin"/><Relationship Id="rId2" Type="http://schemas.openxmlformats.org/officeDocument/2006/relationships/printerSettings" Target="../printerSettings/printerSettings1.bin"/><Relationship Id="rId1" Type="http://schemas.openxmlformats.org/officeDocument/2006/relationships/hyperlink" Target="../../../../../../../my?id=%2Fpersonal%2Ftkr9739%5Fcorp%5Fjti%5Fcom%2FDocuments%2FDocuments" TargetMode="External"/><Relationship Id="rId5" Type="http://schemas.openxmlformats.org/officeDocument/2006/relationships/table" Target="../tables/table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customProperty" Target="../customProperty2.bin"/><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customProperty" Target="../customProperty5.bin"/><Relationship Id="rId4"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microsoft.com/office/2007/relationships/slicer" Target="../slicers/slicer2.xml"/><Relationship Id="rId5" Type="http://schemas.openxmlformats.org/officeDocument/2006/relationships/drawing" Target="../drawings/drawing3.xml"/><Relationship Id="rId4" Type="http://schemas.openxmlformats.org/officeDocument/2006/relationships/customProperty" Target="../customProperty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customProperty" Target="../customProperty7.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customProperty" Target="../customProperty8.bin"/><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9.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customProperty" Target="../customProperty10.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customProperty" Target="../customProperty11.bin"/><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customProperty" Target="../customProperty12.bin"/><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customProperty" Target="../customProperty13.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customProperty" Target="../customProperty14.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customProperty" Target="../customProperty15.bin"/><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customProperty" Target="../customProperty16.bin"/><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customProperty" Target="../customProperty17.bin"/><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printerSettings" Target="../printerSettings/printerSettings18.bin"/><Relationship Id="rId1" Type="http://schemas.openxmlformats.org/officeDocument/2006/relationships/pivotTable" Target="../pivotTables/pivotTable6.xml"/></Relationships>
</file>

<file path=xl/worksheets/_rels/sheet19.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customProperty" Target="../customProperty20.bin"/><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customProperty" Target="../customProperty21.bin"/><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customProperty" Target="../customProperty22.bin"/><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customProperty" Target="../customProperty23.bin"/><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F23"/>
  <sheetViews>
    <sheetView tabSelected="1" zoomScale="85" zoomScaleNormal="85" workbookViewId="0">
      <selection activeCell="C9" sqref="C9"/>
    </sheetView>
  </sheetViews>
  <sheetFormatPr defaultRowHeight="15"/>
  <cols>
    <col min="2" max="2" width="15.5703125" bestFit="1" customWidth="1"/>
    <col min="3" max="3" width="100.42578125" bestFit="1" customWidth="1"/>
    <col min="4" max="4" width="6.42578125" bestFit="1" customWidth="1"/>
    <col min="5" max="5" width="8.28515625" customWidth="1"/>
    <col min="6" max="6" width="11.140625" customWidth="1"/>
    <col min="7" max="7" width="11.85546875" customWidth="1"/>
    <col min="8" max="8" width="11.42578125" customWidth="1"/>
  </cols>
  <sheetData>
    <row r="2" spans="2:6">
      <c r="B2" t="s">
        <v>0</v>
      </c>
      <c r="C2" t="s">
        <v>1</v>
      </c>
      <c r="D2" t="s">
        <v>2</v>
      </c>
    </row>
    <row r="3" spans="2:6">
      <c r="B3" t="s">
        <v>3</v>
      </c>
      <c r="C3" s="697" t="s">
        <v>4</v>
      </c>
      <c r="D3">
        <v>0</v>
      </c>
    </row>
    <row r="4" spans="2:6">
      <c r="B4" t="s">
        <v>5</v>
      </c>
      <c r="C4" s="647" t="s">
        <v>6</v>
      </c>
      <c r="D4">
        <v>1</v>
      </c>
      <c r="F4" s="119" t="s">
        <v>7</v>
      </c>
    </row>
    <row r="5" spans="2:6">
      <c r="B5" t="s">
        <v>8</v>
      </c>
      <c r="C5" t="s">
        <v>9</v>
      </c>
      <c r="D5">
        <v>2</v>
      </c>
    </row>
    <row r="6" spans="2:6">
      <c r="B6" t="s">
        <v>10</v>
      </c>
      <c r="C6" s="119" t="s">
        <v>11</v>
      </c>
      <c r="D6">
        <v>3</v>
      </c>
      <c r="F6" s="118" t="s">
        <v>12</v>
      </c>
    </row>
    <row r="7" spans="2:6">
      <c r="B7" t="s">
        <v>13</v>
      </c>
      <c r="C7" s="13">
        <v>2025</v>
      </c>
      <c r="D7">
        <v>4</v>
      </c>
      <c r="F7" s="318"/>
    </row>
    <row r="8" spans="2:6">
      <c r="B8" t="s">
        <v>14</v>
      </c>
      <c r="C8" s="132">
        <v>6</v>
      </c>
      <c r="D8">
        <v>5</v>
      </c>
      <c r="F8" s="318"/>
    </row>
    <row r="9" spans="2:6">
      <c r="B9" t="s">
        <v>15</v>
      </c>
      <c r="C9" s="132">
        <v>16</v>
      </c>
      <c r="D9">
        <v>6</v>
      </c>
      <c r="F9" s="118" t="s">
        <v>16</v>
      </c>
    </row>
    <row r="10" spans="2:6">
      <c r="B10" t="s">
        <v>17</v>
      </c>
      <c r="C10" s="132">
        <v>14</v>
      </c>
      <c r="D10">
        <v>7</v>
      </c>
      <c r="F10" s="318"/>
    </row>
    <row r="11" spans="2:6">
      <c r="B11" t="s">
        <v>18</v>
      </c>
      <c r="C11" t="s">
        <v>9</v>
      </c>
      <c r="D11">
        <v>8</v>
      </c>
      <c r="F11" s="118" t="s">
        <v>19</v>
      </c>
    </row>
    <row r="12" spans="2:6">
      <c r="B12" t="s">
        <v>20</v>
      </c>
      <c r="C12" t="s">
        <v>9</v>
      </c>
      <c r="D12">
        <v>9</v>
      </c>
      <c r="F12" s="118" t="s">
        <v>19</v>
      </c>
    </row>
    <row r="13" spans="2:6">
      <c r="B13" t="s">
        <v>21</v>
      </c>
      <c r="C13" t="s">
        <v>9</v>
      </c>
      <c r="D13">
        <v>10</v>
      </c>
      <c r="F13" s="118" t="s">
        <v>19</v>
      </c>
    </row>
    <row r="14" spans="2:6">
      <c r="B14" t="s">
        <v>22</v>
      </c>
      <c r="C14" t="s">
        <v>9</v>
      </c>
      <c r="D14">
        <v>11</v>
      </c>
      <c r="F14" s="118" t="s">
        <v>19</v>
      </c>
    </row>
    <row r="15" spans="2:6">
      <c r="B15" t="s">
        <v>23</v>
      </c>
      <c r="C15" s="648">
        <f ca="1">TODAY()-1</f>
        <v>45908</v>
      </c>
    </row>
    <row r="18" spans="2:3">
      <c r="B18" t="s">
        <v>24</v>
      </c>
    </row>
    <row r="19" spans="2:3" s="318" customFormat="1" ht="12">
      <c r="C19" s="319"/>
    </row>
    <row r="20" spans="2:3" s="318" customFormat="1" ht="12">
      <c r="C20" s="319"/>
    </row>
    <row r="21" spans="2:3" s="318" customFormat="1" ht="12">
      <c r="C21" s="118"/>
    </row>
    <row r="22" spans="2:3" s="318" customFormat="1" ht="12">
      <c r="C22" s="118"/>
    </row>
    <row r="23" spans="2:3">
      <c r="C23" s="118"/>
    </row>
  </sheetData>
  <hyperlinks>
    <hyperlink ref="C3" r:id="rId1" xr:uid="{88E00651-F055-4464-9BD6-049E430873EB}"/>
  </hyperlinks>
  <pageMargins left="0.7" right="0.7" top="0.75" bottom="0.75" header="0.3" footer="0.3"/>
  <pageSetup orientation="portrait" r:id="rId2"/>
  <customProperties>
    <customPr name="_pios_id" r:id="rId3"/>
  </customProperties>
  <drawing r:id="rId4"/>
  <tableParts count="1">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A2C05-CF05-4990-A368-7A5F1C57448F}">
  <sheetPr codeName="Sheet14">
    <tabColor rgb="FF9900CC"/>
  </sheetPr>
  <dimension ref="B1:BB314"/>
  <sheetViews>
    <sheetView showGridLines="0" zoomScale="70" zoomScaleNormal="70" workbookViewId="0">
      <selection activeCell="J63" sqref="J63"/>
    </sheetView>
  </sheetViews>
  <sheetFormatPr defaultColWidth="9.140625" defaultRowHeight="15" outlineLevelRow="1"/>
  <cols>
    <col min="1" max="1" width="2.5703125" style="15" customWidth="1"/>
    <col min="2" max="3" width="12.85546875" style="15" customWidth="1"/>
    <col min="4" max="4" width="11.42578125" style="15" customWidth="1"/>
    <col min="5" max="15" width="12.140625" style="15" customWidth="1"/>
    <col min="16" max="16" width="13.7109375" style="15" bestFit="1" customWidth="1"/>
    <col min="17" max="17" width="13.5703125" style="15" customWidth="1"/>
    <col min="18" max="18" width="13.140625" style="15" customWidth="1"/>
    <col min="19" max="19" width="13.42578125" style="15" customWidth="1"/>
    <col min="20" max="20" width="13.85546875" style="15" customWidth="1"/>
    <col min="21" max="21" width="15.5703125" style="15" bestFit="1" customWidth="1"/>
    <col min="22" max="22" width="16.140625" style="15" bestFit="1" customWidth="1"/>
    <col min="23" max="23" width="11.85546875" style="15" customWidth="1"/>
    <col min="24" max="24" width="10.85546875" style="53" bestFit="1" customWidth="1"/>
    <col min="25" max="25" width="13.5703125" style="15" customWidth="1"/>
    <col min="26" max="26" width="12" style="15" customWidth="1"/>
    <col min="27" max="27" width="11.7109375" style="15" customWidth="1"/>
    <col min="28" max="28" width="10.7109375" style="15" customWidth="1"/>
    <col min="29" max="36" width="12.5703125" style="15" customWidth="1"/>
    <col min="37" max="37" width="12.42578125" style="15" customWidth="1"/>
    <col min="38" max="38" width="15.140625" style="15" customWidth="1"/>
    <col min="39" max="39" width="13.140625" style="15" customWidth="1"/>
    <col min="40" max="40" width="16.42578125" style="15" customWidth="1"/>
    <col min="41" max="41" width="12.42578125" style="15" customWidth="1"/>
    <col min="42" max="42" width="12.85546875" style="15" customWidth="1"/>
    <col min="43" max="43" width="11.140625" style="15" customWidth="1"/>
    <col min="44" max="44" width="13.140625" style="15" customWidth="1"/>
    <col min="45" max="45" width="8.28515625" style="15" bestFit="1" customWidth="1"/>
    <col min="46" max="46" width="12.7109375" style="15" customWidth="1"/>
    <col min="47" max="47" width="14.5703125" style="15" customWidth="1"/>
    <col min="48" max="48" width="10.42578125" style="15" customWidth="1"/>
    <col min="49" max="49" width="7.5703125" style="15" customWidth="1"/>
    <col min="50" max="50" width="10" style="15" customWidth="1"/>
    <col min="51" max="51" width="11.28515625" style="15" bestFit="1" customWidth="1"/>
    <col min="52" max="52" width="10.28515625" style="15" customWidth="1"/>
    <col min="53" max="53" width="14.140625" style="15" bestFit="1" customWidth="1"/>
    <col min="54" max="54" width="9.140625" style="15" customWidth="1"/>
    <col min="55" max="16384" width="9.140625" style="15"/>
  </cols>
  <sheetData>
    <row r="1" spans="2:52" ht="19.5">
      <c r="B1" s="749" t="s">
        <v>25</v>
      </c>
      <c r="C1" s="750"/>
      <c r="D1" s="750"/>
      <c r="E1" s="750"/>
      <c r="F1" s="750"/>
      <c r="G1" s="750"/>
      <c r="H1" s="750"/>
      <c r="I1" s="750"/>
      <c r="J1" s="750"/>
      <c r="K1" s="750"/>
      <c r="L1" s="750"/>
      <c r="M1" s="750"/>
      <c r="N1" s="750"/>
      <c r="O1" s="750"/>
      <c r="P1" s="750"/>
      <c r="Q1" s="750"/>
      <c r="R1" s="750"/>
      <c r="S1" s="750"/>
      <c r="T1" s="750"/>
      <c r="U1" s="750"/>
      <c r="V1" s="751"/>
    </row>
    <row r="2" spans="2:52" hidden="1" outlineLevel="1">
      <c r="B2" s="740" t="s">
        <v>26</v>
      </c>
      <c r="C2" s="741"/>
      <c r="D2" s="741"/>
      <c r="E2" s="741"/>
      <c r="F2" s="741"/>
      <c r="G2" s="741"/>
      <c r="H2" s="741"/>
      <c r="I2" s="741"/>
      <c r="J2" s="741"/>
      <c r="K2" s="741"/>
      <c r="L2" s="741"/>
      <c r="M2" s="741"/>
      <c r="N2" s="741"/>
      <c r="O2" s="741"/>
      <c r="P2" s="741"/>
      <c r="Q2" s="741"/>
      <c r="R2" s="741"/>
      <c r="S2" s="741"/>
      <c r="T2" s="741"/>
      <c r="U2" s="741"/>
      <c r="V2" s="742"/>
    </row>
    <row r="3" spans="2:52" hidden="1" outlineLevel="1">
      <c r="B3" s="709" t="s">
        <v>25</v>
      </c>
      <c r="C3" s="752" t="s">
        <v>27</v>
      </c>
      <c r="D3" s="752"/>
      <c r="E3" s="709" t="s">
        <v>28</v>
      </c>
      <c r="F3" s="709" t="s">
        <v>29</v>
      </c>
      <c r="G3" s="709" t="s">
        <v>30</v>
      </c>
      <c r="H3" s="709" t="s">
        <v>31</v>
      </c>
      <c r="I3" s="709" t="s">
        <v>32</v>
      </c>
      <c r="J3" s="709" t="s">
        <v>33</v>
      </c>
      <c r="K3" s="709" t="s">
        <v>34</v>
      </c>
      <c r="L3" s="709" t="s">
        <v>35</v>
      </c>
      <c r="M3" s="709" t="s">
        <v>36</v>
      </c>
      <c r="N3" s="709" t="s">
        <v>37</v>
      </c>
      <c r="O3" s="709" t="s">
        <v>38</v>
      </c>
      <c r="P3" s="709" t="s">
        <v>39</v>
      </c>
      <c r="Q3" s="709" t="s">
        <v>40</v>
      </c>
      <c r="R3" s="709" t="s">
        <v>41</v>
      </c>
      <c r="S3" s="711" t="s">
        <v>42</v>
      </c>
      <c r="T3" s="712"/>
      <c r="U3" s="711" t="s">
        <v>43</v>
      </c>
      <c r="V3" s="712"/>
    </row>
    <row r="4" spans="2:52" hidden="1" outlineLevel="1">
      <c r="B4" s="710"/>
      <c r="C4" s="752"/>
      <c r="D4" s="752"/>
      <c r="E4" s="710"/>
      <c r="F4" s="710"/>
      <c r="G4" s="710"/>
      <c r="H4" s="710"/>
      <c r="I4" s="710"/>
      <c r="J4" s="710"/>
      <c r="K4" s="710"/>
      <c r="L4" s="710"/>
      <c r="M4" s="710"/>
      <c r="N4" s="710"/>
      <c r="O4" s="710"/>
      <c r="P4" s="710"/>
      <c r="Q4" s="710"/>
      <c r="R4" s="710"/>
      <c r="S4" s="713"/>
      <c r="T4" s="714"/>
      <c r="U4" s="713"/>
      <c r="V4" s="714"/>
    </row>
    <row r="5" spans="2:52" hidden="1" outlineLevel="1">
      <c r="B5" s="198" t="s">
        <v>25</v>
      </c>
      <c r="C5" s="715" t="s">
        <v>44</v>
      </c>
      <c r="D5" s="715"/>
      <c r="E5" s="337">
        <v>11.35406</v>
      </c>
      <c r="F5" s="337">
        <v>8.5942399999999992</v>
      </c>
      <c r="G5" s="337">
        <v>9.1428399999999996</v>
      </c>
      <c r="H5" s="337">
        <v>8.19984</v>
      </c>
      <c r="I5" s="337">
        <v>8.9685199999999998</v>
      </c>
      <c r="J5" s="337">
        <v>8.6179199999999998</v>
      </c>
      <c r="K5" s="337">
        <v>9.0411800000000007</v>
      </c>
      <c r="L5" s="337">
        <v>8.8935600000000008</v>
      </c>
      <c r="M5" s="337">
        <v>8.6654400000000003</v>
      </c>
      <c r="N5" s="337">
        <v>8.3893000000000004</v>
      </c>
      <c r="O5" s="337">
        <v>8.4608399999999993</v>
      </c>
      <c r="P5" s="337">
        <v>7.5438400000000003</v>
      </c>
      <c r="Q5" s="337">
        <f t="shared" ref="Q5:Q10" si="0">SUM(E5:P5)</f>
        <v>105.87158000000002</v>
      </c>
      <c r="R5" s="405">
        <v>142.25704000000002</v>
      </c>
      <c r="S5" s="743">
        <f t="shared" ref="S5:S10" si="1">IFERROR(Q5/$Q$10,0)</f>
        <v>5.2405575022542186E-2</v>
      </c>
      <c r="T5" s="744"/>
      <c r="U5" s="743">
        <f>Q5/R5-1</f>
        <v>-0.25577264928329724</v>
      </c>
      <c r="V5" s="744"/>
      <c r="W5" s="412"/>
      <c r="X5" s="413"/>
      <c r="Y5" s="413"/>
      <c r="Z5" s="413"/>
      <c r="AA5" s="176"/>
      <c r="AB5" s="176"/>
      <c r="AC5" s="176"/>
      <c r="AD5" s="176"/>
      <c r="AE5" s="176"/>
      <c r="AF5" s="176"/>
      <c r="AG5" s="176"/>
      <c r="AH5" s="176"/>
      <c r="AI5" s="176"/>
      <c r="AJ5" s="176"/>
      <c r="AK5" s="176"/>
      <c r="AL5" s="176"/>
      <c r="AM5" s="176"/>
      <c r="AN5" s="176"/>
      <c r="AO5" s="176"/>
      <c r="AP5" s="176"/>
      <c r="AQ5" s="176"/>
      <c r="AR5" s="176"/>
      <c r="AS5" s="176"/>
      <c r="AT5" s="176"/>
      <c r="AU5" s="176"/>
      <c r="AV5" s="176"/>
      <c r="AW5" s="176"/>
      <c r="AX5" s="176"/>
      <c r="AY5" s="176"/>
      <c r="AZ5" s="176"/>
    </row>
    <row r="6" spans="2:52" hidden="1" outlineLevel="1">
      <c r="B6" s="198" t="s">
        <v>25</v>
      </c>
      <c r="C6" s="715" t="s">
        <v>45</v>
      </c>
      <c r="D6" s="715"/>
      <c r="E6" s="337">
        <v>8.2791999999999994</v>
      </c>
      <c r="F6" s="337">
        <v>6.3196000000000003</v>
      </c>
      <c r="G6" s="337">
        <v>5.9059999999999997</v>
      </c>
      <c r="H6" s="337">
        <v>4.1890000000000001</v>
      </c>
      <c r="I6" s="337">
        <v>4.4898800000000003</v>
      </c>
      <c r="J6" s="337">
        <v>4.3259999999999996</v>
      </c>
      <c r="K6" s="337">
        <v>4.2430599999999998</v>
      </c>
      <c r="L6" s="337">
        <v>4.1913999999999998</v>
      </c>
      <c r="M6" s="337">
        <v>4.3109999999999999</v>
      </c>
      <c r="N6" s="337">
        <v>3.9733999999999998</v>
      </c>
      <c r="O6" s="337">
        <v>3.3359200000000002</v>
      </c>
      <c r="P6" s="337">
        <v>3.1296200000000001</v>
      </c>
      <c r="Q6" s="337">
        <f t="shared" si="0"/>
        <v>56.69408</v>
      </c>
      <c r="R6" s="406">
        <v>90.779300000000006</v>
      </c>
      <c r="S6" s="743">
        <f t="shared" si="1"/>
        <v>2.8063110636244476E-2</v>
      </c>
      <c r="T6" s="744"/>
      <c r="U6" s="743">
        <f>Q6/R6-1</f>
        <v>-0.37547348349238208</v>
      </c>
      <c r="V6" s="744"/>
      <c r="W6" s="412"/>
      <c r="X6" s="413"/>
      <c r="Y6" s="413"/>
      <c r="Z6" s="413"/>
      <c r="AA6" s="176"/>
      <c r="AB6" s="176"/>
      <c r="AC6" s="176"/>
      <c r="AD6" s="176"/>
      <c r="AE6" s="176"/>
      <c r="AF6" s="176"/>
      <c r="AG6" s="176"/>
      <c r="AH6" s="176"/>
      <c r="AI6" s="176"/>
      <c r="AJ6" s="176"/>
      <c r="AK6" s="176"/>
      <c r="AL6" s="176"/>
      <c r="AM6" s="176"/>
      <c r="AN6" s="176"/>
      <c r="AO6" s="176"/>
      <c r="AP6" s="176"/>
      <c r="AQ6" s="176"/>
      <c r="AR6" s="176"/>
      <c r="AS6" s="176"/>
      <c r="AT6" s="176"/>
      <c r="AU6" s="176"/>
      <c r="AV6" s="176"/>
      <c r="AW6" s="176"/>
      <c r="AX6" s="176"/>
      <c r="AY6" s="176"/>
      <c r="AZ6" s="176"/>
    </row>
    <row r="7" spans="2:52" hidden="1" outlineLevel="1">
      <c r="B7" s="198" t="s">
        <v>25</v>
      </c>
      <c r="C7" s="715" t="s">
        <v>46</v>
      </c>
      <c r="D7" s="715"/>
      <c r="E7" s="337">
        <v>67.565299999999993</v>
      </c>
      <c r="F7" s="337">
        <v>53.067239999999998</v>
      </c>
      <c r="G7" s="337">
        <v>54.747720000000001</v>
      </c>
      <c r="H7" s="337">
        <v>47.245220000000003</v>
      </c>
      <c r="I7" s="337">
        <v>56.483919999999998</v>
      </c>
      <c r="J7" s="337">
        <v>61.519399999999997</v>
      </c>
      <c r="K7" s="337">
        <v>60.073599999999999</v>
      </c>
      <c r="L7" s="337">
        <v>57.78</v>
      </c>
      <c r="M7" s="337">
        <v>57.197600000000001</v>
      </c>
      <c r="N7" s="337">
        <v>53.814</v>
      </c>
      <c r="O7" s="337">
        <v>45.290799999999997</v>
      </c>
      <c r="P7" s="337">
        <v>43.68206</v>
      </c>
      <c r="Q7" s="337">
        <f t="shared" si="0"/>
        <v>658.46685999999988</v>
      </c>
      <c r="R7" s="406">
        <v>649.93859999999995</v>
      </c>
      <c r="S7" s="743">
        <f t="shared" si="1"/>
        <v>0.3259357651183421</v>
      </c>
      <c r="T7" s="744"/>
      <c r="U7" s="743">
        <f>Q7/R7-1</f>
        <v>1.3121639490253356E-2</v>
      </c>
      <c r="V7" s="744"/>
      <c r="W7" s="412"/>
      <c r="X7" s="413"/>
      <c r="Y7" s="413"/>
      <c r="Z7" s="413"/>
      <c r="AA7" s="176"/>
      <c r="AB7" s="176"/>
      <c r="AC7" s="176"/>
      <c r="AD7" s="176"/>
      <c r="AE7" s="176"/>
      <c r="AF7" s="176"/>
      <c r="AG7" s="176"/>
      <c r="AH7" s="176"/>
      <c r="AI7" s="176"/>
      <c r="AJ7" s="176"/>
      <c r="AK7" s="176"/>
      <c r="AL7" s="176"/>
      <c r="AM7" s="176"/>
      <c r="AN7" s="176"/>
      <c r="AO7" s="176"/>
      <c r="AP7" s="176"/>
      <c r="AQ7" s="176"/>
      <c r="AR7" s="176"/>
      <c r="AS7" s="176"/>
      <c r="AT7" s="176"/>
      <c r="AU7" s="176"/>
      <c r="AV7" s="176"/>
      <c r="AW7" s="176"/>
      <c r="AX7" s="176"/>
      <c r="AY7" s="176"/>
      <c r="AZ7" s="176"/>
    </row>
    <row r="8" spans="2:52" hidden="1" outlineLevel="1">
      <c r="B8" s="198" t="s">
        <v>25</v>
      </c>
      <c r="C8" s="715" t="s">
        <v>47</v>
      </c>
      <c r="D8" s="715"/>
      <c r="E8" s="337">
        <v>121.77115999999999</v>
      </c>
      <c r="F8" s="337">
        <v>101.52200000000001</v>
      </c>
      <c r="G8" s="337">
        <v>103.9864</v>
      </c>
      <c r="H8" s="337">
        <v>85.869020000000006</v>
      </c>
      <c r="I8" s="337">
        <v>90.558199999999999</v>
      </c>
      <c r="J8" s="337">
        <v>92.847800000000007</v>
      </c>
      <c r="K8" s="337">
        <v>98.046260000000004</v>
      </c>
      <c r="L8" s="337">
        <v>103.02638</v>
      </c>
      <c r="M8" s="337">
        <v>100.19374000000001</v>
      </c>
      <c r="N8" s="337">
        <v>102.58692000000001</v>
      </c>
      <c r="O8" s="337">
        <v>87.096459999999993</v>
      </c>
      <c r="P8" s="337">
        <v>81.536860000000004</v>
      </c>
      <c r="Q8" s="337">
        <f t="shared" si="0"/>
        <v>1169.0411999999999</v>
      </c>
      <c r="R8" s="406">
        <v>999.94530000000009</v>
      </c>
      <c r="S8" s="743">
        <f t="shared" si="1"/>
        <v>0.57866593009231304</v>
      </c>
      <c r="T8" s="744"/>
      <c r="U8" s="743">
        <f>Q8/R8-1</f>
        <v>0.16910515005170756</v>
      </c>
      <c r="V8" s="744"/>
      <c r="W8" s="412"/>
      <c r="X8" s="413"/>
      <c r="Y8" s="413"/>
      <c r="Z8" s="413"/>
      <c r="AA8" s="176"/>
      <c r="AB8" s="176"/>
      <c r="AC8" s="176"/>
      <c r="AD8" s="176"/>
      <c r="AE8" s="176"/>
      <c r="AF8" s="176"/>
      <c r="AG8" s="176"/>
      <c r="AH8" s="176"/>
      <c r="AI8" s="176"/>
      <c r="AJ8" s="176"/>
      <c r="AK8" s="176"/>
      <c r="AL8" s="176"/>
      <c r="AM8" s="176"/>
      <c r="AN8" s="176"/>
      <c r="AO8" s="176"/>
      <c r="AP8" s="176"/>
      <c r="AQ8" s="176"/>
      <c r="AR8" s="176"/>
      <c r="AS8" s="176"/>
      <c r="AT8" s="176"/>
      <c r="AU8" s="176"/>
      <c r="AV8" s="176"/>
      <c r="AW8" s="176"/>
      <c r="AX8" s="176"/>
      <c r="AY8" s="176"/>
      <c r="AZ8" s="176"/>
    </row>
    <row r="9" spans="2:52" hidden="1" outlineLevel="1">
      <c r="B9" s="198" t="s">
        <v>25</v>
      </c>
      <c r="C9" s="715" t="s">
        <v>48</v>
      </c>
      <c r="D9" s="715"/>
      <c r="E9" s="337">
        <v>1.5370600000000001</v>
      </c>
      <c r="F9" s="337">
        <v>2.3290199999999999</v>
      </c>
      <c r="G9" s="337">
        <v>5.1730400000000003</v>
      </c>
      <c r="H9" s="337">
        <v>0.89222000000000001</v>
      </c>
      <c r="I9" s="337">
        <v>1.5495399999999999</v>
      </c>
      <c r="J9" s="337">
        <v>0.79900000000000004</v>
      </c>
      <c r="K9" s="337">
        <v>8.0915999999999997</v>
      </c>
      <c r="L9" s="337">
        <v>3.327</v>
      </c>
      <c r="M9" s="337">
        <v>2.2961999999999998</v>
      </c>
      <c r="N9" s="337">
        <v>2.1981999999999999</v>
      </c>
      <c r="O9" s="337">
        <v>1.55206</v>
      </c>
      <c r="P9" s="337">
        <v>0.41639999999999999</v>
      </c>
      <c r="Q9" s="337">
        <f t="shared" si="0"/>
        <v>30.161339999999996</v>
      </c>
      <c r="R9" s="406">
        <v>6.0415200000000002</v>
      </c>
      <c r="S9" s="743">
        <f t="shared" si="1"/>
        <v>1.4929619130558002E-2</v>
      </c>
      <c r="T9" s="744"/>
      <c r="U9" s="743"/>
      <c r="V9" s="744"/>
      <c r="W9" s="412"/>
      <c r="X9" s="413"/>
      <c r="Y9" s="413"/>
      <c r="Z9" s="413"/>
      <c r="AA9" s="176"/>
      <c r="AN9" s="176"/>
      <c r="AO9" s="176"/>
      <c r="AP9" s="176"/>
      <c r="AQ9" s="176"/>
      <c r="AR9" s="176"/>
      <c r="AS9" s="176"/>
      <c r="AT9" s="176"/>
      <c r="AU9" s="176"/>
      <c r="AV9" s="176"/>
      <c r="AW9" s="176"/>
      <c r="AX9" s="176"/>
      <c r="AY9" s="176"/>
      <c r="AZ9" s="176"/>
    </row>
    <row r="10" spans="2:52" hidden="1" outlineLevel="1">
      <c r="B10" s="24" t="s">
        <v>25</v>
      </c>
      <c r="C10" s="716" t="s">
        <v>25</v>
      </c>
      <c r="D10" s="716"/>
      <c r="E10" s="338">
        <v>210.50677999999999</v>
      </c>
      <c r="F10" s="338">
        <v>171.8321</v>
      </c>
      <c r="G10" s="338">
        <v>178.95599999999999</v>
      </c>
      <c r="H10" s="338">
        <v>146.39529999999999</v>
      </c>
      <c r="I10" s="338">
        <v>162.05006</v>
      </c>
      <c r="J10" s="338">
        <v>168.11011999999999</v>
      </c>
      <c r="K10" s="338">
        <v>179.4957</v>
      </c>
      <c r="L10" s="338">
        <v>177.21834000000001</v>
      </c>
      <c r="M10" s="338">
        <v>172.66398000000001</v>
      </c>
      <c r="N10" s="338">
        <v>170.96181999999999</v>
      </c>
      <c r="O10" s="338">
        <v>145.73607999999999</v>
      </c>
      <c r="P10" s="338">
        <v>136.30878000000001</v>
      </c>
      <c r="Q10" s="338">
        <f t="shared" si="0"/>
        <v>2020.2350600000002</v>
      </c>
      <c r="R10" s="407">
        <v>1888.9617600000001</v>
      </c>
      <c r="S10" s="745">
        <f t="shared" si="1"/>
        <v>1</v>
      </c>
      <c r="T10" s="746"/>
      <c r="U10" s="745">
        <f>Q10/R10-1</f>
        <v>6.9494948378415078E-2</v>
      </c>
      <c r="V10" s="746"/>
      <c r="W10" s="412"/>
      <c r="X10" s="413"/>
      <c r="Y10" s="413"/>
      <c r="Z10" s="413"/>
      <c r="AA10" s="176"/>
      <c r="AN10" s="176"/>
      <c r="AO10" s="176"/>
      <c r="AP10" s="176"/>
      <c r="AQ10" s="176"/>
      <c r="AR10" s="176"/>
      <c r="AS10" s="176"/>
      <c r="AT10" s="176"/>
      <c r="AU10" s="176"/>
      <c r="AV10" s="176"/>
      <c r="AW10" s="176"/>
      <c r="AX10" s="176"/>
      <c r="AY10" s="176"/>
      <c r="AZ10" s="176"/>
    </row>
    <row r="11" spans="2:52" ht="19.5" hidden="1" outlineLevel="1">
      <c r="B11" s="195"/>
      <c r="C11" s="196"/>
      <c r="D11" s="196"/>
      <c r="E11" s="196"/>
      <c r="F11" s="196"/>
      <c r="G11" s="196"/>
      <c r="H11" s="196"/>
      <c r="I11" s="196"/>
      <c r="J11" s="196"/>
      <c r="K11" s="196"/>
      <c r="L11" s="196"/>
      <c r="M11" s="196"/>
      <c r="N11" s="196"/>
      <c r="O11" s="196"/>
      <c r="P11" s="196"/>
      <c r="Q11" s="196"/>
      <c r="R11" s="196"/>
      <c r="S11" s="196"/>
      <c r="T11" s="196"/>
      <c r="U11" s="196"/>
      <c r="Y11" s="176"/>
      <c r="Z11" s="183"/>
      <c r="AA11" s="176"/>
      <c r="AB11" s="176"/>
      <c r="AC11" s="176"/>
      <c r="AD11" s="176"/>
      <c r="AE11" s="176"/>
      <c r="AF11" s="176"/>
      <c r="AG11" s="176"/>
      <c r="AH11" s="176"/>
      <c r="AI11" s="176"/>
      <c r="AJ11" s="176"/>
      <c r="AK11" s="176"/>
      <c r="AL11" s="176"/>
      <c r="AM11" s="176"/>
      <c r="AN11" s="176"/>
      <c r="AO11" s="404"/>
      <c r="AP11" s="404"/>
      <c r="AQ11" s="176"/>
      <c r="AR11" s="176"/>
      <c r="AS11" s="176"/>
      <c r="AT11" s="176"/>
      <c r="AU11" s="176"/>
      <c r="AV11" s="176"/>
      <c r="AW11" s="176"/>
      <c r="AX11" s="176"/>
      <c r="AY11" s="176"/>
      <c r="AZ11" s="176"/>
    </row>
    <row r="12" spans="2:52" hidden="1" outlineLevel="1">
      <c r="B12" s="728" t="s">
        <v>49</v>
      </c>
      <c r="C12" s="729"/>
      <c r="D12" s="729"/>
      <c r="E12" s="729"/>
      <c r="F12" s="729"/>
      <c r="G12" s="729"/>
      <c r="H12" s="729"/>
      <c r="I12" s="729"/>
      <c r="J12" s="729"/>
      <c r="K12" s="729"/>
      <c r="L12" s="729"/>
      <c r="M12" s="729"/>
      <c r="N12" s="729"/>
      <c r="O12" s="729"/>
      <c r="P12" s="729"/>
      <c r="Q12" s="729"/>
      <c r="R12" s="729"/>
      <c r="S12" s="729"/>
      <c r="T12" s="729"/>
      <c r="U12" s="729"/>
      <c r="V12" s="730"/>
    </row>
    <row r="13" spans="2:52" hidden="1" outlineLevel="1">
      <c r="B13" s="724" t="s">
        <v>25</v>
      </c>
      <c r="C13" s="716" t="s">
        <v>27</v>
      </c>
      <c r="D13" s="716"/>
      <c r="E13" s="724" t="s">
        <v>28</v>
      </c>
      <c r="F13" s="724" t="s">
        <v>29</v>
      </c>
      <c r="G13" s="724" t="s">
        <v>30</v>
      </c>
      <c r="H13" s="724" t="s">
        <v>31</v>
      </c>
      <c r="I13" s="724" t="s">
        <v>32</v>
      </c>
      <c r="J13" s="724" t="s">
        <v>33</v>
      </c>
      <c r="K13" s="724" t="s">
        <v>34</v>
      </c>
      <c r="L13" s="724" t="s">
        <v>35</v>
      </c>
      <c r="M13" s="724" t="s">
        <v>36</v>
      </c>
      <c r="N13" s="724" t="s">
        <v>37</v>
      </c>
      <c r="O13" s="724" t="s">
        <v>38</v>
      </c>
      <c r="P13" s="724" t="s">
        <v>39</v>
      </c>
      <c r="Q13" s="724" t="s">
        <v>50</v>
      </c>
      <c r="R13" s="724" t="s">
        <v>40</v>
      </c>
      <c r="S13" s="786" t="s">
        <v>51</v>
      </c>
      <c r="T13" s="787"/>
      <c r="U13" s="786" t="s">
        <v>52</v>
      </c>
      <c r="V13" s="787"/>
    </row>
    <row r="14" spans="2:52" hidden="1" outlineLevel="1">
      <c r="B14" s="725"/>
      <c r="C14" s="716"/>
      <c r="D14" s="716"/>
      <c r="E14" s="725"/>
      <c r="F14" s="725"/>
      <c r="G14" s="725"/>
      <c r="H14" s="725"/>
      <c r="I14" s="725"/>
      <c r="J14" s="725"/>
      <c r="K14" s="725"/>
      <c r="L14" s="725"/>
      <c r="M14" s="725"/>
      <c r="N14" s="725"/>
      <c r="O14" s="725"/>
      <c r="P14" s="725"/>
      <c r="Q14" s="725"/>
      <c r="R14" s="725"/>
      <c r="S14" s="788"/>
      <c r="T14" s="789"/>
      <c r="U14" s="788"/>
      <c r="V14" s="789"/>
    </row>
    <row r="15" spans="2:52" ht="16.5" hidden="1" customHeight="1" outlineLevel="1">
      <c r="B15" s="198" t="s">
        <v>25</v>
      </c>
      <c r="C15" s="715" t="s">
        <v>44</v>
      </c>
      <c r="D15" s="715"/>
      <c r="E15" s="337">
        <v>7.8910200000000001</v>
      </c>
      <c r="F15" s="337">
        <v>6.7791000000000006</v>
      </c>
      <c r="G15" s="337">
        <v>7.9027599999999989</v>
      </c>
      <c r="H15" s="337">
        <v>7.3627400000000005</v>
      </c>
      <c r="I15" s="337">
        <v>6.2246999999999995</v>
      </c>
      <c r="J15" s="337">
        <v>6.7963399999999989</v>
      </c>
      <c r="K15" s="337">
        <v>6.0031200000000009</v>
      </c>
      <c r="L15" s="337">
        <v>6.0469600000000003</v>
      </c>
      <c r="M15" s="337">
        <v>4.7310400000000001</v>
      </c>
      <c r="N15" s="337">
        <v>5.9822999999999995</v>
      </c>
      <c r="O15" s="337">
        <v>2.3843800000000002</v>
      </c>
      <c r="P15" s="337">
        <v>8.841800000000001</v>
      </c>
      <c r="Q15" s="337">
        <f t="shared" ref="Q15:Q20" si="2">SUM(E15:P15)</f>
        <v>76.946259999999995</v>
      </c>
      <c r="R15" s="405">
        <v>105.87158000000002</v>
      </c>
      <c r="S15" s="743">
        <f t="shared" ref="S15:S20" si="3">IFERROR(Q15/$Q$20,0)</f>
        <v>4.1283057157091727E-2</v>
      </c>
      <c r="T15" s="744"/>
      <c r="U15" s="743">
        <f t="shared" ref="U15:U20" si="4">Q15/R15-1</f>
        <v>-0.27321137551739594</v>
      </c>
      <c r="V15" s="744"/>
      <c r="W15" s="412"/>
      <c r="X15" s="413"/>
      <c r="Y15" s="413"/>
      <c r="Z15" s="413"/>
      <c r="AA15" s="176"/>
      <c r="AB15" s="176"/>
      <c r="AC15" s="176"/>
      <c r="AD15" s="176"/>
      <c r="AE15" s="176"/>
      <c r="AF15" s="176"/>
      <c r="AG15" s="176"/>
      <c r="AH15" s="176"/>
      <c r="AI15" s="176"/>
      <c r="AJ15" s="176"/>
      <c r="AK15" s="176"/>
      <c r="AL15" s="176"/>
      <c r="AM15" s="176"/>
      <c r="AN15" s="176"/>
      <c r="AO15" s="176"/>
      <c r="AP15" s="176"/>
      <c r="AQ15" s="176"/>
      <c r="AR15" s="176"/>
      <c r="AS15" s="176"/>
      <c r="AT15" s="176"/>
      <c r="AU15" s="176"/>
      <c r="AV15" s="176"/>
      <c r="AW15" s="176"/>
      <c r="AX15" s="176"/>
      <c r="AY15" s="176"/>
      <c r="AZ15" s="176"/>
    </row>
    <row r="16" spans="2:52" hidden="1" outlineLevel="1">
      <c r="B16" s="198" t="s">
        <v>25</v>
      </c>
      <c r="C16" s="715" t="s">
        <v>45</v>
      </c>
      <c r="D16" s="715"/>
      <c r="E16" s="337">
        <v>3.6311400000000003</v>
      </c>
      <c r="F16" s="337">
        <v>3.0731200000000003</v>
      </c>
      <c r="G16" s="337">
        <v>3.7041999999999997</v>
      </c>
      <c r="H16" s="337">
        <v>4.11592</v>
      </c>
      <c r="I16" s="337">
        <v>2.6214</v>
      </c>
      <c r="J16" s="337">
        <v>3.4176199999999999</v>
      </c>
      <c r="K16" s="337">
        <v>2.8241799999999997</v>
      </c>
      <c r="L16" s="337">
        <v>3.4670799999999993</v>
      </c>
      <c r="M16" s="337">
        <v>2.14418</v>
      </c>
      <c r="N16" s="337">
        <v>3.8576800000000002</v>
      </c>
      <c r="O16" s="337">
        <v>1.11354</v>
      </c>
      <c r="P16" s="337">
        <v>4.9334199999999999</v>
      </c>
      <c r="Q16" s="337">
        <f t="shared" si="2"/>
        <v>38.903479999999995</v>
      </c>
      <c r="R16" s="406">
        <v>56.69408</v>
      </c>
      <c r="S16" s="743">
        <f t="shared" si="3"/>
        <v>2.0872419120172635E-2</v>
      </c>
      <c r="T16" s="744"/>
      <c r="U16" s="743">
        <f t="shared" si="4"/>
        <v>-0.31379995936083638</v>
      </c>
      <c r="V16" s="744"/>
      <c r="W16" s="412"/>
      <c r="X16" s="413"/>
      <c r="Y16" s="413"/>
      <c r="Z16" s="413"/>
      <c r="AA16" s="404"/>
      <c r="AB16" s="404"/>
      <c r="AC16" s="404"/>
      <c r="AD16" s="404"/>
      <c r="AE16" s="404"/>
      <c r="AF16" s="404"/>
      <c r="AG16" s="404"/>
      <c r="AH16" s="404"/>
      <c r="AI16" s="404"/>
      <c r="AJ16" s="404"/>
      <c r="AK16" s="404"/>
      <c r="AL16" s="404"/>
      <c r="AM16" s="404"/>
      <c r="AN16" s="404"/>
      <c r="AO16" s="404"/>
      <c r="AP16" s="404"/>
      <c r="AQ16" s="404"/>
      <c r="AR16" s="404"/>
      <c r="AS16" s="404"/>
      <c r="AT16" s="404"/>
      <c r="AU16" s="176"/>
      <c r="AV16" s="176"/>
      <c r="AW16" s="176"/>
      <c r="AX16" s="176"/>
      <c r="AY16" s="176"/>
      <c r="AZ16" s="176"/>
    </row>
    <row r="17" spans="2:52" hidden="1" outlineLevel="1">
      <c r="B17" s="198" t="s">
        <v>25</v>
      </c>
      <c r="C17" s="715" t="s">
        <v>46</v>
      </c>
      <c r="D17" s="715"/>
      <c r="E17" s="337">
        <v>56.606020000000008</v>
      </c>
      <c r="F17" s="337">
        <v>49.762600000000006</v>
      </c>
      <c r="G17" s="337">
        <v>53.862639999999992</v>
      </c>
      <c r="H17" s="337">
        <v>53.712399999999995</v>
      </c>
      <c r="I17" s="337">
        <v>43.756399999999999</v>
      </c>
      <c r="J17" s="337">
        <v>46.170500000000004</v>
      </c>
      <c r="K17" s="337">
        <v>42.402160000000002</v>
      </c>
      <c r="L17" s="337">
        <v>43.526200000000003</v>
      </c>
      <c r="M17" s="337">
        <v>42.569739999999996</v>
      </c>
      <c r="N17" s="337">
        <v>44.38824000000001</v>
      </c>
      <c r="O17" s="337">
        <v>51.31664</v>
      </c>
      <c r="P17" s="337">
        <v>47.674620000000004</v>
      </c>
      <c r="Q17" s="337">
        <f t="shared" si="2"/>
        <v>575.74815999999998</v>
      </c>
      <c r="R17" s="406">
        <v>658.46685999999988</v>
      </c>
      <c r="S17" s="743">
        <f t="shared" si="3"/>
        <v>0.30889927850126042</v>
      </c>
      <c r="T17" s="744"/>
      <c r="U17" s="743">
        <f t="shared" si="4"/>
        <v>-0.12562317866688066</v>
      </c>
      <c r="V17" s="744"/>
      <c r="W17" s="412"/>
      <c r="X17" s="413"/>
      <c r="Y17" s="413"/>
      <c r="Z17" s="413"/>
      <c r="AA17" s="404"/>
      <c r="AB17" s="404"/>
      <c r="AC17" s="404"/>
      <c r="AD17" s="404"/>
      <c r="AE17" s="404"/>
      <c r="AF17" s="404"/>
      <c r="AG17" s="404"/>
      <c r="AH17" s="404"/>
      <c r="AI17" s="404"/>
      <c r="AJ17" s="404"/>
      <c r="AK17" s="404"/>
      <c r="AL17" s="404"/>
      <c r="AM17" s="404"/>
      <c r="AN17" s="404"/>
      <c r="AO17" s="404"/>
      <c r="AP17" s="404"/>
      <c r="AQ17" s="404"/>
      <c r="AR17" s="404"/>
      <c r="AS17" s="404"/>
      <c r="AT17" s="404"/>
      <c r="AU17" s="176"/>
      <c r="AV17" s="176"/>
      <c r="AW17" s="176"/>
      <c r="AX17" s="176"/>
      <c r="AY17" s="176"/>
      <c r="AZ17" s="176"/>
    </row>
    <row r="18" spans="2:52" hidden="1" outlineLevel="1">
      <c r="B18" s="198" t="s">
        <v>25</v>
      </c>
      <c r="C18" s="715" t="s">
        <v>47</v>
      </c>
      <c r="D18" s="715"/>
      <c r="E18" s="337">
        <v>108.03139999999999</v>
      </c>
      <c r="F18" s="337">
        <v>90.268340000000009</v>
      </c>
      <c r="G18" s="337">
        <v>105.8558</v>
      </c>
      <c r="H18" s="337">
        <v>102.26648</v>
      </c>
      <c r="I18" s="337">
        <v>90.650180000000006</v>
      </c>
      <c r="J18" s="337">
        <v>95.44586000000001</v>
      </c>
      <c r="K18" s="337">
        <v>87.419939999999997</v>
      </c>
      <c r="L18" s="337">
        <v>87.059159999999991</v>
      </c>
      <c r="M18" s="337">
        <v>99.990160000000003</v>
      </c>
      <c r="N18" s="337">
        <v>100.09197999999999</v>
      </c>
      <c r="O18" s="337">
        <v>109.39411999999999</v>
      </c>
      <c r="P18" s="337">
        <v>87.144300000000001</v>
      </c>
      <c r="Q18" s="337">
        <f t="shared" si="2"/>
        <v>1163.61772</v>
      </c>
      <c r="R18" s="406">
        <v>1169.0411999999999</v>
      </c>
      <c r="S18" s="743">
        <f t="shared" si="3"/>
        <v>0.62430190686025233</v>
      </c>
      <c r="T18" s="744"/>
      <c r="U18" s="743">
        <f t="shared" si="4"/>
        <v>-4.6392548012849089E-3</v>
      </c>
      <c r="V18" s="744"/>
      <c r="W18" s="412"/>
      <c r="X18" s="413"/>
      <c r="Y18" s="413"/>
      <c r="Z18" s="413"/>
      <c r="AA18" s="404"/>
      <c r="AB18" s="404"/>
      <c r="AC18" s="404"/>
      <c r="AD18" s="404"/>
      <c r="AE18" s="404"/>
      <c r="AF18" s="404"/>
      <c r="AG18" s="404"/>
      <c r="AH18" s="404"/>
      <c r="AI18" s="404"/>
      <c r="AJ18" s="404"/>
      <c r="AK18" s="404"/>
      <c r="AL18" s="404"/>
      <c r="AM18" s="404"/>
      <c r="AN18" s="404"/>
      <c r="AO18" s="404"/>
      <c r="AP18" s="404"/>
      <c r="AQ18" s="404"/>
      <c r="AR18" s="404"/>
      <c r="AS18" s="404"/>
      <c r="AT18" s="404"/>
      <c r="AU18" s="176"/>
      <c r="AV18" s="176"/>
      <c r="AW18" s="176"/>
      <c r="AX18" s="176"/>
      <c r="AY18" s="176"/>
      <c r="AZ18" s="176"/>
    </row>
    <row r="19" spans="2:52" hidden="1" outlineLevel="1">
      <c r="B19" s="198" t="s">
        <v>25</v>
      </c>
      <c r="C19" s="715" t="s">
        <v>48</v>
      </c>
      <c r="D19" s="715"/>
      <c r="E19" s="337">
        <v>1.1995200000000001</v>
      </c>
      <c r="F19" s="337">
        <v>0.26745999999999981</v>
      </c>
      <c r="G19" s="337">
        <v>0.91878000000000015</v>
      </c>
      <c r="H19" s="337">
        <v>0.62297999999999998</v>
      </c>
      <c r="I19" s="337">
        <v>0.64500000000000002</v>
      </c>
      <c r="J19" s="337">
        <v>1.0670600000000001</v>
      </c>
      <c r="K19" s="337">
        <v>0.62771999999999994</v>
      </c>
      <c r="L19" s="337">
        <v>0.61842000000000008</v>
      </c>
      <c r="M19" s="337">
        <v>0.6947000000000001</v>
      </c>
      <c r="N19" s="337">
        <v>0.70034000000000007</v>
      </c>
      <c r="O19" s="337">
        <v>0.878</v>
      </c>
      <c r="P19" s="337">
        <v>0.41460000000000002</v>
      </c>
      <c r="Q19" s="337">
        <f t="shared" si="2"/>
        <v>8.654580000000001</v>
      </c>
      <c r="R19" s="406">
        <v>30.161339999999996</v>
      </c>
      <c r="S19" s="743">
        <f t="shared" si="3"/>
        <v>4.6433383612227933E-3</v>
      </c>
      <c r="T19" s="744"/>
      <c r="U19" s="743">
        <f t="shared" si="4"/>
        <v>-0.71305717849405892</v>
      </c>
      <c r="V19" s="744"/>
      <c r="W19" s="412"/>
      <c r="X19" s="413"/>
      <c r="Y19" s="413"/>
      <c r="Z19" s="413"/>
      <c r="AA19" s="404"/>
      <c r="AB19" s="404"/>
      <c r="AC19" s="404"/>
      <c r="AD19" s="404"/>
      <c r="AE19" s="404"/>
      <c r="AF19" s="404"/>
      <c r="AG19" s="404"/>
      <c r="AH19" s="404"/>
      <c r="AI19" s="404"/>
      <c r="AJ19" s="404"/>
      <c r="AK19" s="404"/>
      <c r="AL19" s="404"/>
      <c r="AM19" s="404"/>
      <c r="AN19" s="404"/>
      <c r="AO19" s="404"/>
      <c r="AP19" s="404"/>
      <c r="AQ19" s="404"/>
      <c r="AR19" s="404"/>
      <c r="AS19" s="404"/>
      <c r="AT19" s="404"/>
      <c r="AU19" s="176"/>
      <c r="AV19" s="176"/>
      <c r="AW19" s="176"/>
      <c r="AX19" s="176"/>
      <c r="AY19" s="176"/>
      <c r="AZ19" s="176"/>
    </row>
    <row r="20" spans="2:52" hidden="1" outlineLevel="1">
      <c r="B20" s="529" t="s">
        <v>25</v>
      </c>
      <c r="C20" s="724" t="s">
        <v>25</v>
      </c>
      <c r="D20" s="724"/>
      <c r="E20" s="530">
        <v>177.35910000000001</v>
      </c>
      <c r="F20" s="530">
        <v>150.15062000000003</v>
      </c>
      <c r="G20" s="530">
        <v>172.24418</v>
      </c>
      <c r="H20" s="530">
        <v>168.08052000000001</v>
      </c>
      <c r="I20" s="530">
        <v>143.89768000000001</v>
      </c>
      <c r="J20" s="530">
        <v>152.89738000000003</v>
      </c>
      <c r="K20" s="530">
        <v>139.27712000000002</v>
      </c>
      <c r="L20" s="530">
        <v>140.71781999999999</v>
      </c>
      <c r="M20" s="530">
        <v>150.12982</v>
      </c>
      <c r="N20" s="530">
        <v>155.02054000000001</v>
      </c>
      <c r="O20" s="530">
        <v>165.08667999999997</v>
      </c>
      <c r="P20" s="530">
        <v>149.00874000000002</v>
      </c>
      <c r="Q20" s="530">
        <f t="shared" si="2"/>
        <v>1863.8702000000001</v>
      </c>
      <c r="R20" s="531">
        <v>2020.2350600000002</v>
      </c>
      <c r="S20" s="790">
        <f t="shared" si="3"/>
        <v>1</v>
      </c>
      <c r="T20" s="791"/>
      <c r="U20" s="790">
        <f t="shared" si="4"/>
        <v>-7.7399339857016525E-2</v>
      </c>
      <c r="V20" s="791"/>
      <c r="W20" s="470"/>
      <c r="X20" s="413"/>
      <c r="Y20" s="413"/>
      <c r="Z20" s="413"/>
      <c r="AA20" s="404"/>
      <c r="AB20" s="404"/>
      <c r="AC20" s="404"/>
      <c r="AD20" s="404"/>
      <c r="AE20" s="404"/>
      <c r="AF20" s="404"/>
      <c r="AG20" s="404"/>
      <c r="AH20" s="404"/>
      <c r="AI20" s="404"/>
      <c r="AJ20" s="404"/>
      <c r="AK20" s="404"/>
      <c r="AL20" s="404"/>
      <c r="AM20" s="404"/>
      <c r="AN20" s="404"/>
      <c r="AO20" s="404"/>
      <c r="AP20" s="404"/>
      <c r="AQ20" s="404"/>
      <c r="AR20" s="404"/>
      <c r="AS20" s="404"/>
      <c r="AT20" s="404"/>
      <c r="AU20" s="176"/>
      <c r="AV20" s="176"/>
      <c r="AW20" s="176"/>
      <c r="AX20" s="176"/>
      <c r="AY20" s="176"/>
      <c r="AZ20" s="176"/>
    </row>
    <row r="21" spans="2:52" hidden="1" outlineLevel="1">
      <c r="B21" s="622"/>
      <c r="C21" s="623"/>
      <c r="D21" s="623"/>
      <c r="E21" s="624"/>
      <c r="F21" s="624"/>
      <c r="G21" s="624"/>
      <c r="H21" s="624"/>
      <c r="I21" s="624"/>
      <c r="J21" s="624"/>
      <c r="K21" s="624"/>
      <c r="L21" s="624"/>
      <c r="M21" s="624"/>
      <c r="N21" s="624"/>
      <c r="O21" s="624"/>
      <c r="P21" s="624"/>
      <c r="Q21" s="624"/>
      <c r="R21" s="625"/>
      <c r="S21" s="626"/>
      <c r="T21" s="626"/>
      <c r="U21" s="626"/>
      <c r="V21" s="627"/>
      <c r="W21" s="628"/>
      <c r="X21" s="463"/>
      <c r="Y21" s="463"/>
      <c r="Z21" s="463"/>
      <c r="AA21" s="404"/>
      <c r="AB21" s="404"/>
      <c r="AC21" s="404"/>
      <c r="AD21" s="404"/>
      <c r="AE21" s="404"/>
      <c r="AF21" s="404"/>
      <c r="AG21" s="404"/>
      <c r="AH21" s="404"/>
      <c r="AI21" s="404"/>
      <c r="AJ21" s="404"/>
      <c r="AK21" s="404"/>
      <c r="AL21" s="404"/>
      <c r="AM21" s="404"/>
      <c r="AN21" s="404"/>
      <c r="AO21" s="404"/>
      <c r="AP21" s="404"/>
      <c r="AQ21" s="404"/>
      <c r="AR21" s="404"/>
      <c r="AS21" s="404"/>
      <c r="AT21" s="404"/>
      <c r="AU21" s="176"/>
      <c r="AV21" s="176"/>
      <c r="AW21" s="176"/>
      <c r="AX21" s="176"/>
      <c r="AY21" s="176"/>
      <c r="AZ21" s="176"/>
    </row>
    <row r="22" spans="2:52" ht="21" hidden="1" customHeight="1" outlineLevel="1">
      <c r="B22" s="728" t="s">
        <v>53</v>
      </c>
      <c r="C22" s="729"/>
      <c r="D22" s="729"/>
      <c r="E22" s="729"/>
      <c r="F22" s="729"/>
      <c r="G22" s="729"/>
      <c r="H22" s="729"/>
      <c r="I22" s="729"/>
      <c r="J22" s="729"/>
      <c r="K22" s="729"/>
      <c r="L22" s="729"/>
      <c r="M22" s="729"/>
      <c r="N22" s="729"/>
      <c r="O22" s="729"/>
      <c r="P22" s="729"/>
      <c r="Q22" s="729"/>
      <c r="R22" s="729"/>
      <c r="S22" s="729"/>
      <c r="T22" s="729"/>
      <c r="U22" s="729"/>
      <c r="V22" s="730"/>
    </row>
    <row r="23" spans="2:52" hidden="1" outlineLevel="1">
      <c r="B23" s="724" t="s">
        <v>25</v>
      </c>
      <c r="C23" s="716" t="s">
        <v>27</v>
      </c>
      <c r="D23" s="716"/>
      <c r="E23" s="724" t="s">
        <v>28</v>
      </c>
      <c r="F23" s="724" t="s">
        <v>29</v>
      </c>
      <c r="G23" s="724" t="s">
        <v>30</v>
      </c>
      <c r="H23" s="724" t="s">
        <v>31</v>
      </c>
      <c r="I23" s="724" t="s">
        <v>32</v>
      </c>
      <c r="J23" s="724" t="s">
        <v>33</v>
      </c>
      <c r="K23" s="724" t="s">
        <v>34</v>
      </c>
      <c r="L23" s="724" t="s">
        <v>35</v>
      </c>
      <c r="M23" s="724" t="s">
        <v>36</v>
      </c>
      <c r="N23" s="724" t="s">
        <v>37</v>
      </c>
      <c r="O23" s="724" t="s">
        <v>38</v>
      </c>
      <c r="P23" s="724" t="s">
        <v>39</v>
      </c>
      <c r="Q23" s="724" t="s">
        <v>54</v>
      </c>
      <c r="R23" s="724" t="s">
        <v>50</v>
      </c>
      <c r="S23" s="724" t="s">
        <v>55</v>
      </c>
      <c r="T23" s="724" t="s">
        <v>51</v>
      </c>
      <c r="U23" s="724" t="s">
        <v>52</v>
      </c>
      <c r="V23" s="724" t="s">
        <v>56</v>
      </c>
    </row>
    <row r="24" spans="2:52" hidden="1" outlineLevel="1">
      <c r="B24" s="725"/>
      <c r="C24" s="716"/>
      <c r="D24" s="716"/>
      <c r="E24" s="725"/>
      <c r="F24" s="725"/>
      <c r="G24" s="725"/>
      <c r="H24" s="725"/>
      <c r="I24" s="725"/>
      <c r="J24" s="725"/>
      <c r="K24" s="725"/>
      <c r="L24" s="725"/>
      <c r="M24" s="725"/>
      <c r="N24" s="725"/>
      <c r="O24" s="725"/>
      <c r="P24" s="725"/>
      <c r="Q24" s="725"/>
      <c r="R24" s="725"/>
      <c r="S24" s="725"/>
      <c r="T24" s="725"/>
      <c r="U24" s="725"/>
      <c r="V24" s="725"/>
    </row>
    <row r="25" spans="2:52" ht="16.5" hidden="1" customHeight="1" outlineLevel="1">
      <c r="B25" s="198" t="s">
        <v>25</v>
      </c>
      <c r="C25" s="715" t="s">
        <v>44</v>
      </c>
      <c r="D25" s="715"/>
      <c r="E25" s="337">
        <v>6.4631800000000013</v>
      </c>
      <c r="F25" s="337">
        <v>5.0129599999999996</v>
      </c>
      <c r="G25" s="337">
        <v>5.3485799999999992</v>
      </c>
      <c r="H25" s="337">
        <v>6.3737199999999987</v>
      </c>
      <c r="I25" s="337">
        <v>5.0744600000000002</v>
      </c>
      <c r="J25" s="337">
        <v>5.524</v>
      </c>
      <c r="K25" s="337">
        <v>5.7279400000000003</v>
      </c>
      <c r="L25" s="337">
        <v>5.6540999999999997</v>
      </c>
      <c r="M25" s="337">
        <v>5.5967400000000005</v>
      </c>
      <c r="N25" s="337">
        <v>5.4680800000000005</v>
      </c>
      <c r="O25" s="337">
        <v>5.6340600000000007</v>
      </c>
      <c r="P25" s="337">
        <v>5.2787800000000002</v>
      </c>
      <c r="Q25" s="337">
        <f>SUM(E25:P25)</f>
        <v>67.156599999999997</v>
      </c>
      <c r="R25" s="337">
        <v>76.946259999999995</v>
      </c>
      <c r="S25" s="527">
        <f>IFERROR(Q25/$Q$30,0)</f>
        <v>4.1971011487089961E-2</v>
      </c>
      <c r="T25" s="527">
        <f t="shared" ref="T25:T30" si="5">IFERROR(R25/$Q$20,0)</f>
        <v>4.1283057157091727E-2</v>
      </c>
      <c r="U25" s="534">
        <f t="shared" ref="U25:U30" si="6">U15</f>
        <v>-0.27321137551739594</v>
      </c>
      <c r="V25" s="534">
        <f>Q25/R25-1</f>
        <v>-0.12722723625553733</v>
      </c>
      <c r="X25" s="413"/>
      <c r="Y25" s="413"/>
      <c r="Z25" s="413"/>
      <c r="AA25" s="176"/>
      <c r="AB25" s="176"/>
      <c r="AC25" s="176"/>
      <c r="AD25" s="176"/>
      <c r="AE25" s="176"/>
      <c r="AF25" s="176"/>
      <c r="AG25" s="176"/>
      <c r="AH25" s="176"/>
      <c r="AI25" s="176"/>
      <c r="AJ25" s="176"/>
      <c r="AK25" s="176"/>
      <c r="AL25" s="176"/>
      <c r="AM25" s="176"/>
      <c r="AN25" s="176"/>
      <c r="AO25" s="176"/>
      <c r="AP25" s="176"/>
      <c r="AQ25" s="176"/>
      <c r="AR25" s="176"/>
      <c r="AS25" s="176"/>
      <c r="AT25" s="176"/>
      <c r="AU25" s="176"/>
      <c r="AV25" s="176"/>
      <c r="AW25" s="176"/>
      <c r="AX25" s="176"/>
      <c r="AY25" s="176"/>
      <c r="AZ25" s="176"/>
    </row>
    <row r="26" spans="2:52" hidden="1" outlineLevel="1">
      <c r="B26" s="198" t="s">
        <v>25</v>
      </c>
      <c r="C26" s="715" t="s">
        <v>45</v>
      </c>
      <c r="D26" s="715"/>
      <c r="E26" s="337">
        <v>1.3714999999999999</v>
      </c>
      <c r="F26" s="337">
        <v>0.81548000000000009</v>
      </c>
      <c r="G26" s="337">
        <v>1.1324399999999999</v>
      </c>
      <c r="H26" s="337">
        <v>0.56279999999999997</v>
      </c>
      <c r="I26" s="337">
        <v>0.78564000000000001</v>
      </c>
      <c r="J26" s="337">
        <v>1.0529999999999999</v>
      </c>
      <c r="K26" s="337">
        <v>1.2272599999999998</v>
      </c>
      <c r="L26" s="337">
        <v>1.1573200000000001</v>
      </c>
      <c r="M26" s="337">
        <v>1.1995200000000001</v>
      </c>
      <c r="N26" s="337">
        <v>1.24952</v>
      </c>
      <c r="O26" s="337">
        <v>1.35558</v>
      </c>
      <c r="P26" s="337">
        <v>1.3745999999999998</v>
      </c>
      <c r="Q26" s="337">
        <f t="shared" ref="Q26:Q29" si="7">SUM(E26:P26)</f>
        <v>13.284659999999999</v>
      </c>
      <c r="R26" s="337">
        <v>38.903479999999995</v>
      </c>
      <c r="S26" s="527">
        <f t="shared" ref="S26:S29" si="8">IFERROR(Q26/$Q$30,0)</f>
        <v>8.3025438670523005E-3</v>
      </c>
      <c r="T26" s="527">
        <f t="shared" si="5"/>
        <v>2.0872419120172635E-2</v>
      </c>
      <c r="U26" s="534">
        <f t="shared" si="6"/>
        <v>-0.31379995936083638</v>
      </c>
      <c r="V26" s="534">
        <f t="shared" ref="V26:V29" si="9">Q26/R26-1</f>
        <v>-0.65852257947103965</v>
      </c>
      <c r="X26" s="413"/>
      <c r="Y26" s="413"/>
      <c r="Z26" s="413"/>
      <c r="AA26" s="404"/>
      <c r="AB26" s="404"/>
      <c r="AC26" s="404"/>
      <c r="AD26" s="404"/>
      <c r="AE26" s="404"/>
      <c r="AF26" s="404"/>
      <c r="AG26" s="404"/>
      <c r="AH26" s="404"/>
      <c r="AI26" s="404"/>
      <c r="AJ26" s="404"/>
      <c r="AK26" s="404"/>
      <c r="AL26" s="404"/>
      <c r="AM26" s="404"/>
      <c r="AN26" s="404"/>
      <c r="AO26" s="404"/>
      <c r="AP26" s="404"/>
      <c r="AQ26" s="404"/>
      <c r="AR26" s="404"/>
      <c r="AS26" s="404"/>
      <c r="AT26" s="404"/>
      <c r="AU26" s="176"/>
      <c r="AV26" s="176"/>
      <c r="AW26" s="176"/>
      <c r="AX26" s="176"/>
      <c r="AY26" s="176"/>
      <c r="AZ26" s="176"/>
    </row>
    <row r="27" spans="2:52" hidden="1" outlineLevel="1">
      <c r="B27" s="198" t="s">
        <v>25</v>
      </c>
      <c r="C27" s="715" t="s">
        <v>46</v>
      </c>
      <c r="D27" s="715"/>
      <c r="E27" s="337">
        <v>51.133800000000001</v>
      </c>
      <c r="F27" s="337">
        <v>38.21584</v>
      </c>
      <c r="G27" s="337">
        <v>42.497</v>
      </c>
      <c r="H27" s="337">
        <v>40.949820000000003</v>
      </c>
      <c r="I27" s="337">
        <v>39.003079999999997</v>
      </c>
      <c r="J27" s="337">
        <v>36.254239999999996</v>
      </c>
      <c r="K27" s="337">
        <v>37.836020000000005</v>
      </c>
      <c r="L27" s="337">
        <v>37.278599999999997</v>
      </c>
      <c r="M27" s="337">
        <v>36.543019999999999</v>
      </c>
      <c r="N27" s="337">
        <v>36.831280000000007</v>
      </c>
      <c r="O27" s="337">
        <v>38.64564</v>
      </c>
      <c r="P27" s="337">
        <v>33.921400000000006</v>
      </c>
      <c r="Q27" s="337">
        <f t="shared" si="7"/>
        <v>469.10973999999999</v>
      </c>
      <c r="R27" s="337">
        <v>575.74815999999998</v>
      </c>
      <c r="S27" s="527">
        <f t="shared" si="8"/>
        <v>0.29318057028267941</v>
      </c>
      <c r="T27" s="527">
        <f t="shared" si="5"/>
        <v>0.30889927850126042</v>
      </c>
      <c r="U27" s="534">
        <f t="shared" si="6"/>
        <v>-0.12562317866688066</v>
      </c>
      <c r="V27" s="534">
        <f t="shared" si="9"/>
        <v>-0.1852171268771402</v>
      </c>
      <c r="X27" s="413"/>
      <c r="Y27" s="413"/>
      <c r="Z27" s="413"/>
      <c r="AA27" s="404"/>
      <c r="AB27" s="404"/>
      <c r="AC27" s="404"/>
      <c r="AD27" s="404"/>
      <c r="AE27" s="404"/>
      <c r="AF27" s="404"/>
      <c r="AG27" s="404"/>
      <c r="AH27" s="404"/>
      <c r="AI27" s="404"/>
      <c r="AJ27" s="404"/>
      <c r="AK27" s="404"/>
      <c r="AL27" s="404"/>
      <c r="AM27" s="404"/>
      <c r="AN27" s="404"/>
      <c r="AO27" s="404"/>
      <c r="AP27" s="404"/>
      <c r="AQ27" s="404"/>
      <c r="AR27" s="404"/>
      <c r="AS27" s="404"/>
      <c r="AT27" s="404"/>
      <c r="AU27" s="176"/>
      <c r="AV27" s="176"/>
      <c r="AW27" s="176"/>
      <c r="AX27" s="176"/>
      <c r="AY27" s="176"/>
      <c r="AZ27" s="176"/>
    </row>
    <row r="28" spans="2:52" hidden="1" outlineLevel="1">
      <c r="B28" s="198" t="s">
        <v>25</v>
      </c>
      <c r="C28" s="715" t="s">
        <v>47</v>
      </c>
      <c r="D28" s="715"/>
      <c r="E28" s="337">
        <v>108.75830000000001</v>
      </c>
      <c r="F28" s="337">
        <v>86.242519999999999</v>
      </c>
      <c r="G28" s="337">
        <v>91.926059999999993</v>
      </c>
      <c r="H28" s="337">
        <v>90.602400000000003</v>
      </c>
      <c r="I28" s="337">
        <v>87.428100000000001</v>
      </c>
      <c r="J28" s="337">
        <v>81.436460000000011</v>
      </c>
      <c r="K28" s="337">
        <v>81.882720000000006</v>
      </c>
      <c r="L28" s="337">
        <v>82.56362</v>
      </c>
      <c r="M28" s="337">
        <v>83.263940000000005</v>
      </c>
      <c r="N28" s="337">
        <v>83.726400000000012</v>
      </c>
      <c r="O28" s="337">
        <v>88.406560000000013</v>
      </c>
      <c r="P28" s="337">
        <v>83.084760000000003</v>
      </c>
      <c r="Q28" s="337">
        <f t="shared" si="7"/>
        <v>1049.3218400000001</v>
      </c>
      <c r="R28" s="337">
        <v>1163.61772</v>
      </c>
      <c r="S28" s="527">
        <f t="shared" si="8"/>
        <v>0.65579703261175193</v>
      </c>
      <c r="T28" s="527">
        <f t="shared" si="5"/>
        <v>0.62430190686025233</v>
      </c>
      <c r="U28" s="534">
        <f t="shared" si="6"/>
        <v>-4.6392548012849089E-3</v>
      </c>
      <c r="V28" s="534">
        <f t="shared" si="9"/>
        <v>-9.8224595617192767E-2</v>
      </c>
      <c r="X28" s="413"/>
      <c r="Y28" s="413"/>
      <c r="Z28" s="413"/>
      <c r="AA28" s="404"/>
      <c r="AB28" s="404"/>
      <c r="AC28" s="404"/>
      <c r="AD28" s="404"/>
      <c r="AE28" s="404"/>
      <c r="AF28" s="404"/>
      <c r="AG28" s="404"/>
      <c r="AH28" s="404"/>
      <c r="AI28" s="404"/>
      <c r="AJ28" s="404"/>
      <c r="AK28" s="404"/>
      <c r="AL28" s="404"/>
      <c r="AM28" s="404"/>
      <c r="AN28" s="404"/>
      <c r="AO28" s="404"/>
      <c r="AP28" s="404"/>
      <c r="AQ28" s="404"/>
      <c r="AR28" s="404"/>
      <c r="AS28" s="404"/>
      <c r="AT28" s="404"/>
      <c r="AU28" s="176"/>
      <c r="AV28" s="176"/>
      <c r="AW28" s="176"/>
      <c r="AX28" s="176"/>
      <c r="AY28" s="176"/>
      <c r="AZ28" s="176"/>
    </row>
    <row r="29" spans="2:52" hidden="1" outlineLevel="1">
      <c r="B29" s="198" t="s">
        <v>25</v>
      </c>
      <c r="C29" s="715" t="s">
        <v>48</v>
      </c>
      <c r="D29" s="715"/>
      <c r="E29" s="337">
        <v>0.64219999999999988</v>
      </c>
      <c r="F29" s="337">
        <v>0.42459999999999998</v>
      </c>
      <c r="G29" s="337">
        <v>0.13139999999999999</v>
      </c>
      <c r="H29" s="337">
        <v>0</v>
      </c>
      <c r="I29" s="337">
        <v>0</v>
      </c>
      <c r="J29" s="337">
        <v>0</v>
      </c>
      <c r="K29" s="337">
        <v>0</v>
      </c>
      <c r="L29" s="337">
        <v>0</v>
      </c>
      <c r="M29" s="337">
        <v>0</v>
      </c>
      <c r="N29" s="337">
        <v>0</v>
      </c>
      <c r="O29" s="337">
        <v>0</v>
      </c>
      <c r="P29" s="337">
        <v>0</v>
      </c>
      <c r="Q29" s="337">
        <f t="shared" si="7"/>
        <v>1.1981999999999997</v>
      </c>
      <c r="R29" s="337">
        <v>8.654580000000001</v>
      </c>
      <c r="S29" s="527">
        <f t="shared" si="8"/>
        <v>7.4884175142623632E-4</v>
      </c>
      <c r="T29" s="527">
        <f t="shared" si="5"/>
        <v>4.6433383612227933E-3</v>
      </c>
      <c r="U29" s="534">
        <f t="shared" si="6"/>
        <v>-0.71305717849405892</v>
      </c>
      <c r="V29" s="534">
        <f t="shared" si="9"/>
        <v>-0.86155307363268929</v>
      </c>
      <c r="X29" s="413"/>
      <c r="Y29" s="413"/>
      <c r="Z29" s="413"/>
      <c r="AA29" s="404"/>
      <c r="AB29" s="404"/>
      <c r="AC29" s="404"/>
      <c r="AD29" s="404"/>
      <c r="AE29" s="404"/>
      <c r="AF29" s="404"/>
      <c r="AG29" s="404"/>
      <c r="AH29" s="404"/>
      <c r="AI29" s="404"/>
      <c r="AJ29" s="404"/>
      <c r="AK29" s="404"/>
      <c r="AL29" s="404"/>
      <c r="AM29" s="404"/>
      <c r="AN29" s="404"/>
      <c r="AO29" s="404"/>
      <c r="AP29" s="404"/>
      <c r="AQ29" s="404"/>
      <c r="AR29" s="404"/>
      <c r="AS29" s="404"/>
      <c r="AT29" s="404"/>
      <c r="AU29" s="176"/>
      <c r="AV29" s="176"/>
      <c r="AW29" s="176"/>
      <c r="AX29" s="176"/>
      <c r="AY29" s="176"/>
      <c r="AZ29" s="176"/>
    </row>
    <row r="30" spans="2:52" hidden="1" outlineLevel="1">
      <c r="B30" s="24" t="s">
        <v>25</v>
      </c>
      <c r="C30" s="716" t="s">
        <v>25</v>
      </c>
      <c r="D30" s="716"/>
      <c r="E30" s="338">
        <v>168.36898000000002</v>
      </c>
      <c r="F30" s="338">
        <v>130.7114</v>
      </c>
      <c r="G30" s="338">
        <v>141.03548000000001</v>
      </c>
      <c r="H30" s="338">
        <v>138.48874000000001</v>
      </c>
      <c r="I30" s="338">
        <v>132.29128</v>
      </c>
      <c r="J30" s="338">
        <v>124.2677</v>
      </c>
      <c r="K30" s="338">
        <v>126.67394000000002</v>
      </c>
      <c r="L30" s="338">
        <v>126.65364</v>
      </c>
      <c r="M30" s="338">
        <v>126.60322000000001</v>
      </c>
      <c r="N30" s="338">
        <v>127.27528000000002</v>
      </c>
      <c r="O30" s="338">
        <v>134.04184000000001</v>
      </c>
      <c r="P30" s="338">
        <v>123.65954000000001</v>
      </c>
      <c r="Q30" s="338">
        <f>SUM(E30:P30)</f>
        <v>1600.0710400000003</v>
      </c>
      <c r="R30" s="338">
        <v>1863.8702000000001</v>
      </c>
      <c r="S30" s="528">
        <f>IFERROR(Q30/$Q$30,0)</f>
        <v>1</v>
      </c>
      <c r="T30" s="528">
        <f t="shared" si="5"/>
        <v>1</v>
      </c>
      <c r="U30" s="334">
        <f t="shared" si="6"/>
        <v>-7.7399339857016525E-2</v>
      </c>
      <c r="V30" s="334">
        <f>Q30/R30-1</f>
        <v>-0.14153301018493658</v>
      </c>
      <c r="W30" s="397"/>
      <c r="X30" s="413"/>
      <c r="Y30" s="413"/>
      <c r="Z30" s="413"/>
      <c r="AA30" s="404"/>
      <c r="AB30" s="404"/>
      <c r="AC30" s="404"/>
      <c r="AD30" s="404"/>
      <c r="AE30" s="404"/>
      <c r="AF30" s="404"/>
      <c r="AG30" s="404"/>
      <c r="AH30" s="404"/>
      <c r="AI30" s="404"/>
      <c r="AJ30" s="404"/>
      <c r="AK30" s="404"/>
      <c r="AL30" s="404"/>
      <c r="AM30" s="404"/>
      <c r="AN30" s="404"/>
      <c r="AO30" s="404"/>
      <c r="AP30" s="404"/>
      <c r="AQ30" s="404"/>
      <c r="AR30" s="404"/>
      <c r="AS30" s="404"/>
      <c r="AT30" s="404"/>
      <c r="AU30" s="176"/>
      <c r="AV30" s="176"/>
      <c r="AW30" s="176"/>
      <c r="AX30" s="176"/>
      <c r="AY30" s="176"/>
      <c r="AZ30" s="176"/>
    </row>
    <row r="31" spans="2:52" hidden="1" outlineLevel="1">
      <c r="B31" s="36"/>
      <c r="C31" s="36"/>
      <c r="D31" s="36"/>
      <c r="E31" s="532"/>
      <c r="F31" s="532"/>
      <c r="G31" s="532"/>
      <c r="H31" s="532"/>
      <c r="I31" s="532"/>
      <c r="J31" s="532"/>
      <c r="K31" s="532"/>
      <c r="L31" s="532"/>
      <c r="M31" s="532"/>
      <c r="N31" s="532"/>
      <c r="O31" s="532"/>
      <c r="P31" s="532"/>
      <c r="Q31" s="532"/>
      <c r="R31" s="533"/>
      <c r="S31" s="145"/>
      <c r="T31" s="145"/>
      <c r="U31" s="145"/>
      <c r="V31" s="145"/>
      <c r="W31" s="412"/>
      <c r="X31" s="463"/>
      <c r="Y31" s="463"/>
      <c r="Z31" s="463"/>
      <c r="AA31" s="404"/>
      <c r="AB31" s="404"/>
      <c r="AC31" s="404"/>
      <c r="AD31" s="404"/>
      <c r="AE31" s="404"/>
      <c r="AF31" s="404"/>
      <c r="AG31" s="404"/>
      <c r="AH31" s="404"/>
      <c r="AI31" s="404"/>
      <c r="AJ31" s="404"/>
      <c r="AK31" s="404"/>
      <c r="AL31" s="404"/>
      <c r="AM31" s="404"/>
      <c r="AN31" s="404"/>
      <c r="AO31" s="404"/>
      <c r="AP31" s="404"/>
      <c r="AQ31" s="404"/>
      <c r="AR31" s="404"/>
      <c r="AS31" s="404"/>
      <c r="AT31" s="404"/>
      <c r="AU31" s="176"/>
      <c r="AV31" s="176"/>
      <c r="AW31" s="176"/>
      <c r="AX31" s="176"/>
      <c r="AY31" s="176"/>
      <c r="AZ31" s="176"/>
    </row>
    <row r="32" spans="2:52" ht="21" hidden="1" customHeight="1" outlineLevel="1">
      <c r="B32" s="728" t="s">
        <v>57</v>
      </c>
      <c r="C32" s="729"/>
      <c r="D32" s="729"/>
      <c r="E32" s="729"/>
      <c r="F32" s="729"/>
      <c r="G32" s="729"/>
      <c r="H32" s="729"/>
      <c r="I32" s="729"/>
      <c r="J32" s="729"/>
      <c r="K32" s="729"/>
      <c r="L32" s="729"/>
      <c r="M32" s="729"/>
      <c r="N32" s="729"/>
      <c r="O32" s="729"/>
      <c r="P32" s="729"/>
      <c r="Q32" s="729"/>
      <c r="R32" s="729"/>
      <c r="S32" s="729"/>
      <c r="T32" s="729"/>
      <c r="U32" s="729"/>
      <c r="V32" s="730"/>
      <c r="AC32" s="176"/>
      <c r="AD32" s="176"/>
      <c r="AE32" s="176"/>
      <c r="AF32" s="176"/>
      <c r="AG32" s="176"/>
      <c r="AH32" s="176"/>
      <c r="AI32" s="176"/>
      <c r="AJ32" s="176"/>
      <c r="AK32" s="176"/>
      <c r="AL32" s="176"/>
      <c r="AM32" s="176"/>
      <c r="AN32" s="176"/>
      <c r="AO32" s="176"/>
      <c r="AP32" s="176"/>
      <c r="AQ32" s="176"/>
      <c r="AR32" s="176"/>
      <c r="AS32" s="176"/>
      <c r="AT32" s="176"/>
      <c r="AU32" s="176"/>
      <c r="AV32" s="176"/>
      <c r="AW32" s="176"/>
    </row>
    <row r="33" spans="2:52" hidden="1" outlineLevel="1">
      <c r="B33" s="724" t="s">
        <v>25</v>
      </c>
      <c r="C33" s="716" t="s">
        <v>27</v>
      </c>
      <c r="D33" s="716"/>
      <c r="E33" s="724" t="s">
        <v>28</v>
      </c>
      <c r="F33" s="724" t="s">
        <v>29</v>
      </c>
      <c r="G33" s="724" t="s">
        <v>30</v>
      </c>
      <c r="H33" s="724" t="s">
        <v>31</v>
      </c>
      <c r="I33" s="724" t="s">
        <v>32</v>
      </c>
      <c r="J33" s="724" t="s">
        <v>33</v>
      </c>
      <c r="K33" s="724" t="s">
        <v>34</v>
      </c>
      <c r="L33" s="724" t="s">
        <v>35</v>
      </c>
      <c r="M33" s="724" t="s">
        <v>36</v>
      </c>
      <c r="N33" s="724" t="s">
        <v>37</v>
      </c>
      <c r="O33" s="724" t="s">
        <v>38</v>
      </c>
      <c r="P33" s="724" t="s">
        <v>39</v>
      </c>
      <c r="Q33" s="724" t="s">
        <v>58</v>
      </c>
      <c r="R33" s="724" t="s">
        <v>54</v>
      </c>
      <c r="S33" s="724" t="s">
        <v>59</v>
      </c>
      <c r="T33" s="724" t="s">
        <v>55</v>
      </c>
      <c r="U33" s="724" t="s">
        <v>56</v>
      </c>
      <c r="V33" s="724" t="s">
        <v>60</v>
      </c>
      <c r="AC33" s="176"/>
      <c r="AD33" s="176"/>
      <c r="AE33" s="176"/>
      <c r="AF33" s="176"/>
      <c r="AG33" s="176"/>
      <c r="AH33" s="176"/>
      <c r="AI33" s="176"/>
      <c r="AJ33" s="176"/>
      <c r="AK33" s="176"/>
      <c r="AL33" s="176"/>
      <c r="AM33" s="176"/>
      <c r="AN33" s="176"/>
      <c r="AO33" s="176"/>
      <c r="AP33" s="176"/>
      <c r="AQ33" s="176"/>
      <c r="AR33" s="176"/>
      <c r="AS33" s="176"/>
      <c r="AT33" s="176"/>
      <c r="AU33" s="176"/>
      <c r="AV33" s="176"/>
      <c r="AW33" s="176"/>
    </row>
    <row r="34" spans="2:52" hidden="1" outlineLevel="1">
      <c r="B34" s="725"/>
      <c r="C34" s="716"/>
      <c r="D34" s="716"/>
      <c r="E34" s="725"/>
      <c r="F34" s="725"/>
      <c r="G34" s="725"/>
      <c r="H34" s="725"/>
      <c r="I34" s="725"/>
      <c r="J34" s="725"/>
      <c r="K34" s="725"/>
      <c r="L34" s="725"/>
      <c r="M34" s="725"/>
      <c r="N34" s="725"/>
      <c r="O34" s="725"/>
      <c r="P34" s="725"/>
      <c r="Q34" s="725"/>
      <c r="R34" s="725"/>
      <c r="S34" s="725"/>
      <c r="T34" s="725"/>
      <c r="U34" s="725"/>
      <c r="V34" s="725"/>
      <c r="AC34" s="176"/>
      <c r="AD34" s="176"/>
      <c r="AE34" s="176"/>
      <c r="AF34" s="176"/>
      <c r="AG34" s="176"/>
      <c r="AH34" s="176"/>
      <c r="AI34" s="176"/>
      <c r="AJ34" s="176"/>
      <c r="AK34" s="176"/>
      <c r="AL34" s="176"/>
      <c r="AM34" s="176"/>
      <c r="AN34" s="176"/>
      <c r="AO34" s="176"/>
      <c r="AP34" s="176"/>
      <c r="AQ34" s="176"/>
      <c r="AR34" s="176"/>
      <c r="AS34" s="176"/>
      <c r="AT34" s="176"/>
      <c r="AU34" s="176"/>
      <c r="AV34" s="176"/>
      <c r="AW34" s="176"/>
    </row>
    <row r="35" spans="2:52" ht="16.5" hidden="1" customHeight="1" outlineLevel="1">
      <c r="B35" s="198" t="s">
        <v>25</v>
      </c>
      <c r="C35" s="715" t="s">
        <v>44</v>
      </c>
      <c r="D35" s="715"/>
      <c r="E35" s="337">
        <v>6.0561999999999996</v>
      </c>
      <c r="F35" s="337">
        <v>5.7192600000000002</v>
      </c>
      <c r="G35" s="337">
        <v>6.5849799999999998</v>
      </c>
      <c r="H35" s="337">
        <v>5.2084399999999995</v>
      </c>
      <c r="I35" s="337">
        <v>5.1869999999999994</v>
      </c>
      <c r="J35" s="337">
        <v>5.2748999999999988</v>
      </c>
      <c r="K35" s="337">
        <v>5.6015999999999995</v>
      </c>
      <c r="L35" s="337">
        <v>5.5547399999999989</v>
      </c>
      <c r="M35" s="337">
        <v>5.1884799999999984</v>
      </c>
      <c r="N35" s="337">
        <v>5.2575999999999983</v>
      </c>
      <c r="O35" s="337">
        <v>5.6593199999999984</v>
      </c>
      <c r="P35" s="337">
        <v>5.785499999999999</v>
      </c>
      <c r="Q35" s="337">
        <f>SUM(E35:P35)</f>
        <v>67.078019999999981</v>
      </c>
      <c r="R35" s="337">
        <f>Q25</f>
        <v>67.156599999999997</v>
      </c>
      <c r="S35" s="527">
        <f>IFERROR(Q35/$Q$40,0)</f>
        <v>4.239586215295247E-2</v>
      </c>
      <c r="T35" s="527">
        <f>S25</f>
        <v>4.1971011487089961E-2</v>
      </c>
      <c r="U35" s="534">
        <f>V25</f>
        <v>-0.12722723625553733</v>
      </c>
      <c r="V35" s="534">
        <f>Q35/R35-1</f>
        <v>-1.1701009282782948E-3</v>
      </c>
      <c r="X35" s="413"/>
      <c r="Y35" s="413"/>
      <c r="Z35" s="413"/>
      <c r="AA35" s="176"/>
      <c r="AB35" s="176"/>
      <c r="AC35" s="176"/>
      <c r="AD35" s="176"/>
      <c r="AE35" s="176"/>
      <c r="AF35" s="176"/>
      <c r="AG35" s="176"/>
      <c r="AH35" s="176"/>
      <c r="AI35" s="176"/>
      <c r="AJ35" s="176"/>
      <c r="AK35" s="176"/>
      <c r="AL35" s="176"/>
      <c r="AM35" s="176"/>
      <c r="AN35" s="176"/>
      <c r="AO35" s="176"/>
      <c r="AP35" s="176"/>
      <c r="AQ35" s="176"/>
      <c r="AR35" s="176"/>
      <c r="AS35" s="176"/>
      <c r="AT35" s="176"/>
      <c r="AU35" s="176"/>
      <c r="AV35" s="176"/>
      <c r="AW35" s="176"/>
      <c r="AX35" s="176"/>
      <c r="AY35" s="176"/>
      <c r="AZ35" s="176"/>
    </row>
    <row r="36" spans="2:52" hidden="1" outlineLevel="1">
      <c r="B36" s="198" t="s">
        <v>25</v>
      </c>
      <c r="C36" s="715" t="s">
        <v>45</v>
      </c>
      <c r="D36" s="715"/>
      <c r="E36" s="337">
        <v>1.7478999999999996</v>
      </c>
      <c r="F36" s="337">
        <v>1.6745799999999995</v>
      </c>
      <c r="G36" s="337">
        <v>1.7588399999999995</v>
      </c>
      <c r="H36" s="337">
        <v>1.2939799999999995</v>
      </c>
      <c r="I36" s="337">
        <v>1.3067199999999997</v>
      </c>
      <c r="J36" s="337">
        <v>1.0835399999999997</v>
      </c>
      <c r="K36" s="337">
        <v>1.2597799999999995</v>
      </c>
      <c r="L36" s="337">
        <v>1.4221599999999996</v>
      </c>
      <c r="M36" s="337">
        <v>1.1911799999999997</v>
      </c>
      <c r="N36" s="337">
        <v>1.3539799999999997</v>
      </c>
      <c r="O36" s="337">
        <v>1.5945999999999998</v>
      </c>
      <c r="P36" s="337">
        <v>1.5113600000000003</v>
      </c>
      <c r="Q36" s="337">
        <f t="shared" ref="Q36:Q39" si="10">SUM(E36:P36)</f>
        <v>17.198619999999995</v>
      </c>
      <c r="R36" s="337">
        <f t="shared" ref="R36:R38" si="11">Q26</f>
        <v>13.284659999999999</v>
      </c>
      <c r="S36" s="527">
        <f t="shared" ref="S36:S39" si="12">IFERROR(Q36/$Q$40,0)</f>
        <v>1.087018255370405E-2</v>
      </c>
      <c r="T36" s="527">
        <f t="shared" ref="T36:T38" si="13">S26</f>
        <v>8.3025438670523005E-3</v>
      </c>
      <c r="U36" s="534">
        <f t="shared" ref="U36:U38" si="14">V26</f>
        <v>-0.65852257947103965</v>
      </c>
      <c r="V36" s="534">
        <f>Q36/R36-1</f>
        <v>0.29462251950746166</v>
      </c>
      <c r="X36" s="413"/>
      <c r="Y36" s="413"/>
      <c r="Z36" s="413"/>
      <c r="AA36" s="404"/>
      <c r="AB36" s="404"/>
      <c r="AC36" s="176"/>
      <c r="AD36" s="176"/>
      <c r="AE36" s="176"/>
      <c r="AF36" s="176"/>
      <c r="AG36" s="176"/>
      <c r="AH36" s="176"/>
      <c r="AI36" s="176"/>
      <c r="AJ36" s="176"/>
      <c r="AK36" s="176"/>
      <c r="AL36" s="176"/>
      <c r="AM36" s="176"/>
      <c r="AN36" s="176"/>
      <c r="AO36" s="176"/>
      <c r="AP36" s="176"/>
      <c r="AQ36" s="176"/>
      <c r="AR36" s="176"/>
      <c r="AS36" s="176"/>
      <c r="AT36" s="176"/>
      <c r="AU36" s="176"/>
      <c r="AV36" s="176"/>
      <c r="AW36" s="176"/>
      <c r="AX36" s="176"/>
      <c r="AY36" s="176"/>
      <c r="AZ36" s="176"/>
    </row>
    <row r="37" spans="2:52" hidden="1" outlineLevel="1">
      <c r="B37" s="198" t="s">
        <v>25</v>
      </c>
      <c r="C37" s="715" t="s">
        <v>46</v>
      </c>
      <c r="D37" s="715"/>
      <c r="E37" s="337">
        <v>40.458399999999997</v>
      </c>
      <c r="F37" s="337">
        <v>36.41724</v>
      </c>
      <c r="G37" s="337">
        <v>40.34485999999999</v>
      </c>
      <c r="H37" s="337">
        <v>38.632619999999989</v>
      </c>
      <c r="I37" s="337">
        <v>36.161280000000005</v>
      </c>
      <c r="J37" s="337">
        <v>35.782739999999997</v>
      </c>
      <c r="K37" s="337">
        <v>34.692900000000009</v>
      </c>
      <c r="L37" s="337">
        <v>35.812939999999998</v>
      </c>
      <c r="M37" s="337">
        <v>31.836979999999997</v>
      </c>
      <c r="N37" s="337">
        <v>33.114800000000002</v>
      </c>
      <c r="O37" s="337">
        <v>34.652739999999994</v>
      </c>
      <c r="P37" s="337">
        <v>33.093980000000002</v>
      </c>
      <c r="Q37" s="337">
        <f t="shared" si="10"/>
        <v>431.00148000000002</v>
      </c>
      <c r="R37" s="337">
        <f t="shared" si="11"/>
        <v>469.10973999999999</v>
      </c>
      <c r="S37" s="527">
        <f t="shared" si="12"/>
        <v>0.27240934264008548</v>
      </c>
      <c r="T37" s="527">
        <f t="shared" si="13"/>
        <v>0.29318057028267941</v>
      </c>
      <c r="U37" s="534">
        <f t="shared" si="14"/>
        <v>-0.1852171268771402</v>
      </c>
      <c r="V37" s="534">
        <f>Q37/R37-1</f>
        <v>-8.1235277698561426E-2</v>
      </c>
      <c r="X37" s="413"/>
      <c r="Y37" s="413"/>
      <c r="Z37" s="413"/>
      <c r="AA37" s="404"/>
      <c r="AB37" s="404"/>
      <c r="AC37" s="176"/>
      <c r="AD37" s="176"/>
      <c r="AE37" s="176"/>
      <c r="AF37" s="176"/>
      <c r="AG37" s="176"/>
      <c r="AH37" s="176"/>
      <c r="AI37" s="176"/>
      <c r="AJ37" s="176"/>
      <c r="AK37" s="176"/>
      <c r="AL37" s="176"/>
      <c r="AM37" s="176"/>
      <c r="AN37" s="176"/>
      <c r="AO37" s="176"/>
      <c r="AP37" s="176"/>
      <c r="AQ37" s="176"/>
      <c r="AR37" s="176"/>
      <c r="AS37" s="176"/>
      <c r="AT37" s="176"/>
      <c r="AU37" s="176"/>
      <c r="AV37" s="176"/>
      <c r="AW37" s="176"/>
      <c r="AX37" s="176"/>
      <c r="AY37" s="176"/>
      <c r="AZ37" s="176"/>
    </row>
    <row r="38" spans="2:52" hidden="1" outlineLevel="1">
      <c r="B38" s="198" t="s">
        <v>25</v>
      </c>
      <c r="C38" s="715" t="s">
        <v>47</v>
      </c>
      <c r="D38" s="715"/>
      <c r="E38" s="337">
        <v>94.903000000000006</v>
      </c>
      <c r="F38" s="337">
        <v>87.132999999999996</v>
      </c>
      <c r="G38" s="337">
        <v>90.740440000000021</v>
      </c>
      <c r="H38" s="337">
        <v>84.271919999999994</v>
      </c>
      <c r="I38" s="337">
        <v>78.125699999999995</v>
      </c>
      <c r="J38" s="337">
        <v>75.75712</v>
      </c>
      <c r="K38" s="337">
        <v>75.12612</v>
      </c>
      <c r="L38" s="337">
        <v>74.427939999999992</v>
      </c>
      <c r="M38" s="337">
        <v>68.076600000000013</v>
      </c>
      <c r="N38" s="337">
        <v>66.688019999999995</v>
      </c>
      <c r="O38" s="337">
        <v>75.652739999999994</v>
      </c>
      <c r="P38" s="337">
        <v>75.933899999999994</v>
      </c>
      <c r="Q38" s="337">
        <f t="shared" si="10"/>
        <v>946.83649999999989</v>
      </c>
      <c r="R38" s="337">
        <f t="shared" si="11"/>
        <v>1049.3218400000001</v>
      </c>
      <c r="S38" s="527">
        <f t="shared" si="12"/>
        <v>0.59843671198678772</v>
      </c>
      <c r="T38" s="527">
        <f t="shared" si="13"/>
        <v>0.65579703261175193</v>
      </c>
      <c r="U38" s="534">
        <f t="shared" si="14"/>
        <v>-9.8224595617192767E-2</v>
      </c>
      <c r="V38" s="534">
        <f>Q38/R38-1</f>
        <v>-9.7668166327311123E-2</v>
      </c>
      <c r="X38" s="413"/>
      <c r="Y38" s="413"/>
      <c r="Z38" s="413"/>
      <c r="AA38" s="404"/>
      <c r="AB38" s="404"/>
      <c r="AC38" s="176"/>
      <c r="AD38" s="176"/>
      <c r="AE38" s="176"/>
      <c r="AF38" s="176"/>
      <c r="AG38" s="176"/>
      <c r="AH38" s="176"/>
      <c r="AI38" s="176"/>
      <c r="AJ38" s="176"/>
      <c r="AK38" s="176"/>
      <c r="AL38" s="176"/>
      <c r="AM38" s="176"/>
      <c r="AN38" s="176"/>
      <c r="AO38" s="176"/>
      <c r="AP38" s="176"/>
      <c r="AQ38" s="176"/>
      <c r="AR38" s="176"/>
      <c r="AS38" s="176"/>
      <c r="AT38" s="176"/>
      <c r="AU38" s="176"/>
      <c r="AV38" s="176"/>
      <c r="AW38" s="176"/>
      <c r="AX38" s="176"/>
      <c r="AY38" s="176"/>
      <c r="AZ38" s="176"/>
    </row>
    <row r="39" spans="2:52" hidden="1" outlineLevel="1">
      <c r="B39" s="198" t="s">
        <v>25</v>
      </c>
      <c r="C39" s="715" t="s">
        <v>61</v>
      </c>
      <c r="D39" s="715"/>
      <c r="E39" s="337">
        <v>0</v>
      </c>
      <c r="F39" s="337">
        <v>3.7449999999999992</v>
      </c>
      <c r="G39" s="337">
        <v>9.0814000000000004</v>
      </c>
      <c r="H39" s="337">
        <v>9.9955599999999993</v>
      </c>
      <c r="I39" s="337">
        <v>9.7561999999999962</v>
      </c>
      <c r="J39" s="337">
        <v>9.5313399999999984</v>
      </c>
      <c r="K39" s="337">
        <v>10.351799999999999</v>
      </c>
      <c r="L39" s="337">
        <v>11.232760000000001</v>
      </c>
      <c r="M39" s="337">
        <v>14.18834</v>
      </c>
      <c r="N39" s="337">
        <v>12.6356</v>
      </c>
      <c r="O39" s="337">
        <v>14.763579999999997</v>
      </c>
      <c r="P39" s="337">
        <v>14.786980000000003</v>
      </c>
      <c r="Q39" s="337">
        <f t="shared" si="10"/>
        <v>120.06855999999999</v>
      </c>
      <c r="R39" s="337"/>
      <c r="S39" s="527">
        <f t="shared" si="12"/>
        <v>7.5887900666470234E-2</v>
      </c>
      <c r="T39" s="527"/>
      <c r="U39" s="534"/>
      <c r="V39" s="534"/>
      <c r="X39" s="413"/>
      <c r="Y39" s="413"/>
      <c r="Z39" s="413"/>
      <c r="AA39" s="404"/>
      <c r="AB39" s="404"/>
      <c r="AC39" s="176"/>
      <c r="AD39" s="176"/>
      <c r="AE39" s="176"/>
      <c r="AF39" s="176"/>
      <c r="AG39" s="176"/>
      <c r="AH39" s="176"/>
      <c r="AI39" s="176"/>
      <c r="AJ39" s="176"/>
      <c r="AK39" s="176"/>
      <c r="AL39" s="176"/>
      <c r="AM39" s="176"/>
      <c r="AN39" s="176"/>
      <c r="AO39" s="176"/>
      <c r="AP39" s="176"/>
      <c r="AQ39" s="176"/>
      <c r="AR39" s="176"/>
      <c r="AS39" s="176"/>
      <c r="AT39" s="176"/>
      <c r="AU39" s="176"/>
      <c r="AV39" s="176"/>
      <c r="AW39" s="176"/>
      <c r="AX39" s="176"/>
      <c r="AY39" s="176"/>
      <c r="AZ39" s="176"/>
    </row>
    <row r="40" spans="2:52" hidden="1" outlineLevel="1">
      <c r="B40" s="24" t="s">
        <v>25</v>
      </c>
      <c r="C40" s="716" t="s">
        <v>25</v>
      </c>
      <c r="D40" s="716"/>
      <c r="E40" s="338">
        <v>143.16549999999998</v>
      </c>
      <c r="F40" s="338">
        <v>134.68907999999999</v>
      </c>
      <c r="G40" s="338">
        <v>148.51052000000001</v>
      </c>
      <c r="H40" s="338">
        <v>139.40251999999998</v>
      </c>
      <c r="I40" s="338">
        <v>130.5369</v>
      </c>
      <c r="J40" s="338">
        <v>127.42964000000001</v>
      </c>
      <c r="K40" s="338">
        <v>127.03220000000002</v>
      </c>
      <c r="L40" s="338">
        <v>128.45053999999999</v>
      </c>
      <c r="M40" s="338">
        <v>120.48158000000001</v>
      </c>
      <c r="N40" s="338">
        <v>119.04999999999998</v>
      </c>
      <c r="O40" s="338">
        <v>132.32297999999997</v>
      </c>
      <c r="P40" s="338">
        <v>131.11171999999999</v>
      </c>
      <c r="Q40" s="338">
        <f>SUM(E40:P40)</f>
        <v>1582.18318</v>
      </c>
      <c r="R40" s="338">
        <f>Q30</f>
        <v>1600.0710400000003</v>
      </c>
      <c r="S40" s="528">
        <f>IFERROR(Q40/$Q$40,0)</f>
        <v>1</v>
      </c>
      <c r="T40" s="528">
        <f>S30</f>
        <v>1</v>
      </c>
      <c r="U40" s="334">
        <f>V30</f>
        <v>-0.14153301018493658</v>
      </c>
      <c r="V40" s="334">
        <f>Q40/R40-1</f>
        <v>-1.1179416133923814E-2</v>
      </c>
      <c r="W40" s="397"/>
      <c r="X40" s="413"/>
      <c r="Y40" s="413"/>
      <c r="Z40" s="413"/>
      <c r="AA40" s="404"/>
      <c r="AB40" s="404"/>
      <c r="AC40" s="176"/>
      <c r="AD40" s="176"/>
      <c r="AE40" s="176"/>
      <c r="AF40" s="176"/>
      <c r="AG40" s="176"/>
      <c r="AH40" s="176"/>
      <c r="AI40" s="176"/>
      <c r="AJ40" s="176"/>
      <c r="AK40" s="176"/>
      <c r="AL40" s="176"/>
      <c r="AM40" s="176"/>
      <c r="AN40" s="176"/>
      <c r="AO40" s="176"/>
      <c r="AP40" s="176"/>
      <c r="AQ40" s="176"/>
      <c r="AR40" s="176"/>
      <c r="AS40" s="176"/>
      <c r="AT40" s="176"/>
      <c r="AU40" s="176"/>
      <c r="AV40" s="176"/>
      <c r="AW40" s="176"/>
      <c r="AX40" s="176"/>
      <c r="AY40" s="176"/>
      <c r="AZ40" s="176"/>
    </row>
    <row r="41" spans="2:52" collapsed="1">
      <c r="B41" s="36"/>
      <c r="C41" s="36"/>
      <c r="D41" s="36"/>
      <c r="E41" s="532"/>
      <c r="F41" s="532"/>
      <c r="G41" s="532"/>
      <c r="H41" s="532"/>
      <c r="I41" s="532"/>
      <c r="J41" s="532"/>
      <c r="K41" s="532"/>
      <c r="L41" s="532"/>
      <c r="M41" s="532"/>
      <c r="N41" s="532"/>
      <c r="O41" s="532"/>
      <c r="P41" s="532"/>
      <c r="Q41" s="532"/>
      <c r="R41" s="533"/>
      <c r="S41" s="145"/>
      <c r="T41" s="145"/>
      <c r="U41" s="145"/>
      <c r="V41" s="145"/>
      <c r="W41" s="412"/>
      <c r="X41" s="463"/>
      <c r="Y41" s="463"/>
      <c r="Z41" s="463"/>
      <c r="AA41" s="404"/>
      <c r="AB41" s="404"/>
      <c r="AC41" s="404"/>
      <c r="AD41" s="404"/>
      <c r="AE41" s="404"/>
      <c r="AF41" s="404"/>
      <c r="AG41" s="404"/>
      <c r="AH41" s="404"/>
      <c r="AI41" s="404"/>
      <c r="AJ41" s="404"/>
      <c r="AK41" s="404"/>
      <c r="AL41" s="404"/>
      <c r="AM41" s="404"/>
      <c r="AN41" s="404"/>
      <c r="AO41" s="404"/>
      <c r="AP41" s="404"/>
      <c r="AQ41" s="404"/>
      <c r="AR41" s="404"/>
      <c r="AS41" s="404"/>
      <c r="AT41" s="404"/>
      <c r="AU41" s="404"/>
      <c r="AV41" s="404"/>
      <c r="AW41" s="404"/>
      <c r="AX41" s="176"/>
      <c r="AY41" s="176"/>
      <c r="AZ41" s="176"/>
    </row>
    <row r="42" spans="2:52" ht="21" customHeight="1">
      <c r="B42" s="728" t="s">
        <v>62</v>
      </c>
      <c r="C42" s="729"/>
      <c r="D42" s="729"/>
      <c r="E42" s="729"/>
      <c r="F42" s="729"/>
      <c r="G42" s="729"/>
      <c r="H42" s="729"/>
      <c r="I42" s="729"/>
      <c r="J42" s="729"/>
      <c r="K42" s="729"/>
      <c r="L42" s="729"/>
      <c r="M42" s="729"/>
      <c r="N42" s="729"/>
      <c r="O42" s="729"/>
      <c r="P42" s="729"/>
      <c r="Q42" s="729"/>
      <c r="R42" s="729"/>
      <c r="S42" s="729"/>
      <c r="T42" s="729"/>
      <c r="U42" s="729"/>
      <c r="V42" s="730"/>
      <c r="AC42" s="176"/>
      <c r="AD42" s="176"/>
      <c r="AE42" s="176"/>
      <c r="AF42" s="176"/>
      <c r="AG42" s="176"/>
      <c r="AH42" s="176"/>
      <c r="AI42" s="176"/>
      <c r="AJ42" s="176"/>
      <c r="AK42" s="176"/>
      <c r="AL42" s="176"/>
      <c r="AM42" s="176"/>
      <c r="AN42" s="176"/>
      <c r="AO42" s="176"/>
      <c r="AP42" s="176"/>
      <c r="AQ42" s="176"/>
      <c r="AR42" s="176"/>
      <c r="AS42" s="176"/>
      <c r="AT42" s="176"/>
      <c r="AU42" s="176"/>
      <c r="AV42" s="176"/>
      <c r="AW42" s="176"/>
    </row>
    <row r="43" spans="2:52">
      <c r="B43" s="724" t="s">
        <v>25</v>
      </c>
      <c r="C43" s="716" t="s">
        <v>27</v>
      </c>
      <c r="D43" s="716"/>
      <c r="E43" s="724" t="s">
        <v>28</v>
      </c>
      <c r="F43" s="724" t="s">
        <v>29</v>
      </c>
      <c r="G43" s="724" t="s">
        <v>30</v>
      </c>
      <c r="H43" s="724" t="s">
        <v>31</v>
      </c>
      <c r="I43" s="724" t="s">
        <v>32</v>
      </c>
      <c r="J43" s="724" t="s">
        <v>33</v>
      </c>
      <c r="K43" s="724" t="s">
        <v>34</v>
      </c>
      <c r="L43" s="724" t="s">
        <v>35</v>
      </c>
      <c r="M43" s="724" t="s">
        <v>36</v>
      </c>
      <c r="N43" s="724" t="s">
        <v>37</v>
      </c>
      <c r="O43" s="724" t="s">
        <v>38</v>
      </c>
      <c r="P43" s="724" t="s">
        <v>39</v>
      </c>
      <c r="Q43" s="724" t="s">
        <v>63</v>
      </c>
      <c r="R43" s="724" t="s">
        <v>58</v>
      </c>
      <c r="S43" s="724" t="s">
        <v>64</v>
      </c>
      <c r="T43" s="724" t="s">
        <v>59</v>
      </c>
      <c r="U43" s="724" t="s">
        <v>60</v>
      </c>
      <c r="V43" s="724" t="s">
        <v>65</v>
      </c>
      <c r="AC43" s="176"/>
      <c r="AD43" s="176"/>
      <c r="AE43" s="176"/>
      <c r="AF43" s="176"/>
      <c r="AG43" s="176"/>
      <c r="AH43" s="176"/>
      <c r="AI43" s="176"/>
      <c r="AJ43" s="176"/>
      <c r="AK43" s="176"/>
      <c r="AL43" s="176"/>
      <c r="AM43" s="176"/>
      <c r="AN43" s="176"/>
      <c r="AO43" s="176"/>
      <c r="AP43" s="176"/>
      <c r="AQ43" s="176"/>
      <c r="AR43" s="176"/>
      <c r="AS43" s="176"/>
      <c r="AT43" s="176"/>
      <c r="AU43" s="176"/>
      <c r="AV43" s="176"/>
      <c r="AW43" s="176"/>
    </row>
    <row r="44" spans="2:52">
      <c r="B44" s="725"/>
      <c r="C44" s="716"/>
      <c r="D44" s="716"/>
      <c r="E44" s="725"/>
      <c r="F44" s="725"/>
      <c r="G44" s="725"/>
      <c r="H44" s="725"/>
      <c r="I44" s="725"/>
      <c r="J44" s="725"/>
      <c r="K44" s="725"/>
      <c r="L44" s="725"/>
      <c r="M44" s="725"/>
      <c r="N44" s="725"/>
      <c r="O44" s="725"/>
      <c r="P44" s="725"/>
      <c r="Q44" s="725"/>
      <c r="R44" s="725"/>
      <c r="S44" s="725"/>
      <c r="T44" s="725"/>
      <c r="U44" s="725"/>
      <c r="V44" s="725"/>
      <c r="AC44" s="176"/>
      <c r="AD44" s="176"/>
      <c r="AE44" s="176"/>
      <c r="AF44" s="176"/>
      <c r="AG44" s="176"/>
      <c r="AH44" s="176"/>
      <c r="AI44" s="176"/>
      <c r="AJ44" s="176"/>
      <c r="AK44" s="176"/>
      <c r="AL44" s="176"/>
      <c r="AM44" s="176"/>
      <c r="AN44" s="176"/>
      <c r="AO44" s="176"/>
      <c r="AP44" s="176"/>
      <c r="AQ44" s="176"/>
      <c r="AR44" s="176"/>
      <c r="AS44" s="176"/>
      <c r="AT44" s="176"/>
      <c r="AU44" s="176"/>
      <c r="AV44" s="176"/>
      <c r="AW44" s="176"/>
    </row>
    <row r="45" spans="2:52" ht="16.5" customHeight="1">
      <c r="B45" s="198" t="s">
        <v>25</v>
      </c>
      <c r="C45" s="715" t="s">
        <v>44</v>
      </c>
      <c r="D45" s="715"/>
      <c r="E45" s="337">
        <v>5.7055999999999996</v>
      </c>
      <c r="F45" s="337">
        <v>5.5538399999999992</v>
      </c>
      <c r="G45" s="337">
        <v>7.2998799999999999</v>
      </c>
      <c r="H45" s="337">
        <v>5.6699599999999997</v>
      </c>
      <c r="I45" s="337">
        <v>5.4121199999999998</v>
      </c>
      <c r="J45" s="337">
        <v>5.2147800000000002</v>
      </c>
      <c r="K45" s="337">
        <v>5.63896</v>
      </c>
      <c r="L45" s="337">
        <v>6.1575999999999995</v>
      </c>
      <c r="M45" s="337">
        <v>5.6701400000000008</v>
      </c>
      <c r="N45" s="337">
        <v>6.0110599999999996</v>
      </c>
      <c r="O45" s="337">
        <v>6.6067200000000001</v>
      </c>
      <c r="P45" s="337">
        <v>6.0875599999999999</v>
      </c>
      <c r="Q45" s="337">
        <f>SUM(E45:P45)</f>
        <v>71.02821999999999</v>
      </c>
      <c r="R45" s="337">
        <f t="shared" ref="R45:R50" si="15">Q35</f>
        <v>67.078019999999981</v>
      </c>
      <c r="S45" s="527">
        <f>IFERROR(Q45/$Q$50,0)</f>
        <v>4.4657891419440397E-2</v>
      </c>
      <c r="T45" s="527">
        <f>S35</f>
        <v>4.239586215295247E-2</v>
      </c>
      <c r="U45" s="534">
        <f>V35</f>
        <v>-1.1701009282782948E-3</v>
      </c>
      <c r="V45" s="534">
        <f>Q45/R45-1</f>
        <v>5.8889633295675869E-2</v>
      </c>
      <c r="X45" s="413"/>
      <c r="Y45" s="413"/>
      <c r="Z45" s="413"/>
      <c r="AA45" s="176"/>
      <c r="AB45" s="176"/>
      <c r="AC45" s="176"/>
      <c r="AD45" s="176"/>
      <c r="AE45" s="176"/>
      <c r="AF45" s="176"/>
      <c r="AG45" s="176"/>
      <c r="AH45" s="176"/>
      <c r="AI45" s="176"/>
      <c r="AJ45" s="176"/>
      <c r="AK45" s="176"/>
      <c r="AL45" s="176"/>
      <c r="AM45" s="176"/>
      <c r="AN45" s="176"/>
      <c r="AO45" s="176"/>
      <c r="AP45" s="176"/>
      <c r="AQ45" s="176"/>
      <c r="AR45" s="176"/>
      <c r="AS45" s="176"/>
      <c r="AT45" s="176"/>
      <c r="AU45" s="176"/>
      <c r="AV45" s="176"/>
      <c r="AW45" s="176"/>
      <c r="AX45" s="176"/>
      <c r="AY45" s="176"/>
      <c r="AZ45" s="176"/>
    </row>
    <row r="46" spans="2:52">
      <c r="B46" s="198" t="s">
        <v>25</v>
      </c>
      <c r="C46" s="715" t="s">
        <v>45</v>
      </c>
      <c r="D46" s="715"/>
      <c r="E46" s="337">
        <v>1.7834000000000003</v>
      </c>
      <c r="F46" s="337">
        <v>1.7128800000000002</v>
      </c>
      <c r="G46" s="337">
        <v>2.0372000000000003</v>
      </c>
      <c r="H46" s="337">
        <v>1.5453599999999998</v>
      </c>
      <c r="I46" s="337">
        <v>1.4195800000000001</v>
      </c>
      <c r="J46" s="337">
        <v>1.1344399999999999</v>
      </c>
      <c r="K46" s="337">
        <v>1.4890000000000001</v>
      </c>
      <c r="L46" s="337">
        <v>1.65784</v>
      </c>
      <c r="M46" s="337">
        <v>1.4293800000000001</v>
      </c>
      <c r="N46" s="337">
        <v>1.7115000000000002</v>
      </c>
      <c r="O46" s="337">
        <v>2.2186599999999999</v>
      </c>
      <c r="P46" s="337">
        <v>2.4695199999999997</v>
      </c>
      <c r="Q46" s="337">
        <f t="shared" ref="Q46:Q49" si="16">SUM(E46:P46)</f>
        <v>20.60876</v>
      </c>
      <c r="R46" s="337">
        <f t="shared" si="15"/>
        <v>17.198619999999995</v>
      </c>
      <c r="S46" s="527">
        <f t="shared" ref="S46:S50" si="17">IFERROR(Q46/$Q$50,0)</f>
        <v>1.2957438133312458E-2</v>
      </c>
      <c r="T46" s="527">
        <f t="shared" ref="T46:T49" si="18">S36</f>
        <v>1.087018255370405E-2</v>
      </c>
      <c r="U46" s="534">
        <f t="shared" ref="U46:U49" si="19">V36</f>
        <v>0.29462251950746166</v>
      </c>
      <c r="V46" s="534">
        <f t="shared" ref="V46:V49" si="20">Q46/R46-1</f>
        <v>0.19827986198892744</v>
      </c>
      <c r="X46" s="413"/>
      <c r="Y46" s="413"/>
      <c r="Z46" s="413"/>
      <c r="AA46" s="404"/>
      <c r="AB46" s="404"/>
      <c r="AC46" s="176"/>
      <c r="AD46" s="176"/>
      <c r="AE46" s="176"/>
      <c r="AF46" s="176"/>
      <c r="AG46" s="176"/>
      <c r="AH46" s="176"/>
      <c r="AI46" s="176"/>
      <c r="AJ46" s="176"/>
      <c r="AK46" s="176"/>
      <c r="AL46" s="176"/>
      <c r="AM46" s="176"/>
      <c r="AN46" s="176"/>
      <c r="AO46" s="176"/>
      <c r="AP46" s="176"/>
      <c r="AQ46" s="176"/>
      <c r="AR46" s="176"/>
      <c r="AS46" s="176"/>
      <c r="AT46" s="176"/>
      <c r="AU46" s="176"/>
      <c r="AV46" s="176"/>
      <c r="AW46" s="176"/>
      <c r="AX46" s="176"/>
      <c r="AY46" s="176"/>
      <c r="AZ46" s="176"/>
    </row>
    <row r="47" spans="2:52">
      <c r="B47" s="198" t="s">
        <v>25</v>
      </c>
      <c r="C47" s="715" t="s">
        <v>46</v>
      </c>
      <c r="D47" s="715"/>
      <c r="E47" s="337">
        <v>35.2044</v>
      </c>
      <c r="F47" s="337">
        <v>33.97972</v>
      </c>
      <c r="G47" s="337">
        <v>36.9116</v>
      </c>
      <c r="H47" s="337">
        <v>36.167639999999999</v>
      </c>
      <c r="I47" s="337">
        <v>32.710300000000004</v>
      </c>
      <c r="J47" s="337">
        <v>30.405980000000003</v>
      </c>
      <c r="K47" s="337">
        <v>33.584739999999996</v>
      </c>
      <c r="L47" s="337">
        <v>33.609840000000005</v>
      </c>
      <c r="M47" s="337">
        <v>31.328719999999997</v>
      </c>
      <c r="N47" s="337">
        <v>34.433059999999998</v>
      </c>
      <c r="O47" s="337">
        <v>36.7059</v>
      </c>
      <c r="P47" s="337">
        <v>35.332639999999998</v>
      </c>
      <c r="Q47" s="337">
        <f t="shared" si="16"/>
        <v>410.37454000000002</v>
      </c>
      <c r="R47" s="337">
        <f t="shared" si="15"/>
        <v>431.00148000000002</v>
      </c>
      <c r="S47" s="527">
        <f t="shared" si="17"/>
        <v>0.25801662562602307</v>
      </c>
      <c r="T47" s="527">
        <f t="shared" si="18"/>
        <v>0.27240934264008548</v>
      </c>
      <c r="U47" s="534">
        <f t="shared" si="19"/>
        <v>-8.1235277698561426E-2</v>
      </c>
      <c r="V47" s="534">
        <f t="shared" si="20"/>
        <v>-4.7858165127414365E-2</v>
      </c>
      <c r="X47" s="413"/>
      <c r="Y47" s="413"/>
      <c r="Z47" s="413"/>
      <c r="AA47" s="404"/>
      <c r="AB47" s="404"/>
      <c r="AC47" s="176"/>
      <c r="AD47" s="176"/>
      <c r="AE47" s="176"/>
      <c r="AF47" s="176"/>
      <c r="AG47" s="176"/>
      <c r="AH47" s="176"/>
      <c r="AI47" s="176"/>
      <c r="AJ47" s="176"/>
      <c r="AK47" s="176"/>
      <c r="AL47" s="176"/>
      <c r="AM47" s="176"/>
      <c r="AN47" s="176"/>
      <c r="AO47" s="176"/>
      <c r="AP47" s="176"/>
      <c r="AQ47" s="176"/>
      <c r="AR47" s="176"/>
      <c r="AS47" s="176"/>
      <c r="AT47" s="176"/>
      <c r="AU47" s="176"/>
      <c r="AV47" s="176"/>
      <c r="AW47" s="176"/>
      <c r="AX47" s="176"/>
      <c r="AY47" s="176"/>
      <c r="AZ47" s="176"/>
    </row>
    <row r="48" spans="2:52">
      <c r="B48" s="198" t="s">
        <v>25</v>
      </c>
      <c r="C48" s="715" t="s">
        <v>47</v>
      </c>
      <c r="D48" s="715"/>
      <c r="E48" s="337">
        <v>79.874840000000006</v>
      </c>
      <c r="F48" s="337">
        <v>78.762559999999993</v>
      </c>
      <c r="G48" s="337">
        <v>82.452799999999996</v>
      </c>
      <c r="H48" s="337">
        <v>77.027079999999998</v>
      </c>
      <c r="I48" s="337">
        <v>67.586960000000005</v>
      </c>
      <c r="J48" s="337">
        <v>60.075779999999995</v>
      </c>
      <c r="K48" s="337">
        <v>66.544359999999998</v>
      </c>
      <c r="L48" s="337">
        <v>66.338000000000008</v>
      </c>
      <c r="M48" s="337">
        <v>62.321220000000011</v>
      </c>
      <c r="N48" s="337">
        <v>69.720039999999997</v>
      </c>
      <c r="O48" s="337">
        <v>76.638040000000004</v>
      </c>
      <c r="P48" s="337">
        <v>76.524339999999995</v>
      </c>
      <c r="Q48" s="337">
        <f t="shared" si="16"/>
        <v>863.86602000000016</v>
      </c>
      <c r="R48" s="337">
        <f t="shared" si="15"/>
        <v>946.83649999999989</v>
      </c>
      <c r="S48" s="527">
        <f t="shared" si="17"/>
        <v>0.54314235837677105</v>
      </c>
      <c r="T48" s="527">
        <f t="shared" si="18"/>
        <v>0.59843671198678772</v>
      </c>
      <c r="U48" s="534">
        <f t="shared" si="19"/>
        <v>-9.7668166327311123E-2</v>
      </c>
      <c r="V48" s="534">
        <f t="shared" si="20"/>
        <v>-8.7629152446066172E-2</v>
      </c>
      <c r="X48" s="413"/>
      <c r="Y48" s="413"/>
      <c r="Z48" s="413"/>
      <c r="AA48" s="404"/>
      <c r="AB48" s="404"/>
      <c r="AC48" s="176"/>
      <c r="AD48" s="176"/>
      <c r="AE48" s="176"/>
      <c r="AF48" s="176"/>
      <c r="AG48" s="176"/>
      <c r="AH48" s="176"/>
      <c r="AI48" s="176"/>
      <c r="AJ48" s="176"/>
      <c r="AK48" s="176"/>
      <c r="AL48" s="176"/>
      <c r="AM48" s="176"/>
      <c r="AN48" s="176"/>
      <c r="AO48" s="176"/>
      <c r="AP48" s="176"/>
      <c r="AQ48" s="176"/>
      <c r="AR48" s="176"/>
      <c r="AS48" s="176"/>
      <c r="AT48" s="176"/>
      <c r="AU48" s="176"/>
      <c r="AV48" s="176"/>
      <c r="AW48" s="176"/>
      <c r="AX48" s="176"/>
      <c r="AY48" s="176"/>
      <c r="AZ48" s="176"/>
    </row>
    <row r="49" spans="2:52">
      <c r="B49" s="198" t="s">
        <v>25</v>
      </c>
      <c r="C49" s="715" t="s">
        <v>61</v>
      </c>
      <c r="D49" s="715"/>
      <c r="E49" s="337">
        <v>16.242380000000001</v>
      </c>
      <c r="F49" s="337">
        <v>15.387119999999999</v>
      </c>
      <c r="G49" s="337">
        <v>19.250999999999998</v>
      </c>
      <c r="H49" s="337">
        <v>19.925039999999999</v>
      </c>
      <c r="I49" s="337">
        <v>17.96876</v>
      </c>
      <c r="J49" s="337">
        <v>16.606279999999998</v>
      </c>
      <c r="K49" s="337">
        <v>19.064640000000004</v>
      </c>
      <c r="L49" s="337">
        <v>18.775600000000001</v>
      </c>
      <c r="M49" s="337">
        <v>19.330739999999999</v>
      </c>
      <c r="N49" s="337">
        <v>20.884840000000001</v>
      </c>
      <c r="O49" s="337">
        <v>20.944080000000003</v>
      </c>
      <c r="P49" s="337">
        <v>20.238480000000003</v>
      </c>
      <c r="Q49" s="337">
        <f t="shared" si="16"/>
        <v>224.61896000000002</v>
      </c>
      <c r="R49" s="337">
        <f t="shared" si="15"/>
        <v>120.06855999999999</v>
      </c>
      <c r="S49" s="527">
        <f t="shared" si="17"/>
        <v>0.14122568644445302</v>
      </c>
      <c r="T49" s="527">
        <f t="shared" si="18"/>
        <v>7.5887900666470234E-2</v>
      </c>
      <c r="U49" s="534">
        <f t="shared" si="19"/>
        <v>0</v>
      </c>
      <c r="V49" s="534">
        <f t="shared" si="20"/>
        <v>0.87075584149589225</v>
      </c>
      <c r="X49" s="413"/>
      <c r="Y49" s="413"/>
      <c r="Z49" s="413"/>
      <c r="AA49" s="404"/>
      <c r="AB49" s="404"/>
      <c r="AC49" s="176"/>
      <c r="AD49" s="176"/>
      <c r="AE49" s="176"/>
      <c r="AF49" s="176"/>
      <c r="AG49" s="176"/>
      <c r="AH49" s="176"/>
      <c r="AI49" s="176"/>
      <c r="AJ49" s="176"/>
      <c r="AK49" s="176"/>
      <c r="AL49" s="176"/>
      <c r="AM49" s="176"/>
      <c r="AN49" s="176"/>
      <c r="AO49" s="176"/>
      <c r="AP49" s="176"/>
      <c r="AQ49" s="176"/>
      <c r="AR49" s="176"/>
      <c r="AS49" s="176"/>
      <c r="AT49" s="176"/>
      <c r="AU49" s="176"/>
      <c r="AV49" s="176"/>
      <c r="AW49" s="176"/>
      <c r="AX49" s="176"/>
      <c r="AY49" s="176"/>
      <c r="AZ49" s="176"/>
    </row>
    <row r="50" spans="2:52">
      <c r="B50" s="24" t="s">
        <v>25</v>
      </c>
      <c r="C50" s="716" t="s">
        <v>25</v>
      </c>
      <c r="D50" s="716"/>
      <c r="E50" s="338">
        <v>138.81062</v>
      </c>
      <c r="F50" s="338">
        <v>135.39612</v>
      </c>
      <c r="G50" s="338">
        <v>147.95248000000001</v>
      </c>
      <c r="H50" s="338">
        <v>140.33508</v>
      </c>
      <c r="I50" s="338">
        <v>125.09772000000001</v>
      </c>
      <c r="J50" s="338">
        <v>113.43725999999999</v>
      </c>
      <c r="K50" s="338">
        <v>126.32169999999999</v>
      </c>
      <c r="L50" s="338">
        <v>126.53888000000001</v>
      </c>
      <c r="M50" s="338">
        <v>120.08019999999999</v>
      </c>
      <c r="N50" s="338">
        <v>132.76050000000001</v>
      </c>
      <c r="O50" s="338">
        <v>143.11340000000001</v>
      </c>
      <c r="P50" s="338">
        <v>140.65253999999999</v>
      </c>
      <c r="Q50" s="338">
        <f>SUM(E50:P50)</f>
        <v>1590.4965000000002</v>
      </c>
      <c r="R50" s="338">
        <f t="shared" si="15"/>
        <v>1582.18318</v>
      </c>
      <c r="S50" s="528">
        <f t="shared" si="17"/>
        <v>1</v>
      </c>
      <c r="T50" s="528">
        <f>S40</f>
        <v>1</v>
      </c>
      <c r="U50" s="334">
        <f>V40</f>
        <v>-1.1179416133923814E-2</v>
      </c>
      <c r="V50" s="334">
        <f>Q50/R50-1</f>
        <v>5.2543347098408244E-3</v>
      </c>
      <c r="W50" s="397"/>
      <c r="X50" s="413"/>
      <c r="Y50" s="413"/>
      <c r="Z50" s="413"/>
      <c r="AA50" s="404"/>
      <c r="AB50" s="404"/>
      <c r="AC50" s="176"/>
      <c r="AD50" s="176"/>
      <c r="AE50" s="176"/>
      <c r="AF50" s="176"/>
      <c r="AG50" s="176"/>
      <c r="AH50" s="176"/>
      <c r="AI50" s="176"/>
      <c r="AJ50" s="176"/>
      <c r="AK50" s="176"/>
      <c r="AL50" s="176"/>
      <c r="AM50" s="176"/>
      <c r="AN50" s="176"/>
      <c r="AO50" s="176"/>
      <c r="AP50" s="176"/>
      <c r="AQ50" s="176"/>
      <c r="AR50" s="176"/>
      <c r="AS50" s="176"/>
      <c r="AT50" s="176"/>
      <c r="AU50" s="176"/>
      <c r="AV50" s="176"/>
      <c r="AW50" s="176"/>
      <c r="AX50" s="176"/>
      <c r="AY50" s="176"/>
      <c r="AZ50" s="176"/>
    </row>
    <row r="51" spans="2:52">
      <c r="B51" s="36"/>
      <c r="C51" s="36"/>
      <c r="D51" s="36"/>
      <c r="E51" s="532"/>
      <c r="F51" s="532"/>
      <c r="G51" s="532"/>
      <c r="H51" s="532"/>
      <c r="I51" s="532"/>
      <c r="J51" s="532"/>
      <c r="K51" s="532"/>
      <c r="L51" s="532"/>
      <c r="M51" s="532"/>
      <c r="N51" s="532"/>
      <c r="O51" s="532"/>
      <c r="P51" s="532"/>
      <c r="Q51" s="532"/>
      <c r="R51" s="533"/>
      <c r="S51" s="145"/>
      <c r="T51" s="145"/>
      <c r="U51" s="145"/>
      <c r="V51" s="145"/>
      <c r="W51" s="412"/>
      <c r="X51" s="463"/>
      <c r="Y51" s="463"/>
      <c r="Z51" s="463"/>
      <c r="AA51" s="404"/>
      <c r="AB51" s="404"/>
      <c r="AC51" s="404"/>
      <c r="AD51" s="404"/>
      <c r="AE51" s="404"/>
      <c r="AF51" s="404"/>
      <c r="AG51" s="404"/>
      <c r="AH51" s="404"/>
      <c r="AI51" s="404"/>
      <c r="AJ51" s="404"/>
      <c r="AK51" s="404"/>
      <c r="AL51" s="404"/>
      <c r="AM51" s="404"/>
      <c r="AN51" s="404"/>
      <c r="AO51" s="404"/>
      <c r="AP51" s="404"/>
      <c r="AQ51" s="404"/>
      <c r="AR51" s="404"/>
      <c r="AS51" s="404"/>
      <c r="AT51" s="404"/>
      <c r="AU51" s="404"/>
      <c r="AV51" s="404"/>
      <c r="AW51" s="404"/>
      <c r="AZ51" s="176"/>
    </row>
    <row r="52" spans="2:52">
      <c r="B52" s="36"/>
      <c r="C52" s="36"/>
      <c r="D52" s="36"/>
      <c r="E52" s="532"/>
      <c r="F52" s="532"/>
      <c r="G52" s="532"/>
      <c r="H52" s="532"/>
      <c r="I52" s="532"/>
      <c r="J52" s="532"/>
      <c r="K52" s="532"/>
      <c r="L52" s="532"/>
      <c r="M52" s="532"/>
      <c r="N52" s="532"/>
      <c r="O52" s="532"/>
      <c r="P52" s="532"/>
      <c r="Q52" s="532"/>
      <c r="R52" s="533"/>
      <c r="S52" s="145"/>
      <c r="T52" s="145"/>
      <c r="U52" s="145"/>
      <c r="V52" s="145"/>
      <c r="W52" s="412"/>
      <c r="X52" s="463"/>
      <c r="Y52" s="463"/>
      <c r="Z52" s="463"/>
      <c r="AA52" s="404"/>
      <c r="AB52" s="404"/>
      <c r="AC52" s="685"/>
      <c r="AD52" s="685"/>
      <c r="AE52" s="685"/>
      <c r="AF52" s="685"/>
      <c r="AG52" s="685"/>
      <c r="AH52" s="685"/>
      <c r="AI52" s="685"/>
      <c r="AJ52" s="685"/>
      <c r="AK52" s="685"/>
      <c r="AL52" s="685"/>
      <c r="AM52" s="176"/>
      <c r="AN52" s="176"/>
      <c r="AO52" s="176"/>
      <c r="AP52" s="176"/>
      <c r="AQ52" s="176"/>
      <c r="AR52" s="176"/>
      <c r="AS52" s="176"/>
      <c r="AT52" s="176"/>
      <c r="AU52" s="176"/>
      <c r="AV52" s="404"/>
      <c r="AW52" s="404"/>
      <c r="AZ52" s="176"/>
    </row>
    <row r="53" spans="2:52" ht="17.100000000000001" customHeight="1">
      <c r="B53" s="320"/>
      <c r="C53" s="321"/>
      <c r="D53" s="321"/>
      <c r="E53" s="736" t="s">
        <v>66</v>
      </c>
      <c r="F53" s="737"/>
      <c r="G53" s="737"/>
      <c r="H53" s="737"/>
      <c r="I53" s="737"/>
      <c r="J53" s="737"/>
      <c r="K53" s="737"/>
      <c r="L53" s="737"/>
      <c r="M53" s="737"/>
      <c r="N53" s="737"/>
      <c r="O53" s="737"/>
      <c r="P53" s="737"/>
      <c r="Q53" s="322" t="s">
        <v>67</v>
      </c>
      <c r="R53" s="323">
        <f>master_Daily!R2</f>
        <v>0.45</v>
      </c>
      <c r="S53" s="326" t="s">
        <v>68</v>
      </c>
      <c r="T53" s="327" t="str">
        <f>CONCATENATE(Cover!C10,"/",Cover!C8,"/",Cover!C7)</f>
        <v>14/6/2025</v>
      </c>
      <c r="U53" s="324"/>
      <c r="V53" s="324"/>
      <c r="W53" s="322"/>
      <c r="X53" s="330"/>
      <c r="Y53" s="726"/>
      <c r="Z53" s="726"/>
      <c r="AA53" s="726"/>
      <c r="AB53" s="727"/>
      <c r="AC53" s="176"/>
      <c r="AD53" s="176"/>
      <c r="AE53" s="176"/>
      <c r="AF53" s="176"/>
      <c r="AG53" s="176"/>
      <c r="AH53" s="176"/>
      <c r="AI53" s="176"/>
      <c r="AJ53" s="176"/>
      <c r="AK53" s="176"/>
      <c r="AL53" s="176"/>
      <c r="AM53" s="176"/>
      <c r="AN53" s="176"/>
      <c r="AO53" s="176"/>
      <c r="AP53" s="176"/>
      <c r="AQ53" s="176"/>
      <c r="AR53" s="683"/>
      <c r="AS53" s="683"/>
      <c r="AT53" s="176"/>
      <c r="AU53" s="176"/>
      <c r="AV53" s="404"/>
      <c r="AW53" s="404"/>
      <c r="AZ53" s="176"/>
    </row>
    <row r="54" spans="2:52" ht="30" customHeight="1">
      <c r="B54" s="747" t="s">
        <v>25</v>
      </c>
      <c r="C54" s="747" t="s">
        <v>27</v>
      </c>
      <c r="D54" s="747" t="s">
        <v>69</v>
      </c>
      <c r="E54" s="731" t="s">
        <v>28</v>
      </c>
      <c r="F54" s="731" t="s">
        <v>29</v>
      </c>
      <c r="G54" s="731" t="s">
        <v>30</v>
      </c>
      <c r="H54" s="731" t="s">
        <v>31</v>
      </c>
      <c r="I54" s="731" t="s">
        <v>32</v>
      </c>
      <c r="J54" s="731" t="s">
        <v>33</v>
      </c>
      <c r="K54" s="731" t="s">
        <v>34</v>
      </c>
      <c r="L54" s="731" t="s">
        <v>35</v>
      </c>
      <c r="M54" s="731" t="s">
        <v>36</v>
      </c>
      <c r="N54" s="731" t="s">
        <v>37</v>
      </c>
      <c r="O54" s="731" t="s">
        <v>38</v>
      </c>
      <c r="P54" s="731" t="s">
        <v>39</v>
      </c>
      <c r="Q54" s="739" t="str">
        <f>"Target "  &amp;    $X$174    &amp;    "  "</f>
        <v xml:space="preserve">Target Jun  </v>
      </c>
      <c r="R54" s="733" t="s">
        <v>70</v>
      </c>
      <c r="S54" s="734"/>
      <c r="T54" s="734"/>
      <c r="U54" s="734"/>
      <c r="V54" s="735"/>
      <c r="W54" s="753" t="s">
        <v>71</v>
      </c>
      <c r="X54" s="754"/>
      <c r="Y54" s="756" t="s">
        <v>72</v>
      </c>
      <c r="Z54" s="757"/>
      <c r="AA54" s="758" t="s">
        <v>73</v>
      </c>
      <c r="AB54" s="759"/>
      <c r="AC54" s="404"/>
      <c r="AD54" s="404"/>
      <c r="AE54" s="552" t="s">
        <v>74</v>
      </c>
      <c r="AF54" s="404"/>
      <c r="AG54" s="404"/>
      <c r="AH54" s="404"/>
      <c r="AI54" s="404"/>
      <c r="AJ54" s="404"/>
      <c r="AK54" s="404"/>
      <c r="AL54" s="404"/>
      <c r="AM54" s="404"/>
      <c r="AN54" s="404"/>
      <c r="AO54" s="404"/>
      <c r="AP54" s="404"/>
      <c r="AQ54" s="404"/>
      <c r="AR54" s="404"/>
      <c r="AS54" s="683"/>
      <c r="AT54" s="176"/>
      <c r="AU54" s="176"/>
      <c r="AV54" s="404"/>
      <c r="AW54" s="404"/>
      <c r="AZ54" s="176"/>
    </row>
    <row r="55" spans="2:52" ht="37.5" customHeight="1">
      <c r="B55" s="748"/>
      <c r="C55" s="748"/>
      <c r="D55" s="748"/>
      <c r="E55" s="732"/>
      <c r="F55" s="732"/>
      <c r="G55" s="732"/>
      <c r="H55" s="732"/>
      <c r="I55" s="732"/>
      <c r="J55" s="732"/>
      <c r="K55" s="732"/>
      <c r="L55" s="732"/>
      <c r="M55" s="732"/>
      <c r="N55" s="732"/>
      <c r="O55" s="732"/>
      <c r="P55" s="732"/>
      <c r="Q55" s="701"/>
      <c r="R55" s="328" t="s">
        <v>75</v>
      </c>
      <c r="S55" s="431" t="s">
        <v>76</v>
      </c>
      <c r="T55" s="431" t="s">
        <v>77</v>
      </c>
      <c r="U55" s="329" t="s">
        <v>78</v>
      </c>
      <c r="V55" s="329" t="s">
        <v>79</v>
      </c>
      <c r="W55" s="335" t="s">
        <v>76</v>
      </c>
      <c r="X55" s="335" t="s">
        <v>77</v>
      </c>
      <c r="Y55" s="332" t="s">
        <v>76</v>
      </c>
      <c r="Z55" s="332" t="s">
        <v>78</v>
      </c>
      <c r="AA55" s="557" t="s">
        <v>76</v>
      </c>
      <c r="AB55" s="557" t="s">
        <v>78</v>
      </c>
      <c r="AC55" s="404"/>
      <c r="AD55" s="404"/>
      <c r="AE55" s="553" t="s">
        <v>28</v>
      </c>
      <c r="AF55" s="553" t="s">
        <v>29</v>
      </c>
      <c r="AG55" s="553" t="s">
        <v>30</v>
      </c>
      <c r="AH55" s="553" t="s">
        <v>31</v>
      </c>
      <c r="AI55" s="553" t="s">
        <v>32</v>
      </c>
      <c r="AJ55" s="553" t="s">
        <v>33</v>
      </c>
      <c r="AK55" s="553" t="s">
        <v>34</v>
      </c>
      <c r="AL55" s="553" t="s">
        <v>35</v>
      </c>
      <c r="AM55" s="553" t="s">
        <v>36</v>
      </c>
      <c r="AN55" s="553" t="s">
        <v>37</v>
      </c>
      <c r="AO55" s="553" t="s">
        <v>38</v>
      </c>
      <c r="AP55" s="553" t="s">
        <v>39</v>
      </c>
      <c r="AQ55" s="553" t="s">
        <v>80</v>
      </c>
      <c r="AR55" s="404"/>
      <c r="AS55" s="683"/>
      <c r="AT55" s="176"/>
      <c r="AU55" s="176"/>
      <c r="AV55" s="404"/>
      <c r="AW55" s="404"/>
      <c r="AZ55" s="176"/>
    </row>
    <row r="56" spans="2:52" ht="14.45" hidden="1" customHeight="1" outlineLevel="1">
      <c r="B56" s="81" t="s">
        <v>25</v>
      </c>
      <c r="C56" s="81" t="s">
        <v>44</v>
      </c>
      <c r="D56" s="303" t="s">
        <v>81</v>
      </c>
      <c r="E56" s="304">
        <f>master_Daily!E5</f>
        <v>0</v>
      </c>
      <c r="F56" s="304">
        <f>master_Daily!F5</f>
        <v>0</v>
      </c>
      <c r="G56" s="304">
        <f>master_Daily!G5</f>
        <v>0</v>
      </c>
      <c r="H56" s="304">
        <f>master_Daily!H5</f>
        <v>0</v>
      </c>
      <c r="I56" s="304">
        <f>master_Daily!I5</f>
        <v>0</v>
      </c>
      <c r="J56" s="304">
        <f>master_Daily!J5</f>
        <v>0</v>
      </c>
      <c r="K56" s="304">
        <f>master_Daily!K5</f>
        <v>0</v>
      </c>
      <c r="L56" s="304">
        <f>master_Daily!L5</f>
        <v>0</v>
      </c>
      <c r="M56" s="304">
        <f>master_Daily!M5</f>
        <v>0</v>
      </c>
      <c r="N56" s="304">
        <f>master_Daily!N5</f>
        <v>0</v>
      </c>
      <c r="O56" s="304">
        <f>master_Daily!O5</f>
        <v>0</v>
      </c>
      <c r="P56" s="304">
        <f>master_Daily!P5</f>
        <v>0</v>
      </c>
      <c r="Q56" s="342">
        <f>master_Daily!Q5</f>
        <v>0</v>
      </c>
      <c r="R56" s="342">
        <f>master_Daily!R5</f>
        <v>0</v>
      </c>
      <c r="S56" s="304">
        <f>master_Daily!S5</f>
        <v>0</v>
      </c>
      <c r="T56" s="315">
        <f t="shared" ref="T56:T78" si="21">IFERROR(S56/Q56,0)</f>
        <v>0</v>
      </c>
      <c r="U56" s="305">
        <f t="shared" ref="U56:U81" si="22">SUM(E56:P56)</f>
        <v>0</v>
      </c>
      <c r="V56" s="306">
        <f t="shared" ref="V56:V62" si="23">IFERROR(U56/$U$63,0)</f>
        <v>0</v>
      </c>
      <c r="W56" s="70">
        <f>master_Daily!W5</f>
        <v>0</v>
      </c>
      <c r="X56" s="84">
        <f t="shared" ref="X56:X78" si="24">IFERROR(W56/Q56,0)</f>
        <v>0</v>
      </c>
      <c r="Y56" s="333"/>
      <c r="Z56" s="333"/>
      <c r="AA56" s="333"/>
      <c r="AB56" s="333"/>
      <c r="AC56" s="404"/>
      <c r="AD56" s="404"/>
      <c r="AE56" s="554"/>
      <c r="AF56" s="554"/>
      <c r="AG56" s="554"/>
      <c r="AH56" s="554"/>
      <c r="AI56" s="554"/>
      <c r="AJ56" s="554"/>
      <c r="AK56" s="554"/>
      <c r="AL56" s="554"/>
      <c r="AM56" s="554"/>
      <c r="AN56" s="554"/>
      <c r="AO56" s="554"/>
      <c r="AP56" s="554"/>
      <c r="AQ56" s="555"/>
      <c r="AR56" s="404"/>
      <c r="AS56" s="683"/>
      <c r="AT56" s="176"/>
      <c r="AU56" s="176"/>
      <c r="AV56" s="404"/>
      <c r="AW56" s="404"/>
      <c r="AZ56" s="176"/>
    </row>
    <row r="57" spans="2:52" ht="14.45" hidden="1" customHeight="1" outlineLevel="1">
      <c r="B57" s="81" t="s">
        <v>25</v>
      </c>
      <c r="C57" s="81" t="s">
        <v>44</v>
      </c>
      <c r="D57" s="303" t="s">
        <v>82</v>
      </c>
      <c r="E57" s="304">
        <f>master_Daily!E6</f>
        <v>0</v>
      </c>
      <c r="F57" s="304">
        <f>master_Daily!F6</f>
        <v>0</v>
      </c>
      <c r="G57" s="304">
        <f>master_Daily!G6</f>
        <v>0</v>
      </c>
      <c r="H57" s="304">
        <f>master_Daily!H6</f>
        <v>0</v>
      </c>
      <c r="I57" s="304">
        <f>master_Daily!I6</f>
        <v>0</v>
      </c>
      <c r="J57" s="304">
        <f>master_Daily!J6</f>
        <v>0</v>
      </c>
      <c r="K57" s="304">
        <f>master_Daily!K6</f>
        <v>0</v>
      </c>
      <c r="L57" s="304">
        <f>master_Daily!L6</f>
        <v>0</v>
      </c>
      <c r="M57" s="304">
        <f>master_Daily!M6</f>
        <v>0</v>
      </c>
      <c r="N57" s="304">
        <f>master_Daily!N6</f>
        <v>0</v>
      </c>
      <c r="O57" s="304">
        <f>master_Daily!O6</f>
        <v>0</v>
      </c>
      <c r="P57" s="304">
        <f>master_Daily!P6</f>
        <v>0</v>
      </c>
      <c r="Q57" s="342">
        <f>master_Daily!Q6</f>
        <v>0</v>
      </c>
      <c r="R57" s="342">
        <f>master_Daily!R6</f>
        <v>0</v>
      </c>
      <c r="S57" s="304">
        <f>master_Daily!S6</f>
        <v>0</v>
      </c>
      <c r="T57" s="315">
        <f t="shared" si="21"/>
        <v>0</v>
      </c>
      <c r="U57" s="305">
        <f t="shared" si="22"/>
        <v>0</v>
      </c>
      <c r="V57" s="306">
        <f t="shared" si="23"/>
        <v>0</v>
      </c>
      <c r="W57" s="70">
        <f>master_Daily!W6</f>
        <v>0</v>
      </c>
      <c r="X57" s="84">
        <f t="shared" si="24"/>
        <v>0</v>
      </c>
      <c r="Y57" s="333"/>
      <c r="Z57" s="333"/>
      <c r="AA57" s="333"/>
      <c r="AB57" s="333"/>
      <c r="AC57" s="404"/>
      <c r="AD57" s="404"/>
      <c r="AE57" s="554"/>
      <c r="AF57" s="554"/>
      <c r="AG57" s="554"/>
      <c r="AH57" s="554"/>
      <c r="AI57" s="554"/>
      <c r="AJ57" s="554"/>
      <c r="AK57" s="554"/>
      <c r="AL57" s="554"/>
      <c r="AM57" s="554"/>
      <c r="AN57" s="554"/>
      <c r="AO57" s="554"/>
      <c r="AP57" s="554"/>
      <c r="AQ57" s="555"/>
      <c r="AR57" s="404"/>
      <c r="AS57" s="683"/>
      <c r="AT57" s="176"/>
      <c r="AU57" s="176"/>
      <c r="AV57" s="404"/>
      <c r="AW57" s="404"/>
      <c r="AZ57" s="176"/>
    </row>
    <row r="58" spans="2:52" ht="14.45" hidden="1" customHeight="1" outlineLevel="1">
      <c r="B58" s="81" t="s">
        <v>25</v>
      </c>
      <c r="C58" s="81" t="s">
        <v>44</v>
      </c>
      <c r="D58" s="303" t="s">
        <v>83</v>
      </c>
      <c r="E58" s="304">
        <f>master_Daily!E7</f>
        <v>2.1154799999999998</v>
      </c>
      <c r="F58" s="304">
        <f>master_Daily!F7</f>
        <v>1.8542000000000001</v>
      </c>
      <c r="G58" s="304">
        <f>master_Daily!G7</f>
        <v>1.9925999999999999</v>
      </c>
      <c r="H58" s="304">
        <f>master_Daily!H7</f>
        <v>2.0387400000000002</v>
      </c>
      <c r="I58" s="304">
        <f>master_Daily!I7</f>
        <v>1.7385999999999999</v>
      </c>
      <c r="J58" s="304">
        <f>master_Daily!J7</f>
        <v>1.05278</v>
      </c>
      <c r="K58" s="304">
        <f>master_Daily!K7</f>
        <v>0</v>
      </c>
      <c r="L58" s="304">
        <f>master_Daily!L7</f>
        <v>0</v>
      </c>
      <c r="M58" s="304">
        <f>master_Daily!M7</f>
        <v>0</v>
      </c>
      <c r="N58" s="304">
        <f>master_Daily!N7</f>
        <v>0</v>
      </c>
      <c r="O58" s="304">
        <f>master_Daily!O7</f>
        <v>0</v>
      </c>
      <c r="P58" s="304">
        <f>master_Daily!P7</f>
        <v>0</v>
      </c>
      <c r="Q58" s="342">
        <f>master_Daily!Q7</f>
        <v>0</v>
      </c>
      <c r="R58" s="342">
        <f>master_Daily!R7</f>
        <v>2.3199999999999998E-2</v>
      </c>
      <c r="S58" s="304">
        <f>master_Daily!S7</f>
        <v>1.05278</v>
      </c>
      <c r="T58" s="315">
        <f t="shared" si="21"/>
        <v>0</v>
      </c>
      <c r="U58" s="305">
        <f t="shared" si="22"/>
        <v>10.792400000000001</v>
      </c>
      <c r="V58" s="306">
        <f t="shared" si="23"/>
        <v>0.307296483419361</v>
      </c>
      <c r="W58" s="70">
        <f>master_Daily!W7</f>
        <v>1.02878</v>
      </c>
      <c r="X58" s="84">
        <f t="shared" si="24"/>
        <v>0</v>
      </c>
      <c r="Y58" s="333"/>
      <c r="Z58" s="333"/>
      <c r="AA58" s="333"/>
      <c r="AB58" s="333"/>
      <c r="AC58" s="404"/>
      <c r="AD58" s="404"/>
      <c r="AE58" s="554"/>
      <c r="AF58" s="554"/>
      <c r="AG58" s="554"/>
      <c r="AH58" s="554"/>
      <c r="AI58" s="554"/>
      <c r="AJ58" s="554"/>
      <c r="AK58" s="554"/>
      <c r="AL58" s="554"/>
      <c r="AM58" s="554"/>
      <c r="AN58" s="554"/>
      <c r="AO58" s="554"/>
      <c r="AP58" s="554"/>
      <c r="AQ58" s="555"/>
      <c r="AR58" s="404"/>
      <c r="AS58" s="683"/>
      <c r="AT58" s="176"/>
      <c r="AU58" s="176"/>
      <c r="AV58" s="404"/>
      <c r="AW58" s="404"/>
      <c r="AZ58" s="176"/>
    </row>
    <row r="59" spans="2:52" ht="14.45" hidden="1" customHeight="1" outlineLevel="1">
      <c r="B59" s="81" t="s">
        <v>25</v>
      </c>
      <c r="C59" s="81" t="s">
        <v>44</v>
      </c>
      <c r="D59" s="303" t="s">
        <v>84</v>
      </c>
      <c r="E59" s="304">
        <f>master_Daily!E8</f>
        <v>1.1849799999999999</v>
      </c>
      <c r="F59" s="304">
        <f>master_Daily!F8</f>
        <v>1.0058</v>
      </c>
      <c r="G59" s="304">
        <f>master_Daily!G8</f>
        <v>1.3532</v>
      </c>
      <c r="H59" s="304">
        <f>master_Daily!H8</f>
        <v>1.45258</v>
      </c>
      <c r="I59" s="304">
        <f>master_Daily!I8</f>
        <v>1.41496</v>
      </c>
      <c r="J59" s="304">
        <f>master_Daily!J8</f>
        <v>0.67734000000000005</v>
      </c>
      <c r="K59" s="304">
        <f>master_Daily!K8</f>
        <v>0</v>
      </c>
      <c r="L59" s="304">
        <f>master_Daily!L8</f>
        <v>0</v>
      </c>
      <c r="M59" s="304">
        <f>master_Daily!M8</f>
        <v>0</v>
      </c>
      <c r="N59" s="304">
        <f>master_Daily!N8</f>
        <v>0</v>
      </c>
      <c r="O59" s="304">
        <f>master_Daily!O8</f>
        <v>0</v>
      </c>
      <c r="P59" s="304">
        <f>master_Daily!P8</f>
        <v>0</v>
      </c>
      <c r="Q59" s="342">
        <f>master_Daily!Q8</f>
        <v>0</v>
      </c>
      <c r="R59" s="342">
        <f>master_Daily!R8</f>
        <v>2.06E-2</v>
      </c>
      <c r="S59" s="304">
        <f>master_Daily!S8</f>
        <v>0.67734000000000005</v>
      </c>
      <c r="T59" s="315">
        <f t="shared" si="21"/>
        <v>0</v>
      </c>
      <c r="U59" s="305">
        <f t="shared" si="22"/>
        <v>7.0888600000000004</v>
      </c>
      <c r="V59" s="306">
        <f t="shared" si="23"/>
        <v>0.20184405224529961</v>
      </c>
      <c r="W59" s="70">
        <f>master_Daily!W8</f>
        <v>0.66034000000000004</v>
      </c>
      <c r="X59" s="84">
        <f t="shared" si="24"/>
        <v>0</v>
      </c>
      <c r="Y59" s="333"/>
      <c r="Z59" s="333"/>
      <c r="AA59" s="333"/>
      <c r="AB59" s="333"/>
      <c r="AC59" s="404"/>
      <c r="AD59" s="404"/>
      <c r="AE59" s="554"/>
      <c r="AF59" s="554"/>
      <c r="AG59" s="554"/>
      <c r="AH59" s="554"/>
      <c r="AI59" s="554"/>
      <c r="AJ59" s="554"/>
      <c r="AK59" s="554"/>
      <c r="AL59" s="554"/>
      <c r="AM59" s="554"/>
      <c r="AN59" s="554"/>
      <c r="AO59" s="554"/>
      <c r="AP59" s="554"/>
      <c r="AQ59" s="555"/>
      <c r="AR59" s="404"/>
      <c r="AS59" s="683"/>
      <c r="AT59" s="176"/>
      <c r="AU59" s="176"/>
      <c r="AV59" s="404"/>
      <c r="AW59" s="404"/>
      <c r="AZ59" s="176"/>
    </row>
    <row r="60" spans="2:52" ht="14.45" hidden="1" customHeight="1" outlineLevel="1">
      <c r="B60" s="81" t="s">
        <v>25</v>
      </c>
      <c r="C60" s="81" t="s">
        <v>44</v>
      </c>
      <c r="D60" s="303" t="s">
        <v>85</v>
      </c>
      <c r="E60" s="304">
        <f>master_Daily!E9</f>
        <v>3.5151400000000002</v>
      </c>
      <c r="F60" s="304">
        <f>master_Daily!F9</f>
        <v>3.0259800000000001</v>
      </c>
      <c r="G60" s="304">
        <f>master_Daily!G9</f>
        <v>3.1194000000000002</v>
      </c>
      <c r="H60" s="304">
        <f>master_Daily!H9</f>
        <v>2.8731800000000001</v>
      </c>
      <c r="I60" s="304">
        <f>master_Daily!I9</f>
        <v>3.1337600000000001</v>
      </c>
      <c r="J60" s="304">
        <f>master_Daily!J9</f>
        <v>1.57176</v>
      </c>
      <c r="K60" s="304">
        <f>master_Daily!K9</f>
        <v>0</v>
      </c>
      <c r="L60" s="304">
        <f>master_Daily!L9</f>
        <v>0</v>
      </c>
      <c r="M60" s="304">
        <f>master_Daily!M9</f>
        <v>0</v>
      </c>
      <c r="N60" s="304">
        <f>master_Daily!N9</f>
        <v>0</v>
      </c>
      <c r="O60" s="304">
        <f>master_Daily!O9</f>
        <v>0</v>
      </c>
      <c r="P60" s="304">
        <f>master_Daily!P9</f>
        <v>0</v>
      </c>
      <c r="Q60" s="342">
        <f>master_Daily!Q9</f>
        <v>0</v>
      </c>
      <c r="R60" s="342">
        <f>master_Daily!R9</f>
        <v>5.9799999999999999E-2</v>
      </c>
      <c r="S60" s="304">
        <f>master_Daily!S9</f>
        <v>1.57176</v>
      </c>
      <c r="T60" s="315">
        <f t="shared" si="21"/>
        <v>0</v>
      </c>
      <c r="U60" s="305">
        <f t="shared" si="22"/>
        <v>17.23922</v>
      </c>
      <c r="V60" s="306">
        <f t="shared" si="23"/>
        <v>0.49085946433533933</v>
      </c>
      <c r="W60" s="70">
        <f>master_Daily!W9</f>
        <v>1.5047600000000001</v>
      </c>
      <c r="X60" s="84">
        <f t="shared" si="24"/>
        <v>0</v>
      </c>
      <c r="Y60" s="333"/>
      <c r="Z60" s="333"/>
      <c r="AA60" s="333"/>
      <c r="AB60" s="333"/>
      <c r="AC60" s="404"/>
      <c r="AD60" s="404"/>
      <c r="AE60" s="554"/>
      <c r="AF60" s="554"/>
      <c r="AG60" s="554"/>
      <c r="AH60" s="554"/>
      <c r="AI60" s="554"/>
      <c r="AJ60" s="554"/>
      <c r="AK60" s="554"/>
      <c r="AL60" s="554"/>
      <c r="AM60" s="554"/>
      <c r="AN60" s="554"/>
      <c r="AO60" s="554"/>
      <c r="AP60" s="554"/>
      <c r="AQ60" s="555"/>
      <c r="AR60" s="404"/>
      <c r="AS60" s="683"/>
      <c r="AT60" s="176"/>
      <c r="AU60" s="176"/>
      <c r="AV60" s="404"/>
      <c r="AW60" s="404"/>
      <c r="AZ60" s="176"/>
    </row>
    <row r="61" spans="2:52" ht="14.45" hidden="1" customHeight="1" outlineLevel="1">
      <c r="B61" s="81" t="s">
        <v>25</v>
      </c>
      <c r="C61" s="81" t="s">
        <v>44</v>
      </c>
      <c r="D61" s="303" t="s">
        <v>86</v>
      </c>
      <c r="E61" s="304">
        <f>master_Daily!E10</f>
        <v>0</v>
      </c>
      <c r="F61" s="304">
        <f>master_Daily!F10</f>
        <v>0</v>
      </c>
      <c r="G61" s="304">
        <f>master_Daily!G10</f>
        <v>0</v>
      </c>
      <c r="H61" s="304">
        <f>master_Daily!H10</f>
        <v>0</v>
      </c>
      <c r="I61" s="304">
        <f>master_Daily!I10</f>
        <v>0</v>
      </c>
      <c r="J61" s="304">
        <f>master_Daily!J10</f>
        <v>0</v>
      </c>
      <c r="K61" s="304">
        <f>master_Daily!K10</f>
        <v>0</v>
      </c>
      <c r="L61" s="304">
        <f>master_Daily!L10</f>
        <v>0</v>
      </c>
      <c r="M61" s="304">
        <f>master_Daily!M10</f>
        <v>0</v>
      </c>
      <c r="N61" s="304">
        <f>master_Daily!N10</f>
        <v>0</v>
      </c>
      <c r="O61" s="304">
        <f>master_Daily!O10</f>
        <v>0</v>
      </c>
      <c r="P61" s="304">
        <f>master_Daily!P10</f>
        <v>0</v>
      </c>
      <c r="Q61" s="342">
        <f>master_Daily!Q10</f>
        <v>0</v>
      </c>
      <c r="R61" s="342">
        <f>master_Daily!R10</f>
        <v>0</v>
      </c>
      <c r="S61" s="304">
        <f>master_Daily!S10</f>
        <v>0</v>
      </c>
      <c r="T61" s="315">
        <f t="shared" si="21"/>
        <v>0</v>
      </c>
      <c r="U61" s="305">
        <f t="shared" si="22"/>
        <v>0</v>
      </c>
      <c r="V61" s="306">
        <f t="shared" si="23"/>
        <v>0</v>
      </c>
      <c r="W61" s="70">
        <f>master_Daily!W10</f>
        <v>0</v>
      </c>
      <c r="X61" s="84">
        <f t="shared" si="24"/>
        <v>0</v>
      </c>
      <c r="Y61" s="333"/>
      <c r="Z61" s="333"/>
      <c r="AA61" s="333"/>
      <c r="AB61" s="333"/>
      <c r="AC61" s="404"/>
      <c r="AD61" s="404"/>
      <c r="AE61" s="554"/>
      <c r="AF61" s="554"/>
      <c r="AG61" s="554"/>
      <c r="AH61" s="554"/>
      <c r="AI61" s="554"/>
      <c r="AJ61" s="554"/>
      <c r="AK61" s="554"/>
      <c r="AL61" s="554"/>
      <c r="AM61" s="554"/>
      <c r="AN61" s="554"/>
      <c r="AO61" s="554"/>
      <c r="AP61" s="554"/>
      <c r="AQ61" s="555"/>
      <c r="AR61" s="404"/>
      <c r="AS61" s="683"/>
      <c r="AT61" s="176"/>
      <c r="AU61" s="176"/>
      <c r="AV61" s="404"/>
      <c r="AW61" s="404"/>
      <c r="AZ61" s="176"/>
    </row>
    <row r="62" spans="2:52" ht="12.6" hidden="1" customHeight="1" outlineLevel="1">
      <c r="B62" s="81" t="s">
        <v>25</v>
      </c>
      <c r="C62" s="81" t="s">
        <v>44</v>
      </c>
      <c r="D62" s="303" t="s">
        <v>87</v>
      </c>
      <c r="E62" s="304">
        <f>master_Daily!E11</f>
        <v>0</v>
      </c>
      <c r="F62" s="304">
        <f>master_Daily!F11</f>
        <v>0</v>
      </c>
      <c r="G62" s="304">
        <f>master_Daily!G11</f>
        <v>0</v>
      </c>
      <c r="H62" s="304">
        <f>master_Daily!H11</f>
        <v>0</v>
      </c>
      <c r="I62" s="304">
        <f>master_Daily!I11</f>
        <v>0</v>
      </c>
      <c r="J62" s="304">
        <f>master_Daily!J11</f>
        <v>0</v>
      </c>
      <c r="K62" s="304">
        <f>master_Daily!K11</f>
        <v>0</v>
      </c>
      <c r="L62" s="304">
        <f>master_Daily!L11</f>
        <v>0</v>
      </c>
      <c r="M62" s="304">
        <f>master_Daily!M11</f>
        <v>0</v>
      </c>
      <c r="N62" s="304">
        <f>master_Daily!N11</f>
        <v>0</v>
      </c>
      <c r="O62" s="304">
        <f>master_Daily!O11</f>
        <v>0</v>
      </c>
      <c r="P62" s="304">
        <f>master_Daily!P11</f>
        <v>0</v>
      </c>
      <c r="Q62" s="342">
        <f>master_Daily!Q11</f>
        <v>0</v>
      </c>
      <c r="R62" s="342">
        <f>master_Daily!R11</f>
        <v>0</v>
      </c>
      <c r="S62" s="304">
        <f>master_Daily!S11</f>
        <v>0</v>
      </c>
      <c r="T62" s="315">
        <f t="shared" si="21"/>
        <v>0</v>
      </c>
      <c r="U62" s="305">
        <f t="shared" si="22"/>
        <v>0</v>
      </c>
      <c r="V62" s="306">
        <f t="shared" si="23"/>
        <v>0</v>
      </c>
      <c r="W62" s="70">
        <f>master_Daily!W11</f>
        <v>0</v>
      </c>
      <c r="X62" s="84">
        <f t="shared" si="24"/>
        <v>0</v>
      </c>
      <c r="Y62" s="333"/>
      <c r="Z62" s="333"/>
      <c r="AA62" s="333"/>
      <c r="AB62" s="333"/>
      <c r="AC62" s="404"/>
      <c r="AD62" s="404"/>
      <c r="AE62" s="554"/>
      <c r="AF62" s="554"/>
      <c r="AG62" s="554"/>
      <c r="AH62" s="554"/>
      <c r="AI62" s="554"/>
      <c r="AJ62" s="554"/>
      <c r="AK62" s="554"/>
      <c r="AL62" s="554"/>
      <c r="AM62" s="554"/>
      <c r="AN62" s="554"/>
      <c r="AO62" s="554"/>
      <c r="AP62" s="554"/>
      <c r="AQ62" s="555"/>
      <c r="AR62" s="404"/>
      <c r="AS62" s="683"/>
      <c r="AT62" s="176"/>
      <c r="AU62" s="176"/>
      <c r="AV62" s="404"/>
      <c r="AW62" s="404"/>
      <c r="AZ62" s="176"/>
    </row>
    <row r="63" spans="2:52" collapsed="1">
      <c r="B63" s="81" t="s">
        <v>25</v>
      </c>
      <c r="C63" s="81" t="s">
        <v>44</v>
      </c>
      <c r="D63" s="81"/>
      <c r="E63" s="661">
        <f>master_Daily!E16</f>
        <v>6.8156000000000008</v>
      </c>
      <c r="F63" s="661">
        <f>master_Daily!F16</f>
        <v>5.88598</v>
      </c>
      <c r="G63" s="661">
        <f>master_Daily!G16</f>
        <v>6.4652000000000003</v>
      </c>
      <c r="H63" s="661">
        <f>master_Daily!H16</f>
        <v>6.3644999999999996</v>
      </c>
      <c r="I63" s="661">
        <f>master_Daily!I16</f>
        <v>6.2873200000000002</v>
      </c>
      <c r="J63" s="661">
        <f>master_Daily!J16</f>
        <v>3.3018800000000001</v>
      </c>
      <c r="K63" s="661">
        <f>master_Daily!K16</f>
        <v>0</v>
      </c>
      <c r="L63" s="661">
        <f>master_Daily!L16</f>
        <v>0</v>
      </c>
      <c r="M63" s="661">
        <f>master_Daily!M16</f>
        <v>0</v>
      </c>
      <c r="N63" s="661">
        <f>master_Daily!N16</f>
        <v>0</v>
      </c>
      <c r="O63" s="661">
        <f>master_Daily!O16</f>
        <v>0</v>
      </c>
      <c r="P63" s="661">
        <f>master_Daily!P16</f>
        <v>0</v>
      </c>
      <c r="Q63" s="340">
        <f>Q181+AM181</f>
        <v>5.4113681089112058</v>
      </c>
      <c r="R63" s="340">
        <f ca="1">AN181+R181</f>
        <v>0.1036</v>
      </c>
      <c r="S63" s="340">
        <f ca="1">AO181+S181</f>
        <v>3.3018800000000001</v>
      </c>
      <c r="T63" s="84">
        <f ca="1">IFERROR(S63/Q63,0)</f>
        <v>0.61017471617992647</v>
      </c>
      <c r="U63" s="341">
        <f>SUM(E63:P63)</f>
        <v>35.120480000000001</v>
      </c>
      <c r="V63" s="84">
        <f>IFERROR(U63/$U$82,0)</f>
        <v>4.688732494325136E-2</v>
      </c>
      <c r="W63" s="340">
        <f>AS181+S181</f>
        <v>3.1938800000000001</v>
      </c>
      <c r="X63" s="84">
        <f>IFERROR(W63/Q63,0)</f>
        <v>0.590216731835422</v>
      </c>
      <c r="Y63" s="333">
        <f ca="1">S63/AG63</f>
        <v>0.50515484736792826</v>
      </c>
      <c r="Z63" s="333">
        <f>U63/AQ63</f>
        <v>1.070006195668594</v>
      </c>
      <c r="AA63" s="333">
        <v>1.3058577639135427</v>
      </c>
      <c r="AB63" s="333">
        <v>1.0668492330645756</v>
      </c>
      <c r="AC63" s="620" t="s">
        <v>44</v>
      </c>
      <c r="AD63" s="634">
        <f>AF63/$AF$82</f>
        <v>4.2540438951836249E-2</v>
      </c>
      <c r="AE63" s="554">
        <v>6.2477179999999999</v>
      </c>
      <c r="AF63" s="554">
        <v>5.9008900000000004</v>
      </c>
      <c r="AG63" s="554">
        <v>6.5363720000000001</v>
      </c>
      <c r="AH63" s="554">
        <v>6.1242089999999996</v>
      </c>
      <c r="AI63" s="554">
        <v>5.5643199999999995</v>
      </c>
      <c r="AJ63" s="554">
        <v>2.4491794499999999</v>
      </c>
      <c r="AK63" s="554"/>
      <c r="AL63" s="554"/>
      <c r="AM63" s="554"/>
      <c r="AN63" s="554"/>
      <c r="AO63" s="554"/>
      <c r="AP63" s="554"/>
      <c r="AQ63" s="555">
        <f>SUM(AE63:AP63)</f>
        <v>32.822688450000001</v>
      </c>
      <c r="AR63" s="404"/>
      <c r="AS63" s="683"/>
      <c r="AT63" s="176"/>
      <c r="AU63" s="176"/>
      <c r="AV63" s="404"/>
      <c r="AW63" s="404"/>
      <c r="AZ63" s="176"/>
    </row>
    <row r="64" spans="2:52" ht="14.45" hidden="1" customHeight="1" outlineLevel="1">
      <c r="B64" s="81" t="s">
        <v>25</v>
      </c>
      <c r="C64" s="81" t="s">
        <v>45</v>
      </c>
      <c r="D64" s="303" t="s">
        <v>88</v>
      </c>
      <c r="E64" s="661">
        <f>master_Daily!E17</f>
        <v>2.13368</v>
      </c>
      <c r="F64" s="661">
        <f>master_Daily!F17</f>
        <v>2.04888</v>
      </c>
      <c r="G64" s="661">
        <f>master_Daily!G17</f>
        <v>2.12906</v>
      </c>
      <c r="H64" s="661">
        <f>master_Daily!H17</f>
        <v>1.7956799999999999</v>
      </c>
      <c r="I64" s="661">
        <f>master_Daily!I17</f>
        <v>1.57602</v>
      </c>
      <c r="J64" s="661">
        <f>master_Daily!J17</f>
        <v>0.74995999999999996</v>
      </c>
      <c r="K64" s="661">
        <f>master_Daily!K17</f>
        <v>0</v>
      </c>
      <c r="L64" s="661">
        <f>master_Daily!L17</f>
        <v>0</v>
      </c>
      <c r="M64" s="661">
        <f>master_Daily!M17</f>
        <v>0</v>
      </c>
      <c r="N64" s="661">
        <f>master_Daily!N17</f>
        <v>0</v>
      </c>
      <c r="O64" s="661">
        <f>master_Daily!O17</f>
        <v>0</v>
      </c>
      <c r="P64" s="661">
        <f>master_Daily!P17</f>
        <v>0</v>
      </c>
      <c r="Q64" s="342">
        <f>master_Daily!Q17</f>
        <v>0</v>
      </c>
      <c r="R64" s="342">
        <f>master_Daily!R17</f>
        <v>2.6200000000000001E-2</v>
      </c>
      <c r="S64" s="342">
        <f>master_Daily!S17</f>
        <v>0.74995999999999996</v>
      </c>
      <c r="T64" s="315">
        <f t="shared" si="21"/>
        <v>0</v>
      </c>
      <c r="U64" s="343">
        <f t="shared" si="22"/>
        <v>10.43328</v>
      </c>
      <c r="V64" s="344">
        <f>IFERROR(U64/$U$67,0)</f>
        <v>1</v>
      </c>
      <c r="W64" s="345">
        <f>master_Daily!W17</f>
        <v>0.73295999999999994</v>
      </c>
      <c r="X64" s="84">
        <f t="shared" si="24"/>
        <v>0</v>
      </c>
      <c r="Y64" s="333" t="e">
        <f t="shared" ref="Y64:Y80" si="25">S64/AJ64</f>
        <v>#DIV/0!</v>
      </c>
      <c r="Z64" s="333" t="e">
        <f t="shared" ref="Z64:Z82" si="26">U64/AQ64</f>
        <v>#DIV/0!</v>
      </c>
      <c r="AA64" s="333"/>
      <c r="AB64" s="333"/>
      <c r="AC64" s="620"/>
      <c r="AD64" s="634">
        <f t="shared" ref="AD64:AD80" si="27">AG64/$AG$82</f>
        <v>0</v>
      </c>
      <c r="AE64" s="554"/>
      <c r="AF64" s="554"/>
      <c r="AG64" s="554"/>
      <c r="AH64" s="554"/>
      <c r="AI64" s="554"/>
      <c r="AJ64" s="554"/>
      <c r="AK64" s="554"/>
      <c r="AL64" s="554"/>
      <c r="AM64" s="554"/>
      <c r="AN64" s="554"/>
      <c r="AO64" s="554"/>
      <c r="AP64" s="554"/>
      <c r="AQ64" s="555">
        <f t="shared" ref="AQ64:AQ82" si="28">SUM(AE64:AP64)</f>
        <v>0</v>
      </c>
      <c r="AR64" s="404"/>
      <c r="AS64" s="683"/>
      <c r="AT64" s="176"/>
      <c r="AU64" s="176"/>
      <c r="AV64" s="404"/>
      <c r="AW64" s="404"/>
      <c r="AZ64" s="176"/>
    </row>
    <row r="65" spans="2:52" ht="14.45" hidden="1" customHeight="1" outlineLevel="1">
      <c r="B65" s="81" t="s">
        <v>25</v>
      </c>
      <c r="C65" s="81" t="s">
        <v>45</v>
      </c>
      <c r="D65" s="303" t="s">
        <v>89</v>
      </c>
      <c r="E65" s="661">
        <f>master_Daily!E18</f>
        <v>0</v>
      </c>
      <c r="F65" s="661">
        <f>master_Daily!F18</f>
        <v>0</v>
      </c>
      <c r="G65" s="661">
        <f>master_Daily!G18</f>
        <v>0</v>
      </c>
      <c r="H65" s="661">
        <f>master_Daily!H18</f>
        <v>0</v>
      </c>
      <c r="I65" s="661">
        <f>master_Daily!I18</f>
        <v>0</v>
      </c>
      <c r="J65" s="661">
        <f>master_Daily!J18</f>
        <v>0</v>
      </c>
      <c r="K65" s="661">
        <f>master_Daily!K18</f>
        <v>0</v>
      </c>
      <c r="L65" s="661">
        <f>master_Daily!L18</f>
        <v>0</v>
      </c>
      <c r="M65" s="661">
        <f>master_Daily!M18</f>
        <v>0</v>
      </c>
      <c r="N65" s="661">
        <f>master_Daily!N18</f>
        <v>0</v>
      </c>
      <c r="O65" s="661">
        <f>master_Daily!O18</f>
        <v>0</v>
      </c>
      <c r="P65" s="661">
        <f>master_Daily!P18</f>
        <v>0</v>
      </c>
      <c r="Q65" s="342">
        <f>master_Daily!Q18</f>
        <v>0</v>
      </c>
      <c r="R65" s="342">
        <f>master_Daily!R18</f>
        <v>0</v>
      </c>
      <c r="S65" s="342">
        <f>master_Daily!S18</f>
        <v>0</v>
      </c>
      <c r="T65" s="315">
        <f t="shared" si="21"/>
        <v>0</v>
      </c>
      <c r="U65" s="343">
        <f t="shared" si="22"/>
        <v>0</v>
      </c>
      <c r="V65" s="344">
        <f>IFERROR(U65/$U$67,0)</f>
        <v>0</v>
      </c>
      <c r="W65" s="345">
        <f>master_Daily!W18</f>
        <v>0</v>
      </c>
      <c r="X65" s="84">
        <f t="shared" si="24"/>
        <v>0</v>
      </c>
      <c r="Y65" s="333" t="e">
        <f t="shared" si="25"/>
        <v>#DIV/0!</v>
      </c>
      <c r="Z65" s="333" t="e">
        <f t="shared" si="26"/>
        <v>#DIV/0!</v>
      </c>
      <c r="AA65" s="333"/>
      <c r="AB65" s="333"/>
      <c r="AC65" s="620"/>
      <c r="AD65" s="634">
        <f t="shared" si="27"/>
        <v>0</v>
      </c>
      <c r="AE65" s="554"/>
      <c r="AF65" s="554"/>
      <c r="AG65" s="554"/>
      <c r="AH65" s="554"/>
      <c r="AI65" s="554"/>
      <c r="AJ65" s="554"/>
      <c r="AK65" s="554"/>
      <c r="AL65" s="554"/>
      <c r="AM65" s="554"/>
      <c r="AN65" s="554"/>
      <c r="AO65" s="554"/>
      <c r="AP65" s="554"/>
      <c r="AQ65" s="555">
        <f t="shared" si="28"/>
        <v>0</v>
      </c>
      <c r="AR65" s="404"/>
      <c r="AS65" s="683"/>
      <c r="AT65" s="176"/>
      <c r="AU65" s="176"/>
      <c r="AV65" s="404"/>
      <c r="AW65" s="404"/>
      <c r="AZ65" s="176"/>
    </row>
    <row r="66" spans="2:52" ht="14.45" hidden="1" customHeight="1" outlineLevel="1">
      <c r="B66" s="81" t="s">
        <v>25</v>
      </c>
      <c r="C66" s="81" t="s">
        <v>45</v>
      </c>
      <c r="D66" s="303" t="s">
        <v>90</v>
      </c>
      <c r="E66" s="661">
        <f>master_Daily!E19</f>
        <v>0</v>
      </c>
      <c r="F66" s="661">
        <f>master_Daily!F19</f>
        <v>0</v>
      </c>
      <c r="G66" s="661">
        <f>master_Daily!G19</f>
        <v>0</v>
      </c>
      <c r="H66" s="661">
        <f>master_Daily!H19</f>
        <v>0</v>
      </c>
      <c r="I66" s="661">
        <f>master_Daily!I19</f>
        <v>0</v>
      </c>
      <c r="J66" s="661">
        <f>master_Daily!J19</f>
        <v>0</v>
      </c>
      <c r="K66" s="661">
        <f>master_Daily!K19</f>
        <v>0</v>
      </c>
      <c r="L66" s="661">
        <f>master_Daily!L19</f>
        <v>0</v>
      </c>
      <c r="M66" s="661">
        <f>master_Daily!M19</f>
        <v>0</v>
      </c>
      <c r="N66" s="661">
        <f>master_Daily!N19</f>
        <v>0</v>
      </c>
      <c r="O66" s="661">
        <f>master_Daily!O19</f>
        <v>0</v>
      </c>
      <c r="P66" s="661">
        <f>master_Daily!P19</f>
        <v>0</v>
      </c>
      <c r="Q66" s="342">
        <f>master_Daily!Q19</f>
        <v>0</v>
      </c>
      <c r="R66" s="342">
        <f>master_Daily!R19</f>
        <v>0</v>
      </c>
      <c r="S66" s="342">
        <f>master_Daily!S19</f>
        <v>0</v>
      </c>
      <c r="T66" s="315">
        <f t="shared" si="21"/>
        <v>0</v>
      </c>
      <c r="U66" s="343">
        <f t="shared" si="22"/>
        <v>0</v>
      </c>
      <c r="V66" s="344">
        <f>IFERROR(U66/$U$67,0)</f>
        <v>0</v>
      </c>
      <c r="W66" s="345">
        <f>master_Daily!W19</f>
        <v>0</v>
      </c>
      <c r="X66" s="84">
        <f t="shared" si="24"/>
        <v>0</v>
      </c>
      <c r="Y66" s="333" t="e">
        <f t="shared" si="25"/>
        <v>#DIV/0!</v>
      </c>
      <c r="Z66" s="333" t="e">
        <f t="shared" si="26"/>
        <v>#DIV/0!</v>
      </c>
      <c r="AA66" s="333"/>
      <c r="AB66" s="333"/>
      <c r="AC66" s="620"/>
      <c r="AD66" s="634">
        <f t="shared" si="27"/>
        <v>0</v>
      </c>
      <c r="AE66" s="554"/>
      <c r="AF66" s="554"/>
      <c r="AG66" s="554"/>
      <c r="AH66" s="554"/>
      <c r="AI66" s="554"/>
      <c r="AJ66" s="554"/>
      <c r="AK66" s="554"/>
      <c r="AL66" s="554"/>
      <c r="AM66" s="554"/>
      <c r="AN66" s="554"/>
      <c r="AO66" s="554"/>
      <c r="AP66" s="554"/>
      <c r="AQ66" s="555">
        <f t="shared" si="28"/>
        <v>0</v>
      </c>
      <c r="AR66" s="404"/>
      <c r="AS66" s="683"/>
      <c r="AT66" s="176"/>
      <c r="AU66" s="176"/>
      <c r="AV66" s="404"/>
      <c r="AW66" s="404"/>
      <c r="AZ66" s="176"/>
    </row>
    <row r="67" spans="2:52" collapsed="1">
      <c r="B67" s="81" t="s">
        <v>25</v>
      </c>
      <c r="C67" s="81" t="s">
        <v>45</v>
      </c>
      <c r="D67" s="302"/>
      <c r="E67" s="661">
        <f>master_Daily!E27</f>
        <v>2.13368</v>
      </c>
      <c r="F67" s="661">
        <f>master_Daily!F27</f>
        <v>2.04888</v>
      </c>
      <c r="G67" s="661">
        <f>master_Daily!G27</f>
        <v>2.12906</v>
      </c>
      <c r="H67" s="661">
        <f>master_Daily!H27</f>
        <v>1.7956800000000002</v>
      </c>
      <c r="I67" s="661">
        <f>master_Daily!I27</f>
        <v>1.5760200000000002</v>
      </c>
      <c r="J67" s="661">
        <f>master_Daily!J27</f>
        <v>0.74996000000000007</v>
      </c>
      <c r="K67" s="661">
        <f>master_Daily!K27</f>
        <v>0</v>
      </c>
      <c r="L67" s="661">
        <f>master_Daily!L27</f>
        <v>0</v>
      </c>
      <c r="M67" s="661">
        <f>master_Daily!M27</f>
        <v>0</v>
      </c>
      <c r="N67" s="661">
        <f>master_Daily!N27</f>
        <v>0</v>
      </c>
      <c r="O67" s="661">
        <f>master_Daily!O27</f>
        <v>0</v>
      </c>
      <c r="P67" s="661">
        <f>master_Daily!P27</f>
        <v>0</v>
      </c>
      <c r="Q67" s="340">
        <f>Q184+AM184</f>
        <v>1.5663994972227151</v>
      </c>
      <c r="R67" s="340">
        <f ca="1">AN184+R184</f>
        <v>2.6200000000000001E-2</v>
      </c>
      <c r="S67" s="340">
        <f ca="1">AO184+S184</f>
        <v>0.74996000000000007</v>
      </c>
      <c r="T67" s="84">
        <f t="shared" ca="1" si="21"/>
        <v>0.47877952037759663</v>
      </c>
      <c r="U67" s="341">
        <f t="shared" si="22"/>
        <v>10.43328</v>
      </c>
      <c r="V67" s="84">
        <f>IFERROR(U67/$U$82,0)</f>
        <v>1.3928869696084039E-2</v>
      </c>
      <c r="W67" s="340">
        <f>AS184+S184</f>
        <v>0.73296000000000006</v>
      </c>
      <c r="X67" s="84">
        <f t="shared" si="24"/>
        <v>0.46792660576025819</v>
      </c>
      <c r="Y67" s="333">
        <f ca="1">S67/AG67</f>
        <v>0.45434250406961157</v>
      </c>
      <c r="Z67" s="333">
        <f>U67/AQ67</f>
        <v>1.2583020697440161</v>
      </c>
      <c r="AA67" s="333">
        <v>1.1697786389169107</v>
      </c>
      <c r="AB67" s="333">
        <v>1.2551084586450305</v>
      </c>
      <c r="AC67" s="620" t="s">
        <v>45</v>
      </c>
      <c r="AD67" s="634">
        <f>AF67/$AF$82</f>
        <v>1.0759319898277364E-2</v>
      </c>
      <c r="AE67" s="554">
        <v>1.576953</v>
      </c>
      <c r="AF67" s="554">
        <v>1.4924520000000001</v>
      </c>
      <c r="AG67" s="554">
        <v>1.6506489999999996</v>
      </c>
      <c r="AH67" s="554">
        <v>1.5462549999999999</v>
      </c>
      <c r="AI67" s="554">
        <v>1.4065300000000001</v>
      </c>
      <c r="AJ67" s="554">
        <v>0.61871535</v>
      </c>
      <c r="AK67" s="554"/>
      <c r="AL67" s="554"/>
      <c r="AM67" s="554"/>
      <c r="AN67" s="554"/>
      <c r="AO67" s="554"/>
      <c r="AP67" s="554"/>
      <c r="AQ67" s="555">
        <f>SUM(AE67:AP67)</f>
        <v>8.2915543500000002</v>
      </c>
      <c r="AR67" s="404"/>
      <c r="AS67" s="683"/>
      <c r="AT67" s="176"/>
      <c r="AU67" s="176"/>
      <c r="AV67" s="404"/>
      <c r="AW67" s="404"/>
      <c r="AZ67" s="176"/>
    </row>
    <row r="68" spans="2:52" ht="14.45" hidden="1" customHeight="1" outlineLevel="1">
      <c r="B68" s="81" t="s">
        <v>25</v>
      </c>
      <c r="C68" s="81" t="s">
        <v>46</v>
      </c>
      <c r="D68" s="303" t="s">
        <v>91</v>
      </c>
      <c r="E68" s="661">
        <f>master_Daily!E28</f>
        <v>0</v>
      </c>
      <c r="F68" s="661">
        <f>master_Daily!F28</f>
        <v>0</v>
      </c>
      <c r="G68" s="661">
        <f>master_Daily!G28</f>
        <v>0</v>
      </c>
      <c r="H68" s="661">
        <f>master_Daily!H28</f>
        <v>0</v>
      </c>
      <c r="I68" s="661">
        <f>master_Daily!I28</f>
        <v>0</v>
      </c>
      <c r="J68" s="661">
        <f>master_Daily!J28</f>
        <v>0</v>
      </c>
      <c r="K68" s="661">
        <f>master_Daily!K28</f>
        <v>0</v>
      </c>
      <c r="L68" s="661">
        <f>master_Daily!L28</f>
        <v>0</v>
      </c>
      <c r="M68" s="661">
        <f>master_Daily!M28</f>
        <v>0</v>
      </c>
      <c r="N68" s="661">
        <f>master_Daily!N28</f>
        <v>0</v>
      </c>
      <c r="O68" s="661">
        <f>master_Daily!O28</f>
        <v>0</v>
      </c>
      <c r="P68" s="661">
        <f>master_Daily!P28</f>
        <v>0</v>
      </c>
      <c r="Q68" s="342">
        <f>master_Daily!Q28</f>
        <v>0</v>
      </c>
      <c r="R68" s="342">
        <f>master_Daily!R28</f>
        <v>0</v>
      </c>
      <c r="S68" s="342">
        <f>master_Daily!S28</f>
        <v>0</v>
      </c>
      <c r="T68" s="315">
        <f t="shared" si="21"/>
        <v>0</v>
      </c>
      <c r="U68" s="343">
        <f t="shared" si="22"/>
        <v>0</v>
      </c>
      <c r="V68" s="344">
        <f>IFERROR(U68/$U$72,0)</f>
        <v>0</v>
      </c>
      <c r="W68" s="345">
        <f>master_Daily!W28</f>
        <v>0</v>
      </c>
      <c r="X68" s="84">
        <f t="shared" si="24"/>
        <v>0</v>
      </c>
      <c r="Y68" s="333" t="e">
        <f t="shared" si="25"/>
        <v>#DIV/0!</v>
      </c>
      <c r="Z68" s="333" t="e">
        <f t="shared" si="26"/>
        <v>#DIV/0!</v>
      </c>
      <c r="AA68" s="333"/>
      <c r="AB68" s="333"/>
      <c r="AC68" s="620"/>
      <c r="AD68" s="634">
        <f t="shared" si="27"/>
        <v>0</v>
      </c>
      <c r="AE68" s="554"/>
      <c r="AF68" s="554"/>
      <c r="AG68" s="554"/>
      <c r="AH68" s="554"/>
      <c r="AI68" s="554"/>
      <c r="AJ68" s="554"/>
      <c r="AK68" s="554"/>
      <c r="AL68" s="554"/>
      <c r="AM68" s="554"/>
      <c r="AN68" s="554"/>
      <c r="AO68" s="554"/>
      <c r="AP68" s="554"/>
      <c r="AQ68" s="555">
        <f t="shared" si="28"/>
        <v>0</v>
      </c>
      <c r="AR68" s="404"/>
      <c r="AS68" s="683"/>
      <c r="AT68" s="176"/>
      <c r="AU68" s="176"/>
      <c r="AV68" s="404"/>
      <c r="AW68" s="404"/>
      <c r="AZ68" s="176"/>
    </row>
    <row r="69" spans="2:52" ht="14.45" hidden="1" customHeight="1" outlineLevel="1">
      <c r="B69" s="81" t="s">
        <v>25</v>
      </c>
      <c r="C69" s="81" t="s">
        <v>46</v>
      </c>
      <c r="D69" s="303" t="s">
        <v>92</v>
      </c>
      <c r="E69" s="661">
        <f>master_Daily!E29</f>
        <v>13.77474</v>
      </c>
      <c r="F69" s="661">
        <f>master_Daily!F29</f>
        <v>17.475960000000001</v>
      </c>
      <c r="G69" s="661">
        <f>master_Daily!G29</f>
        <v>13.018940000000001</v>
      </c>
      <c r="H69" s="661">
        <f>master_Daily!H29</f>
        <v>12.69164</v>
      </c>
      <c r="I69" s="661">
        <f>master_Daily!I29</f>
        <v>12.340820000000001</v>
      </c>
      <c r="J69" s="661">
        <f>master_Daily!J29</f>
        <v>6.2509399999999999</v>
      </c>
      <c r="K69" s="661">
        <f>master_Daily!K29</f>
        <v>0</v>
      </c>
      <c r="L69" s="661">
        <f>master_Daily!L29</f>
        <v>0</v>
      </c>
      <c r="M69" s="661">
        <f>master_Daily!M29</f>
        <v>0</v>
      </c>
      <c r="N69" s="661">
        <f>master_Daily!N29</f>
        <v>0</v>
      </c>
      <c r="O69" s="661">
        <f>master_Daily!O29</f>
        <v>0</v>
      </c>
      <c r="P69" s="661">
        <f>master_Daily!P29</f>
        <v>0</v>
      </c>
      <c r="Q69" s="342">
        <f>master_Daily!Q29</f>
        <v>0</v>
      </c>
      <c r="R69" s="342">
        <f>master_Daily!R29</f>
        <v>0.52639999999999998</v>
      </c>
      <c r="S69" s="342">
        <f>master_Daily!S29</f>
        <v>6.2509399999999999</v>
      </c>
      <c r="T69" s="315">
        <f t="shared" si="21"/>
        <v>0</v>
      </c>
      <c r="U69" s="343">
        <f t="shared" si="22"/>
        <v>75.553039999999996</v>
      </c>
      <c r="V69" s="344">
        <f>IFERROR(U69/$U$72,0)</f>
        <v>0.42891522818848032</v>
      </c>
      <c r="W69" s="345">
        <f>master_Daily!W29</f>
        <v>5.4909400000000002</v>
      </c>
      <c r="X69" s="84">
        <f t="shared" si="24"/>
        <v>0</v>
      </c>
      <c r="Y69" s="333" t="e">
        <f t="shared" si="25"/>
        <v>#DIV/0!</v>
      </c>
      <c r="Z69" s="333" t="e">
        <f t="shared" si="26"/>
        <v>#DIV/0!</v>
      </c>
      <c r="AA69" s="333"/>
      <c r="AB69" s="333"/>
      <c r="AC69" s="620"/>
      <c r="AD69" s="634">
        <f t="shared" si="27"/>
        <v>0</v>
      </c>
      <c r="AE69" s="554"/>
      <c r="AF69" s="554"/>
      <c r="AG69" s="554"/>
      <c r="AH69" s="554"/>
      <c r="AI69" s="554"/>
      <c r="AJ69" s="554"/>
      <c r="AK69" s="554"/>
      <c r="AL69" s="554"/>
      <c r="AM69" s="554"/>
      <c r="AN69" s="554"/>
      <c r="AO69" s="554"/>
      <c r="AP69" s="554"/>
      <c r="AQ69" s="555">
        <f t="shared" si="28"/>
        <v>0</v>
      </c>
      <c r="AR69" s="404"/>
      <c r="AS69" s="683"/>
      <c r="AT69" s="176"/>
      <c r="AU69" s="176"/>
      <c r="AV69" s="404"/>
      <c r="AW69" s="404"/>
      <c r="AZ69" s="176"/>
    </row>
    <row r="70" spans="2:52" ht="14.45" hidden="1" customHeight="1" outlineLevel="1">
      <c r="B70" s="81" t="s">
        <v>25</v>
      </c>
      <c r="C70" s="81" t="s">
        <v>46</v>
      </c>
      <c r="D70" s="303" t="s">
        <v>93</v>
      </c>
      <c r="E70" s="661">
        <f>master_Daily!E30</f>
        <v>10.50314</v>
      </c>
      <c r="F70" s="661">
        <f>master_Daily!F30</f>
        <v>7.8083200000000001</v>
      </c>
      <c r="G70" s="661">
        <f>master_Daily!G30</f>
        <v>8.4350799999999992</v>
      </c>
      <c r="H70" s="661">
        <f>master_Daily!H30</f>
        <v>8.5255200000000002</v>
      </c>
      <c r="I70" s="661">
        <f>master_Daily!I30</f>
        <v>8.4581999999999997</v>
      </c>
      <c r="J70" s="661">
        <f>master_Daily!J30</f>
        <v>3.9824000000000002</v>
      </c>
      <c r="K70" s="661">
        <f>master_Daily!K30</f>
        <v>0</v>
      </c>
      <c r="L70" s="661">
        <f>master_Daily!L30</f>
        <v>0</v>
      </c>
      <c r="M70" s="661">
        <f>master_Daily!M30</f>
        <v>0</v>
      </c>
      <c r="N70" s="661">
        <f>master_Daily!N30</f>
        <v>0</v>
      </c>
      <c r="O70" s="661">
        <f>master_Daily!O30</f>
        <v>0</v>
      </c>
      <c r="P70" s="661">
        <f>master_Daily!P30</f>
        <v>0</v>
      </c>
      <c r="Q70" s="342">
        <f>master_Daily!Q30</f>
        <v>0</v>
      </c>
      <c r="R70" s="342">
        <f>master_Daily!R30</f>
        <v>0.31180000000000002</v>
      </c>
      <c r="S70" s="342">
        <f>master_Daily!S30</f>
        <v>3.9824000000000002</v>
      </c>
      <c r="T70" s="315">
        <f t="shared" si="21"/>
        <v>0</v>
      </c>
      <c r="U70" s="343">
        <f t="shared" si="22"/>
        <v>47.712659999999993</v>
      </c>
      <c r="V70" s="344">
        <f>IFERROR(U70/$U$72,0)</f>
        <v>0.27086516242601721</v>
      </c>
      <c r="W70" s="345">
        <f>master_Daily!W30</f>
        <v>3.3073999999999999</v>
      </c>
      <c r="X70" s="84">
        <f t="shared" si="24"/>
        <v>0</v>
      </c>
      <c r="Y70" s="333" t="e">
        <f t="shared" si="25"/>
        <v>#DIV/0!</v>
      </c>
      <c r="Z70" s="333" t="e">
        <f t="shared" si="26"/>
        <v>#DIV/0!</v>
      </c>
      <c r="AA70" s="333"/>
      <c r="AB70" s="333"/>
      <c r="AC70" s="620"/>
      <c r="AD70" s="634">
        <f t="shared" si="27"/>
        <v>0</v>
      </c>
      <c r="AE70" s="554"/>
      <c r="AF70" s="554"/>
      <c r="AG70" s="554"/>
      <c r="AH70" s="554"/>
      <c r="AI70" s="554"/>
      <c r="AJ70" s="554"/>
      <c r="AK70" s="554"/>
      <c r="AL70" s="554"/>
      <c r="AM70" s="554"/>
      <c r="AN70" s="554"/>
      <c r="AO70" s="554"/>
      <c r="AP70" s="554"/>
      <c r="AQ70" s="555">
        <f t="shared" si="28"/>
        <v>0</v>
      </c>
      <c r="AR70" s="404"/>
      <c r="AS70" s="683"/>
      <c r="AT70" s="176"/>
      <c r="AU70" s="176"/>
      <c r="AV70" s="404"/>
      <c r="AW70" s="404"/>
      <c r="AZ70" s="176"/>
    </row>
    <row r="71" spans="2:52" ht="14.45" hidden="1" customHeight="1" outlineLevel="1">
      <c r="B71" s="81" t="s">
        <v>25</v>
      </c>
      <c r="C71" s="81" t="s">
        <v>46</v>
      </c>
      <c r="D71" s="303" t="s">
        <v>94</v>
      </c>
      <c r="E71" s="661">
        <f>master_Daily!E31</f>
        <v>11.38198</v>
      </c>
      <c r="F71" s="661">
        <f>master_Daily!F31</f>
        <v>5.3095600000000003</v>
      </c>
      <c r="G71" s="661">
        <f>master_Daily!G31</f>
        <v>10.46612</v>
      </c>
      <c r="H71" s="661">
        <f>master_Daily!H31</f>
        <v>10.491379999999999</v>
      </c>
      <c r="I71" s="661">
        <f>master_Daily!I31</f>
        <v>10.1762</v>
      </c>
      <c r="J71" s="661">
        <f>master_Daily!J31</f>
        <v>5.0581800000000001</v>
      </c>
      <c r="K71" s="661">
        <f>master_Daily!K31</f>
        <v>0</v>
      </c>
      <c r="L71" s="661">
        <f>master_Daily!L31</f>
        <v>0</v>
      </c>
      <c r="M71" s="661">
        <f>master_Daily!M31</f>
        <v>0</v>
      </c>
      <c r="N71" s="661">
        <f>master_Daily!N31</f>
        <v>0</v>
      </c>
      <c r="O71" s="661">
        <f>master_Daily!O31</f>
        <v>0</v>
      </c>
      <c r="P71" s="661">
        <f>master_Daily!P31</f>
        <v>0</v>
      </c>
      <c r="Q71" s="342">
        <f>master_Daily!Q31</f>
        <v>0</v>
      </c>
      <c r="R71" s="342">
        <f>master_Daily!R31</f>
        <v>0.37</v>
      </c>
      <c r="S71" s="342">
        <f>master_Daily!S31</f>
        <v>5.0581800000000001</v>
      </c>
      <c r="T71" s="315">
        <f t="shared" si="21"/>
        <v>0</v>
      </c>
      <c r="U71" s="343">
        <f t="shared" si="22"/>
        <v>52.883420000000001</v>
      </c>
      <c r="V71" s="344">
        <f>IFERROR(U71/$U$72,0)</f>
        <v>0.30021960938550252</v>
      </c>
      <c r="W71" s="345">
        <f>master_Daily!W31</f>
        <v>3.9831799999999999</v>
      </c>
      <c r="X71" s="84">
        <f t="shared" si="24"/>
        <v>0</v>
      </c>
      <c r="Y71" s="333" t="e">
        <f t="shared" si="25"/>
        <v>#DIV/0!</v>
      </c>
      <c r="Z71" s="333" t="e">
        <f t="shared" si="26"/>
        <v>#DIV/0!</v>
      </c>
      <c r="AA71" s="333"/>
      <c r="AB71" s="333"/>
      <c r="AC71" s="620"/>
      <c r="AD71" s="634">
        <f t="shared" si="27"/>
        <v>0</v>
      </c>
      <c r="AE71" s="554"/>
      <c r="AF71" s="554"/>
      <c r="AG71" s="554"/>
      <c r="AH71" s="554"/>
      <c r="AI71" s="554"/>
      <c r="AJ71" s="554"/>
      <c r="AK71" s="554"/>
      <c r="AL71" s="554"/>
      <c r="AM71" s="554"/>
      <c r="AN71" s="554"/>
      <c r="AO71" s="554"/>
      <c r="AP71" s="554"/>
      <c r="AQ71" s="555">
        <f t="shared" si="28"/>
        <v>0</v>
      </c>
      <c r="AR71" s="404"/>
      <c r="AS71" s="683"/>
      <c r="AT71" s="176"/>
      <c r="AU71" s="176"/>
      <c r="AV71" s="404"/>
      <c r="AW71" s="404"/>
      <c r="AZ71" s="176"/>
    </row>
    <row r="72" spans="2:52" collapsed="1">
      <c r="B72" s="81" t="s">
        <v>25</v>
      </c>
      <c r="C72" s="81" t="s">
        <v>46</v>
      </c>
      <c r="D72" s="302"/>
      <c r="E72" s="661">
        <f>master_Daily!E38</f>
        <v>35.659860000000002</v>
      </c>
      <c r="F72" s="661">
        <f>master_Daily!F38</f>
        <v>30.59384</v>
      </c>
      <c r="G72" s="661">
        <f>master_Daily!G38</f>
        <v>31.920139999999993</v>
      </c>
      <c r="H72" s="661">
        <f>master_Daily!H38</f>
        <v>31.708539999999996</v>
      </c>
      <c r="I72" s="661">
        <f>master_Daily!I38</f>
        <v>30.97522</v>
      </c>
      <c r="J72" s="661">
        <f>master_Daily!J38</f>
        <v>15.29152</v>
      </c>
      <c r="K72" s="661">
        <f>master_Daily!K38</f>
        <v>0</v>
      </c>
      <c r="L72" s="661">
        <f>master_Daily!L38</f>
        <v>0</v>
      </c>
      <c r="M72" s="661">
        <f>master_Daily!M38</f>
        <v>0</v>
      </c>
      <c r="N72" s="661">
        <f>master_Daily!N38</f>
        <v>0</v>
      </c>
      <c r="O72" s="661">
        <f>master_Daily!O38</f>
        <v>0</v>
      </c>
      <c r="P72" s="661">
        <f>master_Daily!P38</f>
        <v>0</v>
      </c>
      <c r="Q72" s="340">
        <f>Q189+AM189</f>
        <v>27.720428840091849</v>
      </c>
      <c r="R72" s="340">
        <f ca="1">AN189+R189</f>
        <v>1.2082000000000002</v>
      </c>
      <c r="S72" s="340">
        <f ca="1">AO189+S189</f>
        <v>15.29152</v>
      </c>
      <c r="T72" s="84">
        <f t="shared" ca="1" si="21"/>
        <v>0.55163360163764819</v>
      </c>
      <c r="U72" s="341">
        <f t="shared" si="22"/>
        <v>176.14911999999998</v>
      </c>
      <c r="V72" s="84">
        <f>IFERROR(U72/$U$82,0)</f>
        <v>0.23516651901989313</v>
      </c>
      <c r="W72" s="340">
        <f>AS189+S189</f>
        <v>12.78152</v>
      </c>
      <c r="X72" s="84">
        <f t="shared" si="24"/>
        <v>0.46108666188865677</v>
      </c>
      <c r="Y72" s="333">
        <f ca="1">S72/AG72</f>
        <v>0.39455759705126292</v>
      </c>
      <c r="Z72" s="333">
        <f t="shared" si="26"/>
        <v>0.90010499500008589</v>
      </c>
      <c r="AA72" s="333">
        <v>0.96411278663917499</v>
      </c>
      <c r="AB72" s="333">
        <v>0.89392937009343132</v>
      </c>
      <c r="AC72" s="620" t="s">
        <v>46</v>
      </c>
      <c r="AD72" s="634">
        <f>AF72/$AF$82</f>
        <v>0.25872756875489611</v>
      </c>
      <c r="AE72" s="554">
        <v>36.728189999999998</v>
      </c>
      <c r="AF72" s="554">
        <v>35.888743999999988</v>
      </c>
      <c r="AG72" s="554">
        <v>38.756115999999992</v>
      </c>
      <c r="AH72" s="554">
        <v>36.189902000000004</v>
      </c>
      <c r="AI72" s="554">
        <v>33.527918</v>
      </c>
      <c r="AJ72" s="554">
        <v>14.607544049999998</v>
      </c>
      <c r="AK72" s="554"/>
      <c r="AL72" s="554"/>
      <c r="AM72" s="554"/>
      <c r="AN72" s="554"/>
      <c r="AO72" s="554"/>
      <c r="AP72" s="554"/>
      <c r="AQ72" s="555">
        <f t="shared" si="28"/>
        <v>195.69841405</v>
      </c>
      <c r="AR72" s="404"/>
      <c r="AS72" s="683"/>
      <c r="AT72" s="176"/>
      <c r="AU72" s="176"/>
      <c r="AV72" s="404"/>
      <c r="AW72" s="404"/>
      <c r="AZ72" s="176"/>
    </row>
    <row r="73" spans="2:52" ht="14.45" hidden="1" customHeight="1" outlineLevel="1">
      <c r="B73" s="81" t="s">
        <v>25</v>
      </c>
      <c r="C73" s="81" t="s">
        <v>47</v>
      </c>
      <c r="D73" s="303" t="s">
        <v>95</v>
      </c>
      <c r="E73" s="661">
        <f>master_Daily!E39</f>
        <v>21.682200000000002</v>
      </c>
      <c r="F73" s="661">
        <f>master_Daily!F39</f>
        <v>20.175139999999999</v>
      </c>
      <c r="G73" s="661">
        <f>master_Daily!G39</f>
        <v>21.375540000000001</v>
      </c>
      <c r="H73" s="661">
        <f>master_Daily!H39</f>
        <v>19.175139999999999</v>
      </c>
      <c r="I73" s="661">
        <f>master_Daily!I39</f>
        <v>17.218520000000002</v>
      </c>
      <c r="J73" s="661">
        <f>master_Daily!J39</f>
        <v>7.7484999999999999</v>
      </c>
      <c r="K73" s="661">
        <f>master_Daily!K39</f>
        <v>0</v>
      </c>
      <c r="L73" s="661">
        <f>master_Daily!L39</f>
        <v>0</v>
      </c>
      <c r="M73" s="661">
        <f>master_Daily!M39</f>
        <v>0</v>
      </c>
      <c r="N73" s="661">
        <f>master_Daily!N39</f>
        <v>0</v>
      </c>
      <c r="O73" s="661">
        <f>master_Daily!O39</f>
        <v>0</v>
      </c>
      <c r="P73" s="661">
        <f>master_Daily!P39</f>
        <v>0</v>
      </c>
      <c r="Q73" s="342">
        <f>master_Daily!Q39</f>
        <v>0</v>
      </c>
      <c r="R73" s="342">
        <f>master_Daily!R39</f>
        <v>0.61140000000000005</v>
      </c>
      <c r="S73" s="342">
        <f>master_Daily!S39</f>
        <v>7.7484999999999999</v>
      </c>
      <c r="T73" s="315">
        <f t="shared" si="21"/>
        <v>0</v>
      </c>
      <c r="U73" s="343">
        <f t="shared" si="22"/>
        <v>107.37503999999998</v>
      </c>
      <c r="V73" s="344">
        <f>IFERROR(U73/$U$77,0)</f>
        <v>0.26556753201129429</v>
      </c>
      <c r="W73" s="345">
        <f>master_Daily!W39</f>
        <v>6.7892999999999999</v>
      </c>
      <c r="X73" s="84">
        <f t="shared" si="24"/>
        <v>0</v>
      </c>
      <c r="Y73" s="333" t="e">
        <f t="shared" si="25"/>
        <v>#DIV/0!</v>
      </c>
      <c r="Z73" s="333" t="e">
        <f t="shared" si="26"/>
        <v>#DIV/0!</v>
      </c>
      <c r="AA73" s="333"/>
      <c r="AB73" s="333"/>
      <c r="AC73" s="620"/>
      <c r="AD73" s="634">
        <f t="shared" si="27"/>
        <v>0</v>
      </c>
      <c r="AE73" s="554"/>
      <c r="AF73" s="554"/>
      <c r="AG73" s="554"/>
      <c r="AH73" s="554"/>
      <c r="AI73" s="554"/>
      <c r="AJ73" s="554"/>
      <c r="AK73" s="554"/>
      <c r="AL73" s="554"/>
      <c r="AM73" s="554"/>
      <c r="AN73" s="554"/>
      <c r="AO73" s="554"/>
      <c r="AP73" s="554"/>
      <c r="AQ73" s="555">
        <f t="shared" si="28"/>
        <v>0</v>
      </c>
      <c r="AR73" s="404"/>
      <c r="AS73" s="683"/>
      <c r="AT73" s="176"/>
      <c r="AU73" s="176"/>
      <c r="AV73" s="404"/>
      <c r="AW73" s="404"/>
      <c r="AZ73" s="176"/>
    </row>
    <row r="74" spans="2:52" ht="14.45" hidden="1" customHeight="1" outlineLevel="1">
      <c r="B74" s="81" t="s">
        <v>25</v>
      </c>
      <c r="C74" s="81" t="s">
        <v>47</v>
      </c>
      <c r="D74" s="303" t="s">
        <v>96</v>
      </c>
      <c r="E74" s="661">
        <f>master_Daily!E40</f>
        <v>0</v>
      </c>
      <c r="F74" s="661">
        <f>master_Daily!F40</f>
        <v>0</v>
      </c>
      <c r="G74" s="661">
        <f>master_Daily!G40</f>
        <v>0</v>
      </c>
      <c r="H74" s="661">
        <f>master_Daily!H40</f>
        <v>0</v>
      </c>
      <c r="I74" s="661">
        <f>master_Daily!I40</f>
        <v>0</v>
      </c>
      <c r="J74" s="661">
        <f>master_Daily!J40</f>
        <v>0</v>
      </c>
      <c r="K74" s="661">
        <f>master_Daily!K40</f>
        <v>0</v>
      </c>
      <c r="L74" s="661">
        <f>master_Daily!L40</f>
        <v>0</v>
      </c>
      <c r="M74" s="661">
        <f>master_Daily!M40</f>
        <v>0</v>
      </c>
      <c r="N74" s="661">
        <f>master_Daily!N40</f>
        <v>0</v>
      </c>
      <c r="O74" s="661">
        <f>master_Daily!O40</f>
        <v>0</v>
      </c>
      <c r="P74" s="661">
        <f>master_Daily!P40</f>
        <v>0</v>
      </c>
      <c r="Q74" s="342">
        <f>master_Daily!Q40</f>
        <v>0</v>
      </c>
      <c r="R74" s="342">
        <f>master_Daily!R40</f>
        <v>0</v>
      </c>
      <c r="S74" s="342">
        <f>master_Daily!S40</f>
        <v>0</v>
      </c>
      <c r="T74" s="315">
        <f t="shared" si="21"/>
        <v>0</v>
      </c>
      <c r="U74" s="343">
        <f t="shared" si="22"/>
        <v>0</v>
      </c>
      <c r="V74" s="344">
        <f>IFERROR(U74/$U$77,0)</f>
        <v>0</v>
      </c>
      <c r="W74" s="345">
        <f>master_Daily!W40</f>
        <v>0</v>
      </c>
      <c r="X74" s="84">
        <f t="shared" si="24"/>
        <v>0</v>
      </c>
      <c r="Y74" s="333" t="e">
        <f t="shared" si="25"/>
        <v>#DIV/0!</v>
      </c>
      <c r="Z74" s="333" t="e">
        <f t="shared" si="26"/>
        <v>#DIV/0!</v>
      </c>
      <c r="AA74" s="333"/>
      <c r="AB74" s="333"/>
      <c r="AC74" s="620"/>
      <c r="AD74" s="634">
        <f t="shared" si="27"/>
        <v>0</v>
      </c>
      <c r="AE74" s="554"/>
      <c r="AF74" s="554"/>
      <c r="AG74" s="554"/>
      <c r="AH74" s="554"/>
      <c r="AI74" s="554"/>
      <c r="AJ74" s="554"/>
      <c r="AK74" s="554"/>
      <c r="AL74" s="554"/>
      <c r="AM74" s="554"/>
      <c r="AN74" s="554"/>
      <c r="AO74" s="554"/>
      <c r="AP74" s="554"/>
      <c r="AQ74" s="555">
        <f t="shared" si="28"/>
        <v>0</v>
      </c>
      <c r="AR74" s="404"/>
      <c r="AS74" s="683"/>
      <c r="AT74" s="176"/>
      <c r="AU74" s="176"/>
      <c r="AV74" s="404"/>
      <c r="AW74" s="404"/>
      <c r="AZ74" s="176"/>
    </row>
    <row r="75" spans="2:52" ht="14.45" hidden="1" customHeight="1" outlineLevel="1">
      <c r="B75" s="81" t="s">
        <v>25</v>
      </c>
      <c r="C75" s="81" t="s">
        <v>47</v>
      </c>
      <c r="D75" s="303" t="s">
        <v>97</v>
      </c>
      <c r="E75" s="661">
        <f>master_Daily!E41</f>
        <v>46.255800000000001</v>
      </c>
      <c r="F75" s="661">
        <f>master_Daily!F41</f>
        <v>43.480600000000003</v>
      </c>
      <c r="G75" s="661">
        <f>master_Daily!G41</f>
        <v>49.1036</v>
      </c>
      <c r="H75" s="661">
        <f>master_Daily!H41</f>
        <v>46.398400000000002</v>
      </c>
      <c r="I75" s="661">
        <f>master_Daily!I41</f>
        <v>42.608600000000003</v>
      </c>
      <c r="J75" s="661">
        <f>master_Daily!J41</f>
        <v>21.4084</v>
      </c>
      <c r="K75" s="661">
        <f>master_Daily!K41</f>
        <v>0</v>
      </c>
      <c r="L75" s="661">
        <f>master_Daily!L41</f>
        <v>0</v>
      </c>
      <c r="M75" s="661">
        <f>master_Daily!M41</f>
        <v>0</v>
      </c>
      <c r="N75" s="661">
        <f>master_Daily!N41</f>
        <v>0</v>
      </c>
      <c r="O75" s="661">
        <f>master_Daily!O41</f>
        <v>0</v>
      </c>
      <c r="P75" s="661">
        <f>master_Daily!P41</f>
        <v>0</v>
      </c>
      <c r="Q75" s="342">
        <f>master_Daily!Q41</f>
        <v>0</v>
      </c>
      <c r="R75" s="342">
        <f>master_Daily!R41</f>
        <v>1.7864</v>
      </c>
      <c r="S75" s="342">
        <f>master_Daily!S41</f>
        <v>21.4084</v>
      </c>
      <c r="T75" s="315">
        <f t="shared" si="21"/>
        <v>0</v>
      </c>
      <c r="U75" s="343">
        <f t="shared" si="22"/>
        <v>249.25540000000001</v>
      </c>
      <c r="V75" s="344">
        <f>IFERROR(U75/$U$77,0)</f>
        <v>0.61647605829518648</v>
      </c>
      <c r="W75" s="345">
        <f>master_Daily!W41</f>
        <v>16.671399999999998</v>
      </c>
      <c r="X75" s="84">
        <f t="shared" si="24"/>
        <v>0</v>
      </c>
      <c r="Y75" s="333" t="e">
        <f t="shared" si="25"/>
        <v>#DIV/0!</v>
      </c>
      <c r="Z75" s="333" t="e">
        <f t="shared" si="26"/>
        <v>#DIV/0!</v>
      </c>
      <c r="AA75" s="333"/>
      <c r="AB75" s="333"/>
      <c r="AC75" s="620"/>
      <c r="AD75" s="634">
        <f t="shared" si="27"/>
        <v>0</v>
      </c>
      <c r="AE75" s="554"/>
      <c r="AF75" s="554"/>
      <c r="AG75" s="554"/>
      <c r="AH75" s="554"/>
      <c r="AI75" s="554"/>
      <c r="AJ75" s="554"/>
      <c r="AK75" s="554"/>
      <c r="AL75" s="554"/>
      <c r="AM75" s="554"/>
      <c r="AN75" s="554"/>
      <c r="AO75" s="554"/>
      <c r="AP75" s="554"/>
      <c r="AQ75" s="555">
        <f t="shared" si="28"/>
        <v>0</v>
      </c>
      <c r="AR75" s="404"/>
      <c r="AS75" s="683"/>
      <c r="AT75" s="176"/>
      <c r="AU75" s="176"/>
      <c r="AV75" s="404"/>
      <c r="AW75" s="404"/>
      <c r="AZ75" s="176"/>
    </row>
    <row r="76" spans="2:52" ht="14.45" hidden="1" customHeight="1" outlineLevel="1">
      <c r="B76" s="81" t="s">
        <v>25</v>
      </c>
      <c r="C76" s="81" t="s">
        <v>47</v>
      </c>
      <c r="D76" s="303" t="s">
        <v>98</v>
      </c>
      <c r="E76" s="661">
        <f>master_Daily!E42</f>
        <v>8.6454599999999999</v>
      </c>
      <c r="F76" s="661">
        <f>master_Daily!F42</f>
        <v>8.0405800000000003</v>
      </c>
      <c r="G76" s="661">
        <f>master_Daily!G42</f>
        <v>9.2601200000000006</v>
      </c>
      <c r="H76" s="661">
        <f>master_Daily!H42</f>
        <v>8.9246599999999994</v>
      </c>
      <c r="I76" s="661">
        <f>master_Daily!I42</f>
        <v>8.7733000000000008</v>
      </c>
      <c r="J76" s="661">
        <f>master_Daily!J42</f>
        <v>4.0483599999999997</v>
      </c>
      <c r="K76" s="661">
        <f>master_Daily!K42</f>
        <v>0</v>
      </c>
      <c r="L76" s="661">
        <f>master_Daily!L42</f>
        <v>0</v>
      </c>
      <c r="M76" s="661">
        <f>master_Daily!M42</f>
        <v>0</v>
      </c>
      <c r="N76" s="661">
        <f>master_Daily!N42</f>
        <v>0</v>
      </c>
      <c r="O76" s="661">
        <f>master_Daily!O42</f>
        <v>0</v>
      </c>
      <c r="P76" s="661">
        <f>master_Daily!P42</f>
        <v>0</v>
      </c>
      <c r="Q76" s="342">
        <f>master_Daily!Q42</f>
        <v>0</v>
      </c>
      <c r="R76" s="342">
        <f>master_Daily!R42</f>
        <v>0.27179999999999999</v>
      </c>
      <c r="S76" s="342">
        <f>master_Daily!S42</f>
        <v>4.0483599999999997</v>
      </c>
      <c r="T76" s="315">
        <f t="shared" si="21"/>
        <v>0</v>
      </c>
      <c r="U76" s="343">
        <f t="shared" si="22"/>
        <v>47.692479999999996</v>
      </c>
      <c r="V76" s="344">
        <f>IFERROR(U76/$U$77,0)</f>
        <v>0.11795640969351921</v>
      </c>
      <c r="W76" s="345">
        <f>master_Daily!W42</f>
        <v>3.4583599999999999</v>
      </c>
      <c r="X76" s="84">
        <f t="shared" si="24"/>
        <v>0</v>
      </c>
      <c r="Y76" s="333" t="e">
        <f t="shared" si="25"/>
        <v>#DIV/0!</v>
      </c>
      <c r="Z76" s="333" t="e">
        <f t="shared" si="26"/>
        <v>#DIV/0!</v>
      </c>
      <c r="AA76" s="333"/>
      <c r="AB76" s="333"/>
      <c r="AC76" s="620"/>
      <c r="AD76" s="634">
        <f t="shared" si="27"/>
        <v>0</v>
      </c>
      <c r="AE76" s="554"/>
      <c r="AF76" s="554"/>
      <c r="AG76" s="554"/>
      <c r="AH76" s="554"/>
      <c r="AI76" s="554"/>
      <c r="AJ76" s="554"/>
      <c r="AK76" s="554"/>
      <c r="AL76" s="554"/>
      <c r="AM76" s="554"/>
      <c r="AN76" s="554"/>
      <c r="AO76" s="554"/>
      <c r="AP76" s="554"/>
      <c r="AQ76" s="555">
        <f t="shared" si="28"/>
        <v>0</v>
      </c>
      <c r="AR76" s="404"/>
      <c r="AS76" s="683"/>
      <c r="AT76" s="176"/>
      <c r="AU76" s="176"/>
      <c r="AV76" s="404"/>
      <c r="AW76" s="404"/>
      <c r="AZ76" s="176"/>
    </row>
    <row r="77" spans="2:52" collapsed="1">
      <c r="B77" s="81" t="s">
        <v>25</v>
      </c>
      <c r="C77" s="81" t="s">
        <v>47</v>
      </c>
      <c r="D77" s="302"/>
      <c r="E77" s="661">
        <f>master_Daily!E49</f>
        <v>76.583460000000002</v>
      </c>
      <c r="F77" s="661">
        <f>master_Daily!F49</f>
        <v>71.69632</v>
      </c>
      <c r="G77" s="661">
        <f>master_Daily!G49</f>
        <v>79.739260000000002</v>
      </c>
      <c r="H77" s="661">
        <f>master_Daily!H49</f>
        <v>74.498199999999997</v>
      </c>
      <c r="I77" s="661">
        <f>master_Daily!I49</f>
        <v>68.600420000000014</v>
      </c>
      <c r="J77" s="661">
        <f>master_Daily!J49</f>
        <v>33.205260000000003</v>
      </c>
      <c r="K77" s="661">
        <f>master_Daily!K49</f>
        <v>0</v>
      </c>
      <c r="L77" s="661">
        <f>master_Daily!L49</f>
        <v>0</v>
      </c>
      <c r="M77" s="661">
        <f>master_Daily!M49</f>
        <v>0</v>
      </c>
      <c r="N77" s="661">
        <f>master_Daily!N49</f>
        <v>0</v>
      </c>
      <c r="O77" s="661">
        <f>master_Daily!O49</f>
        <v>0</v>
      </c>
      <c r="P77" s="661">
        <f>master_Daily!P49</f>
        <v>0</v>
      </c>
      <c r="Q77" s="340">
        <f>Q195+AM195</f>
        <v>65.447402588798539</v>
      </c>
      <c r="R77" s="340">
        <f ca="1">AN195+R195</f>
        <v>2.6696</v>
      </c>
      <c r="S77" s="340">
        <f ca="1">AO195+S195</f>
        <v>33.205260000000003</v>
      </c>
      <c r="T77" s="84">
        <f t="shared" ca="1" si="21"/>
        <v>0.50735794984296523</v>
      </c>
      <c r="U77" s="341">
        <f t="shared" si="22"/>
        <v>404.32292000000001</v>
      </c>
      <c r="V77" s="84">
        <f>IFERROR(U77/$U$82,0)</f>
        <v>0.53978818433131392</v>
      </c>
      <c r="W77" s="340">
        <f>AS195+S195</f>
        <v>26.919060000000002</v>
      </c>
      <c r="X77" s="84">
        <f t="shared" si="24"/>
        <v>0.41130830155522863</v>
      </c>
      <c r="Y77" s="333">
        <f ca="1">S77/AG77</f>
        <v>0.39890719625590243</v>
      </c>
      <c r="Z77" s="333">
        <f t="shared" si="26"/>
        <v>0.96138689070708849</v>
      </c>
      <c r="AA77" s="333">
        <v>0.97268567335575629</v>
      </c>
      <c r="AB77" s="333">
        <v>0.95503548671796712</v>
      </c>
      <c r="AC77" s="620" t="s">
        <v>47</v>
      </c>
      <c r="AD77" s="634">
        <f>AF77/$AF$82</f>
        <v>0.55713633852064581</v>
      </c>
      <c r="AE77" s="554">
        <v>78.814793999999992</v>
      </c>
      <c r="AF77" s="554">
        <v>77.281766000000005</v>
      </c>
      <c r="AG77" s="554">
        <v>83.240563999999992</v>
      </c>
      <c r="AH77" s="554">
        <v>77.701693000000006</v>
      </c>
      <c r="AI77" s="554">
        <v>72.130172000000002</v>
      </c>
      <c r="AJ77" s="554">
        <v>31.39314255</v>
      </c>
      <c r="AK77" s="554"/>
      <c r="AL77" s="554"/>
      <c r="AM77" s="554"/>
      <c r="AN77" s="554"/>
      <c r="AO77" s="554"/>
      <c r="AP77" s="554"/>
      <c r="AQ77" s="555">
        <f t="shared" si="28"/>
        <v>420.56213155</v>
      </c>
      <c r="AR77" s="404"/>
      <c r="AS77" s="683"/>
      <c r="AT77" s="176"/>
      <c r="AU77" s="176"/>
      <c r="AV77" s="404"/>
      <c r="AW77" s="404"/>
      <c r="AZ77" s="176"/>
    </row>
    <row r="78" spans="2:52" ht="14.45" hidden="1" customHeight="1" outlineLevel="1">
      <c r="B78" s="81" t="s">
        <v>25</v>
      </c>
      <c r="C78" s="81" t="s">
        <v>61</v>
      </c>
      <c r="D78" s="303" t="s">
        <v>99</v>
      </c>
      <c r="E78" s="661">
        <f>master_Daily!E50</f>
        <v>15.985720000000001</v>
      </c>
      <c r="F78" s="661">
        <f>master_Daily!F50</f>
        <v>15.24798</v>
      </c>
      <c r="G78" s="661">
        <f>master_Daily!G50</f>
        <v>18.551839999999999</v>
      </c>
      <c r="H78" s="661">
        <f>master_Daily!H50</f>
        <v>20.667259999999999</v>
      </c>
      <c r="I78" s="661">
        <f>master_Daily!I50</f>
        <v>19.355840000000001</v>
      </c>
      <c r="J78" s="661">
        <f>master_Daily!J50</f>
        <v>10.22518</v>
      </c>
      <c r="K78" s="661">
        <f>master_Daily!K50</f>
        <v>0</v>
      </c>
      <c r="L78" s="661">
        <f>master_Daily!L50</f>
        <v>0</v>
      </c>
      <c r="M78" s="661">
        <f>master_Daily!M50</f>
        <v>0</v>
      </c>
      <c r="N78" s="661">
        <f>master_Daily!N50</f>
        <v>0</v>
      </c>
      <c r="O78" s="661">
        <f>master_Daily!O50</f>
        <v>0</v>
      </c>
      <c r="P78" s="661">
        <f>master_Daily!P50</f>
        <v>0</v>
      </c>
      <c r="Q78" s="342">
        <f>master_Daily!Q50</f>
        <v>0</v>
      </c>
      <c r="R78" s="342">
        <f>master_Daily!R50</f>
        <v>0.7036</v>
      </c>
      <c r="S78" s="342">
        <f>master_Daily!S50</f>
        <v>10.22518</v>
      </c>
      <c r="T78" s="315">
        <f t="shared" si="21"/>
        <v>0</v>
      </c>
      <c r="U78" s="343">
        <f t="shared" si="22"/>
        <v>100.03381999999999</v>
      </c>
      <c r="V78" s="344">
        <f>IFERROR(U78/$U$81,0)</f>
        <v>0.81318947347199699</v>
      </c>
      <c r="W78" s="345">
        <f>master_Daily!W50</f>
        <v>8.2581799999999994</v>
      </c>
      <c r="X78" s="84">
        <f t="shared" si="24"/>
        <v>0</v>
      </c>
      <c r="Y78" s="333" t="e">
        <f t="shared" si="25"/>
        <v>#DIV/0!</v>
      </c>
      <c r="Z78" s="333" t="e">
        <f t="shared" si="26"/>
        <v>#DIV/0!</v>
      </c>
      <c r="AA78" s="333"/>
      <c r="AB78" s="333"/>
      <c r="AC78" s="620"/>
      <c r="AD78" s="634">
        <f t="shared" si="27"/>
        <v>0</v>
      </c>
      <c r="AE78" s="554"/>
      <c r="AF78" s="554"/>
      <c r="AG78" s="554"/>
      <c r="AH78" s="554"/>
      <c r="AI78" s="554"/>
      <c r="AJ78" s="554"/>
      <c r="AK78" s="554"/>
      <c r="AL78" s="554"/>
      <c r="AM78" s="554"/>
      <c r="AN78" s="554"/>
      <c r="AO78" s="554"/>
      <c r="AP78" s="554"/>
      <c r="AQ78" s="555">
        <f t="shared" si="28"/>
        <v>0</v>
      </c>
      <c r="AR78" s="404"/>
      <c r="AS78" s="683"/>
      <c r="AT78" s="176"/>
      <c r="AU78" s="176"/>
      <c r="AV78" s="404"/>
      <c r="AW78" s="404"/>
      <c r="AZ78" s="176"/>
    </row>
    <row r="79" spans="2:52" ht="14.45" hidden="1" customHeight="1" outlineLevel="1">
      <c r="B79" s="81" t="s">
        <v>25</v>
      </c>
      <c r="C79" s="81" t="s">
        <v>61</v>
      </c>
      <c r="D79" s="303" t="s">
        <v>100</v>
      </c>
      <c r="E79" s="661">
        <f>master_Daily!E51</f>
        <v>3.7668200000000001</v>
      </c>
      <c r="F79" s="661">
        <f>master_Daily!F51</f>
        <v>3.452</v>
      </c>
      <c r="G79" s="661">
        <f>master_Daily!G51</f>
        <v>4.26</v>
      </c>
      <c r="H79" s="661">
        <f>master_Daily!H51</f>
        <v>4.4332399999999996</v>
      </c>
      <c r="I79" s="661">
        <f>master_Daily!I51</f>
        <v>4.6233000000000004</v>
      </c>
      <c r="J79" s="661">
        <f>master_Daily!J51</f>
        <v>2.4449800000000002</v>
      </c>
      <c r="K79" s="661">
        <f>master_Daily!K51</f>
        <v>0</v>
      </c>
      <c r="L79" s="661">
        <f>master_Daily!L51</f>
        <v>0</v>
      </c>
      <c r="M79" s="661">
        <f>master_Daily!M51</f>
        <v>0</v>
      </c>
      <c r="N79" s="661">
        <f>master_Daily!N51</f>
        <v>0</v>
      </c>
      <c r="O79" s="661">
        <f>master_Daily!O51</f>
        <v>0</v>
      </c>
      <c r="P79" s="661">
        <f>master_Daily!P51</f>
        <v>0</v>
      </c>
      <c r="Q79" s="342">
        <f>master_Daily!Q51</f>
        <v>0</v>
      </c>
      <c r="R79" s="342">
        <f>master_Daily!R51</f>
        <v>0.09</v>
      </c>
      <c r="S79" s="342">
        <f>master_Daily!S51</f>
        <v>2.4449800000000002</v>
      </c>
      <c r="T79" s="315">
        <f t="shared" ref="T79" si="29">IFERROR(S79/Q79,0)</f>
        <v>0</v>
      </c>
      <c r="U79" s="343">
        <f t="shared" ref="U79" si="30">SUM(E79:P79)</f>
        <v>22.980339999999998</v>
      </c>
      <c r="V79" s="344">
        <f>IFERROR(U79/$U$81,0)</f>
        <v>0.18681052652800295</v>
      </c>
      <c r="W79" s="345">
        <f>master_Daily!W51</f>
        <v>2.0599799999999999</v>
      </c>
      <c r="X79" s="84">
        <f t="shared" ref="X79:X80" si="31">IFERROR(W79/Q79,0)</f>
        <v>0</v>
      </c>
      <c r="Y79" s="333" t="e">
        <f t="shared" si="25"/>
        <v>#DIV/0!</v>
      </c>
      <c r="Z79" s="333" t="e">
        <f t="shared" si="26"/>
        <v>#DIV/0!</v>
      </c>
      <c r="AA79" s="333"/>
      <c r="AB79" s="333"/>
      <c r="AC79" s="620"/>
      <c r="AD79" s="634">
        <f t="shared" si="27"/>
        <v>0</v>
      </c>
      <c r="AE79" s="554"/>
      <c r="AF79" s="554"/>
      <c r="AG79" s="554"/>
      <c r="AH79" s="554"/>
      <c r="AI79" s="554"/>
      <c r="AJ79" s="554"/>
      <c r="AK79" s="554"/>
      <c r="AL79" s="554"/>
      <c r="AM79" s="554"/>
      <c r="AN79" s="554"/>
      <c r="AO79" s="554"/>
      <c r="AP79" s="554"/>
      <c r="AQ79" s="555">
        <f t="shared" si="28"/>
        <v>0</v>
      </c>
      <c r="AR79" s="404"/>
      <c r="AS79" s="683"/>
      <c r="AT79" s="176"/>
      <c r="AU79" s="176"/>
      <c r="AV79" s="404"/>
      <c r="AW79" s="404"/>
      <c r="AZ79" s="176"/>
    </row>
    <row r="80" spans="2:52" ht="14.45" hidden="1" customHeight="1" outlineLevel="1">
      <c r="B80" s="81" t="s">
        <v>25</v>
      </c>
      <c r="C80" s="81" t="s">
        <v>61</v>
      </c>
      <c r="D80" s="303" t="s">
        <v>101</v>
      </c>
      <c r="E80" s="661">
        <f>master_Daily!E52</f>
        <v>0</v>
      </c>
      <c r="F80" s="661">
        <f>master_Daily!F52</f>
        <v>0</v>
      </c>
      <c r="G80" s="661">
        <f>master_Daily!G52</f>
        <v>0</v>
      </c>
      <c r="H80" s="661">
        <f>master_Daily!H52</f>
        <v>0</v>
      </c>
      <c r="I80" s="661">
        <f>master_Daily!I52</f>
        <v>0</v>
      </c>
      <c r="J80" s="661">
        <f>master_Daily!J52</f>
        <v>0</v>
      </c>
      <c r="K80" s="661">
        <f>master_Daily!K52</f>
        <v>0</v>
      </c>
      <c r="L80" s="661">
        <f>master_Daily!L52</f>
        <v>0</v>
      </c>
      <c r="M80" s="661">
        <f>master_Daily!M52</f>
        <v>0</v>
      </c>
      <c r="N80" s="661">
        <f>master_Daily!N52</f>
        <v>0</v>
      </c>
      <c r="O80" s="661">
        <f>master_Daily!O52</f>
        <v>0</v>
      </c>
      <c r="P80" s="661">
        <f>master_Daily!P52</f>
        <v>0</v>
      </c>
      <c r="Q80" s="342">
        <f>master_Daily!Q52</f>
        <v>0</v>
      </c>
      <c r="R80" s="342">
        <f>master_Daily!R52</f>
        <v>0</v>
      </c>
      <c r="S80" s="342">
        <f>master_Daily!S52</f>
        <v>0</v>
      </c>
      <c r="T80" s="315">
        <f>IFERROR(S80/#REF!,0)</f>
        <v>0</v>
      </c>
      <c r="U80" s="343">
        <f t="shared" si="22"/>
        <v>0</v>
      </c>
      <c r="V80" s="344">
        <f>IFERROR(U80/$U$81,0)</f>
        <v>0</v>
      </c>
      <c r="W80" s="345">
        <f>master_Daily!W52</f>
        <v>0</v>
      </c>
      <c r="X80" s="84">
        <f t="shared" si="31"/>
        <v>0</v>
      </c>
      <c r="Y80" s="333" t="e">
        <f t="shared" si="25"/>
        <v>#DIV/0!</v>
      </c>
      <c r="Z80" s="333" t="e">
        <f t="shared" si="26"/>
        <v>#DIV/0!</v>
      </c>
      <c r="AA80" s="333"/>
      <c r="AB80" s="333"/>
      <c r="AC80" s="620"/>
      <c r="AD80" s="634">
        <f t="shared" si="27"/>
        <v>0</v>
      </c>
      <c r="AE80" s="554"/>
      <c r="AF80" s="554"/>
      <c r="AG80" s="554"/>
      <c r="AH80" s="554"/>
      <c r="AI80" s="554"/>
      <c r="AJ80" s="554"/>
      <c r="AK80" s="554"/>
      <c r="AL80" s="554"/>
      <c r="AM80" s="554"/>
      <c r="AN80" s="554"/>
      <c r="AO80" s="554"/>
      <c r="AP80" s="554"/>
      <c r="AQ80" s="555">
        <f t="shared" si="28"/>
        <v>0</v>
      </c>
      <c r="AR80" s="404"/>
      <c r="AS80" s="683"/>
      <c r="AT80" s="176"/>
      <c r="AU80" s="176"/>
      <c r="AV80" s="404"/>
      <c r="AW80" s="404"/>
      <c r="AZ80" s="176"/>
    </row>
    <row r="81" spans="2:52" collapsed="1">
      <c r="B81" s="81" t="s">
        <v>25</v>
      </c>
      <c r="C81" s="81" t="s">
        <v>61</v>
      </c>
      <c r="D81" s="302"/>
      <c r="E81" s="661">
        <f>master_Daily!E60</f>
        <v>19.75254</v>
      </c>
      <c r="F81" s="661">
        <f>master_Daily!F60</f>
        <v>18.69998</v>
      </c>
      <c r="G81" s="661">
        <f>master_Daily!G60</f>
        <v>22.811839999999997</v>
      </c>
      <c r="H81" s="661">
        <f>master_Daily!H60</f>
        <v>25.100499999999997</v>
      </c>
      <c r="I81" s="661">
        <f>master_Daily!I60</f>
        <v>23.979140000000001</v>
      </c>
      <c r="J81" s="661">
        <f>master_Daily!J60</f>
        <v>12.670159999999999</v>
      </c>
      <c r="K81" s="661">
        <f>master_Daily!K60</f>
        <v>0</v>
      </c>
      <c r="L81" s="661">
        <f>master_Daily!L60</f>
        <v>0</v>
      </c>
      <c r="M81" s="661">
        <f>master_Daily!M60</f>
        <v>0</v>
      </c>
      <c r="N81" s="661">
        <f>master_Daily!N60</f>
        <v>0</v>
      </c>
      <c r="O81" s="661">
        <f>master_Daily!O60</f>
        <v>0</v>
      </c>
      <c r="P81" s="661">
        <f>master_Daily!P60</f>
        <v>0</v>
      </c>
      <c r="Q81" s="340">
        <f>Q199+AM199</f>
        <v>20.211400964975695</v>
      </c>
      <c r="R81" s="340">
        <f ca="1">AN199+R199</f>
        <v>0.79360000000000008</v>
      </c>
      <c r="S81" s="340">
        <f ca="1">AO199+S199</f>
        <v>12.670159999999999</v>
      </c>
      <c r="T81" s="84">
        <f ca="1">IFERROR(S81/Q81,0)</f>
        <v>0.62688182882305388</v>
      </c>
      <c r="U81" s="341">
        <f t="shared" si="22"/>
        <v>123.01415999999999</v>
      </c>
      <c r="V81" s="84">
        <f>IFERROR(U81/$U$82,0)</f>
        <v>0.16422910200945753</v>
      </c>
      <c r="W81" s="346">
        <f>AS199+S199</f>
        <v>10.318159999999999</v>
      </c>
      <c r="X81" s="84">
        <f>IFERROR(W81/Q81,0)</f>
        <v>0.51051186495583967</v>
      </c>
      <c r="Y81" s="333">
        <f ca="1">S81/AG81</f>
        <v>0.64141452441814517</v>
      </c>
      <c r="Z81" s="333">
        <f t="shared" si="26"/>
        <v>1.2354237568124233</v>
      </c>
      <c r="AA81" s="333">
        <v>1.5981084756347785</v>
      </c>
      <c r="AB81" s="333">
        <v>1.227453680087871</v>
      </c>
      <c r="AC81" s="620" t="s">
        <v>61</v>
      </c>
      <c r="AD81" s="634">
        <f>AF81/$AF$82</f>
        <v>0.13083633387434446</v>
      </c>
      <c r="AE81" s="554">
        <v>18.770232</v>
      </c>
      <c r="AF81" s="554">
        <v>18.148632999999997</v>
      </c>
      <c r="AG81" s="554">
        <v>19.753466</v>
      </c>
      <c r="AH81" s="554">
        <v>18.464985000000002</v>
      </c>
      <c r="AI81" s="554">
        <v>17.003489999999996</v>
      </c>
      <c r="AJ81" s="554">
        <v>7.4316356999999993</v>
      </c>
      <c r="AK81" s="554"/>
      <c r="AL81" s="554"/>
      <c r="AM81" s="554"/>
      <c r="AN81" s="554"/>
      <c r="AO81" s="554"/>
      <c r="AP81" s="554"/>
      <c r="AQ81" s="555">
        <f t="shared" si="28"/>
        <v>99.572441699999999</v>
      </c>
      <c r="AR81" s="404"/>
      <c r="AS81" s="683"/>
      <c r="AT81" s="176"/>
      <c r="AU81" s="176"/>
      <c r="AV81" s="404"/>
      <c r="AW81" s="404"/>
      <c r="AZ81" s="176"/>
    </row>
    <row r="82" spans="2:52">
      <c r="B82" s="24" t="s">
        <v>25</v>
      </c>
      <c r="C82" s="125" t="s">
        <v>25</v>
      </c>
      <c r="D82" s="125"/>
      <c r="E82" s="338">
        <f>SUMIFS(E63:E81,$D$63:$D$81,"")</f>
        <v>140.94514000000001</v>
      </c>
      <c r="F82" s="338">
        <f t="shared" ref="F82:P82" si="32">SUMIFS(F63:F81,$D$63:$D$81,"")</f>
        <v>128.92500000000001</v>
      </c>
      <c r="G82" s="338">
        <f t="shared" si="32"/>
        <v>143.06549999999999</v>
      </c>
      <c r="H82" s="338">
        <f t="shared" si="32"/>
        <v>139.46742</v>
      </c>
      <c r="I82" s="338">
        <f t="shared" si="32"/>
        <v>131.41812000000002</v>
      </c>
      <c r="J82" s="338">
        <f t="shared" si="32"/>
        <v>65.218779999999995</v>
      </c>
      <c r="K82" s="338">
        <f t="shared" si="32"/>
        <v>0</v>
      </c>
      <c r="L82" s="338">
        <f t="shared" si="32"/>
        <v>0</v>
      </c>
      <c r="M82" s="338">
        <f t="shared" si="32"/>
        <v>0</v>
      </c>
      <c r="N82" s="338">
        <f t="shared" si="32"/>
        <v>0</v>
      </c>
      <c r="O82" s="338">
        <f t="shared" si="32"/>
        <v>0</v>
      </c>
      <c r="P82" s="338">
        <f t="shared" si="32"/>
        <v>0</v>
      </c>
      <c r="Q82" s="338">
        <f>Q200+AM200</f>
        <v>120.357</v>
      </c>
      <c r="R82" s="338">
        <f ca="1">R200+AN200</f>
        <v>4.8012000000000006</v>
      </c>
      <c r="S82" s="338">
        <f ca="1">S200+AO200</f>
        <v>65.218779999999995</v>
      </c>
      <c r="T82" s="27">
        <f ca="1">IFERROR(S82/Q82,0)</f>
        <v>0.54187774703590152</v>
      </c>
      <c r="U82" s="338">
        <f>SUMIFS(U63:U81,$D$63:$D$81,"")</f>
        <v>749.03995999999995</v>
      </c>
      <c r="V82" s="26">
        <f>IFERROR(U82/$U$82,0)</f>
        <v>1</v>
      </c>
      <c r="W82" s="338">
        <f>SUMIFS(W63:W81,$D$63:$D$81,"")</f>
        <v>53.94558</v>
      </c>
      <c r="X82" s="27">
        <f>IFERROR(W82/Q82,0)</f>
        <v>0.44821306612826839</v>
      </c>
      <c r="Y82" s="334">
        <f ca="1">S82/AF82</f>
        <v>0.47017238570846742</v>
      </c>
      <c r="Z82" s="334">
        <f t="shared" si="26"/>
        <v>0.9895537366601429</v>
      </c>
      <c r="AA82" s="334">
        <v>1.0693335902243815</v>
      </c>
      <c r="AB82" s="334">
        <v>0.98320795744464129</v>
      </c>
      <c r="AC82" s="404"/>
      <c r="AD82" s="404"/>
      <c r="AE82" s="556">
        <f>SUM(AE63:AE81)</f>
        <v>142.13788699999998</v>
      </c>
      <c r="AF82" s="556">
        <f t="shared" ref="AF82:AP82" si="33">SUM(AF63:AF81)</f>
        <v>138.71248499999999</v>
      </c>
      <c r="AG82" s="556">
        <f t="shared" si="33"/>
        <v>149.93716699999999</v>
      </c>
      <c r="AH82" s="556">
        <f t="shared" si="33"/>
        <v>140.02704400000002</v>
      </c>
      <c r="AI82" s="556">
        <f t="shared" si="33"/>
        <v>129.63243</v>
      </c>
      <c r="AJ82" s="556">
        <f t="shared" si="33"/>
        <v>56.5002171</v>
      </c>
      <c r="AK82" s="556">
        <f t="shared" si="33"/>
        <v>0</v>
      </c>
      <c r="AL82" s="556">
        <f t="shared" si="33"/>
        <v>0</v>
      </c>
      <c r="AM82" s="556">
        <f t="shared" si="33"/>
        <v>0</v>
      </c>
      <c r="AN82" s="556">
        <f t="shared" si="33"/>
        <v>0</v>
      </c>
      <c r="AO82" s="556">
        <f t="shared" si="33"/>
        <v>0</v>
      </c>
      <c r="AP82" s="556">
        <f t="shared" si="33"/>
        <v>0</v>
      </c>
      <c r="AQ82" s="555">
        <f t="shared" si="28"/>
        <v>756.94723009999996</v>
      </c>
      <c r="AR82" s="404"/>
      <c r="AS82" s="683"/>
      <c r="AT82" s="176"/>
      <c r="AU82" s="176"/>
      <c r="AV82" s="404"/>
      <c r="AW82" s="404"/>
      <c r="AZ82" s="176"/>
    </row>
    <row r="83" spans="2:52" ht="11.45" hidden="1" customHeight="1">
      <c r="B83" s="541" t="s">
        <v>102</v>
      </c>
      <c r="C83" s="542" t="s">
        <v>103</v>
      </c>
      <c r="D83" s="543"/>
      <c r="E83" s="544"/>
      <c r="F83" s="544"/>
      <c r="G83" s="544"/>
      <c r="H83" s="544"/>
      <c r="I83" s="544"/>
      <c r="J83" s="544"/>
      <c r="K83" s="544"/>
      <c r="L83" s="544"/>
      <c r="M83" s="544"/>
      <c r="N83" s="544"/>
      <c r="O83" s="544"/>
      <c r="P83" s="544"/>
      <c r="Q83" s="392"/>
      <c r="R83" s="392"/>
      <c r="S83" s="392"/>
      <c r="T83" s="393"/>
      <c r="U83" s="130"/>
      <c r="Z83" s="183"/>
      <c r="AA83" s="176"/>
      <c r="AB83" s="176"/>
      <c r="AC83" s="404"/>
      <c r="AD83" s="404"/>
      <c r="AE83" s="404"/>
      <c r="AF83" s="404"/>
      <c r="AG83" s="404"/>
      <c r="AH83" s="404"/>
      <c r="AI83" s="404"/>
      <c r="AJ83" s="404"/>
      <c r="AK83" s="404"/>
      <c r="AL83" s="404"/>
      <c r="AM83" s="404"/>
      <c r="AN83" s="404"/>
      <c r="AO83" s="404"/>
      <c r="AP83" s="555">
        <f t="shared" ref="AP83:AP84" si="34">SUM(AD83:AO83)</f>
        <v>0</v>
      </c>
      <c r="AQ83" s="404"/>
      <c r="AR83" s="404"/>
      <c r="AS83" s="176"/>
      <c r="AT83" s="176"/>
      <c r="AU83" s="176"/>
      <c r="AV83" s="404"/>
      <c r="AW83" s="404"/>
      <c r="AZ83" s="176"/>
    </row>
    <row r="84" spans="2:52" ht="0.95" customHeight="1">
      <c r="B84" s="535"/>
      <c r="C84" s="536"/>
      <c r="D84" s="537"/>
      <c r="E84" s="538"/>
      <c r="F84" s="538"/>
      <c r="G84" s="538"/>
      <c r="H84" s="538"/>
      <c r="I84" s="538"/>
      <c r="J84" s="538"/>
      <c r="K84" s="538"/>
      <c r="L84" s="538"/>
      <c r="M84" s="538"/>
      <c r="N84" s="538"/>
      <c r="O84" s="538"/>
      <c r="P84" s="538"/>
      <c r="Q84" s="538"/>
      <c r="R84" s="538"/>
      <c r="S84" s="538"/>
      <c r="T84" s="539"/>
      <c r="U84" s="540"/>
      <c r="Z84" s="183"/>
      <c r="AA84" s="176"/>
      <c r="AB84" s="176"/>
      <c r="AC84" s="404"/>
      <c r="AD84" s="404"/>
      <c r="AE84" s="404"/>
      <c r="AF84" s="404"/>
      <c r="AG84" s="404"/>
      <c r="AH84" s="404"/>
      <c r="AI84" s="404"/>
      <c r="AJ84" s="404"/>
      <c r="AK84" s="404"/>
      <c r="AL84" s="404"/>
      <c r="AM84" s="404"/>
      <c r="AN84" s="404"/>
      <c r="AO84" s="404"/>
      <c r="AP84" s="555">
        <f t="shared" si="34"/>
        <v>0</v>
      </c>
      <c r="AQ84" s="404"/>
      <c r="AR84" s="404"/>
      <c r="AS84" s="176"/>
      <c r="AT84" s="176"/>
      <c r="AU84" s="176"/>
      <c r="AV84" s="404"/>
      <c r="AW84" s="404"/>
      <c r="AZ84" s="176"/>
    </row>
    <row r="85" spans="2:52">
      <c r="B85" s="535"/>
      <c r="C85" s="537"/>
      <c r="E85" s="545"/>
      <c r="F85" s="545"/>
      <c r="G85" s="545"/>
      <c r="H85" s="545"/>
      <c r="I85" s="545"/>
      <c r="J85" s="545"/>
      <c r="K85" s="545"/>
      <c r="L85" s="545"/>
      <c r="M85" s="545"/>
      <c r="N85" s="545"/>
      <c r="O85" s="545"/>
      <c r="P85" s="545"/>
      <c r="Q85" s="538"/>
      <c r="R85" s="538"/>
      <c r="S85" s="538"/>
      <c r="T85" s="539"/>
      <c r="U85" s="540"/>
      <c r="Y85" s="558" t="s">
        <v>104</v>
      </c>
      <c r="Z85" s="183"/>
      <c r="AA85" s="558" t="s">
        <v>104</v>
      </c>
      <c r="AB85" s="404"/>
      <c r="AC85" s="404"/>
      <c r="AD85" s="404"/>
      <c r="AE85" s="404"/>
      <c r="AF85" s="404"/>
      <c r="AG85" s="404"/>
      <c r="AH85" s="404"/>
      <c r="AI85" s="404"/>
      <c r="AJ85" s="404"/>
      <c r="AK85" s="404"/>
      <c r="AL85" s="404"/>
      <c r="AM85" s="404"/>
      <c r="AN85" s="404"/>
      <c r="AO85" s="404"/>
      <c r="AP85" s="475"/>
      <c r="AQ85" s="404"/>
      <c r="AR85" s="404"/>
      <c r="AS85" s="176"/>
      <c r="AT85" s="176"/>
      <c r="AU85" s="176"/>
      <c r="AV85" s="404"/>
      <c r="AW85" s="404"/>
      <c r="AZ85" s="176"/>
    </row>
    <row r="86" spans="2:52" s="404" customFormat="1" ht="11.45" customHeight="1">
      <c r="B86" s="662"/>
      <c r="C86" s="632" t="s">
        <v>105</v>
      </c>
      <c r="E86" s="635">
        <v>21</v>
      </c>
      <c r="F86" s="635">
        <v>19</v>
      </c>
      <c r="G86" s="635">
        <v>21</v>
      </c>
      <c r="H86" s="635">
        <v>19</v>
      </c>
      <c r="I86" s="635">
        <v>19</v>
      </c>
      <c r="J86" s="635">
        <v>9</v>
      </c>
      <c r="K86" s="635">
        <v>1</v>
      </c>
      <c r="L86" s="635">
        <v>1</v>
      </c>
      <c r="M86" s="635">
        <v>1</v>
      </c>
      <c r="N86" s="635">
        <v>1</v>
      </c>
      <c r="O86" s="635">
        <v>1</v>
      </c>
      <c r="P86" s="635">
        <v>1</v>
      </c>
      <c r="Q86" s="663"/>
      <c r="R86" s="663"/>
      <c r="S86" s="663"/>
      <c r="T86" s="664"/>
      <c r="U86" s="665"/>
      <c r="X86" s="619"/>
      <c r="AP86" s="475"/>
      <c r="AS86" s="176"/>
      <c r="AT86" s="176"/>
      <c r="AU86" s="176"/>
    </row>
    <row r="87" spans="2:52" hidden="1">
      <c r="B87" s="546" t="s">
        <v>106</v>
      </c>
      <c r="C87" s="548"/>
      <c r="D87" s="547"/>
      <c r="E87" s="559">
        <v>8.0175704761904765</v>
      </c>
      <c r="F87" s="559">
        <v>6.5355699999999999</v>
      </c>
      <c r="G87" s="559">
        <v>6.131977391304348</v>
      </c>
      <c r="H87" s="559">
        <v>7.693818888888889</v>
      </c>
      <c r="I87" s="559">
        <v>6.6145639999999997</v>
      </c>
      <c r="J87" s="559">
        <v>5.9175095238095237</v>
      </c>
      <c r="K87" s="559">
        <v>6.3336970000000008</v>
      </c>
      <c r="L87" s="559">
        <v>5.7569836363636364</v>
      </c>
      <c r="M87" s="559">
        <v>5.7546918181818185</v>
      </c>
      <c r="N87" s="559">
        <v>6.6986989473684222</v>
      </c>
      <c r="O87" s="559">
        <v>6.0928109090909093</v>
      </c>
      <c r="P87" s="559">
        <v>6.1829770000000002</v>
      </c>
      <c r="Q87" s="538"/>
      <c r="R87" s="538"/>
      <c r="S87" s="538"/>
      <c r="T87" s="539"/>
      <c r="U87" s="540"/>
      <c r="Z87" s="183"/>
      <c r="AA87" s="558"/>
      <c r="AB87" s="404"/>
      <c r="AC87" s="404"/>
      <c r="AD87" s="404"/>
      <c r="AE87" s="404"/>
      <c r="AF87" s="404"/>
      <c r="AG87" s="404"/>
      <c r="AH87" s="404"/>
      <c r="AI87" s="404"/>
      <c r="AJ87" s="404"/>
      <c r="AK87" s="404"/>
      <c r="AL87" s="404"/>
      <c r="AM87" s="404"/>
      <c r="AN87" s="404"/>
      <c r="AO87" s="404"/>
      <c r="AP87" s="475"/>
      <c r="AQ87" s="404"/>
      <c r="AR87" s="404"/>
      <c r="AS87" s="404"/>
      <c r="AT87" s="404"/>
      <c r="AU87" s="404"/>
      <c r="AV87" s="404"/>
      <c r="AW87" s="404"/>
      <c r="AX87" s="176"/>
      <c r="AY87" s="176"/>
      <c r="AZ87" s="176"/>
    </row>
    <row r="88" spans="2:52" hidden="1">
      <c r="B88" s="136"/>
      <c r="C88" s="549"/>
      <c r="D88" s="550"/>
      <c r="E88" s="560"/>
      <c r="F88" s="560"/>
      <c r="G88" s="560"/>
      <c r="H88" s="560"/>
      <c r="I88" s="560"/>
      <c r="J88" s="560"/>
      <c r="K88" s="560"/>
      <c r="L88" s="560"/>
      <c r="M88" s="560"/>
      <c r="N88" s="560"/>
      <c r="O88" s="560"/>
      <c r="P88" s="560"/>
      <c r="Q88" s="538"/>
      <c r="R88" s="538"/>
      <c r="S88" s="538"/>
      <c r="T88" s="539"/>
      <c r="U88" s="540"/>
      <c r="Z88" s="183"/>
      <c r="AA88" s="558"/>
      <c r="AB88" s="404"/>
      <c r="AC88" s="404"/>
      <c r="AD88" s="404"/>
      <c r="AE88" s="404"/>
      <c r="AF88" s="404"/>
      <c r="AG88" s="404"/>
      <c r="AH88" s="404"/>
      <c r="AI88" s="404"/>
      <c r="AJ88" s="404"/>
      <c r="AK88" s="404"/>
      <c r="AL88" s="404"/>
      <c r="AM88" s="404"/>
      <c r="AN88" s="404"/>
      <c r="AO88" s="404"/>
      <c r="AP88" s="475"/>
      <c r="AQ88" s="404"/>
      <c r="AR88" s="404"/>
      <c r="AS88" s="404"/>
      <c r="AT88" s="404"/>
      <c r="AU88" s="404"/>
      <c r="AV88" s="404"/>
      <c r="AW88" s="404"/>
      <c r="AX88" s="176"/>
      <c r="AY88" s="176"/>
      <c r="AZ88" s="176"/>
    </row>
    <row r="89" spans="2:52" ht="8.1" customHeight="1">
      <c r="B89" s="563"/>
      <c r="C89" s="564"/>
      <c r="D89" s="565"/>
      <c r="E89" s="566"/>
      <c r="F89" s="566"/>
      <c r="G89" s="566"/>
      <c r="H89" s="566"/>
      <c r="I89" s="566"/>
      <c r="J89" s="566"/>
      <c r="K89" s="566"/>
      <c r="L89" s="566"/>
      <c r="M89" s="566"/>
      <c r="N89" s="566"/>
      <c r="O89" s="566"/>
      <c r="P89" s="566"/>
      <c r="Q89" s="538"/>
      <c r="R89" s="538"/>
      <c r="S89" s="538"/>
      <c r="T89" s="539"/>
      <c r="U89" s="540"/>
      <c r="Z89" s="183"/>
      <c r="AA89" s="404"/>
      <c r="AB89" s="404"/>
      <c r="AC89" s="404"/>
      <c r="AD89" s="404"/>
      <c r="AE89" s="404"/>
      <c r="AF89" s="404"/>
      <c r="AG89" s="404"/>
      <c r="AH89" s="404"/>
      <c r="AI89" s="404"/>
      <c r="AJ89" s="404"/>
      <c r="AK89" s="404"/>
      <c r="AL89" s="404"/>
      <c r="AM89" s="404"/>
      <c r="AN89" s="404"/>
      <c r="AO89" s="404"/>
      <c r="AP89" s="475"/>
      <c r="AQ89" s="404"/>
      <c r="AR89" s="404"/>
      <c r="AS89" s="404"/>
      <c r="AT89" s="404"/>
      <c r="AU89" s="404"/>
      <c r="AV89" s="404"/>
      <c r="AW89" s="404"/>
      <c r="AX89" s="176"/>
      <c r="AY89" s="176"/>
      <c r="AZ89" s="176"/>
    </row>
    <row r="90" spans="2:52">
      <c r="B90" s="546" t="s">
        <v>107</v>
      </c>
      <c r="C90" s="548"/>
      <c r="D90" s="547"/>
      <c r="E90" s="337">
        <v>6.6100295238095237</v>
      </c>
      <c r="F90" s="567">
        <v>7.1261115789473681</v>
      </c>
      <c r="G90" s="567">
        <v>7.0453561904761912</v>
      </c>
      <c r="H90" s="567">
        <v>7.3860568421052637</v>
      </c>
      <c r="I90" s="567">
        <v>6.2548860000000008</v>
      </c>
      <c r="J90" s="567">
        <v>5.970382105263158</v>
      </c>
      <c r="K90" s="567">
        <v>6.0153190476190472</v>
      </c>
      <c r="L90" s="567">
        <v>6.025660952380953</v>
      </c>
      <c r="M90" s="567">
        <v>5.7181047619047618</v>
      </c>
      <c r="N90" s="567">
        <v>6.3219285714285718</v>
      </c>
      <c r="O90" s="567">
        <v>6.81492380952381</v>
      </c>
      <c r="P90" s="567">
        <v>8.2736788235294103</v>
      </c>
      <c r="Q90" s="538"/>
      <c r="R90" s="538"/>
      <c r="S90" s="540"/>
      <c r="T90" s="540"/>
      <c r="W90" s="383"/>
      <c r="X90" s="176"/>
      <c r="Y90" s="176"/>
      <c r="Z90" s="176"/>
      <c r="AA90" s="176"/>
      <c r="AB90" s="176"/>
      <c r="AC90" s="404"/>
      <c r="AD90" s="404"/>
      <c r="AE90" s="404"/>
      <c r="AF90" s="404"/>
      <c r="AG90" s="404"/>
      <c r="AH90" s="404"/>
      <c r="AI90" s="404"/>
      <c r="AJ90" s="404"/>
      <c r="AK90" s="404"/>
      <c r="AL90" s="404"/>
      <c r="AM90" s="404"/>
      <c r="AN90" s="404"/>
      <c r="AO90" s="475"/>
      <c r="AP90" s="404"/>
      <c r="AQ90" s="404"/>
      <c r="AR90" s="404"/>
      <c r="AS90" s="404"/>
      <c r="AT90" s="404"/>
      <c r="AU90" s="404"/>
      <c r="AV90" s="404"/>
      <c r="AW90" s="404"/>
      <c r="AX90" s="176"/>
      <c r="AY90" s="176"/>
    </row>
    <row r="91" spans="2:52" hidden="1">
      <c r="B91" s="551" t="s">
        <v>108</v>
      </c>
      <c r="C91" s="549"/>
      <c r="D91" s="550"/>
      <c r="E91" s="532"/>
      <c r="F91" s="532"/>
      <c r="G91" s="532"/>
      <c r="H91" s="532"/>
      <c r="I91" s="532"/>
      <c r="J91" s="532"/>
      <c r="K91" s="532"/>
      <c r="L91" s="532"/>
      <c r="M91" s="532"/>
      <c r="N91" s="532"/>
      <c r="O91" s="532"/>
      <c r="P91" s="532"/>
      <c r="Q91" s="538"/>
      <c r="R91" s="538"/>
      <c r="S91" s="539"/>
      <c r="T91" s="540"/>
      <c r="W91" s="383"/>
      <c r="X91" s="176"/>
      <c r="Y91" s="176"/>
      <c r="Z91" s="176"/>
      <c r="AA91" s="176"/>
      <c r="AB91" s="176"/>
      <c r="AC91" s="176"/>
      <c r="AD91" s="176"/>
      <c r="AE91" s="176"/>
      <c r="AF91" s="176"/>
      <c r="AG91" s="176"/>
      <c r="AH91" s="176"/>
      <c r="AI91" s="176"/>
      <c r="AJ91" s="176"/>
      <c r="AK91" s="176"/>
      <c r="AL91" s="176"/>
      <c r="AM91" s="176"/>
      <c r="AN91" s="176"/>
      <c r="AO91" s="618"/>
      <c r="AP91" s="176"/>
      <c r="AQ91" s="176"/>
      <c r="AR91" s="176"/>
      <c r="AS91" s="176"/>
      <c r="AV91" s="176"/>
      <c r="AW91" s="176"/>
      <c r="AX91" s="176"/>
      <c r="AY91" s="176"/>
    </row>
    <row r="92" spans="2:52" ht="9" customHeight="1">
      <c r="B92" s="551"/>
      <c r="C92" s="549"/>
      <c r="D92" s="550"/>
      <c r="E92" s="532"/>
      <c r="F92" s="532"/>
      <c r="G92" s="532"/>
      <c r="H92" s="532"/>
      <c r="I92" s="532"/>
      <c r="J92" s="532"/>
      <c r="K92" s="532"/>
      <c r="L92" s="532"/>
      <c r="M92" s="532"/>
      <c r="N92" s="532"/>
      <c r="O92" s="532"/>
      <c r="P92" s="532"/>
      <c r="Q92" s="538"/>
      <c r="R92" s="538"/>
      <c r="S92" s="539"/>
      <c r="T92" s="540"/>
      <c r="W92" s="383"/>
      <c r="X92" s="176"/>
      <c r="Y92" s="176"/>
      <c r="Z92" s="176"/>
      <c r="AA92" s="176"/>
      <c r="AB92" s="176"/>
      <c r="AC92" s="176"/>
      <c r="AD92" s="176"/>
      <c r="AE92" s="176"/>
      <c r="AF92" s="176"/>
      <c r="AG92" s="176"/>
      <c r="AH92" s="176"/>
      <c r="AI92" s="176"/>
      <c r="AJ92" s="176"/>
      <c r="AK92" s="176"/>
      <c r="AL92" s="176"/>
      <c r="AM92" s="176"/>
      <c r="AN92" s="176"/>
      <c r="AO92" s="618"/>
      <c r="AP92" s="176"/>
      <c r="AQ92" s="176"/>
      <c r="AR92" s="176"/>
      <c r="AS92" s="176"/>
      <c r="AV92" s="176"/>
      <c r="AW92" s="176"/>
      <c r="AX92" s="176"/>
      <c r="AY92" s="176"/>
    </row>
    <row r="93" spans="2:52">
      <c r="B93" s="546" t="s">
        <v>109</v>
      </c>
      <c r="C93" s="548"/>
      <c r="D93" s="547"/>
      <c r="E93" s="653">
        <f>E82/E86</f>
        <v>6.7116733333333336</v>
      </c>
      <c r="F93" s="629">
        <f>F82/F86</f>
        <v>6.7855263157894745</v>
      </c>
      <c r="G93" s="629">
        <f t="shared" ref="G93:O93" si="35">G82/G86</f>
        <v>6.8126428571428566</v>
      </c>
      <c r="H93" s="629">
        <f>H82/H86</f>
        <v>7.3403905263157894</v>
      </c>
      <c r="I93" s="629">
        <f t="shared" si="35"/>
        <v>6.9167431578947376</v>
      </c>
      <c r="J93" s="629">
        <f t="shared" si="35"/>
        <v>7.2465311111111106</v>
      </c>
      <c r="K93" s="652">
        <f t="shared" si="35"/>
        <v>0</v>
      </c>
      <c r="L93" s="652">
        <f t="shared" si="35"/>
        <v>0</v>
      </c>
      <c r="M93" s="652">
        <f t="shared" si="35"/>
        <v>0</v>
      </c>
      <c r="N93" s="652">
        <f t="shared" si="35"/>
        <v>0</v>
      </c>
      <c r="O93" s="652">
        <f t="shared" si="35"/>
        <v>0</v>
      </c>
      <c r="P93" s="652">
        <f>P82/P86</f>
        <v>0</v>
      </c>
      <c r="Q93" s="538"/>
      <c r="R93" s="538"/>
      <c r="S93" s="540"/>
      <c r="T93" s="540"/>
      <c r="W93" s="383"/>
      <c r="X93" s="176"/>
      <c r="Y93" s="176"/>
      <c r="Z93" s="176"/>
      <c r="AA93" s="176"/>
      <c r="AB93" s="176"/>
      <c r="AC93" s="176"/>
      <c r="AD93" s="176"/>
      <c r="AE93" s="176"/>
      <c r="AF93" s="176"/>
      <c r="AG93" s="176"/>
      <c r="AH93" s="176"/>
      <c r="AI93" s="176"/>
      <c r="AJ93" s="176"/>
      <c r="AK93" s="176"/>
      <c r="AL93" s="176"/>
      <c r="AM93" s="176"/>
      <c r="AN93" s="176"/>
      <c r="AO93" s="618"/>
      <c r="AP93" s="176"/>
      <c r="AQ93" s="176"/>
      <c r="AR93" s="176"/>
      <c r="AS93" s="176"/>
      <c r="AV93" s="176"/>
      <c r="AW93" s="176"/>
      <c r="AX93" s="176"/>
      <c r="AY93" s="176"/>
    </row>
    <row r="94" spans="2:52">
      <c r="B94" s="551" t="s">
        <v>108</v>
      </c>
      <c r="C94" s="549"/>
      <c r="D94" s="550"/>
      <c r="E94" s="532"/>
      <c r="F94" s="532"/>
      <c r="G94" s="532"/>
      <c r="H94" s="532"/>
      <c r="I94" s="532"/>
      <c r="J94" s="532"/>
      <c r="K94" s="532"/>
      <c r="L94" s="532"/>
      <c r="M94" s="532"/>
      <c r="N94" s="532"/>
      <c r="O94" s="532"/>
      <c r="P94" s="532"/>
      <c r="Q94" s="538"/>
      <c r="R94" s="538"/>
      <c r="S94" s="539"/>
      <c r="T94" s="540"/>
      <c r="W94" s="383"/>
      <c r="X94" s="176"/>
      <c r="Y94" s="176"/>
      <c r="Z94" s="176"/>
      <c r="AA94" s="176"/>
      <c r="AB94" s="176"/>
      <c r="AC94" s="176"/>
      <c r="AD94" s="176"/>
      <c r="AE94" s="176"/>
      <c r="AF94" s="176"/>
      <c r="AG94" s="176"/>
      <c r="AH94" s="176"/>
      <c r="AI94" s="176"/>
      <c r="AJ94" s="404"/>
      <c r="AK94" s="404"/>
      <c r="AL94" s="404"/>
      <c r="AM94" s="404"/>
      <c r="AN94" s="404"/>
      <c r="AO94" s="475"/>
      <c r="AP94" s="404"/>
      <c r="AV94" s="176"/>
      <c r="AW94" s="176"/>
      <c r="AX94" s="176"/>
      <c r="AY94" s="176"/>
    </row>
    <row r="95" spans="2:52" ht="8.1" customHeight="1">
      <c r="B95" s="551"/>
      <c r="C95" s="549"/>
      <c r="D95" s="550"/>
      <c r="E95" s="532"/>
      <c r="F95" s="532"/>
      <c r="G95" s="532"/>
      <c r="H95" s="532"/>
      <c r="I95" s="532"/>
      <c r="J95" s="532"/>
      <c r="K95" s="532"/>
      <c r="L95" s="532"/>
      <c r="M95" s="532"/>
      <c r="N95" s="532"/>
      <c r="O95" s="532"/>
      <c r="P95" s="532"/>
      <c r="Q95" s="538"/>
      <c r="R95" s="538"/>
      <c r="S95" s="539"/>
      <c r="T95" s="540"/>
      <c r="W95" s="383"/>
      <c r="X95" s="404"/>
      <c r="Y95" s="404"/>
      <c r="Z95" s="404"/>
      <c r="AA95" s="404"/>
      <c r="AB95" s="404"/>
      <c r="AC95" s="404"/>
      <c r="AD95" s="176"/>
      <c r="AE95" s="176"/>
      <c r="AF95" s="176"/>
      <c r="AG95" s="176"/>
      <c r="AH95" s="176"/>
      <c r="AI95" s="176"/>
      <c r="AJ95" s="404"/>
      <c r="AK95" s="404"/>
      <c r="AL95" s="404"/>
      <c r="AM95" s="404"/>
      <c r="AN95" s="404"/>
      <c r="AO95" s="475"/>
      <c r="AP95" s="404"/>
      <c r="AV95" s="176"/>
      <c r="AW95" s="176"/>
      <c r="AX95" s="176"/>
      <c r="AY95" s="176"/>
    </row>
    <row r="96" spans="2:52" hidden="1">
      <c r="E96" s="394"/>
      <c r="F96" s="394"/>
      <c r="G96" s="394"/>
      <c r="H96" s="394"/>
      <c r="I96" s="394"/>
      <c r="J96" s="394"/>
      <c r="K96" s="394"/>
      <c r="L96" s="394"/>
      <c r="M96" s="394"/>
      <c r="N96" s="394"/>
      <c r="O96" s="394"/>
      <c r="P96" s="394"/>
      <c r="Q96" s="395"/>
      <c r="R96" s="395"/>
      <c r="S96" s="395"/>
      <c r="T96" s="394"/>
      <c r="W96" s="176"/>
      <c r="X96" s="619"/>
      <c r="Y96" s="645"/>
      <c r="Z96" s="646"/>
      <c r="AA96" s="404"/>
      <c r="AB96" s="404"/>
      <c r="AC96" s="404"/>
      <c r="AD96" s="176"/>
      <c r="AE96" s="176"/>
      <c r="AF96" s="176"/>
      <c r="AG96" s="176"/>
      <c r="AH96" s="176"/>
      <c r="AI96" s="176"/>
      <c r="AJ96" s="404"/>
      <c r="AK96" s="404"/>
      <c r="AL96" s="404"/>
      <c r="AM96" s="404"/>
      <c r="AN96" s="404"/>
      <c r="AO96" s="404"/>
      <c r="AP96" s="404"/>
      <c r="AQ96" s="404"/>
      <c r="AW96" s="176"/>
      <c r="AX96" s="176"/>
      <c r="AY96" s="176"/>
      <c r="AZ96" s="176"/>
    </row>
    <row r="97" spans="2:52" ht="16.5" thickBot="1">
      <c r="B97" s="28" t="s">
        <v>110</v>
      </c>
      <c r="N97" s="395"/>
      <c r="O97" s="458"/>
      <c r="W97" s="176"/>
      <c r="X97" s="383"/>
      <c r="Y97" s="176"/>
      <c r="Z97" s="676"/>
      <c r="AA97" s="176"/>
      <c r="AB97" s="176"/>
      <c r="AC97" s="176"/>
      <c r="AD97" s="176"/>
      <c r="AE97" s="176"/>
      <c r="AF97" s="176"/>
      <c r="AG97" s="176"/>
      <c r="AH97" s="176"/>
      <c r="AI97" s="176"/>
      <c r="AJ97" s="176"/>
      <c r="AK97" s="404"/>
      <c r="AL97" s="404"/>
      <c r="AM97" s="404"/>
      <c r="AN97" s="404"/>
      <c r="AO97" s="404"/>
      <c r="AP97" s="404"/>
      <c r="AW97" s="176"/>
      <c r="AX97" s="176"/>
      <c r="AY97" s="176"/>
      <c r="AZ97" s="176"/>
    </row>
    <row r="98" spans="2:52">
      <c r="B98" s="29"/>
      <c r="C98" s="30"/>
      <c r="D98" s="30"/>
      <c r="E98" s="30"/>
      <c r="F98" s="30"/>
      <c r="G98" s="30"/>
      <c r="H98" s="30"/>
      <c r="I98" s="30"/>
      <c r="J98" s="30"/>
      <c r="K98" s="30"/>
      <c r="L98" s="30"/>
      <c r="M98" s="30"/>
      <c r="N98" s="30"/>
      <c r="O98" s="30"/>
      <c r="P98" s="30"/>
      <c r="Q98" s="30"/>
      <c r="R98" s="30"/>
      <c r="S98" s="30"/>
      <c r="T98" s="30"/>
      <c r="U98" s="30"/>
      <c r="V98" s="307"/>
      <c r="W98" s="176"/>
      <c r="X98" s="176"/>
      <c r="Y98" s="383"/>
      <c r="Z98" s="688"/>
      <c r="AA98" s="176"/>
      <c r="AB98" s="176"/>
      <c r="AC98" s="176"/>
      <c r="AD98" s="176"/>
      <c r="AE98" s="176"/>
      <c r="AF98" s="176"/>
      <c r="AG98" s="176"/>
      <c r="AH98" s="176"/>
      <c r="AI98" s="176"/>
      <c r="AJ98" s="683"/>
      <c r="AK98" s="683"/>
      <c r="AL98" s="683"/>
      <c r="AM98" s="683"/>
      <c r="AN98" s="683"/>
      <c r="AO98" s="681"/>
      <c r="AP98" s="681"/>
      <c r="AQ98" s="681"/>
      <c r="AR98" s="681"/>
      <c r="AW98" s="176"/>
      <c r="AX98" s="176"/>
      <c r="AY98" s="176"/>
      <c r="AZ98" s="176"/>
    </row>
    <row r="99" spans="2:52">
      <c r="B99" s="34"/>
      <c r="V99" s="308"/>
      <c r="W99" s="176"/>
      <c r="X99" s="404"/>
      <c r="Y99" s="619"/>
      <c r="Z99" s="677"/>
      <c r="AA99" s="404"/>
      <c r="AB99" s="404"/>
      <c r="AC99" s="404"/>
      <c r="AD99" s="619"/>
      <c r="AE99" s="383"/>
      <c r="AF99" s="383"/>
      <c r="AG99" s="176"/>
      <c r="AH99" s="176"/>
      <c r="AI99" s="176"/>
      <c r="AJ99" s="683"/>
      <c r="AK99" s="683"/>
      <c r="AL99" s="683"/>
      <c r="AM99" s="683"/>
      <c r="AN99" s="683"/>
      <c r="AO99" s="681"/>
      <c r="AP99" s="681"/>
      <c r="AQ99" s="681"/>
      <c r="AR99" s="681"/>
      <c r="AS99" s="404"/>
      <c r="AT99" s="404"/>
      <c r="AU99" s="176"/>
      <c r="AV99" s="176"/>
      <c r="AW99" s="176"/>
      <c r="AX99" s="176"/>
      <c r="AY99" s="176"/>
      <c r="AZ99" s="176"/>
    </row>
    <row r="100" spans="2:52">
      <c r="B100" s="34"/>
      <c r="C100" s="43" t="s">
        <v>111</v>
      </c>
      <c r="D100" s="43"/>
      <c r="H100" s="33" t="s">
        <v>112</v>
      </c>
      <c r="I100" s="33"/>
      <c r="M100" s="33" t="s">
        <v>113</v>
      </c>
      <c r="N100" s="33"/>
      <c r="R100" s="33" t="s">
        <v>114</v>
      </c>
      <c r="S100" s="33"/>
      <c r="T100" s="33"/>
      <c r="V100" s="308"/>
      <c r="W100" s="176"/>
      <c r="X100" s="619" t="s">
        <v>115</v>
      </c>
      <c r="Y100" s="619" t="s">
        <v>116</v>
      </c>
      <c r="Z100" s="619" t="s">
        <v>117</v>
      </c>
      <c r="AA100" s="619" t="s">
        <v>80</v>
      </c>
      <c r="AB100" s="404"/>
      <c r="AC100" s="404"/>
      <c r="AD100" s="619"/>
      <c r="AE100" s="383"/>
      <c r="AF100" s="383"/>
      <c r="AG100" s="176"/>
      <c r="AH100" s="176"/>
      <c r="AI100" s="176"/>
      <c r="AJ100" s="683"/>
      <c r="AK100" s="683"/>
      <c r="AL100" s="683"/>
      <c r="AM100" s="683"/>
      <c r="AN100" s="683"/>
      <c r="AO100" s="681"/>
      <c r="AP100" s="681"/>
      <c r="AQ100" s="681"/>
      <c r="AR100" s="681"/>
      <c r="AS100" s="404"/>
      <c r="AT100" s="404"/>
      <c r="AU100" s="176"/>
      <c r="AV100" s="176"/>
      <c r="AW100" s="176"/>
      <c r="AX100" s="176"/>
      <c r="AY100" s="176"/>
      <c r="AZ100" s="176"/>
    </row>
    <row r="101" spans="2:52">
      <c r="B101" s="34"/>
      <c r="C101" s="768"/>
      <c r="D101" s="771" t="s">
        <v>116</v>
      </c>
      <c r="E101" s="771" t="s">
        <v>117</v>
      </c>
      <c r="F101" s="767" t="s">
        <v>118</v>
      </c>
      <c r="H101" s="768"/>
      <c r="I101" s="771" t="s">
        <v>116</v>
      </c>
      <c r="J101" s="771" t="s">
        <v>117</v>
      </c>
      <c r="K101" s="767" t="s">
        <v>118</v>
      </c>
      <c r="M101" s="768" t="s">
        <v>119</v>
      </c>
      <c r="N101" s="769" t="s">
        <v>78</v>
      </c>
      <c r="O101" s="738" t="s">
        <v>120</v>
      </c>
      <c r="P101" s="738" t="s">
        <v>121</v>
      </c>
      <c r="R101" s="774" t="s">
        <v>122</v>
      </c>
      <c r="S101" s="769" t="s">
        <v>78</v>
      </c>
      <c r="T101" s="738" t="s">
        <v>120</v>
      </c>
      <c r="U101" s="738" t="s">
        <v>121</v>
      </c>
      <c r="V101" s="308"/>
      <c r="W101" s="176"/>
      <c r="X101" s="619" t="s">
        <v>44</v>
      </c>
      <c r="Y101" s="554">
        <v>0.99275999999999986</v>
      </c>
      <c r="Z101" s="554">
        <v>28.64864</v>
      </c>
      <c r="AA101" s="475">
        <f>Y101+Z101</f>
        <v>29.641400000000001</v>
      </c>
      <c r="AB101" s="404"/>
      <c r="AC101" s="404"/>
      <c r="AD101" s="678"/>
      <c r="AE101" s="689"/>
      <c r="AF101" s="689"/>
      <c r="AG101" s="176"/>
      <c r="AH101" s="176"/>
      <c r="AI101" s="176"/>
      <c r="AJ101" s="683"/>
      <c r="AK101" s="683"/>
      <c r="AL101" s="683"/>
      <c r="AM101" s="683"/>
      <c r="AN101" s="683"/>
      <c r="AO101" s="681"/>
      <c r="AP101" s="681"/>
      <c r="AQ101" s="681"/>
      <c r="AR101" s="681"/>
      <c r="AS101" s="404"/>
      <c r="AT101" s="404"/>
      <c r="AU101" s="176"/>
      <c r="AV101" s="176"/>
      <c r="AW101" s="176"/>
      <c r="AX101" s="176"/>
      <c r="AY101" s="176"/>
      <c r="AZ101" s="176"/>
    </row>
    <row r="102" spans="2:52">
      <c r="B102" s="34"/>
      <c r="C102" s="768"/>
      <c r="D102" s="771"/>
      <c r="E102" s="771"/>
      <c r="F102" s="767"/>
      <c r="H102" s="768"/>
      <c r="I102" s="771"/>
      <c r="J102" s="771"/>
      <c r="K102" s="767"/>
      <c r="M102" s="768"/>
      <c r="N102" s="769"/>
      <c r="O102" s="738"/>
      <c r="P102" s="738"/>
      <c r="R102" s="774"/>
      <c r="S102" s="769"/>
      <c r="T102" s="738"/>
      <c r="U102" s="738"/>
      <c r="V102" s="308"/>
      <c r="W102" s="176"/>
      <c r="X102" s="619" t="s">
        <v>123</v>
      </c>
      <c r="Y102" s="554">
        <v>0.39260000000000006</v>
      </c>
      <c r="Z102" s="554">
        <v>8.1058200000000014</v>
      </c>
      <c r="AA102" s="475">
        <f>Y102+Z102</f>
        <v>8.4984200000000012</v>
      </c>
      <c r="AB102" s="404"/>
      <c r="AC102" s="404"/>
      <c r="AD102" s="678"/>
      <c r="AE102" s="689"/>
      <c r="AF102" s="689"/>
      <c r="AG102" s="176"/>
      <c r="AH102" s="176"/>
      <c r="AI102" s="176"/>
      <c r="AJ102" s="683"/>
      <c r="AK102" s="683"/>
      <c r="AL102" s="683"/>
      <c r="AM102" s="683"/>
      <c r="AN102" s="683"/>
      <c r="AO102" s="681"/>
      <c r="AP102" s="681"/>
      <c r="AQ102" s="681"/>
      <c r="AR102" s="681"/>
      <c r="AS102" s="404"/>
      <c r="AT102" s="404"/>
      <c r="AU102" s="176"/>
      <c r="AV102" s="176"/>
      <c r="AW102" s="176"/>
      <c r="AX102" s="176"/>
      <c r="AY102" s="176"/>
      <c r="AZ102" s="176"/>
    </row>
    <row r="103" spans="2:52" ht="16.5">
      <c r="B103" s="615"/>
      <c r="C103" s="36" t="s">
        <v>44</v>
      </c>
      <c r="D103" s="479">
        <f>AR181</f>
        <v>5.9689678727487608E-3</v>
      </c>
      <c r="E103" s="122">
        <f>V181</f>
        <v>5.6926023209940821E-2</v>
      </c>
      <c r="F103" s="122">
        <f>V63</f>
        <v>4.688732494325136E-2</v>
      </c>
      <c r="G103" s="524"/>
      <c r="H103" s="36" t="s">
        <v>44</v>
      </c>
      <c r="I103" s="122">
        <f>IFERROR(Y109/Y101-1,0)</f>
        <v>-0.22156412425963967</v>
      </c>
      <c r="J103" s="122">
        <f>IFERROR(Z109/Z101-1,0)</f>
        <v>8.36744780904084E-2</v>
      </c>
      <c r="K103" s="122">
        <f>IFERROR(AA109/AA101-1,0)</f>
        <v>7.3451321462548957E-2</v>
      </c>
      <c r="L103" s="480"/>
      <c r="M103" s="36" t="s">
        <v>124</v>
      </c>
      <c r="N103" s="120">
        <f>AQ206</f>
        <v>36.03</v>
      </c>
      <c r="O103" s="124">
        <f>IFERROR(N103/$N$108,0)</f>
        <v>0.24416656727422556</v>
      </c>
      <c r="P103" s="122">
        <f>'% Growth'!E33</f>
        <v>-0.15504931385664877</v>
      </c>
      <c r="Q103" s="414"/>
      <c r="R103" s="135" t="s">
        <v>125</v>
      </c>
      <c r="S103" s="120">
        <f>U206</f>
        <v>509.90932000000004</v>
      </c>
      <c r="T103" s="122">
        <f t="shared" ref="T103:T108" si="36">IFERROR(S103/$S$108,0)</f>
        <v>0.84776229758237043</v>
      </c>
      <c r="U103" s="122">
        <f>'% Growth'!E50</f>
        <v>2.8395907063001991E-2</v>
      </c>
      <c r="V103" s="462"/>
      <c r="W103" s="176"/>
      <c r="X103" s="619" t="s">
        <v>46</v>
      </c>
      <c r="Y103" s="554">
        <v>40.935200000000002</v>
      </c>
      <c r="Z103" s="554">
        <v>134.03846000000001</v>
      </c>
      <c r="AA103" s="475">
        <f>Y103+Z103</f>
        <v>174.97366000000002</v>
      </c>
      <c r="AB103" s="404"/>
      <c r="AC103" s="404"/>
      <c r="AD103" s="678"/>
      <c r="AE103" s="689"/>
      <c r="AF103" s="689"/>
      <c r="AG103" s="176"/>
      <c r="AH103" s="176"/>
      <c r="AI103" s="176"/>
      <c r="AJ103" s="683"/>
      <c r="AK103" s="683"/>
      <c r="AL103" s="683"/>
      <c r="AM103" s="683"/>
      <c r="AN103" s="683"/>
      <c r="AO103" s="681"/>
      <c r="AP103" s="681"/>
      <c r="AQ103" s="681"/>
      <c r="AR103" s="681"/>
      <c r="AS103" s="404"/>
      <c r="AT103" s="404"/>
      <c r="AU103" s="176"/>
      <c r="AV103" s="176"/>
      <c r="AW103" s="176"/>
      <c r="AX103" s="176"/>
      <c r="AY103" s="176"/>
    </row>
    <row r="104" spans="2:52" ht="16.5">
      <c r="B104" s="615"/>
      <c r="C104" s="36" t="s">
        <v>123</v>
      </c>
      <c r="D104" s="479">
        <f>AR184</f>
        <v>2.8475934379303242E-3</v>
      </c>
      <c r="E104" s="122">
        <f>V184</f>
        <v>1.6647492747683221E-2</v>
      </c>
      <c r="F104" s="122">
        <f>V67</f>
        <v>1.3928869696084039E-2</v>
      </c>
      <c r="G104" s="524"/>
      <c r="H104" s="36" t="s">
        <v>123</v>
      </c>
      <c r="I104" s="122">
        <f t="shared" ref="I104:I108" si="37">IFERROR(Y110/Y102-1,0)</f>
        <v>2.6999490575649432E-2</v>
      </c>
      <c r="J104" s="122">
        <f t="shared" ref="J104:J108" si="38">IFERROR(Z110/Z102-1,0)</f>
        <v>0.14487121599048569</v>
      </c>
      <c r="K104" s="122">
        <f>IFERROR(AA110/AA102-1,0)</f>
        <v>0.13942591681747896</v>
      </c>
      <c r="L104" s="480"/>
      <c r="M104" s="36" t="s">
        <v>126</v>
      </c>
      <c r="N104" s="120">
        <f>AQ212</f>
        <v>47.967999999999996</v>
      </c>
      <c r="O104" s="124">
        <f t="shared" ref="O104:O108" si="39">IFERROR(N104/$N$108,0)</f>
        <v>0.32506749650319322</v>
      </c>
      <c r="P104" s="122">
        <f>'% Growth'!E34</f>
        <v>-0.10141558917059901</v>
      </c>
      <c r="Q104" s="414"/>
      <c r="R104" s="382" t="s">
        <v>127</v>
      </c>
      <c r="S104" s="120">
        <f>U212</f>
        <v>23.07</v>
      </c>
      <c r="T104" s="122">
        <f t="shared" si="36"/>
        <v>3.8355596648488963E-2</v>
      </c>
      <c r="U104" s="122">
        <f>'% Growth'!E51</f>
        <v>4.045387271830303E-2</v>
      </c>
      <c r="V104" s="462"/>
      <c r="W104" s="176"/>
      <c r="X104" s="619" t="s">
        <v>47</v>
      </c>
      <c r="Y104" s="554">
        <v>37.904980000000002</v>
      </c>
      <c r="Z104" s="554">
        <v>73.957719999999995</v>
      </c>
      <c r="AA104" s="475">
        <f>Y104+Z104</f>
        <v>111.86269999999999</v>
      </c>
      <c r="AB104" s="475"/>
      <c r="AC104" s="404"/>
      <c r="AD104" s="678"/>
      <c r="AE104" s="689"/>
      <c r="AF104" s="689"/>
      <c r="AG104" s="178"/>
      <c r="AH104" s="176"/>
      <c r="AI104" s="176"/>
      <c r="AJ104" s="683"/>
      <c r="AK104" s="683"/>
      <c r="AL104" s="683"/>
      <c r="AM104" s="683"/>
      <c r="AN104" s="683"/>
      <c r="AO104" s="681"/>
      <c r="AP104" s="681"/>
      <c r="AQ104" s="681"/>
      <c r="AR104" s="681"/>
      <c r="AS104" s="404"/>
      <c r="AT104" s="404"/>
      <c r="AU104" s="176"/>
      <c r="AV104" s="176"/>
      <c r="AW104" s="176"/>
      <c r="AX104" s="176"/>
      <c r="AY104" s="176"/>
    </row>
    <row r="105" spans="2:52" ht="16.5">
      <c r="B105" s="615"/>
      <c r="C105" s="36" t="s">
        <v>128</v>
      </c>
      <c r="D105" s="479">
        <f>AR189</f>
        <v>0.23997717588124953</v>
      </c>
      <c r="E105" s="122">
        <f>V189</f>
        <v>0.23398629732593493</v>
      </c>
      <c r="F105" s="122">
        <f>V72</f>
        <v>0.23516651901989313</v>
      </c>
      <c r="G105" s="524"/>
      <c r="H105" s="36" t="s">
        <v>128</v>
      </c>
      <c r="I105" s="122">
        <f t="shared" si="37"/>
        <v>-0.19624675096249677</v>
      </c>
      <c r="J105" s="122">
        <f t="shared" si="38"/>
        <v>-4.5379960348694071E-2</v>
      </c>
      <c r="K105" s="122">
        <f t="shared" ref="K105:K108" si="40">IFERROR(AA111/AA103-1,0)</f>
        <v>-8.0675342791595162E-2</v>
      </c>
      <c r="L105" s="480"/>
      <c r="M105" s="36" t="s">
        <v>129</v>
      </c>
      <c r="N105" s="120">
        <f>AQ218</f>
        <v>28.6752</v>
      </c>
      <c r="O105" s="124">
        <f t="shared" si="39"/>
        <v>0.19432487232589155</v>
      </c>
      <c r="P105" s="122">
        <f>'% Growth'!E35</f>
        <v>-0.17964523995197235</v>
      </c>
      <c r="Q105" s="414"/>
      <c r="R105" s="136" t="s">
        <v>130</v>
      </c>
      <c r="S105" s="120">
        <f>U218</f>
        <v>18.03</v>
      </c>
      <c r="T105" s="122">
        <f t="shared" si="36"/>
        <v>2.9976220527622714E-2</v>
      </c>
      <c r="U105" s="122">
        <f>'% Growth'!E52</f>
        <v>-0.2467911766966413</v>
      </c>
      <c r="V105" s="462"/>
      <c r="W105" s="176"/>
      <c r="X105" s="619" t="s">
        <v>131</v>
      </c>
      <c r="Y105" s="554">
        <v>75.088639999999998</v>
      </c>
      <c r="Z105" s="554">
        <v>287.52719999999999</v>
      </c>
      <c r="AA105" s="475">
        <f>Y105+Z105</f>
        <v>362.61583999999999</v>
      </c>
      <c r="AB105" s="655"/>
      <c r="AC105" s="404"/>
      <c r="AD105" s="678"/>
      <c r="AE105" s="383"/>
      <c r="AF105" s="690"/>
      <c r="AG105" s="176"/>
      <c r="AH105" s="176"/>
      <c r="AI105" s="176"/>
      <c r="AJ105" s="683"/>
      <c r="AK105" s="683"/>
      <c r="AL105" s="683"/>
      <c r="AM105" s="683"/>
      <c r="AN105" s="683"/>
      <c r="AO105" s="681"/>
      <c r="AP105" s="681"/>
      <c r="AQ105" s="681"/>
      <c r="AR105" s="681"/>
      <c r="AS105" s="183"/>
      <c r="AT105" s="176"/>
      <c r="AU105" s="176"/>
      <c r="AV105" s="176"/>
      <c r="AW105" s="176"/>
      <c r="AX105" s="176"/>
      <c r="AY105" s="176"/>
    </row>
    <row r="106" spans="2:52" ht="16.5">
      <c r="B106" s="615"/>
      <c r="C106" s="36" t="s">
        <v>47</v>
      </c>
      <c r="D106" s="479">
        <f>AR195</f>
        <v>0.60311242911511809</v>
      </c>
      <c r="E106" s="122">
        <f>V195</f>
        <v>0.52425254136169785</v>
      </c>
      <c r="F106" s="122">
        <f>V77</f>
        <v>0.53978818433131392</v>
      </c>
      <c r="G106" s="524"/>
      <c r="H106" s="36" t="s">
        <v>47</v>
      </c>
      <c r="I106" s="122">
        <f t="shared" si="37"/>
        <v>1.1820615655251632</v>
      </c>
      <c r="J106" s="122">
        <f t="shared" si="38"/>
        <v>2.8996153477960109</v>
      </c>
      <c r="K106" s="122">
        <f t="shared" si="40"/>
        <v>2.3176175794076133</v>
      </c>
      <c r="L106" s="480"/>
      <c r="M106" s="36" t="s">
        <v>132</v>
      </c>
      <c r="N106" s="120">
        <f>AQ224</f>
        <v>22.520000000000003</v>
      </c>
      <c r="O106" s="122">
        <f t="shared" si="39"/>
        <v>0.15261257549307689</v>
      </c>
      <c r="P106" s="122">
        <f>'% Growth'!E36</f>
        <v>-3.3818694222639722E-2</v>
      </c>
      <c r="Q106" s="414"/>
      <c r="R106" s="136" t="s">
        <v>133</v>
      </c>
      <c r="S106" s="120">
        <f>U224</f>
        <v>26.319999999999997</v>
      </c>
      <c r="T106" s="122">
        <f t="shared" si="36"/>
        <v>4.3758964186745963E-2</v>
      </c>
      <c r="U106" s="122">
        <f>'% Growth'!E53</f>
        <v>0.29807692307692291</v>
      </c>
      <c r="V106" s="462"/>
      <c r="W106" s="176"/>
      <c r="X106" s="553" t="s">
        <v>80</v>
      </c>
      <c r="Y106" s="656">
        <v>155.31417999999999</v>
      </c>
      <c r="Z106" s="656">
        <v>532.27783999999997</v>
      </c>
      <c r="AA106" s="555">
        <f>SUM(AA101:AA105)</f>
        <v>687.59202000000005</v>
      </c>
      <c r="AB106" s="655"/>
      <c r="AC106" s="657"/>
      <c r="AD106" s="678"/>
      <c r="AE106" s="689"/>
      <c r="AF106" s="689"/>
      <c r="AG106" s="176"/>
      <c r="AH106" s="176"/>
      <c r="AI106" s="176"/>
      <c r="AJ106" s="683"/>
      <c r="AK106" s="683"/>
      <c r="AL106" s="683"/>
      <c r="AM106" s="683"/>
      <c r="AN106" s="683"/>
      <c r="AO106" s="681"/>
      <c r="AP106" s="681"/>
      <c r="AQ106" s="681"/>
      <c r="AR106" s="681"/>
      <c r="AS106" s="183"/>
    </row>
    <row r="107" spans="2:52" ht="16.5">
      <c r="B107" s="615"/>
      <c r="C107" s="36" t="s">
        <v>61</v>
      </c>
      <c r="D107" s="479">
        <f>AR199</f>
        <v>0.14809383369295326</v>
      </c>
      <c r="E107" s="122">
        <f>V199</f>
        <v>0.16818764535474323</v>
      </c>
      <c r="F107" s="122">
        <f>V81</f>
        <v>0.16422910200945753</v>
      </c>
      <c r="G107" s="524"/>
      <c r="H107" s="36" t="s">
        <v>61</v>
      </c>
      <c r="I107" s="122">
        <f t="shared" si="37"/>
        <v>-0.74029094147929697</v>
      </c>
      <c r="J107" s="122">
        <f>IFERROR(Z113/Z105-1,0)</f>
        <v>-0.68405493462879341</v>
      </c>
      <c r="K107" s="122">
        <f t="shared" si="40"/>
        <v>-0.69570000030886681</v>
      </c>
      <c r="L107" s="480"/>
      <c r="M107" s="36" t="s">
        <v>134</v>
      </c>
      <c r="N107" s="120">
        <f>AQ230</f>
        <v>12.370000000000001</v>
      </c>
      <c r="O107" s="122">
        <f t="shared" si="39"/>
        <v>8.382848840361283E-2</v>
      </c>
      <c r="P107" s="122">
        <f>'% Growth'!E37</f>
        <v>-0.10211408057439175</v>
      </c>
      <c r="Q107" s="414"/>
      <c r="R107" s="136" t="s">
        <v>135</v>
      </c>
      <c r="S107" s="120">
        <f>U236+U230</f>
        <v>24.14744</v>
      </c>
      <c r="T107" s="122">
        <f t="shared" si="36"/>
        <v>4.0146921054771925E-2</v>
      </c>
      <c r="U107" s="122">
        <f>'% Growth'!E54</f>
        <v>9.0688855408022961E-2</v>
      </c>
      <c r="V107" s="462"/>
      <c r="W107" s="176"/>
      <c r="X107" s="404"/>
      <c r="Y107" s="619"/>
      <c r="Z107" s="404"/>
      <c r="AA107" s="475"/>
      <c r="AB107" s="404"/>
      <c r="AC107" s="404"/>
      <c r="AD107" s="619"/>
      <c r="AE107" s="383"/>
      <c r="AF107" s="383"/>
      <c r="AG107" s="176"/>
      <c r="AH107" s="176"/>
      <c r="AI107" s="176"/>
      <c r="AJ107" s="683"/>
      <c r="AK107" s="683"/>
      <c r="AL107" s="683"/>
      <c r="AM107" s="683"/>
      <c r="AN107" s="683"/>
      <c r="AO107" s="681"/>
      <c r="AP107" s="681"/>
      <c r="AQ107" s="681"/>
      <c r="AR107" s="681"/>
      <c r="AS107" s="183"/>
    </row>
    <row r="108" spans="2:52" ht="16.5">
      <c r="B108" s="615"/>
      <c r="C108" s="39" t="s">
        <v>25</v>
      </c>
      <c r="D108" s="40">
        <f>SUM(D103:D107)</f>
        <v>1</v>
      </c>
      <c r="E108" s="40">
        <f>SUM(E103:E107)</f>
        <v>1</v>
      </c>
      <c r="F108" s="40">
        <f>SUM(F103:F107)</f>
        <v>1</v>
      </c>
      <c r="G108" s="523"/>
      <c r="H108" s="39"/>
      <c r="I108" s="331">
        <f t="shared" si="37"/>
        <v>-0.12248836519627493</v>
      </c>
      <c r="J108" s="331">
        <f t="shared" si="38"/>
        <v>2.8656725592784316E-2</v>
      </c>
      <c r="K108" s="331">
        <f t="shared" si="40"/>
        <v>-5.4841241467580293E-3</v>
      </c>
      <c r="L108" s="480"/>
      <c r="M108" s="39" t="s">
        <v>136</v>
      </c>
      <c r="N108" s="121">
        <f>SUM(N103:N107)</f>
        <v>147.56319999999999</v>
      </c>
      <c r="O108" s="40">
        <f t="shared" si="39"/>
        <v>1</v>
      </c>
      <c r="P108" s="331">
        <f>'% Growth'!E38</f>
        <v>-0.12248836519627504</v>
      </c>
      <c r="Q108" s="53"/>
      <c r="R108" s="39" t="s">
        <v>137</v>
      </c>
      <c r="S108" s="121">
        <f>SUM(S103:S107)</f>
        <v>601.47676000000001</v>
      </c>
      <c r="T108" s="40">
        <f t="shared" si="36"/>
        <v>1</v>
      </c>
      <c r="U108" s="331">
        <f>'% Growth'!E55</f>
        <v>2.8656725592784316E-2</v>
      </c>
      <c r="V108" s="461"/>
      <c r="W108" s="176"/>
      <c r="X108" s="619" t="s">
        <v>138</v>
      </c>
      <c r="Y108" s="619" t="s">
        <v>116</v>
      </c>
      <c r="Z108" s="619" t="s">
        <v>117</v>
      </c>
      <c r="AA108" s="554" t="s">
        <v>80</v>
      </c>
      <c r="AB108" s="620"/>
      <c r="AC108" s="620"/>
      <c r="AD108" s="619"/>
      <c r="AE108" s="383"/>
      <c r="AF108" s="383"/>
      <c r="AG108" s="176"/>
      <c r="AH108" s="176"/>
      <c r="AI108" s="176"/>
      <c r="AJ108" s="683"/>
      <c r="AK108" s="683"/>
      <c r="AL108" s="683"/>
      <c r="AM108" s="683"/>
      <c r="AN108" s="683"/>
      <c r="AO108" s="681"/>
      <c r="AP108" s="681"/>
      <c r="AQ108" s="681"/>
      <c r="AR108" s="681"/>
      <c r="AS108" s="183"/>
    </row>
    <row r="109" spans="2:52">
      <c r="B109" s="34"/>
      <c r="D109" s="41"/>
      <c r="E109" s="42"/>
      <c r="M109" s="144" t="s">
        <v>139</v>
      </c>
      <c r="R109" s="144" t="s">
        <v>140</v>
      </c>
      <c r="U109" s="36"/>
      <c r="V109" s="447" t="s">
        <v>141</v>
      </c>
      <c r="W109" s="176"/>
      <c r="X109" s="619" t="s">
        <v>44</v>
      </c>
      <c r="Y109" s="658">
        <v>0.77280000000000004</v>
      </c>
      <c r="Z109" s="659">
        <v>31.0458</v>
      </c>
      <c r="AA109" s="655">
        <f>Y109+Z109</f>
        <v>31.8186</v>
      </c>
      <c r="AB109" s="657">
        <f>Y109/$Y$114</f>
        <v>5.6702619414483813E-3</v>
      </c>
      <c r="AC109" s="657"/>
      <c r="AD109" s="658"/>
      <c r="AE109" s="692"/>
      <c r="AF109" s="694"/>
      <c r="AG109" s="176"/>
      <c r="AH109" s="691"/>
      <c r="AI109" s="695"/>
      <c r="AJ109" s="683"/>
      <c r="AK109" s="683"/>
      <c r="AL109" s="683"/>
      <c r="AM109" s="683"/>
      <c r="AN109" s="683"/>
      <c r="AO109" s="681"/>
      <c r="AP109" s="681"/>
      <c r="AQ109" s="681"/>
      <c r="AR109" s="681"/>
      <c r="AS109" s="183"/>
    </row>
    <row r="110" spans="2:52">
      <c r="B110" s="34"/>
      <c r="R110" s="144" t="s">
        <v>142</v>
      </c>
      <c r="U110" s="36"/>
      <c r="V110" s="308"/>
      <c r="W110" s="176"/>
      <c r="X110" s="619" t="s">
        <v>123</v>
      </c>
      <c r="Y110" s="658">
        <v>0.4032</v>
      </c>
      <c r="Z110" s="659">
        <v>9.2801200000000001</v>
      </c>
      <c r="AA110" s="655">
        <f t="shared" ref="AA110:AA112" si="41">Y110+Z110</f>
        <v>9.6833200000000001</v>
      </c>
      <c r="AB110" s="657">
        <f>Y110/$Y$114</f>
        <v>2.9583975346687205E-3</v>
      </c>
      <c r="AC110" s="657"/>
      <c r="AD110" s="658"/>
      <c r="AE110" s="692"/>
      <c r="AF110" s="694"/>
      <c r="AG110" s="176"/>
      <c r="AH110" s="691"/>
      <c r="AI110" s="695"/>
      <c r="AJ110" s="683"/>
      <c r="AK110" s="683"/>
      <c r="AL110" s="683"/>
      <c r="AM110" s="683"/>
      <c r="AN110" s="683"/>
      <c r="AO110" s="681"/>
      <c r="AP110" s="681"/>
      <c r="AQ110" s="681"/>
      <c r="AR110" s="681"/>
      <c r="AS110" s="183"/>
    </row>
    <row r="111" spans="2:52">
      <c r="B111" s="34"/>
      <c r="C111" s="43" t="s">
        <v>143</v>
      </c>
      <c r="H111" s="33" t="s">
        <v>144</v>
      </c>
      <c r="I111" s="33"/>
      <c r="M111" s="33" t="s">
        <v>145</v>
      </c>
      <c r="V111" s="308"/>
      <c r="W111" s="176"/>
      <c r="X111" s="619" t="s">
        <v>46</v>
      </c>
      <c r="Y111" s="658">
        <v>32.901800000000001</v>
      </c>
      <c r="Z111" s="659">
        <v>127.9558</v>
      </c>
      <c r="AA111" s="655">
        <f t="shared" si="41"/>
        <v>160.85759999999999</v>
      </c>
      <c r="AB111" s="657">
        <f t="shared" ref="AB111:AB114" si="42">Y111/$Y$114</f>
        <v>0.24141022818988919</v>
      </c>
      <c r="AC111" s="657"/>
      <c r="AD111" s="658"/>
      <c r="AE111" s="692"/>
      <c r="AF111" s="694"/>
      <c r="AG111" s="176"/>
      <c r="AH111" s="691"/>
      <c r="AI111" s="695"/>
      <c r="AJ111" s="683"/>
      <c r="AK111" s="683"/>
      <c r="AL111" s="683"/>
      <c r="AM111" s="683"/>
      <c r="AN111" s="683"/>
      <c r="AO111" s="681"/>
      <c r="AP111" s="681"/>
      <c r="AQ111" s="681"/>
      <c r="AR111" s="681"/>
      <c r="AS111" s="183"/>
    </row>
    <row r="112" spans="2:52">
      <c r="B112" s="775" t="s">
        <v>138</v>
      </c>
      <c r="C112" s="768" t="s">
        <v>118</v>
      </c>
      <c r="D112" s="771" t="s">
        <v>116</v>
      </c>
      <c r="E112" s="771" t="s">
        <v>146</v>
      </c>
      <c r="F112" s="767" t="s">
        <v>118</v>
      </c>
      <c r="H112" s="336"/>
      <c r="I112" s="771" t="s">
        <v>147</v>
      </c>
      <c r="J112" s="771"/>
      <c r="K112" s="771"/>
      <c r="M112" s="768" t="s">
        <v>148</v>
      </c>
      <c r="N112" s="769" t="s">
        <v>78</v>
      </c>
      <c r="O112" s="770" t="s">
        <v>120</v>
      </c>
      <c r="P112" s="738" t="s">
        <v>121</v>
      </c>
      <c r="V112" s="308"/>
      <c r="W112" s="176"/>
      <c r="X112" s="619" t="s">
        <v>47</v>
      </c>
      <c r="Y112" s="658">
        <v>82.710999999999999</v>
      </c>
      <c r="Z112" s="659">
        <v>288.40665999999999</v>
      </c>
      <c r="AA112" s="655">
        <f t="shared" si="41"/>
        <v>371.11766</v>
      </c>
      <c r="AB112" s="657">
        <f t="shared" si="42"/>
        <v>0.6068750458580966</v>
      </c>
      <c r="AC112" s="657"/>
      <c r="AD112" s="658"/>
      <c r="AE112" s="692"/>
      <c r="AF112" s="694"/>
      <c r="AG112" s="178"/>
      <c r="AH112" s="691"/>
      <c r="AI112" s="695"/>
      <c r="AJ112" s="683"/>
      <c r="AK112" s="683"/>
      <c r="AL112" s="683"/>
      <c r="AM112" s="683"/>
      <c r="AN112" s="683"/>
      <c r="AO112" s="681"/>
      <c r="AP112" s="681"/>
      <c r="AQ112" s="681"/>
      <c r="AR112" s="681"/>
      <c r="AS112" s="183"/>
    </row>
    <row r="113" spans="2:47">
      <c r="B113" s="775"/>
      <c r="C113" s="768"/>
      <c r="D113" s="771"/>
      <c r="E113" s="771"/>
      <c r="F113" s="767"/>
      <c r="H113" s="336"/>
      <c r="I113" s="771"/>
      <c r="J113" s="771"/>
      <c r="K113" s="771"/>
      <c r="M113" s="768"/>
      <c r="N113" s="769"/>
      <c r="O113" s="770"/>
      <c r="P113" s="738"/>
      <c r="V113" s="308"/>
      <c r="W113" s="176"/>
      <c r="X113" s="619" t="s">
        <v>131</v>
      </c>
      <c r="Y113" s="658">
        <v>19.501200000000001</v>
      </c>
      <c r="Z113" s="659">
        <v>90.842799999999997</v>
      </c>
      <c r="AA113" s="655">
        <f>Y113+Z113</f>
        <v>110.34399999999999</v>
      </c>
      <c r="AB113" s="657">
        <f t="shared" si="42"/>
        <v>0.14308606647589697</v>
      </c>
      <c r="AC113" s="657"/>
      <c r="AD113" s="658"/>
      <c r="AE113" s="692"/>
      <c r="AF113" s="694"/>
      <c r="AG113" s="176"/>
      <c r="AH113" s="691"/>
      <c r="AI113" s="695"/>
      <c r="AJ113" s="683"/>
      <c r="AK113" s="683"/>
      <c r="AL113" s="683"/>
      <c r="AM113" s="683"/>
      <c r="AN113" s="683"/>
      <c r="AO113" s="681"/>
      <c r="AP113" s="681"/>
      <c r="AQ113" s="681"/>
      <c r="AR113" s="682"/>
      <c r="AS113" s="414"/>
      <c r="AT113" s="397"/>
      <c r="AU113" s="416"/>
    </row>
    <row r="114" spans="2:47">
      <c r="B114" s="134" t="s">
        <v>149</v>
      </c>
      <c r="C114" s="123">
        <f>$U$200 + $AQ$200</f>
        <v>749.03995999999984</v>
      </c>
      <c r="D114" s="145">
        <f>IFERROR(AQ200/$C$114,0)</f>
        <v>0.19700310781817304</v>
      </c>
      <c r="E114" s="145">
        <f>IFERROR(U200/$C$114,0)</f>
        <v>0.80299689218182702</v>
      </c>
      <c r="F114" s="146">
        <f>SUM(D114:E114)</f>
        <v>1</v>
      </c>
      <c r="H114" s="36" t="s">
        <v>146</v>
      </c>
      <c r="I114" s="773">
        <f>U108</f>
        <v>2.8656725592784316E-2</v>
      </c>
      <c r="J114" s="773"/>
      <c r="K114" s="773"/>
      <c r="M114" s="36" t="s">
        <v>150</v>
      </c>
      <c r="N114" s="120">
        <f>master_Daily!N119</f>
        <v>127.32826</v>
      </c>
      <c r="O114" s="124">
        <f>IFERROR(N114/$N$116,0)</f>
        <v>0.58201952427241532</v>
      </c>
      <c r="P114" s="122">
        <f>'% Growth'!E43</f>
        <v>-5.8192908172830737E-2</v>
      </c>
      <c r="V114" s="308"/>
      <c r="W114" s="176"/>
      <c r="X114" s="553" t="s">
        <v>80</v>
      </c>
      <c r="Y114" s="660">
        <v>136.29000000000002</v>
      </c>
      <c r="Z114" s="660">
        <v>547.53117999999995</v>
      </c>
      <c r="AA114" s="660">
        <f>SUM(AA109:AA113)</f>
        <v>683.82117999999991</v>
      </c>
      <c r="AB114" s="657">
        <f t="shared" si="42"/>
        <v>1</v>
      </c>
      <c r="AC114" s="657"/>
      <c r="AD114" s="680"/>
      <c r="AE114" s="692"/>
      <c r="AF114" s="694"/>
      <c r="AG114" s="176"/>
      <c r="AH114" s="176"/>
      <c r="AI114" s="695"/>
      <c r="AJ114" s="683"/>
      <c r="AK114" s="683"/>
      <c r="AL114" s="683"/>
      <c r="AM114" s="683"/>
      <c r="AN114" s="683"/>
      <c r="AO114" s="681"/>
      <c r="AP114" s="681"/>
      <c r="AQ114" s="681"/>
      <c r="AR114" s="682"/>
      <c r="AS114" s="414"/>
      <c r="AT114" s="397"/>
      <c r="AU114" s="416"/>
    </row>
    <row r="115" spans="2:47">
      <c r="B115" s="34"/>
      <c r="C115" s="45"/>
      <c r="D115" s="78"/>
      <c r="E115" s="46"/>
      <c r="F115" s="46"/>
      <c r="H115" s="36" t="s">
        <v>116</v>
      </c>
      <c r="I115" s="773">
        <f>P108</f>
        <v>-0.12248836519627504</v>
      </c>
      <c r="J115" s="773"/>
      <c r="K115" s="773"/>
      <c r="M115" s="297" t="s">
        <v>151</v>
      </c>
      <c r="N115" s="120">
        <f>master_Daily!N120</f>
        <v>91.441479999999999</v>
      </c>
      <c r="O115" s="124">
        <f>IFERROR(N115/$N$116,0)</f>
        <v>0.41798047572758462</v>
      </c>
      <c r="P115" s="122">
        <f>'% Growth'!E44</f>
        <v>-0.1583261932974811</v>
      </c>
      <c r="V115" s="308"/>
      <c r="W115" s="176"/>
      <c r="X115" s="404"/>
      <c r="Y115" s="674"/>
      <c r="Z115" s="674"/>
      <c r="AA115" s="674"/>
      <c r="AB115" s="404"/>
      <c r="AC115" s="675"/>
      <c r="AD115" s="679"/>
      <c r="AE115" s="694"/>
      <c r="AF115" s="691"/>
      <c r="AG115" s="176"/>
      <c r="AH115" s="176"/>
      <c r="AI115" s="176"/>
      <c r="AJ115" s="683"/>
      <c r="AK115" s="683"/>
      <c r="AL115" s="683"/>
      <c r="AM115" s="683"/>
      <c r="AN115" s="683"/>
      <c r="AO115" s="681"/>
      <c r="AP115" s="681"/>
      <c r="AQ115" s="681"/>
      <c r="AR115" s="682"/>
      <c r="AS115" s="414"/>
      <c r="AT115" s="397"/>
      <c r="AU115" s="416"/>
    </row>
    <row r="116" spans="2:47">
      <c r="B116" s="34"/>
      <c r="C116" s="476"/>
      <c r="D116" s="78"/>
      <c r="E116" s="46"/>
      <c r="F116" s="46"/>
      <c r="H116" s="39" t="s">
        <v>118</v>
      </c>
      <c r="I116" s="772">
        <f>IFERROR(AA114/AA106-1,0)</f>
        <v>-5.4841241467580293E-3</v>
      </c>
      <c r="J116" s="772"/>
      <c r="K116" s="772"/>
      <c r="M116" s="39" t="s">
        <v>80</v>
      </c>
      <c r="N116" s="121">
        <f>SUM(N114:N115)</f>
        <v>218.76974000000001</v>
      </c>
      <c r="O116" s="40">
        <f>IFERROR(N116/$N$116,0)</f>
        <v>1</v>
      </c>
      <c r="P116" s="331">
        <f>'% Growth'!E45</f>
        <v>-0.10277168075373422</v>
      </c>
      <c r="V116" s="308"/>
      <c r="W116" s="176"/>
      <c r="X116" s="684" t="s">
        <v>152</v>
      </c>
      <c r="Y116" s="620"/>
      <c r="Z116" s="404"/>
      <c r="AA116" s="404"/>
      <c r="AB116" s="404"/>
      <c r="AC116" s="404"/>
      <c r="AD116" s="404"/>
      <c r="AE116" s="176"/>
      <c r="AF116" s="176"/>
      <c r="AG116" s="176"/>
      <c r="AH116" s="176"/>
      <c r="AI116" s="176"/>
      <c r="AJ116" s="683"/>
      <c r="AK116" s="683"/>
      <c r="AL116" s="683"/>
      <c r="AM116" s="683"/>
      <c r="AN116" s="683"/>
      <c r="AO116" s="681"/>
      <c r="AP116" s="681"/>
      <c r="AQ116" s="681"/>
      <c r="AR116" s="682"/>
      <c r="AS116" s="414"/>
      <c r="AT116" s="397"/>
      <c r="AU116" s="416"/>
    </row>
    <row r="117" spans="2:47">
      <c r="B117" s="34"/>
      <c r="C117" s="476"/>
      <c r="D117" s="78"/>
      <c r="E117" s="46"/>
      <c r="F117" s="46"/>
      <c r="G117" s="144"/>
      <c r="H117" s="173" t="s">
        <v>139</v>
      </c>
      <c r="M117" s="144" t="s">
        <v>153</v>
      </c>
      <c r="V117" s="308"/>
      <c r="W117" s="176"/>
      <c r="X117" s="404"/>
      <c r="Y117" s="619"/>
      <c r="Z117" s="404"/>
      <c r="AA117" s="404"/>
      <c r="AB117" s="404"/>
      <c r="AC117" s="404"/>
      <c r="AD117" s="634"/>
      <c r="AE117" s="695"/>
      <c r="AF117" s="176"/>
      <c r="AG117" s="176"/>
      <c r="AH117" s="176"/>
      <c r="AI117" s="176"/>
      <c r="AJ117" s="683"/>
      <c r="AK117" s="683"/>
      <c r="AL117" s="683"/>
      <c r="AM117" s="683"/>
      <c r="AN117" s="683"/>
      <c r="AO117" s="681"/>
      <c r="AP117" s="681"/>
      <c r="AQ117" s="681"/>
      <c r="AR117" s="682"/>
      <c r="AS117" s="414"/>
      <c r="AT117" s="397"/>
      <c r="AU117" s="416"/>
    </row>
    <row r="118" spans="2:47">
      <c r="B118" s="34"/>
      <c r="C118" s="477"/>
      <c r="D118" s="78"/>
      <c r="E118" s="46"/>
      <c r="F118" s="46"/>
      <c r="M118" s="144" t="s">
        <v>142</v>
      </c>
      <c r="V118" s="308"/>
      <c r="W118" s="176"/>
      <c r="X118" s="176"/>
      <c r="Y118" s="383"/>
      <c r="Z118" s="176"/>
      <c r="AA118" s="176"/>
      <c r="AB118" s="176"/>
      <c r="AC118" s="176"/>
      <c r="AD118" s="176"/>
      <c r="AE118" s="176"/>
      <c r="AF118" s="176"/>
      <c r="AG118" s="176"/>
      <c r="AH118" s="176"/>
      <c r="AI118" s="176"/>
      <c r="AJ118" s="683"/>
      <c r="AK118" s="683"/>
      <c r="AL118" s="683"/>
      <c r="AM118" s="683"/>
      <c r="AN118" s="683"/>
      <c r="AO118" s="681"/>
      <c r="AP118" s="681"/>
      <c r="AQ118" s="681"/>
      <c r="AR118" s="682"/>
      <c r="AS118" s="415"/>
      <c r="AT118" s="397"/>
      <c r="AU118" s="300"/>
    </row>
    <row r="119" spans="2:47">
      <c r="B119" s="34"/>
      <c r="C119" s="45"/>
      <c r="D119" s="78"/>
      <c r="E119" s="46"/>
      <c r="F119" s="46"/>
      <c r="V119" s="308"/>
      <c r="W119" s="176"/>
      <c r="X119" s="176"/>
      <c r="Y119" s="383"/>
      <c r="Z119" s="176"/>
      <c r="AA119" s="176"/>
      <c r="AB119" s="176"/>
      <c r="AC119" s="176"/>
      <c r="AD119" s="176"/>
      <c r="AE119" s="176"/>
      <c r="AF119" s="176"/>
      <c r="AG119" s="176"/>
      <c r="AH119" s="176"/>
      <c r="AI119" s="176"/>
      <c r="AJ119" s="683"/>
      <c r="AK119" s="683"/>
      <c r="AL119" s="683"/>
      <c r="AM119" s="683"/>
      <c r="AN119" s="683"/>
      <c r="AO119" s="681"/>
      <c r="AP119" s="681"/>
      <c r="AQ119" s="681"/>
      <c r="AR119" s="681"/>
    </row>
    <row r="120" spans="2:47" ht="15.75" thickBot="1">
      <c r="B120" s="49"/>
      <c r="C120" s="50"/>
      <c r="D120" s="50"/>
      <c r="E120" s="50"/>
      <c r="F120" s="50"/>
      <c r="G120" s="50"/>
      <c r="H120" s="50"/>
      <c r="I120" s="50"/>
      <c r="J120" s="50"/>
      <c r="K120" s="50"/>
      <c r="L120" s="50"/>
      <c r="M120" s="50"/>
      <c r="N120" s="50"/>
      <c r="O120" s="50"/>
      <c r="P120" s="50"/>
      <c r="Q120" s="50"/>
      <c r="R120" s="50"/>
      <c r="S120" s="50"/>
      <c r="T120" s="50"/>
      <c r="U120" s="50"/>
      <c r="V120" s="309"/>
      <c r="W120" s="176"/>
      <c r="X120" s="176"/>
      <c r="Y120" s="696"/>
      <c r="Z120" s="693"/>
      <c r="AA120" s="691"/>
      <c r="AB120" s="176"/>
      <c r="AC120" s="176"/>
      <c r="AD120" s="176"/>
      <c r="AE120" s="176"/>
      <c r="AF120" s="176"/>
      <c r="AG120" s="176"/>
      <c r="AH120" s="176"/>
      <c r="AI120" s="176"/>
      <c r="AJ120" s="683"/>
      <c r="AK120" s="683"/>
      <c r="AL120" s="683"/>
      <c r="AM120" s="683"/>
      <c r="AN120" s="683"/>
      <c r="AO120" s="681"/>
      <c r="AP120" s="681"/>
      <c r="AQ120" s="681"/>
      <c r="AR120" s="681"/>
    </row>
    <row r="121" spans="2:47">
      <c r="M121" s="144"/>
      <c r="AE121" s="94"/>
    </row>
    <row r="122" spans="2:47" ht="18.75" hidden="1" outlineLevel="1">
      <c r="B122" s="755" t="s">
        <v>154</v>
      </c>
      <c r="C122" s="755"/>
      <c r="D122" s="755"/>
      <c r="E122" s="755"/>
      <c r="F122" s="755"/>
      <c r="G122" s="755"/>
      <c r="H122" s="755"/>
      <c r="I122" s="755"/>
      <c r="J122" s="755"/>
      <c r="K122" s="755"/>
      <c r="L122" s="755"/>
      <c r="M122" s="755"/>
      <c r="N122" s="755"/>
      <c r="O122" s="755"/>
      <c r="P122" s="755"/>
      <c r="Q122" s="755"/>
      <c r="R122" s="755"/>
      <c r="S122" s="755"/>
      <c r="T122" s="755"/>
      <c r="U122" s="755"/>
      <c r="W122" s="755" t="s">
        <v>155</v>
      </c>
      <c r="X122" s="755"/>
      <c r="Y122" s="755"/>
      <c r="Z122" s="755"/>
      <c r="AA122" s="755"/>
      <c r="AB122" s="755"/>
      <c r="AC122" s="755"/>
      <c r="AD122" s="755"/>
      <c r="AE122" s="755"/>
      <c r="AF122" s="755"/>
      <c r="AG122" s="755"/>
      <c r="AH122" s="755"/>
      <c r="AI122" s="755"/>
      <c r="AJ122" s="755"/>
      <c r="AK122" s="755"/>
      <c r="AL122" s="755"/>
      <c r="AM122" s="755"/>
      <c r="AN122" s="755"/>
    </row>
    <row r="123" spans="2:47" hidden="1" outlineLevel="1">
      <c r="B123" s="709"/>
      <c r="C123" s="709" t="s">
        <v>27</v>
      </c>
      <c r="D123" s="709" t="s">
        <v>28</v>
      </c>
      <c r="E123" s="709" t="s">
        <v>29</v>
      </c>
      <c r="F123" s="709" t="s">
        <v>30</v>
      </c>
      <c r="G123" s="709" t="s">
        <v>31</v>
      </c>
      <c r="H123" s="709" t="s">
        <v>32</v>
      </c>
      <c r="I123" s="709" t="s">
        <v>33</v>
      </c>
      <c r="J123" s="709" t="s">
        <v>34</v>
      </c>
      <c r="K123" s="709" t="s">
        <v>35</v>
      </c>
      <c r="L123" s="709" t="s">
        <v>36</v>
      </c>
      <c r="M123" s="709" t="s">
        <v>37</v>
      </c>
      <c r="N123" s="709" t="s">
        <v>38</v>
      </c>
      <c r="O123" s="709" t="s">
        <v>39</v>
      </c>
      <c r="P123" s="718" t="s">
        <v>156</v>
      </c>
      <c r="Q123" s="718" t="s">
        <v>157</v>
      </c>
      <c r="R123" s="720" t="s">
        <v>42</v>
      </c>
      <c r="S123" s="721"/>
      <c r="T123" s="711" t="s">
        <v>43</v>
      </c>
      <c r="U123" s="712"/>
      <c r="W123" s="709"/>
      <c r="X123" s="709" t="s">
        <v>27</v>
      </c>
      <c r="Y123" s="709" t="s">
        <v>28</v>
      </c>
      <c r="Z123" s="709" t="s">
        <v>29</v>
      </c>
      <c r="AA123" s="709" t="s">
        <v>30</v>
      </c>
      <c r="AB123" s="709" t="s">
        <v>31</v>
      </c>
      <c r="AC123" s="709" t="s">
        <v>32</v>
      </c>
      <c r="AD123" s="709" t="s">
        <v>33</v>
      </c>
      <c r="AE123" s="709" t="s">
        <v>34</v>
      </c>
      <c r="AF123" s="709" t="s">
        <v>35</v>
      </c>
      <c r="AG123" s="709" t="s">
        <v>36</v>
      </c>
      <c r="AH123" s="709" t="s">
        <v>37</v>
      </c>
      <c r="AI123" s="709" t="s">
        <v>38</v>
      </c>
      <c r="AJ123" s="709" t="s">
        <v>39</v>
      </c>
      <c r="AK123" s="709" t="s">
        <v>156</v>
      </c>
      <c r="AL123" s="709" t="s">
        <v>157</v>
      </c>
      <c r="AM123" s="700" t="s">
        <v>158</v>
      </c>
      <c r="AN123" s="700" t="s">
        <v>43</v>
      </c>
    </row>
    <row r="124" spans="2:47" hidden="1" outlineLevel="1">
      <c r="B124" s="710"/>
      <c r="C124" s="710"/>
      <c r="D124" s="710"/>
      <c r="E124" s="710"/>
      <c r="F124" s="710"/>
      <c r="G124" s="710"/>
      <c r="H124" s="710"/>
      <c r="I124" s="710"/>
      <c r="J124" s="710"/>
      <c r="K124" s="710"/>
      <c r="L124" s="710"/>
      <c r="M124" s="710"/>
      <c r="N124" s="710"/>
      <c r="O124" s="710"/>
      <c r="P124" s="719"/>
      <c r="Q124" s="719"/>
      <c r="R124" s="722"/>
      <c r="S124" s="723"/>
      <c r="T124" s="713"/>
      <c r="U124" s="714"/>
      <c r="W124" s="710"/>
      <c r="X124" s="710"/>
      <c r="Y124" s="710"/>
      <c r="Z124" s="710"/>
      <c r="AA124" s="710"/>
      <c r="AB124" s="710"/>
      <c r="AC124" s="710"/>
      <c r="AD124" s="710"/>
      <c r="AE124" s="710"/>
      <c r="AF124" s="710"/>
      <c r="AG124" s="710"/>
      <c r="AH124" s="710"/>
      <c r="AI124" s="710"/>
      <c r="AJ124" s="710"/>
      <c r="AK124" s="710"/>
      <c r="AL124" s="710"/>
      <c r="AM124" s="701"/>
      <c r="AN124" s="701"/>
    </row>
    <row r="125" spans="2:47" hidden="1" outlineLevel="1">
      <c r="B125" s="702" t="s">
        <v>146</v>
      </c>
      <c r="C125" s="198" t="s">
        <v>44</v>
      </c>
      <c r="D125" s="337">
        <v>10.56114</v>
      </c>
      <c r="E125" s="337">
        <v>8.0426000000000002</v>
      </c>
      <c r="F125" s="337">
        <v>8.6061599999999991</v>
      </c>
      <c r="G125" s="337">
        <v>7.8802000000000003</v>
      </c>
      <c r="H125" s="337">
        <v>8.5907800000000005</v>
      </c>
      <c r="I125" s="337">
        <v>8.3219200000000004</v>
      </c>
      <c r="J125" s="337">
        <v>8.65578</v>
      </c>
      <c r="K125" s="337">
        <v>8.3705599999999993</v>
      </c>
      <c r="L125" s="337">
        <v>8.1500400000000006</v>
      </c>
      <c r="M125" s="337">
        <v>7.8525</v>
      </c>
      <c r="N125" s="337">
        <v>8.0486400000000007</v>
      </c>
      <c r="O125" s="337">
        <v>7.1550399999999996</v>
      </c>
      <c r="P125" s="347">
        <f>SUM(D125:O125)</f>
        <v>100.23536000000001</v>
      </c>
      <c r="Q125" s="347">
        <v>132.70796000000001</v>
      </c>
      <c r="R125" s="707">
        <f t="shared" ref="R125:R130" si="43">IFERROR(P125/$P$130,0)</f>
        <v>6.9409541483884604E-2</v>
      </c>
      <c r="S125" s="708"/>
      <c r="T125" s="707">
        <f>IFERROR(P125/Q125-1,0)</f>
        <v>-0.24469217973059032</v>
      </c>
      <c r="U125" s="708"/>
      <c r="W125" s="427" t="s">
        <v>116</v>
      </c>
      <c r="X125" s="198" t="s">
        <v>44</v>
      </c>
      <c r="Y125" s="337">
        <v>0.79291999999999996</v>
      </c>
      <c r="Z125" s="337">
        <v>0.55164000000000002</v>
      </c>
      <c r="AA125" s="337">
        <v>0.53668000000000005</v>
      </c>
      <c r="AB125" s="337">
        <v>0.31963999999999998</v>
      </c>
      <c r="AC125" s="337">
        <v>0.37774000000000002</v>
      </c>
      <c r="AD125" s="337">
        <v>0.29599999999999999</v>
      </c>
      <c r="AE125" s="337">
        <v>0.38540000000000002</v>
      </c>
      <c r="AF125" s="337">
        <v>0.52300000000000002</v>
      </c>
      <c r="AG125" s="337">
        <v>0.51539999999999997</v>
      </c>
      <c r="AH125" s="337">
        <v>0.53680000000000005</v>
      </c>
      <c r="AI125" s="337">
        <v>0.41220000000000001</v>
      </c>
      <c r="AJ125" s="337">
        <v>0.38879999999999998</v>
      </c>
      <c r="AK125" s="351">
        <f>SUM(Y125:AJ125)</f>
        <v>5.6362200000000007</v>
      </c>
      <c r="AL125" s="351">
        <v>9.54908</v>
      </c>
      <c r="AM125" s="201">
        <f t="shared" ref="AM125:AM130" si="44">IFERROR(AK125/$AK$130,0)</f>
        <v>9.7830650090538433E-3</v>
      </c>
      <c r="AN125" s="201">
        <f>IFERROR(AK125/AL125-1,0)</f>
        <v>-0.40976303476355835</v>
      </c>
      <c r="AP125" s="395"/>
    </row>
    <row r="126" spans="2:47" hidden="1" outlineLevel="1">
      <c r="B126" s="703"/>
      <c r="C126" s="198" t="s">
        <v>45</v>
      </c>
      <c r="D126" s="337">
        <v>7.2137799999999999</v>
      </c>
      <c r="E126" s="337">
        <v>5.4177799999999996</v>
      </c>
      <c r="F126" s="337">
        <v>5.1359599999999999</v>
      </c>
      <c r="G126" s="337">
        <v>3.7010000000000001</v>
      </c>
      <c r="H126" s="337">
        <v>4.1725199999999996</v>
      </c>
      <c r="I126" s="337">
        <v>3.9531999999999998</v>
      </c>
      <c r="J126" s="337">
        <v>3.9290600000000002</v>
      </c>
      <c r="K126" s="337">
        <v>3.8275999999999999</v>
      </c>
      <c r="L126" s="337">
        <v>3.8681999999999999</v>
      </c>
      <c r="M126" s="337">
        <v>3.6204000000000001</v>
      </c>
      <c r="N126" s="337">
        <v>3.03592</v>
      </c>
      <c r="O126" s="337">
        <v>2.8658199999999998</v>
      </c>
      <c r="P126" s="347">
        <f>SUM(D126:O126)</f>
        <v>50.741239999999998</v>
      </c>
      <c r="Q126" s="347">
        <v>79.753640000000004</v>
      </c>
      <c r="R126" s="707">
        <f t="shared" si="43"/>
        <v>3.5136564608774228E-2</v>
      </c>
      <c r="S126" s="708"/>
      <c r="T126" s="707">
        <f>IFERROR(P126/Q126-1,0)</f>
        <v>-0.36377524586965571</v>
      </c>
      <c r="U126" s="708"/>
      <c r="W126" s="428"/>
      <c r="X126" s="198" t="s">
        <v>45</v>
      </c>
      <c r="Y126" s="337">
        <v>1.06542</v>
      </c>
      <c r="Z126" s="337">
        <v>0.90181999999999995</v>
      </c>
      <c r="AA126" s="337">
        <v>0.77003999999999995</v>
      </c>
      <c r="AB126" s="337">
        <v>0.48799999999999999</v>
      </c>
      <c r="AC126" s="337">
        <v>0.31735999999999998</v>
      </c>
      <c r="AD126" s="337">
        <v>0.37280000000000002</v>
      </c>
      <c r="AE126" s="337">
        <v>0.314</v>
      </c>
      <c r="AF126" s="337">
        <v>0.36380000000000001</v>
      </c>
      <c r="AG126" s="337">
        <v>0.44280000000000003</v>
      </c>
      <c r="AH126" s="337">
        <v>0.35299999999999998</v>
      </c>
      <c r="AI126" s="337">
        <v>0.3</v>
      </c>
      <c r="AJ126" s="337">
        <v>0.26379999999999998</v>
      </c>
      <c r="AK126" s="351">
        <f>SUM(Y126:AJ126)</f>
        <v>5.9528399999999992</v>
      </c>
      <c r="AL126" s="351">
        <v>11.02566</v>
      </c>
      <c r="AM126" s="201">
        <f t="shared" si="44"/>
        <v>1.0332637957442412E-2</v>
      </c>
      <c r="AN126" s="201">
        <f>IFERROR(AK126/AL126-1,0)</f>
        <v>-0.46009218495763526</v>
      </c>
      <c r="AP126" s="395"/>
    </row>
    <row r="127" spans="2:47" hidden="1" outlineLevel="1">
      <c r="B127" s="703"/>
      <c r="C127" s="198" t="s">
        <v>46</v>
      </c>
      <c r="D127" s="337">
        <v>46.6464</v>
      </c>
      <c r="E127" s="337">
        <v>35.847999999999999</v>
      </c>
      <c r="F127" s="337">
        <v>37.004199999999997</v>
      </c>
      <c r="G127" s="337">
        <v>31.8934</v>
      </c>
      <c r="H127" s="337">
        <v>35.191760000000002</v>
      </c>
      <c r="I127" s="337">
        <v>38.678400000000003</v>
      </c>
      <c r="J127" s="337">
        <v>37.293599999999998</v>
      </c>
      <c r="K127" s="337">
        <v>35.980200000000004</v>
      </c>
      <c r="L127" s="337">
        <v>36.543199999999999</v>
      </c>
      <c r="M127" s="337">
        <v>35.043799999999997</v>
      </c>
      <c r="N127" s="337">
        <v>31.772400000000001</v>
      </c>
      <c r="O127" s="337">
        <v>30.975059999999999</v>
      </c>
      <c r="P127" s="347">
        <f>SUM(D127:O127)</f>
        <v>432.87041999999997</v>
      </c>
      <c r="Q127" s="347">
        <v>457.32200000000006</v>
      </c>
      <c r="R127" s="707">
        <f t="shared" si="43"/>
        <v>0.29974788711425332</v>
      </c>
      <c r="S127" s="708"/>
      <c r="T127" s="707">
        <f>IFERROR(P127/Q127-1,0)</f>
        <v>-5.3466878916824667E-2</v>
      </c>
      <c r="U127" s="708"/>
      <c r="W127" s="428"/>
      <c r="X127" s="198" t="s">
        <v>46</v>
      </c>
      <c r="Y127" s="337">
        <v>20.918900000000001</v>
      </c>
      <c r="Z127" s="337">
        <v>17.219239999999999</v>
      </c>
      <c r="AA127" s="337">
        <v>17.74352</v>
      </c>
      <c r="AB127" s="337">
        <v>15.35182</v>
      </c>
      <c r="AC127" s="337">
        <v>21.292159999999999</v>
      </c>
      <c r="AD127" s="337">
        <v>22.841000000000001</v>
      </c>
      <c r="AE127" s="337">
        <v>22.78</v>
      </c>
      <c r="AF127" s="337">
        <v>21.799800000000001</v>
      </c>
      <c r="AG127" s="337">
        <v>20.654399999999999</v>
      </c>
      <c r="AH127" s="337">
        <v>18.770199999999999</v>
      </c>
      <c r="AI127" s="337">
        <v>13.5184</v>
      </c>
      <c r="AJ127" s="337">
        <v>12.707000000000001</v>
      </c>
      <c r="AK127" s="351">
        <f>SUM(Y127:AJ127)</f>
        <v>225.59643999999997</v>
      </c>
      <c r="AL127" s="351">
        <v>192.61660000000003</v>
      </c>
      <c r="AM127" s="201">
        <f t="shared" si="44"/>
        <v>0.3915788663911477</v>
      </c>
      <c r="AN127" s="201">
        <f>IFERROR(AK127/AL127-1,0)</f>
        <v>0.1712201336748751</v>
      </c>
      <c r="AP127" s="395"/>
    </row>
    <row r="128" spans="2:47" hidden="1" outlineLevel="1">
      <c r="B128" s="703"/>
      <c r="C128" s="198" t="s">
        <v>47</v>
      </c>
      <c r="D128" s="337">
        <v>94.087180000000004</v>
      </c>
      <c r="E128" s="337">
        <v>73.933800000000005</v>
      </c>
      <c r="F128" s="337">
        <v>76.753039999999999</v>
      </c>
      <c r="G128" s="337">
        <v>62.594479999999997</v>
      </c>
      <c r="H128" s="337">
        <v>65.628399999999999</v>
      </c>
      <c r="I128" s="337">
        <v>65.948800000000006</v>
      </c>
      <c r="J128" s="337">
        <v>71.645660000000007</v>
      </c>
      <c r="K128" s="337">
        <v>71.884180000000001</v>
      </c>
      <c r="L128" s="337">
        <v>71.177139999999994</v>
      </c>
      <c r="M128" s="337">
        <v>70.908519999999996</v>
      </c>
      <c r="N128" s="337">
        <v>63.85886</v>
      </c>
      <c r="O128" s="337">
        <v>59.562260000000002</v>
      </c>
      <c r="P128" s="347">
        <f>SUM(D128:O128)</f>
        <v>847.98232000000007</v>
      </c>
      <c r="Q128" s="347">
        <v>762.49454000000014</v>
      </c>
      <c r="R128" s="707">
        <f t="shared" si="43"/>
        <v>0.58719860952901959</v>
      </c>
      <c r="S128" s="708"/>
      <c r="T128" s="707">
        <f>IFERROR(P128/Q128-1,0)</f>
        <v>0.1121159241350107</v>
      </c>
      <c r="U128" s="708"/>
      <c r="W128" s="428"/>
      <c r="X128" s="198" t="s">
        <v>47</v>
      </c>
      <c r="Y128" s="337">
        <v>27.683979999999998</v>
      </c>
      <c r="Z128" s="337">
        <v>27.588200000000001</v>
      </c>
      <c r="AA128" s="337">
        <v>27.233360000000001</v>
      </c>
      <c r="AB128" s="337">
        <v>23.274539999999998</v>
      </c>
      <c r="AC128" s="337">
        <v>24.9298</v>
      </c>
      <c r="AD128" s="337">
        <v>26.899000000000001</v>
      </c>
      <c r="AE128" s="337">
        <v>26.400600000000001</v>
      </c>
      <c r="AF128" s="337">
        <v>31.142199999999999</v>
      </c>
      <c r="AG128" s="337">
        <v>29.0166</v>
      </c>
      <c r="AH128" s="337">
        <v>31.6784</v>
      </c>
      <c r="AI128" s="337">
        <v>23.2376</v>
      </c>
      <c r="AJ128" s="337">
        <v>21.974599999999999</v>
      </c>
      <c r="AK128" s="351">
        <f>SUM(Y128:AJ128)</f>
        <v>321.05887999999999</v>
      </c>
      <c r="AL128" s="351">
        <v>237.45076000000006</v>
      </c>
      <c r="AM128" s="201">
        <f t="shared" si="44"/>
        <v>0.55727773131176861</v>
      </c>
      <c r="AN128" s="201">
        <f>IFERROR(AK128/AL128-1,0)</f>
        <v>0.35210719056026574</v>
      </c>
      <c r="AP128" s="395"/>
    </row>
    <row r="129" spans="2:43" hidden="1" outlineLevel="1">
      <c r="B129" s="704"/>
      <c r="C129" s="198" t="s">
        <v>48</v>
      </c>
      <c r="D129" s="337">
        <v>0.16400000000000001</v>
      </c>
      <c r="E129" s="337">
        <v>0.83819999999999995</v>
      </c>
      <c r="F129" s="337">
        <v>4.3596000000000004</v>
      </c>
      <c r="G129" s="337">
        <v>0.17319999999999999</v>
      </c>
      <c r="H129" s="337">
        <v>0.2636</v>
      </c>
      <c r="I129" s="337">
        <v>-0.69079999999999997</v>
      </c>
      <c r="J129" s="337">
        <v>2.9291999999999998</v>
      </c>
      <c r="K129" s="337">
        <v>1.3202</v>
      </c>
      <c r="L129" s="337">
        <v>0.80100000000000005</v>
      </c>
      <c r="M129" s="337">
        <v>1.1482000000000001</v>
      </c>
      <c r="N129" s="337">
        <v>0.96886000000000005</v>
      </c>
      <c r="O129" s="337">
        <v>1.04E-2</v>
      </c>
      <c r="P129" s="347">
        <f>SUM(D129:O129)</f>
        <v>12.28566</v>
      </c>
      <c r="Q129" s="347">
        <v>0.72860000000000003</v>
      </c>
      <c r="R129" s="707">
        <f t="shared" si="43"/>
        <v>8.5073972640683053E-3</v>
      </c>
      <c r="S129" s="708"/>
      <c r="T129" s="707"/>
      <c r="U129" s="708"/>
      <c r="W129" s="429"/>
      <c r="X129" s="198" t="s">
        <v>48</v>
      </c>
      <c r="Y129" s="337">
        <v>1.3730599999999999</v>
      </c>
      <c r="Z129" s="337">
        <v>1.49082</v>
      </c>
      <c r="AA129" s="337">
        <v>0.81344000000000005</v>
      </c>
      <c r="AB129" s="337">
        <v>0.71901999999999999</v>
      </c>
      <c r="AC129" s="337">
        <v>1.2859400000000001</v>
      </c>
      <c r="AD129" s="337">
        <v>1.4898</v>
      </c>
      <c r="AE129" s="337">
        <v>5.1623999999999999</v>
      </c>
      <c r="AF129" s="337">
        <v>2.0068000000000001</v>
      </c>
      <c r="AG129" s="337">
        <v>1.4952000000000001</v>
      </c>
      <c r="AH129" s="337">
        <v>1.05</v>
      </c>
      <c r="AI129" s="337">
        <v>0.58320000000000005</v>
      </c>
      <c r="AJ129" s="337">
        <v>0.40600000000000003</v>
      </c>
      <c r="AK129" s="351">
        <f>SUM(Y129:AJ129)</f>
        <v>17.875679999999999</v>
      </c>
      <c r="AL129" s="351">
        <v>5.3129200000000001</v>
      </c>
      <c r="AM129" s="201">
        <f t="shared" si="44"/>
        <v>3.1027699330587449E-2</v>
      </c>
      <c r="AN129" s="201"/>
      <c r="AP129" s="395"/>
    </row>
    <row r="130" spans="2:43" hidden="1" outlineLevel="1">
      <c r="B130" s="24" t="s">
        <v>137</v>
      </c>
      <c r="C130" s="125"/>
      <c r="D130" s="338">
        <v>158.67250000000001</v>
      </c>
      <c r="E130" s="338">
        <v>124.08038000000001</v>
      </c>
      <c r="F130" s="338">
        <v>131.85896</v>
      </c>
      <c r="G130" s="338">
        <v>106.24227999999999</v>
      </c>
      <c r="H130" s="338">
        <v>113.84706</v>
      </c>
      <c r="I130" s="338">
        <v>116.21151999999999</v>
      </c>
      <c r="J130" s="338">
        <v>124.4533</v>
      </c>
      <c r="K130" s="338">
        <v>121.38274</v>
      </c>
      <c r="L130" s="338">
        <v>120.53958</v>
      </c>
      <c r="M130" s="338">
        <v>118.57342</v>
      </c>
      <c r="N130" s="338">
        <v>107.68468</v>
      </c>
      <c r="O130" s="338">
        <v>100.56858</v>
      </c>
      <c r="P130" s="339">
        <f>SUM(P125:P129)</f>
        <v>1444.115</v>
      </c>
      <c r="Q130" s="339">
        <v>1433.0067399999998</v>
      </c>
      <c r="R130" s="698">
        <f t="shared" si="43"/>
        <v>1</v>
      </c>
      <c r="S130" s="699"/>
      <c r="T130" s="698">
        <f>IFERROR(P130/Q130-1,0)</f>
        <v>7.7517151105654936E-3</v>
      </c>
      <c r="U130" s="699"/>
      <c r="W130" s="24" t="s">
        <v>136</v>
      </c>
      <c r="X130" s="125"/>
      <c r="Y130" s="338">
        <v>51.83428</v>
      </c>
      <c r="Z130" s="338">
        <v>47.751719999999999</v>
      </c>
      <c r="AA130" s="338">
        <v>47.09704</v>
      </c>
      <c r="AB130" s="338">
        <v>40.153019999999998</v>
      </c>
      <c r="AC130" s="338">
        <v>48.203000000000003</v>
      </c>
      <c r="AD130" s="338">
        <v>51.898600000000002</v>
      </c>
      <c r="AE130" s="338">
        <v>55.042400000000001</v>
      </c>
      <c r="AF130" s="338">
        <v>55.835599999999999</v>
      </c>
      <c r="AG130" s="338">
        <v>52.124400000000001</v>
      </c>
      <c r="AH130" s="338">
        <v>52.388399999999997</v>
      </c>
      <c r="AI130" s="338">
        <v>38.051400000000001</v>
      </c>
      <c r="AJ130" s="338">
        <v>35.740200000000002</v>
      </c>
      <c r="AK130" s="338">
        <f>SUM(AK125:AK129)</f>
        <v>576.12005999999997</v>
      </c>
      <c r="AL130" s="338">
        <v>455.95502000000005</v>
      </c>
      <c r="AM130" s="199">
        <f t="shared" si="44"/>
        <v>1</v>
      </c>
      <c r="AN130" s="199">
        <f>IFERROR(AK130/AL130-1,0)</f>
        <v>0.26354582081364053</v>
      </c>
      <c r="AO130" s="395"/>
      <c r="AP130" s="200"/>
    </row>
    <row r="131" spans="2:43" hidden="1" outlineLevel="1">
      <c r="B131" s="464"/>
      <c r="C131" s="465"/>
      <c r="D131" s="466"/>
      <c r="E131" s="466"/>
      <c r="F131" s="466"/>
      <c r="G131" s="466"/>
      <c r="H131" s="466"/>
      <c r="I131" s="466"/>
      <c r="J131" s="466"/>
      <c r="K131" s="466"/>
      <c r="L131" s="466"/>
      <c r="M131" s="466"/>
      <c r="N131" s="466"/>
      <c r="O131" s="466"/>
      <c r="P131" s="466"/>
      <c r="Q131" s="466"/>
      <c r="R131" s="467"/>
      <c r="S131" s="467"/>
      <c r="T131" s="467"/>
      <c r="U131" s="467"/>
      <c r="V131" s="464"/>
      <c r="X131" s="465"/>
      <c r="Y131" s="466"/>
      <c r="Z131" s="466"/>
      <c r="AA131" s="466"/>
      <c r="AB131" s="466"/>
      <c r="AC131" s="466"/>
      <c r="AD131" s="466"/>
      <c r="AE131" s="466"/>
      <c r="AF131" s="466"/>
      <c r="AG131" s="466"/>
      <c r="AH131" s="466"/>
      <c r="AI131" s="466"/>
      <c r="AJ131" s="466"/>
      <c r="AK131" s="466"/>
      <c r="AL131" s="466"/>
      <c r="AM131" s="468"/>
      <c r="AN131" s="468"/>
      <c r="AO131" s="468"/>
      <c r="AP131" s="468"/>
    </row>
    <row r="132" spans="2:43" ht="15" hidden="1" customHeight="1" outlineLevel="1">
      <c r="B132" s="717" t="s">
        <v>159</v>
      </c>
      <c r="C132" s="717"/>
      <c r="D132" s="717"/>
      <c r="E132" s="717"/>
      <c r="F132" s="717"/>
      <c r="G132" s="717"/>
      <c r="H132" s="717"/>
      <c r="I132" s="717"/>
      <c r="J132" s="717"/>
      <c r="K132" s="717"/>
      <c r="L132" s="717"/>
      <c r="M132" s="717"/>
      <c r="N132" s="717"/>
      <c r="O132" s="717"/>
      <c r="P132" s="717"/>
      <c r="Q132" s="717"/>
      <c r="R132" s="717"/>
      <c r="S132" s="717"/>
      <c r="T132" s="717"/>
      <c r="U132" s="717"/>
      <c r="W132" s="717" t="s">
        <v>160</v>
      </c>
      <c r="X132" s="717"/>
      <c r="Y132" s="717"/>
      <c r="Z132" s="717"/>
      <c r="AA132" s="717"/>
      <c r="AB132" s="717"/>
      <c r="AC132" s="717"/>
      <c r="AD132" s="717"/>
      <c r="AE132" s="717"/>
      <c r="AF132" s="717"/>
      <c r="AG132" s="717"/>
      <c r="AH132" s="717"/>
      <c r="AI132" s="717"/>
      <c r="AJ132" s="717"/>
      <c r="AK132" s="717"/>
      <c r="AL132" s="717"/>
      <c r="AM132" s="717"/>
      <c r="AN132" s="717"/>
    </row>
    <row r="133" spans="2:43" ht="9.75" hidden="1" customHeight="1" outlineLevel="1">
      <c r="B133" s="709"/>
      <c r="C133" s="709" t="s">
        <v>27</v>
      </c>
      <c r="D133" s="709" t="s">
        <v>28</v>
      </c>
      <c r="E133" s="709" t="s">
        <v>29</v>
      </c>
      <c r="F133" s="709" t="s">
        <v>30</v>
      </c>
      <c r="G133" s="709" t="s">
        <v>31</v>
      </c>
      <c r="H133" s="709" t="s">
        <v>32</v>
      </c>
      <c r="I133" s="709" t="s">
        <v>33</v>
      </c>
      <c r="J133" s="709" t="s">
        <v>34</v>
      </c>
      <c r="K133" s="709" t="s">
        <v>35</v>
      </c>
      <c r="L133" s="709" t="s">
        <v>36</v>
      </c>
      <c r="M133" s="709" t="s">
        <v>37</v>
      </c>
      <c r="N133" s="709" t="s">
        <v>38</v>
      </c>
      <c r="O133" s="709" t="s">
        <v>39</v>
      </c>
      <c r="P133" s="718" t="s">
        <v>161</v>
      </c>
      <c r="Q133" s="718" t="s">
        <v>156</v>
      </c>
      <c r="R133" s="720" t="s">
        <v>51</v>
      </c>
      <c r="S133" s="721"/>
      <c r="T133" s="711" t="s">
        <v>52</v>
      </c>
      <c r="U133" s="712"/>
      <c r="W133" s="709"/>
      <c r="X133" s="709" t="s">
        <v>27</v>
      </c>
      <c r="Y133" s="709" t="s">
        <v>28</v>
      </c>
      <c r="Z133" s="709" t="s">
        <v>29</v>
      </c>
      <c r="AA133" s="709" t="s">
        <v>30</v>
      </c>
      <c r="AB133" s="709" t="s">
        <v>31</v>
      </c>
      <c r="AC133" s="709" t="s">
        <v>32</v>
      </c>
      <c r="AD133" s="709" t="s">
        <v>33</v>
      </c>
      <c r="AE133" s="709" t="s">
        <v>34</v>
      </c>
      <c r="AF133" s="709" t="s">
        <v>35</v>
      </c>
      <c r="AG133" s="709" t="s">
        <v>36</v>
      </c>
      <c r="AH133" s="709" t="s">
        <v>37</v>
      </c>
      <c r="AI133" s="709" t="s">
        <v>38</v>
      </c>
      <c r="AJ133" s="709" t="s">
        <v>39</v>
      </c>
      <c r="AK133" s="709" t="s">
        <v>161</v>
      </c>
      <c r="AL133" s="709" t="s">
        <v>156</v>
      </c>
      <c r="AM133" s="700" t="s">
        <v>162</v>
      </c>
      <c r="AN133" s="700" t="s">
        <v>52</v>
      </c>
    </row>
    <row r="134" spans="2:43" ht="21.6" hidden="1" customHeight="1" outlineLevel="1">
      <c r="B134" s="710"/>
      <c r="C134" s="710"/>
      <c r="D134" s="710"/>
      <c r="E134" s="710"/>
      <c r="F134" s="710"/>
      <c r="G134" s="710"/>
      <c r="H134" s="710"/>
      <c r="I134" s="710"/>
      <c r="J134" s="710"/>
      <c r="K134" s="710"/>
      <c r="L134" s="710"/>
      <c r="M134" s="710"/>
      <c r="N134" s="710"/>
      <c r="O134" s="710"/>
      <c r="P134" s="719"/>
      <c r="Q134" s="719"/>
      <c r="R134" s="722"/>
      <c r="S134" s="723"/>
      <c r="T134" s="713"/>
      <c r="U134" s="714"/>
      <c r="W134" s="710"/>
      <c r="X134" s="710"/>
      <c r="Y134" s="710"/>
      <c r="Z134" s="710"/>
      <c r="AA134" s="710"/>
      <c r="AB134" s="710"/>
      <c r="AC134" s="710"/>
      <c r="AD134" s="710"/>
      <c r="AE134" s="710"/>
      <c r="AF134" s="710"/>
      <c r="AG134" s="710"/>
      <c r="AH134" s="710"/>
      <c r="AI134" s="710"/>
      <c r="AJ134" s="710"/>
      <c r="AK134" s="710"/>
      <c r="AL134" s="710"/>
      <c r="AM134" s="701"/>
      <c r="AN134" s="701"/>
    </row>
    <row r="135" spans="2:43" ht="15" hidden="1" customHeight="1" outlineLevel="1">
      <c r="B135" s="702" t="s">
        <v>146</v>
      </c>
      <c r="C135" s="198" t="s">
        <v>44</v>
      </c>
      <c r="D135" s="337">
        <v>7.4644199999999996</v>
      </c>
      <c r="E135" s="337">
        <v>6.4195000000000002</v>
      </c>
      <c r="F135" s="337">
        <v>7.4743599999999999</v>
      </c>
      <c r="G135" s="337">
        <v>6.9711400000000001</v>
      </c>
      <c r="H135" s="337">
        <v>5.8893000000000004</v>
      </c>
      <c r="I135" s="337">
        <v>6.4951400000000001</v>
      </c>
      <c r="J135" s="337">
        <v>5.7013199999999999</v>
      </c>
      <c r="K135" s="337">
        <v>5.7489600000000003</v>
      </c>
      <c r="L135" s="337">
        <v>4.4840400000000002</v>
      </c>
      <c r="M135" s="337">
        <v>5.7445000000000004</v>
      </c>
      <c r="N135" s="337">
        <v>2.0712000000000002</v>
      </c>
      <c r="O135" s="337">
        <v>8.5850399999999993</v>
      </c>
      <c r="P135" s="347">
        <v>73.048919999999995</v>
      </c>
      <c r="Q135" s="347">
        <v>100.23536000000001</v>
      </c>
      <c r="R135" s="707">
        <f t="shared" ref="R135:R140" si="45">IFERROR(P135/$P$140,0)</f>
        <v>5.7415969641161781E-2</v>
      </c>
      <c r="S135" s="708"/>
      <c r="T135" s="707">
        <f>IFERROR(P135/Q135-1,0)</f>
        <v>-0.27122604238663894</v>
      </c>
      <c r="U135" s="708"/>
      <c r="V135" s="395"/>
      <c r="W135" s="427" t="s">
        <v>116</v>
      </c>
      <c r="X135" s="198" t="s">
        <v>44</v>
      </c>
      <c r="Y135" s="337">
        <v>0.42659999999999998</v>
      </c>
      <c r="Z135" s="337">
        <v>0.35959999999999998</v>
      </c>
      <c r="AA135" s="337">
        <v>0.4284</v>
      </c>
      <c r="AB135" s="337">
        <v>0.3916</v>
      </c>
      <c r="AC135" s="337">
        <v>0.33539999999999998</v>
      </c>
      <c r="AD135" s="337">
        <v>0.30120000000000002</v>
      </c>
      <c r="AE135" s="337">
        <v>0.30180000000000001</v>
      </c>
      <c r="AF135" s="337">
        <v>0.29799999999999999</v>
      </c>
      <c r="AG135" s="337">
        <v>0.247</v>
      </c>
      <c r="AH135" s="337">
        <v>0.23780000000000001</v>
      </c>
      <c r="AI135" s="337">
        <v>0.31318000000000001</v>
      </c>
      <c r="AJ135" s="337">
        <v>0.25675999999999999</v>
      </c>
      <c r="AK135" s="351">
        <v>3.8973399999999998</v>
      </c>
      <c r="AL135" s="351">
        <v>5.6362200000000007</v>
      </c>
      <c r="AM135" s="201">
        <f t="shared" ref="AM135:AM140" si="46">IFERROR(AK135/$AK$140,0)</f>
        <v>6.58785259981112E-3</v>
      </c>
      <c r="AN135" s="201">
        <f t="shared" ref="AN135:AN140" si="47">IFERROR(AK135/AL135-1,0)</f>
        <v>-0.30851882999599034</v>
      </c>
      <c r="AO135" s="525"/>
      <c r="AP135" s="525"/>
      <c r="AQ135" s="520"/>
    </row>
    <row r="136" spans="2:43" ht="16.5" hidden="1" outlineLevel="1">
      <c r="B136" s="703"/>
      <c r="C136" s="198" t="s">
        <v>45</v>
      </c>
      <c r="D136" s="337">
        <v>3.2371400000000001</v>
      </c>
      <c r="E136" s="337">
        <v>2.7081200000000001</v>
      </c>
      <c r="F136" s="337">
        <v>3.3224</v>
      </c>
      <c r="G136" s="337">
        <v>3.7669199999999998</v>
      </c>
      <c r="H136" s="337">
        <v>2.3077999999999999</v>
      </c>
      <c r="I136" s="337">
        <v>3.1378200000000001</v>
      </c>
      <c r="J136" s="337">
        <v>2.5607799999999998</v>
      </c>
      <c r="K136" s="337">
        <v>3.2190799999999999</v>
      </c>
      <c r="L136" s="337">
        <v>1.8487800000000001</v>
      </c>
      <c r="M136" s="337">
        <v>3.5930800000000001</v>
      </c>
      <c r="N136" s="337">
        <v>0.93354000000000004</v>
      </c>
      <c r="O136" s="337">
        <v>4.7443799999999996</v>
      </c>
      <c r="P136" s="347">
        <v>35.379840000000002</v>
      </c>
      <c r="Q136" s="347">
        <v>50.741239999999998</v>
      </c>
      <c r="R136" s="707">
        <f t="shared" si="45"/>
        <v>2.780832104498138E-2</v>
      </c>
      <c r="S136" s="708"/>
      <c r="T136" s="707">
        <f>IFERROR(P136/Q136-1,0)</f>
        <v>-0.30273994092379286</v>
      </c>
      <c r="U136" s="708"/>
      <c r="V136" s="395"/>
      <c r="W136" s="428"/>
      <c r="X136" s="198" t="s">
        <v>45</v>
      </c>
      <c r="Y136" s="337">
        <v>0.39400000000000002</v>
      </c>
      <c r="Z136" s="337">
        <v>0.36499999999999999</v>
      </c>
      <c r="AA136" s="337">
        <v>0.38179999999999997</v>
      </c>
      <c r="AB136" s="337">
        <v>0.34899999999999998</v>
      </c>
      <c r="AC136" s="337">
        <v>0.31359999999999999</v>
      </c>
      <c r="AD136" s="337">
        <v>0.27979999999999999</v>
      </c>
      <c r="AE136" s="337">
        <v>0.26340000000000002</v>
      </c>
      <c r="AF136" s="337">
        <v>0.248</v>
      </c>
      <c r="AG136" s="337">
        <v>0.2954</v>
      </c>
      <c r="AH136" s="337">
        <v>0.2646</v>
      </c>
      <c r="AI136" s="337">
        <v>0.18</v>
      </c>
      <c r="AJ136" s="337">
        <v>0.18904000000000001</v>
      </c>
      <c r="AK136" s="351">
        <v>3.5236399999999999</v>
      </c>
      <c r="AL136" s="351">
        <v>5.9528399999999992</v>
      </c>
      <c r="AM136" s="201">
        <f t="shared" si="46"/>
        <v>5.9561703456199495E-3</v>
      </c>
      <c r="AN136" s="201">
        <f t="shared" si="47"/>
        <v>-0.40807412932314657</v>
      </c>
      <c r="AO136" s="525"/>
      <c r="AP136" s="525"/>
      <c r="AQ136" s="520"/>
    </row>
    <row r="137" spans="2:43" ht="16.5" hidden="1" outlineLevel="1">
      <c r="B137" s="703"/>
      <c r="C137" s="198" t="s">
        <v>46</v>
      </c>
      <c r="D137" s="337">
        <v>35.357019999999999</v>
      </c>
      <c r="E137" s="337">
        <v>29.329599999999999</v>
      </c>
      <c r="F137" s="337">
        <v>35.630040000000001</v>
      </c>
      <c r="G137" s="337">
        <v>35.023200000000003</v>
      </c>
      <c r="H137" s="337">
        <v>26.535799999999998</v>
      </c>
      <c r="I137" s="337">
        <v>30.969100000000001</v>
      </c>
      <c r="J137" s="337">
        <v>28.20016</v>
      </c>
      <c r="K137" s="337">
        <v>29.294599999999999</v>
      </c>
      <c r="L137" s="337">
        <v>27.886939999999999</v>
      </c>
      <c r="M137" s="337">
        <v>29.553640000000001</v>
      </c>
      <c r="N137" s="337">
        <v>35.565840000000001</v>
      </c>
      <c r="O137" s="337">
        <v>35.924619999999997</v>
      </c>
      <c r="P137" s="347">
        <v>379.27055999999999</v>
      </c>
      <c r="Q137" s="347">
        <v>432.87041999999997</v>
      </c>
      <c r="R137" s="707">
        <f t="shared" si="45"/>
        <v>0.29810416031813242</v>
      </c>
      <c r="S137" s="708"/>
      <c r="T137" s="707">
        <f>IFERROR(P137/Q137-1,0)</f>
        <v>-0.12382426131127178</v>
      </c>
      <c r="U137" s="708"/>
      <c r="V137" s="395"/>
      <c r="W137" s="428"/>
      <c r="X137" s="198" t="s">
        <v>46</v>
      </c>
      <c r="Y137" s="337">
        <v>21.248999999999999</v>
      </c>
      <c r="Z137" s="337">
        <v>20.433</v>
      </c>
      <c r="AA137" s="337">
        <v>18.232600000000001</v>
      </c>
      <c r="AB137" s="337">
        <v>18.6892</v>
      </c>
      <c r="AC137" s="337">
        <v>17.220600000000001</v>
      </c>
      <c r="AD137" s="337">
        <v>15.2014</v>
      </c>
      <c r="AE137" s="337">
        <v>14.202</v>
      </c>
      <c r="AF137" s="337">
        <v>14.2316</v>
      </c>
      <c r="AG137" s="337">
        <v>14.6828</v>
      </c>
      <c r="AH137" s="337">
        <v>14.8346</v>
      </c>
      <c r="AI137" s="337">
        <v>15.7508</v>
      </c>
      <c r="AJ137" s="337">
        <v>11.75</v>
      </c>
      <c r="AK137" s="351">
        <v>196.4776</v>
      </c>
      <c r="AL137" s="351">
        <v>225.59643999999997</v>
      </c>
      <c r="AM137" s="201">
        <f t="shared" si="46"/>
        <v>0.33211510105986375</v>
      </c>
      <c r="AN137" s="201">
        <f t="shared" si="47"/>
        <v>-0.12907490916080055</v>
      </c>
      <c r="AO137" s="525"/>
      <c r="AP137" s="525"/>
      <c r="AQ137" s="520"/>
    </row>
    <row r="138" spans="2:43" ht="16.5" hidden="1" outlineLevel="1">
      <c r="B138" s="703"/>
      <c r="C138" s="198" t="s">
        <v>47</v>
      </c>
      <c r="D138" s="337">
        <v>70.331199999999995</v>
      </c>
      <c r="E138" s="337">
        <v>59.22954</v>
      </c>
      <c r="F138" s="337">
        <v>72.7072</v>
      </c>
      <c r="G138" s="337">
        <v>67.573080000000004</v>
      </c>
      <c r="H138" s="337">
        <v>59.980580000000003</v>
      </c>
      <c r="I138" s="337">
        <v>65.08426</v>
      </c>
      <c r="J138" s="337">
        <v>57.789940000000001</v>
      </c>
      <c r="K138" s="337">
        <v>54.737160000000003</v>
      </c>
      <c r="L138" s="337">
        <v>65.788799999999995</v>
      </c>
      <c r="M138" s="337">
        <v>67.005979999999994</v>
      </c>
      <c r="N138" s="337">
        <v>76.477320000000006</v>
      </c>
      <c r="O138" s="337">
        <v>69.780540000000002</v>
      </c>
      <c r="P138" s="347">
        <v>786.48559999999998</v>
      </c>
      <c r="Q138" s="347">
        <v>847.98232000000007</v>
      </c>
      <c r="R138" s="707">
        <f t="shared" si="45"/>
        <v>0.61817249772906857</v>
      </c>
      <c r="S138" s="708"/>
      <c r="T138" s="707">
        <f>IFERROR(P138/Q138-1,0)</f>
        <v>-7.2521228980340191E-2</v>
      </c>
      <c r="U138" s="708"/>
      <c r="V138" s="395"/>
      <c r="W138" s="428"/>
      <c r="X138" s="198" t="s">
        <v>47</v>
      </c>
      <c r="Y138" s="337">
        <v>37.700200000000002</v>
      </c>
      <c r="Z138" s="337">
        <v>31.038799999999998</v>
      </c>
      <c r="AA138" s="337">
        <v>33.148600000000002</v>
      </c>
      <c r="AB138" s="337">
        <v>34.693399999999997</v>
      </c>
      <c r="AC138" s="337">
        <v>30.669599999999999</v>
      </c>
      <c r="AD138" s="337">
        <v>30.361599999999999</v>
      </c>
      <c r="AE138" s="337">
        <v>29.63</v>
      </c>
      <c r="AF138" s="337">
        <v>32.322000000000003</v>
      </c>
      <c r="AG138" s="337">
        <v>34.201360000000001</v>
      </c>
      <c r="AH138" s="337">
        <v>33.085999999999999</v>
      </c>
      <c r="AI138" s="337">
        <v>32.916800000000002</v>
      </c>
      <c r="AJ138" s="337">
        <v>17.363759999999999</v>
      </c>
      <c r="AK138" s="351">
        <v>377.13211999999999</v>
      </c>
      <c r="AL138" s="351">
        <v>321.05887999999999</v>
      </c>
      <c r="AM138" s="201">
        <f t="shared" si="46"/>
        <v>0.63748372408213794</v>
      </c>
      <c r="AN138" s="201">
        <f t="shared" si="47"/>
        <v>0.17465095498993821</v>
      </c>
      <c r="AO138" s="525"/>
      <c r="AP138" s="525"/>
      <c r="AQ138" s="520"/>
    </row>
    <row r="139" spans="2:43" ht="16.5" hidden="1" outlineLevel="1">
      <c r="B139" s="704"/>
      <c r="C139" s="198" t="s">
        <v>48</v>
      </c>
      <c r="D139" s="337">
        <v>2.1520000000000001E-2</v>
      </c>
      <c r="E139" s="337">
        <v>-1.1107400000000001</v>
      </c>
      <c r="F139" s="337">
        <v>-0.55162</v>
      </c>
      <c r="G139" s="337">
        <v>-0.15701999999999999</v>
      </c>
      <c r="H139" s="337">
        <v>4.7999999999999996E-3</v>
      </c>
      <c r="I139" s="337">
        <v>-0.10514</v>
      </c>
      <c r="J139" s="337">
        <v>-3.7879999999999997E-2</v>
      </c>
      <c r="K139" s="337">
        <v>1.3220000000000001E-2</v>
      </c>
      <c r="L139" s="337">
        <v>6.8999999999999999E-3</v>
      </c>
      <c r="M139" s="337">
        <v>6.1399999999999996E-3</v>
      </c>
      <c r="N139" s="337">
        <v>2.0000000000000001E-4</v>
      </c>
      <c r="O139" s="337">
        <v>0</v>
      </c>
      <c r="P139" s="347">
        <v>-1.9096200000000001</v>
      </c>
      <c r="Q139" s="347">
        <v>12.28566</v>
      </c>
      <c r="R139" s="707">
        <f t="shared" si="45"/>
        <v>-1.500948733344112E-3</v>
      </c>
      <c r="S139" s="708"/>
      <c r="T139" s="707"/>
      <c r="U139" s="708"/>
      <c r="V139" s="395"/>
      <c r="W139" s="429"/>
      <c r="X139" s="198" t="s">
        <v>48</v>
      </c>
      <c r="Y139" s="337">
        <v>1.1779999999999999</v>
      </c>
      <c r="Z139" s="337">
        <v>1.3782000000000001</v>
      </c>
      <c r="AA139" s="337">
        <v>1.4703999999999999</v>
      </c>
      <c r="AB139" s="337">
        <v>0.78</v>
      </c>
      <c r="AC139" s="337">
        <v>0.64019999999999999</v>
      </c>
      <c r="AD139" s="337">
        <v>1.1721999999999999</v>
      </c>
      <c r="AE139" s="337">
        <v>0.66559999999999997</v>
      </c>
      <c r="AF139" s="337">
        <v>0.60519999999999996</v>
      </c>
      <c r="AG139" s="337">
        <v>0.68779999999999997</v>
      </c>
      <c r="AH139" s="337">
        <v>0.69420000000000004</v>
      </c>
      <c r="AI139" s="337">
        <v>0.87780000000000002</v>
      </c>
      <c r="AJ139" s="337">
        <v>0.41460000000000002</v>
      </c>
      <c r="AK139" s="351">
        <v>10.5642</v>
      </c>
      <c r="AL139" s="351">
        <v>17.875679999999999</v>
      </c>
      <c r="AM139" s="201">
        <f t="shared" si="46"/>
        <v>1.7857151912567194E-2</v>
      </c>
      <c r="AN139" s="201">
        <f t="shared" si="47"/>
        <v>-0.40901828629736048</v>
      </c>
      <c r="AO139" s="525"/>
      <c r="AP139" s="525"/>
      <c r="AQ139" s="520"/>
    </row>
    <row r="140" spans="2:43" ht="16.5" hidden="1" outlineLevel="1">
      <c r="B140" s="24" t="s">
        <v>137</v>
      </c>
      <c r="C140" s="125"/>
      <c r="D140" s="338">
        <v>116.4113</v>
      </c>
      <c r="E140" s="338">
        <v>96.57602</v>
      </c>
      <c r="F140" s="338">
        <v>118.58238</v>
      </c>
      <c r="G140" s="338">
        <v>113.17731999999999</v>
      </c>
      <c r="H140" s="338">
        <v>94.718279999999993</v>
      </c>
      <c r="I140" s="338">
        <v>105.58118</v>
      </c>
      <c r="J140" s="338">
        <v>94.214320000000001</v>
      </c>
      <c r="K140" s="338">
        <v>93.013019999999997</v>
      </c>
      <c r="L140" s="338">
        <v>100.01546</v>
      </c>
      <c r="M140" s="338">
        <v>105.90334</v>
      </c>
      <c r="N140" s="338">
        <v>115.04810000000001</v>
      </c>
      <c r="O140" s="338">
        <v>119.03458000000001</v>
      </c>
      <c r="P140" s="339">
        <v>1272.2753</v>
      </c>
      <c r="Q140" s="339">
        <v>1444.115</v>
      </c>
      <c r="R140" s="698">
        <f t="shared" si="45"/>
        <v>1</v>
      </c>
      <c r="S140" s="699"/>
      <c r="T140" s="698">
        <f>IFERROR(P140/Q140-1,0)</f>
        <v>-0.11899308573070699</v>
      </c>
      <c r="U140" s="699"/>
      <c r="V140" s="395"/>
      <c r="W140" s="24" t="s">
        <v>136</v>
      </c>
      <c r="X140" s="125"/>
      <c r="Y140" s="338">
        <v>60.947800000000001</v>
      </c>
      <c r="Z140" s="338">
        <v>53.574599999999997</v>
      </c>
      <c r="AA140" s="338">
        <v>53.661799999999999</v>
      </c>
      <c r="AB140" s="338">
        <v>54.903199999999998</v>
      </c>
      <c r="AC140" s="338">
        <v>49.179400000000001</v>
      </c>
      <c r="AD140" s="338">
        <v>47.316200000000002</v>
      </c>
      <c r="AE140" s="338">
        <v>45.062800000000003</v>
      </c>
      <c r="AF140" s="338">
        <v>47.704799999999999</v>
      </c>
      <c r="AG140" s="338">
        <v>50.114359999999998</v>
      </c>
      <c r="AH140" s="338">
        <v>49.117199999999997</v>
      </c>
      <c r="AI140" s="338">
        <v>50.038580000000003</v>
      </c>
      <c r="AJ140" s="338">
        <v>29.974160000000001</v>
      </c>
      <c r="AK140" s="338">
        <v>591.59490000000005</v>
      </c>
      <c r="AL140" s="338">
        <v>576.12005999999997</v>
      </c>
      <c r="AM140" s="199">
        <f t="shared" si="46"/>
        <v>1</v>
      </c>
      <c r="AN140" s="199">
        <f t="shared" si="47"/>
        <v>2.6860442943090757E-2</v>
      </c>
      <c r="AO140" s="525"/>
      <c r="AP140" s="526"/>
      <c r="AQ140" s="520"/>
    </row>
    <row r="141" spans="2:43" ht="16.5" hidden="1" outlineLevel="1">
      <c r="B141" s="464"/>
      <c r="C141" s="465"/>
      <c r="D141" s="466"/>
      <c r="E141" s="466"/>
      <c r="F141" s="466"/>
      <c r="G141" s="466"/>
      <c r="H141" s="466"/>
      <c r="I141" s="466"/>
      <c r="J141" s="466"/>
      <c r="K141" s="466"/>
      <c r="L141" s="466"/>
      <c r="M141" s="466"/>
      <c r="N141" s="466"/>
      <c r="O141" s="466"/>
      <c r="P141" s="466"/>
      <c r="Q141" s="466"/>
      <c r="R141" s="467"/>
      <c r="S141" s="467"/>
      <c r="T141" s="467"/>
      <c r="U141" s="467"/>
      <c r="V141" s="395"/>
      <c r="W141" s="36"/>
      <c r="X141" s="465"/>
      <c r="Y141" s="466"/>
      <c r="Z141" s="466"/>
      <c r="AA141" s="466"/>
      <c r="AB141" s="466"/>
      <c r="AC141" s="466"/>
      <c r="AD141" s="466"/>
      <c r="AE141" s="466"/>
      <c r="AF141" s="466"/>
      <c r="AG141" s="466"/>
      <c r="AH141" s="466"/>
      <c r="AI141" s="466"/>
      <c r="AJ141" s="466"/>
      <c r="AK141" s="466"/>
      <c r="AL141" s="466"/>
      <c r="AM141" s="468"/>
      <c r="AN141" s="468"/>
      <c r="AO141" s="525"/>
      <c r="AP141" s="526"/>
      <c r="AQ141" s="630"/>
    </row>
    <row r="142" spans="2:43" ht="15" hidden="1" customHeight="1" outlineLevel="1">
      <c r="B142" s="717" t="s">
        <v>163</v>
      </c>
      <c r="C142" s="717"/>
      <c r="D142" s="717"/>
      <c r="E142" s="717"/>
      <c r="F142" s="717"/>
      <c r="G142" s="717"/>
      <c r="H142" s="717"/>
      <c r="I142" s="717"/>
      <c r="J142" s="717"/>
      <c r="K142" s="717"/>
      <c r="L142" s="717"/>
      <c r="M142" s="717"/>
      <c r="N142" s="717"/>
      <c r="O142" s="717"/>
      <c r="P142" s="717"/>
      <c r="Q142" s="717"/>
      <c r="R142" s="717"/>
      <c r="S142" s="717"/>
      <c r="T142" s="717"/>
      <c r="U142" s="717"/>
      <c r="V142" s="717"/>
      <c r="X142" s="717" t="s">
        <v>164</v>
      </c>
      <c r="Y142" s="717"/>
      <c r="Z142" s="717"/>
      <c r="AA142" s="717"/>
      <c r="AB142" s="717"/>
      <c r="AC142" s="717"/>
      <c r="AD142" s="717"/>
      <c r="AE142" s="717"/>
      <c r="AF142" s="717"/>
      <c r="AG142" s="717"/>
      <c r="AH142" s="717"/>
      <c r="AI142" s="717"/>
      <c r="AJ142" s="717"/>
      <c r="AK142" s="717"/>
      <c r="AL142" s="717"/>
      <c r="AM142" s="717"/>
      <c r="AN142" s="717"/>
      <c r="AO142" s="717"/>
      <c r="AP142" s="717"/>
    </row>
    <row r="143" spans="2:43" ht="9.75" hidden="1" customHeight="1" outlineLevel="1">
      <c r="B143" s="709"/>
      <c r="C143" s="711" t="s">
        <v>27</v>
      </c>
      <c r="D143" s="712"/>
      <c r="E143" s="709" t="s">
        <v>28</v>
      </c>
      <c r="F143" s="709" t="s">
        <v>29</v>
      </c>
      <c r="G143" s="709" t="s">
        <v>30</v>
      </c>
      <c r="H143" s="709" t="s">
        <v>31</v>
      </c>
      <c r="I143" s="709" t="s">
        <v>32</v>
      </c>
      <c r="J143" s="709" t="s">
        <v>33</v>
      </c>
      <c r="K143" s="709" t="s">
        <v>34</v>
      </c>
      <c r="L143" s="709" t="s">
        <v>35</v>
      </c>
      <c r="M143" s="709" t="s">
        <v>36</v>
      </c>
      <c r="N143" s="709" t="s">
        <v>37</v>
      </c>
      <c r="O143" s="709" t="s">
        <v>38</v>
      </c>
      <c r="P143" s="709" t="s">
        <v>39</v>
      </c>
      <c r="Q143" s="718" t="s">
        <v>165</v>
      </c>
      <c r="R143" s="718" t="s">
        <v>161</v>
      </c>
      <c r="S143" s="720" t="s">
        <v>55</v>
      </c>
      <c r="T143" s="721"/>
      <c r="U143" s="711" t="s">
        <v>56</v>
      </c>
      <c r="V143" s="712"/>
      <c r="X143" s="709"/>
      <c r="Y143" s="711" t="s">
        <v>27</v>
      </c>
      <c r="Z143" s="712"/>
      <c r="AA143" s="709" t="s">
        <v>28</v>
      </c>
      <c r="AB143" s="709" t="s">
        <v>29</v>
      </c>
      <c r="AC143" s="709" t="s">
        <v>30</v>
      </c>
      <c r="AD143" s="709" t="s">
        <v>31</v>
      </c>
      <c r="AE143" s="709" t="s">
        <v>32</v>
      </c>
      <c r="AF143" s="709" t="s">
        <v>33</v>
      </c>
      <c r="AG143" s="709" t="s">
        <v>34</v>
      </c>
      <c r="AH143" s="709" t="s">
        <v>35</v>
      </c>
      <c r="AI143" s="709" t="s">
        <v>36</v>
      </c>
      <c r="AJ143" s="709" t="s">
        <v>37</v>
      </c>
      <c r="AK143" s="709" t="s">
        <v>38</v>
      </c>
      <c r="AL143" s="709" t="s">
        <v>39</v>
      </c>
      <c r="AM143" s="709" t="s">
        <v>165</v>
      </c>
      <c r="AN143" s="709" t="s">
        <v>161</v>
      </c>
      <c r="AO143" s="700" t="s">
        <v>166</v>
      </c>
      <c r="AP143" s="700" t="s">
        <v>167</v>
      </c>
    </row>
    <row r="144" spans="2:43" hidden="1" outlineLevel="1">
      <c r="B144" s="710"/>
      <c r="C144" s="713"/>
      <c r="D144" s="714"/>
      <c r="E144" s="710"/>
      <c r="F144" s="710"/>
      <c r="G144" s="710"/>
      <c r="H144" s="710"/>
      <c r="I144" s="710"/>
      <c r="J144" s="710"/>
      <c r="K144" s="710"/>
      <c r="L144" s="710"/>
      <c r="M144" s="710"/>
      <c r="N144" s="710"/>
      <c r="O144" s="710"/>
      <c r="P144" s="710"/>
      <c r="Q144" s="719"/>
      <c r="R144" s="719"/>
      <c r="S144" s="722"/>
      <c r="T144" s="723"/>
      <c r="U144" s="713"/>
      <c r="V144" s="714"/>
      <c r="X144" s="710"/>
      <c r="Y144" s="713"/>
      <c r="Z144" s="714"/>
      <c r="AA144" s="710"/>
      <c r="AB144" s="710"/>
      <c r="AC144" s="710"/>
      <c r="AD144" s="710"/>
      <c r="AE144" s="710"/>
      <c r="AF144" s="710"/>
      <c r="AG144" s="710"/>
      <c r="AH144" s="710"/>
      <c r="AI144" s="710"/>
      <c r="AJ144" s="710"/>
      <c r="AK144" s="710"/>
      <c r="AL144" s="710"/>
      <c r="AM144" s="710"/>
      <c r="AN144" s="710"/>
      <c r="AO144" s="701"/>
      <c r="AP144" s="701"/>
    </row>
    <row r="145" spans="2:45" ht="15" hidden="1" customHeight="1" outlineLevel="1">
      <c r="B145" s="702" t="s">
        <v>146</v>
      </c>
      <c r="C145" s="705" t="s">
        <v>44</v>
      </c>
      <c r="D145" s="706"/>
      <c r="E145" s="337">
        <v>6.1363799999999999</v>
      </c>
      <c r="F145" s="337">
        <v>4.6249599999999997</v>
      </c>
      <c r="G145" s="337">
        <v>5.0069800000000004</v>
      </c>
      <c r="H145" s="337">
        <v>6.15252</v>
      </c>
      <c r="I145" s="337">
        <v>4.7196600000000002</v>
      </c>
      <c r="J145" s="337">
        <v>5.2203999999999997</v>
      </c>
      <c r="K145" s="337">
        <v>5.4861399999999998</v>
      </c>
      <c r="L145" s="337">
        <v>5.3239000000000001</v>
      </c>
      <c r="M145" s="337">
        <v>5.3429399999999996</v>
      </c>
      <c r="N145" s="337">
        <v>5.21828</v>
      </c>
      <c r="O145" s="337">
        <v>5.3806599999999998</v>
      </c>
      <c r="P145" s="337">
        <v>5.05558</v>
      </c>
      <c r="Q145" s="347">
        <v>63.668399999999998</v>
      </c>
      <c r="R145" s="347">
        <v>73.048919999999995</v>
      </c>
      <c r="S145" s="707">
        <f t="shared" ref="S145:S150" si="48">IFERROR(Q145/$Q$150,0)</f>
        <v>5.4976513205030622E-2</v>
      </c>
      <c r="T145" s="708"/>
      <c r="U145" s="707">
        <f>IFERROR(Q145/R145-1,0)</f>
        <v>-0.12841421885498094</v>
      </c>
      <c r="V145" s="708"/>
      <c r="W145" s="395"/>
      <c r="X145" s="427" t="s">
        <v>116</v>
      </c>
      <c r="Y145" s="705" t="s">
        <v>44</v>
      </c>
      <c r="Z145" s="706"/>
      <c r="AA145" s="337">
        <v>0.32679999999999998</v>
      </c>
      <c r="AB145" s="337">
        <v>0.38800000000000001</v>
      </c>
      <c r="AC145" s="337">
        <v>0.34160000000000001</v>
      </c>
      <c r="AD145" s="337">
        <v>0.22120000000000001</v>
      </c>
      <c r="AE145" s="337">
        <v>0.3548</v>
      </c>
      <c r="AF145" s="337">
        <v>0.30359999999999998</v>
      </c>
      <c r="AG145" s="337">
        <v>0.24179999999999999</v>
      </c>
      <c r="AH145" s="337">
        <v>0.33019999999999999</v>
      </c>
      <c r="AI145" s="337">
        <v>0.25380000000000003</v>
      </c>
      <c r="AJ145" s="337">
        <v>0.24979999999999999</v>
      </c>
      <c r="AK145" s="337">
        <v>0.25340000000000001</v>
      </c>
      <c r="AL145" s="337">
        <v>0.22320000000000001</v>
      </c>
      <c r="AM145" s="351">
        <v>3.4882</v>
      </c>
      <c r="AN145" s="351">
        <v>3.8973399999999998</v>
      </c>
      <c r="AO145" s="201">
        <f t="shared" ref="AO145:AO150" si="49">IFERROR(AM145/$AM$150,0)</f>
        <v>7.8924048149778391E-3</v>
      </c>
      <c r="AP145" s="201">
        <f>IFERROR(AM145/AN145-1,0)</f>
        <v>-0.10497929356946012</v>
      </c>
      <c r="AQ145" s="525"/>
      <c r="AR145" s="395"/>
      <c r="AS145" s="520"/>
    </row>
    <row r="146" spans="2:45" ht="16.5" hidden="1" outlineLevel="1">
      <c r="B146" s="703"/>
      <c r="C146" s="705" t="s">
        <v>45</v>
      </c>
      <c r="D146" s="706"/>
      <c r="E146" s="337">
        <v>1.3164</v>
      </c>
      <c r="F146" s="337">
        <v>0.72174000000000005</v>
      </c>
      <c r="G146" s="337">
        <v>1.05924</v>
      </c>
      <c r="H146" s="337">
        <v>0.49220000000000003</v>
      </c>
      <c r="I146" s="337">
        <v>0.71784000000000003</v>
      </c>
      <c r="J146" s="337">
        <v>0.98619999999999997</v>
      </c>
      <c r="K146" s="337">
        <v>1.1778599999999999</v>
      </c>
      <c r="L146" s="337">
        <v>1.1153200000000001</v>
      </c>
      <c r="M146" s="337">
        <v>1.1493199999999999</v>
      </c>
      <c r="N146" s="337">
        <v>1.20112</v>
      </c>
      <c r="O146" s="337">
        <v>1.29098</v>
      </c>
      <c r="P146" s="337">
        <v>1.3233999999999999</v>
      </c>
      <c r="Q146" s="347">
        <v>12.55162</v>
      </c>
      <c r="R146" s="347">
        <v>35.379840000000002</v>
      </c>
      <c r="S146" s="707">
        <f t="shared" si="48"/>
        <v>1.0838097119992436E-2</v>
      </c>
      <c r="T146" s="708"/>
      <c r="U146" s="707">
        <f>IFERROR(Q146/R146-1,0)</f>
        <v>-0.64523242615003351</v>
      </c>
      <c r="V146" s="708"/>
      <c r="W146" s="395"/>
      <c r="X146" s="428"/>
      <c r="Y146" s="705" t="s">
        <v>45</v>
      </c>
      <c r="Z146" s="706"/>
      <c r="AA146" s="337">
        <v>5.5100000000000003E-2</v>
      </c>
      <c r="AB146" s="337">
        <v>9.3740000000000004E-2</v>
      </c>
      <c r="AC146" s="337">
        <v>7.3200000000000001E-2</v>
      </c>
      <c r="AD146" s="337">
        <v>7.0599999999999996E-2</v>
      </c>
      <c r="AE146" s="337">
        <v>6.7799999999999999E-2</v>
      </c>
      <c r="AF146" s="337">
        <v>6.6799999999999998E-2</v>
      </c>
      <c r="AG146" s="337">
        <v>4.9399999999999999E-2</v>
      </c>
      <c r="AH146" s="337">
        <v>4.2000000000000003E-2</v>
      </c>
      <c r="AI146" s="337">
        <v>5.0200000000000002E-2</v>
      </c>
      <c r="AJ146" s="337">
        <v>4.8399999999999999E-2</v>
      </c>
      <c r="AK146" s="337">
        <v>6.4600000000000005E-2</v>
      </c>
      <c r="AL146" s="337">
        <v>5.1200000000000002E-2</v>
      </c>
      <c r="AM146" s="351">
        <v>0.73304000000000002</v>
      </c>
      <c r="AN146" s="351">
        <v>3.5236399999999999</v>
      </c>
      <c r="AO146" s="201">
        <f t="shared" si="49"/>
        <v>1.6585770384643529E-3</v>
      </c>
      <c r="AP146" s="201">
        <f t="shared" ref="AP146:AP148" si="50">IFERROR(AM146/AN146-1,0)</f>
        <v>-0.79196512697097321</v>
      </c>
      <c r="AQ146" s="525"/>
      <c r="AR146" s="395"/>
      <c r="AS146" s="520"/>
    </row>
    <row r="147" spans="2:45" ht="16.5" hidden="1" outlineLevel="1">
      <c r="B147" s="703"/>
      <c r="C147" s="705" t="s">
        <v>46</v>
      </c>
      <c r="D147" s="706"/>
      <c r="E147" s="337">
        <v>35.322600000000001</v>
      </c>
      <c r="F147" s="337">
        <v>22.696639999999999</v>
      </c>
      <c r="G147" s="337">
        <v>28.83362</v>
      </c>
      <c r="H147" s="337">
        <v>28.583819999999999</v>
      </c>
      <c r="I147" s="337">
        <v>27.098680000000002</v>
      </c>
      <c r="J147" s="337">
        <v>25.867239999999999</v>
      </c>
      <c r="K147" s="337">
        <v>27.83042</v>
      </c>
      <c r="L147" s="337">
        <v>27.2258</v>
      </c>
      <c r="M147" s="337">
        <v>26.288620000000002</v>
      </c>
      <c r="N147" s="337">
        <v>26.316479999999999</v>
      </c>
      <c r="O147" s="337">
        <v>28.289639999999999</v>
      </c>
      <c r="P147" s="337">
        <v>25.591000000000001</v>
      </c>
      <c r="Q147" s="347">
        <v>329.94456000000002</v>
      </c>
      <c r="R147" s="347">
        <v>379.27055999999999</v>
      </c>
      <c r="S147" s="707">
        <f t="shared" si="48"/>
        <v>0.28490116698029194</v>
      </c>
      <c r="T147" s="708"/>
      <c r="U147" s="707">
        <f>IFERROR(Q147/R147-1,0)</f>
        <v>-0.13005491383248935</v>
      </c>
      <c r="V147" s="708"/>
      <c r="W147" s="395"/>
      <c r="X147" s="428"/>
      <c r="Y147" s="705" t="s">
        <v>46</v>
      </c>
      <c r="Z147" s="706"/>
      <c r="AA147" s="337">
        <v>15.811199999999999</v>
      </c>
      <c r="AB147" s="337">
        <v>15.5192</v>
      </c>
      <c r="AC147" s="337">
        <v>13.66338</v>
      </c>
      <c r="AD147" s="337">
        <v>12.366</v>
      </c>
      <c r="AE147" s="337">
        <v>11.904400000000001</v>
      </c>
      <c r="AF147" s="337">
        <v>10.387</v>
      </c>
      <c r="AG147" s="337">
        <v>10.005599999999999</v>
      </c>
      <c r="AH147" s="337">
        <v>10.0528</v>
      </c>
      <c r="AI147" s="337">
        <v>10.2544</v>
      </c>
      <c r="AJ147" s="337">
        <v>10.514799999999999</v>
      </c>
      <c r="AK147" s="337">
        <v>10.356</v>
      </c>
      <c r="AL147" s="337">
        <v>8.3303999999999991</v>
      </c>
      <c r="AM147" s="351">
        <v>139.16517999999999</v>
      </c>
      <c r="AN147" s="351">
        <v>196.4776</v>
      </c>
      <c r="AO147" s="201">
        <f t="shared" si="49"/>
        <v>0.31487527570358859</v>
      </c>
      <c r="AP147" s="201">
        <f t="shared" si="50"/>
        <v>-0.29169951180185427</v>
      </c>
      <c r="AQ147" s="525"/>
      <c r="AR147" s="395"/>
      <c r="AS147" s="520"/>
    </row>
    <row r="148" spans="2:45" ht="16.5" hidden="1" outlineLevel="1">
      <c r="B148" s="703"/>
      <c r="C148" s="705" t="s">
        <v>47</v>
      </c>
      <c r="D148" s="706"/>
      <c r="E148" s="337">
        <v>75.354600000000005</v>
      </c>
      <c r="F148" s="337">
        <v>54.070320000000002</v>
      </c>
      <c r="G148" s="337">
        <v>64.200559999999996</v>
      </c>
      <c r="H148" s="337">
        <v>65.218400000000003</v>
      </c>
      <c r="I148" s="337">
        <v>61.9803</v>
      </c>
      <c r="J148" s="337">
        <v>60.028260000000003</v>
      </c>
      <c r="K148" s="337">
        <v>61.551519999999996</v>
      </c>
      <c r="L148" s="337">
        <v>60.501620000000003</v>
      </c>
      <c r="M148" s="337">
        <v>60.33934</v>
      </c>
      <c r="N148" s="337">
        <v>60.961399999999998</v>
      </c>
      <c r="O148" s="337">
        <v>65.046360000000007</v>
      </c>
      <c r="P148" s="337">
        <v>62.684559999999998</v>
      </c>
      <c r="Q148" s="347">
        <v>751.93723999999997</v>
      </c>
      <c r="R148" s="347">
        <v>786.48559999999998</v>
      </c>
      <c r="S148" s="707">
        <f t="shared" si="48"/>
        <v>0.64928422269468489</v>
      </c>
      <c r="T148" s="708"/>
      <c r="U148" s="707">
        <f>IFERROR(Q148/R148-1,0)</f>
        <v>-4.3927517554040452E-2</v>
      </c>
      <c r="V148" s="708"/>
      <c r="W148" s="395"/>
      <c r="X148" s="428"/>
      <c r="Y148" s="705" t="s">
        <v>47</v>
      </c>
      <c r="Z148" s="706"/>
      <c r="AA148" s="337">
        <v>33.403700000000001</v>
      </c>
      <c r="AB148" s="337">
        <v>32.172199999999997</v>
      </c>
      <c r="AC148" s="337">
        <v>27.7255</v>
      </c>
      <c r="AD148" s="337">
        <v>25.384</v>
      </c>
      <c r="AE148" s="337">
        <v>25.447800000000001</v>
      </c>
      <c r="AF148" s="337">
        <v>21.408200000000001</v>
      </c>
      <c r="AG148" s="337">
        <v>20.331199999999999</v>
      </c>
      <c r="AH148" s="337">
        <v>22.062000000000001</v>
      </c>
      <c r="AI148" s="337">
        <v>22.924600000000002</v>
      </c>
      <c r="AJ148" s="337">
        <v>22.765000000000001</v>
      </c>
      <c r="AK148" s="337">
        <v>23.360199999999999</v>
      </c>
      <c r="AL148" s="337">
        <v>20.400200000000002</v>
      </c>
      <c r="AM148" s="351">
        <v>297.38459999999998</v>
      </c>
      <c r="AN148" s="351">
        <v>377.13211999999999</v>
      </c>
      <c r="AO148" s="201">
        <f t="shared" si="49"/>
        <v>0.67286269392244091</v>
      </c>
      <c r="AP148" s="201">
        <f t="shared" si="50"/>
        <v>-0.21145777771461105</v>
      </c>
      <c r="AQ148" s="525"/>
      <c r="AR148" s="395"/>
      <c r="AS148" s="520"/>
    </row>
    <row r="149" spans="2:45" ht="16.5" hidden="1" outlineLevel="1">
      <c r="B149" s="704"/>
      <c r="C149" s="705" t="s">
        <v>48</v>
      </c>
      <c r="D149" s="706"/>
      <c r="E149" s="337"/>
      <c r="F149" s="337"/>
      <c r="G149" s="337"/>
      <c r="H149" s="337"/>
      <c r="I149" s="337"/>
      <c r="J149" s="337"/>
      <c r="K149" s="337"/>
      <c r="L149" s="337"/>
      <c r="M149" s="337"/>
      <c r="N149" s="337"/>
      <c r="O149" s="337"/>
      <c r="P149" s="337"/>
      <c r="Q149" s="347"/>
      <c r="R149" s="347">
        <v>-1.9096200000000001</v>
      </c>
      <c r="S149" s="707">
        <f t="shared" si="48"/>
        <v>0</v>
      </c>
      <c r="T149" s="708"/>
      <c r="U149" s="707"/>
      <c r="V149" s="708"/>
      <c r="W149" s="395"/>
      <c r="X149" s="429"/>
      <c r="Y149" s="705" t="s">
        <v>48</v>
      </c>
      <c r="Z149" s="706"/>
      <c r="AA149" s="337">
        <v>0.64219999999999999</v>
      </c>
      <c r="AB149" s="337">
        <v>0.42459999999999998</v>
      </c>
      <c r="AC149" s="337">
        <v>0.13139999999999999</v>
      </c>
      <c r="AD149" s="337">
        <v>0</v>
      </c>
      <c r="AE149" s="337">
        <v>0</v>
      </c>
      <c r="AF149" s="337">
        <v>0</v>
      </c>
      <c r="AG149" s="337">
        <v>0</v>
      </c>
      <c r="AH149" s="337">
        <v>0</v>
      </c>
      <c r="AI149" s="337">
        <v>0</v>
      </c>
      <c r="AJ149" s="337">
        <v>0</v>
      </c>
      <c r="AK149" s="337">
        <v>0</v>
      </c>
      <c r="AL149" s="337">
        <v>0</v>
      </c>
      <c r="AM149" s="351">
        <v>1.1981999999999999</v>
      </c>
      <c r="AN149" s="351">
        <v>10.5642</v>
      </c>
      <c r="AO149" s="201">
        <f t="shared" si="49"/>
        <v>2.7110485205281941E-3</v>
      </c>
      <c r="AP149" s="201">
        <f>IFERROR(AM149/AN149-1,0)</f>
        <v>-0.88657920145396718</v>
      </c>
      <c r="AQ149" s="525"/>
      <c r="AR149" s="395"/>
      <c r="AS149" s="520"/>
    </row>
    <row r="150" spans="2:45" ht="16.5" hidden="1" outlineLevel="1">
      <c r="B150" s="24" t="s">
        <v>137</v>
      </c>
      <c r="C150" s="125"/>
      <c r="D150" s="125"/>
      <c r="E150" s="338">
        <v>118.12998</v>
      </c>
      <c r="F150" s="338">
        <v>82.113659999999996</v>
      </c>
      <c r="G150" s="338">
        <v>99.100399999999993</v>
      </c>
      <c r="H150" s="338">
        <v>100.44694</v>
      </c>
      <c r="I150" s="338">
        <v>94.516480000000001</v>
      </c>
      <c r="J150" s="338">
        <v>92.102099999999993</v>
      </c>
      <c r="K150" s="338">
        <v>96.045940000000002</v>
      </c>
      <c r="L150" s="338">
        <v>94.166640000000001</v>
      </c>
      <c r="M150" s="338">
        <v>93.120220000000003</v>
      </c>
      <c r="N150" s="338">
        <v>93.697280000000006</v>
      </c>
      <c r="O150" s="338">
        <v>100.00763999999999</v>
      </c>
      <c r="P150" s="338">
        <v>94.654539999999997</v>
      </c>
      <c r="Q150" s="339">
        <v>1158.1018200000001</v>
      </c>
      <c r="R150" s="339">
        <v>1272.2753</v>
      </c>
      <c r="S150" s="698">
        <f t="shared" si="48"/>
        <v>1</v>
      </c>
      <c r="T150" s="699"/>
      <c r="U150" s="698">
        <f>IFERROR(Q150/R150-1,0)</f>
        <v>-8.9739602741639279E-2</v>
      </c>
      <c r="V150" s="699"/>
      <c r="W150" s="395"/>
      <c r="X150" s="24" t="s">
        <v>136</v>
      </c>
      <c r="Y150" s="125"/>
      <c r="Z150" s="125"/>
      <c r="AA150" s="338">
        <v>50.238999999999997</v>
      </c>
      <c r="AB150" s="338">
        <v>48.597740000000002</v>
      </c>
      <c r="AC150" s="338">
        <v>41.935079999999999</v>
      </c>
      <c r="AD150" s="338">
        <v>38.041800000000002</v>
      </c>
      <c r="AE150" s="338">
        <v>37.774799999999999</v>
      </c>
      <c r="AF150" s="338">
        <v>32.165599999999998</v>
      </c>
      <c r="AG150" s="338">
        <v>30.628</v>
      </c>
      <c r="AH150" s="338">
        <v>32.487000000000002</v>
      </c>
      <c r="AI150" s="338">
        <v>33.482999999999997</v>
      </c>
      <c r="AJ150" s="338">
        <v>33.578000000000003</v>
      </c>
      <c r="AK150" s="338">
        <v>34.034199999999998</v>
      </c>
      <c r="AL150" s="338">
        <v>29.004999999999999</v>
      </c>
      <c r="AM150" s="338">
        <v>441.96922000000001</v>
      </c>
      <c r="AN150" s="338">
        <v>591.59490000000005</v>
      </c>
      <c r="AO150" s="199">
        <f t="shared" si="49"/>
        <v>1</v>
      </c>
      <c r="AP150" s="199">
        <f>IFERROR(AM150/AN150-1,0)</f>
        <v>-0.25291915126381248</v>
      </c>
      <c r="AQ150" s="525"/>
      <c r="AR150" s="395"/>
      <c r="AS150" s="520"/>
    </row>
    <row r="151" spans="2:45" hidden="1" outlineLevel="1">
      <c r="M151" s="459"/>
      <c r="AF151" s="395"/>
      <c r="AG151" s="397"/>
      <c r="AO151" s="395"/>
    </row>
    <row r="152" spans="2:45" ht="15" hidden="1" customHeight="1" outlineLevel="1">
      <c r="B152" s="717" t="s">
        <v>168</v>
      </c>
      <c r="C152" s="717"/>
      <c r="D152" s="717"/>
      <c r="E152" s="717"/>
      <c r="F152" s="717"/>
      <c r="G152" s="717"/>
      <c r="H152" s="717"/>
      <c r="I152" s="717"/>
      <c r="J152" s="717"/>
      <c r="K152" s="717"/>
      <c r="L152" s="717"/>
      <c r="M152" s="717"/>
      <c r="N152" s="717"/>
      <c r="O152" s="717"/>
      <c r="P152" s="717"/>
      <c r="Q152" s="717"/>
      <c r="R152" s="717"/>
      <c r="S152" s="717"/>
      <c r="T152" s="717"/>
      <c r="U152" s="717"/>
      <c r="V152" s="717"/>
      <c r="X152" s="717" t="s">
        <v>169</v>
      </c>
      <c r="Y152" s="717"/>
      <c r="Z152" s="717"/>
      <c r="AA152" s="717"/>
      <c r="AB152" s="717"/>
      <c r="AC152" s="717"/>
      <c r="AD152" s="717"/>
      <c r="AE152" s="717"/>
      <c r="AF152" s="717"/>
      <c r="AG152" s="717"/>
      <c r="AH152" s="717"/>
      <c r="AI152" s="717"/>
      <c r="AJ152" s="717"/>
      <c r="AK152" s="717"/>
      <c r="AL152" s="717"/>
      <c r="AM152" s="717"/>
      <c r="AN152" s="717"/>
      <c r="AO152" s="717"/>
      <c r="AP152" s="717"/>
    </row>
    <row r="153" spans="2:45" ht="9.75" hidden="1" customHeight="1" outlineLevel="1">
      <c r="B153" s="709"/>
      <c r="C153" s="711" t="s">
        <v>27</v>
      </c>
      <c r="D153" s="712"/>
      <c r="E153" s="709" t="s">
        <v>28</v>
      </c>
      <c r="F153" s="709" t="s">
        <v>29</v>
      </c>
      <c r="G153" s="709" t="s">
        <v>30</v>
      </c>
      <c r="H153" s="709" t="s">
        <v>31</v>
      </c>
      <c r="I153" s="709" t="s">
        <v>32</v>
      </c>
      <c r="J153" s="709" t="s">
        <v>33</v>
      </c>
      <c r="K153" s="709" t="s">
        <v>34</v>
      </c>
      <c r="L153" s="709" t="s">
        <v>35</v>
      </c>
      <c r="M153" s="709" t="s">
        <v>36</v>
      </c>
      <c r="N153" s="709" t="s">
        <v>37</v>
      </c>
      <c r="O153" s="709" t="s">
        <v>38</v>
      </c>
      <c r="P153" s="709" t="s">
        <v>39</v>
      </c>
      <c r="Q153" s="718" t="s">
        <v>170</v>
      </c>
      <c r="R153" s="718" t="s">
        <v>165</v>
      </c>
      <c r="S153" s="720" t="s">
        <v>59</v>
      </c>
      <c r="T153" s="721"/>
      <c r="U153" s="711" t="s">
        <v>60</v>
      </c>
      <c r="V153" s="712"/>
      <c r="X153" s="709"/>
      <c r="Y153" s="711" t="s">
        <v>27</v>
      </c>
      <c r="Z153" s="712"/>
      <c r="AA153" s="709" t="s">
        <v>28</v>
      </c>
      <c r="AB153" s="709" t="s">
        <v>29</v>
      </c>
      <c r="AC153" s="709" t="s">
        <v>30</v>
      </c>
      <c r="AD153" s="709" t="s">
        <v>31</v>
      </c>
      <c r="AE153" s="709" t="s">
        <v>32</v>
      </c>
      <c r="AF153" s="709" t="s">
        <v>33</v>
      </c>
      <c r="AG153" s="709" t="s">
        <v>34</v>
      </c>
      <c r="AH153" s="709" t="s">
        <v>35</v>
      </c>
      <c r="AI153" s="709" t="s">
        <v>36</v>
      </c>
      <c r="AJ153" s="709" t="s">
        <v>37</v>
      </c>
      <c r="AK153" s="709" t="s">
        <v>38</v>
      </c>
      <c r="AL153" s="709" t="s">
        <v>39</v>
      </c>
      <c r="AM153" s="709" t="s">
        <v>170</v>
      </c>
      <c r="AN153" s="709" t="s">
        <v>165</v>
      </c>
      <c r="AO153" s="700" t="s">
        <v>171</v>
      </c>
      <c r="AP153" s="700" t="s">
        <v>172</v>
      </c>
    </row>
    <row r="154" spans="2:45" hidden="1" outlineLevel="1">
      <c r="B154" s="710"/>
      <c r="C154" s="713"/>
      <c r="D154" s="714"/>
      <c r="E154" s="710"/>
      <c r="F154" s="710"/>
      <c r="G154" s="710"/>
      <c r="H154" s="710"/>
      <c r="I154" s="710"/>
      <c r="J154" s="710"/>
      <c r="K154" s="710"/>
      <c r="L154" s="710"/>
      <c r="M154" s="710"/>
      <c r="N154" s="710"/>
      <c r="O154" s="710"/>
      <c r="P154" s="710"/>
      <c r="Q154" s="719"/>
      <c r="R154" s="719"/>
      <c r="S154" s="722"/>
      <c r="T154" s="723"/>
      <c r="U154" s="713"/>
      <c r="V154" s="714"/>
      <c r="X154" s="710"/>
      <c r="Y154" s="713"/>
      <c r="Z154" s="714"/>
      <c r="AA154" s="710"/>
      <c r="AB154" s="710"/>
      <c r="AC154" s="710"/>
      <c r="AD154" s="710"/>
      <c r="AE154" s="710"/>
      <c r="AF154" s="710"/>
      <c r="AG154" s="710"/>
      <c r="AH154" s="710"/>
      <c r="AI154" s="710"/>
      <c r="AJ154" s="710"/>
      <c r="AK154" s="710"/>
      <c r="AL154" s="710"/>
      <c r="AM154" s="710"/>
      <c r="AN154" s="710"/>
      <c r="AO154" s="701"/>
      <c r="AP154" s="701"/>
    </row>
    <row r="155" spans="2:45" ht="15" hidden="1" customHeight="1" outlineLevel="1">
      <c r="B155" s="702" t="s">
        <v>146</v>
      </c>
      <c r="C155" s="705" t="s">
        <v>44</v>
      </c>
      <c r="D155" s="706"/>
      <c r="E155" s="337">
        <v>5.7596000000000007</v>
      </c>
      <c r="F155" s="337">
        <v>5.4078599999999994</v>
      </c>
      <c r="G155" s="337">
        <v>6.3929799999999997</v>
      </c>
      <c r="H155" s="337">
        <v>5.0006400000000006</v>
      </c>
      <c r="I155" s="337">
        <v>4.9668000000000001</v>
      </c>
      <c r="J155" s="337">
        <v>5.0326999999999984</v>
      </c>
      <c r="K155" s="337">
        <v>5.3956000000000008</v>
      </c>
      <c r="L155" s="337">
        <v>5.2885400000000011</v>
      </c>
      <c r="M155" s="337">
        <v>5.009879999999999</v>
      </c>
      <c r="N155" s="337">
        <v>5.0643999999999991</v>
      </c>
      <c r="O155" s="337">
        <v>5.3985199999999995</v>
      </c>
      <c r="P155" s="337">
        <v>5.5461</v>
      </c>
      <c r="Q155" s="347">
        <f>SUM(E155:P155)</f>
        <v>64.263619999999989</v>
      </c>
      <c r="R155" s="347">
        <f>Q145</f>
        <v>63.668399999999998</v>
      </c>
      <c r="S155" s="707">
        <f t="shared" ref="S155:S160" si="51">IFERROR(Q155/$Q$160,0)</f>
        <v>5.3790486423588982E-2</v>
      </c>
      <c r="T155" s="708"/>
      <c r="U155" s="707">
        <f>IFERROR(Q155/R155-1,0)</f>
        <v>9.3487507146401416E-3</v>
      </c>
      <c r="V155" s="708"/>
      <c r="W155" s="395"/>
      <c r="X155" s="427" t="s">
        <v>116</v>
      </c>
      <c r="Y155" s="705" t="s">
        <v>44</v>
      </c>
      <c r="Z155" s="706"/>
      <c r="AA155" s="337">
        <v>0.29660000000000003</v>
      </c>
      <c r="AB155" s="337">
        <v>0.31140000000000001</v>
      </c>
      <c r="AC155" s="337">
        <v>0.19200000000000006</v>
      </c>
      <c r="AD155" s="337">
        <v>0.20780000000000007</v>
      </c>
      <c r="AE155" s="337">
        <v>0.22020000000000006</v>
      </c>
      <c r="AF155" s="337">
        <v>0.24220000000000005</v>
      </c>
      <c r="AG155" s="337">
        <v>0.20599999999999999</v>
      </c>
      <c r="AH155" s="337">
        <v>0.26619999999999994</v>
      </c>
      <c r="AI155" s="337">
        <v>0.17860000000000001</v>
      </c>
      <c r="AJ155" s="337">
        <v>0.19320000000000007</v>
      </c>
      <c r="AK155" s="337">
        <v>0.26080000000000003</v>
      </c>
      <c r="AL155" s="337">
        <v>0.23940000000000003</v>
      </c>
      <c r="AM155" s="351">
        <f>SUM(AA155:AL155)</f>
        <v>2.8144</v>
      </c>
      <c r="AN155" s="351">
        <f>AM145</f>
        <v>3.4882</v>
      </c>
      <c r="AO155" s="201">
        <f>IFERROR(AM155/$AM$160,0)</f>
        <v>7.2633268783044852E-3</v>
      </c>
      <c r="AP155" s="201">
        <f>IFERROR(AM155/AN155-1,0)</f>
        <v>-0.19316552949945531</v>
      </c>
      <c r="AQ155" s="525"/>
      <c r="AR155" s="395"/>
      <c r="AS155" s="520"/>
    </row>
    <row r="156" spans="2:45" ht="16.5" hidden="1" outlineLevel="1">
      <c r="B156" s="703"/>
      <c r="C156" s="705" t="s">
        <v>45</v>
      </c>
      <c r="D156" s="706"/>
      <c r="E156" s="337">
        <v>1.6571999999999998</v>
      </c>
      <c r="F156" s="337">
        <v>1.5941799999999999</v>
      </c>
      <c r="G156" s="337">
        <v>1.6824399999999999</v>
      </c>
      <c r="H156" s="337">
        <v>1.20058</v>
      </c>
      <c r="I156" s="337">
        <v>1.24912</v>
      </c>
      <c r="J156" s="337">
        <v>1.0171400000000002</v>
      </c>
      <c r="K156" s="337">
        <v>1.2351799999999999</v>
      </c>
      <c r="L156" s="337">
        <v>1.3535600000000003</v>
      </c>
      <c r="M156" s="337">
        <v>1.15358</v>
      </c>
      <c r="N156" s="337">
        <v>1.2715799999999999</v>
      </c>
      <c r="O156" s="337">
        <v>1.5846</v>
      </c>
      <c r="P156" s="337">
        <v>1.3971600000000004</v>
      </c>
      <c r="Q156" s="347">
        <f t="shared" ref="Q156:Q159" si="52">SUM(E156:P156)</f>
        <v>16.396319999999999</v>
      </c>
      <c r="R156" s="347">
        <f t="shared" ref="R156:R158" si="53">Q146</f>
        <v>12.55162</v>
      </c>
      <c r="S156" s="707">
        <f t="shared" si="51"/>
        <v>1.3724188403280435E-2</v>
      </c>
      <c r="T156" s="708"/>
      <c r="U156" s="707">
        <f>IFERROR(Q156/R156-1,0)</f>
        <v>0.30631105785547996</v>
      </c>
      <c r="V156" s="708"/>
      <c r="W156" s="395"/>
      <c r="X156" s="428"/>
      <c r="Y156" s="705" t="s">
        <v>45</v>
      </c>
      <c r="Z156" s="706"/>
      <c r="AA156" s="337">
        <v>9.0700000000000003E-2</v>
      </c>
      <c r="AB156" s="337">
        <v>8.0400000000000013E-2</v>
      </c>
      <c r="AC156" s="337">
        <v>7.640000000000001E-2</v>
      </c>
      <c r="AD156" s="337">
        <v>9.3400000000000011E-2</v>
      </c>
      <c r="AE156" s="337">
        <v>5.7600000000000005E-2</v>
      </c>
      <c r="AF156" s="337">
        <v>6.6400000000000001E-2</v>
      </c>
      <c r="AG156" s="337">
        <v>2.46E-2</v>
      </c>
      <c r="AH156" s="337">
        <v>6.8600000000000008E-2</v>
      </c>
      <c r="AI156" s="337">
        <v>3.7600000000000001E-2</v>
      </c>
      <c r="AJ156" s="337">
        <v>8.2400000000000001E-2</v>
      </c>
      <c r="AK156" s="337">
        <v>0.01</v>
      </c>
      <c r="AL156" s="337">
        <v>0.1142</v>
      </c>
      <c r="AM156" s="351">
        <f t="shared" ref="AM156:AM159" si="54">SUM(AA156:AL156)</f>
        <v>0.80230000000000012</v>
      </c>
      <c r="AN156" s="351">
        <f t="shared" ref="AN156:AN158" si="55">AM146</f>
        <v>0.73304000000000002</v>
      </c>
      <c r="AO156" s="201">
        <f t="shared" ref="AO156:AO158" si="56">IFERROR(AM156/$AM$160,0)</f>
        <v>2.0705539917793099E-3</v>
      </c>
      <c r="AP156" s="201">
        <f t="shared" ref="AP156:AP158" si="57">IFERROR(AM156/AN156-1,0)</f>
        <v>9.4483247844592499E-2</v>
      </c>
      <c r="AQ156" s="525"/>
      <c r="AR156" s="395"/>
      <c r="AS156" s="520"/>
    </row>
    <row r="157" spans="2:45" ht="16.5" hidden="1" outlineLevel="1">
      <c r="B157" s="703"/>
      <c r="C157" s="705" t="s">
        <v>46</v>
      </c>
      <c r="D157" s="706"/>
      <c r="E157" s="337">
        <v>29.008399999999998</v>
      </c>
      <c r="F157" s="337">
        <v>26.384240000000002</v>
      </c>
      <c r="G157" s="337">
        <v>30.466059999999995</v>
      </c>
      <c r="H157" s="337">
        <v>28.308219999999999</v>
      </c>
      <c r="I157" s="337">
        <v>25.456279999999996</v>
      </c>
      <c r="J157" s="337">
        <v>24.647140000000004</v>
      </c>
      <c r="K157" s="337">
        <v>25.641500000000001</v>
      </c>
      <c r="L157" s="337">
        <v>26.404740000000004</v>
      </c>
      <c r="M157" s="337">
        <v>23.57198</v>
      </c>
      <c r="N157" s="337">
        <v>26.32</v>
      </c>
      <c r="O157" s="337">
        <v>27.033939999999998</v>
      </c>
      <c r="P157" s="337">
        <v>25.962579999999996</v>
      </c>
      <c r="Q157" s="347">
        <f t="shared" si="52"/>
        <v>319.20508000000001</v>
      </c>
      <c r="R157" s="347">
        <f t="shared" si="53"/>
        <v>329.94456000000002</v>
      </c>
      <c r="S157" s="707">
        <f t="shared" si="51"/>
        <v>0.26718377399344512</v>
      </c>
      <c r="T157" s="708"/>
      <c r="U157" s="707">
        <f>IFERROR(Q157/R157-1,0)</f>
        <v>-3.2549347078188018E-2</v>
      </c>
      <c r="V157" s="708"/>
      <c r="W157" s="395"/>
      <c r="X157" s="428"/>
      <c r="Y157" s="705" t="s">
        <v>46</v>
      </c>
      <c r="Z157" s="706"/>
      <c r="AA157" s="337">
        <v>11.45</v>
      </c>
      <c r="AB157" s="337">
        <v>10.033000000000001</v>
      </c>
      <c r="AC157" s="337">
        <v>9.8787999999999982</v>
      </c>
      <c r="AD157" s="337">
        <v>10.324399999999997</v>
      </c>
      <c r="AE157" s="337">
        <v>10.705</v>
      </c>
      <c r="AF157" s="337">
        <v>11.1356</v>
      </c>
      <c r="AG157" s="337">
        <v>9.051400000000001</v>
      </c>
      <c r="AH157" s="337">
        <v>9.4082000000000008</v>
      </c>
      <c r="AI157" s="337">
        <v>8.2649999999999988</v>
      </c>
      <c r="AJ157" s="337">
        <v>6.7948000000000022</v>
      </c>
      <c r="AK157" s="337">
        <v>7.6188000000000011</v>
      </c>
      <c r="AL157" s="337">
        <v>7.1314000000000002</v>
      </c>
      <c r="AM157" s="351">
        <f t="shared" si="54"/>
        <v>111.79640000000001</v>
      </c>
      <c r="AN157" s="351">
        <f t="shared" si="55"/>
        <v>139.16517999999999</v>
      </c>
      <c r="AO157" s="201">
        <f t="shared" si="56"/>
        <v>0.28852110468223408</v>
      </c>
      <c r="AP157" s="201">
        <f t="shared" si="57"/>
        <v>-0.1966639931051718</v>
      </c>
      <c r="AQ157" s="525"/>
      <c r="AR157" s="395"/>
      <c r="AS157" s="520"/>
    </row>
    <row r="158" spans="2:45" ht="16.5" hidden="1" outlineLevel="1">
      <c r="B158" s="703"/>
      <c r="C158" s="705" t="s">
        <v>47</v>
      </c>
      <c r="D158" s="706"/>
      <c r="E158" s="337">
        <v>67.586000000000013</v>
      </c>
      <c r="F158" s="337">
        <v>63.384399999999992</v>
      </c>
      <c r="G158" s="337">
        <v>67.731440000000006</v>
      </c>
      <c r="H158" s="337">
        <v>60.869520000000016</v>
      </c>
      <c r="I158" s="337">
        <v>55.874500000000005</v>
      </c>
      <c r="J158" s="337">
        <v>54.611319999999992</v>
      </c>
      <c r="K158" s="337">
        <v>55.016119999999987</v>
      </c>
      <c r="L158" s="337">
        <v>55.404519999999998</v>
      </c>
      <c r="M158" s="337">
        <v>51.217600000000004</v>
      </c>
      <c r="N158" s="337">
        <v>54.154659999999993</v>
      </c>
      <c r="O158" s="337">
        <v>57.039180000000002</v>
      </c>
      <c r="P158" s="337">
        <v>57.568699999999986</v>
      </c>
      <c r="Q158" s="347">
        <f t="shared" si="52"/>
        <v>700.45796000000007</v>
      </c>
      <c r="R158" s="347">
        <f t="shared" si="53"/>
        <v>751.93723999999997</v>
      </c>
      <c r="S158" s="707">
        <f t="shared" si="51"/>
        <v>0.58630332974822841</v>
      </c>
      <c r="T158" s="708"/>
      <c r="U158" s="707">
        <f>IFERROR(Q158/R158-1,0)</f>
        <v>-6.8462203042370828E-2</v>
      </c>
      <c r="V158" s="708"/>
      <c r="W158" s="395"/>
      <c r="X158" s="428"/>
      <c r="Y158" s="705" t="s">
        <v>47</v>
      </c>
      <c r="Z158" s="706"/>
      <c r="AA158" s="337">
        <v>27.317000000000014</v>
      </c>
      <c r="AB158" s="337">
        <v>23.7486</v>
      </c>
      <c r="AC158" s="337">
        <v>23.009</v>
      </c>
      <c r="AD158" s="337">
        <v>23.402400000000004</v>
      </c>
      <c r="AE158" s="337">
        <v>22.251199999999997</v>
      </c>
      <c r="AF158" s="337">
        <v>21.145799999999994</v>
      </c>
      <c r="AG158" s="337">
        <v>20.11</v>
      </c>
      <c r="AH158" s="337">
        <v>19.023419999999998</v>
      </c>
      <c r="AI158" s="337">
        <v>16.858999999999998</v>
      </c>
      <c r="AJ158" s="337">
        <v>12.533360000000004</v>
      </c>
      <c r="AK158" s="337">
        <v>18.613560000000003</v>
      </c>
      <c r="AL158" s="337">
        <v>18.365199999999998</v>
      </c>
      <c r="AM158" s="351">
        <f t="shared" si="54"/>
        <v>246.37854000000004</v>
      </c>
      <c r="AN158" s="351">
        <f t="shared" si="55"/>
        <v>297.38459999999998</v>
      </c>
      <c r="AO158" s="201">
        <f t="shared" si="56"/>
        <v>0.63584702665556314</v>
      </c>
      <c r="AP158" s="201">
        <f t="shared" si="57"/>
        <v>-0.1715154718838835</v>
      </c>
      <c r="AQ158" s="525"/>
      <c r="AR158" s="395"/>
      <c r="AS158" s="520"/>
    </row>
    <row r="159" spans="2:45" ht="16.5" hidden="1" outlineLevel="1">
      <c r="B159" s="704"/>
      <c r="C159" s="705" t="s">
        <v>61</v>
      </c>
      <c r="D159" s="706"/>
      <c r="E159" s="337">
        <v>0</v>
      </c>
      <c r="F159" s="337">
        <v>2.8249999999999997</v>
      </c>
      <c r="G159" s="337">
        <v>4.7393999999999998</v>
      </c>
      <c r="H159" s="337">
        <v>6.6275599999999999</v>
      </c>
      <c r="I159" s="337">
        <v>7.8962000000000003</v>
      </c>
      <c r="J159" s="337">
        <v>7.8973399999999998</v>
      </c>
      <c r="K159" s="337">
        <v>8.3954000000000004</v>
      </c>
      <c r="L159" s="337">
        <v>9.2537599999999998</v>
      </c>
      <c r="M159" s="337">
        <v>11.75454</v>
      </c>
      <c r="N159" s="337">
        <v>10.196200000000001</v>
      </c>
      <c r="O159" s="337">
        <v>12.155779999999996</v>
      </c>
      <c r="P159" s="337">
        <v>12.638180000000002</v>
      </c>
      <c r="Q159" s="347">
        <f t="shared" si="52"/>
        <v>94.379359999999991</v>
      </c>
      <c r="R159" s="347">
        <f>Q149</f>
        <v>0</v>
      </c>
      <c r="S159" s="707">
        <f t="shared" si="51"/>
        <v>7.8998221431457127E-2</v>
      </c>
      <c r="T159" s="708"/>
      <c r="U159" s="707"/>
      <c r="V159" s="708"/>
      <c r="W159" s="395"/>
      <c r="X159" s="429"/>
      <c r="Y159" s="705" t="s">
        <v>61</v>
      </c>
      <c r="Z159" s="706"/>
      <c r="AA159" s="337">
        <v>0</v>
      </c>
      <c r="AB159" s="337">
        <v>0.91999999999999993</v>
      </c>
      <c r="AC159" s="337">
        <v>4.3419999999999996</v>
      </c>
      <c r="AD159" s="337">
        <v>3.3680000000000003</v>
      </c>
      <c r="AE159" s="337">
        <v>1.86</v>
      </c>
      <c r="AF159" s="337">
        <v>1.6339999999999999</v>
      </c>
      <c r="AG159" s="337">
        <v>1.9564000000000001</v>
      </c>
      <c r="AH159" s="337">
        <v>1.9789999999999999</v>
      </c>
      <c r="AI159" s="337">
        <v>2.4338000000000002</v>
      </c>
      <c r="AJ159" s="337">
        <v>2.4393999999999996</v>
      </c>
      <c r="AK159" s="337">
        <v>2.6077999999999997</v>
      </c>
      <c r="AL159" s="337">
        <v>2.1487999999999996</v>
      </c>
      <c r="AM159" s="351">
        <f t="shared" si="54"/>
        <v>25.6892</v>
      </c>
      <c r="AN159" s="351"/>
      <c r="AO159" s="201">
        <f>IFERROR(AM159/$AM$160,0)</f>
        <v>6.6297987792118943E-2</v>
      </c>
      <c r="AP159" s="201">
        <f>IFERROR(AM159/AN159-1,0)</f>
        <v>0</v>
      </c>
      <c r="AQ159" s="525"/>
      <c r="AR159" s="395"/>
      <c r="AS159" s="520"/>
    </row>
    <row r="160" spans="2:45" ht="16.5" hidden="1" outlineLevel="1">
      <c r="B160" s="24" t="s">
        <v>137</v>
      </c>
      <c r="C160" s="125"/>
      <c r="D160" s="125"/>
      <c r="E160" s="338">
        <f t="shared" ref="E160:Q160" si="58">SUM(E155:E159)</f>
        <v>104.0112</v>
      </c>
      <c r="F160" s="338">
        <f t="shared" si="58"/>
        <v>99.595680000000002</v>
      </c>
      <c r="G160" s="338">
        <f t="shared" si="58"/>
        <v>111.01232</v>
      </c>
      <c r="H160" s="338">
        <f t="shared" si="58"/>
        <v>102.00652000000001</v>
      </c>
      <c r="I160" s="338">
        <f t="shared" si="58"/>
        <v>95.442900000000009</v>
      </c>
      <c r="J160" s="338">
        <f t="shared" si="58"/>
        <v>93.205640000000002</v>
      </c>
      <c r="K160" s="338">
        <f t="shared" si="58"/>
        <v>95.683799999999991</v>
      </c>
      <c r="L160" s="338">
        <f t="shared" si="58"/>
        <v>97.705119999999994</v>
      </c>
      <c r="M160" s="338">
        <f t="shared" si="58"/>
        <v>92.707580000000007</v>
      </c>
      <c r="N160" s="338">
        <f t="shared" si="58"/>
        <v>97.006839999999997</v>
      </c>
      <c r="O160" s="338">
        <f t="shared" si="58"/>
        <v>103.21202</v>
      </c>
      <c r="P160" s="338">
        <f t="shared" si="58"/>
        <v>103.11272</v>
      </c>
      <c r="Q160" s="339">
        <f t="shared" si="58"/>
        <v>1194.70234</v>
      </c>
      <c r="R160" s="339">
        <f>Q150</f>
        <v>1158.1018200000001</v>
      </c>
      <c r="S160" s="698">
        <f t="shared" si="51"/>
        <v>1</v>
      </c>
      <c r="T160" s="699"/>
      <c r="U160" s="698">
        <f>IFERROR(Q160/R160-1,0)</f>
        <v>3.1603887817048815E-2</v>
      </c>
      <c r="V160" s="699"/>
      <c r="W160" s="395"/>
      <c r="X160" s="24" t="s">
        <v>136</v>
      </c>
      <c r="Y160" s="125"/>
      <c r="Z160" s="125"/>
      <c r="AA160" s="338">
        <f t="shared" ref="AA160:AM160" si="59">SUM(AA155:AA159)</f>
        <v>39.154300000000013</v>
      </c>
      <c r="AB160" s="338">
        <f t="shared" si="59"/>
        <v>35.093400000000003</v>
      </c>
      <c r="AC160" s="338">
        <f t="shared" si="59"/>
        <v>37.498199999999997</v>
      </c>
      <c r="AD160" s="338">
        <f t="shared" si="59"/>
        <v>37.396000000000001</v>
      </c>
      <c r="AE160" s="338">
        <f t="shared" si="59"/>
        <v>35.093999999999994</v>
      </c>
      <c r="AF160" s="338">
        <f t="shared" si="59"/>
        <v>34.223999999999997</v>
      </c>
      <c r="AG160" s="338">
        <f t="shared" si="59"/>
        <v>31.348400000000002</v>
      </c>
      <c r="AH160" s="338">
        <f t="shared" si="59"/>
        <v>30.745419999999996</v>
      </c>
      <c r="AI160" s="338">
        <f t="shared" si="59"/>
        <v>27.773999999999997</v>
      </c>
      <c r="AJ160" s="338">
        <f t="shared" si="59"/>
        <v>22.043160000000004</v>
      </c>
      <c r="AK160" s="338">
        <f t="shared" si="59"/>
        <v>29.110960000000006</v>
      </c>
      <c r="AL160" s="338">
        <f t="shared" si="59"/>
        <v>27.998999999999995</v>
      </c>
      <c r="AM160" s="338">
        <f t="shared" si="59"/>
        <v>387.48084000000006</v>
      </c>
      <c r="AN160" s="338">
        <f>AM150</f>
        <v>441.96922000000001</v>
      </c>
      <c r="AO160" s="199">
        <f>IFERROR(AM160/$AM$160,0)</f>
        <v>1</v>
      </c>
      <c r="AP160" s="199">
        <f>IFERROR(AM160/AN160-1,0)</f>
        <v>-0.12328546318225497</v>
      </c>
      <c r="AQ160" s="525"/>
      <c r="AR160" s="395"/>
      <c r="AS160" s="520"/>
    </row>
    <row r="161" spans="2:54" collapsed="1">
      <c r="M161" s="459"/>
      <c r="AF161" s="395"/>
      <c r="AG161" s="397"/>
      <c r="AO161" s="395"/>
    </row>
    <row r="162" spans="2:54" ht="15" customHeight="1">
      <c r="B162" s="717" t="s">
        <v>173</v>
      </c>
      <c r="C162" s="717"/>
      <c r="D162" s="717"/>
      <c r="E162" s="717"/>
      <c r="F162" s="717"/>
      <c r="G162" s="717"/>
      <c r="H162" s="717"/>
      <c r="I162" s="717"/>
      <c r="J162" s="717"/>
      <c r="K162" s="717"/>
      <c r="L162" s="717"/>
      <c r="M162" s="717"/>
      <c r="N162" s="717"/>
      <c r="O162" s="717"/>
      <c r="P162" s="717"/>
      <c r="Q162" s="717"/>
      <c r="R162" s="717"/>
      <c r="S162" s="717"/>
      <c r="T162" s="717"/>
      <c r="U162" s="717"/>
      <c r="V162" s="717"/>
      <c r="X162" s="717" t="s">
        <v>174</v>
      </c>
      <c r="Y162" s="717"/>
      <c r="Z162" s="717"/>
      <c r="AA162" s="717"/>
      <c r="AB162" s="717"/>
      <c r="AC162" s="717"/>
      <c r="AD162" s="717"/>
      <c r="AE162" s="717"/>
      <c r="AF162" s="717"/>
      <c r="AG162" s="717"/>
      <c r="AH162" s="717"/>
      <c r="AI162" s="717"/>
      <c r="AJ162" s="717"/>
      <c r="AK162" s="717"/>
      <c r="AL162" s="717"/>
      <c r="AM162" s="717"/>
      <c r="AN162" s="717"/>
      <c r="AO162" s="717"/>
      <c r="AP162" s="717"/>
    </row>
    <row r="163" spans="2:54" ht="9.75" customHeight="1">
      <c r="B163" s="709"/>
      <c r="C163" s="711" t="s">
        <v>27</v>
      </c>
      <c r="D163" s="712"/>
      <c r="E163" s="709" t="s">
        <v>28</v>
      </c>
      <c r="F163" s="709" t="s">
        <v>29</v>
      </c>
      <c r="G163" s="709" t="s">
        <v>30</v>
      </c>
      <c r="H163" s="709" t="s">
        <v>31</v>
      </c>
      <c r="I163" s="709" t="s">
        <v>32</v>
      </c>
      <c r="J163" s="709" t="s">
        <v>33</v>
      </c>
      <c r="K163" s="709" t="s">
        <v>34</v>
      </c>
      <c r="L163" s="709" t="s">
        <v>35</v>
      </c>
      <c r="M163" s="709" t="s">
        <v>36</v>
      </c>
      <c r="N163" s="709" t="s">
        <v>37</v>
      </c>
      <c r="O163" s="709" t="s">
        <v>38</v>
      </c>
      <c r="P163" s="709" t="s">
        <v>39</v>
      </c>
      <c r="Q163" s="718" t="s">
        <v>175</v>
      </c>
      <c r="R163" s="718" t="s">
        <v>170</v>
      </c>
      <c r="S163" s="720" t="s">
        <v>64</v>
      </c>
      <c r="T163" s="721"/>
      <c r="U163" s="711" t="s">
        <v>65</v>
      </c>
      <c r="V163" s="712"/>
      <c r="X163" s="709"/>
      <c r="Y163" s="711" t="s">
        <v>27</v>
      </c>
      <c r="Z163" s="712"/>
      <c r="AA163" s="709" t="s">
        <v>28</v>
      </c>
      <c r="AB163" s="709" t="s">
        <v>29</v>
      </c>
      <c r="AC163" s="709" t="s">
        <v>30</v>
      </c>
      <c r="AD163" s="709" t="s">
        <v>31</v>
      </c>
      <c r="AE163" s="709" t="s">
        <v>32</v>
      </c>
      <c r="AF163" s="709" t="s">
        <v>33</v>
      </c>
      <c r="AG163" s="709" t="s">
        <v>34</v>
      </c>
      <c r="AH163" s="709" t="s">
        <v>35</v>
      </c>
      <c r="AI163" s="709" t="s">
        <v>36</v>
      </c>
      <c r="AJ163" s="709" t="s">
        <v>37</v>
      </c>
      <c r="AK163" s="709" t="s">
        <v>38</v>
      </c>
      <c r="AL163" s="709" t="s">
        <v>39</v>
      </c>
      <c r="AM163" s="709" t="s">
        <v>175</v>
      </c>
      <c r="AN163" s="709" t="s">
        <v>170</v>
      </c>
      <c r="AO163" s="700" t="s">
        <v>176</v>
      </c>
      <c r="AP163" s="700" t="s">
        <v>177</v>
      </c>
    </row>
    <row r="164" spans="2:54">
      <c r="B164" s="710"/>
      <c r="C164" s="713"/>
      <c r="D164" s="714"/>
      <c r="E164" s="710"/>
      <c r="F164" s="710"/>
      <c r="G164" s="710"/>
      <c r="H164" s="710"/>
      <c r="I164" s="710"/>
      <c r="J164" s="710"/>
      <c r="K164" s="710"/>
      <c r="L164" s="710"/>
      <c r="M164" s="710"/>
      <c r="N164" s="710"/>
      <c r="O164" s="710"/>
      <c r="P164" s="710"/>
      <c r="Q164" s="719"/>
      <c r="R164" s="719"/>
      <c r="S164" s="722"/>
      <c r="T164" s="723"/>
      <c r="U164" s="713"/>
      <c r="V164" s="714"/>
      <c r="X164" s="710"/>
      <c r="Y164" s="713"/>
      <c r="Z164" s="714"/>
      <c r="AA164" s="710"/>
      <c r="AB164" s="710"/>
      <c r="AC164" s="710"/>
      <c r="AD164" s="710"/>
      <c r="AE164" s="710"/>
      <c r="AF164" s="710"/>
      <c r="AG164" s="710"/>
      <c r="AH164" s="710"/>
      <c r="AI164" s="710"/>
      <c r="AJ164" s="710"/>
      <c r="AK164" s="710"/>
      <c r="AL164" s="710"/>
      <c r="AM164" s="710"/>
      <c r="AN164" s="710"/>
      <c r="AO164" s="701"/>
      <c r="AP164" s="701"/>
    </row>
    <row r="165" spans="2:54" ht="15" customHeight="1">
      <c r="B165" s="702" t="s">
        <v>146</v>
      </c>
      <c r="C165" s="705" t="s">
        <v>44</v>
      </c>
      <c r="D165" s="706"/>
      <c r="E165" s="337">
        <v>5.4555999999999996</v>
      </c>
      <c r="F165" s="337">
        <v>5.3548399999999994</v>
      </c>
      <c r="G165" s="337">
        <v>7.1173200000000003</v>
      </c>
      <c r="H165" s="337">
        <v>5.4845600000000001</v>
      </c>
      <c r="I165" s="337">
        <v>5.2363200000000001</v>
      </c>
      <c r="J165" s="337">
        <v>4.9711800000000004</v>
      </c>
      <c r="K165" s="337">
        <v>5.5023600000000004</v>
      </c>
      <c r="L165" s="337">
        <v>5.9653999999999998</v>
      </c>
      <c r="M165" s="337">
        <v>5.4477400000000005</v>
      </c>
      <c r="N165" s="337">
        <v>5.7952599999999999</v>
      </c>
      <c r="O165" s="337">
        <v>6.2705200000000003</v>
      </c>
      <c r="P165" s="337">
        <v>5.9235600000000002</v>
      </c>
      <c r="Q165" s="347">
        <f>SUM(E165:P165)</f>
        <v>68.524660000000011</v>
      </c>
      <c r="R165" s="347">
        <f>Q155</f>
        <v>64.263619999999989</v>
      </c>
      <c r="S165" s="707">
        <f>IFERROR(Q165/$Q$170,0)</f>
        <v>5.5250635218152773E-2</v>
      </c>
      <c r="T165" s="708"/>
      <c r="U165" s="707">
        <f>IFERROR(Q165/R165-1,0)</f>
        <v>6.6305632953761684E-2</v>
      </c>
      <c r="V165" s="708"/>
      <c r="W165" s="395"/>
      <c r="X165" s="427" t="s">
        <v>116</v>
      </c>
      <c r="Y165" s="705" t="s">
        <v>44</v>
      </c>
      <c r="Z165" s="706"/>
      <c r="AA165" s="337">
        <v>0.25</v>
      </c>
      <c r="AB165" s="337">
        <v>0.19900000000000001</v>
      </c>
      <c r="AC165" s="337">
        <v>0.18255999999999997</v>
      </c>
      <c r="AD165" s="337">
        <v>0.18540000000000001</v>
      </c>
      <c r="AE165" s="337">
        <v>0.17580000000000001</v>
      </c>
      <c r="AF165" s="337">
        <v>0.24360000000000001</v>
      </c>
      <c r="AG165" s="337">
        <v>0.1366</v>
      </c>
      <c r="AH165" s="337">
        <v>0.19220000000000001</v>
      </c>
      <c r="AI165" s="337">
        <v>0.22240000000000001</v>
      </c>
      <c r="AJ165" s="337">
        <v>0.21580000000000002</v>
      </c>
      <c r="AK165" s="337">
        <v>0.33620000000000005</v>
      </c>
      <c r="AL165" s="337">
        <v>0.16399999999999998</v>
      </c>
      <c r="AM165" s="351">
        <f>SUM(AA165:AL165)</f>
        <v>2.5035600000000007</v>
      </c>
      <c r="AN165" s="351">
        <f>AM155</f>
        <v>2.8144</v>
      </c>
      <c r="AO165" s="201">
        <f>IFERROR(AM165/$AM$170,0)</f>
        <v>7.1480163823412742E-3</v>
      </c>
      <c r="AP165" s="201">
        <f>IFERROR(AM165/AN165-1,0)</f>
        <v>-0.11044627629334824</v>
      </c>
      <c r="AQ165" s="525"/>
      <c r="AR165" s="395"/>
      <c r="AS165" s="520"/>
    </row>
    <row r="166" spans="2:54" ht="16.5">
      <c r="B166" s="703"/>
      <c r="C166" s="705" t="s">
        <v>45</v>
      </c>
      <c r="D166" s="706"/>
      <c r="E166" s="337">
        <v>1.7178000000000002</v>
      </c>
      <c r="F166" s="337">
        <v>1.6112800000000003</v>
      </c>
      <c r="G166" s="337">
        <v>1.9456000000000002</v>
      </c>
      <c r="H166" s="337">
        <v>1.4981599999999999</v>
      </c>
      <c r="I166" s="337">
        <v>1.3329800000000001</v>
      </c>
      <c r="J166" s="337">
        <v>1.0846399999999998</v>
      </c>
      <c r="K166" s="337">
        <v>1.4278000000000002</v>
      </c>
      <c r="L166" s="337">
        <v>1.61084</v>
      </c>
      <c r="M166" s="337">
        <v>1.3705800000000001</v>
      </c>
      <c r="N166" s="337">
        <v>1.6473000000000002</v>
      </c>
      <c r="O166" s="337">
        <v>2.1076599999999996</v>
      </c>
      <c r="P166" s="337">
        <v>2.3933399999999998</v>
      </c>
      <c r="Q166" s="347">
        <f t="shared" ref="Q166:Q169" si="60">SUM(E166:P166)</f>
        <v>19.747979999999998</v>
      </c>
      <c r="R166" s="347">
        <f t="shared" ref="R166:R168" si="61">Q156</f>
        <v>16.396319999999999</v>
      </c>
      <c r="S166" s="707">
        <f t="shared" ref="S166:S170" si="62">IFERROR(Q166/$Q$170,0)</f>
        <v>1.5922566259728634E-2</v>
      </c>
      <c r="T166" s="708"/>
      <c r="U166" s="707">
        <f t="shared" ref="U166:U170" si="63">IFERROR(Q166/R166-1,0)</f>
        <v>0.20441538101232459</v>
      </c>
      <c r="V166" s="708"/>
      <c r="W166" s="395"/>
      <c r="X166" s="428"/>
      <c r="Y166" s="705" t="s">
        <v>45</v>
      </c>
      <c r="Z166" s="706"/>
      <c r="AA166" s="337">
        <v>6.5600000000000006E-2</v>
      </c>
      <c r="AB166" s="337">
        <v>0.10160000000000001</v>
      </c>
      <c r="AC166" s="337">
        <v>9.1600000000000001E-2</v>
      </c>
      <c r="AD166" s="337">
        <v>4.7200000000000006E-2</v>
      </c>
      <c r="AE166" s="337">
        <v>8.6599999999999996E-2</v>
      </c>
      <c r="AF166" s="337">
        <v>4.9800000000000004E-2</v>
      </c>
      <c r="AG166" s="337">
        <v>6.1200000000000004E-2</v>
      </c>
      <c r="AH166" s="337">
        <v>4.7E-2</v>
      </c>
      <c r="AI166" s="337">
        <v>5.8799999999999991E-2</v>
      </c>
      <c r="AJ166" s="337">
        <v>6.4200000000000007E-2</v>
      </c>
      <c r="AK166" s="337">
        <v>0.11100000000000002</v>
      </c>
      <c r="AL166" s="337">
        <v>7.6179999999999998E-2</v>
      </c>
      <c r="AM166" s="351">
        <f t="shared" ref="AM166:AM169" si="64">SUM(AA166:AL166)</f>
        <v>0.8607800000000001</v>
      </c>
      <c r="AN166" s="351">
        <f t="shared" ref="AN166:AN169" si="65">AM156</f>
        <v>0.80230000000000012</v>
      </c>
      <c r="AO166" s="201">
        <f t="shared" ref="AO166:AO170" si="66">IFERROR(AM166/$AM$170,0)</f>
        <v>2.4576481257056835E-3</v>
      </c>
      <c r="AP166" s="201">
        <f t="shared" ref="AP166:AP169" si="67">IFERROR(AM166/AN166-1,0)</f>
        <v>7.2890439985042965E-2</v>
      </c>
      <c r="AQ166" s="525"/>
      <c r="AR166" s="395"/>
      <c r="AS166" s="520"/>
    </row>
    <row r="167" spans="2:54" ht="16.5">
      <c r="B167" s="703"/>
      <c r="C167" s="705" t="s">
        <v>46</v>
      </c>
      <c r="D167" s="706"/>
      <c r="E167" s="337">
        <v>27.565200000000001</v>
      </c>
      <c r="F167" s="337">
        <v>25.317720000000001</v>
      </c>
      <c r="G167" s="337">
        <v>28.231199999999998</v>
      </c>
      <c r="H167" s="337">
        <v>28.366639999999997</v>
      </c>
      <c r="I167" s="337">
        <v>24.557700000000001</v>
      </c>
      <c r="J167" s="337">
        <v>23.697380000000003</v>
      </c>
      <c r="K167" s="337">
        <v>25.991739999999997</v>
      </c>
      <c r="L167" s="337">
        <v>26.268840000000001</v>
      </c>
      <c r="M167" s="337">
        <v>24.087879999999998</v>
      </c>
      <c r="N167" s="337">
        <v>26.313059999999997</v>
      </c>
      <c r="O167" s="337">
        <v>28.779900000000001</v>
      </c>
      <c r="P167" s="337">
        <v>26.566240000000001</v>
      </c>
      <c r="Q167" s="347">
        <f t="shared" si="60"/>
        <v>315.74350000000004</v>
      </c>
      <c r="R167" s="347">
        <f t="shared" si="61"/>
        <v>319.20508000000001</v>
      </c>
      <c r="S167" s="707">
        <f t="shared" si="62"/>
        <v>0.25458030643279106</v>
      </c>
      <c r="T167" s="708"/>
      <c r="U167" s="707">
        <f t="shared" si="63"/>
        <v>-1.0844376286242019E-2</v>
      </c>
      <c r="V167" s="708"/>
      <c r="W167" s="395"/>
      <c r="X167" s="428"/>
      <c r="Y167" s="705" t="s">
        <v>46</v>
      </c>
      <c r="Z167" s="706"/>
      <c r="AA167" s="337">
        <v>7.6391999999999998</v>
      </c>
      <c r="AB167" s="337">
        <v>8.6620000000000008</v>
      </c>
      <c r="AC167" s="337">
        <v>8.6804000000000006</v>
      </c>
      <c r="AD167" s="337">
        <v>7.8010000000000002</v>
      </c>
      <c r="AE167" s="337">
        <v>8.1525999999999996</v>
      </c>
      <c r="AF167" s="337">
        <v>6.7085999999999997</v>
      </c>
      <c r="AG167" s="337">
        <v>7.593</v>
      </c>
      <c r="AH167" s="337">
        <v>7.3410000000000011</v>
      </c>
      <c r="AI167" s="337">
        <v>7.2408399999999995</v>
      </c>
      <c r="AJ167" s="337">
        <v>8.1199999999999992</v>
      </c>
      <c r="AK167" s="337">
        <v>7.9260000000000002</v>
      </c>
      <c r="AL167" s="337">
        <v>8.7663999999999991</v>
      </c>
      <c r="AM167" s="351">
        <f t="shared" si="64"/>
        <v>94.631040000000013</v>
      </c>
      <c r="AN167" s="351">
        <f t="shared" si="65"/>
        <v>111.79640000000001</v>
      </c>
      <c r="AO167" s="201">
        <f t="shared" si="66"/>
        <v>0.27018494631564344</v>
      </c>
      <c r="AP167" s="201">
        <f t="shared" si="67"/>
        <v>-0.15354125893141457</v>
      </c>
      <c r="AQ167" s="525"/>
      <c r="AR167" s="395"/>
      <c r="AS167" s="520"/>
    </row>
    <row r="168" spans="2:54" ht="16.5">
      <c r="B168" s="703"/>
      <c r="C168" s="705" t="s">
        <v>47</v>
      </c>
      <c r="D168" s="706"/>
      <c r="E168" s="337">
        <v>60.4876</v>
      </c>
      <c r="F168" s="337">
        <v>57.403559999999999</v>
      </c>
      <c r="G168" s="337">
        <v>61.587999999999994</v>
      </c>
      <c r="H168" s="337">
        <v>58.213479999999997</v>
      </c>
      <c r="I168" s="337">
        <v>49.834560000000003</v>
      </c>
      <c r="J168" s="337">
        <v>44.901179999999997</v>
      </c>
      <c r="K168" s="337">
        <v>50.270559999999996</v>
      </c>
      <c r="L168" s="337">
        <v>50.434600000000003</v>
      </c>
      <c r="M168" s="337">
        <v>46.939220000000006</v>
      </c>
      <c r="N168" s="337">
        <v>52.134039999999999</v>
      </c>
      <c r="O168" s="337">
        <v>58.002040000000008</v>
      </c>
      <c r="P168" s="337">
        <v>59.426939999999995</v>
      </c>
      <c r="Q168" s="347">
        <f t="shared" si="60"/>
        <v>649.63577999999995</v>
      </c>
      <c r="R168" s="347">
        <f t="shared" si="61"/>
        <v>700.45796000000007</v>
      </c>
      <c r="S168" s="707">
        <f t="shared" si="62"/>
        <v>0.52379376279196621</v>
      </c>
      <c r="T168" s="708"/>
      <c r="U168" s="707">
        <f t="shared" si="63"/>
        <v>-7.2555646308880672E-2</v>
      </c>
      <c r="V168" s="708"/>
      <c r="W168" s="395"/>
      <c r="X168" s="428"/>
      <c r="Y168" s="705" t="s">
        <v>47</v>
      </c>
      <c r="Z168" s="706"/>
      <c r="AA168" s="337">
        <v>19.387240000000002</v>
      </c>
      <c r="AB168" s="337">
        <v>21.358999999999998</v>
      </c>
      <c r="AC168" s="337">
        <v>20.864800000000002</v>
      </c>
      <c r="AD168" s="337">
        <v>18.813599999999997</v>
      </c>
      <c r="AE168" s="337">
        <v>17.752399999999998</v>
      </c>
      <c r="AF168" s="337">
        <v>15.174599999999998</v>
      </c>
      <c r="AG168" s="337">
        <v>16.273799999999998</v>
      </c>
      <c r="AH168" s="337">
        <v>15.9034</v>
      </c>
      <c r="AI168" s="337">
        <v>15.382000000000001</v>
      </c>
      <c r="AJ168" s="337">
        <v>17.586000000000002</v>
      </c>
      <c r="AK168" s="337">
        <v>18.635999999999999</v>
      </c>
      <c r="AL168" s="337">
        <v>17.0974</v>
      </c>
      <c r="AM168" s="351">
        <f t="shared" si="64"/>
        <v>214.23024000000001</v>
      </c>
      <c r="AN168" s="351">
        <f t="shared" si="65"/>
        <v>246.37854000000004</v>
      </c>
      <c r="AO168" s="201">
        <f t="shared" si="66"/>
        <v>0.61165750575696309</v>
      </c>
      <c r="AP168" s="201">
        <f>IFERROR(AM168/AN168-1,0)</f>
        <v>-0.13048336109143288</v>
      </c>
      <c r="AQ168" s="525"/>
      <c r="AR168" s="395"/>
      <c r="AS168" s="520"/>
    </row>
    <row r="169" spans="2:54" ht="16.5">
      <c r="B169" s="704"/>
      <c r="C169" s="705" t="s">
        <v>61</v>
      </c>
      <c r="D169" s="706"/>
      <c r="E169" s="337">
        <v>13.767799999999999</v>
      </c>
      <c r="F169" s="337">
        <v>12.62712</v>
      </c>
      <c r="G169" s="337">
        <v>16.213999999999999</v>
      </c>
      <c r="H169" s="337">
        <v>16.907039999999999</v>
      </c>
      <c r="I169" s="337">
        <v>14.44176</v>
      </c>
      <c r="J169" s="337">
        <v>13.850079999999998</v>
      </c>
      <c r="K169" s="337">
        <v>15.898640000000002</v>
      </c>
      <c r="L169" s="337">
        <v>15.669400000000001</v>
      </c>
      <c r="M169" s="337">
        <v>15.315300000000001</v>
      </c>
      <c r="N169" s="337">
        <v>17.329460000000001</v>
      </c>
      <c r="O169" s="337">
        <v>17.548080000000002</v>
      </c>
      <c r="P169" s="337">
        <v>17.030480000000004</v>
      </c>
      <c r="Q169" s="347">
        <f t="shared" si="60"/>
        <v>186.59916000000001</v>
      </c>
      <c r="R169" s="347">
        <f>Q159</f>
        <v>94.379359999999991</v>
      </c>
      <c r="S169" s="707">
        <f t="shared" si="62"/>
        <v>0.15045272929736131</v>
      </c>
      <c r="T169" s="708"/>
      <c r="U169" s="707">
        <f t="shared" si="63"/>
        <v>0.97711830213724737</v>
      </c>
      <c r="V169" s="708"/>
      <c r="W169" s="395"/>
      <c r="X169" s="429"/>
      <c r="Y169" s="705" t="s">
        <v>61</v>
      </c>
      <c r="Z169" s="706"/>
      <c r="AA169" s="337">
        <v>2.47458</v>
      </c>
      <c r="AB169" s="337">
        <v>2.76</v>
      </c>
      <c r="AC169" s="337">
        <v>3.0369999999999999</v>
      </c>
      <c r="AD169" s="337">
        <v>3.0179999999999998</v>
      </c>
      <c r="AE169" s="337">
        <v>3.5270000000000001</v>
      </c>
      <c r="AF169" s="337">
        <v>2.7562000000000002</v>
      </c>
      <c r="AG169" s="337">
        <v>3.1660000000000004</v>
      </c>
      <c r="AH169" s="337">
        <v>3.1061999999999999</v>
      </c>
      <c r="AI169" s="337">
        <v>4.0154399999999999</v>
      </c>
      <c r="AJ169" s="337">
        <v>3.55538</v>
      </c>
      <c r="AK169" s="337">
        <v>3.3959999999999995</v>
      </c>
      <c r="AL169" s="337">
        <v>3.2080000000000002</v>
      </c>
      <c r="AM169" s="351">
        <f t="shared" si="64"/>
        <v>38.019800000000004</v>
      </c>
      <c r="AN169" s="351">
        <f t="shared" si="65"/>
        <v>25.6892</v>
      </c>
      <c r="AO169" s="201">
        <f t="shared" si="66"/>
        <v>0.10855188341934634</v>
      </c>
      <c r="AP169" s="201">
        <f t="shared" si="67"/>
        <v>0.47999159179733142</v>
      </c>
      <c r="AQ169" s="525"/>
      <c r="AR169" s="395"/>
      <c r="AS169" s="520"/>
    </row>
    <row r="170" spans="2:54" ht="16.5">
      <c r="B170" s="24" t="s">
        <v>137</v>
      </c>
      <c r="C170" s="125"/>
      <c r="D170" s="125"/>
      <c r="E170" s="338">
        <f>SUM(E165:E169)</f>
        <v>108.994</v>
      </c>
      <c r="F170" s="338">
        <f t="shared" ref="F170:R170" si="68">SUM(F165:F169)</f>
        <v>102.31452</v>
      </c>
      <c r="G170" s="338">
        <f t="shared" si="68"/>
        <v>115.09611999999998</v>
      </c>
      <c r="H170" s="338">
        <f t="shared" si="68"/>
        <v>110.46987999999999</v>
      </c>
      <c r="I170" s="338">
        <f t="shared" si="68"/>
        <v>95.403320000000008</v>
      </c>
      <c r="J170" s="338">
        <f t="shared" si="68"/>
        <v>88.504459999999995</v>
      </c>
      <c r="K170" s="338">
        <f t="shared" si="68"/>
        <v>99.091099999999983</v>
      </c>
      <c r="L170" s="338">
        <f t="shared" si="68"/>
        <v>99.949080000000009</v>
      </c>
      <c r="M170" s="338">
        <f t="shared" si="68"/>
        <v>93.160719999999998</v>
      </c>
      <c r="N170" s="338">
        <f t="shared" si="68"/>
        <v>103.21911999999999</v>
      </c>
      <c r="O170" s="338">
        <f t="shared" si="68"/>
        <v>112.70820000000001</v>
      </c>
      <c r="P170" s="338">
        <f t="shared" si="68"/>
        <v>111.34056000000001</v>
      </c>
      <c r="Q170" s="339">
        <f t="shared" si="68"/>
        <v>1240.25108</v>
      </c>
      <c r="R170" s="339">
        <f t="shared" si="68"/>
        <v>1194.70234</v>
      </c>
      <c r="S170" s="698">
        <f t="shared" si="62"/>
        <v>1</v>
      </c>
      <c r="T170" s="699"/>
      <c r="U170" s="698">
        <f t="shared" si="63"/>
        <v>3.8125597042021342E-2</v>
      </c>
      <c r="V170" s="699"/>
      <c r="W170" s="395"/>
      <c r="X170" s="24" t="s">
        <v>136</v>
      </c>
      <c r="Y170" s="125"/>
      <c r="Z170" s="125"/>
      <c r="AA170" s="338">
        <f>SUM(AA165:AA169)</f>
        <v>29.81662</v>
      </c>
      <c r="AB170" s="338">
        <f t="shared" ref="AB170:AM170" si="69">SUM(AB165:AB169)</f>
        <v>33.081599999999995</v>
      </c>
      <c r="AC170" s="338">
        <f t="shared" si="69"/>
        <v>32.856360000000002</v>
      </c>
      <c r="AD170" s="338">
        <f t="shared" si="69"/>
        <v>29.865199999999998</v>
      </c>
      <c r="AE170" s="338">
        <f t="shared" si="69"/>
        <v>29.694399999999998</v>
      </c>
      <c r="AF170" s="338">
        <f t="shared" si="69"/>
        <v>24.932799999999997</v>
      </c>
      <c r="AG170" s="338">
        <f t="shared" si="69"/>
        <v>27.230599999999999</v>
      </c>
      <c r="AH170" s="338">
        <f t="shared" si="69"/>
        <v>26.589800000000004</v>
      </c>
      <c r="AI170" s="338">
        <f t="shared" si="69"/>
        <v>26.91948</v>
      </c>
      <c r="AJ170" s="338">
        <f t="shared" si="69"/>
        <v>29.54138</v>
      </c>
      <c r="AK170" s="338">
        <f t="shared" si="69"/>
        <v>30.405200000000001</v>
      </c>
      <c r="AL170" s="338">
        <f t="shared" si="69"/>
        <v>29.311979999999998</v>
      </c>
      <c r="AM170" s="338">
        <f t="shared" si="69"/>
        <v>350.24542000000008</v>
      </c>
      <c r="AN170" s="338">
        <f>AM160</f>
        <v>387.48084000000006</v>
      </c>
      <c r="AO170" s="199">
        <f t="shared" si="66"/>
        <v>1</v>
      </c>
      <c r="AP170" s="199">
        <f>IFERROR(AM170/AN170-1,0)</f>
        <v>-9.6096157941641613E-2</v>
      </c>
      <c r="AQ170" s="525"/>
      <c r="AR170" s="395"/>
      <c r="AS170" s="520"/>
    </row>
    <row r="171" spans="2:54">
      <c r="M171" s="459"/>
      <c r="AF171" s="395"/>
      <c r="AG171" s="397"/>
      <c r="AO171" s="395"/>
    </row>
    <row r="172" spans="2:54">
      <c r="M172" s="144"/>
      <c r="AF172" s="395"/>
      <c r="AO172" s="397"/>
    </row>
    <row r="173" spans="2:54" ht="18.75" customHeight="1">
      <c r="B173" s="784" t="s">
        <v>146</v>
      </c>
      <c r="C173" s="784"/>
      <c r="D173" s="784"/>
      <c r="E173" s="784"/>
      <c r="F173" s="784"/>
      <c r="G173" s="784"/>
      <c r="H173" s="784"/>
      <c r="I173" s="784"/>
      <c r="J173" s="784"/>
      <c r="K173" s="784"/>
      <c r="L173" s="784"/>
      <c r="M173" s="784"/>
      <c r="N173" s="784"/>
      <c r="O173" s="784"/>
      <c r="P173" s="784"/>
      <c r="Q173" s="784"/>
      <c r="R173" s="784"/>
      <c r="S173" s="784"/>
      <c r="T173" s="784"/>
      <c r="U173" s="784"/>
      <c r="V173" s="568"/>
      <c r="X173" s="784" t="s">
        <v>178</v>
      </c>
      <c r="Y173" s="784"/>
      <c r="Z173" s="784"/>
      <c r="AA173" s="784"/>
      <c r="AB173" s="784"/>
      <c r="AC173" s="784"/>
      <c r="AD173" s="784"/>
      <c r="AE173" s="784"/>
      <c r="AF173" s="784"/>
      <c r="AG173" s="784"/>
      <c r="AH173" s="784"/>
      <c r="AI173" s="784"/>
      <c r="AJ173" s="784"/>
      <c r="AK173" s="784"/>
      <c r="AL173" s="784"/>
      <c r="AM173" s="784"/>
      <c r="AN173" s="784"/>
      <c r="AO173" s="784"/>
      <c r="AP173" s="784"/>
      <c r="AQ173" s="784"/>
      <c r="AR173" s="784"/>
      <c r="AS173" s="784"/>
      <c r="AT173" s="784"/>
      <c r="AV173" s="414"/>
    </row>
    <row r="174" spans="2:54" s="16" customFormat="1">
      <c r="B174" s="207" t="str">
        <f>LEFT(TEXT( DATE(Cover!$C$7,Cover!$C$8,1),"mmmm"),3)</f>
        <v>Jun</v>
      </c>
      <c r="C174" s="202">
        <f>Cover!C7</f>
        <v>2025</v>
      </c>
      <c r="D174" s="785"/>
      <c r="E174" s="785"/>
      <c r="F174" s="785"/>
      <c r="G174" s="785"/>
      <c r="H174" s="785"/>
      <c r="I174" s="785"/>
      <c r="J174" s="785"/>
      <c r="K174" s="785"/>
      <c r="L174" s="785"/>
      <c r="M174" s="785"/>
      <c r="N174" s="785"/>
      <c r="O174" s="785"/>
      <c r="P174" s="785"/>
      <c r="Q174" s="316" t="s">
        <v>67</v>
      </c>
      <c r="R174" s="203">
        <f>master_Daily!R2</f>
        <v>0.45</v>
      </c>
      <c r="S174" s="204"/>
      <c r="T174" s="204"/>
      <c r="U174" s="205" t="s">
        <v>179</v>
      </c>
      <c r="V174" s="206" t="str">
        <f>T53</f>
        <v>14/6/2025</v>
      </c>
      <c r="X174" s="207" t="str">
        <f>LEFT(TEXT( DATE(Cover!$C$7,Cover!$C$8,1),"mmmm"),3)</f>
        <v>Jun</v>
      </c>
      <c r="Y174" s="202">
        <f>Cover!C7</f>
        <v>2025</v>
      </c>
      <c r="Z174" s="430"/>
      <c r="AA174" s="430"/>
      <c r="AB174" s="430"/>
      <c r="AC174" s="430"/>
      <c r="AD174" s="430"/>
      <c r="AE174" s="430"/>
      <c r="AF174" s="430"/>
      <c r="AG174" s="430"/>
      <c r="AH174" s="430"/>
      <c r="AI174" s="430"/>
      <c r="AJ174" s="430"/>
      <c r="AK174" s="430"/>
      <c r="AL174" s="204"/>
      <c r="AM174" s="204"/>
      <c r="AN174" s="197" t="s">
        <v>67</v>
      </c>
      <c r="AO174" s="203">
        <f>master_Daily!R2</f>
        <v>0.45</v>
      </c>
      <c r="AP174" s="197"/>
      <c r="AQ174" s="205" t="s">
        <v>180</v>
      </c>
      <c r="AR174" s="312" t="str">
        <f>T53</f>
        <v>14/6/2025</v>
      </c>
      <c r="AS174" s="197"/>
      <c r="AT174" s="197"/>
      <c r="AU174" s="15"/>
      <c r="AV174" s="414"/>
      <c r="AW174" s="15"/>
      <c r="AX174" s="15"/>
      <c r="AY174" s="15"/>
      <c r="AZ174" s="15"/>
      <c r="BA174" s="15"/>
    </row>
    <row r="175" spans="2:54" s="53" customFormat="1" ht="15.6" customHeight="1">
      <c r="B175" s="782" t="s">
        <v>181</v>
      </c>
      <c r="C175" s="766" t="s">
        <v>27</v>
      </c>
      <c r="D175" s="792" t="s">
        <v>69</v>
      </c>
      <c r="E175" s="731" t="s">
        <v>28</v>
      </c>
      <c r="F175" s="731" t="s">
        <v>29</v>
      </c>
      <c r="G175" s="731" t="s">
        <v>30</v>
      </c>
      <c r="H175" s="731" t="s">
        <v>31</v>
      </c>
      <c r="I175" s="731" t="s">
        <v>32</v>
      </c>
      <c r="J175" s="731" t="s">
        <v>33</v>
      </c>
      <c r="K175" s="731" t="s">
        <v>34</v>
      </c>
      <c r="L175" s="731" t="s">
        <v>35</v>
      </c>
      <c r="M175" s="731" t="s">
        <v>36</v>
      </c>
      <c r="N175" s="731" t="s">
        <v>37</v>
      </c>
      <c r="O175" s="731" t="s">
        <v>38</v>
      </c>
      <c r="P175" s="731" t="s">
        <v>39</v>
      </c>
      <c r="Q175" s="700" t="str">
        <f>"Target "     &amp;      $X$174    &amp;  "   "</f>
        <v xml:space="preserve">Target Jun   </v>
      </c>
      <c r="R175" s="782" t="s">
        <v>75</v>
      </c>
      <c r="S175" s="778" t="s">
        <v>76</v>
      </c>
      <c r="T175" s="778" t="s">
        <v>77</v>
      </c>
      <c r="U175" s="764" t="s">
        <v>78</v>
      </c>
      <c r="V175" s="764" t="s">
        <v>79</v>
      </c>
      <c r="X175" s="766" t="s">
        <v>119</v>
      </c>
      <c r="Y175" s="766" t="s">
        <v>27</v>
      </c>
      <c r="Z175" s="766" t="s">
        <v>69</v>
      </c>
      <c r="AA175" s="761" t="s">
        <v>28</v>
      </c>
      <c r="AB175" s="761" t="s">
        <v>29</v>
      </c>
      <c r="AC175" s="761" t="s">
        <v>30</v>
      </c>
      <c r="AD175" s="761" t="s">
        <v>31</v>
      </c>
      <c r="AE175" s="761" t="s">
        <v>32</v>
      </c>
      <c r="AF175" s="761" t="s">
        <v>33</v>
      </c>
      <c r="AG175" s="761" t="s">
        <v>34</v>
      </c>
      <c r="AH175" s="761" t="s">
        <v>35</v>
      </c>
      <c r="AI175" s="761" t="s">
        <v>36</v>
      </c>
      <c r="AJ175" s="761" t="s">
        <v>37</v>
      </c>
      <c r="AK175" s="761" t="s">
        <v>38</v>
      </c>
      <c r="AL175" s="761" t="s">
        <v>39</v>
      </c>
      <c r="AM175" s="700" t="str">
        <f>"Target "  &amp;    $X$174   &amp;   "   "</f>
        <v xml:space="preserve">Target Jun   </v>
      </c>
      <c r="AN175" s="762" t="s">
        <v>182</v>
      </c>
      <c r="AO175" s="763"/>
      <c r="AP175" s="763"/>
      <c r="AQ175" s="763"/>
      <c r="AR175" s="763"/>
      <c r="AS175" s="760" t="s">
        <v>183</v>
      </c>
      <c r="AT175" s="760"/>
      <c r="AW175" s="414"/>
      <c r="AX175" s="15"/>
      <c r="AY175" s="15"/>
      <c r="AZ175" s="15"/>
      <c r="BA175" s="15"/>
      <c r="BB175" s="15"/>
    </row>
    <row r="176" spans="2:54" s="53" customFormat="1" ht="31.5" customHeight="1">
      <c r="B176" s="783"/>
      <c r="C176" s="748"/>
      <c r="D176" s="792"/>
      <c r="E176" s="732"/>
      <c r="F176" s="732"/>
      <c r="G176" s="732"/>
      <c r="H176" s="732"/>
      <c r="I176" s="732"/>
      <c r="J176" s="732"/>
      <c r="K176" s="732"/>
      <c r="L176" s="732"/>
      <c r="M176" s="732"/>
      <c r="N176" s="732"/>
      <c r="O176" s="732"/>
      <c r="P176" s="732"/>
      <c r="Q176" s="701"/>
      <c r="R176" s="783"/>
      <c r="S176" s="779"/>
      <c r="T176" s="779"/>
      <c r="U176" s="765"/>
      <c r="V176" s="765"/>
      <c r="X176" s="748"/>
      <c r="Y176" s="748"/>
      <c r="Z176" s="748"/>
      <c r="AA176" s="732"/>
      <c r="AB176" s="732"/>
      <c r="AC176" s="732"/>
      <c r="AD176" s="732"/>
      <c r="AE176" s="732"/>
      <c r="AF176" s="732"/>
      <c r="AG176" s="732"/>
      <c r="AH176" s="732"/>
      <c r="AI176" s="732"/>
      <c r="AJ176" s="732"/>
      <c r="AK176" s="732"/>
      <c r="AL176" s="732"/>
      <c r="AM176" s="701"/>
      <c r="AN176" s="448" t="s">
        <v>75</v>
      </c>
      <c r="AO176" s="431" t="s">
        <v>76</v>
      </c>
      <c r="AP176" s="431" t="s">
        <v>77</v>
      </c>
      <c r="AQ176" s="329" t="s">
        <v>78</v>
      </c>
      <c r="AR176" s="329" t="s">
        <v>79</v>
      </c>
      <c r="AS176" s="317" t="s">
        <v>76</v>
      </c>
      <c r="AT176" s="317" t="s">
        <v>77</v>
      </c>
      <c r="AW176" s="414"/>
    </row>
    <row r="177" spans="2:52" s="53" customFormat="1" ht="14.1" hidden="1" customHeight="1" outlineLevel="1">
      <c r="B177" s="20" t="s">
        <v>137</v>
      </c>
      <c r="C177" s="20" t="s">
        <v>44</v>
      </c>
      <c r="D177" s="576" t="s">
        <v>83</v>
      </c>
      <c r="E177" s="582">
        <f>master_Daily!E130</f>
        <v>2.0580799999999999</v>
      </c>
      <c r="F177" s="582">
        <f>master_Daily!F130</f>
        <v>1.8151999999999999</v>
      </c>
      <c r="G177" s="582">
        <f>master_Daily!G130</f>
        <v>1.9505999999999999</v>
      </c>
      <c r="H177" s="582">
        <f>master_Daily!H130</f>
        <v>1.9933399999999999</v>
      </c>
      <c r="I177" s="582">
        <f>master_Daily!I130</f>
        <v>1.6952</v>
      </c>
      <c r="J177" s="582">
        <f>master_Daily!J130</f>
        <v>1.02878</v>
      </c>
      <c r="K177" s="582">
        <f>master_Daily!K130</f>
        <v>0</v>
      </c>
      <c r="L177" s="582">
        <f>master_Daily!L130</f>
        <v>0</v>
      </c>
      <c r="M177" s="582">
        <f>master_Daily!M130</f>
        <v>0</v>
      </c>
      <c r="N177" s="582">
        <f>master_Daily!N130</f>
        <v>0</v>
      </c>
      <c r="O177" s="582">
        <f>master_Daily!O130</f>
        <v>0</v>
      </c>
      <c r="P177" s="582">
        <f>master_Daily!P130</f>
        <v>0</v>
      </c>
      <c r="Q177" s="582"/>
      <c r="R177" s="582">
        <f>master_Daily!R130</f>
        <v>2.3199999999999998E-2</v>
      </c>
      <c r="S177" s="582">
        <f>master_Daily!S130</f>
        <v>1.02878</v>
      </c>
      <c r="T177" s="280">
        <f t="shared" ref="T177:T179" si="70">IFERROR(S177/Q177,0)</f>
        <v>0</v>
      </c>
      <c r="U177" s="583">
        <f>SUM(E177:P177)</f>
        <v>10.5412</v>
      </c>
      <c r="V177" s="584">
        <f>IFERROR(U177/$U$181,0)</f>
        <v>0.30786502677595118</v>
      </c>
      <c r="W177" s="15"/>
      <c r="X177" s="20" t="s">
        <v>136</v>
      </c>
      <c r="Y177" s="20" t="s">
        <v>44</v>
      </c>
      <c r="Z177" s="576" t="s">
        <v>83</v>
      </c>
      <c r="AA177" s="582">
        <f>master_Daily!AC130</f>
        <v>5.74E-2</v>
      </c>
      <c r="AB177" s="582">
        <f>master_Daily!AM130</f>
        <v>3.9E-2</v>
      </c>
      <c r="AC177" s="582">
        <f>master_Daily!AW130</f>
        <v>4.2000000000000003E-2</v>
      </c>
      <c r="AD177" s="582">
        <f>master_Daily!BG130</f>
        <v>4.5400000000000003E-2</v>
      </c>
      <c r="AE177" s="582">
        <f>master_Daily!BQ130</f>
        <v>4.3400000000000001E-2</v>
      </c>
      <c r="AF177" s="582">
        <f>master_Daily!CA130</f>
        <v>2.4E-2</v>
      </c>
      <c r="AG177" s="582">
        <f>master_Daily!CK130</f>
        <v>0</v>
      </c>
      <c r="AH177" s="582">
        <f>master_Daily!CU130</f>
        <v>0</v>
      </c>
      <c r="AI177" s="582">
        <f>master_Daily!DE130</f>
        <v>0</v>
      </c>
      <c r="AJ177" s="582">
        <f>master_Daily!DO130</f>
        <v>0</v>
      </c>
      <c r="AK177" s="582">
        <f>master_Daily!DY130</f>
        <v>0</v>
      </c>
      <c r="AL177" s="582">
        <f>master_Daily!EI130</f>
        <v>0</v>
      </c>
      <c r="AM177" s="582"/>
      <c r="AN177" s="582">
        <f>master_Daily!ER130</f>
        <v>0</v>
      </c>
      <c r="AO177" s="582">
        <f>master_Daily!EZ130</f>
        <v>2.4E-2</v>
      </c>
      <c r="AP177" s="280">
        <f t="shared" ref="AP177" si="71">IFERROR(AO177/AM177,0)</f>
        <v>0</v>
      </c>
      <c r="AQ177" s="582">
        <f t="shared" ref="AQ177:AQ179" si="72">SUM(AA177,AB177,AC177,AD177,AE177,AF177,AG177,AH177,AI177,AJ177,AK177,AL177)</f>
        <v>0.25119999999999998</v>
      </c>
      <c r="AR177" s="587">
        <f>IFERROR(AQ177/$AQ$181,0)</f>
        <v>0.28519527702089009</v>
      </c>
      <c r="AS177" s="582"/>
      <c r="AT177" s="280"/>
      <c r="AW177" s="414"/>
    </row>
    <row r="178" spans="2:52" s="53" customFormat="1" ht="14.1" hidden="1" customHeight="1" outlineLevel="1">
      <c r="B178" s="20" t="s">
        <v>137</v>
      </c>
      <c r="C178" s="20" t="s">
        <v>44</v>
      </c>
      <c r="D178" s="576" t="s">
        <v>84</v>
      </c>
      <c r="E178" s="582">
        <f>master_Daily!E131</f>
        <v>1.1625799999999999</v>
      </c>
      <c r="F178" s="582">
        <f>master_Daily!F131</f>
        <v>0.99080000000000001</v>
      </c>
      <c r="G178" s="582">
        <f>master_Daily!G131</f>
        <v>1.3382000000000001</v>
      </c>
      <c r="H178" s="582">
        <f>master_Daily!H131</f>
        <v>1.4369799999999999</v>
      </c>
      <c r="I178" s="582">
        <f>master_Daily!I131</f>
        <v>1.4055599999999999</v>
      </c>
      <c r="J178" s="582">
        <f>master_Daily!J131</f>
        <v>0.66034000000000004</v>
      </c>
      <c r="K178" s="582">
        <f>master_Daily!K131</f>
        <v>0</v>
      </c>
      <c r="L178" s="582">
        <f>master_Daily!L131</f>
        <v>0</v>
      </c>
      <c r="M178" s="582">
        <f>master_Daily!M131</f>
        <v>0</v>
      </c>
      <c r="N178" s="582">
        <f>master_Daily!N131</f>
        <v>0</v>
      </c>
      <c r="O178" s="582">
        <f>master_Daily!O131</f>
        <v>0</v>
      </c>
      <c r="P178" s="582">
        <f>master_Daily!P131</f>
        <v>0</v>
      </c>
      <c r="Q178" s="582"/>
      <c r="R178" s="582">
        <f>master_Daily!R131</f>
        <v>2.06E-2</v>
      </c>
      <c r="S178" s="582">
        <f>master_Daily!S131</f>
        <v>0.66034000000000004</v>
      </c>
      <c r="T178" s="280">
        <f t="shared" si="70"/>
        <v>0</v>
      </c>
      <c r="U178" s="583">
        <f t="shared" ref="U178:U179" si="73">SUM(E178:P178)</f>
        <v>6.9944600000000001</v>
      </c>
      <c r="V178" s="584">
        <f t="shared" ref="V178:V179" si="74">IFERROR(U178/$U$181,0)</f>
        <v>0.2042793624239479</v>
      </c>
      <c r="W178" s="15"/>
      <c r="X178" s="20" t="s">
        <v>136</v>
      </c>
      <c r="Y178" s="20" t="s">
        <v>44</v>
      </c>
      <c r="Z178" s="576" t="s">
        <v>84</v>
      </c>
      <c r="AA178" s="582">
        <f>master_Daily!AC131</f>
        <v>2.24E-2</v>
      </c>
      <c r="AB178" s="582">
        <f>master_Daily!AM131</f>
        <v>1.4999999999999999E-2</v>
      </c>
      <c r="AC178" s="582">
        <f>master_Daily!AW131</f>
        <v>1.4999999999999999E-2</v>
      </c>
      <c r="AD178" s="582">
        <f>master_Daily!BG131</f>
        <v>1.5599999999999999E-2</v>
      </c>
      <c r="AE178" s="582">
        <f>master_Daily!BQ131</f>
        <v>9.4000000000000004E-3</v>
      </c>
      <c r="AF178" s="582">
        <f>master_Daily!CA131</f>
        <v>1.7000000000000001E-2</v>
      </c>
      <c r="AG178" s="582">
        <f>master_Daily!CK131</f>
        <v>0</v>
      </c>
      <c r="AH178" s="582">
        <f>master_Daily!CU131</f>
        <v>0</v>
      </c>
      <c r="AI178" s="582">
        <f>master_Daily!DE131</f>
        <v>0</v>
      </c>
      <c r="AJ178" s="582">
        <f>master_Daily!DO131</f>
        <v>0</v>
      </c>
      <c r="AK178" s="582">
        <f>master_Daily!DY131</f>
        <v>0</v>
      </c>
      <c r="AL178" s="582">
        <f>master_Daily!EI131</f>
        <v>0</v>
      </c>
      <c r="AM178" s="582"/>
      <c r="AN178" s="582">
        <f>master_Daily!ER131</f>
        <v>0</v>
      </c>
      <c r="AO178" s="582">
        <f>master_Daily!EZ131</f>
        <v>1.7000000000000001E-2</v>
      </c>
      <c r="AP178" s="280">
        <f t="shared" ref="AP178:AP179" si="75">IFERROR(AO178/AM178,0)</f>
        <v>0</v>
      </c>
      <c r="AQ178" s="582">
        <f t="shared" si="72"/>
        <v>9.4400000000000012E-2</v>
      </c>
      <c r="AR178" s="587">
        <f t="shared" ref="AR178:AR179" si="76">IFERROR(AQ178/$AQ$181,0)</f>
        <v>0.1071752951861944</v>
      </c>
      <c r="AS178" s="582"/>
      <c r="AT178" s="280"/>
      <c r="AW178" s="414"/>
    </row>
    <row r="179" spans="2:52" s="53" customFormat="1" ht="14.1" hidden="1" customHeight="1" outlineLevel="1">
      <c r="B179" s="20" t="s">
        <v>137</v>
      </c>
      <c r="C179" s="20" t="s">
        <v>44</v>
      </c>
      <c r="D179" s="576" t="s">
        <v>85</v>
      </c>
      <c r="E179" s="582">
        <f>master_Daily!E132</f>
        <v>3.4063400000000001</v>
      </c>
      <c r="F179" s="582">
        <f>master_Daily!F132</f>
        <v>2.93058</v>
      </c>
      <c r="G179" s="582">
        <f>master_Daily!G132</f>
        <v>3.0202</v>
      </c>
      <c r="H179" s="582">
        <f>master_Daily!H132</f>
        <v>2.7899799999999999</v>
      </c>
      <c r="I179" s="582">
        <f>master_Daily!I132</f>
        <v>3.0521600000000002</v>
      </c>
      <c r="J179" s="582">
        <f>master_Daily!J132</f>
        <v>1.5047600000000001</v>
      </c>
      <c r="K179" s="582">
        <f>master_Daily!K132</f>
        <v>0</v>
      </c>
      <c r="L179" s="582">
        <f>master_Daily!L132</f>
        <v>0</v>
      </c>
      <c r="M179" s="582">
        <f>master_Daily!M132</f>
        <v>0</v>
      </c>
      <c r="N179" s="582">
        <f>master_Daily!N132</f>
        <v>0</v>
      </c>
      <c r="O179" s="582">
        <f>master_Daily!O132</f>
        <v>0</v>
      </c>
      <c r="P179" s="582">
        <f>master_Daily!P132</f>
        <v>0</v>
      </c>
      <c r="Q179" s="582"/>
      <c r="R179" s="582">
        <f>master_Daily!R132</f>
        <v>4.7800000000000002E-2</v>
      </c>
      <c r="S179" s="582">
        <f>master_Daily!S132</f>
        <v>1.5047600000000001</v>
      </c>
      <c r="T179" s="280">
        <f t="shared" si="70"/>
        <v>0</v>
      </c>
      <c r="U179" s="583">
        <f t="shared" si="73"/>
        <v>16.70402</v>
      </c>
      <c r="V179" s="584">
        <f t="shared" si="74"/>
        <v>0.48785561080010093</v>
      </c>
      <c r="W179" s="15"/>
      <c r="X179" s="20" t="s">
        <v>136</v>
      </c>
      <c r="Y179" s="20" t="s">
        <v>44</v>
      </c>
      <c r="Z179" s="576" t="s">
        <v>85</v>
      </c>
      <c r="AA179" s="582">
        <f>master_Daily!AC132</f>
        <v>0.10879999999999999</v>
      </c>
      <c r="AB179" s="582">
        <f>master_Daily!AM132</f>
        <v>9.5399999999999999E-2</v>
      </c>
      <c r="AC179" s="582">
        <f>master_Daily!AW132</f>
        <v>9.9199999999999997E-2</v>
      </c>
      <c r="AD179" s="582">
        <f>master_Daily!BG132</f>
        <v>8.3199999999999996E-2</v>
      </c>
      <c r="AE179" s="582">
        <f>master_Daily!BQ132</f>
        <v>8.1600000000000006E-2</v>
      </c>
      <c r="AF179" s="582">
        <f>master_Daily!CA132</f>
        <v>6.7000000000000004E-2</v>
      </c>
      <c r="AG179" s="582">
        <f>master_Daily!CK132</f>
        <v>0</v>
      </c>
      <c r="AH179" s="582">
        <f>master_Daily!CU132</f>
        <v>0</v>
      </c>
      <c r="AI179" s="582">
        <f>master_Daily!DE132</f>
        <v>0</v>
      </c>
      <c r="AJ179" s="582">
        <f>master_Daily!DO132</f>
        <v>0</v>
      </c>
      <c r="AK179" s="582">
        <f>master_Daily!DY132</f>
        <v>0</v>
      </c>
      <c r="AL179" s="582">
        <f>master_Daily!EI132</f>
        <v>0</v>
      </c>
      <c r="AM179" s="582"/>
      <c r="AN179" s="582">
        <f>master_Daily!ER132</f>
        <v>1.2E-2</v>
      </c>
      <c r="AO179" s="582">
        <f>master_Daily!EZ132</f>
        <v>6.7000000000000004E-2</v>
      </c>
      <c r="AP179" s="280">
        <f t="shared" si="75"/>
        <v>0</v>
      </c>
      <c r="AQ179" s="582">
        <f t="shared" si="72"/>
        <v>0.53520000000000001</v>
      </c>
      <c r="AR179" s="587">
        <f t="shared" si="76"/>
        <v>0.60762942779291562</v>
      </c>
      <c r="AS179" s="582"/>
      <c r="AT179" s="280"/>
      <c r="AW179" s="414"/>
    </row>
    <row r="180" spans="2:52" s="53" customFormat="1" ht="14.1" hidden="1" customHeight="1" outlineLevel="1">
      <c r="B180" s="20" t="s">
        <v>137</v>
      </c>
      <c r="C180" s="20" t="s">
        <v>44</v>
      </c>
      <c r="D180" s="590"/>
      <c r="E180" s="582"/>
      <c r="F180" s="582"/>
      <c r="G180" s="582"/>
      <c r="H180" s="582"/>
      <c r="I180" s="582"/>
      <c r="J180" s="582"/>
      <c r="K180" s="582"/>
      <c r="L180" s="582"/>
      <c r="M180" s="582"/>
      <c r="N180" s="582"/>
      <c r="O180" s="582"/>
      <c r="P180" s="582"/>
      <c r="Q180" s="582"/>
      <c r="R180" s="582"/>
      <c r="S180" s="582"/>
      <c r="T180" s="280"/>
      <c r="U180" s="583"/>
      <c r="V180" s="584"/>
      <c r="W180" s="15"/>
      <c r="X180" s="20" t="s">
        <v>136</v>
      </c>
      <c r="Y180" s="20" t="s">
        <v>44</v>
      </c>
      <c r="Z180" s="576"/>
      <c r="AA180" s="582"/>
      <c r="AB180" s="582"/>
      <c r="AC180" s="582"/>
      <c r="AD180" s="582"/>
      <c r="AE180" s="582"/>
      <c r="AF180" s="582"/>
      <c r="AG180" s="582"/>
      <c r="AH180" s="582"/>
      <c r="AI180" s="582"/>
      <c r="AJ180" s="582"/>
      <c r="AK180" s="582"/>
      <c r="AL180" s="582"/>
      <c r="AM180" s="582"/>
      <c r="AN180" s="582"/>
      <c r="AO180" s="582"/>
      <c r="AP180" s="280"/>
      <c r="AQ180" s="582"/>
      <c r="AR180" s="587"/>
      <c r="AS180" s="582"/>
      <c r="AT180" s="280"/>
      <c r="AW180" s="414"/>
    </row>
    <row r="181" spans="2:52" s="601" customFormat="1" ht="15" customHeight="1" collapsed="1">
      <c r="B181" s="596" t="s">
        <v>137</v>
      </c>
      <c r="C181" s="596" t="s">
        <v>44</v>
      </c>
      <c r="D181" s="596"/>
      <c r="E181" s="597">
        <f>master_Daily!E134</f>
        <v>6.6270000000000007</v>
      </c>
      <c r="F181" s="597">
        <f>master_Daily!F134</f>
        <v>5.73658</v>
      </c>
      <c r="G181" s="597">
        <f>master_Daily!G134</f>
        <v>6.3090000000000002</v>
      </c>
      <c r="H181" s="597">
        <f>master_Daily!H134</f>
        <v>6.2202999999999999</v>
      </c>
      <c r="I181" s="597">
        <f>master_Daily!I134</f>
        <v>6.1529199999999999</v>
      </c>
      <c r="J181" s="597">
        <f>master_Daily!J134</f>
        <v>3.1938800000000001</v>
      </c>
      <c r="K181" s="597">
        <f>master_Daily!K134</f>
        <v>0</v>
      </c>
      <c r="L181" s="597">
        <f>master_Daily!L134</f>
        <v>0</v>
      </c>
      <c r="M181" s="597">
        <f>master_Daily!M134</f>
        <v>0</v>
      </c>
      <c r="N181" s="597">
        <f>master_Daily!N134</f>
        <v>0</v>
      </c>
      <c r="O181" s="597">
        <f>master_Daily!O134</f>
        <v>0</v>
      </c>
      <c r="P181" s="597">
        <f>master_Daily!P134</f>
        <v>0</v>
      </c>
      <c r="Q181" s="597">
        <f>master_Daily!Q134</f>
        <v>5.2395704970298054</v>
      </c>
      <c r="R181" s="597">
        <f>master_Daily!R134</f>
        <v>9.1600000000000001E-2</v>
      </c>
      <c r="S181" s="597">
        <f>master_Daily!S134</f>
        <v>3.1938800000000001</v>
      </c>
      <c r="T181" s="616">
        <f t="shared" ref="T181:T236" si="77">IFERROR(S181/Q181,0)</f>
        <v>0.60956904803753265</v>
      </c>
      <c r="U181" s="599">
        <f t="shared" ref="U181:U236" si="78">SUM(E181:P181)</f>
        <v>34.23968</v>
      </c>
      <c r="V181" s="600">
        <f>IFERROR(U181/$U$200,0)</f>
        <v>5.6926023209940821E-2</v>
      </c>
      <c r="X181" s="596" t="s">
        <v>136</v>
      </c>
      <c r="Y181" s="596" t="s">
        <v>44</v>
      </c>
      <c r="Z181" s="596"/>
      <c r="AA181" s="602">
        <f>master_Daily!AA134</f>
        <v>0.18859999999999996</v>
      </c>
      <c r="AB181" s="602">
        <f>master_Daily!AK134</f>
        <v>0.14940000000000003</v>
      </c>
      <c r="AC181" s="602">
        <f>master_Daily!AU134</f>
        <v>0.15620000000000001</v>
      </c>
      <c r="AD181" s="602">
        <f>master_Daily!BE134</f>
        <v>0.14420000000000002</v>
      </c>
      <c r="AE181" s="602">
        <f>master_Daily!BO134</f>
        <v>0.13440000000000002</v>
      </c>
      <c r="AF181" s="602">
        <f>master_Daily!BY134</f>
        <v>0.10800000000000001</v>
      </c>
      <c r="AG181" s="602">
        <f>master_Daily!CI134</f>
        <v>0</v>
      </c>
      <c r="AH181" s="602">
        <f>master_Daily!CS134</f>
        <v>0</v>
      </c>
      <c r="AI181" s="602">
        <f>master_Daily!DC134</f>
        <v>0</v>
      </c>
      <c r="AJ181" s="602">
        <f>master_Daily!DM134</f>
        <v>0</v>
      </c>
      <c r="AK181" s="602">
        <f>master_Daily!DW134</f>
        <v>0</v>
      </c>
      <c r="AL181" s="602">
        <f>master_Daily!EG134</f>
        <v>0</v>
      </c>
      <c r="AM181" s="597">
        <f>master_Daily!EQ134</f>
        <v>0.17179761188140005</v>
      </c>
      <c r="AN181" s="597">
        <f ca="1">master_Daily!ER134</f>
        <v>1.2E-2</v>
      </c>
      <c r="AO181" s="597">
        <f ca="1">master_Daily!EZ134</f>
        <v>0.10800000000000001</v>
      </c>
      <c r="AP181" s="598">
        <f t="shared" ref="AP181:AP230" ca="1" si="79">IFERROR(AO181/AM181,0)</f>
        <v>0.62864668965571813</v>
      </c>
      <c r="AQ181" s="602">
        <f>SUM(AA181,AB181,AC181,AD181,AE181,AF181,AG181,AH181,AI181,AJ181,AK181,AL181)</f>
        <v>0.88079999999999992</v>
      </c>
      <c r="AR181" s="603">
        <f>IFERROR(AQ181/$AQ$200,0)</f>
        <v>5.9689678727487608E-3</v>
      </c>
      <c r="AS181" s="597">
        <f>master_Daily!FR134</f>
        <v>0</v>
      </c>
      <c r="AT181" s="598">
        <f t="shared" ref="AT181:AT229" si="80">IFERROR(AS181/AM181,0)</f>
        <v>0</v>
      </c>
      <c r="AU181" s="604"/>
      <c r="AV181" s="605"/>
      <c r="AW181" s="606"/>
      <c r="AX181" s="607"/>
      <c r="AY181" s="608"/>
      <c r="AZ181" s="609"/>
    </row>
    <row r="182" spans="2:52" s="601" customFormat="1" ht="15" hidden="1" customHeight="1" outlineLevel="1">
      <c r="B182" s="20" t="s">
        <v>137</v>
      </c>
      <c r="C182" s="20" t="s">
        <v>45</v>
      </c>
      <c r="D182" s="576" t="s">
        <v>88</v>
      </c>
      <c r="E182" s="582">
        <f>master_Daily!E135</f>
        <v>2.00928</v>
      </c>
      <c r="F182" s="582">
        <f>master_Daily!F135</f>
        <v>1.9700800000000001</v>
      </c>
      <c r="G182" s="582">
        <f>master_Daily!G135</f>
        <v>2.02406</v>
      </c>
      <c r="H182" s="582">
        <f>master_Daily!H135</f>
        <v>1.7360800000000001</v>
      </c>
      <c r="I182" s="582">
        <f>master_Daily!I135</f>
        <v>1.5406200000000001</v>
      </c>
      <c r="J182" s="582">
        <f>master_Daily!J135</f>
        <v>0.73295999999999994</v>
      </c>
      <c r="K182" s="582">
        <f>master_Daily!K135</f>
        <v>0</v>
      </c>
      <c r="L182" s="582">
        <f>master_Daily!L135</f>
        <v>0</v>
      </c>
      <c r="M182" s="582">
        <f>master_Daily!M135</f>
        <v>0</v>
      </c>
      <c r="N182" s="582">
        <f>master_Daily!N135</f>
        <v>0</v>
      </c>
      <c r="O182" s="582">
        <f>master_Daily!O135</f>
        <v>0</v>
      </c>
      <c r="P182" s="582">
        <f>master_Daily!P135</f>
        <v>0</v>
      </c>
      <c r="Q182" s="597"/>
      <c r="R182" s="582">
        <f>master_Daily!R135</f>
        <v>2.6200000000000001E-2</v>
      </c>
      <c r="S182" s="582">
        <f>master_Daily!S135</f>
        <v>0.73295999999999994</v>
      </c>
      <c r="T182" s="580">
        <f t="shared" si="77"/>
        <v>0</v>
      </c>
      <c r="U182" s="583">
        <f t="shared" si="78"/>
        <v>10.01308</v>
      </c>
      <c r="V182" s="584">
        <f>IFERROR(U182/$U$184,0)</f>
        <v>1</v>
      </c>
      <c r="X182" s="20" t="s">
        <v>137</v>
      </c>
      <c r="Y182" s="596" t="s">
        <v>45</v>
      </c>
      <c r="Z182" s="576" t="s">
        <v>88</v>
      </c>
      <c r="AA182" s="582">
        <f>master_Daily!AC135</f>
        <v>0.1244</v>
      </c>
      <c r="AB182" s="582">
        <f>master_Daily!AM135</f>
        <v>7.8799999999999995E-2</v>
      </c>
      <c r="AC182" s="582">
        <f>master_Daily!AW135</f>
        <v>0.105</v>
      </c>
      <c r="AD182" s="582">
        <f>master_Daily!BG135</f>
        <v>5.96E-2</v>
      </c>
      <c r="AE182" s="582">
        <f>master_Daily!BQ135</f>
        <v>3.5400000000000001E-2</v>
      </c>
      <c r="AF182" s="582">
        <f>master_Daily!CA135</f>
        <v>1.7000000000000001E-2</v>
      </c>
      <c r="AG182" s="582">
        <f>master_Daily!CK135</f>
        <v>0</v>
      </c>
      <c r="AH182" s="582">
        <f>master_Daily!CU135</f>
        <v>0</v>
      </c>
      <c r="AI182" s="582">
        <f>master_Daily!DE135</f>
        <v>0</v>
      </c>
      <c r="AJ182" s="582">
        <f>master_Daily!DO135</f>
        <v>0</v>
      </c>
      <c r="AK182" s="582">
        <f>master_Daily!DY135</f>
        <v>0</v>
      </c>
      <c r="AL182" s="582">
        <f>master_Daily!EI135</f>
        <v>0</v>
      </c>
      <c r="AM182" s="582"/>
      <c r="AN182" s="582">
        <f>master_Daily!ER135</f>
        <v>0</v>
      </c>
      <c r="AO182" s="582">
        <f>master_Daily!EZ135</f>
        <v>1.7000000000000001E-2</v>
      </c>
      <c r="AP182" s="280">
        <f t="shared" si="79"/>
        <v>0</v>
      </c>
      <c r="AQ182" s="582">
        <f>SUM(AA182,AB182,AC182,AD182,AE182,AF182,AG182,AH182,AI182,AJ182,AK182,AL182)</f>
        <v>0.42019999999999996</v>
      </c>
      <c r="AR182" s="587">
        <f>IFERROR(AQ182/$AQ$184,0)</f>
        <v>0.99999999999999989</v>
      </c>
      <c r="AS182" s="582"/>
      <c r="AT182" s="280"/>
      <c r="AU182" s="604"/>
      <c r="AV182" s="605"/>
      <c r="AW182" s="606"/>
      <c r="AX182" s="607"/>
      <c r="AY182" s="608"/>
      <c r="AZ182" s="609"/>
    </row>
    <row r="183" spans="2:52" s="601" customFormat="1" ht="15" hidden="1" customHeight="1" outlineLevel="1">
      <c r="B183" s="20" t="s">
        <v>137</v>
      </c>
      <c r="C183" s="20" t="s">
        <v>45</v>
      </c>
      <c r="D183" s="20"/>
      <c r="E183" s="597"/>
      <c r="F183" s="597"/>
      <c r="G183" s="597"/>
      <c r="H183" s="597"/>
      <c r="I183" s="597"/>
      <c r="J183" s="597"/>
      <c r="K183" s="597"/>
      <c r="L183" s="597"/>
      <c r="M183" s="597"/>
      <c r="N183" s="597"/>
      <c r="O183" s="597"/>
      <c r="P183" s="597"/>
      <c r="Q183" s="597"/>
      <c r="R183" s="597"/>
      <c r="S183" s="597"/>
      <c r="T183" s="616"/>
      <c r="U183" s="599"/>
      <c r="V183" s="600"/>
      <c r="X183" s="20" t="s">
        <v>137</v>
      </c>
      <c r="Y183" s="596" t="s">
        <v>45</v>
      </c>
      <c r="Z183" s="74"/>
      <c r="AA183" s="602"/>
      <c r="AB183" s="602"/>
      <c r="AC183" s="602"/>
      <c r="AD183" s="602"/>
      <c r="AE183" s="602"/>
      <c r="AF183" s="602"/>
      <c r="AG183" s="602"/>
      <c r="AH183" s="602"/>
      <c r="AI183" s="602"/>
      <c r="AJ183" s="602"/>
      <c r="AK183" s="602"/>
      <c r="AL183" s="602"/>
      <c r="AM183" s="597"/>
      <c r="AN183" s="597"/>
      <c r="AO183" s="597"/>
      <c r="AP183" s="598"/>
      <c r="AQ183" s="602"/>
      <c r="AR183" s="603"/>
      <c r="AS183" s="597"/>
      <c r="AT183" s="598"/>
      <c r="AU183" s="604"/>
      <c r="AV183" s="605"/>
      <c r="AW183" s="606"/>
      <c r="AX183" s="607"/>
      <c r="AY183" s="608"/>
      <c r="AZ183" s="609"/>
    </row>
    <row r="184" spans="2:52" s="601" customFormat="1" ht="14.45" customHeight="1" collapsed="1">
      <c r="B184" s="596" t="s">
        <v>137</v>
      </c>
      <c r="C184" s="596" t="s">
        <v>45</v>
      </c>
      <c r="D184" s="596"/>
      <c r="E184" s="597">
        <f>master_Daily!E137</f>
        <v>2.00928</v>
      </c>
      <c r="F184" s="597">
        <f>master_Daily!F137</f>
        <v>1.9700799999999998</v>
      </c>
      <c r="G184" s="597">
        <f>master_Daily!G137</f>
        <v>2.02406</v>
      </c>
      <c r="H184" s="597">
        <f>master_Daily!H137</f>
        <v>1.7360800000000001</v>
      </c>
      <c r="I184" s="597">
        <f>master_Daily!I137</f>
        <v>1.5406200000000001</v>
      </c>
      <c r="J184" s="597">
        <f>master_Daily!J137</f>
        <v>0.73296000000000006</v>
      </c>
      <c r="K184" s="597">
        <f>master_Daily!K137</f>
        <v>0</v>
      </c>
      <c r="L184" s="597">
        <f>master_Daily!L137</f>
        <v>0</v>
      </c>
      <c r="M184" s="597">
        <f>master_Daily!M137</f>
        <v>0</v>
      </c>
      <c r="N184" s="597">
        <f>master_Daily!N137</f>
        <v>0</v>
      </c>
      <c r="O184" s="597">
        <f>master_Daily!O137</f>
        <v>0</v>
      </c>
      <c r="P184" s="597">
        <f>master_Daily!P137</f>
        <v>0</v>
      </c>
      <c r="Q184" s="597">
        <f>master_Daily!Q137</f>
        <v>1.4863357130960624</v>
      </c>
      <c r="R184" s="597">
        <f>master_Daily!R137</f>
        <v>2.6200000000000001E-2</v>
      </c>
      <c r="S184" s="597">
        <f>master_Daily!S137</f>
        <v>0.73296000000000006</v>
      </c>
      <c r="T184" s="616">
        <f t="shared" si="77"/>
        <v>0.49313219990740315</v>
      </c>
      <c r="U184" s="599">
        <f t="shared" si="78"/>
        <v>10.01308</v>
      </c>
      <c r="V184" s="600">
        <f>IFERROR(U184/$U$200,0)</f>
        <v>1.6647492747683221E-2</v>
      </c>
      <c r="X184" s="596" t="s">
        <v>136</v>
      </c>
      <c r="Y184" s="596" t="s">
        <v>45</v>
      </c>
      <c r="Z184" s="596"/>
      <c r="AA184" s="602">
        <f>master_Daily!AA137</f>
        <v>0.1244</v>
      </c>
      <c r="AB184" s="602">
        <f>master_Daily!AK137</f>
        <v>7.8800000000000009E-2</v>
      </c>
      <c r="AC184" s="602">
        <f>master_Daily!AU137</f>
        <v>0.10500000000000001</v>
      </c>
      <c r="AD184" s="602">
        <f>master_Daily!BE137</f>
        <v>5.96E-2</v>
      </c>
      <c r="AE184" s="602">
        <f>master_Daily!BO137</f>
        <v>3.5400000000000001E-2</v>
      </c>
      <c r="AF184" s="602">
        <f>master_Daily!BY137</f>
        <v>1.7000000000000001E-2</v>
      </c>
      <c r="AG184" s="602">
        <f>master_Daily!CI137</f>
        <v>0</v>
      </c>
      <c r="AH184" s="602">
        <f>master_Daily!CS137</f>
        <v>0</v>
      </c>
      <c r="AI184" s="602">
        <f>master_Daily!DC137</f>
        <v>0</v>
      </c>
      <c r="AJ184" s="602">
        <f>master_Daily!DM137</f>
        <v>0</v>
      </c>
      <c r="AK184" s="602">
        <f>master_Daily!DW137</f>
        <v>0</v>
      </c>
      <c r="AL184" s="602">
        <f>master_Daily!EG137</f>
        <v>0</v>
      </c>
      <c r="AM184" s="597">
        <f>master_Daily!EQ137</f>
        <v>8.0063784126652701E-2</v>
      </c>
      <c r="AN184" s="597">
        <f ca="1">master_Daily!ER137</f>
        <v>0</v>
      </c>
      <c r="AO184" s="597">
        <f ca="1">master_Daily!EZ137</f>
        <v>1.7000000000000001E-2</v>
      </c>
      <c r="AP184" s="598">
        <f t="shared" ca="1" si="79"/>
        <v>0.21233070839004742</v>
      </c>
      <c r="AQ184" s="602">
        <f>SUM(AA184,AB184,AC184,AD184,AE184,AF184,AG184,AH184,AI184,AJ184,AK184,AL184)</f>
        <v>0.42020000000000002</v>
      </c>
      <c r="AR184" s="603">
        <f>IFERROR(AQ184/$AQ$200,0)</f>
        <v>2.8475934379303242E-3</v>
      </c>
      <c r="AS184" s="597">
        <f>master_Daily!FR137</f>
        <v>0</v>
      </c>
      <c r="AT184" s="598">
        <f t="shared" si="80"/>
        <v>0</v>
      </c>
      <c r="AU184" s="604"/>
      <c r="AV184" s="605"/>
      <c r="AW184" s="606"/>
      <c r="AX184" s="607"/>
      <c r="AY184" s="608"/>
      <c r="AZ184" s="609"/>
    </row>
    <row r="185" spans="2:52" s="601" customFormat="1" ht="14.45" hidden="1" customHeight="1" outlineLevel="1">
      <c r="B185" s="20" t="s">
        <v>137</v>
      </c>
      <c r="C185" s="596" t="s">
        <v>46</v>
      </c>
      <c r="D185" s="576" t="s">
        <v>92</v>
      </c>
      <c r="E185" s="582">
        <f>master_Daily!E138</f>
        <v>12.078139999999999</v>
      </c>
      <c r="F185" s="582">
        <f>master_Daily!F138</f>
        <v>14.302960000000001</v>
      </c>
      <c r="G185" s="582">
        <f>master_Daily!G138</f>
        <v>11.703939999999999</v>
      </c>
      <c r="H185" s="582">
        <f>master_Daily!H138</f>
        <v>11.096640000000001</v>
      </c>
      <c r="I185" s="582">
        <f>master_Daily!I138</f>
        <v>10.461819999999999</v>
      </c>
      <c r="J185" s="582">
        <f>master_Daily!J138</f>
        <v>5.4909400000000002</v>
      </c>
      <c r="K185" s="582">
        <f>master_Daily!K138</f>
        <v>0</v>
      </c>
      <c r="L185" s="582">
        <f>master_Daily!L138</f>
        <v>0</v>
      </c>
      <c r="M185" s="582">
        <f>master_Daily!M138</f>
        <v>0</v>
      </c>
      <c r="N185" s="582">
        <f>master_Daily!N138</f>
        <v>0</v>
      </c>
      <c r="O185" s="582">
        <f>master_Daily!O138</f>
        <v>0</v>
      </c>
      <c r="P185" s="582">
        <f>master_Daily!P138</f>
        <v>0</v>
      </c>
      <c r="Q185" s="582"/>
      <c r="R185" s="582">
        <f>master_Daily!R138</f>
        <v>0.4264</v>
      </c>
      <c r="S185" s="582">
        <f>master_Daily!S138</f>
        <v>5.4909400000000002</v>
      </c>
      <c r="T185" s="580">
        <f t="shared" si="77"/>
        <v>0</v>
      </c>
      <c r="U185" s="583">
        <f t="shared" si="78"/>
        <v>65.134439999999998</v>
      </c>
      <c r="V185" s="584">
        <f>IFERROR(U185/$U$189,0)</f>
        <v>0.46280858552656828</v>
      </c>
      <c r="X185" s="20" t="s">
        <v>136</v>
      </c>
      <c r="Y185" s="596" t="s">
        <v>46</v>
      </c>
      <c r="Z185" s="576" t="s">
        <v>92</v>
      </c>
      <c r="AA185" s="582">
        <f>master_Daily!AC138</f>
        <v>1.6966000000000001</v>
      </c>
      <c r="AB185" s="582">
        <f>master_Daily!AM138</f>
        <v>3.173</v>
      </c>
      <c r="AC185" s="582">
        <f>master_Daily!AW138</f>
        <v>1.3149999999999999</v>
      </c>
      <c r="AD185" s="582">
        <f>master_Daily!BG138</f>
        <v>1.595</v>
      </c>
      <c r="AE185" s="582">
        <f>master_Daily!BQ138</f>
        <v>1.879</v>
      </c>
      <c r="AF185" s="582">
        <f>master_Daily!CA138</f>
        <v>0.76</v>
      </c>
      <c r="AG185" s="582">
        <f>master_Daily!CK138</f>
        <v>0</v>
      </c>
      <c r="AH185" s="582">
        <f>master_Daily!CU138</f>
        <v>0</v>
      </c>
      <c r="AI185" s="582">
        <f>master_Daily!DE138</f>
        <v>0</v>
      </c>
      <c r="AJ185" s="582">
        <f>master_Daily!DO138</f>
        <v>0</v>
      </c>
      <c r="AK185" s="582">
        <f>master_Daily!DY138</f>
        <v>0</v>
      </c>
      <c r="AL185" s="582">
        <f>master_Daily!EI138</f>
        <v>0</v>
      </c>
      <c r="AM185" s="582"/>
      <c r="AN185" s="582">
        <f>master_Daily!ER138</f>
        <v>0.1</v>
      </c>
      <c r="AO185" s="582">
        <f>master_Daily!EZ138</f>
        <v>0.76</v>
      </c>
      <c r="AP185" s="280">
        <f t="shared" si="79"/>
        <v>0</v>
      </c>
      <c r="AQ185" s="582">
        <f>SUM(AA185,AB185,AC185,AD185,AE185,AF185,AG185,AH185,AI185,AJ185,AK185,AL185)</f>
        <v>10.4186</v>
      </c>
      <c r="AR185" s="587">
        <f>IFERROR(AQ185/$AQ$189,0)</f>
        <v>0.29421266357541837</v>
      </c>
      <c r="AS185" s="582"/>
      <c r="AT185" s="280"/>
      <c r="AU185" s="604"/>
      <c r="AV185" s="605"/>
      <c r="AW185" s="606"/>
      <c r="AX185" s="607"/>
      <c r="AY185" s="608"/>
      <c r="AZ185" s="609"/>
    </row>
    <row r="186" spans="2:52" s="601" customFormat="1" ht="14.45" hidden="1" customHeight="1" outlineLevel="1">
      <c r="B186" s="20" t="s">
        <v>137</v>
      </c>
      <c r="C186" s="596" t="s">
        <v>46</v>
      </c>
      <c r="D186" s="576" t="s">
        <v>93</v>
      </c>
      <c r="E186" s="582">
        <f>master_Daily!E139</f>
        <v>7.9779400000000003</v>
      </c>
      <c r="F186" s="582">
        <f>master_Daily!F139</f>
        <v>5.8003200000000001</v>
      </c>
      <c r="G186" s="582">
        <f>master_Daily!G139</f>
        <v>6.7150800000000004</v>
      </c>
      <c r="H186" s="582">
        <f>master_Daily!H139</f>
        <v>6.6505200000000002</v>
      </c>
      <c r="I186" s="582">
        <f>master_Daily!I139</f>
        <v>6.3141999999999996</v>
      </c>
      <c r="J186" s="582">
        <f>master_Daily!J139</f>
        <v>3.3073999999999999</v>
      </c>
      <c r="K186" s="582">
        <f>master_Daily!K139</f>
        <v>0</v>
      </c>
      <c r="L186" s="582">
        <f>master_Daily!L139</f>
        <v>0</v>
      </c>
      <c r="M186" s="582">
        <f>master_Daily!M139</f>
        <v>0</v>
      </c>
      <c r="N186" s="582">
        <f>master_Daily!N139</f>
        <v>0</v>
      </c>
      <c r="O186" s="582">
        <f>master_Daily!O139</f>
        <v>0</v>
      </c>
      <c r="P186" s="582">
        <f>master_Daily!P139</f>
        <v>0</v>
      </c>
      <c r="Q186" s="582"/>
      <c r="R186" s="582">
        <f>master_Daily!R139</f>
        <v>0.21179999999999999</v>
      </c>
      <c r="S186" s="582">
        <f>master_Daily!S139</f>
        <v>3.3073999999999999</v>
      </c>
      <c r="T186" s="580">
        <f t="shared" si="77"/>
        <v>0</v>
      </c>
      <c r="U186" s="583">
        <f t="shared" si="78"/>
        <v>36.765460000000004</v>
      </c>
      <c r="V186" s="584">
        <f>IFERROR(U186/$U$189,0)</f>
        <v>0.26123461779718421</v>
      </c>
      <c r="X186" s="20" t="s">
        <v>136</v>
      </c>
      <c r="Y186" s="596" t="s">
        <v>46</v>
      </c>
      <c r="Z186" s="576" t="s">
        <v>93</v>
      </c>
      <c r="AA186" s="582">
        <f>master_Daily!AC139</f>
        <v>2.5251999999999999</v>
      </c>
      <c r="AB186" s="582">
        <f>master_Daily!AM139</f>
        <v>2.008</v>
      </c>
      <c r="AC186" s="582">
        <f>master_Daily!AW139</f>
        <v>1.72</v>
      </c>
      <c r="AD186" s="582">
        <f>master_Daily!BG139</f>
        <v>1.875</v>
      </c>
      <c r="AE186" s="582">
        <f>master_Daily!BQ139</f>
        <v>2.1440000000000001</v>
      </c>
      <c r="AF186" s="582">
        <f>master_Daily!CA139</f>
        <v>0.67500000000000004</v>
      </c>
      <c r="AG186" s="582">
        <f>master_Daily!CK139</f>
        <v>0</v>
      </c>
      <c r="AH186" s="582">
        <f>master_Daily!CU139</f>
        <v>0</v>
      </c>
      <c r="AI186" s="582">
        <f>master_Daily!DE139</f>
        <v>0</v>
      </c>
      <c r="AJ186" s="582">
        <f>master_Daily!DO139</f>
        <v>0</v>
      </c>
      <c r="AK186" s="582">
        <f>master_Daily!DY139</f>
        <v>0</v>
      </c>
      <c r="AL186" s="582">
        <f>master_Daily!EI139</f>
        <v>0</v>
      </c>
      <c r="AM186" s="582"/>
      <c r="AN186" s="582">
        <f>master_Daily!ER139</f>
        <v>0.1</v>
      </c>
      <c r="AO186" s="582">
        <f>master_Daily!EZ139</f>
        <v>0.67500000000000004</v>
      </c>
      <c r="AP186" s="280">
        <f t="shared" si="79"/>
        <v>0</v>
      </c>
      <c r="AQ186" s="582">
        <f t="shared" ref="AQ186:AQ205" si="81">SUM(AA186,AB186,AC186,AD186,AE186,AF186,AG186,AH186,AI186,AJ186,AK186,AL186)</f>
        <v>10.9472</v>
      </c>
      <c r="AR186" s="587">
        <f>IFERROR(AQ186/$AQ$189,0)</f>
        <v>0.3091398912226998</v>
      </c>
      <c r="AS186" s="582"/>
      <c r="AT186" s="280"/>
      <c r="AU186" s="604"/>
      <c r="AV186" s="605"/>
      <c r="AW186" s="606"/>
      <c r="AX186" s="607"/>
      <c r="AY186" s="608"/>
      <c r="AZ186" s="609"/>
    </row>
    <row r="187" spans="2:52" s="601" customFormat="1" ht="14.45" hidden="1" customHeight="1" outlineLevel="1">
      <c r="B187" s="20" t="s">
        <v>137</v>
      </c>
      <c r="C187" s="596" t="s">
        <v>46</v>
      </c>
      <c r="D187" s="576" t="s">
        <v>94</v>
      </c>
      <c r="E187" s="582">
        <f>master_Daily!E140</f>
        <v>8.3347800000000003</v>
      </c>
      <c r="F187" s="582">
        <f>master_Daily!F140</f>
        <v>3.3383600000000002</v>
      </c>
      <c r="G187" s="582">
        <f>master_Daily!G140</f>
        <v>7.9961200000000003</v>
      </c>
      <c r="H187" s="582">
        <f>master_Daily!H140</f>
        <v>7.9303800000000004</v>
      </c>
      <c r="I187" s="582">
        <f>master_Daily!I140</f>
        <v>7.2545999999999999</v>
      </c>
      <c r="J187" s="582">
        <f>master_Daily!J140</f>
        <v>3.9831799999999999</v>
      </c>
      <c r="K187" s="582">
        <f>master_Daily!K140</f>
        <v>0</v>
      </c>
      <c r="L187" s="582">
        <f>master_Daily!L140</f>
        <v>0</v>
      </c>
      <c r="M187" s="582">
        <f>master_Daily!M140</f>
        <v>0</v>
      </c>
      <c r="N187" s="582">
        <f>master_Daily!N140</f>
        <v>0</v>
      </c>
      <c r="O187" s="582">
        <f>master_Daily!O140</f>
        <v>0</v>
      </c>
      <c r="P187" s="582">
        <f>master_Daily!P140</f>
        <v>0</v>
      </c>
      <c r="Q187" s="582"/>
      <c r="R187" s="582">
        <f>master_Daily!R140</f>
        <v>0.25</v>
      </c>
      <c r="S187" s="582">
        <f>master_Daily!S140</f>
        <v>3.9831799999999999</v>
      </c>
      <c r="T187" s="580">
        <f t="shared" si="77"/>
        <v>0</v>
      </c>
      <c r="U187" s="583">
        <f t="shared" si="78"/>
        <v>38.837420000000002</v>
      </c>
      <c r="V187" s="584">
        <f>IFERROR(U187/$U$189,0)</f>
        <v>0.27595679667624767</v>
      </c>
      <c r="X187" s="20" t="s">
        <v>136</v>
      </c>
      <c r="Y187" s="596" t="s">
        <v>46</v>
      </c>
      <c r="Z187" s="576" t="s">
        <v>94</v>
      </c>
      <c r="AA187" s="582">
        <f>master_Daily!AC140</f>
        <v>3.0472000000000001</v>
      </c>
      <c r="AB187" s="582">
        <f>master_Daily!AM140</f>
        <v>1.9712000000000001</v>
      </c>
      <c r="AC187" s="582">
        <f>master_Daily!AW140</f>
        <v>2.4700000000000002</v>
      </c>
      <c r="AD187" s="582">
        <f>master_Daily!BG140</f>
        <v>2.5609999999999999</v>
      </c>
      <c r="AE187" s="582">
        <f>master_Daily!BQ140</f>
        <v>2.9216000000000002</v>
      </c>
      <c r="AF187" s="582">
        <f>master_Daily!CA140</f>
        <v>1.075</v>
      </c>
      <c r="AG187" s="582">
        <f>master_Daily!CK140</f>
        <v>0</v>
      </c>
      <c r="AH187" s="582">
        <f>master_Daily!CU140</f>
        <v>0</v>
      </c>
      <c r="AI187" s="582">
        <f>master_Daily!DE140</f>
        <v>0</v>
      </c>
      <c r="AJ187" s="582">
        <f>master_Daily!DO140</f>
        <v>0</v>
      </c>
      <c r="AK187" s="582">
        <f>master_Daily!DY140</f>
        <v>0</v>
      </c>
      <c r="AL187" s="582">
        <f>master_Daily!EI140</f>
        <v>0</v>
      </c>
      <c r="AM187" s="582"/>
      <c r="AN187" s="582">
        <f>master_Daily!ER140</f>
        <v>0.12</v>
      </c>
      <c r="AO187" s="582">
        <f>master_Daily!EZ140</f>
        <v>1.075</v>
      </c>
      <c r="AP187" s="280">
        <f t="shared" si="79"/>
        <v>0</v>
      </c>
      <c r="AQ187" s="582">
        <f t="shared" si="81"/>
        <v>14.045999999999999</v>
      </c>
      <c r="AR187" s="587">
        <f>IFERROR(AQ187/$AQ$189,0)</f>
        <v>0.39664744520188183</v>
      </c>
      <c r="AS187" s="582"/>
      <c r="AT187" s="280"/>
      <c r="AU187" s="604"/>
      <c r="AV187" s="605"/>
      <c r="AW187" s="606"/>
      <c r="AX187" s="607"/>
      <c r="AY187" s="608"/>
      <c r="AZ187" s="609"/>
    </row>
    <row r="188" spans="2:52" s="601" customFormat="1" ht="14.45" hidden="1" customHeight="1" outlineLevel="1">
      <c r="B188" s="20" t="s">
        <v>137</v>
      </c>
      <c r="C188" s="596" t="s">
        <v>46</v>
      </c>
      <c r="D188" s="576"/>
      <c r="E188" s="612"/>
      <c r="F188" s="612"/>
      <c r="G188" s="612"/>
      <c r="H188" s="612"/>
      <c r="I188" s="612"/>
      <c r="J188" s="612"/>
      <c r="K188" s="612"/>
      <c r="L188" s="612"/>
      <c r="M188" s="612"/>
      <c r="N188" s="612"/>
      <c r="O188" s="612"/>
      <c r="P188" s="612"/>
      <c r="Q188" s="612"/>
      <c r="R188" s="612"/>
      <c r="S188" s="612"/>
      <c r="T188" s="617"/>
      <c r="U188" s="613"/>
      <c r="V188" s="614"/>
      <c r="X188" s="20" t="s">
        <v>136</v>
      </c>
      <c r="Y188" s="596" t="s">
        <v>46</v>
      </c>
      <c r="Z188" s="576"/>
      <c r="AA188" s="602"/>
      <c r="AB188" s="602"/>
      <c r="AC188" s="602"/>
      <c r="AD188" s="602"/>
      <c r="AE188" s="602"/>
      <c r="AF188" s="602"/>
      <c r="AG188" s="602"/>
      <c r="AH188" s="602"/>
      <c r="AI188" s="602"/>
      <c r="AJ188" s="602"/>
      <c r="AK188" s="602"/>
      <c r="AL188" s="602"/>
      <c r="AM188" s="597"/>
      <c r="AN188" s="597"/>
      <c r="AO188" s="597"/>
      <c r="AP188" s="598"/>
      <c r="AQ188" s="602"/>
      <c r="AR188" s="603"/>
      <c r="AS188" s="597"/>
      <c r="AT188" s="598"/>
      <c r="AU188" s="604"/>
      <c r="AV188" s="605"/>
      <c r="AW188" s="606"/>
      <c r="AX188" s="607"/>
      <c r="AY188" s="608"/>
      <c r="AZ188" s="609"/>
    </row>
    <row r="189" spans="2:52" s="601" customFormat="1" ht="14.45" customHeight="1" collapsed="1">
      <c r="B189" s="596" t="s">
        <v>137</v>
      </c>
      <c r="C189" s="596" t="s">
        <v>46</v>
      </c>
      <c r="D189" s="596"/>
      <c r="E189" s="597">
        <f>master_Daily!E142</f>
        <v>28.390860000000004</v>
      </c>
      <c r="F189" s="597">
        <f>master_Daily!F142</f>
        <v>23.44164</v>
      </c>
      <c r="G189" s="597">
        <f>master_Daily!G142</f>
        <v>26.415139999999994</v>
      </c>
      <c r="H189" s="597">
        <f>master_Daily!H142</f>
        <v>25.677539999999997</v>
      </c>
      <c r="I189" s="597">
        <f>master_Daily!I142</f>
        <v>24.030619999999999</v>
      </c>
      <c r="J189" s="597">
        <f>master_Daily!J142</f>
        <v>12.78152</v>
      </c>
      <c r="K189" s="597">
        <f>master_Daily!K142</f>
        <v>0</v>
      </c>
      <c r="L189" s="597">
        <f>master_Daily!L142</f>
        <v>0</v>
      </c>
      <c r="M189" s="597">
        <f>master_Daily!M142</f>
        <v>0</v>
      </c>
      <c r="N189" s="597">
        <f>master_Daily!N142</f>
        <v>0</v>
      </c>
      <c r="O189" s="597">
        <f>master_Daily!O142</f>
        <v>0</v>
      </c>
      <c r="P189" s="597">
        <f>master_Daily!P142</f>
        <v>0</v>
      </c>
      <c r="Q189" s="597">
        <f>master_Daily!Q142</f>
        <v>21.241710445652608</v>
      </c>
      <c r="R189" s="597">
        <f>master_Daily!R142</f>
        <v>0.8882000000000001</v>
      </c>
      <c r="S189" s="597">
        <f>master_Daily!S142</f>
        <v>12.78152</v>
      </c>
      <c r="T189" s="616">
        <f t="shared" si="77"/>
        <v>0.6017180223175439</v>
      </c>
      <c r="U189" s="599">
        <f t="shared" si="78"/>
        <v>140.73731999999998</v>
      </c>
      <c r="V189" s="600">
        <f>IFERROR(U189/$U$200,0)</f>
        <v>0.23398629732593493</v>
      </c>
      <c r="X189" s="596" t="s">
        <v>136</v>
      </c>
      <c r="Y189" s="596" t="s">
        <v>46</v>
      </c>
      <c r="Z189" s="596"/>
      <c r="AA189" s="602">
        <f>master_Daily!AA142</f>
        <v>7.2690000000000001</v>
      </c>
      <c r="AB189" s="602">
        <f>master_Daily!AK142</f>
        <v>7.1522000000000006</v>
      </c>
      <c r="AC189" s="602">
        <f>master_Daily!AU142</f>
        <v>5.5049999999999999</v>
      </c>
      <c r="AD189" s="602">
        <f>master_Daily!BE142</f>
        <v>6.0309999999999988</v>
      </c>
      <c r="AE189" s="602">
        <f>master_Daily!BO142</f>
        <v>6.9445999999999994</v>
      </c>
      <c r="AF189" s="602">
        <f>master_Daily!BY142</f>
        <v>2.5099999999999998</v>
      </c>
      <c r="AG189" s="602">
        <f>master_Daily!CI142</f>
        <v>0</v>
      </c>
      <c r="AH189" s="602">
        <f>master_Daily!CS142</f>
        <v>0</v>
      </c>
      <c r="AI189" s="602">
        <f>master_Daily!DC142</f>
        <v>0</v>
      </c>
      <c r="AJ189" s="602">
        <f>master_Daily!DM142</f>
        <v>0</v>
      </c>
      <c r="AK189" s="602">
        <f>master_Daily!DW142</f>
        <v>0</v>
      </c>
      <c r="AL189" s="602">
        <f>master_Daily!EG142</f>
        <v>0</v>
      </c>
      <c r="AM189" s="597">
        <f>master_Daily!EQ142</f>
        <v>6.4787183944392428</v>
      </c>
      <c r="AN189" s="597">
        <f ca="1">master_Daily!ER142</f>
        <v>0.32</v>
      </c>
      <c r="AO189" s="597">
        <f ca="1">master_Daily!EZ142</f>
        <v>2.5099999999999998</v>
      </c>
      <c r="AP189" s="598">
        <f t="shared" ca="1" si="79"/>
        <v>0.38742230286693141</v>
      </c>
      <c r="AQ189" s="602">
        <f t="shared" si="81"/>
        <v>35.411799999999999</v>
      </c>
      <c r="AR189" s="603">
        <f>IFERROR(AQ189/$AQ$200,0)</f>
        <v>0.23997717588124953</v>
      </c>
      <c r="AS189" s="597">
        <f>master_Daily!FR142</f>
        <v>0</v>
      </c>
      <c r="AT189" s="598">
        <f t="shared" si="80"/>
        <v>0</v>
      </c>
      <c r="AU189" s="604"/>
      <c r="AV189" s="605"/>
      <c r="AW189" s="606"/>
      <c r="AX189" s="607"/>
      <c r="AY189" s="608"/>
      <c r="AZ189" s="609"/>
    </row>
    <row r="190" spans="2:52" s="601" customFormat="1" ht="14.45" hidden="1" customHeight="1" outlineLevel="1">
      <c r="B190" s="20" t="s">
        <v>137</v>
      </c>
      <c r="C190" s="596" t="s">
        <v>47</v>
      </c>
      <c r="D190" s="303" t="s">
        <v>184</v>
      </c>
      <c r="E190" s="582">
        <f>master_Daily!E143</f>
        <v>17.545200000000001</v>
      </c>
      <c r="F190" s="582">
        <f>master_Daily!F143</f>
        <v>15.844139999999999</v>
      </c>
      <c r="G190" s="582">
        <f>master_Daily!G143</f>
        <v>17.329540000000001</v>
      </c>
      <c r="H190" s="582">
        <f>master_Daily!H143</f>
        <v>15.20614</v>
      </c>
      <c r="I190" s="582">
        <f>master_Daily!I143</f>
        <v>14.036519999999999</v>
      </c>
      <c r="J190" s="582">
        <f>master_Daily!J143</f>
        <v>6.7892999999999999</v>
      </c>
      <c r="K190" s="582">
        <f>master_Daily!K143</f>
        <v>0</v>
      </c>
      <c r="L190" s="582">
        <f>master_Daily!L143</f>
        <v>0</v>
      </c>
      <c r="M190" s="582">
        <f>master_Daily!M143</f>
        <v>0</v>
      </c>
      <c r="N190" s="582">
        <f>master_Daily!N143</f>
        <v>0</v>
      </c>
      <c r="O190" s="582">
        <f>master_Daily!O143</f>
        <v>0</v>
      </c>
      <c r="P190" s="582">
        <f>master_Daily!P143</f>
        <v>0</v>
      </c>
      <c r="Q190" s="582"/>
      <c r="R190" s="582">
        <f>master_Daily!R143</f>
        <v>0.46139999999999998</v>
      </c>
      <c r="S190" s="582">
        <f>master_Daily!S143</f>
        <v>6.7892999999999999</v>
      </c>
      <c r="T190" s="580">
        <f t="shared" ref="T190" si="82">IFERROR(S190/Q190,0)</f>
        <v>0</v>
      </c>
      <c r="U190" s="583">
        <f t="shared" ref="U190" si="83">SUM(E190:P190)</f>
        <v>86.750839999999997</v>
      </c>
      <c r="V190" s="584">
        <f>IFERROR(U190/$U$195,0)</f>
        <v>0.27511501440478753</v>
      </c>
      <c r="X190" s="596" t="s">
        <v>136</v>
      </c>
      <c r="Y190" s="596" t="s">
        <v>47</v>
      </c>
      <c r="Z190" s="576" t="s">
        <v>184</v>
      </c>
      <c r="AA190" s="582">
        <f>master_Daily!AC143</f>
        <v>4.1369999999999996</v>
      </c>
      <c r="AB190" s="582">
        <f>master_Daily!AM143</f>
        <v>4.3310000000000004</v>
      </c>
      <c r="AC190" s="582">
        <f>master_Daily!AW143</f>
        <v>4.0460000000000003</v>
      </c>
      <c r="AD190" s="582">
        <f>master_Daily!BG143</f>
        <v>3.9689999999999999</v>
      </c>
      <c r="AE190" s="582">
        <f>master_Daily!BQ143</f>
        <v>3.1819999999999999</v>
      </c>
      <c r="AF190" s="582">
        <f>master_Daily!CA143</f>
        <v>0.95920000000000005</v>
      </c>
      <c r="AG190" s="582">
        <f>master_Daily!CK143</f>
        <v>0</v>
      </c>
      <c r="AH190" s="582">
        <f>master_Daily!CU143</f>
        <v>0</v>
      </c>
      <c r="AI190" s="582">
        <f>master_Daily!DE143</f>
        <v>0</v>
      </c>
      <c r="AJ190" s="582">
        <f>master_Daily!DO143</f>
        <v>0</v>
      </c>
      <c r="AK190" s="582">
        <f>master_Daily!DY143</f>
        <v>0</v>
      </c>
      <c r="AL190" s="582">
        <f>master_Daily!EI143</f>
        <v>0</v>
      </c>
      <c r="AM190" s="582"/>
      <c r="AN190" s="582">
        <f>master_Daily!ER143</f>
        <v>0.15</v>
      </c>
      <c r="AO190" s="582">
        <f>master_Daily!EZ143</f>
        <v>0.95920000000000005</v>
      </c>
      <c r="AP190" s="280">
        <f t="shared" si="79"/>
        <v>0</v>
      </c>
      <c r="AQ190" s="582">
        <f t="shared" si="81"/>
        <v>20.624199999999998</v>
      </c>
      <c r="AR190" s="587">
        <f>IFERROR(AQ190/$AQ$195,0)</f>
        <v>0.23173987496235837</v>
      </c>
      <c r="AS190" s="582"/>
      <c r="AT190" s="280"/>
      <c r="AU190" s="604"/>
      <c r="AV190" s="605"/>
      <c r="AW190" s="606"/>
      <c r="AX190" s="607"/>
      <c r="AY190" s="608"/>
      <c r="AZ190" s="609"/>
    </row>
    <row r="191" spans="2:52" s="601" customFormat="1" ht="14.45" hidden="1" customHeight="1" outlineLevel="1">
      <c r="B191" s="20" t="s">
        <v>137</v>
      </c>
      <c r="C191" s="596" t="s">
        <v>47</v>
      </c>
      <c r="D191" s="303" t="s">
        <v>185</v>
      </c>
      <c r="E191" s="582">
        <f>master_Daily!E144</f>
        <v>0</v>
      </c>
      <c r="F191" s="582">
        <f>master_Daily!F144</f>
        <v>0</v>
      </c>
      <c r="G191" s="582">
        <f>master_Daily!G144</f>
        <v>0</v>
      </c>
      <c r="H191" s="582">
        <f>master_Daily!H144</f>
        <v>0</v>
      </c>
      <c r="I191" s="582">
        <f>master_Daily!I144</f>
        <v>0</v>
      </c>
      <c r="J191" s="582">
        <f>master_Daily!J144</f>
        <v>0</v>
      </c>
      <c r="K191" s="582">
        <f>master_Daily!K144</f>
        <v>0</v>
      </c>
      <c r="L191" s="582">
        <f>master_Daily!L144</f>
        <v>0</v>
      </c>
      <c r="M191" s="582">
        <f>master_Daily!M144</f>
        <v>0</v>
      </c>
      <c r="N191" s="582">
        <f>master_Daily!N144</f>
        <v>0</v>
      </c>
      <c r="O191" s="582">
        <f>master_Daily!O144</f>
        <v>0</v>
      </c>
      <c r="P191" s="582">
        <f>master_Daily!P144</f>
        <v>0</v>
      </c>
      <c r="Q191" s="582"/>
      <c r="R191" s="582">
        <f>master_Daily!R144</f>
        <v>0</v>
      </c>
      <c r="S191" s="582">
        <f>master_Daily!S144</f>
        <v>0</v>
      </c>
      <c r="T191" s="580">
        <f t="shared" ref="T191:T193" si="84">IFERROR(S191/Q191,0)</f>
        <v>0</v>
      </c>
      <c r="U191" s="583">
        <f t="shared" ref="U191:U193" si="85">SUM(E191:P191)</f>
        <v>0</v>
      </c>
      <c r="V191" s="584">
        <f>IFERROR(U191/$U$195,0)</f>
        <v>0</v>
      </c>
      <c r="X191" s="596" t="s">
        <v>136</v>
      </c>
      <c r="Y191" s="596" t="s">
        <v>47</v>
      </c>
      <c r="Z191" s="576" t="s">
        <v>185</v>
      </c>
      <c r="AA191" s="582">
        <f>master_Daily!AC144</f>
        <v>0</v>
      </c>
      <c r="AB191" s="582">
        <f>master_Daily!AM144</f>
        <v>0</v>
      </c>
      <c r="AC191" s="582">
        <f>master_Daily!AW144</f>
        <v>0</v>
      </c>
      <c r="AD191" s="582">
        <f>master_Daily!BG144</f>
        <v>0</v>
      </c>
      <c r="AE191" s="582">
        <f>master_Daily!BQ144</f>
        <v>0</v>
      </c>
      <c r="AF191" s="582">
        <f>master_Daily!CA144</f>
        <v>0</v>
      </c>
      <c r="AG191" s="582">
        <f>master_Daily!CK144</f>
        <v>0</v>
      </c>
      <c r="AH191" s="582">
        <f>master_Daily!CU144</f>
        <v>0</v>
      </c>
      <c r="AI191" s="582">
        <f>master_Daily!DE144</f>
        <v>0</v>
      </c>
      <c r="AJ191" s="582">
        <f>master_Daily!DO144</f>
        <v>0</v>
      </c>
      <c r="AK191" s="582">
        <f>master_Daily!DY144</f>
        <v>0</v>
      </c>
      <c r="AL191" s="582">
        <f>master_Daily!EI144</f>
        <v>0</v>
      </c>
      <c r="AM191" s="582"/>
      <c r="AN191" s="582">
        <f>master_Daily!ER144</f>
        <v>0</v>
      </c>
      <c r="AO191" s="582">
        <f>master_Daily!EZ144</f>
        <v>0</v>
      </c>
      <c r="AP191" s="280">
        <f t="shared" si="79"/>
        <v>0</v>
      </c>
      <c r="AQ191" s="582">
        <f t="shared" si="81"/>
        <v>0</v>
      </c>
      <c r="AR191" s="587">
        <f>IFERROR(AQ191/$AQ$195,0)</f>
        <v>0</v>
      </c>
      <c r="AS191" s="582"/>
      <c r="AT191" s="280"/>
      <c r="AU191" s="604"/>
      <c r="AV191" s="605"/>
      <c r="AW191" s="606"/>
      <c r="AX191" s="607"/>
      <c r="AY191" s="608"/>
      <c r="AZ191" s="609"/>
    </row>
    <row r="192" spans="2:52" s="601" customFormat="1" ht="14.45" hidden="1" customHeight="1" outlineLevel="1">
      <c r="B192" s="20" t="s">
        <v>137</v>
      </c>
      <c r="C192" s="596" t="s">
        <v>47</v>
      </c>
      <c r="D192" s="303" t="s">
        <v>186</v>
      </c>
      <c r="E192" s="582">
        <f>master_Daily!E145</f>
        <v>34.891199999999998</v>
      </c>
      <c r="F192" s="582">
        <f>master_Daily!F145</f>
        <v>32.715000000000003</v>
      </c>
      <c r="G192" s="582">
        <f>master_Daily!G145</f>
        <v>37.422600000000003</v>
      </c>
      <c r="H192" s="582">
        <f>master_Daily!H145</f>
        <v>35.809600000000003</v>
      </c>
      <c r="I192" s="582">
        <f>master_Daily!I145</f>
        <v>32.090600000000002</v>
      </c>
      <c r="J192" s="582">
        <f>master_Daily!J145</f>
        <v>16.671399999999998</v>
      </c>
      <c r="K192" s="582">
        <f>master_Daily!K145</f>
        <v>0</v>
      </c>
      <c r="L192" s="582">
        <f>master_Daily!L145</f>
        <v>0</v>
      </c>
      <c r="M192" s="582">
        <f>master_Daily!M145</f>
        <v>0</v>
      </c>
      <c r="N192" s="582">
        <f>master_Daily!N145</f>
        <v>0</v>
      </c>
      <c r="O192" s="582">
        <f>master_Daily!O145</f>
        <v>0</v>
      </c>
      <c r="P192" s="582">
        <f>master_Daily!P145</f>
        <v>0</v>
      </c>
      <c r="Q192" s="582"/>
      <c r="R192" s="582">
        <f>master_Daily!R145</f>
        <v>0.97640000000000005</v>
      </c>
      <c r="S192" s="582">
        <f>master_Daily!S145</f>
        <v>16.671399999999998</v>
      </c>
      <c r="T192" s="580">
        <f t="shared" si="84"/>
        <v>0</v>
      </c>
      <c r="U192" s="583">
        <f t="shared" si="85"/>
        <v>189.60040000000001</v>
      </c>
      <c r="V192" s="584">
        <f>IFERROR(U192/$U$195,0)</f>
        <v>0.60128428470725448</v>
      </c>
      <c r="X192" s="596" t="s">
        <v>136</v>
      </c>
      <c r="Y192" s="596" t="s">
        <v>47</v>
      </c>
      <c r="Z192" s="576" t="s">
        <v>186</v>
      </c>
      <c r="AA192" s="582">
        <f>master_Daily!AC145</f>
        <v>11.364599999999999</v>
      </c>
      <c r="AB192" s="582">
        <f>master_Daily!AM145</f>
        <v>10.765599999999999</v>
      </c>
      <c r="AC192" s="582">
        <f>master_Daily!AW145</f>
        <v>11.680999999999999</v>
      </c>
      <c r="AD192" s="582">
        <f>master_Daily!BG145</f>
        <v>10.588800000000001</v>
      </c>
      <c r="AE192" s="582">
        <f>master_Daily!BQ145</f>
        <v>10.518000000000001</v>
      </c>
      <c r="AF192" s="582">
        <f>master_Daily!CA145</f>
        <v>4.7370000000000001</v>
      </c>
      <c r="AG192" s="582">
        <f>master_Daily!CK145</f>
        <v>0</v>
      </c>
      <c r="AH192" s="582">
        <f>master_Daily!CU145</f>
        <v>0</v>
      </c>
      <c r="AI192" s="582">
        <f>master_Daily!DE145</f>
        <v>0</v>
      </c>
      <c r="AJ192" s="582">
        <f>master_Daily!DO145</f>
        <v>0</v>
      </c>
      <c r="AK192" s="582">
        <f>master_Daily!DY145</f>
        <v>0</v>
      </c>
      <c r="AL192" s="582">
        <f>master_Daily!EI145</f>
        <v>0</v>
      </c>
      <c r="AM192" s="582"/>
      <c r="AN192" s="582">
        <f>master_Daily!ER145</f>
        <v>0.81</v>
      </c>
      <c r="AO192" s="582">
        <f>master_Daily!EZ145</f>
        <v>4.7370000000000001</v>
      </c>
      <c r="AP192" s="280">
        <f t="shared" si="79"/>
        <v>0</v>
      </c>
      <c r="AQ192" s="582">
        <f t="shared" si="81"/>
        <v>59.655000000000001</v>
      </c>
      <c r="AR192" s="587">
        <f>IFERROR(AQ192/$AQ$195,0)</f>
        <v>0.6703019870288055</v>
      </c>
      <c r="AS192" s="582"/>
      <c r="AT192" s="280"/>
      <c r="AU192" s="604"/>
      <c r="AV192" s="605"/>
      <c r="AW192" s="606"/>
      <c r="AX192" s="607"/>
      <c r="AY192" s="608"/>
      <c r="AZ192" s="609"/>
    </row>
    <row r="193" spans="2:52" s="601" customFormat="1" ht="14.45" hidden="1" customHeight="1" outlineLevel="1">
      <c r="B193" s="20" t="s">
        <v>137</v>
      </c>
      <c r="C193" s="596" t="s">
        <v>47</v>
      </c>
      <c r="D193" s="303" t="s">
        <v>187</v>
      </c>
      <c r="E193" s="582">
        <f>master_Daily!E146</f>
        <v>6.8992599999999999</v>
      </c>
      <c r="F193" s="582">
        <f>master_Daily!F146</f>
        <v>6.6025799999999997</v>
      </c>
      <c r="G193" s="582">
        <f>master_Daily!G146</f>
        <v>7.5281200000000004</v>
      </c>
      <c r="H193" s="582">
        <f>master_Daily!H146</f>
        <v>7.5104600000000001</v>
      </c>
      <c r="I193" s="582">
        <f>master_Daily!I146</f>
        <v>6.9756999999999998</v>
      </c>
      <c r="J193" s="582">
        <f>master_Daily!J146</f>
        <v>3.4583599999999999</v>
      </c>
      <c r="K193" s="582">
        <f>master_Daily!K146</f>
        <v>0</v>
      </c>
      <c r="L193" s="582">
        <f>master_Daily!L146</f>
        <v>0</v>
      </c>
      <c r="M193" s="582">
        <f>master_Daily!M146</f>
        <v>0</v>
      </c>
      <c r="N193" s="582">
        <f>master_Daily!N146</f>
        <v>0</v>
      </c>
      <c r="O193" s="582">
        <f>master_Daily!O146</f>
        <v>0</v>
      </c>
      <c r="P193" s="582">
        <f>master_Daily!P146</f>
        <v>0</v>
      </c>
      <c r="Q193" s="582"/>
      <c r="R193" s="582">
        <f>master_Daily!R146</f>
        <v>0.18179999999999999</v>
      </c>
      <c r="S193" s="582">
        <f>master_Daily!S146</f>
        <v>3.4583599999999999</v>
      </c>
      <c r="T193" s="580">
        <f t="shared" si="84"/>
        <v>0</v>
      </c>
      <c r="U193" s="583">
        <f t="shared" si="85"/>
        <v>38.97448</v>
      </c>
      <c r="V193" s="584">
        <f>IFERROR(U193/$U$195,0)</f>
        <v>0.12360070088795802</v>
      </c>
      <c r="X193" s="596" t="s">
        <v>136</v>
      </c>
      <c r="Y193" s="596" t="s">
        <v>47</v>
      </c>
      <c r="Z193" s="576" t="s">
        <v>187</v>
      </c>
      <c r="AA193" s="582">
        <f>master_Daily!AC146</f>
        <v>1.7462</v>
      </c>
      <c r="AB193" s="582">
        <f>master_Daily!AM146</f>
        <v>1.4379999999999999</v>
      </c>
      <c r="AC193" s="582">
        <f>master_Daily!AW146</f>
        <v>1.732</v>
      </c>
      <c r="AD193" s="582">
        <f>master_Daily!BG146</f>
        <v>1.4141999999999999</v>
      </c>
      <c r="AE193" s="582">
        <f>master_Daily!BQ146</f>
        <v>1.7976000000000001</v>
      </c>
      <c r="AF193" s="582">
        <f>master_Daily!CA146</f>
        <v>0.59</v>
      </c>
      <c r="AG193" s="582">
        <f>master_Daily!CK146</f>
        <v>0</v>
      </c>
      <c r="AH193" s="582">
        <f>master_Daily!CU146</f>
        <v>0</v>
      </c>
      <c r="AI193" s="582">
        <f>master_Daily!DE146</f>
        <v>0</v>
      </c>
      <c r="AJ193" s="582">
        <f>master_Daily!DO146</f>
        <v>0</v>
      </c>
      <c r="AK193" s="582">
        <f>master_Daily!DY146</f>
        <v>0</v>
      </c>
      <c r="AL193" s="582">
        <f>master_Daily!EI146</f>
        <v>0</v>
      </c>
      <c r="AM193" s="582"/>
      <c r="AN193" s="582">
        <f>master_Daily!ER146</f>
        <v>0.09</v>
      </c>
      <c r="AO193" s="582">
        <f>master_Daily!EZ146</f>
        <v>0.59</v>
      </c>
      <c r="AP193" s="280">
        <f t="shared" si="79"/>
        <v>0</v>
      </c>
      <c r="AQ193" s="582">
        <f t="shared" si="81"/>
        <v>8.718</v>
      </c>
      <c r="AR193" s="587">
        <f>IFERROR(AQ193/$AQ$195,0)</f>
        <v>9.7958138008836237E-2</v>
      </c>
      <c r="AS193" s="582"/>
      <c r="AT193" s="280"/>
      <c r="AU193" s="604"/>
      <c r="AV193" s="605"/>
      <c r="AW193" s="606"/>
      <c r="AX193" s="607"/>
      <c r="AY193" s="608"/>
      <c r="AZ193" s="609"/>
    </row>
    <row r="194" spans="2:52" s="601" customFormat="1" ht="14.45" hidden="1" customHeight="1" outlineLevel="1">
      <c r="B194" s="20" t="s">
        <v>137</v>
      </c>
      <c r="C194" s="596" t="s">
        <v>47</v>
      </c>
      <c r="D194" s="74"/>
      <c r="E194" s="597"/>
      <c r="F194" s="597"/>
      <c r="G194" s="597"/>
      <c r="H194" s="597"/>
      <c r="I194" s="597"/>
      <c r="J194" s="597"/>
      <c r="K194" s="597"/>
      <c r="L194" s="597"/>
      <c r="M194" s="597"/>
      <c r="N194" s="597"/>
      <c r="O194" s="597"/>
      <c r="P194" s="597"/>
      <c r="Q194" s="597"/>
      <c r="R194" s="597"/>
      <c r="S194" s="597"/>
      <c r="T194" s="616"/>
      <c r="U194" s="599"/>
      <c r="V194" s="600"/>
      <c r="X194" s="596" t="s">
        <v>136</v>
      </c>
      <c r="Y194" s="596" t="s">
        <v>47</v>
      </c>
      <c r="Z194" s="596"/>
      <c r="AA194" s="602"/>
      <c r="AB194" s="602"/>
      <c r="AC194" s="602"/>
      <c r="AD194" s="602"/>
      <c r="AE194" s="602"/>
      <c r="AF194" s="602"/>
      <c r="AG194" s="602"/>
      <c r="AH194" s="602"/>
      <c r="AI194" s="602"/>
      <c r="AJ194" s="602"/>
      <c r="AK194" s="602"/>
      <c r="AL194" s="602"/>
      <c r="AM194" s="597"/>
      <c r="AN194" s="597"/>
      <c r="AO194" s="597"/>
      <c r="AP194" s="598"/>
      <c r="AQ194" s="602"/>
      <c r="AR194" s="603"/>
      <c r="AS194" s="597"/>
      <c r="AT194" s="598"/>
      <c r="AU194" s="604"/>
      <c r="AV194" s="605"/>
      <c r="AW194" s="606"/>
      <c r="AX194" s="607"/>
      <c r="AY194" s="608"/>
      <c r="AZ194" s="609"/>
    </row>
    <row r="195" spans="2:52" s="601" customFormat="1" ht="14.45" customHeight="1" collapsed="1">
      <c r="B195" s="596" t="s">
        <v>137</v>
      </c>
      <c r="C195" s="596" t="s">
        <v>47</v>
      </c>
      <c r="D195" s="596"/>
      <c r="E195" s="597">
        <f>master_Daily!E148</f>
        <v>59.335659999999997</v>
      </c>
      <c r="F195" s="597">
        <f>master_Daily!F148</f>
        <v>55.161720000000003</v>
      </c>
      <c r="G195" s="597">
        <f>master_Daily!G148</f>
        <v>62.280259999999998</v>
      </c>
      <c r="H195" s="597">
        <f>master_Daily!H148</f>
        <v>58.526199999999996</v>
      </c>
      <c r="I195" s="597">
        <f>master_Daily!I148</f>
        <v>53.102820000000008</v>
      </c>
      <c r="J195" s="597">
        <f>master_Daily!J148</f>
        <v>26.919060000000002</v>
      </c>
      <c r="K195" s="597">
        <f>master_Daily!K148</f>
        <v>0</v>
      </c>
      <c r="L195" s="597">
        <f>master_Daily!L148</f>
        <v>0</v>
      </c>
      <c r="M195" s="597">
        <f>master_Daily!M148</f>
        <v>0</v>
      </c>
      <c r="N195" s="597">
        <f>master_Daily!N148</f>
        <v>0</v>
      </c>
      <c r="O195" s="597">
        <f>master_Daily!O148</f>
        <v>0</v>
      </c>
      <c r="P195" s="597">
        <f>master_Daily!P148</f>
        <v>0</v>
      </c>
      <c r="Q195" s="597">
        <f>master_Daily!Q148</f>
        <v>48.542371946521918</v>
      </c>
      <c r="R195" s="597">
        <f>master_Daily!R148</f>
        <v>1.6195999999999999</v>
      </c>
      <c r="S195" s="597">
        <f>master_Daily!S148</f>
        <v>26.919060000000002</v>
      </c>
      <c r="T195" s="616">
        <f t="shared" si="77"/>
        <v>0.55454768526054199</v>
      </c>
      <c r="U195" s="599">
        <f t="shared" si="78"/>
        <v>315.32571999999999</v>
      </c>
      <c r="V195" s="600">
        <f>IFERROR(U195/$U$200,0)</f>
        <v>0.52425254136169785</v>
      </c>
      <c r="X195" s="596" t="s">
        <v>136</v>
      </c>
      <c r="Y195" s="596" t="s">
        <v>47</v>
      </c>
      <c r="Z195" s="596"/>
      <c r="AA195" s="602">
        <f>master_Daily!AA148</f>
        <v>17.247799999999998</v>
      </c>
      <c r="AB195" s="602">
        <f>master_Daily!AK148</f>
        <v>16.534599999999998</v>
      </c>
      <c r="AC195" s="602">
        <f>master_Daily!AU148</f>
        <v>17.459</v>
      </c>
      <c r="AD195" s="602">
        <f>master_Daily!BE148</f>
        <v>15.972</v>
      </c>
      <c r="AE195" s="602">
        <f>master_Daily!BO148</f>
        <v>15.4976</v>
      </c>
      <c r="AF195" s="602">
        <f>master_Daily!BY148</f>
        <v>6.2862</v>
      </c>
      <c r="AG195" s="602">
        <f>master_Daily!CI148</f>
        <v>0</v>
      </c>
      <c r="AH195" s="602">
        <f>master_Daily!CS148</f>
        <v>0</v>
      </c>
      <c r="AI195" s="602">
        <f>master_Daily!DC148</f>
        <v>0</v>
      </c>
      <c r="AJ195" s="602">
        <f>master_Daily!DM148</f>
        <v>0</v>
      </c>
      <c r="AK195" s="602">
        <f>master_Daily!DW148</f>
        <v>0</v>
      </c>
      <c r="AL195" s="602">
        <f>master_Daily!EG148</f>
        <v>0</v>
      </c>
      <c r="AM195" s="597">
        <f>master_Daily!EQ148</f>
        <v>16.905030642276621</v>
      </c>
      <c r="AN195" s="597">
        <f ca="1">master_Daily!ER148</f>
        <v>1.05</v>
      </c>
      <c r="AO195" s="597">
        <f ca="1">master_Daily!EZ148</f>
        <v>6.2862</v>
      </c>
      <c r="AP195" s="598">
        <f t="shared" ca="1" si="79"/>
        <v>0.37185380689457476</v>
      </c>
      <c r="AQ195" s="602">
        <f t="shared" si="81"/>
        <v>88.997199999999992</v>
      </c>
      <c r="AR195" s="603">
        <f>IFERROR(AQ195/$AQ$200,0)</f>
        <v>0.60311242911511809</v>
      </c>
      <c r="AS195" s="597">
        <f>master_Daily!FR148</f>
        <v>0</v>
      </c>
      <c r="AT195" s="598">
        <f t="shared" si="80"/>
        <v>0</v>
      </c>
      <c r="AU195" s="604"/>
      <c r="AV195" s="605"/>
      <c r="AW195" s="606"/>
      <c r="AX195" s="607"/>
      <c r="AY195" s="608"/>
      <c r="AZ195" s="609"/>
    </row>
    <row r="196" spans="2:52" s="601" customFormat="1" ht="14.45" hidden="1" customHeight="1" outlineLevel="1">
      <c r="B196" s="20" t="s">
        <v>137</v>
      </c>
      <c r="C196" s="610" t="s">
        <v>61</v>
      </c>
      <c r="D196" s="303" t="s">
        <v>188</v>
      </c>
      <c r="E196" s="582">
        <f>master_Daily!E149</f>
        <v>13.22292</v>
      </c>
      <c r="F196" s="582">
        <f>master_Daily!F149</f>
        <v>12.479979999999999</v>
      </c>
      <c r="G196" s="582">
        <f>master_Daily!G149</f>
        <v>15.03884</v>
      </c>
      <c r="H196" s="582">
        <f>master_Daily!H149</f>
        <v>16.847259999999999</v>
      </c>
      <c r="I196" s="582">
        <f>master_Daily!I149</f>
        <v>15.70884</v>
      </c>
      <c r="J196" s="582">
        <f>master_Daily!J149</f>
        <v>8.2581799999999994</v>
      </c>
      <c r="K196" s="582">
        <f>master_Daily!K149</f>
        <v>0</v>
      </c>
      <c r="L196" s="582">
        <f>master_Daily!L149</f>
        <v>0</v>
      </c>
      <c r="M196" s="582">
        <f>master_Daily!M149</f>
        <v>0</v>
      </c>
      <c r="N196" s="582">
        <f>master_Daily!N149</f>
        <v>0</v>
      </c>
      <c r="O196" s="582">
        <f>master_Daily!O149</f>
        <v>0</v>
      </c>
      <c r="P196" s="582">
        <f>master_Daily!P149</f>
        <v>0</v>
      </c>
      <c r="Q196" s="582"/>
      <c r="R196" s="582">
        <f>master_Daily!R149</f>
        <v>0.3836</v>
      </c>
      <c r="S196" s="582">
        <f>master_Daily!S149</f>
        <v>8.2581799999999994</v>
      </c>
      <c r="T196" s="580">
        <f t="shared" si="77"/>
        <v>0</v>
      </c>
      <c r="U196" s="583">
        <f t="shared" si="78"/>
        <v>81.55601999999999</v>
      </c>
      <c r="V196" s="584">
        <f>IFERROR(U196/$U$199,0)</f>
        <v>0.8062005342772548</v>
      </c>
      <c r="X196" s="20" t="s">
        <v>136</v>
      </c>
      <c r="Y196" s="596" t="s">
        <v>61</v>
      </c>
      <c r="Z196" s="576" t="s">
        <v>188</v>
      </c>
      <c r="AA196" s="582">
        <f>master_Daily!AC149</f>
        <v>2.7627999999999999</v>
      </c>
      <c r="AB196" s="582">
        <f>master_Daily!AM149</f>
        <v>2.7679999999999998</v>
      </c>
      <c r="AC196" s="582">
        <f>master_Daily!AW149</f>
        <v>3.5129999999999999</v>
      </c>
      <c r="AD196" s="582">
        <f>master_Daily!BG149</f>
        <v>3.82</v>
      </c>
      <c r="AE196" s="582">
        <f>master_Daily!BQ149</f>
        <v>3.6469999999999998</v>
      </c>
      <c r="AF196" s="582">
        <f>master_Daily!CA149</f>
        <v>1.9670000000000001</v>
      </c>
      <c r="AG196" s="582">
        <f>master_Daily!CK149</f>
        <v>0</v>
      </c>
      <c r="AH196" s="582">
        <f>master_Daily!CU149</f>
        <v>0</v>
      </c>
      <c r="AI196" s="582">
        <f>master_Daily!DE149</f>
        <v>0</v>
      </c>
      <c r="AJ196" s="582">
        <f>master_Daily!DO149</f>
        <v>0</v>
      </c>
      <c r="AK196" s="582">
        <f>master_Daily!DY149</f>
        <v>0</v>
      </c>
      <c r="AL196" s="582">
        <f>master_Daily!EI149</f>
        <v>0</v>
      </c>
      <c r="AM196" s="582"/>
      <c r="AN196" s="582">
        <f>master_Daily!ER149</f>
        <v>0.32</v>
      </c>
      <c r="AO196" s="582">
        <f>master_Daily!EZ149</f>
        <v>1.9670000000000001</v>
      </c>
      <c r="AP196" s="280">
        <f t="shared" ref="AP196" si="86">IFERROR(AO196/AM196,0)</f>
        <v>0</v>
      </c>
      <c r="AQ196" s="582">
        <f t="shared" si="81"/>
        <v>18.477799999999998</v>
      </c>
      <c r="AR196" s="587">
        <f>IFERROR(AQ196/$AQ$199,0)</f>
        <v>0.84554207164168182</v>
      </c>
      <c r="AS196" s="582"/>
      <c r="AT196" s="280"/>
      <c r="AU196" s="604"/>
      <c r="AV196" s="605"/>
      <c r="AW196" s="606"/>
      <c r="AX196" s="607"/>
      <c r="AY196" s="608"/>
      <c r="AZ196" s="609"/>
    </row>
    <row r="197" spans="2:52" s="601" customFormat="1" ht="14.45" hidden="1" customHeight="1" outlineLevel="1">
      <c r="B197" s="20" t="s">
        <v>137</v>
      </c>
      <c r="C197" s="610" t="s">
        <v>61</v>
      </c>
      <c r="D197" s="303" t="s">
        <v>189</v>
      </c>
      <c r="E197" s="582">
        <f>master_Daily!E150</f>
        <v>3.31582</v>
      </c>
      <c r="F197" s="582">
        <f>master_Daily!F150</f>
        <v>2.93</v>
      </c>
      <c r="G197" s="582">
        <f>master_Daily!G150</f>
        <v>3.51</v>
      </c>
      <c r="H197" s="582">
        <f>master_Daily!H150</f>
        <v>3.8792399999999998</v>
      </c>
      <c r="I197" s="582">
        <f>master_Daily!I150</f>
        <v>3.9098999999999999</v>
      </c>
      <c r="J197" s="582">
        <f>master_Daily!J150</f>
        <v>2.0599799999999999</v>
      </c>
      <c r="K197" s="582">
        <f>master_Daily!K150</f>
        <v>0</v>
      </c>
      <c r="L197" s="582">
        <f>master_Daily!L150</f>
        <v>0</v>
      </c>
      <c r="M197" s="582">
        <f>master_Daily!M150</f>
        <v>0</v>
      </c>
      <c r="N197" s="582">
        <f>master_Daily!N150</f>
        <v>0</v>
      </c>
      <c r="O197" s="582">
        <f>master_Daily!O150</f>
        <v>0</v>
      </c>
      <c r="P197" s="582">
        <f>master_Daily!P150</f>
        <v>0</v>
      </c>
      <c r="Q197" s="582"/>
      <c r="R197" s="582">
        <f>master_Daily!R150</f>
        <v>0.04</v>
      </c>
      <c r="S197" s="582">
        <f>master_Daily!S150</f>
        <v>2.0599799999999999</v>
      </c>
      <c r="T197" s="580">
        <f t="shared" ref="T197" si="87">IFERROR(S197/Q197,0)</f>
        <v>0</v>
      </c>
      <c r="U197" s="583">
        <f t="shared" ref="U197" si="88">SUM(E197:P197)</f>
        <v>19.604939999999999</v>
      </c>
      <c r="V197" s="584">
        <f>IFERROR(U197/$U$199,0)</f>
        <v>0.19379946572274523</v>
      </c>
      <c r="X197" s="20" t="s">
        <v>136</v>
      </c>
      <c r="Y197" s="596" t="s">
        <v>61</v>
      </c>
      <c r="Z197" s="576" t="s">
        <v>189</v>
      </c>
      <c r="AA197" s="582">
        <f>master_Daily!AC150</f>
        <v>0.45100000000000001</v>
      </c>
      <c r="AB197" s="582">
        <f>master_Daily!AM150</f>
        <v>0.52200000000000002</v>
      </c>
      <c r="AC197" s="582">
        <f>master_Daily!AW150</f>
        <v>0.75</v>
      </c>
      <c r="AD197" s="582">
        <f>master_Daily!BG150</f>
        <v>0.55400000000000005</v>
      </c>
      <c r="AE197" s="582">
        <f>master_Daily!BQ150</f>
        <v>0.71340000000000003</v>
      </c>
      <c r="AF197" s="582">
        <f>master_Daily!CA150</f>
        <v>0.38500000000000001</v>
      </c>
      <c r="AG197" s="582">
        <f>master_Daily!CK150</f>
        <v>0</v>
      </c>
      <c r="AH197" s="582">
        <f>master_Daily!CU150</f>
        <v>0</v>
      </c>
      <c r="AI197" s="582">
        <f>master_Daily!DE150</f>
        <v>0</v>
      </c>
      <c r="AJ197" s="582">
        <f>master_Daily!DO150</f>
        <v>0</v>
      </c>
      <c r="AK197" s="582">
        <f>master_Daily!DY150</f>
        <v>0</v>
      </c>
      <c r="AL197" s="582">
        <f>master_Daily!EI150</f>
        <v>0</v>
      </c>
      <c r="AM197" s="582"/>
      <c r="AN197" s="582">
        <f>master_Daily!ER150</f>
        <v>0.05</v>
      </c>
      <c r="AO197" s="582">
        <f>master_Daily!EZ150</f>
        <v>0.38500000000000001</v>
      </c>
      <c r="AP197" s="280">
        <f t="shared" ref="AP197:AP198" si="89">IFERROR(AO197/AM197,0)</f>
        <v>0</v>
      </c>
      <c r="AQ197" s="582">
        <f t="shared" si="81"/>
        <v>3.3754</v>
      </c>
      <c r="AR197" s="587">
        <f>IFERROR(AQ197/$AQ$199,0)</f>
        <v>0.15445792835831826</v>
      </c>
      <c r="AS197" s="582"/>
      <c r="AT197" s="280"/>
      <c r="AU197" s="604"/>
      <c r="AV197" s="605"/>
      <c r="AW197" s="606"/>
      <c r="AX197" s="607"/>
      <c r="AY197" s="608"/>
      <c r="AZ197" s="609"/>
    </row>
    <row r="198" spans="2:52" s="601" customFormat="1" ht="14.45" hidden="1" customHeight="1" outlineLevel="1">
      <c r="B198" s="20" t="s">
        <v>137</v>
      </c>
      <c r="C198" s="610" t="s">
        <v>61</v>
      </c>
      <c r="D198" s="303" t="s">
        <v>190</v>
      </c>
      <c r="E198" s="582">
        <f>master_Daily!E151</f>
        <v>0</v>
      </c>
      <c r="F198" s="582">
        <f>master_Daily!F151</f>
        <v>0</v>
      </c>
      <c r="G198" s="582">
        <f>master_Daily!G151</f>
        <v>0</v>
      </c>
      <c r="H198" s="582">
        <f>master_Daily!H151</f>
        <v>0</v>
      </c>
      <c r="I198" s="582">
        <f>master_Daily!I151</f>
        <v>0</v>
      </c>
      <c r="J198" s="582">
        <f>master_Daily!J151</f>
        <v>0</v>
      </c>
      <c r="K198" s="582">
        <f>master_Daily!K151</f>
        <v>0</v>
      </c>
      <c r="L198" s="582">
        <f>master_Daily!L151</f>
        <v>0</v>
      </c>
      <c r="M198" s="582">
        <f>master_Daily!M151</f>
        <v>0</v>
      </c>
      <c r="N198" s="582">
        <f>master_Daily!N151</f>
        <v>0</v>
      </c>
      <c r="O198" s="582">
        <f>master_Daily!O151</f>
        <v>0</v>
      </c>
      <c r="P198" s="582">
        <f>master_Daily!P151</f>
        <v>0</v>
      </c>
      <c r="Q198" s="597"/>
      <c r="R198" s="582">
        <f>master_Daily!R151</f>
        <v>0</v>
      </c>
      <c r="S198" s="582">
        <f>master_Daily!S151</f>
        <v>0</v>
      </c>
      <c r="T198" s="580">
        <f t="shared" ref="T198" si="90">IFERROR(S198/Q198,0)</f>
        <v>0</v>
      </c>
      <c r="U198" s="583">
        <f t="shared" ref="U198" si="91">SUM(E198:P198)</f>
        <v>0</v>
      </c>
      <c r="V198" s="584">
        <f>IFERROR(U198/$U$199,0)</f>
        <v>0</v>
      </c>
      <c r="X198" s="20" t="s">
        <v>136</v>
      </c>
      <c r="Y198" s="596" t="s">
        <v>61</v>
      </c>
      <c r="Z198" s="303" t="s">
        <v>190</v>
      </c>
      <c r="AA198" s="582">
        <f>master_Daily!AC151</f>
        <v>0</v>
      </c>
      <c r="AB198" s="582">
        <f>master_Daily!AM151</f>
        <v>0</v>
      </c>
      <c r="AC198" s="582">
        <f>master_Daily!AW151</f>
        <v>0</v>
      </c>
      <c r="AD198" s="582">
        <f>master_Daily!BG151</f>
        <v>0</v>
      </c>
      <c r="AE198" s="582">
        <f>master_Daily!BQ151</f>
        <v>0</v>
      </c>
      <c r="AF198" s="582">
        <f>master_Daily!CA151</f>
        <v>0</v>
      </c>
      <c r="AG198" s="582">
        <f>master_Daily!CK151</f>
        <v>0</v>
      </c>
      <c r="AH198" s="582">
        <f>master_Daily!CU151</f>
        <v>0</v>
      </c>
      <c r="AI198" s="582">
        <f>master_Daily!DE151</f>
        <v>0</v>
      </c>
      <c r="AJ198" s="582">
        <f>master_Daily!DO151</f>
        <v>0</v>
      </c>
      <c r="AK198" s="582">
        <f>master_Daily!DY151</f>
        <v>0</v>
      </c>
      <c r="AL198" s="582">
        <f>master_Daily!EI151</f>
        <v>0</v>
      </c>
      <c r="AM198" s="597"/>
      <c r="AN198" s="582">
        <f>master_Daily!ER151</f>
        <v>0</v>
      </c>
      <c r="AO198" s="582">
        <f>master_Daily!EZ151</f>
        <v>0</v>
      </c>
      <c r="AP198" s="280">
        <f t="shared" si="89"/>
        <v>0</v>
      </c>
      <c r="AQ198" s="582">
        <f t="shared" si="81"/>
        <v>0</v>
      </c>
      <c r="AR198" s="587">
        <f>IFERROR(AQ198/$AQ$199,0)</f>
        <v>0</v>
      </c>
      <c r="AS198" s="597"/>
      <c r="AT198" s="598"/>
      <c r="AU198" s="604"/>
      <c r="AV198" s="605"/>
      <c r="AW198" s="606"/>
      <c r="AX198" s="607"/>
      <c r="AY198" s="608"/>
      <c r="AZ198" s="609"/>
    </row>
    <row r="199" spans="2:52" s="601" customFormat="1" ht="14.45" customHeight="1" collapsed="1">
      <c r="B199" s="596" t="s">
        <v>137</v>
      </c>
      <c r="C199" s="610" t="s">
        <v>61</v>
      </c>
      <c r="D199" s="610"/>
      <c r="E199" s="597">
        <f>master_Daily!E152</f>
        <v>16.538740000000001</v>
      </c>
      <c r="F199" s="597">
        <f>master_Daily!F152</f>
        <v>15.409980000000001</v>
      </c>
      <c r="G199" s="597">
        <f>master_Daily!G152</f>
        <v>18.548839999999995</v>
      </c>
      <c r="H199" s="597">
        <f>master_Daily!H152</f>
        <v>20.726499999999998</v>
      </c>
      <c r="I199" s="597">
        <f>master_Daily!I152</f>
        <v>19.618739999999999</v>
      </c>
      <c r="J199" s="597">
        <f>master_Daily!J152</f>
        <v>10.318159999999999</v>
      </c>
      <c r="K199" s="597">
        <f>master_Daily!K152</f>
        <v>0</v>
      </c>
      <c r="L199" s="597">
        <f>master_Daily!L152</f>
        <v>0</v>
      </c>
      <c r="M199" s="597">
        <f>master_Daily!M152</f>
        <v>0</v>
      </c>
      <c r="N199" s="597">
        <f>master_Daily!N152</f>
        <v>0</v>
      </c>
      <c r="O199" s="597">
        <f>master_Daily!O152</f>
        <v>0</v>
      </c>
      <c r="P199" s="597">
        <f>master_Daily!P152</f>
        <v>0</v>
      </c>
      <c r="Q199" s="597">
        <f>master_Daily!Q152</f>
        <v>16.354011397699612</v>
      </c>
      <c r="R199" s="597">
        <f>master_Daily!R152</f>
        <v>0.42360000000000003</v>
      </c>
      <c r="S199" s="597">
        <f>master_Daily!S152</f>
        <v>10.318159999999999</v>
      </c>
      <c r="T199" s="616">
        <f t="shared" si="77"/>
        <v>0.63092532768146248</v>
      </c>
      <c r="U199" s="599">
        <f t="shared" si="78"/>
        <v>101.16095999999999</v>
      </c>
      <c r="V199" s="600">
        <f>IFERROR(U199/$U$200,0)</f>
        <v>0.16818764535474323</v>
      </c>
      <c r="X199" s="611" t="s">
        <v>136</v>
      </c>
      <c r="Y199" s="596" t="s">
        <v>61</v>
      </c>
      <c r="Z199" s="596"/>
      <c r="AA199" s="602">
        <f>master_Daily!AA152</f>
        <v>3.2138</v>
      </c>
      <c r="AB199" s="602">
        <f>master_Daily!AK152</f>
        <v>3.29</v>
      </c>
      <c r="AC199" s="602">
        <f>master_Daily!AU152</f>
        <v>4.2629999999999999</v>
      </c>
      <c r="AD199" s="602">
        <f>master_Daily!BE152</f>
        <v>4.3739999999999997</v>
      </c>
      <c r="AE199" s="602">
        <f>master_Daily!BO152</f>
        <v>4.3604000000000003</v>
      </c>
      <c r="AF199" s="602">
        <f>master_Daily!BY152</f>
        <v>2.3520000000000003</v>
      </c>
      <c r="AG199" s="602">
        <f>master_Daily!CI152</f>
        <v>0</v>
      </c>
      <c r="AH199" s="602">
        <f>master_Daily!CS152</f>
        <v>0</v>
      </c>
      <c r="AI199" s="602">
        <f>master_Daily!DC152</f>
        <v>0</v>
      </c>
      <c r="AJ199" s="602">
        <f>master_Daily!DM152</f>
        <v>0</v>
      </c>
      <c r="AK199" s="602">
        <f>master_Daily!DW152</f>
        <v>0</v>
      </c>
      <c r="AL199" s="602">
        <f>master_Daily!EG152</f>
        <v>0</v>
      </c>
      <c r="AM199" s="597">
        <f>master_Daily!EQ152</f>
        <v>3.8573895672760816</v>
      </c>
      <c r="AN199" s="597">
        <f ca="1">master_Daily!ER152</f>
        <v>0.37</v>
      </c>
      <c r="AO199" s="597">
        <f ca="1">master_Daily!EZ152</f>
        <v>2.3520000000000003</v>
      </c>
      <c r="AP199" s="598">
        <f t="shared" ca="1" si="79"/>
        <v>0.60973877773534779</v>
      </c>
      <c r="AQ199" s="602">
        <f t="shared" si="81"/>
        <v>21.853199999999998</v>
      </c>
      <c r="AR199" s="603">
        <f>IFERROR(AQ199/$AQ$200,0)</f>
        <v>0.14809383369295326</v>
      </c>
      <c r="AS199" s="597">
        <f>master_Daily!FR152</f>
        <v>0</v>
      </c>
      <c r="AT199" s="598">
        <f t="shared" si="80"/>
        <v>0</v>
      </c>
      <c r="AU199" s="604"/>
      <c r="AV199" s="605"/>
      <c r="AW199" s="606"/>
      <c r="AX199" s="607"/>
      <c r="AY199" s="608"/>
      <c r="AZ199" s="609"/>
    </row>
    <row r="200" spans="2:52">
      <c r="B200" s="780" t="s">
        <v>137</v>
      </c>
      <c r="C200" s="781"/>
      <c r="D200" s="424"/>
      <c r="E200" s="338">
        <f>master_Daily!E153</f>
        <v>112.90154</v>
      </c>
      <c r="F200" s="338">
        <f>master_Daily!F153</f>
        <v>101.72</v>
      </c>
      <c r="G200" s="338">
        <f>master_Daily!G153</f>
        <v>115.57729999999999</v>
      </c>
      <c r="H200" s="338">
        <f>master_Daily!H153</f>
        <v>112.88661999999998</v>
      </c>
      <c r="I200" s="338">
        <f>master_Daily!I153</f>
        <v>104.44572000000001</v>
      </c>
      <c r="J200" s="338">
        <f>master_Daily!J153</f>
        <v>53.94558</v>
      </c>
      <c r="K200" s="338">
        <f>master_Daily!K153</f>
        <v>0</v>
      </c>
      <c r="L200" s="338">
        <f>master_Daily!L153</f>
        <v>0</v>
      </c>
      <c r="M200" s="338">
        <f>master_Daily!M153</f>
        <v>0</v>
      </c>
      <c r="N200" s="338">
        <f>master_Daily!N153</f>
        <v>0</v>
      </c>
      <c r="O200" s="338">
        <f>master_Daily!O153</f>
        <v>0</v>
      </c>
      <c r="P200" s="338">
        <f>master_Daily!P153</f>
        <v>0</v>
      </c>
      <c r="Q200" s="338">
        <f>master_Daily!Q153</f>
        <v>92.864000000000004</v>
      </c>
      <c r="R200" s="338">
        <f>SUM(R199,R195,R189,R184,R181)</f>
        <v>3.0492000000000004</v>
      </c>
      <c r="S200" s="338">
        <f>SUM(S199,S195,S189,S184,S181)</f>
        <v>53.94558</v>
      </c>
      <c r="T200" s="27">
        <f t="shared" si="77"/>
        <v>0.58090950206753955</v>
      </c>
      <c r="U200" s="338">
        <f t="shared" si="78"/>
        <v>601.4767599999999</v>
      </c>
      <c r="V200" s="26">
        <f>IFERROR(U200/$U$200,0)</f>
        <v>1</v>
      </c>
      <c r="X200" s="423" t="s">
        <v>136</v>
      </c>
      <c r="Y200" s="424"/>
      <c r="Z200" s="424"/>
      <c r="AA200" s="338">
        <f>master_Daily!AA153</f>
        <v>28.043599999999998</v>
      </c>
      <c r="AB200" s="338">
        <f>master_Daily!AK153</f>
        <v>27.204999999999998</v>
      </c>
      <c r="AC200" s="338">
        <f>master_Daily!AU153</f>
        <v>27.488199999999999</v>
      </c>
      <c r="AD200" s="338">
        <f>master_Daily!BE153</f>
        <v>26.5808</v>
      </c>
      <c r="AE200" s="338">
        <f>master_Daily!BO153</f>
        <v>26.972399999999997</v>
      </c>
      <c r="AF200" s="338">
        <f>master_Daily!BY153</f>
        <v>11.273200000000001</v>
      </c>
      <c r="AG200" s="338">
        <f>master_Daily!CI153</f>
        <v>0</v>
      </c>
      <c r="AH200" s="338">
        <f>master_Daily!CS153</f>
        <v>0</v>
      </c>
      <c r="AI200" s="338">
        <f>master_Daily!DC153</f>
        <v>0</v>
      </c>
      <c r="AJ200" s="338">
        <f>master_Daily!DM153</f>
        <v>0</v>
      </c>
      <c r="AK200" s="338">
        <f>master_Daily!DW153</f>
        <v>0</v>
      </c>
      <c r="AL200" s="338">
        <f>master_Daily!EG153</f>
        <v>0</v>
      </c>
      <c r="AM200" s="352">
        <f>master_Daily!EQ153</f>
        <v>27.492999999999995</v>
      </c>
      <c r="AN200" s="338">
        <f ca="1">master_Daily!ER153</f>
        <v>1.752</v>
      </c>
      <c r="AO200" s="338">
        <f ca="1">master_Daily!EZ153</f>
        <v>11.273200000000001</v>
      </c>
      <c r="AP200" s="27">
        <f t="shared" ca="1" si="79"/>
        <v>0.41003891899756312</v>
      </c>
      <c r="AQ200" s="338">
        <f>SUM(AA200,AB200,AC200,AD200,AE200,AF200,AG200,AH200,AI200,AJ200,AK200,AL200)</f>
        <v>147.56319999999999</v>
      </c>
      <c r="AR200" s="26">
        <f>IFERROR(AQ200/AQ200,0)</f>
        <v>1</v>
      </c>
      <c r="AS200" s="338">
        <f>master_Daily!FR153</f>
        <v>0</v>
      </c>
      <c r="AT200" s="27">
        <f t="shared" si="80"/>
        <v>0</v>
      </c>
      <c r="AU200" s="413"/>
      <c r="AV200" s="561"/>
      <c r="AW200" s="416"/>
      <c r="AX200" s="562"/>
      <c r="AY200" s="289"/>
      <c r="AZ200" s="397"/>
    </row>
    <row r="201" spans="2:52" ht="14.45" hidden="1" customHeight="1" outlineLevel="1">
      <c r="B201" s="73" t="s">
        <v>191</v>
      </c>
      <c r="C201" s="74" t="s">
        <v>44</v>
      </c>
      <c r="D201" s="74"/>
      <c r="E201" s="348">
        <f>master_Daily!E154</f>
        <v>6.3696000000000002</v>
      </c>
      <c r="F201" s="348">
        <f>master_Daily!F154</f>
        <v>5.15998</v>
      </c>
      <c r="G201" s="348">
        <f>master_Daily!G154</f>
        <v>5.82</v>
      </c>
      <c r="H201" s="348">
        <f>master_Daily!H154</f>
        <v>5.7797000000000001</v>
      </c>
      <c r="I201" s="348">
        <f>master_Daily!I154</f>
        <v>5.7597199999999997</v>
      </c>
      <c r="J201" s="348">
        <f>master_Daily!J154</f>
        <v>3.0496799999999999</v>
      </c>
      <c r="K201" s="348">
        <f>master_Daily!K154</f>
        <v>0</v>
      </c>
      <c r="L201" s="348">
        <f>master_Daily!L154</f>
        <v>0</v>
      </c>
      <c r="M201" s="348">
        <f>master_Daily!M154</f>
        <v>0</v>
      </c>
      <c r="N201" s="348">
        <f>master_Daily!N154</f>
        <v>0</v>
      </c>
      <c r="O201" s="348">
        <f>master_Daily!O154</f>
        <v>0</v>
      </c>
      <c r="P201" s="348">
        <f>master_Daily!P154</f>
        <v>0</v>
      </c>
      <c r="Q201" s="348">
        <f>master_Daily!Q154</f>
        <v>4.8521313541661399</v>
      </c>
      <c r="R201" s="348">
        <f>master_Daily!R154</f>
        <v>0.08</v>
      </c>
      <c r="S201" s="348">
        <f>master_Daily!S154</f>
        <v>3.0496799999999999</v>
      </c>
      <c r="T201" s="62">
        <f t="shared" si="77"/>
        <v>0.62852379241165468</v>
      </c>
      <c r="U201" s="348">
        <f t="shared" si="78"/>
        <v>31.938680000000002</v>
      </c>
      <c r="V201" s="61">
        <f>IFERROR(U201/$U$206,0)</f>
        <v>6.2635999671471002E-2</v>
      </c>
      <c r="X201" s="20" t="s">
        <v>124</v>
      </c>
      <c r="Y201" s="20" t="s">
        <v>44</v>
      </c>
      <c r="Z201" s="20"/>
      <c r="AA201" s="179">
        <f>master_Daily!AA154</f>
        <v>6.6599999999999993E-2</v>
      </c>
      <c r="AB201" s="179">
        <f>master_Daily!AK154</f>
        <v>0.05</v>
      </c>
      <c r="AC201" s="179">
        <f>master_Daily!AU154</f>
        <v>5.7000000000000009E-2</v>
      </c>
      <c r="AD201" s="179">
        <f>master_Daily!BE154</f>
        <v>4.0399999999999998E-2</v>
      </c>
      <c r="AE201" s="179">
        <f>master_Daily!BO154</f>
        <v>5.4999999999999993E-2</v>
      </c>
      <c r="AF201" s="179">
        <f>master_Daily!BY154</f>
        <v>1.6E-2</v>
      </c>
      <c r="AG201" s="179">
        <f>master_Daily!CI154</f>
        <v>0</v>
      </c>
      <c r="AH201" s="179">
        <f>master_Daily!CS154</f>
        <v>0</v>
      </c>
      <c r="AI201" s="179">
        <f>master_Daily!DC154</f>
        <v>0</v>
      </c>
      <c r="AJ201" s="179">
        <f>master_Daily!DM154</f>
        <v>0</v>
      </c>
      <c r="AK201" s="179">
        <f>master_Daily!DW154</f>
        <v>0</v>
      </c>
      <c r="AL201" s="179">
        <f>master_Daily!EG154</f>
        <v>0</v>
      </c>
      <c r="AM201" s="354">
        <f>master_Daily!EQ154</f>
        <v>6.030506282839216E-2</v>
      </c>
      <c r="AN201" s="348">
        <f ca="1">master_Daily!ER154</f>
        <v>2E-3</v>
      </c>
      <c r="AO201" s="348">
        <f ca="1">master_Daily!EZ154</f>
        <v>1.6E-2</v>
      </c>
      <c r="AP201" s="23">
        <f t="shared" ca="1" si="79"/>
        <v>0.26531769058147897</v>
      </c>
      <c r="AQ201" s="21">
        <f>SUM(AA201,AB201,AC201,AD201,AE201,AF201,AG201,AH201,AI201,AJ201,AK201,AL201)</f>
        <v>0.28500000000000003</v>
      </c>
      <c r="AR201" s="58">
        <f>IFERROR(AQ201/$AQ$206,0)</f>
        <v>7.9100749375520408E-3</v>
      </c>
      <c r="AS201" s="348">
        <f>master_Daily!FR154</f>
        <v>0</v>
      </c>
      <c r="AT201" s="23">
        <f t="shared" si="80"/>
        <v>0</v>
      </c>
      <c r="AU201" s="53"/>
      <c r="AV201" s="420"/>
    </row>
    <row r="202" spans="2:52" ht="14.45" hidden="1" customHeight="1" outlineLevel="1">
      <c r="B202" s="73" t="s">
        <v>191</v>
      </c>
      <c r="C202" s="74" t="s">
        <v>45</v>
      </c>
      <c r="D202" s="74"/>
      <c r="E202" s="348">
        <f>master_Daily!E155</f>
        <v>1.76908</v>
      </c>
      <c r="F202" s="348">
        <f>master_Daily!F155</f>
        <v>1.78948</v>
      </c>
      <c r="G202" s="348">
        <f>master_Daily!G155</f>
        <v>1.8088599999999999</v>
      </c>
      <c r="H202" s="348">
        <f>master_Daily!H155</f>
        <v>1.57948</v>
      </c>
      <c r="I202" s="348">
        <f>master_Daily!I155</f>
        <v>1.44998</v>
      </c>
      <c r="J202" s="348">
        <f>master_Daily!J155</f>
        <v>0.71996000000000004</v>
      </c>
      <c r="K202" s="348">
        <f>master_Daily!K155</f>
        <v>0</v>
      </c>
      <c r="L202" s="348">
        <f>master_Daily!L155</f>
        <v>0</v>
      </c>
      <c r="M202" s="348">
        <f>master_Daily!M155</f>
        <v>0</v>
      </c>
      <c r="N202" s="348">
        <f>master_Daily!N155</f>
        <v>0</v>
      </c>
      <c r="O202" s="348">
        <f>master_Daily!O155</f>
        <v>0</v>
      </c>
      <c r="P202" s="348">
        <f>master_Daily!P155</f>
        <v>0</v>
      </c>
      <c r="Q202" s="348">
        <f>master_Daily!Q155</f>
        <v>1.3523587869576936</v>
      </c>
      <c r="R202" s="348">
        <f>master_Daily!R155</f>
        <v>0.02</v>
      </c>
      <c r="S202" s="348">
        <f>master_Daily!S155</f>
        <v>0.71996000000000004</v>
      </c>
      <c r="T202" s="62">
        <f t="shared" si="77"/>
        <v>0.53237351429471125</v>
      </c>
      <c r="U202" s="348">
        <f t="shared" si="78"/>
        <v>9.1168399999999998</v>
      </c>
      <c r="V202" s="61">
        <f>IFERROR(U202/$U$206,0)</f>
        <v>1.7879335878779386E-2</v>
      </c>
      <c r="X202" s="20" t="s">
        <v>124</v>
      </c>
      <c r="Y202" s="20" t="s">
        <v>45</v>
      </c>
      <c r="Z202" s="20"/>
      <c r="AA202" s="179">
        <f>master_Daily!AA155</f>
        <v>5.0000000000000001E-3</v>
      </c>
      <c r="AB202" s="179">
        <f>master_Daily!AK155</f>
        <v>5.7999999999999996E-3</v>
      </c>
      <c r="AC202" s="179">
        <f>master_Daily!AU155</f>
        <v>7.0000000000000001E-3</v>
      </c>
      <c r="AD202" s="179">
        <f>master_Daily!BE155</f>
        <v>5.9999999999999995E-4</v>
      </c>
      <c r="AE202" s="179">
        <f>master_Daily!BO155</f>
        <v>5.0000000000000001E-3</v>
      </c>
      <c r="AF202" s="179">
        <f>master_Daily!BY155</f>
        <v>1E-3</v>
      </c>
      <c r="AG202" s="179">
        <f>master_Daily!CI155</f>
        <v>0</v>
      </c>
      <c r="AH202" s="179">
        <f>master_Daily!CS155</f>
        <v>0</v>
      </c>
      <c r="AI202" s="179">
        <f>master_Daily!DC155</f>
        <v>0</v>
      </c>
      <c r="AJ202" s="179">
        <f>master_Daily!DM155</f>
        <v>0</v>
      </c>
      <c r="AK202" s="179">
        <f>master_Daily!DW155</f>
        <v>0</v>
      </c>
      <c r="AL202" s="179">
        <f>master_Daily!EG155</f>
        <v>0</v>
      </c>
      <c r="AM202" s="354">
        <f>master_Daily!EQ155</f>
        <v>6.8690328608662287E-3</v>
      </c>
      <c r="AN202" s="348">
        <f ca="1">master_Daily!ER155</f>
        <v>0</v>
      </c>
      <c r="AO202" s="348">
        <f ca="1">master_Daily!EZ155</f>
        <v>1E-3</v>
      </c>
      <c r="AP202" s="23">
        <f t="shared" ca="1" si="79"/>
        <v>0.14558090203602456</v>
      </c>
      <c r="AQ202" s="21">
        <f t="shared" si="81"/>
        <v>2.4400000000000002E-2</v>
      </c>
      <c r="AR202" s="58">
        <f>IFERROR(AQ202/$AQ$206,0)</f>
        <v>6.7721343325006936E-4</v>
      </c>
      <c r="AS202" s="348">
        <f>master_Daily!FR155</f>
        <v>0</v>
      </c>
      <c r="AT202" s="23">
        <f t="shared" si="80"/>
        <v>0</v>
      </c>
      <c r="AU202" s="53"/>
      <c r="AV202" s="420"/>
    </row>
    <row r="203" spans="2:52" ht="15.75" hidden="1" customHeight="1" outlineLevel="1">
      <c r="B203" s="73" t="s">
        <v>191</v>
      </c>
      <c r="C203" s="74" t="s">
        <v>46</v>
      </c>
      <c r="D203" s="74"/>
      <c r="E203" s="348">
        <f>master_Daily!E156</f>
        <v>24.368459999999999</v>
      </c>
      <c r="F203" s="348">
        <f>master_Daily!F156</f>
        <v>20.55904</v>
      </c>
      <c r="G203" s="348">
        <f>master_Daily!G156</f>
        <v>21.349139999999998</v>
      </c>
      <c r="H203" s="348">
        <f>master_Daily!H156</f>
        <v>20.848939999999999</v>
      </c>
      <c r="I203" s="348">
        <f>master_Daily!I156</f>
        <v>20.419619999999998</v>
      </c>
      <c r="J203" s="348">
        <f>master_Daily!J156</f>
        <v>11.38992</v>
      </c>
      <c r="K203" s="348">
        <f>master_Daily!K156</f>
        <v>0</v>
      </c>
      <c r="L203" s="348">
        <f>master_Daily!L156</f>
        <v>0</v>
      </c>
      <c r="M203" s="348">
        <f>master_Daily!M156</f>
        <v>0</v>
      </c>
      <c r="N203" s="348">
        <f>master_Daily!N156</f>
        <v>0</v>
      </c>
      <c r="O203" s="348">
        <f>master_Daily!O156</f>
        <v>0</v>
      </c>
      <c r="P203" s="348">
        <f>master_Daily!P156</f>
        <v>0</v>
      </c>
      <c r="Q203" s="348">
        <f>master_Daily!Q156</f>
        <v>17.502272857950842</v>
      </c>
      <c r="R203" s="348">
        <f>master_Daily!R156</f>
        <v>0.34</v>
      </c>
      <c r="S203" s="348">
        <f>master_Daily!S156</f>
        <v>11.38992</v>
      </c>
      <c r="T203" s="62">
        <f t="shared" si="77"/>
        <v>0.65076805123774806</v>
      </c>
      <c r="U203" s="348">
        <f t="shared" si="78"/>
        <v>118.93511999999998</v>
      </c>
      <c r="V203" s="61">
        <f>IFERROR(U203/$U$206,0)</f>
        <v>0.23324758998325423</v>
      </c>
      <c r="X203" s="20" t="s">
        <v>124</v>
      </c>
      <c r="Y203" s="20" t="s">
        <v>46</v>
      </c>
      <c r="Z203" s="20"/>
      <c r="AA203" s="179">
        <f>master_Daily!AA156</f>
        <v>1.4687999999999999</v>
      </c>
      <c r="AB203" s="179">
        <f>master_Daily!AK156</f>
        <v>1.0661999999999998</v>
      </c>
      <c r="AC203" s="179">
        <f>master_Daily!AU156</f>
        <v>1.19</v>
      </c>
      <c r="AD203" s="179">
        <f>master_Daily!BE156</f>
        <v>0.82400000000000007</v>
      </c>
      <c r="AE203" s="179">
        <f>master_Daily!BO156</f>
        <v>1.395</v>
      </c>
      <c r="AF203" s="179">
        <f>master_Daily!BY156</f>
        <v>0.23</v>
      </c>
      <c r="AG203" s="179">
        <f>master_Daily!CI156</f>
        <v>0</v>
      </c>
      <c r="AH203" s="179">
        <f>master_Daily!CS156</f>
        <v>0</v>
      </c>
      <c r="AI203" s="179">
        <f>master_Daily!DC156</f>
        <v>0</v>
      </c>
      <c r="AJ203" s="179">
        <f>master_Daily!DM156</f>
        <v>0</v>
      </c>
      <c r="AK203" s="179">
        <f>master_Daily!DW156</f>
        <v>0</v>
      </c>
      <c r="AL203" s="179">
        <f>master_Daily!EG156</f>
        <v>0</v>
      </c>
      <c r="AM203" s="354">
        <f>master_Daily!EQ156</f>
        <v>1.1554011543478864</v>
      </c>
      <c r="AN203" s="348">
        <f ca="1">master_Daily!ER156</f>
        <v>0.08</v>
      </c>
      <c r="AO203" s="348">
        <f ca="1">master_Daily!EZ156</f>
        <v>0.23</v>
      </c>
      <c r="AP203" s="23">
        <f t="shared" ca="1" si="79"/>
        <v>0.19906505990104628</v>
      </c>
      <c r="AQ203" s="21">
        <f t="shared" si="81"/>
        <v>6.1739999999999995</v>
      </c>
      <c r="AR203" s="58">
        <f>IFERROR(AQ203/$AQ$206,0)</f>
        <v>0.17135720233139048</v>
      </c>
      <c r="AS203" s="348">
        <f>master_Daily!FR156</f>
        <v>0</v>
      </c>
      <c r="AT203" s="23">
        <f t="shared" si="80"/>
        <v>0</v>
      </c>
      <c r="AU203" s="53"/>
      <c r="AV203" s="420"/>
    </row>
    <row r="204" spans="2:52" ht="15" hidden="1" customHeight="1" outlineLevel="1">
      <c r="B204" s="73" t="s">
        <v>191</v>
      </c>
      <c r="C204" s="74" t="s">
        <v>47</v>
      </c>
      <c r="D204" s="74"/>
      <c r="E204" s="348">
        <f>master_Daily!E157</f>
        <v>51.236060000000002</v>
      </c>
      <c r="F204" s="348">
        <f>master_Daily!F157</f>
        <v>45.39772</v>
      </c>
      <c r="G204" s="348">
        <f>master_Daily!G157</f>
        <v>49.978659999999998</v>
      </c>
      <c r="H204" s="348">
        <f>master_Daily!H157</f>
        <v>46.987400000000001</v>
      </c>
      <c r="I204" s="348">
        <f>master_Daily!I157</f>
        <v>43.898820000000001</v>
      </c>
      <c r="J204" s="348">
        <f>master_Daily!J157</f>
        <v>23.45966</v>
      </c>
      <c r="K204" s="348">
        <f>master_Daily!K157</f>
        <v>0</v>
      </c>
      <c r="L204" s="348">
        <f>master_Daily!L157</f>
        <v>0</v>
      </c>
      <c r="M204" s="348">
        <f>master_Daily!M157</f>
        <v>0</v>
      </c>
      <c r="N204" s="348">
        <f>master_Daily!N157</f>
        <v>0</v>
      </c>
      <c r="O204" s="348">
        <f>master_Daily!O157</f>
        <v>0</v>
      </c>
      <c r="P204" s="348">
        <f>master_Daily!P157</f>
        <v>0</v>
      </c>
      <c r="Q204" s="348">
        <f>master_Daily!Q157</f>
        <v>39.373141553626269</v>
      </c>
      <c r="R204" s="348">
        <f>master_Daily!R157</f>
        <v>0.66</v>
      </c>
      <c r="S204" s="348">
        <f>master_Daily!S157</f>
        <v>23.45966</v>
      </c>
      <c r="T204" s="62">
        <f t="shared" si="77"/>
        <v>0.59582901120673626</v>
      </c>
      <c r="U204" s="348">
        <f t="shared" si="78"/>
        <v>260.95832000000001</v>
      </c>
      <c r="V204" s="61">
        <f>IFERROR(U204/$U$206,0)</f>
        <v>0.511773975812013</v>
      </c>
      <c r="X204" s="20" t="s">
        <v>124</v>
      </c>
      <c r="Y204" s="20" t="s">
        <v>47</v>
      </c>
      <c r="Z204" s="20"/>
      <c r="AA204" s="179">
        <f>master_Daily!AA157</f>
        <v>5.1135999999999999</v>
      </c>
      <c r="AB204" s="179">
        <f>master_Daily!AK157</f>
        <v>4.3179999999999996</v>
      </c>
      <c r="AC204" s="179">
        <f>master_Daily!AU157</f>
        <v>5.2730000000000006</v>
      </c>
      <c r="AD204" s="179">
        <f>master_Daily!BE157</f>
        <v>3.5680000000000001</v>
      </c>
      <c r="AE204" s="179">
        <f>master_Daily!BO157</f>
        <v>4.9000000000000004</v>
      </c>
      <c r="AF204" s="179">
        <f>master_Daily!BY157</f>
        <v>1.2229999999999999</v>
      </c>
      <c r="AG204" s="179">
        <f>master_Daily!CI157</f>
        <v>0</v>
      </c>
      <c r="AH204" s="179">
        <f>master_Daily!CS157</f>
        <v>0</v>
      </c>
      <c r="AI204" s="179">
        <f>master_Daily!DC157</f>
        <v>0</v>
      </c>
      <c r="AJ204" s="179">
        <f>master_Daily!DM157</f>
        <v>0</v>
      </c>
      <c r="AK204" s="179">
        <f>master_Daily!DW157</f>
        <v>0</v>
      </c>
      <c r="AL204" s="179">
        <f>master_Daily!EG157</f>
        <v>0</v>
      </c>
      <c r="AM204" s="354">
        <f>master_Daily!EQ157</f>
        <v>5.0333248381982179</v>
      </c>
      <c r="AN204" s="348">
        <f ca="1">master_Daily!ER157</f>
        <v>0.28000000000000003</v>
      </c>
      <c r="AO204" s="348">
        <f ca="1">master_Daily!EZ157</f>
        <v>1.2229999999999999</v>
      </c>
      <c r="AP204" s="23">
        <f t="shared" ca="1" si="79"/>
        <v>0.2429805425468621</v>
      </c>
      <c r="AQ204" s="21">
        <f t="shared" si="81"/>
        <v>24.395600000000002</v>
      </c>
      <c r="AR204" s="58">
        <f>IFERROR(AQ204/$AQ$206,0)</f>
        <v>0.67709131279489321</v>
      </c>
      <c r="AS204" s="348">
        <f>master_Daily!FR157</f>
        <v>0</v>
      </c>
      <c r="AT204" s="23">
        <f t="shared" si="80"/>
        <v>0</v>
      </c>
      <c r="AU204" s="53"/>
      <c r="AV204" s="420"/>
    </row>
    <row r="205" spans="2:52" ht="15" hidden="1" customHeight="1" outlineLevel="1">
      <c r="B205" s="73" t="s">
        <v>191</v>
      </c>
      <c r="C205" s="148" t="s">
        <v>61</v>
      </c>
      <c r="D205" s="148"/>
      <c r="E205" s="348">
        <f>master_Daily!E158</f>
        <v>14.843540000000001</v>
      </c>
      <c r="F205" s="348">
        <f>master_Daily!F158</f>
        <v>13.52998</v>
      </c>
      <c r="G205" s="348">
        <f>master_Daily!G158</f>
        <v>15.966839999999999</v>
      </c>
      <c r="H205" s="348">
        <f>master_Daily!H158</f>
        <v>17.837900000000001</v>
      </c>
      <c r="I205" s="348">
        <f>master_Daily!I158</f>
        <v>17.392340000000001</v>
      </c>
      <c r="J205" s="348">
        <f>master_Daily!J158</f>
        <v>9.3897600000000008</v>
      </c>
      <c r="K205" s="348">
        <f>master_Daily!K158</f>
        <v>0</v>
      </c>
      <c r="L205" s="348">
        <f>master_Daily!L158</f>
        <v>0</v>
      </c>
      <c r="M205" s="348">
        <f>master_Daily!M158</f>
        <v>0</v>
      </c>
      <c r="N205" s="348">
        <f>master_Daily!N158</f>
        <v>0</v>
      </c>
      <c r="O205" s="348">
        <f>master_Daily!O158</f>
        <v>0</v>
      </c>
      <c r="P205" s="348">
        <f>master_Daily!P158</f>
        <v>0</v>
      </c>
      <c r="Q205" s="348">
        <f>master_Daily!Q158</f>
        <v>14.310095447299059</v>
      </c>
      <c r="R205" s="348">
        <f>master_Daily!R158</f>
        <v>0.2</v>
      </c>
      <c r="S205" s="348">
        <f>master_Daily!S158</f>
        <v>9.3897600000000008</v>
      </c>
      <c r="T205" s="62">
        <f t="shared" si="77"/>
        <v>0.65616333829361417</v>
      </c>
      <c r="U205" s="348">
        <f t="shared" si="78"/>
        <v>88.960359999999994</v>
      </c>
      <c r="V205" s="61">
        <f>IFERROR(U205/$U$206,0)</f>
        <v>0.17446309865448231</v>
      </c>
      <c r="X205" s="20" t="s">
        <v>124</v>
      </c>
      <c r="Y205" s="20" t="s">
        <v>61</v>
      </c>
      <c r="Z205" s="20"/>
      <c r="AA205" s="179">
        <f>master_Daily!AA158</f>
        <v>0.90600000000000014</v>
      </c>
      <c r="AB205" s="179">
        <f>master_Daily!AK158</f>
        <v>1.01</v>
      </c>
      <c r="AC205" s="179">
        <f>master_Daily!AU158</f>
        <v>0.9830000000000001</v>
      </c>
      <c r="AD205" s="179">
        <f>master_Daily!BE158</f>
        <v>0.96699999999999986</v>
      </c>
      <c r="AE205" s="179">
        <f>master_Daily!BO158</f>
        <v>0.99500000000000011</v>
      </c>
      <c r="AF205" s="179">
        <f>master_Daily!BY158</f>
        <v>0.29000000000000004</v>
      </c>
      <c r="AG205" s="179">
        <f>master_Daily!CI158</f>
        <v>0</v>
      </c>
      <c r="AH205" s="179">
        <f>master_Daily!CS158</f>
        <v>0</v>
      </c>
      <c r="AI205" s="179">
        <f>master_Daily!DC158</f>
        <v>0</v>
      </c>
      <c r="AJ205" s="179">
        <f>master_Daily!DM158</f>
        <v>0</v>
      </c>
      <c r="AK205" s="179">
        <f>master_Daily!DW158</f>
        <v>0</v>
      </c>
      <c r="AL205" s="179">
        <f>master_Daily!EG158</f>
        <v>0</v>
      </c>
      <c r="AM205" s="354">
        <f>master_Daily!EQ158</f>
        <v>1.0440999117646381</v>
      </c>
      <c r="AN205" s="348">
        <f ca="1">master_Daily!ER158</f>
        <v>0.09</v>
      </c>
      <c r="AO205" s="348">
        <f ca="1">master_Daily!EZ158</f>
        <v>0.29000000000000004</v>
      </c>
      <c r="AP205" s="23">
        <f t="shared" ca="1" si="79"/>
        <v>0.27775119673161325</v>
      </c>
      <c r="AQ205" s="21">
        <f t="shared" si="81"/>
        <v>5.1509999999999998</v>
      </c>
      <c r="AR205" s="58">
        <f>IFERROR(AQ205/$AQ$206,0)</f>
        <v>0.14296419650291423</v>
      </c>
      <c r="AS205" s="348">
        <f>master_Daily!FR158</f>
        <v>0</v>
      </c>
      <c r="AT205" s="23">
        <f t="shared" si="80"/>
        <v>0</v>
      </c>
      <c r="AU205" s="53"/>
      <c r="AV205" s="420"/>
    </row>
    <row r="206" spans="2:52" collapsed="1">
      <c r="B206" s="776" t="s">
        <v>192</v>
      </c>
      <c r="C206" s="777"/>
      <c r="D206" s="426"/>
      <c r="E206" s="349">
        <f>master_Daily!E159</f>
        <v>98.586740000000006</v>
      </c>
      <c r="F206" s="349">
        <f>master_Daily!F159</f>
        <v>86.436199999999985</v>
      </c>
      <c r="G206" s="349">
        <f>master_Daily!G159</f>
        <v>94.923500000000004</v>
      </c>
      <c r="H206" s="349">
        <f>master_Daily!H159</f>
        <v>93.033420000000007</v>
      </c>
      <c r="I206" s="349">
        <f>master_Daily!I159</f>
        <v>88.920480000000012</v>
      </c>
      <c r="J206" s="349">
        <f>master_Daily!J159</f>
        <v>48.008980000000001</v>
      </c>
      <c r="K206" s="349">
        <f>master_Daily!K159</f>
        <v>0</v>
      </c>
      <c r="L206" s="349">
        <f>master_Daily!L159</f>
        <v>0</v>
      </c>
      <c r="M206" s="349">
        <f>master_Daily!M159</f>
        <v>0</v>
      </c>
      <c r="N206" s="349">
        <f>master_Daily!N159</f>
        <v>0</v>
      </c>
      <c r="O206" s="349">
        <f>master_Daily!O159</f>
        <v>0</v>
      </c>
      <c r="P206" s="349">
        <f>master_Daily!P159</f>
        <v>0</v>
      </c>
      <c r="Q206" s="349">
        <f>master_Daily!Q159</f>
        <v>77.39</v>
      </c>
      <c r="R206" s="349">
        <f>SUM(R201:R205)</f>
        <v>1.3</v>
      </c>
      <c r="S206" s="349">
        <f>SUM(S201:S205)</f>
        <v>48.008980000000001</v>
      </c>
      <c r="T206" s="65">
        <f t="shared" si="77"/>
        <v>0.62035120816642975</v>
      </c>
      <c r="U206" s="349">
        <f t="shared" si="78"/>
        <v>509.90932000000004</v>
      </c>
      <c r="V206" s="65">
        <f>IFERROR(U206/$U200,0)</f>
        <v>0.84776229758237065</v>
      </c>
      <c r="X206" s="425" t="s">
        <v>193</v>
      </c>
      <c r="Y206" s="426"/>
      <c r="Z206" s="426"/>
      <c r="AA206" s="349">
        <f>master_Daily!AA159</f>
        <v>7.5600000000000005</v>
      </c>
      <c r="AB206" s="349">
        <f>master_Daily!AK159</f>
        <v>6.4499999999999993</v>
      </c>
      <c r="AC206" s="349">
        <f>master_Daily!AU159</f>
        <v>7.5100000000000016</v>
      </c>
      <c r="AD206" s="349">
        <f>master_Daily!BE159</f>
        <v>5.3999999999999995</v>
      </c>
      <c r="AE206" s="349">
        <f>master_Daily!BO159</f>
        <v>7.3500000000000005</v>
      </c>
      <c r="AF206" s="349">
        <f>master_Daily!BY159</f>
        <v>1.7599999999999998</v>
      </c>
      <c r="AG206" s="349">
        <f>master_Daily!CI159</f>
        <v>0</v>
      </c>
      <c r="AH206" s="349">
        <f>master_Daily!CS159</f>
        <v>0</v>
      </c>
      <c r="AI206" s="349">
        <f>master_Daily!DC159</f>
        <v>0</v>
      </c>
      <c r="AJ206" s="349">
        <f>master_Daily!DM159</f>
        <v>0</v>
      </c>
      <c r="AK206" s="349">
        <f>master_Daily!DW159</f>
        <v>0</v>
      </c>
      <c r="AL206" s="349">
        <f>master_Daily!EG159</f>
        <v>0</v>
      </c>
      <c r="AM206" s="355">
        <f>master_Daily!EQ159</f>
        <v>7.3000000000000007</v>
      </c>
      <c r="AN206" s="349">
        <f ca="1">master_Daily!ER159</f>
        <v>0.45200000000000007</v>
      </c>
      <c r="AO206" s="349">
        <f ca="1">master_Daily!EZ159</f>
        <v>1.7599999999999998</v>
      </c>
      <c r="AP206" s="65">
        <f t="shared" ca="1" si="79"/>
        <v>0.24109589041095886</v>
      </c>
      <c r="AQ206" s="349">
        <f>SUM(AQ201:AQ205)</f>
        <v>36.03</v>
      </c>
      <c r="AR206" s="65">
        <f>IFERROR(AQ206/$AQ$200,0)</f>
        <v>0.24416656727422556</v>
      </c>
      <c r="AS206" s="349">
        <f>master_Daily!FR159</f>
        <v>0</v>
      </c>
      <c r="AT206" s="65">
        <f t="shared" si="80"/>
        <v>0</v>
      </c>
      <c r="AU206" s="414"/>
      <c r="AV206" s="420"/>
      <c r="AW206" s="397"/>
    </row>
    <row r="207" spans="2:52" ht="14.45" hidden="1" customHeight="1" outlineLevel="1">
      <c r="B207" s="20" t="s">
        <v>127</v>
      </c>
      <c r="C207" s="74" t="s">
        <v>44</v>
      </c>
      <c r="D207" s="74"/>
      <c r="E207" s="348">
        <f>master_Daily!E166</f>
        <v>0</v>
      </c>
      <c r="F207" s="348">
        <f>master_Daily!F166</f>
        <v>0</v>
      </c>
      <c r="G207" s="348">
        <f>master_Daily!G166</f>
        <v>0</v>
      </c>
      <c r="H207" s="348">
        <f>master_Daily!H166</f>
        <v>0</v>
      </c>
      <c r="I207" s="348">
        <f>master_Daily!I166</f>
        <v>0</v>
      </c>
      <c r="J207" s="348">
        <f>master_Daily!J166</f>
        <v>0</v>
      </c>
      <c r="K207" s="348">
        <f>master_Daily!K166</f>
        <v>0</v>
      </c>
      <c r="L207" s="348">
        <f>master_Daily!L166</f>
        <v>0</v>
      </c>
      <c r="M207" s="348">
        <f>master_Daily!M166</f>
        <v>0</v>
      </c>
      <c r="N207" s="348">
        <f>master_Daily!N166</f>
        <v>0</v>
      </c>
      <c r="O207" s="348">
        <f>master_Daily!O166</f>
        <v>0</v>
      </c>
      <c r="P207" s="348">
        <f>master_Daily!P166</f>
        <v>0</v>
      </c>
      <c r="Q207" s="350">
        <f>master_Daily!Q166</f>
        <v>0</v>
      </c>
      <c r="R207" s="348">
        <f>master_Daily!R166</f>
        <v>0</v>
      </c>
      <c r="S207" s="348">
        <f>master_Daily!S166</f>
        <v>0</v>
      </c>
      <c r="T207" s="62">
        <f t="shared" si="77"/>
        <v>0</v>
      </c>
      <c r="U207" s="348">
        <f t="shared" si="78"/>
        <v>0</v>
      </c>
      <c r="V207" s="62">
        <f>IFERROR(U207/$U$212,0)</f>
        <v>0</v>
      </c>
      <c r="X207" s="20" t="s">
        <v>194</v>
      </c>
      <c r="Y207" s="20" t="s">
        <v>44</v>
      </c>
      <c r="Z207" s="20"/>
      <c r="AA207" s="179">
        <f>master_Daily!AA160</f>
        <v>5.1999999999999998E-2</v>
      </c>
      <c r="AB207" s="179">
        <f>master_Daily!AK160</f>
        <v>0.05</v>
      </c>
      <c r="AC207" s="179">
        <f>master_Daily!AU160</f>
        <v>4.5199999999999997E-2</v>
      </c>
      <c r="AD207" s="179">
        <f>master_Daily!BE160</f>
        <v>3.1800000000000002E-2</v>
      </c>
      <c r="AE207" s="179">
        <f>master_Daily!BO160</f>
        <v>2.9400000000000003E-2</v>
      </c>
      <c r="AF207" s="179">
        <f>master_Daily!BY160</f>
        <v>3.5600000000000007E-2</v>
      </c>
      <c r="AG207" s="179">
        <f>master_Daily!CI160</f>
        <v>0</v>
      </c>
      <c r="AH207" s="179">
        <f>master_Daily!CS160</f>
        <v>0</v>
      </c>
      <c r="AI207" s="179">
        <f>master_Daily!DC160</f>
        <v>0</v>
      </c>
      <c r="AJ207" s="179">
        <f>master_Daily!DM160</f>
        <v>0</v>
      </c>
      <c r="AK207" s="179">
        <f>master_Daily!DW160</f>
        <v>0</v>
      </c>
      <c r="AL207" s="179">
        <f>master_Daily!EG160</f>
        <v>0</v>
      </c>
      <c r="AM207" s="354">
        <f>master_Daily!EQ160</f>
        <v>4.9367503062860064E-2</v>
      </c>
      <c r="AN207" s="348">
        <f ca="1">master_Daily!ER160</f>
        <v>0.01</v>
      </c>
      <c r="AO207" s="348">
        <f ca="1">master_Daily!EZ160</f>
        <v>3.5600000000000007E-2</v>
      </c>
      <c r="AP207" s="23">
        <f t="shared" ca="1" si="79"/>
        <v>0.72112215103668953</v>
      </c>
      <c r="AQ207" s="21">
        <f t="shared" ref="AQ207:AQ229" si="92">SUM(AA207,AB207,AC207,AD207,AE207,AF207,AG207,AH207,AI207,AJ207,AK207,AL207)</f>
        <v>0.24399999999999999</v>
      </c>
      <c r="AR207" s="356">
        <f>IFERROR(AQ207/$AQ$212,0)</f>
        <v>5.0867244829886594E-3</v>
      </c>
      <c r="AS207" s="348">
        <f>master_Daily!FR160</f>
        <v>0</v>
      </c>
      <c r="AT207" s="23">
        <f t="shared" si="80"/>
        <v>0</v>
      </c>
      <c r="AU207" s="414"/>
      <c r="AV207" s="420"/>
      <c r="AW207" s="397"/>
    </row>
    <row r="208" spans="2:52" ht="14.45" hidden="1" customHeight="1" outlineLevel="1">
      <c r="B208" s="20" t="s">
        <v>127</v>
      </c>
      <c r="C208" s="74" t="s">
        <v>45</v>
      </c>
      <c r="D208" s="74"/>
      <c r="E208" s="348">
        <f>master_Daily!E167</f>
        <v>0</v>
      </c>
      <c r="F208" s="348">
        <f>master_Daily!F167</f>
        <v>0</v>
      </c>
      <c r="G208" s="348">
        <f>master_Daily!G167</f>
        <v>0</v>
      </c>
      <c r="H208" s="348">
        <f>master_Daily!H167</f>
        <v>0</v>
      </c>
      <c r="I208" s="348">
        <f>master_Daily!I167</f>
        <v>0</v>
      </c>
      <c r="J208" s="348">
        <f>master_Daily!J167</f>
        <v>0</v>
      </c>
      <c r="K208" s="348">
        <f>master_Daily!K167</f>
        <v>0</v>
      </c>
      <c r="L208" s="348">
        <f>master_Daily!L167</f>
        <v>0</v>
      </c>
      <c r="M208" s="348">
        <f>master_Daily!M167</f>
        <v>0</v>
      </c>
      <c r="N208" s="348">
        <f>master_Daily!N167</f>
        <v>0</v>
      </c>
      <c r="O208" s="348">
        <f>master_Daily!O167</f>
        <v>0</v>
      </c>
      <c r="P208" s="348">
        <f>master_Daily!P167</f>
        <v>0</v>
      </c>
      <c r="Q208" s="350">
        <f>master_Daily!Q167</f>
        <v>0</v>
      </c>
      <c r="R208" s="348">
        <f>master_Daily!R167</f>
        <v>0</v>
      </c>
      <c r="S208" s="348">
        <f>master_Daily!S167</f>
        <v>0</v>
      </c>
      <c r="T208" s="62">
        <f t="shared" si="77"/>
        <v>0</v>
      </c>
      <c r="U208" s="348">
        <f t="shared" si="78"/>
        <v>0</v>
      </c>
      <c r="V208" s="62">
        <f>IFERROR(U208/$U$212,0)</f>
        <v>0</v>
      </c>
      <c r="X208" s="20" t="s">
        <v>194</v>
      </c>
      <c r="Y208" s="20" t="s">
        <v>45</v>
      </c>
      <c r="Z208" s="20"/>
      <c r="AA208" s="179">
        <f>master_Daily!AA161</f>
        <v>5.1999999999999998E-2</v>
      </c>
      <c r="AB208" s="179">
        <f>master_Daily!AK161</f>
        <v>1.4E-2</v>
      </c>
      <c r="AC208" s="179">
        <f>master_Daily!AU161</f>
        <v>1.4999999999999999E-2</v>
      </c>
      <c r="AD208" s="179">
        <f>master_Daily!BE161</f>
        <v>2E-3</v>
      </c>
      <c r="AE208" s="179">
        <f>master_Daily!BO161</f>
        <v>1.7400000000000002E-2</v>
      </c>
      <c r="AF208" s="179">
        <f>master_Daily!BY161</f>
        <v>1.0999999999999999E-2</v>
      </c>
      <c r="AG208" s="179">
        <f>master_Daily!CI161</f>
        <v>0</v>
      </c>
      <c r="AH208" s="179">
        <f>master_Daily!CS161</f>
        <v>0</v>
      </c>
      <c r="AI208" s="179">
        <f>master_Daily!DC161</f>
        <v>0</v>
      </c>
      <c r="AJ208" s="179">
        <f>master_Daily!DM161</f>
        <v>0</v>
      </c>
      <c r="AK208" s="179">
        <f>master_Daily!DW161</f>
        <v>0</v>
      </c>
      <c r="AL208" s="179">
        <f>master_Daily!EG161</f>
        <v>0</v>
      </c>
      <c r="AM208" s="354">
        <f>master_Daily!EQ161</f>
        <v>2.4581344612320456E-2</v>
      </c>
      <c r="AN208" s="348">
        <f ca="1">master_Daily!ER161</f>
        <v>0</v>
      </c>
      <c r="AO208" s="348">
        <f ca="1">master_Daily!EZ161</f>
        <v>1.0999999999999999E-2</v>
      </c>
      <c r="AP208" s="23">
        <f t="shared" ca="1" si="79"/>
        <v>0.44749382808321525</v>
      </c>
      <c r="AQ208" s="21">
        <f t="shared" si="92"/>
        <v>0.1114</v>
      </c>
      <c r="AR208" s="356">
        <f>IFERROR(AQ208/$AQ$212,0)</f>
        <v>2.3223815877251503E-3</v>
      </c>
      <c r="AS208" s="348">
        <f>master_Daily!FR161</f>
        <v>0</v>
      </c>
      <c r="AT208" s="23">
        <f t="shared" si="80"/>
        <v>0</v>
      </c>
      <c r="AU208" s="414"/>
      <c r="AV208" s="420"/>
      <c r="AW208" s="397"/>
    </row>
    <row r="209" spans="2:49" ht="14.45" hidden="1" customHeight="1" outlineLevel="1">
      <c r="B209" s="20" t="s">
        <v>127</v>
      </c>
      <c r="C209" s="74" t="s">
        <v>46</v>
      </c>
      <c r="D209" s="74"/>
      <c r="E209" s="348">
        <f>master_Daily!E168</f>
        <v>0.79</v>
      </c>
      <c r="F209" s="348">
        <f>master_Daily!F168</f>
        <v>0.68</v>
      </c>
      <c r="G209" s="348">
        <f>master_Daily!G168</f>
        <v>1.1499999999999999</v>
      </c>
      <c r="H209" s="348">
        <f>master_Daily!H168</f>
        <v>1.03</v>
      </c>
      <c r="I209" s="348">
        <f>master_Daily!I168</f>
        <v>0.8</v>
      </c>
      <c r="J209" s="348">
        <f>master_Daily!J168</f>
        <v>0.38</v>
      </c>
      <c r="K209" s="348">
        <f>master_Daily!K168</f>
        <v>0</v>
      </c>
      <c r="L209" s="348">
        <f>master_Daily!L168</f>
        <v>0</v>
      </c>
      <c r="M209" s="348">
        <f>master_Daily!M168</f>
        <v>0</v>
      </c>
      <c r="N209" s="348">
        <f>master_Daily!N168</f>
        <v>0</v>
      </c>
      <c r="O209" s="348">
        <f>master_Daily!O168</f>
        <v>0</v>
      </c>
      <c r="P209" s="348">
        <f>master_Daily!P168</f>
        <v>0</v>
      </c>
      <c r="Q209" s="350">
        <f>master_Daily!Q168</f>
        <v>0.77091304347826106</v>
      </c>
      <c r="R209" s="348">
        <f>master_Daily!R168</f>
        <v>0</v>
      </c>
      <c r="S209" s="348">
        <f>master_Daily!S168</f>
        <v>0.38</v>
      </c>
      <c r="T209" s="62">
        <f t="shared" si="77"/>
        <v>0.49292200101517103</v>
      </c>
      <c r="U209" s="348">
        <f t="shared" si="78"/>
        <v>4.83</v>
      </c>
      <c r="V209" s="62">
        <f>IFERROR(U209/$U$212,0)</f>
        <v>0.20936280884265279</v>
      </c>
      <c r="X209" s="20" t="s">
        <v>194</v>
      </c>
      <c r="Y209" s="20" t="s">
        <v>46</v>
      </c>
      <c r="Z209" s="20"/>
      <c r="AA209" s="179">
        <f>master_Daily!AA162</f>
        <v>2.1718000000000002</v>
      </c>
      <c r="AB209" s="179">
        <f>master_Daily!AK162</f>
        <v>2.117</v>
      </c>
      <c r="AC209" s="179">
        <f>master_Daily!AU162</f>
        <v>1.58</v>
      </c>
      <c r="AD209" s="179">
        <f>master_Daily!BE162</f>
        <v>1.7589999999999999</v>
      </c>
      <c r="AE209" s="179">
        <f>master_Daily!BO162</f>
        <v>1.988</v>
      </c>
      <c r="AF209" s="179">
        <f>master_Daily!BY162</f>
        <v>1.19</v>
      </c>
      <c r="AG209" s="179">
        <f>master_Daily!CI162</f>
        <v>0</v>
      </c>
      <c r="AH209" s="179">
        <f>master_Daily!CS162</f>
        <v>0</v>
      </c>
      <c r="AI209" s="179">
        <f>master_Daily!DC162</f>
        <v>0</v>
      </c>
      <c r="AJ209" s="179">
        <f>master_Daily!DM162</f>
        <v>0</v>
      </c>
      <c r="AK209" s="179">
        <f>master_Daily!DW162</f>
        <v>0</v>
      </c>
      <c r="AL209" s="179">
        <f>master_Daily!EG162</f>
        <v>0</v>
      </c>
      <c r="AM209" s="354">
        <f>master_Daily!EQ162</f>
        <v>2.121636843768635</v>
      </c>
      <c r="AN209" s="348">
        <f ca="1">master_Daily!ER162</f>
        <v>0.24</v>
      </c>
      <c r="AO209" s="348">
        <f ca="1">master_Daily!EZ162</f>
        <v>1.19</v>
      </c>
      <c r="AP209" s="23">
        <f t="shared" ca="1" si="79"/>
        <v>0.56088769550505113</v>
      </c>
      <c r="AQ209" s="21">
        <f t="shared" si="92"/>
        <v>10.8058</v>
      </c>
      <c r="AR209" s="356">
        <f>IFERROR(AQ209/$AQ$212,0)</f>
        <v>0.22527101400933958</v>
      </c>
      <c r="AS209" s="348">
        <f>master_Daily!FR162</f>
        <v>0</v>
      </c>
      <c r="AT209" s="23">
        <f t="shared" si="80"/>
        <v>0</v>
      </c>
      <c r="AU209" s="414"/>
      <c r="AV209" s="420"/>
      <c r="AW209" s="397"/>
    </row>
    <row r="210" spans="2:49" ht="14.45" hidden="1" customHeight="1" outlineLevel="1">
      <c r="B210" s="20" t="s">
        <v>127</v>
      </c>
      <c r="C210" s="74" t="s">
        <v>47</v>
      </c>
      <c r="D210" s="74"/>
      <c r="E210" s="348">
        <f>master_Daily!E169</f>
        <v>2.25</v>
      </c>
      <c r="F210" s="348">
        <f>master_Daily!F169</f>
        <v>2.23</v>
      </c>
      <c r="G210" s="348">
        <f>master_Daily!G169</f>
        <v>2.94</v>
      </c>
      <c r="H210" s="348">
        <f>master_Daily!H169</f>
        <v>3.08</v>
      </c>
      <c r="I210" s="348">
        <f>master_Daily!I169</f>
        <v>2.36</v>
      </c>
      <c r="J210" s="348">
        <f>master_Daily!J169</f>
        <v>1.26</v>
      </c>
      <c r="K210" s="348">
        <f>master_Daily!K169</f>
        <v>0</v>
      </c>
      <c r="L210" s="348">
        <f>master_Daily!L169</f>
        <v>0</v>
      </c>
      <c r="M210" s="348">
        <f>master_Daily!M169</f>
        <v>0</v>
      </c>
      <c r="N210" s="348">
        <f>master_Daily!N169</f>
        <v>0</v>
      </c>
      <c r="O210" s="348">
        <f>master_Daily!O169</f>
        <v>0</v>
      </c>
      <c r="P210" s="348">
        <f>master_Daily!P169</f>
        <v>0</v>
      </c>
      <c r="Q210" s="350">
        <f>master_Daily!Q169</f>
        <v>2.1678695652173916</v>
      </c>
      <c r="R210" s="348">
        <f>master_Daily!R169</f>
        <v>0</v>
      </c>
      <c r="S210" s="348">
        <f>master_Daily!S169</f>
        <v>1.26</v>
      </c>
      <c r="T210" s="62">
        <f t="shared" si="77"/>
        <v>0.58121577986803308</v>
      </c>
      <c r="U210" s="348">
        <f t="shared" si="78"/>
        <v>14.12</v>
      </c>
      <c r="V210" s="62">
        <f>IFERROR(U210/$U$212,0)</f>
        <v>0.61205028175119203</v>
      </c>
      <c r="X210" s="20" t="s">
        <v>194</v>
      </c>
      <c r="Y210" s="20" t="s">
        <v>47</v>
      </c>
      <c r="Z210" s="20"/>
      <c r="AA210" s="179">
        <f>master_Daily!AA163</f>
        <v>5.3710000000000004</v>
      </c>
      <c r="AB210" s="179">
        <f>master_Daily!AK163</f>
        <v>5.4269999999999996</v>
      </c>
      <c r="AC210" s="179">
        <f>master_Daily!AU163</f>
        <v>5.056</v>
      </c>
      <c r="AD210" s="179">
        <f>master_Daily!BE163</f>
        <v>5.9820000000000002</v>
      </c>
      <c r="AE210" s="179">
        <f>master_Daily!BO163</f>
        <v>5.4729999999999999</v>
      </c>
      <c r="AF210" s="179">
        <f>master_Daily!BY163</f>
        <v>2.1440000000000001</v>
      </c>
      <c r="AG210" s="179">
        <f>master_Daily!CI163</f>
        <v>0</v>
      </c>
      <c r="AH210" s="179">
        <f>master_Daily!CS163</f>
        <v>0</v>
      </c>
      <c r="AI210" s="179">
        <f>master_Daily!DC163</f>
        <v>0</v>
      </c>
      <c r="AJ210" s="179">
        <f>master_Daily!DM163</f>
        <v>0</v>
      </c>
      <c r="AK210" s="179">
        <f>master_Daily!DW163</f>
        <v>0</v>
      </c>
      <c r="AL210" s="179">
        <f>master_Daily!EG163</f>
        <v>0</v>
      </c>
      <c r="AM210" s="354">
        <f>master_Daily!EQ163</f>
        <v>5.59590434884002</v>
      </c>
      <c r="AN210" s="348">
        <f ca="1">master_Daily!ER163</f>
        <v>0.77</v>
      </c>
      <c r="AO210" s="348">
        <f ca="1">master_Daily!EZ163</f>
        <v>2.1440000000000001</v>
      </c>
      <c r="AP210" s="23">
        <f t="shared" ca="1" si="79"/>
        <v>0.38313735659981962</v>
      </c>
      <c r="AQ210" s="21">
        <f t="shared" si="92"/>
        <v>29.452999999999996</v>
      </c>
      <c r="AR210" s="356">
        <f>IFERROR(AQ210/$AQ$212,0)</f>
        <v>0.61401350900600393</v>
      </c>
      <c r="AS210" s="348">
        <f>master_Daily!FR163</f>
        <v>0</v>
      </c>
      <c r="AT210" s="23">
        <f t="shared" si="80"/>
        <v>0</v>
      </c>
      <c r="AU210" s="414"/>
      <c r="AV210" s="420"/>
      <c r="AW210" s="397"/>
    </row>
    <row r="211" spans="2:49" ht="14.45" hidden="1" customHeight="1" outlineLevel="1">
      <c r="B211" s="20" t="s">
        <v>127</v>
      </c>
      <c r="C211" s="148" t="s">
        <v>61</v>
      </c>
      <c r="D211" s="148"/>
      <c r="E211" s="348">
        <f>master_Daily!E170</f>
        <v>0.6</v>
      </c>
      <c r="F211" s="348">
        <f>master_Daily!F170</f>
        <v>0.74</v>
      </c>
      <c r="G211" s="348">
        <f>master_Daily!G170</f>
        <v>0.79</v>
      </c>
      <c r="H211" s="348">
        <f>master_Daily!H170</f>
        <v>0.97</v>
      </c>
      <c r="I211" s="348">
        <f>master_Daily!I170</f>
        <v>0.68</v>
      </c>
      <c r="J211" s="348">
        <f>master_Daily!J170</f>
        <v>0.34</v>
      </c>
      <c r="K211" s="348">
        <f>master_Daily!K170</f>
        <v>0</v>
      </c>
      <c r="L211" s="348">
        <f>master_Daily!L170</f>
        <v>0</v>
      </c>
      <c r="M211" s="348">
        <f>master_Daily!M170</f>
        <v>0</v>
      </c>
      <c r="N211" s="348">
        <f>master_Daily!N170</f>
        <v>0</v>
      </c>
      <c r="O211" s="348">
        <f>master_Daily!O170</f>
        <v>0</v>
      </c>
      <c r="P211" s="348">
        <f>master_Daily!P170</f>
        <v>0</v>
      </c>
      <c r="Q211" s="350">
        <f>master_Daily!Q170</f>
        <v>0.63121739130434784</v>
      </c>
      <c r="R211" s="348">
        <f>master_Daily!R170</f>
        <v>0</v>
      </c>
      <c r="S211" s="348">
        <f>master_Daily!S170</f>
        <v>0.34</v>
      </c>
      <c r="T211" s="62">
        <f t="shared" si="77"/>
        <v>0.53864168618266983</v>
      </c>
      <c r="U211" s="348">
        <f t="shared" si="78"/>
        <v>4.12</v>
      </c>
      <c r="V211" s="62">
        <f>IFERROR(U211/$U$212,0)</f>
        <v>0.17858690940615518</v>
      </c>
      <c r="X211" s="20" t="s">
        <v>194</v>
      </c>
      <c r="Y211" s="20" t="s">
        <v>61</v>
      </c>
      <c r="Z211" s="20"/>
      <c r="AA211" s="179">
        <f>master_Daily!AA164</f>
        <v>0.94479999999999997</v>
      </c>
      <c r="AB211" s="179">
        <f>master_Daily!AK164</f>
        <v>1.173</v>
      </c>
      <c r="AC211" s="179">
        <f>master_Daily!AU164</f>
        <v>1.377</v>
      </c>
      <c r="AD211" s="179">
        <f>master_Daily!BE164</f>
        <v>1.454</v>
      </c>
      <c r="AE211" s="179">
        <f>master_Daily!BO164</f>
        <v>1.5029999999999999</v>
      </c>
      <c r="AF211" s="179">
        <f>master_Daily!BY164</f>
        <v>0.90199999999999991</v>
      </c>
      <c r="AG211" s="179">
        <f>master_Daily!CI164</f>
        <v>0</v>
      </c>
      <c r="AH211" s="179">
        <f>master_Daily!CS164</f>
        <v>0</v>
      </c>
      <c r="AI211" s="179">
        <f>master_Daily!DC164</f>
        <v>0</v>
      </c>
      <c r="AJ211" s="179">
        <f>master_Daily!DM164</f>
        <v>0</v>
      </c>
      <c r="AK211" s="179">
        <f>master_Daily!DW164</f>
        <v>0</v>
      </c>
      <c r="AL211" s="179">
        <f>master_Daily!EG164</f>
        <v>0</v>
      </c>
      <c r="AM211" s="354">
        <f>master_Daily!EQ164</f>
        <v>1.2615099597161632</v>
      </c>
      <c r="AN211" s="348">
        <f ca="1">master_Daily!ER164</f>
        <v>0.28000000000000003</v>
      </c>
      <c r="AO211" s="348">
        <f ca="1">master_Daily!EZ164</f>
        <v>0.90199999999999991</v>
      </c>
      <c r="AP211" s="23">
        <f t="shared" ca="1" si="79"/>
        <v>0.71501615429413479</v>
      </c>
      <c r="AQ211" s="21">
        <f t="shared" si="92"/>
        <v>7.3537999999999997</v>
      </c>
      <c r="AR211" s="356">
        <f>IFERROR(AQ211/$AQ$212,0)</f>
        <v>0.15330637091394264</v>
      </c>
      <c r="AS211" s="348">
        <f>master_Daily!FR164</f>
        <v>0</v>
      </c>
      <c r="AT211" s="23">
        <f t="shared" si="80"/>
        <v>0</v>
      </c>
      <c r="AU211" s="414"/>
      <c r="AV211" s="420"/>
      <c r="AW211" s="397"/>
    </row>
    <row r="212" spans="2:49" collapsed="1">
      <c r="B212" s="776" t="s">
        <v>195</v>
      </c>
      <c r="C212" s="777"/>
      <c r="D212" s="426"/>
      <c r="E212" s="349">
        <f>master_Daily!E171</f>
        <v>3.64</v>
      </c>
      <c r="F212" s="349">
        <f>master_Daily!F171</f>
        <v>3.6500000000000004</v>
      </c>
      <c r="G212" s="349">
        <f>master_Daily!G171</f>
        <v>4.88</v>
      </c>
      <c r="H212" s="349">
        <f>master_Daily!H171</f>
        <v>5.08</v>
      </c>
      <c r="I212" s="349">
        <f>master_Daily!I171</f>
        <v>3.8400000000000003</v>
      </c>
      <c r="J212" s="349">
        <f>master_Daily!J171</f>
        <v>1.9800000000000002</v>
      </c>
      <c r="K212" s="349">
        <f>master_Daily!K171</f>
        <v>0</v>
      </c>
      <c r="L212" s="349">
        <f>master_Daily!L171</f>
        <v>0</v>
      </c>
      <c r="M212" s="349">
        <f>master_Daily!M171</f>
        <v>0</v>
      </c>
      <c r="N212" s="349">
        <f>master_Daily!N171</f>
        <v>0</v>
      </c>
      <c r="O212" s="349">
        <f>master_Daily!O171</f>
        <v>0</v>
      </c>
      <c r="P212" s="349">
        <f>master_Daily!P171</f>
        <v>0</v>
      </c>
      <c r="Q212" s="349">
        <f>master_Daily!Q171</f>
        <v>3.5700000000000007</v>
      </c>
      <c r="R212" s="349">
        <f>SUM(R207:R211)</f>
        <v>0</v>
      </c>
      <c r="S212" s="349">
        <f>SUM(S207:S211)</f>
        <v>1.9800000000000002</v>
      </c>
      <c r="T212" s="65">
        <f t="shared" si="77"/>
        <v>0.55462184873949572</v>
      </c>
      <c r="U212" s="349">
        <f t="shared" si="78"/>
        <v>23.07</v>
      </c>
      <c r="V212" s="65">
        <f>IFERROR(U212/$U200,0)</f>
        <v>3.835559664848897E-2</v>
      </c>
      <c r="X212" s="425" t="s">
        <v>196</v>
      </c>
      <c r="Y212" s="426"/>
      <c r="Z212" s="426"/>
      <c r="AA212" s="349">
        <f>master_Daily!AA165</f>
        <v>8.5916000000000015</v>
      </c>
      <c r="AB212" s="349">
        <f>master_Daily!AK165</f>
        <v>8.7809999999999988</v>
      </c>
      <c r="AC212" s="349">
        <f>master_Daily!AU165</f>
        <v>8.0731999999999999</v>
      </c>
      <c r="AD212" s="349">
        <f>master_Daily!BE165</f>
        <v>9.2287999999999997</v>
      </c>
      <c r="AE212" s="349">
        <f>master_Daily!BO165</f>
        <v>9.0107999999999997</v>
      </c>
      <c r="AF212" s="349">
        <f>master_Daily!BY165</f>
        <v>4.2826000000000004</v>
      </c>
      <c r="AG212" s="349">
        <f>master_Daily!CI165</f>
        <v>0</v>
      </c>
      <c r="AH212" s="349">
        <f>master_Daily!CS165</f>
        <v>0</v>
      </c>
      <c r="AI212" s="349">
        <f>master_Daily!DC165</f>
        <v>0</v>
      </c>
      <c r="AJ212" s="349">
        <f>master_Daily!DM165</f>
        <v>0</v>
      </c>
      <c r="AK212" s="349">
        <f>master_Daily!DW165</f>
        <v>0</v>
      </c>
      <c r="AL212" s="349">
        <f>master_Daily!EG165</f>
        <v>0</v>
      </c>
      <c r="AM212" s="355">
        <f>master_Daily!EQ165</f>
        <v>9.052999999999999</v>
      </c>
      <c r="AN212" s="349">
        <f ca="1">master_Daily!ER165</f>
        <v>1.3</v>
      </c>
      <c r="AO212" s="349">
        <f ca="1">master_Daily!EZ165</f>
        <v>4.2826000000000004</v>
      </c>
      <c r="AP212" s="65">
        <f t="shared" ca="1" si="79"/>
        <v>0.47305865458963892</v>
      </c>
      <c r="AQ212" s="349">
        <f>SUM(AQ207:AQ211)</f>
        <v>47.967999999999996</v>
      </c>
      <c r="AR212" s="65">
        <f>IFERROR(AQ212/$AQ$200,0)</f>
        <v>0.32506749650319322</v>
      </c>
      <c r="AS212" s="349">
        <f>master_Daily!FR165</f>
        <v>0</v>
      </c>
      <c r="AT212" s="65">
        <f t="shared" si="80"/>
        <v>0</v>
      </c>
      <c r="AU212" s="414"/>
      <c r="AV212" s="420"/>
      <c r="AW212" s="397"/>
    </row>
    <row r="213" spans="2:49" ht="14.45" hidden="1" customHeight="1" outlineLevel="1">
      <c r="B213" s="20" t="s">
        <v>130</v>
      </c>
      <c r="C213" s="74" t="s">
        <v>44</v>
      </c>
      <c r="D213" s="74"/>
      <c r="E213" s="348">
        <f>master_Daily!E160</f>
        <v>7.0000000000000007E-2</v>
      </c>
      <c r="F213" s="348">
        <f>master_Daily!F160</f>
        <v>0.38</v>
      </c>
      <c r="G213" s="348">
        <f>master_Daily!G160</f>
        <v>0.18</v>
      </c>
      <c r="H213" s="348">
        <f>master_Daily!H160</f>
        <v>0.24199999999999999</v>
      </c>
      <c r="I213" s="348">
        <f>master_Daily!I160</f>
        <v>0.16800000000000001</v>
      </c>
      <c r="J213" s="348">
        <f>master_Daily!J160</f>
        <v>0.04</v>
      </c>
      <c r="K213" s="348">
        <f>master_Daily!K160</f>
        <v>0</v>
      </c>
      <c r="L213" s="348">
        <f>master_Daily!L160</f>
        <v>0</v>
      </c>
      <c r="M213" s="348">
        <f>master_Daily!M160</f>
        <v>0</v>
      </c>
      <c r="N213" s="348">
        <f>master_Daily!N160</f>
        <v>0</v>
      </c>
      <c r="O213" s="348">
        <f>master_Daily!O160</f>
        <v>0</v>
      </c>
      <c r="P213" s="348">
        <f>master_Daily!P160</f>
        <v>0</v>
      </c>
      <c r="Q213" s="350">
        <f>master_Daily!Q160</f>
        <v>0.16610252237591538</v>
      </c>
      <c r="R213" s="348">
        <f>master_Daily!R160</f>
        <v>0</v>
      </c>
      <c r="S213" s="348">
        <f>master_Daily!S160</f>
        <v>0.04</v>
      </c>
      <c r="T213" s="23">
        <f t="shared" si="77"/>
        <v>0.24081512687371412</v>
      </c>
      <c r="U213" s="348">
        <f t="shared" si="78"/>
        <v>1.08</v>
      </c>
      <c r="V213" s="23">
        <f>IFERROR(U213/$U$218,0)</f>
        <v>5.9900166389351084E-2</v>
      </c>
      <c r="X213" s="20" t="s">
        <v>197</v>
      </c>
      <c r="Y213" s="20" t="s">
        <v>44</v>
      </c>
      <c r="Z213" s="20"/>
      <c r="AA213" s="179">
        <f>master_Daily!AA166</f>
        <v>4.0999999999999995E-2</v>
      </c>
      <c r="AB213" s="179">
        <f>master_Daily!AK166</f>
        <v>1.4999999999999999E-2</v>
      </c>
      <c r="AC213" s="179">
        <f>master_Daily!AU166</f>
        <v>2.4E-2</v>
      </c>
      <c r="AD213" s="179">
        <f>master_Daily!BE166</f>
        <v>3.3000000000000002E-2</v>
      </c>
      <c r="AE213" s="179">
        <f>master_Daily!BO166</f>
        <v>2.1600000000000001E-2</v>
      </c>
      <c r="AF213" s="179">
        <f>master_Daily!BY166</f>
        <v>3.0600000000000002E-2</v>
      </c>
      <c r="AG213" s="179">
        <f>master_Daily!CI166</f>
        <v>0</v>
      </c>
      <c r="AH213" s="179">
        <f>master_Daily!CS166</f>
        <v>0</v>
      </c>
      <c r="AI213" s="179">
        <f>master_Daily!DC166</f>
        <v>0</v>
      </c>
      <c r="AJ213" s="179">
        <f>master_Daily!DM166</f>
        <v>0</v>
      </c>
      <c r="AK213" s="179">
        <f>master_Daily!DW166</f>
        <v>0</v>
      </c>
      <c r="AL213" s="179">
        <f>master_Daily!EG166</f>
        <v>0</v>
      </c>
      <c r="AM213" s="354">
        <f>master_Daily!EQ166</f>
        <v>3.2873466705794434E-2</v>
      </c>
      <c r="AN213" s="348">
        <f ca="1">master_Daily!ER166</f>
        <v>0</v>
      </c>
      <c r="AO213" s="348">
        <f ca="1">master_Daily!EZ166</f>
        <v>3.0600000000000002E-2</v>
      </c>
      <c r="AP213" s="23">
        <f t="shared" ca="1" si="79"/>
        <v>0.93084189367245229</v>
      </c>
      <c r="AQ213" s="21">
        <f t="shared" si="92"/>
        <v>0.16520000000000001</v>
      </c>
      <c r="AR213" s="356">
        <f>IFERROR(AQ213/$AQ$218,0)</f>
        <v>5.7610757727932158E-3</v>
      </c>
      <c r="AS213" s="348">
        <f>master_Daily!FR166</f>
        <v>0</v>
      </c>
      <c r="AT213" s="23">
        <f t="shared" si="80"/>
        <v>0</v>
      </c>
      <c r="AU213" s="414"/>
      <c r="AV213" s="420"/>
      <c r="AW213" s="397"/>
    </row>
    <row r="214" spans="2:49" ht="14.45" hidden="1" customHeight="1" outlineLevel="1">
      <c r="B214" s="20" t="s">
        <v>130</v>
      </c>
      <c r="C214" s="74" t="s">
        <v>45</v>
      </c>
      <c r="D214" s="74"/>
      <c r="E214" s="348">
        <f>master_Daily!E161</f>
        <v>0.18</v>
      </c>
      <c r="F214" s="348">
        <f>master_Daily!F161</f>
        <v>0.12</v>
      </c>
      <c r="G214" s="348">
        <f>master_Daily!G161</f>
        <v>0.15</v>
      </c>
      <c r="H214" s="348">
        <f>master_Daily!H161</f>
        <v>0.10100000000000001</v>
      </c>
      <c r="I214" s="348">
        <f>master_Daily!I161</f>
        <v>3.9E-2</v>
      </c>
      <c r="J214" s="348">
        <f>master_Daily!J161</f>
        <v>0</v>
      </c>
      <c r="K214" s="348">
        <f>master_Daily!K161</f>
        <v>0</v>
      </c>
      <c r="L214" s="348">
        <f>master_Daily!L161</f>
        <v>0</v>
      </c>
      <c r="M214" s="348">
        <f>master_Daily!M161</f>
        <v>0</v>
      </c>
      <c r="N214" s="348">
        <f>master_Daily!N161</f>
        <v>0</v>
      </c>
      <c r="O214" s="348">
        <f>master_Daily!O161</f>
        <v>0</v>
      </c>
      <c r="P214" s="348">
        <f>master_Daily!P161</f>
        <v>0</v>
      </c>
      <c r="Q214" s="350">
        <f>master_Daily!Q161</f>
        <v>8.1643612693246534E-2</v>
      </c>
      <c r="R214" s="348">
        <f>master_Daily!R161</f>
        <v>0</v>
      </c>
      <c r="S214" s="348">
        <f>master_Daily!S161</f>
        <v>0</v>
      </c>
      <c r="T214" s="23">
        <f t="shared" si="77"/>
        <v>0</v>
      </c>
      <c r="U214" s="348">
        <f t="shared" si="78"/>
        <v>0.59</v>
      </c>
      <c r="V214" s="23">
        <f>IFERROR(U214/$U$218,0)</f>
        <v>3.2723239046034386E-2</v>
      </c>
      <c r="X214" s="20" t="s">
        <v>197</v>
      </c>
      <c r="Y214" s="20" t="s">
        <v>45</v>
      </c>
      <c r="Z214" s="20"/>
      <c r="AA214" s="179">
        <f>master_Daily!AA167</f>
        <v>6.1199999999999997E-2</v>
      </c>
      <c r="AB214" s="179">
        <f>master_Daily!AK167</f>
        <v>5.5E-2</v>
      </c>
      <c r="AC214" s="179">
        <f>master_Daily!AU167</f>
        <v>7.5999999999999998E-2</v>
      </c>
      <c r="AD214" s="179">
        <f>master_Daily!BE167</f>
        <v>5.2999999999999999E-2</v>
      </c>
      <c r="AE214" s="179">
        <f>master_Daily!BO167</f>
        <v>8.0000000000000002E-3</v>
      </c>
      <c r="AF214" s="179">
        <f>master_Daily!BY167</f>
        <v>5.0000000000000001E-3</v>
      </c>
      <c r="AG214" s="179">
        <f>master_Daily!CI167</f>
        <v>0</v>
      </c>
      <c r="AH214" s="179">
        <f>master_Daily!CS167</f>
        <v>0</v>
      </c>
      <c r="AI214" s="179">
        <f>master_Daily!DC167</f>
        <v>0</v>
      </c>
      <c r="AJ214" s="179">
        <f>master_Daily!DM167</f>
        <v>0</v>
      </c>
      <c r="AK214" s="179">
        <f>master_Daily!DW167</f>
        <v>0</v>
      </c>
      <c r="AL214" s="179">
        <f>master_Daily!EG167</f>
        <v>0</v>
      </c>
      <c r="AM214" s="354">
        <f>master_Daily!EQ167</f>
        <v>4.4249876426168414E-2</v>
      </c>
      <c r="AN214" s="348">
        <f ca="1">master_Daily!ER167</f>
        <v>0</v>
      </c>
      <c r="AO214" s="348">
        <f ca="1">master_Daily!EZ167</f>
        <v>5.0000000000000001E-3</v>
      </c>
      <c r="AP214" s="23">
        <f t="shared" ca="1" si="79"/>
        <v>0.11299466583466229</v>
      </c>
      <c r="AQ214" s="21">
        <f t="shared" si="92"/>
        <v>0.25819999999999999</v>
      </c>
      <c r="AR214" s="356">
        <f>IFERROR(AQ214/$AQ$218,0)</f>
        <v>9.0042963954915737E-3</v>
      </c>
      <c r="AS214" s="348">
        <f>master_Daily!FR167</f>
        <v>0</v>
      </c>
      <c r="AT214" s="23">
        <f t="shared" si="80"/>
        <v>0</v>
      </c>
      <c r="AU214" s="414"/>
      <c r="AV214" s="420"/>
      <c r="AW214" s="397"/>
    </row>
    <row r="215" spans="2:49" ht="14.45" hidden="1" customHeight="1" outlineLevel="1">
      <c r="B215" s="20" t="s">
        <v>130</v>
      </c>
      <c r="C215" s="74" t="s">
        <v>46</v>
      </c>
      <c r="D215" s="74"/>
      <c r="E215" s="348">
        <f>master_Daily!E162</f>
        <v>0.85</v>
      </c>
      <c r="F215" s="348">
        <f>master_Daily!F162</f>
        <v>0.25</v>
      </c>
      <c r="G215" s="348">
        <f>master_Daily!G162</f>
        <v>1.06</v>
      </c>
      <c r="H215" s="348">
        <f>master_Daily!H162</f>
        <v>1.3720000000000001</v>
      </c>
      <c r="I215" s="348">
        <f>master_Daily!I162</f>
        <v>0.628</v>
      </c>
      <c r="J215" s="348">
        <f>master_Daily!J162</f>
        <v>0.04</v>
      </c>
      <c r="K215" s="348">
        <f>master_Daily!K162</f>
        <v>0</v>
      </c>
      <c r="L215" s="348">
        <f>master_Daily!L162</f>
        <v>0</v>
      </c>
      <c r="M215" s="348">
        <f>master_Daily!M162</f>
        <v>0</v>
      </c>
      <c r="N215" s="348">
        <f>master_Daily!N162</f>
        <v>0</v>
      </c>
      <c r="O215" s="348">
        <f>master_Daily!O162</f>
        <v>0</v>
      </c>
      <c r="P215" s="348">
        <f>master_Daily!P162</f>
        <v>0</v>
      </c>
      <c r="Q215" s="350">
        <f>master_Daily!Q162</f>
        <v>0.86148087876322221</v>
      </c>
      <c r="R215" s="348">
        <f>master_Daily!R162</f>
        <v>0</v>
      </c>
      <c r="S215" s="348">
        <f>master_Daily!S162</f>
        <v>0.04</v>
      </c>
      <c r="T215" s="23">
        <f t="shared" si="77"/>
        <v>4.6431674789376251E-2</v>
      </c>
      <c r="U215" s="348">
        <f t="shared" si="78"/>
        <v>4.2</v>
      </c>
      <c r="V215" s="23">
        <f>IFERROR(U215/$U$218,0)</f>
        <v>0.23294509151414308</v>
      </c>
      <c r="X215" s="20" t="s">
        <v>197</v>
      </c>
      <c r="Y215" s="20" t="s">
        <v>46</v>
      </c>
      <c r="Z215" s="20"/>
      <c r="AA215" s="179">
        <f>master_Daily!AA168</f>
        <v>1.2884</v>
      </c>
      <c r="AB215" s="179">
        <f>master_Daily!AK168</f>
        <v>1.534</v>
      </c>
      <c r="AC215" s="179">
        <f>master_Daily!AU168</f>
        <v>0.88</v>
      </c>
      <c r="AD215" s="179">
        <f>master_Daily!BE168</f>
        <v>1.44</v>
      </c>
      <c r="AE215" s="179">
        <f>master_Daily!BO168</f>
        <v>1.51</v>
      </c>
      <c r="AF215" s="179">
        <f>master_Daily!BY168</f>
        <v>0.48</v>
      </c>
      <c r="AG215" s="179">
        <f>master_Daily!CI168</f>
        <v>0</v>
      </c>
      <c r="AH215" s="179">
        <f>master_Daily!CS168</f>
        <v>0</v>
      </c>
      <c r="AI215" s="179">
        <f>master_Daily!DC168</f>
        <v>0</v>
      </c>
      <c r="AJ215" s="179">
        <f>master_Daily!DM168</f>
        <v>0</v>
      </c>
      <c r="AK215" s="179">
        <f>master_Daily!DW168</f>
        <v>0</v>
      </c>
      <c r="AL215" s="179">
        <f>master_Daily!EG168</f>
        <v>0</v>
      </c>
      <c r="AM215" s="354">
        <f>master_Daily!EQ168</f>
        <v>1.1791645696976116</v>
      </c>
      <c r="AN215" s="348">
        <f ca="1">master_Daily!ER168</f>
        <v>0</v>
      </c>
      <c r="AO215" s="348">
        <f ca="1">master_Daily!EZ168</f>
        <v>0.48</v>
      </c>
      <c r="AP215" s="23">
        <f t="shared" ca="1" si="79"/>
        <v>0.40706786171763332</v>
      </c>
      <c r="AQ215" s="21">
        <f t="shared" si="92"/>
        <v>7.1324000000000005</v>
      </c>
      <c r="AR215" s="356">
        <f>IFERROR(AQ215/$AQ$218,0)</f>
        <v>0.24873061042294389</v>
      </c>
      <c r="AS215" s="348">
        <f>master_Daily!FR168</f>
        <v>0</v>
      </c>
      <c r="AT215" s="23">
        <f t="shared" si="80"/>
        <v>0</v>
      </c>
      <c r="AU215" s="414"/>
      <c r="AV215" s="420"/>
      <c r="AW215" s="397"/>
    </row>
    <row r="216" spans="2:49" ht="14.45" hidden="1" customHeight="1" outlineLevel="1">
      <c r="B216" s="20" t="s">
        <v>130</v>
      </c>
      <c r="C216" s="74" t="s">
        <v>47</v>
      </c>
      <c r="D216" s="74"/>
      <c r="E216" s="348">
        <f>master_Daily!E163</f>
        <v>0.35</v>
      </c>
      <c r="F216" s="348">
        <f>master_Daily!F163</f>
        <v>2.57</v>
      </c>
      <c r="G216" s="348">
        <f>master_Daily!G163</f>
        <v>3.13</v>
      </c>
      <c r="H216" s="348">
        <f>master_Daily!H163</f>
        <v>2.3199999999999998</v>
      </c>
      <c r="I216" s="348">
        <f>master_Daily!I163</f>
        <v>1.81</v>
      </c>
      <c r="J216" s="348">
        <f>master_Daily!J163</f>
        <v>0.27</v>
      </c>
      <c r="K216" s="348">
        <f>master_Daily!K163</f>
        <v>0</v>
      </c>
      <c r="L216" s="348">
        <f>master_Daily!L163</f>
        <v>0</v>
      </c>
      <c r="M216" s="348">
        <f>master_Daily!M163</f>
        <v>0</v>
      </c>
      <c r="N216" s="348">
        <f>master_Daily!N163</f>
        <v>0</v>
      </c>
      <c r="O216" s="348">
        <f>master_Daily!O163</f>
        <v>0</v>
      </c>
      <c r="P216" s="348">
        <f>master_Daily!P163</f>
        <v>0</v>
      </c>
      <c r="Q216" s="350">
        <f>master_Daily!Q163</f>
        <v>2.043905614320586</v>
      </c>
      <c r="R216" s="348">
        <f>master_Daily!R163</f>
        <v>0</v>
      </c>
      <c r="S216" s="348">
        <f>master_Daily!S163</f>
        <v>0.27</v>
      </c>
      <c r="T216" s="23">
        <f t="shared" si="77"/>
        <v>0.13210003344002291</v>
      </c>
      <c r="U216" s="348">
        <f t="shared" si="78"/>
        <v>10.45</v>
      </c>
      <c r="V216" s="23">
        <f>IFERROR(U216/$U$218,0)</f>
        <v>0.57958957293399882</v>
      </c>
      <c r="X216" s="20" t="s">
        <v>197</v>
      </c>
      <c r="Y216" s="20" t="s">
        <v>47</v>
      </c>
      <c r="Z216" s="20"/>
      <c r="AA216" s="179">
        <f>master_Daily!AA169</f>
        <v>3.9314</v>
      </c>
      <c r="AB216" s="179">
        <f>master_Daily!AK169</f>
        <v>4.18</v>
      </c>
      <c r="AC216" s="179">
        <f>master_Daily!AU169</f>
        <v>4.4169999999999998</v>
      </c>
      <c r="AD216" s="179">
        <f>master_Daily!BE169</f>
        <v>3.8360000000000003</v>
      </c>
      <c r="AE216" s="179">
        <f>master_Daily!BO169</f>
        <v>2.3079999999999998</v>
      </c>
      <c r="AF216" s="179">
        <f>master_Daily!BY169</f>
        <v>1.54</v>
      </c>
      <c r="AG216" s="179">
        <f>master_Daily!CI169</f>
        <v>0</v>
      </c>
      <c r="AH216" s="179">
        <f>master_Daily!CS169</f>
        <v>0</v>
      </c>
      <c r="AI216" s="179">
        <f>master_Daily!DC169</f>
        <v>0</v>
      </c>
      <c r="AJ216" s="179">
        <f>master_Daily!DM169</f>
        <v>0</v>
      </c>
      <c r="AK216" s="179">
        <f>master_Daily!DW169</f>
        <v>0</v>
      </c>
      <c r="AL216" s="179">
        <f>master_Daily!EG169</f>
        <v>0</v>
      </c>
      <c r="AM216" s="354">
        <f>master_Daily!EQ169</f>
        <v>3.3680535810175223</v>
      </c>
      <c r="AN216" s="348">
        <f ca="1">master_Daily!ER169</f>
        <v>0</v>
      </c>
      <c r="AO216" s="348">
        <f ca="1">master_Daily!EZ169</f>
        <v>1.54</v>
      </c>
      <c r="AP216" s="23">
        <f t="shared" ca="1" si="79"/>
        <v>0.4572373814595761</v>
      </c>
      <c r="AQ216" s="21">
        <f t="shared" si="92"/>
        <v>20.212399999999999</v>
      </c>
      <c r="AR216" s="356">
        <f>IFERROR(AQ216/$AQ$218,0)</f>
        <v>0.70487389800245503</v>
      </c>
      <c r="AS216" s="348">
        <f>master_Daily!FR169</f>
        <v>0</v>
      </c>
      <c r="AT216" s="23">
        <f t="shared" si="80"/>
        <v>0</v>
      </c>
      <c r="AU216" s="414"/>
      <c r="AV216" s="420"/>
      <c r="AW216" s="397"/>
    </row>
    <row r="217" spans="2:49" ht="14.45" hidden="1" customHeight="1" outlineLevel="1">
      <c r="B217" s="20" t="s">
        <v>130</v>
      </c>
      <c r="C217" s="148" t="s">
        <v>61</v>
      </c>
      <c r="D217" s="148"/>
      <c r="E217" s="348">
        <f>master_Daily!E164</f>
        <v>0</v>
      </c>
      <c r="F217" s="348">
        <f>master_Daily!F164</f>
        <v>0.36</v>
      </c>
      <c r="G217" s="348">
        <f>master_Daily!G164</f>
        <v>0.41</v>
      </c>
      <c r="H217" s="348">
        <f>master_Daily!H164</f>
        <v>0.56999999999999995</v>
      </c>
      <c r="I217" s="348">
        <f>master_Daily!I164</f>
        <v>0.33</v>
      </c>
      <c r="J217" s="348">
        <f>master_Daily!J164</f>
        <v>0.04</v>
      </c>
      <c r="K217" s="348">
        <f>master_Daily!K164</f>
        <v>0</v>
      </c>
      <c r="L217" s="348">
        <f>master_Daily!L164</f>
        <v>0</v>
      </c>
      <c r="M217" s="348">
        <f>master_Daily!M164</f>
        <v>0</v>
      </c>
      <c r="N217" s="348">
        <f>master_Daily!N164</f>
        <v>0</v>
      </c>
      <c r="O217" s="348">
        <f>master_Daily!O164</f>
        <v>0</v>
      </c>
      <c r="P217" s="348">
        <f>master_Daily!P164</f>
        <v>0</v>
      </c>
      <c r="Q217" s="350">
        <f>master_Daily!Q164</f>
        <v>0.30686737184703011</v>
      </c>
      <c r="R217" s="348">
        <f>master_Daily!R164</f>
        <v>0</v>
      </c>
      <c r="S217" s="348">
        <f>master_Daily!S164</f>
        <v>0.04</v>
      </c>
      <c r="T217" s="23">
        <f t="shared" si="77"/>
        <v>0.13034947234448746</v>
      </c>
      <c r="U217" s="348">
        <f t="shared" si="78"/>
        <v>1.71</v>
      </c>
      <c r="V217" s="23">
        <f>IFERROR(U217/$U$218,0)</f>
        <v>9.4841930116472531E-2</v>
      </c>
      <c r="X217" s="20" t="s">
        <v>197</v>
      </c>
      <c r="Y217" s="20" t="s">
        <v>61</v>
      </c>
      <c r="Z217" s="20"/>
      <c r="AA217" s="179">
        <f>master_Daily!AA170</f>
        <v>7.0000000000000007E-2</v>
      </c>
      <c r="AB217" s="179">
        <f>master_Daily!AK170</f>
        <v>0.12</v>
      </c>
      <c r="AC217" s="179">
        <f>master_Daily!AU170</f>
        <v>0.26300000000000001</v>
      </c>
      <c r="AD217" s="179">
        <f>master_Daily!BE170</f>
        <v>0.18</v>
      </c>
      <c r="AE217" s="179">
        <f>master_Daily!BO170</f>
        <v>0.16400000000000001</v>
      </c>
      <c r="AF217" s="179">
        <f>master_Daily!BY170</f>
        <v>0.11</v>
      </c>
      <c r="AG217" s="179">
        <f>master_Daily!CI170</f>
        <v>0</v>
      </c>
      <c r="AH217" s="179">
        <f>master_Daily!CS170</f>
        <v>0</v>
      </c>
      <c r="AI217" s="179">
        <f>master_Daily!DC170</f>
        <v>0</v>
      </c>
      <c r="AJ217" s="179">
        <f>master_Daily!DM170</f>
        <v>0</v>
      </c>
      <c r="AK217" s="179">
        <f>master_Daily!DW170</f>
        <v>0</v>
      </c>
      <c r="AL217" s="179">
        <f>master_Daily!EG170</f>
        <v>0</v>
      </c>
      <c r="AM217" s="354">
        <f>master_Daily!EQ170</f>
        <v>0.13565850615290359</v>
      </c>
      <c r="AN217" s="348">
        <f ca="1">master_Daily!ER170</f>
        <v>0</v>
      </c>
      <c r="AO217" s="348">
        <f ca="1">master_Daily!EZ170</f>
        <v>0.11</v>
      </c>
      <c r="AP217" s="23">
        <f t="shared" ca="1" si="79"/>
        <v>0.81085958499363586</v>
      </c>
      <c r="AQ217" s="21">
        <f t="shared" si="92"/>
        <v>0.90700000000000003</v>
      </c>
      <c r="AR217" s="356">
        <f>IFERROR(AQ217/$AQ$218,0)</f>
        <v>3.1630119406316257E-2</v>
      </c>
      <c r="AS217" s="348">
        <f>master_Daily!FR170</f>
        <v>0</v>
      </c>
      <c r="AT217" s="23">
        <f t="shared" si="80"/>
        <v>0</v>
      </c>
      <c r="AU217" s="414"/>
      <c r="AV217" s="420"/>
      <c r="AW217" s="397"/>
    </row>
    <row r="218" spans="2:49" collapsed="1">
      <c r="B218" s="776" t="s">
        <v>198</v>
      </c>
      <c r="C218" s="777"/>
      <c r="D218" s="426"/>
      <c r="E218" s="349">
        <f>master_Daily!E165</f>
        <v>1.4500000000000002</v>
      </c>
      <c r="F218" s="349">
        <f>master_Daily!F165</f>
        <v>3.6799999999999997</v>
      </c>
      <c r="G218" s="349">
        <f>master_Daily!G165</f>
        <v>4.93</v>
      </c>
      <c r="H218" s="349">
        <f>master_Daily!H165</f>
        <v>4.6050000000000004</v>
      </c>
      <c r="I218" s="349">
        <f>master_Daily!I165</f>
        <v>2.9750000000000001</v>
      </c>
      <c r="J218" s="349">
        <f>master_Daily!J165</f>
        <v>0.39</v>
      </c>
      <c r="K218" s="349">
        <f>master_Daily!K165</f>
        <v>0</v>
      </c>
      <c r="L218" s="349">
        <f>master_Daily!L165</f>
        <v>0</v>
      </c>
      <c r="M218" s="349">
        <f>master_Daily!M165</f>
        <v>0</v>
      </c>
      <c r="N218" s="349">
        <f>master_Daily!N165</f>
        <v>0</v>
      </c>
      <c r="O218" s="349">
        <f>master_Daily!O165</f>
        <v>0</v>
      </c>
      <c r="P218" s="349">
        <f>master_Daily!P165</f>
        <v>0</v>
      </c>
      <c r="Q218" s="349">
        <f>master_Daily!Q165</f>
        <v>3.46</v>
      </c>
      <c r="R218" s="349">
        <f>SUM(R213:R217)</f>
        <v>0</v>
      </c>
      <c r="S218" s="349">
        <f>SUM(S213:S217)</f>
        <v>0.39</v>
      </c>
      <c r="T218" s="65">
        <f t="shared" si="77"/>
        <v>0.11271676300578035</v>
      </c>
      <c r="U218" s="349">
        <f t="shared" si="78"/>
        <v>18.03</v>
      </c>
      <c r="V218" s="65">
        <f>IFERROR(U218/$U200,0)</f>
        <v>2.9976220527622721E-2</v>
      </c>
      <c r="X218" s="425" t="s">
        <v>199</v>
      </c>
      <c r="Y218" s="426"/>
      <c r="Z218" s="426"/>
      <c r="AA218" s="349">
        <f>master_Daily!AA171</f>
        <v>5.3920000000000003</v>
      </c>
      <c r="AB218" s="349">
        <f>master_Daily!AK171</f>
        <v>5.9039999999999999</v>
      </c>
      <c r="AC218" s="349">
        <f>master_Daily!AU171</f>
        <v>5.66</v>
      </c>
      <c r="AD218" s="349">
        <f>master_Daily!BE171</f>
        <v>5.5419999999999998</v>
      </c>
      <c r="AE218" s="349">
        <f>master_Daily!BO171</f>
        <v>4.0115999999999996</v>
      </c>
      <c r="AF218" s="349">
        <f>master_Daily!BY171</f>
        <v>2.1656</v>
      </c>
      <c r="AG218" s="349">
        <f>master_Daily!CI171</f>
        <v>0</v>
      </c>
      <c r="AH218" s="349">
        <f>master_Daily!CS171</f>
        <v>0</v>
      </c>
      <c r="AI218" s="349">
        <f>master_Daily!DC171</f>
        <v>0</v>
      </c>
      <c r="AJ218" s="349">
        <f>master_Daily!DM171</f>
        <v>0</v>
      </c>
      <c r="AK218" s="349">
        <f>master_Daily!DW171</f>
        <v>0</v>
      </c>
      <c r="AL218" s="349">
        <f>master_Daily!EG171</f>
        <v>0</v>
      </c>
      <c r="AM218" s="355">
        <f>master_Daily!EQ171</f>
        <v>4.7600000000000007</v>
      </c>
      <c r="AN218" s="349">
        <f ca="1">master_Daily!ER171</f>
        <v>0</v>
      </c>
      <c r="AO218" s="349">
        <f ca="1">master_Daily!EZ171</f>
        <v>2.1656</v>
      </c>
      <c r="AP218" s="65">
        <f t="shared" ca="1" si="79"/>
        <v>0.45495798319327724</v>
      </c>
      <c r="AQ218" s="349">
        <f>SUM(AQ213:AQ217)</f>
        <v>28.6752</v>
      </c>
      <c r="AR218" s="65">
        <f>IFERROR(AQ218/$AQ$200,0)</f>
        <v>0.19432487232589155</v>
      </c>
      <c r="AS218" s="349">
        <f>master_Daily!FR171</f>
        <v>0</v>
      </c>
      <c r="AT218" s="65">
        <f t="shared" si="80"/>
        <v>0</v>
      </c>
      <c r="AU218" s="414"/>
      <c r="AV218" s="420"/>
      <c r="AW218" s="397"/>
    </row>
    <row r="219" spans="2:49" ht="15" hidden="1" customHeight="1" outlineLevel="1">
      <c r="B219" s="20" t="s">
        <v>133</v>
      </c>
      <c r="C219" s="74" t="s">
        <v>44</v>
      </c>
      <c r="D219" s="74"/>
      <c r="E219" s="348">
        <f>master_Daily!E172</f>
        <v>0</v>
      </c>
      <c r="F219" s="348">
        <f>master_Daily!F172</f>
        <v>0</v>
      </c>
      <c r="G219" s="348">
        <f>master_Daily!G172</f>
        <v>0</v>
      </c>
      <c r="H219" s="348">
        <f>master_Daily!H172</f>
        <v>0</v>
      </c>
      <c r="I219" s="348">
        <f>master_Daily!I172</f>
        <v>0</v>
      </c>
      <c r="J219" s="348">
        <f>master_Daily!J172</f>
        <v>0</v>
      </c>
      <c r="K219" s="348">
        <f>master_Daily!K172</f>
        <v>0</v>
      </c>
      <c r="L219" s="348">
        <f>master_Daily!L172</f>
        <v>0</v>
      </c>
      <c r="M219" s="348">
        <f>master_Daily!M172</f>
        <v>0</v>
      </c>
      <c r="N219" s="348">
        <f>master_Daily!N172</f>
        <v>0</v>
      </c>
      <c r="O219" s="348">
        <f>master_Daily!O172</f>
        <v>0</v>
      </c>
      <c r="P219" s="348">
        <f>master_Daily!P172</f>
        <v>0</v>
      </c>
      <c r="Q219" s="350">
        <f>master_Daily!Q172</f>
        <v>0</v>
      </c>
      <c r="R219" s="348">
        <f>master_Daily!R172</f>
        <v>0</v>
      </c>
      <c r="S219" s="348">
        <f>master_Daily!S172</f>
        <v>0</v>
      </c>
      <c r="T219" s="23">
        <f t="shared" si="77"/>
        <v>0</v>
      </c>
      <c r="U219" s="348">
        <f t="shared" si="78"/>
        <v>0</v>
      </c>
      <c r="V219" s="23">
        <f>IFERROR(U219/$U$224,0)</f>
        <v>0</v>
      </c>
      <c r="X219" s="20" t="s">
        <v>200</v>
      </c>
      <c r="Y219" s="20" t="s">
        <v>44</v>
      </c>
      <c r="Z219" s="20"/>
      <c r="AA219" s="179">
        <f>master_Daily!AA172</f>
        <v>2.3800000000000002E-2</v>
      </c>
      <c r="AB219" s="179">
        <f>master_Daily!AK172</f>
        <v>3.3000000000000002E-2</v>
      </c>
      <c r="AC219" s="179">
        <f>master_Daily!AU172</f>
        <v>0.02</v>
      </c>
      <c r="AD219" s="179">
        <f>master_Daily!BE172</f>
        <v>3.7600000000000001E-2</v>
      </c>
      <c r="AE219" s="179">
        <f>master_Daily!BO172</f>
        <v>1.7000000000000001E-2</v>
      </c>
      <c r="AF219" s="179">
        <f>master_Daily!BY172</f>
        <v>2.5000000000000001E-2</v>
      </c>
      <c r="AG219" s="179">
        <f>master_Daily!CI172</f>
        <v>0</v>
      </c>
      <c r="AH219" s="179">
        <f>master_Daily!CS172</f>
        <v>0</v>
      </c>
      <c r="AI219" s="179">
        <f>master_Daily!DC172</f>
        <v>0</v>
      </c>
      <c r="AJ219" s="179">
        <f>master_Daily!DM172</f>
        <v>0</v>
      </c>
      <c r="AK219" s="179">
        <f>master_Daily!DW172</f>
        <v>0</v>
      </c>
      <c r="AL219" s="179">
        <f>master_Daily!EG172</f>
        <v>0</v>
      </c>
      <c r="AM219" s="354">
        <f>master_Daily!EQ172</f>
        <v>2.6551132839578242E-2</v>
      </c>
      <c r="AN219" s="348">
        <f ca="1">master_Daily!ER172</f>
        <v>0</v>
      </c>
      <c r="AO219" s="348">
        <f ca="1">master_Daily!EZ172</f>
        <v>2.5000000000000001E-2</v>
      </c>
      <c r="AP219" s="23">
        <f t="shared" ca="1" si="79"/>
        <v>0.94157941022892788</v>
      </c>
      <c r="AQ219" s="21">
        <f t="shared" si="92"/>
        <v>0.15640000000000001</v>
      </c>
      <c r="AR219" s="356">
        <f>IFERROR(AQ219/$AQ$224,0)</f>
        <v>6.9449378330372997E-3</v>
      </c>
      <c r="AS219" s="348">
        <f>master_Daily!FR172</f>
        <v>0</v>
      </c>
      <c r="AT219" s="23">
        <f t="shared" si="80"/>
        <v>0</v>
      </c>
      <c r="AU219" s="414"/>
      <c r="AV219" s="420"/>
      <c r="AW219" s="397"/>
    </row>
    <row r="220" spans="2:49" ht="15" hidden="1" customHeight="1" outlineLevel="1">
      <c r="B220" s="20" t="s">
        <v>133</v>
      </c>
      <c r="C220" s="74" t="s">
        <v>45</v>
      </c>
      <c r="D220" s="74"/>
      <c r="E220" s="348">
        <f>master_Daily!E173</f>
        <v>0</v>
      </c>
      <c r="F220" s="348">
        <f>master_Daily!F173</f>
        <v>0</v>
      </c>
      <c r="G220" s="348">
        <f>master_Daily!G173</f>
        <v>0</v>
      </c>
      <c r="H220" s="348">
        <f>master_Daily!H173</f>
        <v>0</v>
      </c>
      <c r="I220" s="348">
        <f>master_Daily!I173</f>
        <v>0</v>
      </c>
      <c r="J220" s="348">
        <f>master_Daily!J173</f>
        <v>0</v>
      </c>
      <c r="K220" s="348">
        <f>master_Daily!K173</f>
        <v>0</v>
      </c>
      <c r="L220" s="348">
        <f>master_Daily!L173</f>
        <v>0</v>
      </c>
      <c r="M220" s="348">
        <f>master_Daily!M173</f>
        <v>0</v>
      </c>
      <c r="N220" s="348">
        <f>master_Daily!N173</f>
        <v>0</v>
      </c>
      <c r="O220" s="348">
        <f>master_Daily!O173</f>
        <v>0</v>
      </c>
      <c r="P220" s="348">
        <f>master_Daily!P173</f>
        <v>0</v>
      </c>
      <c r="Q220" s="350">
        <f>master_Daily!Q173</f>
        <v>0</v>
      </c>
      <c r="R220" s="348">
        <f>master_Daily!R173</f>
        <v>0</v>
      </c>
      <c r="S220" s="348">
        <f>master_Daily!S173</f>
        <v>0</v>
      </c>
      <c r="T220" s="23">
        <f t="shared" si="77"/>
        <v>0</v>
      </c>
      <c r="U220" s="348">
        <f t="shared" si="78"/>
        <v>0</v>
      </c>
      <c r="V220" s="23">
        <f>IFERROR(U220/$U$224,0)</f>
        <v>0</v>
      </c>
      <c r="X220" s="20" t="s">
        <v>200</v>
      </c>
      <c r="Y220" s="20" t="s">
        <v>45</v>
      </c>
      <c r="Z220" s="20"/>
      <c r="AA220" s="179">
        <f>master_Daily!AA173</f>
        <v>6.1999999999999998E-3</v>
      </c>
      <c r="AB220" s="179">
        <f>master_Daily!AK173</f>
        <v>4.0000000000000001E-3</v>
      </c>
      <c r="AC220" s="179">
        <f>master_Daily!AU173</f>
        <v>7.0000000000000001E-3</v>
      </c>
      <c r="AD220" s="179">
        <f>master_Daily!BE173</f>
        <v>4.0000000000000001E-3</v>
      </c>
      <c r="AE220" s="179">
        <f>master_Daily!BO173</f>
        <v>5.0000000000000001E-3</v>
      </c>
      <c r="AF220" s="179">
        <f>master_Daily!BY173</f>
        <v>0</v>
      </c>
      <c r="AG220" s="179">
        <f>master_Daily!CI173</f>
        <v>0</v>
      </c>
      <c r="AH220" s="179">
        <f>master_Daily!CS173</f>
        <v>0</v>
      </c>
      <c r="AI220" s="179">
        <f>master_Daily!DC173</f>
        <v>0</v>
      </c>
      <c r="AJ220" s="179">
        <f>master_Daily!DM173</f>
        <v>0</v>
      </c>
      <c r="AK220" s="179">
        <f>master_Daily!DW173</f>
        <v>0</v>
      </c>
      <c r="AL220" s="179">
        <f>master_Daily!EG173</f>
        <v>0</v>
      </c>
      <c r="AM220" s="354">
        <f>master_Daily!EQ173</f>
        <v>4.3635302272976035E-3</v>
      </c>
      <c r="AN220" s="348">
        <f ca="1">master_Daily!ER173</f>
        <v>0</v>
      </c>
      <c r="AO220" s="348">
        <f ca="1">master_Daily!EZ173</f>
        <v>0</v>
      </c>
      <c r="AP220" s="23">
        <f t="shared" ca="1" si="79"/>
        <v>0</v>
      </c>
      <c r="AQ220" s="21">
        <f t="shared" si="92"/>
        <v>2.6200000000000001E-2</v>
      </c>
      <c r="AR220" s="356">
        <f>IFERROR(AQ220/$AQ$224,0)</f>
        <v>1.1634103019538186E-3</v>
      </c>
      <c r="AS220" s="348">
        <f>master_Daily!FR173</f>
        <v>0</v>
      </c>
      <c r="AT220" s="23">
        <f t="shared" si="80"/>
        <v>0</v>
      </c>
      <c r="AU220" s="414"/>
      <c r="AV220" s="420"/>
      <c r="AW220" s="397"/>
    </row>
    <row r="221" spans="2:49" ht="15" hidden="1" customHeight="1" outlineLevel="1">
      <c r="B221" s="20" t="s">
        <v>133</v>
      </c>
      <c r="C221" s="74" t="s">
        <v>46</v>
      </c>
      <c r="D221" s="74"/>
      <c r="E221" s="348">
        <f>master_Daily!E174</f>
        <v>1.42</v>
      </c>
      <c r="F221" s="348">
        <f>master_Daily!F174</f>
        <v>1.1599999999999999</v>
      </c>
      <c r="G221" s="348">
        <f>master_Daily!G174</f>
        <v>1.86</v>
      </c>
      <c r="H221" s="348">
        <f>master_Daily!H174</f>
        <v>1.38</v>
      </c>
      <c r="I221" s="348">
        <f>master_Daily!I174</f>
        <v>1.1499999999999999</v>
      </c>
      <c r="J221" s="348">
        <f>master_Daily!J174</f>
        <v>0.56000000000000005</v>
      </c>
      <c r="K221" s="348">
        <f>master_Daily!K174</f>
        <v>0</v>
      </c>
      <c r="L221" s="348">
        <f>master_Daily!L174</f>
        <v>0</v>
      </c>
      <c r="M221" s="348">
        <f>master_Daily!M174</f>
        <v>0</v>
      </c>
      <c r="N221" s="348">
        <f>master_Daily!N174</f>
        <v>0</v>
      </c>
      <c r="O221" s="348">
        <f>master_Daily!O174</f>
        <v>0</v>
      </c>
      <c r="P221" s="348">
        <f>master_Daily!P174</f>
        <v>0</v>
      </c>
      <c r="Q221" s="350">
        <f>master_Daily!Q174</f>
        <v>1.1732864450127876</v>
      </c>
      <c r="R221" s="348">
        <f>master_Daily!R174</f>
        <v>0.46</v>
      </c>
      <c r="S221" s="348">
        <f>master_Daily!S174</f>
        <v>0.56000000000000005</v>
      </c>
      <c r="T221" s="23">
        <f t="shared" si="77"/>
        <v>0.47729180063432564</v>
      </c>
      <c r="U221" s="348">
        <f t="shared" si="78"/>
        <v>7.5300000000000011</v>
      </c>
      <c r="V221" s="23">
        <f>IFERROR(U221/$U$224,0)</f>
        <v>0.28609422492401226</v>
      </c>
      <c r="X221" s="20" t="s">
        <v>200</v>
      </c>
      <c r="Y221" s="20" t="s">
        <v>46</v>
      </c>
      <c r="Z221" s="20"/>
      <c r="AA221" s="179">
        <f>master_Daily!AA174</f>
        <v>1.7118</v>
      </c>
      <c r="AB221" s="179">
        <f>master_Daily!AK174</f>
        <v>1.74</v>
      </c>
      <c r="AC221" s="179">
        <f>master_Daily!AU174</f>
        <v>1.4</v>
      </c>
      <c r="AD221" s="179">
        <f>master_Daily!BE174</f>
        <v>1.613</v>
      </c>
      <c r="AE221" s="179">
        <f>master_Daily!BO174</f>
        <v>1.5629999999999999</v>
      </c>
      <c r="AF221" s="179">
        <f>master_Daily!BY174</f>
        <v>0.42499999999999999</v>
      </c>
      <c r="AG221" s="179">
        <f>master_Daily!CI174</f>
        <v>0</v>
      </c>
      <c r="AH221" s="179">
        <f>master_Daily!CS174</f>
        <v>0</v>
      </c>
      <c r="AI221" s="179">
        <f>master_Daily!DC174</f>
        <v>0</v>
      </c>
      <c r="AJ221" s="179">
        <f>master_Daily!DM174</f>
        <v>0</v>
      </c>
      <c r="AK221" s="179">
        <f>master_Daily!DW174</f>
        <v>0</v>
      </c>
      <c r="AL221" s="179">
        <f>master_Daily!EG174</f>
        <v>0</v>
      </c>
      <c r="AM221" s="354">
        <f>master_Daily!EQ174</f>
        <v>1.3889685869604873</v>
      </c>
      <c r="AN221" s="348">
        <f ca="1">master_Daily!ER174</f>
        <v>0</v>
      </c>
      <c r="AO221" s="348">
        <f ca="1">master_Daily!EZ174</f>
        <v>0.42499999999999999</v>
      </c>
      <c r="AP221" s="23">
        <f t="shared" ca="1" si="79"/>
        <v>0.30598244192839341</v>
      </c>
      <c r="AQ221" s="21">
        <f t="shared" si="92"/>
        <v>8.4528000000000016</v>
      </c>
      <c r="AR221" s="356">
        <f>IFERROR(AQ221/$AQ$224,0)</f>
        <v>0.37534635879218475</v>
      </c>
      <c r="AS221" s="348">
        <f>master_Daily!FR174</f>
        <v>0</v>
      </c>
      <c r="AT221" s="23">
        <f t="shared" si="80"/>
        <v>0</v>
      </c>
      <c r="AU221" s="414"/>
      <c r="AV221" s="420"/>
      <c r="AW221" s="397"/>
    </row>
    <row r="222" spans="2:49" ht="15" hidden="1" customHeight="1" outlineLevel="1">
      <c r="B222" s="20" t="s">
        <v>133</v>
      </c>
      <c r="C222" s="74" t="s">
        <v>47</v>
      </c>
      <c r="D222" s="74"/>
      <c r="E222" s="348">
        <f>master_Daily!E175</f>
        <v>2.87</v>
      </c>
      <c r="F222" s="348">
        <f>master_Daily!F175</f>
        <v>1.99</v>
      </c>
      <c r="G222" s="348">
        <f>master_Daily!G175</f>
        <v>3.46</v>
      </c>
      <c r="H222" s="348">
        <f>master_Daily!H175</f>
        <v>2.87</v>
      </c>
      <c r="I222" s="348">
        <f>master_Daily!I175</f>
        <v>2.35</v>
      </c>
      <c r="J222" s="348">
        <f>master_Daily!J175</f>
        <v>1.1000000000000001</v>
      </c>
      <c r="K222" s="348">
        <f>master_Daily!K175</f>
        <v>0</v>
      </c>
      <c r="L222" s="348">
        <f>master_Daily!L175</f>
        <v>0</v>
      </c>
      <c r="M222" s="348">
        <f>master_Daily!M175</f>
        <v>0</v>
      </c>
      <c r="N222" s="348">
        <f>master_Daily!N175</f>
        <v>0</v>
      </c>
      <c r="O222" s="348">
        <f>master_Daily!O175</f>
        <v>0</v>
      </c>
      <c r="P222" s="348">
        <f>master_Daily!P175</f>
        <v>0</v>
      </c>
      <c r="Q222" s="350">
        <f>master_Daily!Q175</f>
        <v>2.3198465473145777</v>
      </c>
      <c r="R222" s="348">
        <f>master_Daily!R175</f>
        <v>0.83</v>
      </c>
      <c r="S222" s="348">
        <f>master_Daily!S175</f>
        <v>1.1000000000000001</v>
      </c>
      <c r="T222" s="23">
        <f t="shared" si="77"/>
        <v>0.47416929420325016</v>
      </c>
      <c r="U222" s="348">
        <f t="shared" si="78"/>
        <v>14.64</v>
      </c>
      <c r="V222" s="23">
        <f>IFERROR(U222/$U$224,0)</f>
        <v>0.55623100303951378</v>
      </c>
      <c r="X222" s="20" t="s">
        <v>200</v>
      </c>
      <c r="Y222" s="20" t="s">
        <v>47</v>
      </c>
      <c r="Z222" s="20"/>
      <c r="AA222" s="179">
        <f>master_Daily!AA175</f>
        <v>1.7612000000000001</v>
      </c>
      <c r="AB222" s="179">
        <f>master_Daily!AK175</f>
        <v>1.6659999999999999</v>
      </c>
      <c r="AC222" s="179">
        <f>master_Daily!AU175</f>
        <v>1.873</v>
      </c>
      <c r="AD222" s="179">
        <f>master_Daily!BE175</f>
        <v>1.5773999999999999</v>
      </c>
      <c r="AE222" s="179">
        <f>master_Daily!BO175</f>
        <v>1.67</v>
      </c>
      <c r="AF222" s="179">
        <f>master_Daily!BY175</f>
        <v>0.88</v>
      </c>
      <c r="AG222" s="179">
        <f>master_Daily!CI175</f>
        <v>0</v>
      </c>
      <c r="AH222" s="179">
        <f>master_Daily!CS175</f>
        <v>0</v>
      </c>
      <c r="AI222" s="179">
        <f>master_Daily!DC175</f>
        <v>0</v>
      </c>
      <c r="AJ222" s="179">
        <f>master_Daily!DM175</f>
        <v>0</v>
      </c>
      <c r="AK222" s="179">
        <f>master_Daily!DW175</f>
        <v>0</v>
      </c>
      <c r="AL222" s="179">
        <f>master_Daily!EG175</f>
        <v>0</v>
      </c>
      <c r="AM222" s="354">
        <f>master_Daily!EQ175</f>
        <v>1.7850822722463424</v>
      </c>
      <c r="AN222" s="348">
        <f ca="1">master_Daily!ER175</f>
        <v>0</v>
      </c>
      <c r="AO222" s="348">
        <f ca="1">master_Daily!EZ175</f>
        <v>0.88</v>
      </c>
      <c r="AP222" s="23">
        <f t="shared" ca="1" si="79"/>
        <v>0.49297447724502386</v>
      </c>
      <c r="AQ222" s="21">
        <f t="shared" si="92"/>
        <v>9.4276</v>
      </c>
      <c r="AR222" s="356">
        <f>IFERROR(AQ222/$AQ$224,0)</f>
        <v>0.41863232682060386</v>
      </c>
      <c r="AS222" s="348">
        <f>master_Daily!FR175</f>
        <v>0</v>
      </c>
      <c r="AT222" s="23">
        <f t="shared" si="80"/>
        <v>0</v>
      </c>
      <c r="AU222" s="414"/>
      <c r="AV222" s="420"/>
      <c r="AW222" s="397"/>
    </row>
    <row r="223" spans="2:49" ht="15" hidden="1" customHeight="1" outlineLevel="1">
      <c r="B223" s="20" t="s">
        <v>133</v>
      </c>
      <c r="C223" s="148" t="s">
        <v>61</v>
      </c>
      <c r="D223" s="148"/>
      <c r="E223" s="348">
        <f>master_Daily!E176</f>
        <v>0.73</v>
      </c>
      <c r="F223" s="348">
        <f>master_Daily!F176</f>
        <v>0.49</v>
      </c>
      <c r="G223" s="348">
        <f>master_Daily!G176</f>
        <v>0.93</v>
      </c>
      <c r="H223" s="348">
        <f>master_Daily!H176</f>
        <v>0.88</v>
      </c>
      <c r="I223" s="348">
        <f>master_Daily!I176</f>
        <v>0.76</v>
      </c>
      <c r="J223" s="348">
        <f>master_Daily!J176</f>
        <v>0.36</v>
      </c>
      <c r="K223" s="348">
        <f>master_Daily!K176</f>
        <v>0</v>
      </c>
      <c r="L223" s="348">
        <f>master_Daily!L176</f>
        <v>0</v>
      </c>
      <c r="M223" s="348">
        <f>master_Daily!M176</f>
        <v>0</v>
      </c>
      <c r="N223" s="348">
        <f>master_Daily!N176</f>
        <v>0</v>
      </c>
      <c r="O223" s="348">
        <f>master_Daily!O176</f>
        <v>0</v>
      </c>
      <c r="P223" s="348">
        <f>master_Daily!P176</f>
        <v>0</v>
      </c>
      <c r="Q223" s="350">
        <f>master_Daily!Q176</f>
        <v>0.68686700767263431</v>
      </c>
      <c r="R223" s="348">
        <f>master_Daily!R176</f>
        <v>0.22</v>
      </c>
      <c r="S223" s="348">
        <f>master_Daily!S176</f>
        <v>0.36</v>
      </c>
      <c r="T223" s="23">
        <f t="shared" si="77"/>
        <v>0.52411892837860474</v>
      </c>
      <c r="U223" s="348">
        <f t="shared" si="78"/>
        <v>4.1500000000000004</v>
      </c>
      <c r="V223" s="23">
        <f>IFERROR(U223/$U$224,0)</f>
        <v>0.1576747720364742</v>
      </c>
      <c r="X223" s="20" t="s">
        <v>200</v>
      </c>
      <c r="Y223" s="20" t="s">
        <v>61</v>
      </c>
      <c r="Z223" s="20"/>
      <c r="AA223" s="179">
        <f>master_Daily!AA176</f>
        <v>0.69699999999999995</v>
      </c>
      <c r="AB223" s="179">
        <f>master_Daily!AK176</f>
        <v>0.52700000000000002</v>
      </c>
      <c r="AC223" s="179">
        <f>master_Daily!AU176</f>
        <v>0.86</v>
      </c>
      <c r="AD223" s="179">
        <f>master_Daily!BE176</f>
        <v>0.90800000000000003</v>
      </c>
      <c r="AE223" s="179">
        <f>master_Daily!BO176</f>
        <v>0.84499999999999997</v>
      </c>
      <c r="AF223" s="179">
        <f>master_Daily!BY176</f>
        <v>0.62</v>
      </c>
      <c r="AG223" s="179">
        <f>master_Daily!CI176</f>
        <v>0</v>
      </c>
      <c r="AH223" s="179">
        <f>master_Daily!CS176</f>
        <v>0</v>
      </c>
      <c r="AI223" s="179">
        <f>master_Daily!DC176</f>
        <v>0</v>
      </c>
      <c r="AJ223" s="179">
        <f>master_Daily!DM176</f>
        <v>0</v>
      </c>
      <c r="AK223" s="179">
        <f>master_Daily!DW176</f>
        <v>0</v>
      </c>
      <c r="AL223" s="179">
        <f>master_Daily!EG176</f>
        <v>0</v>
      </c>
      <c r="AM223" s="354">
        <f>master_Daily!EQ176</f>
        <v>0.69503447772629423</v>
      </c>
      <c r="AN223" s="348">
        <f ca="1">master_Daily!ER176</f>
        <v>0</v>
      </c>
      <c r="AO223" s="348">
        <f ca="1">master_Daily!EZ176</f>
        <v>0.62</v>
      </c>
      <c r="AP223" s="23">
        <f t="shared" ca="1" si="79"/>
        <v>0.89204207829839066</v>
      </c>
      <c r="AQ223" s="21">
        <f t="shared" si="92"/>
        <v>4.4569999999999999</v>
      </c>
      <c r="AR223" s="356">
        <f>IFERROR(AQ223/$AQ$224,0)</f>
        <v>0.19791296625222021</v>
      </c>
      <c r="AS223" s="348">
        <f>master_Daily!FR176</f>
        <v>0</v>
      </c>
      <c r="AT223" s="23">
        <f t="shared" si="80"/>
        <v>0</v>
      </c>
      <c r="AU223" s="414"/>
      <c r="AV223" s="420"/>
      <c r="AW223" s="397"/>
    </row>
    <row r="224" spans="2:49" ht="15" customHeight="1" collapsed="1">
      <c r="B224" s="776" t="s">
        <v>201</v>
      </c>
      <c r="C224" s="777"/>
      <c r="D224" s="426"/>
      <c r="E224" s="349">
        <f>master_Daily!E177</f>
        <v>5.0199999999999996</v>
      </c>
      <c r="F224" s="349">
        <f>master_Daily!F177</f>
        <v>3.6399999999999997</v>
      </c>
      <c r="G224" s="349">
        <f>master_Daily!G177</f>
        <v>6.25</v>
      </c>
      <c r="H224" s="349">
        <f>master_Daily!H177</f>
        <v>5.13</v>
      </c>
      <c r="I224" s="349">
        <f>master_Daily!I177</f>
        <v>4.26</v>
      </c>
      <c r="J224" s="349">
        <f>master_Daily!J177</f>
        <v>2.02</v>
      </c>
      <c r="K224" s="349">
        <f>master_Daily!K177</f>
        <v>0</v>
      </c>
      <c r="L224" s="349">
        <f>master_Daily!L177</f>
        <v>0</v>
      </c>
      <c r="M224" s="349">
        <f>master_Daily!M177</f>
        <v>0</v>
      </c>
      <c r="N224" s="349">
        <f>master_Daily!N177</f>
        <v>0</v>
      </c>
      <c r="O224" s="349">
        <f>master_Daily!O177</f>
        <v>0</v>
      </c>
      <c r="P224" s="349">
        <f>master_Daily!P177</f>
        <v>0</v>
      </c>
      <c r="Q224" s="349">
        <f>master_Daily!Q177</f>
        <v>4.18</v>
      </c>
      <c r="R224" s="349">
        <f>master_Daily!R177</f>
        <v>1.51</v>
      </c>
      <c r="S224" s="349">
        <f>master_Daily!S177</f>
        <v>2.02</v>
      </c>
      <c r="T224" s="65">
        <f t="shared" si="77"/>
        <v>0.48325358851674644</v>
      </c>
      <c r="U224" s="349">
        <f t="shared" si="78"/>
        <v>26.319999999999997</v>
      </c>
      <c r="V224" s="65">
        <f>IFERROR(U224/$U200,0)</f>
        <v>4.375896418674597E-2</v>
      </c>
      <c r="X224" s="425" t="s">
        <v>202</v>
      </c>
      <c r="Y224" s="426"/>
      <c r="Z224" s="426"/>
      <c r="AA224" s="349">
        <f>master_Daily!AA177</f>
        <v>4.2</v>
      </c>
      <c r="AB224" s="349">
        <f>master_Daily!AK177</f>
        <v>3.9699999999999998</v>
      </c>
      <c r="AC224" s="349">
        <f>master_Daily!AU177</f>
        <v>4.16</v>
      </c>
      <c r="AD224" s="349">
        <f>master_Daily!BE177</f>
        <v>4.1400000000000006</v>
      </c>
      <c r="AE224" s="349">
        <f>master_Daily!BO177</f>
        <v>4.0999999999999996</v>
      </c>
      <c r="AF224" s="349">
        <f>master_Daily!BY177</f>
        <v>1.9500000000000002</v>
      </c>
      <c r="AG224" s="349">
        <f>master_Daily!CI177</f>
        <v>0</v>
      </c>
      <c r="AH224" s="349">
        <f>master_Daily!CS177</f>
        <v>0</v>
      </c>
      <c r="AI224" s="349">
        <f>master_Daily!DC177</f>
        <v>0</v>
      </c>
      <c r="AJ224" s="349">
        <f>master_Daily!DM177</f>
        <v>0</v>
      </c>
      <c r="AK224" s="349">
        <f>master_Daily!DW177</f>
        <v>0</v>
      </c>
      <c r="AL224" s="349">
        <f>master_Daily!EG177</f>
        <v>0</v>
      </c>
      <c r="AM224" s="355">
        <f>master_Daily!EQ177</f>
        <v>3.9</v>
      </c>
      <c r="AN224" s="349">
        <f ca="1">master_Daily!ER177</f>
        <v>0</v>
      </c>
      <c r="AO224" s="349">
        <f ca="1">master_Daily!EZ177</f>
        <v>1.9500000000000002</v>
      </c>
      <c r="AP224" s="65">
        <f t="shared" ca="1" si="79"/>
        <v>0.50000000000000011</v>
      </c>
      <c r="AQ224" s="349">
        <f>SUM(AQ219:AQ223)</f>
        <v>22.520000000000003</v>
      </c>
      <c r="AR224" s="65">
        <f>IFERROR(AQ224/$AQ$200,0)</f>
        <v>0.15261257549307689</v>
      </c>
      <c r="AS224" s="349">
        <f>master_Daily!FR177</f>
        <v>0</v>
      </c>
      <c r="AT224" s="65">
        <f t="shared" si="80"/>
        <v>0</v>
      </c>
      <c r="AU224" s="414"/>
      <c r="AV224" s="420"/>
      <c r="AW224" s="397"/>
    </row>
    <row r="225" spans="2:49" ht="14.45" hidden="1" customHeight="1" outlineLevel="1">
      <c r="B225" s="20" t="s">
        <v>203</v>
      </c>
      <c r="C225" s="74" t="s">
        <v>44</v>
      </c>
      <c r="D225" s="74"/>
      <c r="E225" s="348">
        <f>master_Daily!E178</f>
        <v>0</v>
      </c>
      <c r="F225" s="348">
        <f>master_Daily!F178</f>
        <v>0</v>
      </c>
      <c r="G225" s="348">
        <f>master_Daily!G178</f>
        <v>0</v>
      </c>
      <c r="H225" s="348">
        <f>master_Daily!H178</f>
        <v>0</v>
      </c>
      <c r="I225" s="348">
        <f>master_Daily!I178</f>
        <v>0</v>
      </c>
      <c r="J225" s="348">
        <f>master_Daily!J178</f>
        <v>0</v>
      </c>
      <c r="K225" s="348">
        <f>master_Daily!K178</f>
        <v>0</v>
      </c>
      <c r="L225" s="348">
        <f>master_Daily!L178</f>
        <v>0</v>
      </c>
      <c r="M225" s="348">
        <f>master_Daily!M178</f>
        <v>0</v>
      </c>
      <c r="N225" s="348">
        <f>master_Daily!N178</f>
        <v>0</v>
      </c>
      <c r="O225" s="348">
        <f>master_Daily!O178</f>
        <v>0</v>
      </c>
      <c r="P225" s="348">
        <f>master_Daily!P178</f>
        <v>0</v>
      </c>
      <c r="Q225" s="350">
        <f>master_Daily!Q178</f>
        <v>0</v>
      </c>
      <c r="R225" s="348">
        <f>master_Daily!R178</f>
        <v>0</v>
      </c>
      <c r="S225" s="348">
        <f>master_Daily!S178</f>
        <v>0</v>
      </c>
      <c r="T225" s="23">
        <f t="shared" si="77"/>
        <v>0</v>
      </c>
      <c r="U225" s="348">
        <f t="shared" si="78"/>
        <v>0</v>
      </c>
      <c r="V225" s="23">
        <f>IFERROR(U225/$U$236,0)</f>
        <v>0</v>
      </c>
      <c r="X225" s="20" t="s">
        <v>204</v>
      </c>
      <c r="Y225" s="20" t="s">
        <v>44</v>
      </c>
      <c r="Z225" s="20"/>
      <c r="AA225" s="179">
        <f>master_Daily!AA178</f>
        <v>5.1999999999999998E-3</v>
      </c>
      <c r="AB225" s="179">
        <f>master_Daily!AK178</f>
        <v>1.4E-3</v>
      </c>
      <c r="AC225" s="179">
        <f>master_Daily!AU178</f>
        <v>0.01</v>
      </c>
      <c r="AD225" s="179">
        <f>master_Daily!BE178</f>
        <v>1.4E-3</v>
      </c>
      <c r="AE225" s="179">
        <f>master_Daily!BO178</f>
        <v>1.14E-2</v>
      </c>
      <c r="AF225" s="179">
        <f>master_Daily!BY178</f>
        <v>8.0000000000000004E-4</v>
      </c>
      <c r="AG225" s="179">
        <f>master_Daily!CI178</f>
        <v>0</v>
      </c>
      <c r="AH225" s="179">
        <f>master_Daily!CS178</f>
        <v>0</v>
      </c>
      <c r="AI225" s="179">
        <f>master_Daily!DC178</f>
        <v>0</v>
      </c>
      <c r="AJ225" s="179">
        <f>master_Daily!DM178</f>
        <v>0</v>
      </c>
      <c r="AK225" s="179">
        <f>master_Daily!DW178</f>
        <v>0</v>
      </c>
      <c r="AL225" s="179">
        <f>master_Daily!EG178</f>
        <v>0</v>
      </c>
      <c r="AM225" s="354">
        <f>master_Daily!EQ178</f>
        <v>2.7004464447751442E-3</v>
      </c>
      <c r="AN225" s="348">
        <f ca="1">master_Daily!ER178</f>
        <v>0</v>
      </c>
      <c r="AO225" s="348">
        <f ca="1">master_Daily!EZ178</f>
        <v>8.0000000000000004E-4</v>
      </c>
      <c r="AP225" s="23">
        <f t="shared" ca="1" si="79"/>
        <v>0.29624731182795699</v>
      </c>
      <c r="AQ225" s="21">
        <f>SUM(AA225,AB225,AC225,AD225,AE225,AF225,AG225,AH225,AI225,AJ225,AK225,AL225)</f>
        <v>3.0199999999999998E-2</v>
      </c>
      <c r="AR225" s="356">
        <f>IFERROR(AQ225/$AQ$230,0)</f>
        <v>2.4413904607922389E-3</v>
      </c>
      <c r="AS225" s="348">
        <f>master_Daily!FR178</f>
        <v>0</v>
      </c>
      <c r="AT225" s="23">
        <f t="shared" si="80"/>
        <v>0</v>
      </c>
      <c r="AU225" s="414"/>
      <c r="AV225" s="420"/>
      <c r="AW225" s="397"/>
    </row>
    <row r="226" spans="2:49" ht="14.45" hidden="1" customHeight="1" outlineLevel="1">
      <c r="B226" s="20" t="s">
        <v>203</v>
      </c>
      <c r="C226" s="74" t="s">
        <v>45</v>
      </c>
      <c r="D226" s="74"/>
      <c r="E226" s="348">
        <f>master_Daily!E179</f>
        <v>0.03</v>
      </c>
      <c r="F226" s="348">
        <f>master_Daily!F179</f>
        <v>0.01</v>
      </c>
      <c r="G226" s="348">
        <f>master_Daily!G179</f>
        <v>0.01</v>
      </c>
      <c r="H226" s="348">
        <f>master_Daily!H179</f>
        <v>0.01</v>
      </c>
      <c r="I226" s="348">
        <f>master_Daily!I179</f>
        <v>0.02</v>
      </c>
      <c r="J226" s="348">
        <f>master_Daily!J179</f>
        <v>0</v>
      </c>
      <c r="K226" s="348">
        <f>master_Daily!K179</f>
        <v>0</v>
      </c>
      <c r="L226" s="348">
        <f>master_Daily!L179</f>
        <v>0</v>
      </c>
      <c r="M226" s="348">
        <f>master_Daily!M179</f>
        <v>0</v>
      </c>
      <c r="N226" s="348">
        <f>master_Daily!N179</f>
        <v>0</v>
      </c>
      <c r="O226" s="348">
        <f>master_Daily!O179</f>
        <v>0</v>
      </c>
      <c r="P226" s="348">
        <f>master_Daily!P179</f>
        <v>0</v>
      </c>
      <c r="Q226" s="350">
        <f>master_Daily!Q179</f>
        <v>1.2330827067669171E-2</v>
      </c>
      <c r="R226" s="348">
        <f>master_Daily!R179</f>
        <v>0</v>
      </c>
      <c r="S226" s="348">
        <f>master_Daily!S179</f>
        <v>0</v>
      </c>
      <c r="T226" s="23">
        <f t="shared" si="77"/>
        <v>0</v>
      </c>
      <c r="U226" s="348">
        <f t="shared" si="78"/>
        <v>0.08</v>
      </c>
      <c r="V226" s="23">
        <f>IFERROR(U226/$U$236,0)</f>
        <v>4.0593806197050455E-3</v>
      </c>
      <c r="X226" s="20" t="s">
        <v>204</v>
      </c>
      <c r="Y226" s="20" t="s">
        <v>45</v>
      </c>
      <c r="Z226" s="20"/>
      <c r="AA226" s="179">
        <f>master_Daily!AA179</f>
        <v>0</v>
      </c>
      <c r="AB226" s="179">
        <f>master_Daily!AK179</f>
        <v>0</v>
      </c>
      <c r="AC226" s="179">
        <f>master_Daily!AU179</f>
        <v>0</v>
      </c>
      <c r="AD226" s="179">
        <f>master_Daily!BE179</f>
        <v>0</v>
      </c>
      <c r="AE226" s="179">
        <f>master_Daily!BO179</f>
        <v>0</v>
      </c>
      <c r="AF226" s="179">
        <f>master_Daily!BY179</f>
        <v>0</v>
      </c>
      <c r="AG226" s="179">
        <f>master_Daily!CI179</f>
        <v>0</v>
      </c>
      <c r="AH226" s="179">
        <f>master_Daily!CS179</f>
        <v>0</v>
      </c>
      <c r="AI226" s="179">
        <f>master_Daily!DC179</f>
        <v>0</v>
      </c>
      <c r="AJ226" s="179">
        <f>master_Daily!DM179</f>
        <v>0</v>
      </c>
      <c r="AK226" s="179">
        <f>master_Daily!DW179</f>
        <v>0</v>
      </c>
      <c r="AL226" s="179">
        <f>master_Daily!EG179</f>
        <v>0</v>
      </c>
      <c r="AM226" s="354">
        <f>master_Daily!EQ179</f>
        <v>0</v>
      </c>
      <c r="AN226" s="348">
        <f ca="1">master_Daily!ER179</f>
        <v>0</v>
      </c>
      <c r="AO226" s="348">
        <f ca="1">master_Daily!EZ179</f>
        <v>0</v>
      </c>
      <c r="AP226" s="23">
        <f t="shared" ca="1" si="79"/>
        <v>0</v>
      </c>
      <c r="AQ226" s="21">
        <f t="shared" si="92"/>
        <v>0</v>
      </c>
      <c r="AR226" s="356">
        <f>IFERROR(AQ226/$AQ$230,0)</f>
        <v>0</v>
      </c>
      <c r="AS226" s="348">
        <f>master_Daily!FR179</f>
        <v>0</v>
      </c>
      <c r="AT226" s="23">
        <f t="shared" si="80"/>
        <v>0</v>
      </c>
      <c r="AU226" s="414"/>
      <c r="AV226" s="420"/>
      <c r="AW226" s="397"/>
    </row>
    <row r="227" spans="2:49" ht="14.45" hidden="1" customHeight="1" outlineLevel="1">
      <c r="B227" s="20" t="s">
        <v>203</v>
      </c>
      <c r="C227" s="74" t="s">
        <v>46</v>
      </c>
      <c r="D227" s="74"/>
      <c r="E227" s="348">
        <f>master_Daily!E180</f>
        <v>0.14000000000000001</v>
      </c>
      <c r="F227" s="348">
        <f>master_Daily!F180</f>
        <v>0.27</v>
      </c>
      <c r="G227" s="348">
        <f>master_Daily!G180</f>
        <v>0.28999999999999998</v>
      </c>
      <c r="H227" s="348">
        <f>master_Daily!H180</f>
        <v>0.22</v>
      </c>
      <c r="I227" s="348">
        <f>master_Daily!I180</f>
        <v>0.26</v>
      </c>
      <c r="J227" s="348">
        <f>master_Daily!J180</f>
        <v>0.12</v>
      </c>
      <c r="K227" s="348">
        <f>master_Daily!K180</f>
        <v>0</v>
      </c>
      <c r="L227" s="348">
        <f>master_Daily!L180</f>
        <v>0</v>
      </c>
      <c r="M227" s="348">
        <f>master_Daily!M180</f>
        <v>0</v>
      </c>
      <c r="N227" s="348">
        <f>master_Daily!N180</f>
        <v>0</v>
      </c>
      <c r="O227" s="348">
        <f>master_Daily!O180</f>
        <v>0</v>
      </c>
      <c r="P227" s="348">
        <f>master_Daily!P180</f>
        <v>0</v>
      </c>
      <c r="Q227" s="350">
        <f>master_Daily!Q180</f>
        <v>0.23736842105263156</v>
      </c>
      <c r="R227" s="348">
        <f>master_Daily!R180</f>
        <v>0</v>
      </c>
      <c r="S227" s="348">
        <f>master_Daily!S180</f>
        <v>0.12</v>
      </c>
      <c r="T227" s="23">
        <f t="shared" si="77"/>
        <v>0.50554323725055439</v>
      </c>
      <c r="U227" s="348">
        <f t="shared" si="78"/>
        <v>1.2999999999999998</v>
      </c>
      <c r="V227" s="23">
        <f>IFERROR(U227/$U$236,0)</f>
        <v>6.5964935070206981E-2</v>
      </c>
      <c r="X227" s="20" t="s">
        <v>204</v>
      </c>
      <c r="Y227" s="20" t="s">
        <v>46</v>
      </c>
      <c r="Z227" s="20"/>
      <c r="AA227" s="179">
        <f>master_Daily!AA180</f>
        <v>0.62819999999999998</v>
      </c>
      <c r="AB227" s="179">
        <f>master_Daily!AK180</f>
        <v>0.69499999999999995</v>
      </c>
      <c r="AC227" s="179">
        <f>master_Daily!AU180</f>
        <v>0.45500000000000002</v>
      </c>
      <c r="AD227" s="179">
        <f>master_Daily!BE180</f>
        <v>0.39500000000000002</v>
      </c>
      <c r="AE227" s="179">
        <f>master_Daily!BO180</f>
        <v>0.48859999999999998</v>
      </c>
      <c r="AF227" s="179">
        <f>master_Daily!BY180</f>
        <v>0.185</v>
      </c>
      <c r="AG227" s="179">
        <f>master_Daily!CI180</f>
        <v>0</v>
      </c>
      <c r="AH227" s="179">
        <f>master_Daily!CS180</f>
        <v>0</v>
      </c>
      <c r="AI227" s="179">
        <f>master_Daily!DC180</f>
        <v>0</v>
      </c>
      <c r="AJ227" s="179">
        <f>master_Daily!DM180</f>
        <v>0</v>
      </c>
      <c r="AK227" s="179">
        <f>master_Daily!DW180</f>
        <v>0</v>
      </c>
      <c r="AL227" s="179">
        <f>master_Daily!EG180</f>
        <v>0</v>
      </c>
      <c r="AM227" s="354">
        <f>master_Daily!EQ180</f>
        <v>0.63354723966462201</v>
      </c>
      <c r="AN227" s="348">
        <f ca="1">master_Daily!ER180</f>
        <v>0</v>
      </c>
      <c r="AO227" s="348">
        <f ca="1">master_Daily!EZ180</f>
        <v>0.185</v>
      </c>
      <c r="AP227" s="23">
        <f t="shared" ca="1" si="79"/>
        <v>0.29200663883869593</v>
      </c>
      <c r="AQ227" s="21">
        <f t="shared" si="92"/>
        <v>2.8468</v>
      </c>
      <c r="AR227" s="356">
        <f>IFERROR(AQ227/$AQ$230,0)</f>
        <v>0.23013742926434921</v>
      </c>
      <c r="AS227" s="348">
        <f>master_Daily!FR180</f>
        <v>0</v>
      </c>
      <c r="AT227" s="23">
        <f t="shared" si="80"/>
        <v>0</v>
      </c>
      <c r="AU227" s="414"/>
      <c r="AV227" s="420"/>
      <c r="AW227" s="397"/>
    </row>
    <row r="228" spans="2:49" ht="14.45" hidden="1" customHeight="1" outlineLevel="1">
      <c r="B228" s="20" t="s">
        <v>203</v>
      </c>
      <c r="C228" s="74" t="s">
        <v>47</v>
      </c>
      <c r="D228" s="74"/>
      <c r="E228" s="348">
        <f>master_Daily!E181</f>
        <v>0.3</v>
      </c>
      <c r="F228" s="348">
        <f>master_Daily!F181</f>
        <v>0.38</v>
      </c>
      <c r="G228" s="348">
        <f>master_Daily!G181</f>
        <v>0.54</v>
      </c>
      <c r="H228" s="348">
        <f>master_Daily!H181</f>
        <v>0.4</v>
      </c>
      <c r="I228" s="348">
        <f>master_Daily!I181</f>
        <v>0.42</v>
      </c>
      <c r="J228" s="348">
        <f>master_Daily!J181</f>
        <v>0.21</v>
      </c>
      <c r="K228" s="348">
        <f>master_Daily!K181</f>
        <v>0</v>
      </c>
      <c r="L228" s="348">
        <f>master_Daily!L181</f>
        <v>0</v>
      </c>
      <c r="M228" s="348">
        <f>master_Daily!M181</f>
        <v>0</v>
      </c>
      <c r="N228" s="348">
        <f>master_Daily!N181</f>
        <v>0</v>
      </c>
      <c r="O228" s="348">
        <f>master_Daily!O181</f>
        <v>0</v>
      </c>
      <c r="P228" s="348">
        <f>master_Daily!P181</f>
        <v>0</v>
      </c>
      <c r="Q228" s="350">
        <f>master_Daily!Q181</f>
        <v>0.41924812030075187</v>
      </c>
      <c r="R228" s="348">
        <f>master_Daily!R181</f>
        <v>0</v>
      </c>
      <c r="S228" s="348">
        <f>master_Daily!S181</f>
        <v>0.21</v>
      </c>
      <c r="T228" s="23">
        <f t="shared" si="77"/>
        <v>0.50089670014347198</v>
      </c>
      <c r="U228" s="348">
        <f t="shared" si="78"/>
        <v>2.25</v>
      </c>
      <c r="V228" s="23">
        <f>IFERROR(U228/$U$236,0)</f>
        <v>0.11417007992920442</v>
      </c>
      <c r="X228" s="20" t="s">
        <v>204</v>
      </c>
      <c r="Y228" s="20" t="s">
        <v>47</v>
      </c>
      <c r="Z228" s="20"/>
      <c r="AA228" s="179">
        <f>master_Daily!AA181</f>
        <v>1.0706</v>
      </c>
      <c r="AB228" s="179">
        <f>master_Daily!AK181</f>
        <v>0.94359999999999999</v>
      </c>
      <c r="AC228" s="179">
        <f>master_Daily!AU181</f>
        <v>0.84</v>
      </c>
      <c r="AD228" s="179">
        <f>master_Daily!BE181</f>
        <v>1.0085999999999999</v>
      </c>
      <c r="AE228" s="179">
        <f>master_Daily!BO181</f>
        <v>1.1466000000000001</v>
      </c>
      <c r="AF228" s="179">
        <f>master_Daily!BY181</f>
        <v>0.49919999999999998</v>
      </c>
      <c r="AG228" s="179">
        <f>master_Daily!CI181</f>
        <v>0</v>
      </c>
      <c r="AH228" s="179">
        <f>master_Daily!CS181</f>
        <v>0</v>
      </c>
      <c r="AI228" s="179">
        <f>master_Daily!DC181</f>
        <v>0</v>
      </c>
      <c r="AJ228" s="179">
        <f>master_Daily!DM181</f>
        <v>0</v>
      </c>
      <c r="AK228" s="179">
        <f>master_Daily!DW181</f>
        <v>0</v>
      </c>
      <c r="AL228" s="179">
        <f>master_Daily!EG181</f>
        <v>0</v>
      </c>
      <c r="AM228" s="354">
        <f>master_Daily!EQ181</f>
        <v>1.12266560197452</v>
      </c>
      <c r="AN228" s="348">
        <f ca="1">master_Daily!ER181</f>
        <v>0</v>
      </c>
      <c r="AO228" s="348">
        <f ca="1">master_Daily!EZ181</f>
        <v>0.49919999999999998</v>
      </c>
      <c r="AP228" s="23">
        <f t="shared" ca="1" si="79"/>
        <v>0.44465600364170577</v>
      </c>
      <c r="AQ228" s="21">
        <f t="shared" si="92"/>
        <v>5.5085999999999995</v>
      </c>
      <c r="AR228" s="356">
        <f>IFERROR(AQ228/$AQ$230,0)</f>
        <v>0.44531932093775256</v>
      </c>
      <c r="AS228" s="348">
        <f>master_Daily!FR181</f>
        <v>0</v>
      </c>
      <c r="AT228" s="23">
        <f t="shared" si="80"/>
        <v>0</v>
      </c>
      <c r="AU228" s="414"/>
      <c r="AV228" s="420"/>
      <c r="AW228" s="397"/>
    </row>
    <row r="229" spans="2:49" ht="14.45" hidden="1" customHeight="1" outlineLevel="1">
      <c r="B229" s="20" t="s">
        <v>203</v>
      </c>
      <c r="C229" s="148" t="s">
        <v>61</v>
      </c>
      <c r="D229" s="148"/>
      <c r="E229" s="348">
        <f>master_Daily!E182</f>
        <v>0.12</v>
      </c>
      <c r="F229" s="348">
        <f>master_Daily!F182</f>
        <v>0.13</v>
      </c>
      <c r="G229" s="348">
        <f>master_Daily!G182</f>
        <v>0.18</v>
      </c>
      <c r="H229" s="348">
        <f>master_Daily!H182</f>
        <v>0.15</v>
      </c>
      <c r="I229" s="348">
        <f>master_Daily!I182</f>
        <v>0.16</v>
      </c>
      <c r="J229" s="348">
        <f>master_Daily!J182</f>
        <v>7.0000000000000007E-2</v>
      </c>
      <c r="K229" s="348">
        <f>master_Daily!K182</f>
        <v>0</v>
      </c>
      <c r="L229" s="348">
        <f>master_Daily!L182</f>
        <v>0</v>
      </c>
      <c r="M229" s="348">
        <f>master_Daily!M182</f>
        <v>0</v>
      </c>
      <c r="N229" s="348">
        <f>master_Daily!N182</f>
        <v>0</v>
      </c>
      <c r="O229" s="348">
        <f>master_Daily!O182</f>
        <v>0</v>
      </c>
      <c r="P229" s="348">
        <f>master_Daily!P182</f>
        <v>0</v>
      </c>
      <c r="Q229" s="350">
        <f>master_Daily!Q182</f>
        <v>0.15105263157894736</v>
      </c>
      <c r="R229" s="348">
        <f>master_Daily!R182</f>
        <v>0</v>
      </c>
      <c r="S229" s="348">
        <f>master_Daily!S182</f>
        <v>7.0000000000000007E-2</v>
      </c>
      <c r="T229" s="23">
        <f t="shared" si="77"/>
        <v>0.46341463414634154</v>
      </c>
      <c r="U229" s="348">
        <f t="shared" si="78"/>
        <v>0.81</v>
      </c>
      <c r="V229" s="23">
        <f>IFERROR(U229/$U$236,0)</f>
        <v>4.1101228774513589E-2</v>
      </c>
      <c r="X229" s="20" t="s">
        <v>204</v>
      </c>
      <c r="Y229" s="20" t="s">
        <v>61</v>
      </c>
      <c r="Z229" s="20"/>
      <c r="AA229" s="179">
        <f>master_Daily!AA182</f>
        <v>0.59599999999999997</v>
      </c>
      <c r="AB229" s="179">
        <f>master_Daily!AK182</f>
        <v>0.46</v>
      </c>
      <c r="AC229" s="179">
        <f>master_Daily!AU182</f>
        <v>0.78</v>
      </c>
      <c r="AD229" s="179">
        <f>master_Daily!BE182</f>
        <v>0.86499999999999999</v>
      </c>
      <c r="AE229" s="179">
        <f>master_Daily!BO182</f>
        <v>0.85340000000000005</v>
      </c>
      <c r="AF229" s="179">
        <f>master_Daily!BY182</f>
        <v>0.43</v>
      </c>
      <c r="AG229" s="179">
        <f>master_Daily!CI182</f>
        <v>0</v>
      </c>
      <c r="AH229" s="179">
        <f>master_Daily!CS182</f>
        <v>0</v>
      </c>
      <c r="AI229" s="179">
        <f>master_Daily!DC182</f>
        <v>0</v>
      </c>
      <c r="AJ229" s="179">
        <f>master_Daily!DM182</f>
        <v>0</v>
      </c>
      <c r="AK229" s="179">
        <f>master_Daily!DW182</f>
        <v>0</v>
      </c>
      <c r="AL229" s="179">
        <f>master_Daily!EG182</f>
        <v>0</v>
      </c>
      <c r="AM229" s="354">
        <f>master_Daily!EQ182</f>
        <v>0.72108671191608287</v>
      </c>
      <c r="AN229" s="348">
        <f ca="1">master_Daily!ER182</f>
        <v>0</v>
      </c>
      <c r="AO229" s="348">
        <f ca="1">master_Daily!EZ182</f>
        <v>0.43</v>
      </c>
      <c r="AP229" s="23">
        <f t="shared" ca="1" si="79"/>
        <v>0.59632217997388592</v>
      </c>
      <c r="AQ229" s="21">
        <f t="shared" si="92"/>
        <v>3.9844000000000004</v>
      </c>
      <c r="AR229" s="356">
        <f>IFERROR(AQ229/$AQ$230,0)</f>
        <v>0.32210185933710589</v>
      </c>
      <c r="AS229" s="348">
        <f>master_Daily!FR182</f>
        <v>0</v>
      </c>
      <c r="AT229" s="23">
        <f t="shared" si="80"/>
        <v>0</v>
      </c>
      <c r="AU229" s="414"/>
      <c r="AV229" s="420"/>
      <c r="AW229" s="397"/>
    </row>
    <row r="230" spans="2:49" collapsed="1">
      <c r="B230" s="776" t="s">
        <v>205</v>
      </c>
      <c r="C230" s="777"/>
      <c r="D230" s="426"/>
      <c r="E230" s="349">
        <f>master_Daily!E183</f>
        <v>0.59</v>
      </c>
      <c r="F230" s="349">
        <f>master_Daily!F183</f>
        <v>0.79</v>
      </c>
      <c r="G230" s="349">
        <f>master_Daily!G183</f>
        <v>1.02</v>
      </c>
      <c r="H230" s="349">
        <f>master_Daily!H183</f>
        <v>0.78</v>
      </c>
      <c r="I230" s="349">
        <f>master_Daily!I183</f>
        <v>0.86</v>
      </c>
      <c r="J230" s="349">
        <f>master_Daily!J183</f>
        <v>0.39999999999999997</v>
      </c>
      <c r="K230" s="349">
        <f>master_Daily!K183</f>
        <v>0</v>
      </c>
      <c r="L230" s="349">
        <f>master_Daily!L183</f>
        <v>0</v>
      </c>
      <c r="M230" s="349">
        <f>master_Daily!M183</f>
        <v>0</v>
      </c>
      <c r="N230" s="349">
        <f>master_Daily!N183</f>
        <v>0</v>
      </c>
      <c r="O230" s="349">
        <f>master_Daily!O183</f>
        <v>0</v>
      </c>
      <c r="P230" s="349">
        <f>master_Daily!P183</f>
        <v>0</v>
      </c>
      <c r="Q230" s="349">
        <f>master_Daily!Q183</f>
        <v>0.82</v>
      </c>
      <c r="R230" s="349">
        <f>master_Daily!R183</f>
        <v>0</v>
      </c>
      <c r="S230" s="349">
        <f>master_Daily!S183</f>
        <v>0.39999999999999997</v>
      </c>
      <c r="T230" s="65">
        <f t="shared" si="77"/>
        <v>0.48780487804878048</v>
      </c>
      <c r="U230" s="349">
        <f t="shared" si="78"/>
        <v>4.4400000000000004</v>
      </c>
      <c r="V230" s="65">
        <f>IFERROR(U230/$U200,0)</f>
        <v>7.3818313445726501E-3</v>
      </c>
      <c r="X230" s="425" t="s">
        <v>206</v>
      </c>
      <c r="Y230" s="426"/>
      <c r="Z230" s="426"/>
      <c r="AA230" s="349">
        <f>master_Daily!AA183</f>
        <v>2.2999999999999998</v>
      </c>
      <c r="AB230" s="349">
        <f>master_Daily!AK183</f>
        <v>2.1</v>
      </c>
      <c r="AC230" s="349">
        <f>master_Daily!AU183</f>
        <v>2.085</v>
      </c>
      <c r="AD230" s="349">
        <f>master_Daily!BE183</f>
        <v>2.27</v>
      </c>
      <c r="AE230" s="349">
        <f>master_Daily!BO183</f>
        <v>2.5</v>
      </c>
      <c r="AF230" s="349">
        <f>master_Daily!BY183</f>
        <v>1.115</v>
      </c>
      <c r="AG230" s="349">
        <f>master_Daily!CI183</f>
        <v>0</v>
      </c>
      <c r="AH230" s="349">
        <f>master_Daily!CS183</f>
        <v>0</v>
      </c>
      <c r="AI230" s="349">
        <f>master_Daily!DC183</f>
        <v>0</v>
      </c>
      <c r="AJ230" s="349">
        <f>master_Daily!DM183</f>
        <v>0</v>
      </c>
      <c r="AK230" s="349">
        <f>master_Daily!DW183</f>
        <v>0</v>
      </c>
      <c r="AL230" s="349">
        <f>master_Daily!EG183</f>
        <v>0</v>
      </c>
      <c r="AM230" s="355">
        <f>master_Daily!EQ183</f>
        <v>2.4800000000000004</v>
      </c>
      <c r="AN230" s="349">
        <f ca="1">master_Daily!ER183</f>
        <v>0</v>
      </c>
      <c r="AO230" s="349">
        <f ca="1">master_Daily!EZ183</f>
        <v>1.115</v>
      </c>
      <c r="AP230" s="65">
        <f t="shared" ca="1" si="79"/>
        <v>0.44959677419354832</v>
      </c>
      <c r="AQ230" s="349">
        <f>SUM(AQ225:AQ229)</f>
        <v>12.370000000000001</v>
      </c>
      <c r="AR230" s="65">
        <f>IFERROR(AQ230/$AQ$200,0)</f>
        <v>8.382848840361283E-2</v>
      </c>
      <c r="AS230" s="349">
        <f>master_Daily!FR183</f>
        <v>0</v>
      </c>
      <c r="AT230" s="65">
        <f>IFERROR(AS230/AM230,0)</f>
        <v>0</v>
      </c>
      <c r="AU230" s="414"/>
      <c r="AV230" s="420"/>
      <c r="AW230" s="397"/>
    </row>
    <row r="231" spans="2:49" ht="14.45" hidden="1" customHeight="1" outlineLevel="1">
      <c r="B231" s="20" t="s">
        <v>135</v>
      </c>
      <c r="C231" s="74" t="s">
        <v>44</v>
      </c>
      <c r="D231" s="74"/>
      <c r="E231" s="348">
        <f>master_Daily!E184</f>
        <v>0.18740000000000001</v>
      </c>
      <c r="F231" s="348">
        <f>master_Daily!F184</f>
        <v>0.1966</v>
      </c>
      <c r="G231" s="348">
        <f>master_Daily!G184</f>
        <v>0.309</v>
      </c>
      <c r="H231" s="348">
        <f>master_Daily!H184</f>
        <v>0.1986</v>
      </c>
      <c r="I231" s="348">
        <f>master_Daily!I184</f>
        <v>0.22520000000000001</v>
      </c>
      <c r="J231" s="348">
        <f>master_Daily!J184</f>
        <v>0.1042</v>
      </c>
      <c r="K231" s="348">
        <f>master_Daily!K184</f>
        <v>0</v>
      </c>
      <c r="L231" s="348">
        <f>master_Daily!L184</f>
        <v>0</v>
      </c>
      <c r="M231" s="348">
        <f>master_Daily!M184</f>
        <v>0</v>
      </c>
      <c r="N231" s="348">
        <f>master_Daily!N184</f>
        <v>0</v>
      </c>
      <c r="O231" s="348">
        <f>master_Daily!O184</f>
        <v>0</v>
      </c>
      <c r="P231" s="348">
        <f>master_Daily!P184</f>
        <v>0</v>
      </c>
      <c r="Q231" s="350">
        <f>master_Daily!Q184</f>
        <v>0.22133662048775016</v>
      </c>
      <c r="R231" s="348">
        <f>master_Daily!R184</f>
        <v>1.1599999999999999E-2</v>
      </c>
      <c r="S231" s="348">
        <f>master_Daily!S184</f>
        <v>0.1042</v>
      </c>
      <c r="T231" s="23">
        <f t="shared" si="77"/>
        <v>0.47077614075058555</v>
      </c>
      <c r="U231" s="348">
        <f t="shared" si="78"/>
        <v>1.2210000000000001</v>
      </c>
      <c r="V231" s="23">
        <f>IFERROR(U231/$U$236,0)</f>
        <v>6.1956296708248267E-2</v>
      </c>
      <c r="X231" s="15"/>
      <c r="Y231" s="53"/>
      <c r="Z231" s="53"/>
      <c r="AM231" s="67"/>
      <c r="AN231" s="67"/>
      <c r="AO231" s="67"/>
      <c r="AQ231" s="67"/>
      <c r="AR231" s="67"/>
    </row>
    <row r="232" spans="2:49" ht="15" hidden="1" customHeight="1" outlineLevel="1">
      <c r="B232" s="20" t="s">
        <v>135</v>
      </c>
      <c r="C232" s="74" t="s">
        <v>45</v>
      </c>
      <c r="D232" s="74"/>
      <c r="E232" s="348">
        <f>master_Daily!E185</f>
        <v>3.0200000000000001E-2</v>
      </c>
      <c r="F232" s="348">
        <f>master_Daily!F185</f>
        <v>5.0599999999999999E-2</v>
      </c>
      <c r="G232" s="348">
        <f>master_Daily!G185</f>
        <v>5.5199999999999999E-2</v>
      </c>
      <c r="H232" s="348">
        <f>master_Daily!H185</f>
        <v>4.5600000000000002E-2</v>
      </c>
      <c r="I232" s="348">
        <f>master_Daily!I185</f>
        <v>3.1640000000000001E-2</v>
      </c>
      <c r="J232" s="348">
        <f>master_Daily!J185</f>
        <v>1.2999999999999999E-2</v>
      </c>
      <c r="K232" s="348">
        <f>master_Daily!K185</f>
        <v>0</v>
      </c>
      <c r="L232" s="348">
        <f>master_Daily!L185</f>
        <v>0</v>
      </c>
      <c r="M232" s="348">
        <f>master_Daily!M185</f>
        <v>0</v>
      </c>
      <c r="N232" s="348">
        <f>master_Daily!N185</f>
        <v>0</v>
      </c>
      <c r="O232" s="348">
        <f>master_Daily!O185</f>
        <v>0</v>
      </c>
      <c r="P232" s="348">
        <f>master_Daily!P185</f>
        <v>0</v>
      </c>
      <c r="Q232" s="350">
        <f>master_Daily!Q185</f>
        <v>4.00024863774531E-2</v>
      </c>
      <c r="R232" s="348">
        <f>master_Daily!R185</f>
        <v>6.1999999999999998E-3</v>
      </c>
      <c r="S232" s="348">
        <f>master_Daily!S185</f>
        <v>1.2999999999999999E-2</v>
      </c>
      <c r="T232" s="23">
        <f t="shared" si="77"/>
        <v>0.32497979943884903</v>
      </c>
      <c r="U232" s="348">
        <f t="shared" si="78"/>
        <v>0.22624000000000002</v>
      </c>
      <c r="V232" s="23">
        <f>IFERROR(U232/$U$236,0)</f>
        <v>1.147992839252587E-2</v>
      </c>
      <c r="X232" s="15"/>
      <c r="Y232" s="53"/>
      <c r="Z232" s="53"/>
    </row>
    <row r="233" spans="2:49" s="85" customFormat="1" ht="14.45" hidden="1" customHeight="1" outlineLevel="1">
      <c r="B233" s="20" t="s">
        <v>135</v>
      </c>
      <c r="C233" s="74" t="s">
        <v>46</v>
      </c>
      <c r="D233" s="74"/>
      <c r="E233" s="348">
        <f>master_Daily!E186</f>
        <v>0.82240000000000002</v>
      </c>
      <c r="F233" s="348">
        <f>master_Daily!F186</f>
        <v>0.52259999999999995</v>
      </c>
      <c r="G233" s="348">
        <f>master_Daily!G186</f>
        <v>0.70599999999999996</v>
      </c>
      <c r="H233" s="348">
        <f>master_Daily!H186</f>
        <v>0.8266</v>
      </c>
      <c r="I233" s="348">
        <f>master_Daily!I186</f>
        <v>0.77300000000000002</v>
      </c>
      <c r="J233" s="348">
        <f>master_Daily!J186</f>
        <v>0.29160000000000003</v>
      </c>
      <c r="K233" s="348">
        <f>master_Daily!K186</f>
        <v>0</v>
      </c>
      <c r="L233" s="348">
        <f>master_Daily!L186</f>
        <v>0</v>
      </c>
      <c r="M233" s="348">
        <f>master_Daily!M186</f>
        <v>0</v>
      </c>
      <c r="N233" s="348">
        <f>master_Daily!N186</f>
        <v>0</v>
      </c>
      <c r="O233" s="348">
        <f>master_Daily!O186</f>
        <v>0</v>
      </c>
      <c r="P233" s="348">
        <f>master_Daily!P186</f>
        <v>0</v>
      </c>
      <c r="Q233" s="350">
        <f>master_Daily!Q186</f>
        <v>0.69638879939486475</v>
      </c>
      <c r="R233" s="348">
        <f>master_Daily!R186</f>
        <v>8.8200000000000001E-2</v>
      </c>
      <c r="S233" s="348">
        <f>master_Daily!S186</f>
        <v>0.29160000000000003</v>
      </c>
      <c r="T233" s="23">
        <f t="shared" si="77"/>
        <v>0.41873160546721783</v>
      </c>
      <c r="U233" s="348">
        <f t="shared" si="78"/>
        <v>3.9422000000000001</v>
      </c>
      <c r="V233" s="23">
        <f>IFERROR(U233/$U$236,0)</f>
        <v>0.2000361284875154</v>
      </c>
    </row>
    <row r="234" spans="2:49" s="85" customFormat="1" ht="15" hidden="1" customHeight="1" outlineLevel="1">
      <c r="B234" s="20" t="s">
        <v>135</v>
      </c>
      <c r="C234" s="74" t="s">
        <v>47</v>
      </c>
      <c r="D234" s="74"/>
      <c r="E234" s="348">
        <f>master_Daily!E187</f>
        <v>2.3296000000000001</v>
      </c>
      <c r="F234" s="348">
        <f>master_Daily!F187</f>
        <v>2.5939999999999999</v>
      </c>
      <c r="G234" s="348">
        <f>master_Daily!G187</f>
        <v>2.2315999999999998</v>
      </c>
      <c r="H234" s="348">
        <f>master_Daily!H187</f>
        <v>2.8687999999999998</v>
      </c>
      <c r="I234" s="348">
        <f>master_Daily!I187</f>
        <v>2.2639999999999998</v>
      </c>
      <c r="J234" s="348">
        <f>master_Daily!J187</f>
        <v>0.61939999999999995</v>
      </c>
      <c r="K234" s="348">
        <f>master_Daily!K187</f>
        <v>0</v>
      </c>
      <c r="L234" s="348">
        <f>master_Daily!L187</f>
        <v>0</v>
      </c>
      <c r="M234" s="348">
        <f>master_Daily!M187</f>
        <v>0</v>
      </c>
      <c r="N234" s="348">
        <f>master_Daily!N187</f>
        <v>0</v>
      </c>
      <c r="O234" s="348">
        <f>master_Daily!O187</f>
        <v>0</v>
      </c>
      <c r="P234" s="348">
        <f>master_Daily!P187</f>
        <v>0</v>
      </c>
      <c r="Q234" s="350">
        <f>master_Daily!Q187</f>
        <v>2.2183605457423408</v>
      </c>
      <c r="R234" s="348">
        <f>master_Daily!R187</f>
        <v>0.12959999999999999</v>
      </c>
      <c r="S234" s="348">
        <f>master_Daily!S187</f>
        <v>0.61939999999999995</v>
      </c>
      <c r="T234" s="23">
        <f t="shared" si="77"/>
        <v>0.27921520745976264</v>
      </c>
      <c r="U234" s="348">
        <f t="shared" si="78"/>
        <v>12.907400000000001</v>
      </c>
      <c r="V234" s="23">
        <f>IFERROR(U234/$U$236,0)</f>
        <v>0.65495061763476137</v>
      </c>
    </row>
    <row r="235" spans="2:49" s="85" customFormat="1" ht="15" hidden="1" customHeight="1" outlineLevel="1">
      <c r="B235" s="20" t="s">
        <v>135</v>
      </c>
      <c r="C235" s="148" t="s">
        <v>61</v>
      </c>
      <c r="D235" s="148"/>
      <c r="E235" s="348">
        <f>master_Daily!E188</f>
        <v>0.2452</v>
      </c>
      <c r="F235" s="348">
        <f>master_Daily!F188</f>
        <v>0.16</v>
      </c>
      <c r="G235" s="348">
        <f>master_Daily!G188</f>
        <v>0.27200000000000002</v>
      </c>
      <c r="H235" s="348">
        <f>master_Daily!H188</f>
        <v>0.31859999999999999</v>
      </c>
      <c r="I235" s="348">
        <f>master_Daily!I188</f>
        <v>0.2964</v>
      </c>
      <c r="J235" s="348">
        <f>master_Daily!J188</f>
        <v>0.11840000000000001</v>
      </c>
      <c r="K235" s="348">
        <f>master_Daily!K188</f>
        <v>0</v>
      </c>
      <c r="L235" s="348">
        <f>master_Daily!L188</f>
        <v>0</v>
      </c>
      <c r="M235" s="348">
        <f>master_Daily!M188</f>
        <v>0</v>
      </c>
      <c r="N235" s="348">
        <f>master_Daily!N188</f>
        <v>0</v>
      </c>
      <c r="O235" s="348">
        <f>master_Daily!O188</f>
        <v>0</v>
      </c>
      <c r="P235" s="348">
        <f>master_Daily!P188</f>
        <v>0</v>
      </c>
      <c r="Q235" s="350">
        <f>master_Daily!Q188</f>
        <v>0.26791154799759065</v>
      </c>
      <c r="R235" s="348">
        <f>master_Daily!R188</f>
        <v>3.5999999999999999E-3</v>
      </c>
      <c r="S235" s="348">
        <f>master_Daily!S188</f>
        <v>0.11840000000000001</v>
      </c>
      <c r="T235" s="23">
        <f t="shared" si="77"/>
        <v>0.44193690374654843</v>
      </c>
      <c r="U235" s="348">
        <f t="shared" si="78"/>
        <v>1.4106000000000001</v>
      </c>
      <c r="V235" s="23">
        <f>IFERROR(U235/$U$236,0)</f>
        <v>7.1577028776949228E-2</v>
      </c>
    </row>
    <row r="236" spans="2:49" s="85" customFormat="1" ht="15" customHeight="1" collapsed="1">
      <c r="B236" s="776" t="s">
        <v>207</v>
      </c>
      <c r="C236" s="777"/>
      <c r="D236" s="426"/>
      <c r="E236" s="349">
        <f>master_Daily!E189</f>
        <v>3.6148000000000002</v>
      </c>
      <c r="F236" s="349">
        <f>master_Daily!F189</f>
        <v>3.5238</v>
      </c>
      <c r="G236" s="349">
        <f>master_Daily!G189</f>
        <v>3.5737999999999994</v>
      </c>
      <c r="H236" s="349">
        <f>master_Daily!H189</f>
        <v>4.2581999999999995</v>
      </c>
      <c r="I236" s="349">
        <f>master_Daily!I189</f>
        <v>3.5902399999999997</v>
      </c>
      <c r="J236" s="349">
        <f>master_Daily!J189</f>
        <v>1.1466000000000001</v>
      </c>
      <c r="K236" s="349">
        <f>master_Daily!K189</f>
        <v>0</v>
      </c>
      <c r="L236" s="349">
        <f>master_Daily!L189</f>
        <v>0</v>
      </c>
      <c r="M236" s="349">
        <f>master_Daily!M189</f>
        <v>0</v>
      </c>
      <c r="N236" s="349">
        <f>master_Daily!N189</f>
        <v>0</v>
      </c>
      <c r="O236" s="349">
        <f>master_Daily!O189</f>
        <v>0</v>
      </c>
      <c r="P236" s="349">
        <f>master_Daily!P189</f>
        <v>0</v>
      </c>
      <c r="Q236" s="349">
        <f>master_Daily!Q189</f>
        <v>3.4439999999999995</v>
      </c>
      <c r="R236" s="349">
        <f>master_Daily!R189</f>
        <v>0.23919999999999997</v>
      </c>
      <c r="S236" s="349">
        <f>master_Daily!S189</f>
        <v>1.1466000000000001</v>
      </c>
      <c r="T236" s="65">
        <f t="shared" si="77"/>
        <v>0.33292682926829276</v>
      </c>
      <c r="U236" s="349">
        <f t="shared" si="78"/>
        <v>19.707439999999998</v>
      </c>
      <c r="V236" s="65">
        <f>IFERROR(U236/$U200,0)</f>
        <v>3.2765089710199279E-2</v>
      </c>
      <c r="AA236" s="390"/>
      <c r="AB236" s="390"/>
      <c r="AC236" s="390"/>
      <c r="AD236" s="390"/>
      <c r="AE236" s="390"/>
      <c r="AF236" s="390"/>
      <c r="AG236" s="390"/>
      <c r="AH236" s="390"/>
      <c r="AI236" s="390"/>
      <c r="AJ236" s="390"/>
      <c r="AK236" s="390"/>
      <c r="AL236" s="390"/>
      <c r="AQ236" s="390"/>
    </row>
    <row r="237" spans="2:49" s="85" customFormat="1" ht="15" customHeight="1">
      <c r="T237" s="419"/>
      <c r="V237" s="86"/>
      <c r="AA237" s="396"/>
      <c r="AB237" s="396"/>
      <c r="AC237" s="396"/>
      <c r="AD237" s="396"/>
      <c r="AE237" s="396"/>
      <c r="AF237" s="396"/>
      <c r="AG237" s="396"/>
      <c r="AH237" s="451"/>
      <c r="AI237" s="451"/>
      <c r="AJ237" s="451"/>
      <c r="AK237" s="451"/>
      <c r="AL237" s="452"/>
      <c r="AO237" s="456"/>
    </row>
    <row r="238" spans="2:49" s="85" customFormat="1" ht="3.6" customHeight="1">
      <c r="E238" s="410"/>
      <c r="F238" s="410"/>
      <c r="G238" s="411"/>
      <c r="H238" s="390"/>
      <c r="I238" s="390"/>
      <c r="J238" s="390"/>
      <c r="K238" s="390"/>
      <c r="L238" s="410"/>
      <c r="M238" s="449"/>
      <c r="N238" s="410"/>
      <c r="O238" s="410"/>
      <c r="P238" s="450"/>
      <c r="R238" s="87"/>
      <c r="S238" s="87"/>
      <c r="T238" s="417"/>
      <c r="U238" s="86"/>
      <c r="V238" s="86"/>
    </row>
    <row r="239" spans="2:49" s="85" customFormat="1" ht="21">
      <c r="E239" s="391"/>
      <c r="F239" s="391"/>
      <c r="G239" s="391"/>
      <c r="H239" s="391"/>
      <c r="I239" s="391"/>
      <c r="J239" s="391"/>
      <c r="K239" s="391"/>
      <c r="L239" s="391"/>
      <c r="M239" s="391"/>
      <c r="N239" s="453"/>
      <c r="O239" s="453"/>
      <c r="P239" s="391"/>
      <c r="R239" s="87"/>
      <c r="S239" s="87"/>
      <c r="T239" s="418"/>
      <c r="U239" s="86"/>
      <c r="X239" s="79" t="s">
        <v>208</v>
      </c>
      <c r="Y239" s="53"/>
      <c r="Z239" s="53"/>
      <c r="AA239" s="15"/>
      <c r="AB239" s="15"/>
      <c r="AC239" s="15"/>
      <c r="AD239" s="15"/>
      <c r="AE239" s="15"/>
      <c r="AF239" s="15"/>
      <c r="AG239" s="15"/>
      <c r="AH239" s="15"/>
      <c r="AI239" s="15"/>
      <c r="AJ239" s="15"/>
      <c r="AK239" s="15"/>
      <c r="AL239" s="15"/>
      <c r="AM239" s="42"/>
      <c r="AN239" s="42"/>
      <c r="AO239" s="42"/>
      <c r="AP239" s="15"/>
      <c r="AQ239" s="42"/>
      <c r="AR239" s="67"/>
    </row>
    <row r="240" spans="2:49" s="85" customFormat="1" ht="14.45" hidden="1" customHeight="1" outlineLevel="1">
      <c r="T240" s="89"/>
      <c r="U240" s="86"/>
      <c r="X240" s="107" t="s">
        <v>209</v>
      </c>
      <c r="Y240" s="107" t="s">
        <v>44</v>
      </c>
      <c r="Z240" s="107"/>
      <c r="AA240" s="108">
        <f>master_Daily!$AA198</f>
        <v>0</v>
      </c>
      <c r="AB240" s="179">
        <f>master_Daily!$AK198</f>
        <v>0</v>
      </c>
      <c r="AC240" s="114">
        <f>master_Daily!AU198</f>
        <v>0</v>
      </c>
      <c r="AD240" s="114">
        <f>master_Daily!BE198</f>
        <v>0</v>
      </c>
      <c r="AE240" s="114">
        <f>master_Daily!BO198</f>
        <v>0</v>
      </c>
      <c r="AF240" s="114">
        <f>master_Daily!BY198</f>
        <v>0</v>
      </c>
      <c r="AG240" s="114">
        <f>master_Daily!CI198</f>
        <v>0</v>
      </c>
      <c r="AH240" s="114">
        <f>master_Daily!CS198</f>
        <v>0</v>
      </c>
      <c r="AI240" s="114">
        <f>master_Daily!DC198</f>
        <v>0</v>
      </c>
      <c r="AJ240" s="114">
        <f>master_Daily!DM198</f>
        <v>0</v>
      </c>
      <c r="AK240" s="114">
        <f>master_Daily!DW198</f>
        <v>0</v>
      </c>
      <c r="AL240" s="114">
        <f>master_Daily!EG198</f>
        <v>0</v>
      </c>
      <c r="AM240" s="114">
        <f>master_Daily!EQ198</f>
        <v>0</v>
      </c>
      <c r="AN240" s="110">
        <f>master_Daily!ER198</f>
        <v>0</v>
      </c>
      <c r="AO240" s="110">
        <f>master_Daily!EZ198</f>
        <v>0</v>
      </c>
      <c r="AP240" s="266">
        <f>master_Daily!FQ198</f>
        <v>0</v>
      </c>
      <c r="AQ240" s="109">
        <f ca="1">master_Daily!FH198</f>
        <v>0</v>
      </c>
      <c r="AR240" s="265">
        <f ca="1">master_Daily!FP198</f>
        <v>0</v>
      </c>
      <c r="AS240" s="110">
        <f>master_Daily!FR198</f>
        <v>0</v>
      </c>
      <c r="AT240" s="266">
        <f t="shared" ref="AT240:AT269" si="93">IFERROR(AS240/AM240,0)</f>
        <v>0</v>
      </c>
    </row>
    <row r="241" spans="14:46" s="85" customFormat="1" ht="14.45" hidden="1" customHeight="1" outlineLevel="1">
      <c r="T241" s="89"/>
      <c r="U241" s="86"/>
      <c r="X241" s="107" t="s">
        <v>209</v>
      </c>
      <c r="Y241" s="107" t="s">
        <v>45</v>
      </c>
      <c r="Z241" s="107"/>
      <c r="AA241" s="108">
        <f>master_Daily!$AA199</f>
        <v>0</v>
      </c>
      <c r="AB241" s="179">
        <f>master_Daily!$AK199</f>
        <v>0</v>
      </c>
      <c r="AC241" s="114">
        <f>master_Daily!AU199</f>
        <v>0</v>
      </c>
      <c r="AD241" s="114">
        <f>master_Daily!BE199</f>
        <v>0</v>
      </c>
      <c r="AE241" s="114">
        <f>master_Daily!BO199</f>
        <v>0</v>
      </c>
      <c r="AF241" s="114">
        <f>master_Daily!BY199</f>
        <v>0</v>
      </c>
      <c r="AG241" s="114">
        <f>master_Daily!CI199</f>
        <v>0</v>
      </c>
      <c r="AH241" s="114">
        <f>master_Daily!CS199</f>
        <v>0</v>
      </c>
      <c r="AI241" s="114">
        <f>master_Daily!DC199</f>
        <v>0</v>
      </c>
      <c r="AJ241" s="114">
        <f>master_Daily!DM199</f>
        <v>0</v>
      </c>
      <c r="AK241" s="114">
        <f>master_Daily!DW199</f>
        <v>0</v>
      </c>
      <c r="AL241" s="114">
        <f>master_Daily!EG199</f>
        <v>0</v>
      </c>
      <c r="AM241" s="114">
        <f>master_Daily!EQ199</f>
        <v>0</v>
      </c>
      <c r="AN241" s="110">
        <f>master_Daily!ER199</f>
        <v>0</v>
      </c>
      <c r="AO241" s="110">
        <f>master_Daily!EZ199</f>
        <v>0</v>
      </c>
      <c r="AP241" s="266">
        <f>master_Daily!FQ199</f>
        <v>0</v>
      </c>
      <c r="AQ241" s="109">
        <f ca="1">master_Daily!FH199</f>
        <v>0</v>
      </c>
      <c r="AR241" s="265">
        <f ca="1">master_Daily!FP199</f>
        <v>0</v>
      </c>
      <c r="AS241" s="110">
        <f>master_Daily!FR199</f>
        <v>0</v>
      </c>
      <c r="AT241" s="266">
        <f t="shared" si="93"/>
        <v>0</v>
      </c>
    </row>
    <row r="242" spans="14:46" s="85" customFormat="1" ht="14.45" hidden="1" customHeight="1" outlineLevel="1">
      <c r="T242" s="89"/>
      <c r="U242" s="86"/>
      <c r="X242" s="107" t="s">
        <v>209</v>
      </c>
      <c r="Y242" s="107" t="s">
        <v>46</v>
      </c>
      <c r="Z242" s="107"/>
      <c r="AA242" s="108">
        <f>master_Daily!$AA200</f>
        <v>0</v>
      </c>
      <c r="AB242" s="179">
        <f>master_Daily!$AK200</f>
        <v>0</v>
      </c>
      <c r="AC242" s="114">
        <f>master_Daily!AU200</f>
        <v>0</v>
      </c>
      <c r="AD242" s="114">
        <f>master_Daily!BE200</f>
        <v>0</v>
      </c>
      <c r="AE242" s="114">
        <f>master_Daily!BO200</f>
        <v>0</v>
      </c>
      <c r="AF242" s="114">
        <f>master_Daily!BY200</f>
        <v>0</v>
      </c>
      <c r="AG242" s="114">
        <f>master_Daily!CI200</f>
        <v>0</v>
      </c>
      <c r="AH242" s="114">
        <f>master_Daily!CS200</f>
        <v>0</v>
      </c>
      <c r="AI242" s="114">
        <f>master_Daily!DC200</f>
        <v>0</v>
      </c>
      <c r="AJ242" s="114">
        <f>master_Daily!DM200</f>
        <v>0</v>
      </c>
      <c r="AK242" s="114">
        <f>master_Daily!DW200</f>
        <v>0</v>
      </c>
      <c r="AL242" s="114">
        <f>master_Daily!EG200</f>
        <v>0</v>
      </c>
      <c r="AM242" s="114">
        <f>master_Daily!EQ200</f>
        <v>0</v>
      </c>
      <c r="AN242" s="110">
        <f>master_Daily!ER200</f>
        <v>0</v>
      </c>
      <c r="AO242" s="110">
        <f>master_Daily!EZ200</f>
        <v>0</v>
      </c>
      <c r="AP242" s="266">
        <f>master_Daily!FQ200</f>
        <v>0</v>
      </c>
      <c r="AQ242" s="109">
        <f ca="1">master_Daily!FH200</f>
        <v>0</v>
      </c>
      <c r="AR242" s="265">
        <f ca="1">master_Daily!FP200</f>
        <v>0</v>
      </c>
      <c r="AS242" s="110">
        <f>master_Daily!FR200</f>
        <v>0</v>
      </c>
      <c r="AT242" s="266">
        <f t="shared" si="93"/>
        <v>0</v>
      </c>
    </row>
    <row r="243" spans="14:46" s="85" customFormat="1" ht="14.45" hidden="1" customHeight="1" outlineLevel="1">
      <c r="T243" s="89"/>
      <c r="U243" s="86"/>
      <c r="X243" s="107" t="s">
        <v>209</v>
      </c>
      <c r="Y243" s="107" t="s">
        <v>47</v>
      </c>
      <c r="Z243" s="107"/>
      <c r="AA243" s="108">
        <f>master_Daily!$AA201</f>
        <v>0</v>
      </c>
      <c r="AB243" s="179">
        <f>master_Daily!$AK201</f>
        <v>0</v>
      </c>
      <c r="AC243" s="114">
        <f>master_Daily!AU201</f>
        <v>0</v>
      </c>
      <c r="AD243" s="114">
        <f>master_Daily!BE201</f>
        <v>0</v>
      </c>
      <c r="AE243" s="114">
        <f>master_Daily!BO201</f>
        <v>0</v>
      </c>
      <c r="AF243" s="114">
        <f>master_Daily!BY201</f>
        <v>0</v>
      </c>
      <c r="AG243" s="114">
        <f>master_Daily!CI201</f>
        <v>0</v>
      </c>
      <c r="AH243" s="114">
        <f>master_Daily!CS201</f>
        <v>0</v>
      </c>
      <c r="AI243" s="114">
        <f>master_Daily!DC201</f>
        <v>0</v>
      </c>
      <c r="AJ243" s="114">
        <f>master_Daily!DM201</f>
        <v>0</v>
      </c>
      <c r="AK243" s="114">
        <f>master_Daily!DW201</f>
        <v>0</v>
      </c>
      <c r="AL243" s="114">
        <f>master_Daily!EG201</f>
        <v>0</v>
      </c>
      <c r="AM243" s="114">
        <f>master_Daily!EQ201</f>
        <v>0</v>
      </c>
      <c r="AN243" s="110">
        <f>master_Daily!ER201</f>
        <v>0</v>
      </c>
      <c r="AO243" s="110">
        <f>master_Daily!EZ201</f>
        <v>0</v>
      </c>
      <c r="AP243" s="266">
        <f>master_Daily!FQ201</f>
        <v>0</v>
      </c>
      <c r="AQ243" s="109">
        <f ca="1">master_Daily!FH201</f>
        <v>0</v>
      </c>
      <c r="AR243" s="265">
        <f ca="1">master_Daily!FP201</f>
        <v>0</v>
      </c>
      <c r="AS243" s="110">
        <f>master_Daily!FR201</f>
        <v>0</v>
      </c>
      <c r="AT243" s="266">
        <f t="shared" si="93"/>
        <v>0</v>
      </c>
    </row>
    <row r="244" spans="14:46" s="85" customFormat="1" ht="14.45" hidden="1" customHeight="1" outlineLevel="1">
      <c r="T244" s="89"/>
      <c r="U244" s="86"/>
      <c r="X244" s="107" t="s">
        <v>209</v>
      </c>
      <c r="Y244" s="107" t="s">
        <v>131</v>
      </c>
      <c r="Z244" s="107"/>
      <c r="AA244" s="108">
        <f>master_Daily!$AA202</f>
        <v>0</v>
      </c>
      <c r="AB244" s="179">
        <f>master_Daily!$AK202</f>
        <v>0</v>
      </c>
      <c r="AC244" s="114">
        <f>master_Daily!AU202</f>
        <v>0</v>
      </c>
      <c r="AD244" s="114">
        <f>master_Daily!BE202</f>
        <v>0</v>
      </c>
      <c r="AE244" s="114">
        <f>master_Daily!BO202</f>
        <v>0</v>
      </c>
      <c r="AF244" s="114">
        <f>master_Daily!BY202</f>
        <v>0</v>
      </c>
      <c r="AG244" s="114">
        <f>master_Daily!CI202</f>
        <v>0</v>
      </c>
      <c r="AH244" s="114">
        <f>master_Daily!CS202</f>
        <v>0</v>
      </c>
      <c r="AI244" s="114">
        <f>master_Daily!DC202</f>
        <v>0</v>
      </c>
      <c r="AJ244" s="114">
        <f>master_Daily!DM202</f>
        <v>0</v>
      </c>
      <c r="AK244" s="114">
        <f>master_Daily!DW202</f>
        <v>0</v>
      </c>
      <c r="AL244" s="114">
        <f>master_Daily!EG202</f>
        <v>0</v>
      </c>
      <c r="AM244" s="114">
        <f>master_Daily!EQ202</f>
        <v>0</v>
      </c>
      <c r="AN244" s="110">
        <f>master_Daily!ER202</f>
        <v>0</v>
      </c>
      <c r="AO244" s="110">
        <f>master_Daily!EZ202</f>
        <v>0</v>
      </c>
      <c r="AP244" s="266">
        <f>master_Daily!FQ202</f>
        <v>0</v>
      </c>
      <c r="AQ244" s="109">
        <f ca="1">master_Daily!FH202</f>
        <v>0</v>
      </c>
      <c r="AR244" s="265">
        <f ca="1">master_Daily!FP202</f>
        <v>0</v>
      </c>
      <c r="AS244" s="110">
        <f>master_Daily!FR202</f>
        <v>0</v>
      </c>
      <c r="AT244" s="266">
        <f t="shared" si="93"/>
        <v>0</v>
      </c>
    </row>
    <row r="245" spans="14:46" s="92" customFormat="1" hidden="1" collapsed="1">
      <c r="N245" s="455"/>
      <c r="O245" s="460"/>
      <c r="T245" s="90"/>
      <c r="U245" s="91"/>
      <c r="X245" s="503" t="s">
        <v>210</v>
      </c>
      <c r="Y245" s="152"/>
      <c r="Z245" s="152"/>
      <c r="AA245" s="357">
        <f>master_Daily!$AA203</f>
        <v>0</v>
      </c>
      <c r="AB245" s="357">
        <f>master_Daily!$AK203</f>
        <v>0</v>
      </c>
      <c r="AC245" s="357">
        <f>master_Daily!AU203</f>
        <v>0</v>
      </c>
      <c r="AD245" s="357">
        <f>master_Daily!BE203</f>
        <v>0</v>
      </c>
      <c r="AE245" s="357">
        <f>master_Daily!BO203</f>
        <v>0</v>
      </c>
      <c r="AF245" s="357">
        <f>master_Daily!BY203</f>
        <v>0</v>
      </c>
      <c r="AG245" s="357">
        <f>master_Daily!CI203</f>
        <v>0</v>
      </c>
      <c r="AH245" s="357">
        <f>master_Daily!CS203</f>
        <v>0</v>
      </c>
      <c r="AI245" s="357">
        <f>master_Daily!DC203</f>
        <v>0</v>
      </c>
      <c r="AJ245" s="357">
        <f>master_Daily!DM203</f>
        <v>0</v>
      </c>
      <c r="AK245" s="357">
        <f>master_Daily!DW203</f>
        <v>0</v>
      </c>
      <c r="AL245" s="357">
        <f>master_Daily!EG203</f>
        <v>0</v>
      </c>
      <c r="AM245" s="357">
        <f>master_Daily!EQ203</f>
        <v>0</v>
      </c>
      <c r="AN245" s="357">
        <f>master_Daily!ES203</f>
        <v>0</v>
      </c>
      <c r="AO245" s="357">
        <f>master_Daily!EZ203</f>
        <v>0</v>
      </c>
      <c r="AP245" s="65">
        <f>master_Daily!FQ203</f>
        <v>0</v>
      </c>
      <c r="AQ245" s="357">
        <f ca="1">master_Daily!FH203</f>
        <v>0</v>
      </c>
      <c r="AR245" s="64">
        <f ca="1">master_Daily!FP203</f>
        <v>0</v>
      </c>
      <c r="AS245" s="357">
        <f>master_Daily!FR203</f>
        <v>0</v>
      </c>
      <c r="AT245" s="65">
        <f t="shared" si="93"/>
        <v>0</v>
      </c>
    </row>
    <row r="246" spans="14:46" s="92" customFormat="1" ht="14.45" hidden="1" customHeight="1" outlineLevel="1">
      <c r="T246" s="90"/>
      <c r="U246" s="91"/>
      <c r="X246" s="504" t="s">
        <v>211</v>
      </c>
      <c r="Y246" s="107" t="s">
        <v>44</v>
      </c>
      <c r="Z246" s="107"/>
      <c r="AA246" s="368">
        <f>master_Daily!$AA204</f>
        <v>0</v>
      </c>
      <c r="AB246" s="353">
        <f>master_Daily!$AK204</f>
        <v>0</v>
      </c>
      <c r="AC246" s="357">
        <f>master_Daily!AU204</f>
        <v>0</v>
      </c>
      <c r="AD246" s="357">
        <f>master_Daily!BE204</f>
        <v>0</v>
      </c>
      <c r="AE246" s="357">
        <f>master_Daily!BO204</f>
        <v>0</v>
      </c>
      <c r="AF246" s="357">
        <f>master_Daily!BY204</f>
        <v>0</v>
      </c>
      <c r="AG246" s="357">
        <f>master_Daily!CI204</f>
        <v>0</v>
      </c>
      <c r="AH246" s="357">
        <f>master_Daily!CS204</f>
        <v>0</v>
      </c>
      <c r="AI246" s="357">
        <f>master_Daily!DC204</f>
        <v>0</v>
      </c>
      <c r="AJ246" s="357">
        <f>master_Daily!DM204</f>
        <v>0</v>
      </c>
      <c r="AK246" s="357">
        <f>master_Daily!DW204</f>
        <v>0</v>
      </c>
      <c r="AL246" s="357">
        <f>master_Daily!EG204</f>
        <v>0</v>
      </c>
      <c r="AM246" s="357">
        <f>master_Daily!EQ204</f>
        <v>0</v>
      </c>
      <c r="AN246" s="357">
        <f>master_Daily!ET204</f>
        <v>0</v>
      </c>
      <c r="AO246" s="358">
        <f>master_Daily!EZ204</f>
        <v>0</v>
      </c>
      <c r="AP246" s="266">
        <f>master_Daily!FQ204</f>
        <v>0</v>
      </c>
      <c r="AQ246" s="369">
        <f ca="1">master_Daily!FH204</f>
        <v>0</v>
      </c>
      <c r="AR246" s="269">
        <f ca="1">master_Daily!FP204</f>
        <v>0</v>
      </c>
      <c r="AS246" s="358">
        <f>master_Daily!FR204</f>
        <v>0</v>
      </c>
      <c r="AT246" s="266">
        <f t="shared" si="93"/>
        <v>0</v>
      </c>
    </row>
    <row r="247" spans="14:46" s="92" customFormat="1" ht="14.45" hidden="1" customHeight="1" outlineLevel="1">
      <c r="T247" s="90"/>
      <c r="U247" s="91"/>
      <c r="X247" s="504" t="s">
        <v>211</v>
      </c>
      <c r="Y247" s="107" t="s">
        <v>45</v>
      </c>
      <c r="Z247" s="107"/>
      <c r="AA247" s="368">
        <f>master_Daily!$AA205</f>
        <v>0</v>
      </c>
      <c r="AB247" s="353">
        <f>master_Daily!$AK205</f>
        <v>0</v>
      </c>
      <c r="AC247" s="357">
        <f>master_Daily!AU205</f>
        <v>0</v>
      </c>
      <c r="AD247" s="357">
        <f>master_Daily!BE205</f>
        <v>0</v>
      </c>
      <c r="AE247" s="357">
        <f>master_Daily!BO205</f>
        <v>0</v>
      </c>
      <c r="AF247" s="357">
        <f>master_Daily!BY205</f>
        <v>0</v>
      </c>
      <c r="AG247" s="357">
        <f>master_Daily!CI205</f>
        <v>0</v>
      </c>
      <c r="AH247" s="357">
        <f>master_Daily!CS205</f>
        <v>0</v>
      </c>
      <c r="AI247" s="357">
        <f>master_Daily!DC205</f>
        <v>0</v>
      </c>
      <c r="AJ247" s="357">
        <f>master_Daily!DM205</f>
        <v>0</v>
      </c>
      <c r="AK247" s="357">
        <f>master_Daily!DW205</f>
        <v>0</v>
      </c>
      <c r="AL247" s="357">
        <f>master_Daily!EG205</f>
        <v>0</v>
      </c>
      <c r="AM247" s="357">
        <f>master_Daily!EQ205</f>
        <v>0</v>
      </c>
      <c r="AN247" s="357">
        <f>master_Daily!ET205</f>
        <v>0</v>
      </c>
      <c r="AO247" s="358">
        <f>master_Daily!EZ205</f>
        <v>0</v>
      </c>
      <c r="AP247" s="266">
        <f>master_Daily!FQ205</f>
        <v>0</v>
      </c>
      <c r="AQ247" s="369">
        <f ca="1">master_Daily!FH205</f>
        <v>0</v>
      </c>
      <c r="AR247" s="269">
        <f ca="1">master_Daily!FP205</f>
        <v>0</v>
      </c>
      <c r="AS247" s="358">
        <f>master_Daily!FR205</f>
        <v>0</v>
      </c>
      <c r="AT247" s="266">
        <f t="shared" si="93"/>
        <v>0</v>
      </c>
    </row>
    <row r="248" spans="14:46" s="92" customFormat="1" ht="14.45" hidden="1" customHeight="1" outlineLevel="1">
      <c r="T248" s="90"/>
      <c r="U248" s="91"/>
      <c r="X248" s="504" t="s">
        <v>211</v>
      </c>
      <c r="Y248" s="107" t="s">
        <v>46</v>
      </c>
      <c r="Z248" s="107"/>
      <c r="AA248" s="368">
        <f>master_Daily!$AA206</f>
        <v>0</v>
      </c>
      <c r="AB248" s="353">
        <f>master_Daily!$AK206</f>
        <v>0</v>
      </c>
      <c r="AC248" s="357">
        <f>master_Daily!AU206</f>
        <v>0</v>
      </c>
      <c r="AD248" s="357">
        <f>master_Daily!BE206</f>
        <v>0</v>
      </c>
      <c r="AE248" s="357">
        <f>master_Daily!BO206</f>
        <v>0</v>
      </c>
      <c r="AF248" s="357">
        <f>master_Daily!BY206</f>
        <v>0</v>
      </c>
      <c r="AG248" s="357">
        <f>master_Daily!CI206</f>
        <v>0</v>
      </c>
      <c r="AH248" s="357">
        <f>master_Daily!CS206</f>
        <v>0</v>
      </c>
      <c r="AI248" s="357">
        <f>master_Daily!DC206</f>
        <v>0</v>
      </c>
      <c r="AJ248" s="357">
        <f>master_Daily!DM206</f>
        <v>0</v>
      </c>
      <c r="AK248" s="357">
        <f>master_Daily!DW206</f>
        <v>0</v>
      </c>
      <c r="AL248" s="357">
        <f>master_Daily!EG206</f>
        <v>0</v>
      </c>
      <c r="AM248" s="357">
        <f>master_Daily!EQ206</f>
        <v>0</v>
      </c>
      <c r="AN248" s="357">
        <f>master_Daily!ET206</f>
        <v>0</v>
      </c>
      <c r="AO248" s="358">
        <f>master_Daily!EZ206</f>
        <v>0</v>
      </c>
      <c r="AP248" s="266">
        <f>master_Daily!FQ206</f>
        <v>0</v>
      </c>
      <c r="AQ248" s="369">
        <f ca="1">master_Daily!FH206</f>
        <v>0</v>
      </c>
      <c r="AR248" s="269">
        <f ca="1">master_Daily!FP206</f>
        <v>0</v>
      </c>
      <c r="AS248" s="358">
        <f>master_Daily!FR206</f>
        <v>0</v>
      </c>
      <c r="AT248" s="266">
        <f t="shared" si="93"/>
        <v>0</v>
      </c>
    </row>
    <row r="249" spans="14:46" s="92" customFormat="1" ht="14.45" hidden="1" customHeight="1" outlineLevel="1">
      <c r="T249" s="90"/>
      <c r="U249" s="91"/>
      <c r="X249" s="504" t="s">
        <v>211</v>
      </c>
      <c r="Y249" s="107" t="s">
        <v>47</v>
      </c>
      <c r="Z249" s="107"/>
      <c r="AA249" s="368">
        <f>master_Daily!$AA207</f>
        <v>0</v>
      </c>
      <c r="AB249" s="353">
        <f>master_Daily!$AK207</f>
        <v>0</v>
      </c>
      <c r="AC249" s="357">
        <f>master_Daily!AU207</f>
        <v>0</v>
      </c>
      <c r="AD249" s="357">
        <f>master_Daily!BE207</f>
        <v>0</v>
      </c>
      <c r="AE249" s="357">
        <f>master_Daily!BO207</f>
        <v>0</v>
      </c>
      <c r="AF249" s="357">
        <f>master_Daily!BY207</f>
        <v>0</v>
      </c>
      <c r="AG249" s="357">
        <f>master_Daily!CI207</f>
        <v>0</v>
      </c>
      <c r="AH249" s="357">
        <f>master_Daily!CS207</f>
        <v>0</v>
      </c>
      <c r="AI249" s="357">
        <f>master_Daily!DC207</f>
        <v>0</v>
      </c>
      <c r="AJ249" s="357">
        <f>master_Daily!DM207</f>
        <v>0</v>
      </c>
      <c r="AK249" s="357">
        <f>master_Daily!DW207</f>
        <v>0</v>
      </c>
      <c r="AL249" s="357">
        <f>master_Daily!EG207</f>
        <v>0</v>
      </c>
      <c r="AM249" s="357">
        <f>master_Daily!EQ207</f>
        <v>0</v>
      </c>
      <c r="AN249" s="357">
        <f>master_Daily!ET207</f>
        <v>0</v>
      </c>
      <c r="AO249" s="358">
        <f>master_Daily!EZ207</f>
        <v>0</v>
      </c>
      <c r="AP249" s="266">
        <f>master_Daily!FQ207</f>
        <v>0</v>
      </c>
      <c r="AQ249" s="369">
        <f ca="1">master_Daily!FH207</f>
        <v>0</v>
      </c>
      <c r="AR249" s="269">
        <f ca="1">master_Daily!FP207</f>
        <v>0</v>
      </c>
      <c r="AS249" s="358">
        <f>master_Daily!FR207</f>
        <v>0</v>
      </c>
      <c r="AT249" s="266">
        <f t="shared" si="93"/>
        <v>0</v>
      </c>
    </row>
    <row r="250" spans="14:46" s="92" customFormat="1" ht="14.45" hidden="1" customHeight="1" outlineLevel="1">
      <c r="T250" s="90"/>
      <c r="U250" s="91"/>
      <c r="X250" s="504" t="s">
        <v>211</v>
      </c>
      <c r="Y250" s="20" t="s">
        <v>61</v>
      </c>
      <c r="Z250" s="20"/>
      <c r="AA250" s="368">
        <f>master_Daily!$AA208</f>
        <v>0</v>
      </c>
      <c r="AB250" s="353">
        <f>master_Daily!$AK208</f>
        <v>0</v>
      </c>
      <c r="AC250" s="357">
        <f>master_Daily!AU208</f>
        <v>0</v>
      </c>
      <c r="AD250" s="357">
        <f>master_Daily!BE208</f>
        <v>0</v>
      </c>
      <c r="AE250" s="357">
        <f>master_Daily!BO208</f>
        <v>0</v>
      </c>
      <c r="AF250" s="357">
        <f>master_Daily!BY208</f>
        <v>0</v>
      </c>
      <c r="AG250" s="357">
        <f>master_Daily!CI208</f>
        <v>0</v>
      </c>
      <c r="AH250" s="357">
        <f>master_Daily!CS208</f>
        <v>0</v>
      </c>
      <c r="AI250" s="357">
        <f>master_Daily!DC208</f>
        <v>0</v>
      </c>
      <c r="AJ250" s="357">
        <f>master_Daily!DM208</f>
        <v>0</v>
      </c>
      <c r="AK250" s="357">
        <f>master_Daily!DW208</f>
        <v>0</v>
      </c>
      <c r="AL250" s="357">
        <f>master_Daily!EG208</f>
        <v>0</v>
      </c>
      <c r="AM250" s="357">
        <f>master_Daily!EQ208</f>
        <v>0</v>
      </c>
      <c r="AN250" s="357">
        <f>master_Daily!ET208</f>
        <v>0</v>
      </c>
      <c r="AO250" s="358">
        <f>master_Daily!EZ208</f>
        <v>0</v>
      </c>
      <c r="AP250" s="266">
        <f>master_Daily!FQ208</f>
        <v>0</v>
      </c>
      <c r="AQ250" s="369">
        <f ca="1">master_Daily!FH208</f>
        <v>0</v>
      </c>
      <c r="AR250" s="269">
        <f ca="1">master_Daily!FP208</f>
        <v>0</v>
      </c>
      <c r="AS250" s="358">
        <f>master_Daily!FR208</f>
        <v>0</v>
      </c>
      <c r="AT250" s="266">
        <f t="shared" si="93"/>
        <v>0</v>
      </c>
    </row>
    <row r="251" spans="14:46" s="92" customFormat="1" collapsed="1">
      <c r="T251" s="90"/>
      <c r="U251" s="91"/>
      <c r="W251" s="92" t="s">
        <v>141</v>
      </c>
      <c r="X251" s="503" t="s">
        <v>212</v>
      </c>
      <c r="Y251" s="152"/>
      <c r="Z251" s="152"/>
      <c r="AA251" s="357">
        <f>master_Daily!$AA209</f>
        <v>0</v>
      </c>
      <c r="AB251" s="357">
        <f>master_Daily!$AK209</f>
        <v>0</v>
      </c>
      <c r="AC251" s="357">
        <f>master_Daily!AU209</f>
        <v>0</v>
      </c>
      <c r="AD251" s="357">
        <f>master_Daily!BE209</f>
        <v>0</v>
      </c>
      <c r="AE251" s="357">
        <f>master_Daily!BO209</f>
        <v>0</v>
      </c>
      <c r="AF251" s="357">
        <f>master_Daily!BY209</f>
        <v>0</v>
      </c>
      <c r="AG251" s="357">
        <f>master_Daily!CI209</f>
        <v>0</v>
      </c>
      <c r="AH251" s="357">
        <f>master_Daily!CS209</f>
        <v>0</v>
      </c>
      <c r="AI251" s="357">
        <f>master_Daily!DC209</f>
        <v>0</v>
      </c>
      <c r="AJ251" s="357">
        <f>master_Daily!DM209</f>
        <v>0</v>
      </c>
      <c r="AK251" s="357">
        <f>master_Daily!DW209</f>
        <v>0</v>
      </c>
      <c r="AL251" s="357">
        <f>master_Daily!EG209</f>
        <v>0</v>
      </c>
      <c r="AM251" s="349">
        <f>master_Daily!EQ209</f>
        <v>0</v>
      </c>
      <c r="AN251" s="357">
        <f>master_Daily!ET209</f>
        <v>0</v>
      </c>
      <c r="AO251" s="357">
        <f>master_Daily!EZ209</f>
        <v>0</v>
      </c>
      <c r="AP251" s="65">
        <f>master_Daily!FQ209</f>
        <v>0</v>
      </c>
      <c r="AQ251" s="357">
        <f ca="1">master_Daily!FH209</f>
        <v>0</v>
      </c>
      <c r="AR251" s="64">
        <f ca="1">master_Daily!FP209</f>
        <v>0</v>
      </c>
      <c r="AS251" s="357">
        <f>master_Daily!FR209</f>
        <v>0</v>
      </c>
      <c r="AT251" s="65">
        <f t="shared" si="93"/>
        <v>0</v>
      </c>
    </row>
    <row r="252" spans="14:46" s="154" customFormat="1" ht="15" hidden="1" customHeight="1" outlineLevel="1">
      <c r="T252" s="155"/>
      <c r="U252" s="156"/>
      <c r="W252" s="514"/>
      <c r="X252" s="268" t="s">
        <v>213</v>
      </c>
      <c r="Y252" s="214" t="s">
        <v>44</v>
      </c>
      <c r="Z252" s="214"/>
      <c r="AA252" s="368">
        <f>master_Daily!$AA222</f>
        <v>2.6599999999999999E-2</v>
      </c>
      <c r="AB252" s="353">
        <f>master_Daily!$AK222</f>
        <v>1.7999999999999999E-2</v>
      </c>
      <c r="AC252" s="357">
        <f>master_Daily!AU222</f>
        <v>2.1000000000000001E-2</v>
      </c>
      <c r="AD252" s="357">
        <f>master_Daily!BE222</f>
        <v>1.2E-2</v>
      </c>
      <c r="AE252" s="357">
        <f>master_Daily!BO222</f>
        <v>2.5999999999999999E-2</v>
      </c>
      <c r="AF252" s="357">
        <f>master_Daily!BY222</f>
        <v>7.0000000000000001E-3</v>
      </c>
      <c r="AG252" s="357">
        <f>master_Daily!CI222</f>
        <v>0</v>
      </c>
      <c r="AH252" s="357">
        <f>master_Daily!CS222</f>
        <v>0</v>
      </c>
      <c r="AI252" s="357">
        <f>master_Daily!DC222</f>
        <v>0</v>
      </c>
      <c r="AJ252" s="357">
        <f>master_Daily!DM222</f>
        <v>0</v>
      </c>
      <c r="AK252" s="357">
        <f>master_Daily!DW222</f>
        <v>0</v>
      </c>
      <c r="AL252" s="357">
        <f>master_Daily!EG222</f>
        <v>0</v>
      </c>
      <c r="AM252" s="357">
        <f>master_Daily!EQ222</f>
        <v>0</v>
      </c>
      <c r="AN252" s="357">
        <f>master_Daily!ES222</f>
        <v>0</v>
      </c>
      <c r="AO252" s="358">
        <f>master_Daily!EZ222</f>
        <v>7.0000000000000001E-3</v>
      </c>
      <c r="AP252" s="266">
        <f>master_Daily!FQ222</f>
        <v>0</v>
      </c>
      <c r="AQ252" s="369">
        <f ca="1">master_Daily!FH222</f>
        <v>0.1106</v>
      </c>
      <c r="AR252" s="269">
        <f ca="1">master_Daily!FP222</f>
        <v>1.1828877005347594E-2</v>
      </c>
      <c r="AS252" s="358">
        <f>master_Daily!FR222</f>
        <v>0</v>
      </c>
      <c r="AT252" s="266">
        <f t="shared" si="93"/>
        <v>0</v>
      </c>
    </row>
    <row r="253" spans="14:46" s="154" customFormat="1" ht="15" hidden="1" customHeight="1" outlineLevel="1">
      <c r="T253" s="155"/>
      <c r="U253" s="156"/>
      <c r="W253" s="514"/>
      <c r="X253" s="268" t="s">
        <v>213</v>
      </c>
      <c r="Y253" s="214" t="s">
        <v>45</v>
      </c>
      <c r="Z253" s="214"/>
      <c r="AA253" s="368">
        <f>master_Daily!$AA223</f>
        <v>4.0000000000000001E-3</v>
      </c>
      <c r="AB253" s="353">
        <f>master_Daily!$AK223</f>
        <v>4.0000000000000001E-3</v>
      </c>
      <c r="AC253" s="357">
        <f>master_Daily!AU223</f>
        <v>6.0000000000000001E-3</v>
      </c>
      <c r="AD253" s="357">
        <f>master_Daily!BE223</f>
        <v>0</v>
      </c>
      <c r="AE253" s="357">
        <f>master_Daily!BO223</f>
        <v>4.0000000000000001E-3</v>
      </c>
      <c r="AF253" s="357">
        <f>master_Daily!BY223</f>
        <v>0</v>
      </c>
      <c r="AG253" s="357">
        <f>master_Daily!CI223</f>
        <v>0</v>
      </c>
      <c r="AH253" s="357">
        <f>master_Daily!CS223</f>
        <v>0</v>
      </c>
      <c r="AI253" s="357">
        <f>master_Daily!DC223</f>
        <v>0</v>
      </c>
      <c r="AJ253" s="357">
        <f>master_Daily!DM223</f>
        <v>0</v>
      </c>
      <c r="AK253" s="357">
        <f>master_Daily!DW223</f>
        <v>0</v>
      </c>
      <c r="AL253" s="357">
        <f>master_Daily!EG223</f>
        <v>0</v>
      </c>
      <c r="AM253" s="357">
        <f>master_Daily!EQ223</f>
        <v>0</v>
      </c>
      <c r="AN253" s="357">
        <f>master_Daily!ES223</f>
        <v>0</v>
      </c>
      <c r="AO253" s="358">
        <f>master_Daily!EZ223</f>
        <v>0</v>
      </c>
      <c r="AP253" s="266">
        <f>master_Daily!FQ223</f>
        <v>0</v>
      </c>
      <c r="AQ253" s="369">
        <f ca="1">master_Daily!FH223</f>
        <v>1.8000000000000002E-2</v>
      </c>
      <c r="AR253" s="269">
        <f ca="1">master_Daily!FP223</f>
        <v>1.9251336898395725E-3</v>
      </c>
      <c r="AS253" s="358">
        <f>master_Daily!FR223</f>
        <v>0</v>
      </c>
      <c r="AT253" s="266">
        <f t="shared" si="93"/>
        <v>0</v>
      </c>
    </row>
    <row r="254" spans="14:46" s="154" customFormat="1" ht="15" hidden="1" customHeight="1" outlineLevel="1">
      <c r="T254" s="155"/>
      <c r="U254" s="156"/>
      <c r="W254" s="514"/>
      <c r="X254" s="268" t="s">
        <v>213</v>
      </c>
      <c r="Y254" s="214" t="s">
        <v>46</v>
      </c>
      <c r="Z254" s="214"/>
      <c r="AA254" s="368">
        <f>master_Daily!$AA224</f>
        <v>0.43880000000000002</v>
      </c>
      <c r="AB254" s="353">
        <f>master_Daily!$AK224</f>
        <v>0.42</v>
      </c>
      <c r="AC254" s="357">
        <f>master_Daily!AU224</f>
        <v>0.36</v>
      </c>
      <c r="AD254" s="357">
        <f>master_Daily!BE224</f>
        <v>0.34399999999999997</v>
      </c>
      <c r="AE254" s="357">
        <f>master_Daily!BO224</f>
        <v>0.42</v>
      </c>
      <c r="AF254" s="357">
        <f>master_Daily!BY224</f>
        <v>0</v>
      </c>
      <c r="AG254" s="357">
        <f>master_Daily!CI224</f>
        <v>0</v>
      </c>
      <c r="AH254" s="357">
        <f>master_Daily!CS224</f>
        <v>0</v>
      </c>
      <c r="AI254" s="357">
        <f>master_Daily!DC224</f>
        <v>0</v>
      </c>
      <c r="AJ254" s="357">
        <f>master_Daily!DM224</f>
        <v>0</v>
      </c>
      <c r="AK254" s="357">
        <f>master_Daily!DW224</f>
        <v>0</v>
      </c>
      <c r="AL254" s="357">
        <f>master_Daily!EG224</f>
        <v>0</v>
      </c>
      <c r="AM254" s="357">
        <f>master_Daily!EQ224</f>
        <v>0</v>
      </c>
      <c r="AN254" s="357">
        <f>master_Daily!ES224</f>
        <v>0</v>
      </c>
      <c r="AO254" s="358">
        <f>master_Daily!EZ224</f>
        <v>0</v>
      </c>
      <c r="AP254" s="266">
        <f>master_Daily!FQ224</f>
        <v>0</v>
      </c>
      <c r="AQ254" s="369">
        <f ca="1">master_Daily!FH224</f>
        <v>1.9827999999999997</v>
      </c>
      <c r="AR254" s="269">
        <f ca="1">master_Daily!FP224</f>
        <v>0.21206417112299464</v>
      </c>
      <c r="AS254" s="358">
        <f>master_Daily!FR224</f>
        <v>0</v>
      </c>
      <c r="AT254" s="266">
        <f t="shared" si="93"/>
        <v>0</v>
      </c>
    </row>
    <row r="255" spans="14:46" s="154" customFormat="1" ht="15" hidden="1" customHeight="1" outlineLevel="1">
      <c r="T255" s="155"/>
      <c r="U255" s="156"/>
      <c r="W255" s="514"/>
      <c r="X255" s="268" t="s">
        <v>213</v>
      </c>
      <c r="Y255" s="214" t="s">
        <v>47</v>
      </c>
      <c r="Z255" s="214"/>
      <c r="AA255" s="368">
        <f>master_Daily!$AA225</f>
        <v>1.2436</v>
      </c>
      <c r="AB255" s="353">
        <f>master_Daily!$AK225</f>
        <v>1.0680000000000001</v>
      </c>
      <c r="AC255" s="357">
        <f>master_Daily!AU225</f>
        <v>1.4330000000000001</v>
      </c>
      <c r="AD255" s="357">
        <f>master_Daily!BE225</f>
        <v>0.90600000000000003</v>
      </c>
      <c r="AE255" s="357">
        <f>master_Daily!BO225</f>
        <v>1.3</v>
      </c>
      <c r="AF255" s="357">
        <f>master_Daily!BY225</f>
        <v>0.24299999999999999</v>
      </c>
      <c r="AG255" s="357">
        <f>master_Daily!CI225</f>
        <v>0</v>
      </c>
      <c r="AH255" s="357">
        <f>master_Daily!CS225</f>
        <v>0</v>
      </c>
      <c r="AI255" s="357">
        <f>master_Daily!DC225</f>
        <v>0</v>
      </c>
      <c r="AJ255" s="357">
        <f>master_Daily!DM225</f>
        <v>0</v>
      </c>
      <c r="AK255" s="357">
        <f>master_Daily!DW225</f>
        <v>0</v>
      </c>
      <c r="AL255" s="357">
        <f>master_Daily!EG225</f>
        <v>0</v>
      </c>
      <c r="AM255" s="357">
        <f>master_Daily!EQ225</f>
        <v>0</v>
      </c>
      <c r="AN255" s="357">
        <f>master_Daily!ES225</f>
        <v>0</v>
      </c>
      <c r="AO255" s="358">
        <f>master_Daily!EZ225</f>
        <v>0.24299999999999999</v>
      </c>
      <c r="AP255" s="266">
        <f>master_Daily!FQ225</f>
        <v>0</v>
      </c>
      <c r="AQ255" s="369">
        <f ca="1">master_Daily!FH225</f>
        <v>6.1936</v>
      </c>
      <c r="AR255" s="269">
        <f ca="1">master_Daily!FP225</f>
        <v>0.66241711229946532</v>
      </c>
      <c r="AS255" s="358">
        <f>master_Daily!FR225</f>
        <v>0</v>
      </c>
      <c r="AT255" s="266">
        <f t="shared" si="93"/>
        <v>0</v>
      </c>
    </row>
    <row r="256" spans="14:46" s="154" customFormat="1" ht="15.6" hidden="1" customHeight="1" outlineLevel="1">
      <c r="T256" s="155"/>
      <c r="U256" s="156"/>
      <c r="W256" s="514"/>
      <c r="X256" s="268" t="s">
        <v>213</v>
      </c>
      <c r="Y256" s="20" t="s">
        <v>61</v>
      </c>
      <c r="Z256" s="20"/>
      <c r="AA256" s="368">
        <f>master_Daily!$AA226</f>
        <v>0.187</v>
      </c>
      <c r="AB256" s="353">
        <f>master_Daily!$AK226</f>
        <v>0.24</v>
      </c>
      <c r="AC256" s="357">
        <f>master_Daily!AU226</f>
        <v>0.16</v>
      </c>
      <c r="AD256" s="357">
        <f>master_Daily!BE226</f>
        <v>0.188</v>
      </c>
      <c r="AE256" s="357">
        <f>master_Daily!BO226</f>
        <v>0.22</v>
      </c>
      <c r="AF256" s="357">
        <f>master_Daily!BY226</f>
        <v>0.05</v>
      </c>
      <c r="AG256" s="357">
        <f>master_Daily!CI226</f>
        <v>0</v>
      </c>
      <c r="AH256" s="357">
        <f>master_Daily!CS226</f>
        <v>0</v>
      </c>
      <c r="AI256" s="357">
        <f>master_Daily!DC226</f>
        <v>0</v>
      </c>
      <c r="AJ256" s="357">
        <f>master_Daily!DM226</f>
        <v>0</v>
      </c>
      <c r="AK256" s="357">
        <f>master_Daily!DW226</f>
        <v>0</v>
      </c>
      <c r="AL256" s="357">
        <f>master_Daily!EG226</f>
        <v>0</v>
      </c>
      <c r="AM256" s="357">
        <f>master_Daily!EQ226</f>
        <v>0</v>
      </c>
      <c r="AN256" s="357">
        <f ca="1">master_Daily!ET214</f>
        <v>0</v>
      </c>
      <c r="AO256" s="358">
        <f>master_Daily!EZ226</f>
        <v>0.05</v>
      </c>
      <c r="AP256" s="266">
        <f>master_Daily!FQ226</f>
        <v>0</v>
      </c>
      <c r="AQ256" s="369">
        <f ca="1">master_Daily!FH226</f>
        <v>1.0449999999999999</v>
      </c>
      <c r="AR256" s="269">
        <f ca="1">master_Daily!FP226</f>
        <v>0.11176470588235293</v>
      </c>
      <c r="AS256" s="358">
        <f>master_Daily!FR226</f>
        <v>0</v>
      </c>
      <c r="AT256" s="266">
        <f t="shared" si="93"/>
        <v>0</v>
      </c>
    </row>
    <row r="257" spans="20:46" s="154" customFormat="1" ht="15" customHeight="1" collapsed="1">
      <c r="T257" s="155"/>
      <c r="U257" s="156"/>
      <c r="W257" s="45" t="s">
        <v>214</v>
      </c>
      <c r="X257" s="267" t="s">
        <v>215</v>
      </c>
      <c r="Y257" s="221"/>
      <c r="Z257" s="221"/>
      <c r="AA257" s="359">
        <f>master_Daily!$AA227</f>
        <v>1.9000000000000001</v>
      </c>
      <c r="AB257" s="359">
        <f>master_Daily!$AK227</f>
        <v>1.75</v>
      </c>
      <c r="AC257" s="359">
        <f>master_Daily!AU227</f>
        <v>1.98</v>
      </c>
      <c r="AD257" s="359">
        <f>master_Daily!BE227</f>
        <v>1.45</v>
      </c>
      <c r="AE257" s="359">
        <f>master_Daily!BO227</f>
        <v>1.97</v>
      </c>
      <c r="AF257" s="359">
        <f>master_Daily!BY227</f>
        <v>0.3</v>
      </c>
      <c r="AG257" s="359">
        <f>master_Daily!CI227</f>
        <v>0</v>
      </c>
      <c r="AH257" s="359">
        <f>master_Daily!CS227</f>
        <v>0</v>
      </c>
      <c r="AI257" s="359">
        <f>master_Daily!DC227</f>
        <v>0</v>
      </c>
      <c r="AJ257" s="359">
        <f>master_Daily!DM227</f>
        <v>0</v>
      </c>
      <c r="AK257" s="359">
        <f>master_Daily!DW227</f>
        <v>0</v>
      </c>
      <c r="AL257" s="359">
        <f>master_Daily!EG227</f>
        <v>0</v>
      </c>
      <c r="AM257" s="359">
        <f>master_Daily!EQ227</f>
        <v>1.95</v>
      </c>
      <c r="AN257" s="357">
        <f>master_Daily!ES227</f>
        <v>0</v>
      </c>
      <c r="AO257" s="359">
        <f>master_Daily!EZ227</f>
        <v>0.3</v>
      </c>
      <c r="AP257" s="270">
        <f>master_Daily!FQ227</f>
        <v>0.15384615384615385</v>
      </c>
      <c r="AQ257" s="359">
        <f ca="1">master_Daily!FH227</f>
        <v>9.35</v>
      </c>
      <c r="AR257" s="224">
        <f ca="1">master_Daily!FP227</f>
        <v>1</v>
      </c>
      <c r="AS257" s="359">
        <f>master_Daily!FR227</f>
        <v>0</v>
      </c>
      <c r="AT257" s="270">
        <f t="shared" si="93"/>
        <v>0</v>
      </c>
    </row>
    <row r="258" spans="20:46" s="154" customFormat="1" ht="15" hidden="1" customHeight="1" outlineLevel="1">
      <c r="T258" s="155"/>
      <c r="U258" s="156"/>
      <c r="W258" s="514"/>
      <c r="X258" s="268" t="s">
        <v>216</v>
      </c>
      <c r="Y258" s="214" t="s">
        <v>44</v>
      </c>
      <c r="Z258" s="214"/>
      <c r="AA258" s="373">
        <f>master_Daily!$AA228</f>
        <v>1.4999999999999999E-2</v>
      </c>
      <c r="AB258" s="374">
        <f>master_Daily!$AK228</f>
        <v>0.02</v>
      </c>
      <c r="AC258" s="359">
        <f>master_Daily!AU228</f>
        <v>1.6E-2</v>
      </c>
      <c r="AD258" s="359">
        <f>master_Daily!BE228</f>
        <v>2.0400000000000001E-2</v>
      </c>
      <c r="AE258" s="359">
        <f>master_Daily!BO228</f>
        <v>8.9999999999999993E-3</v>
      </c>
      <c r="AF258" s="359">
        <f>master_Daily!BY228</f>
        <v>5.0000000000000001E-3</v>
      </c>
      <c r="AG258" s="359">
        <f>master_Daily!CI228</f>
        <v>0</v>
      </c>
      <c r="AH258" s="359">
        <f>master_Daily!CS228</f>
        <v>0</v>
      </c>
      <c r="AI258" s="359">
        <f>master_Daily!DC228</f>
        <v>0</v>
      </c>
      <c r="AJ258" s="359">
        <f>master_Daily!DM228</f>
        <v>0</v>
      </c>
      <c r="AK258" s="359">
        <f>master_Daily!DW228</f>
        <v>0</v>
      </c>
      <c r="AL258" s="359">
        <f>master_Daily!EG228</f>
        <v>0</v>
      </c>
      <c r="AM258" s="357">
        <f>master_Daily!EQ228</f>
        <v>0</v>
      </c>
      <c r="AN258" s="357">
        <f>master_Daily!ET216</f>
        <v>0</v>
      </c>
      <c r="AO258" s="359">
        <f>master_Daily!EZ228</f>
        <v>5.0000000000000001E-3</v>
      </c>
      <c r="AP258" s="272">
        <f>master_Daily!FQ228</f>
        <v>0</v>
      </c>
      <c r="AQ258" s="374">
        <f ca="1">master_Daily!FH228</f>
        <v>8.5400000000000004E-2</v>
      </c>
      <c r="AR258" s="271">
        <f ca="1">master_Daily!FP228</f>
        <v>6.2587028215463541E-3</v>
      </c>
      <c r="AS258" s="360">
        <f>master_Daily!FR228</f>
        <v>0</v>
      </c>
      <c r="AT258" s="272">
        <f t="shared" si="93"/>
        <v>0</v>
      </c>
    </row>
    <row r="259" spans="20:46" s="154" customFormat="1" ht="15" hidden="1" customHeight="1" outlineLevel="1">
      <c r="T259" s="155"/>
      <c r="U259" s="156"/>
      <c r="W259" s="514"/>
      <c r="X259" s="268" t="s">
        <v>216</v>
      </c>
      <c r="Y259" s="214" t="s">
        <v>45</v>
      </c>
      <c r="Z259" s="214"/>
      <c r="AA259" s="373">
        <f>master_Daily!$AA229</f>
        <v>1E-3</v>
      </c>
      <c r="AB259" s="374">
        <f>master_Daily!$AK229</f>
        <v>0</v>
      </c>
      <c r="AC259" s="359">
        <f>master_Daily!AU229</f>
        <v>1E-3</v>
      </c>
      <c r="AD259" s="359">
        <f>master_Daily!BE229</f>
        <v>5.9999999999999995E-4</v>
      </c>
      <c r="AE259" s="359">
        <f>master_Daily!BO229</f>
        <v>1E-3</v>
      </c>
      <c r="AF259" s="359">
        <f>master_Daily!BY229</f>
        <v>0</v>
      </c>
      <c r="AG259" s="359">
        <f>master_Daily!CI229</f>
        <v>0</v>
      </c>
      <c r="AH259" s="359">
        <f>master_Daily!CS229</f>
        <v>0</v>
      </c>
      <c r="AI259" s="359">
        <f>master_Daily!DC229</f>
        <v>0</v>
      </c>
      <c r="AJ259" s="359">
        <f>master_Daily!DM229</f>
        <v>0</v>
      </c>
      <c r="AK259" s="359">
        <f>master_Daily!DW229</f>
        <v>0</v>
      </c>
      <c r="AL259" s="359">
        <f>master_Daily!EG229</f>
        <v>0</v>
      </c>
      <c r="AM259" s="357">
        <f>master_Daily!EQ229</f>
        <v>0</v>
      </c>
      <c r="AN259" s="357">
        <f>master_Daily!ET217</f>
        <v>0</v>
      </c>
      <c r="AO259" s="359">
        <f>master_Daily!EZ229</f>
        <v>0</v>
      </c>
      <c r="AP259" s="272">
        <f>master_Daily!FQ229</f>
        <v>0</v>
      </c>
      <c r="AQ259" s="374">
        <f ca="1">master_Daily!FH229</f>
        <v>3.5999999999999999E-3</v>
      </c>
      <c r="AR259" s="271">
        <f ca="1">master_Daily!FP229</f>
        <v>2.6383290582630999E-4</v>
      </c>
      <c r="AS259" s="360">
        <f>master_Daily!FR229</f>
        <v>0</v>
      </c>
      <c r="AT259" s="272">
        <f t="shared" si="93"/>
        <v>0</v>
      </c>
    </row>
    <row r="260" spans="20:46" s="154" customFormat="1" ht="15" hidden="1" customHeight="1" outlineLevel="1">
      <c r="T260" s="155"/>
      <c r="U260" s="156"/>
      <c r="W260" s="514"/>
      <c r="X260" s="268" t="s">
        <v>216</v>
      </c>
      <c r="Y260" s="214" t="s">
        <v>46</v>
      </c>
      <c r="Z260" s="214"/>
      <c r="AA260" s="373">
        <f>master_Daily!$AA230</f>
        <v>0.48899999999999999</v>
      </c>
      <c r="AB260" s="374">
        <f>master_Daily!$AK230</f>
        <v>0.51</v>
      </c>
      <c r="AC260" s="359">
        <f>master_Daily!AU230</f>
        <v>0.46</v>
      </c>
      <c r="AD260" s="359">
        <f>master_Daily!BE230</f>
        <v>0.14000000000000001</v>
      </c>
      <c r="AE260" s="359">
        <f>master_Daily!BO230</f>
        <v>0.53500000000000003</v>
      </c>
      <c r="AF260" s="359">
        <f>master_Daily!BY230</f>
        <v>0.13</v>
      </c>
      <c r="AG260" s="359">
        <f>master_Daily!CI230</f>
        <v>0</v>
      </c>
      <c r="AH260" s="359">
        <f>master_Daily!CS230</f>
        <v>0</v>
      </c>
      <c r="AI260" s="359">
        <f>master_Daily!DC230</f>
        <v>0</v>
      </c>
      <c r="AJ260" s="359">
        <f>master_Daily!DM230</f>
        <v>0</v>
      </c>
      <c r="AK260" s="359">
        <f>master_Daily!DW230</f>
        <v>0</v>
      </c>
      <c r="AL260" s="359">
        <f>master_Daily!EG230</f>
        <v>0</v>
      </c>
      <c r="AM260" s="357">
        <f>master_Daily!EQ230</f>
        <v>0</v>
      </c>
      <c r="AN260" s="357">
        <f>master_Daily!ET218</f>
        <v>0</v>
      </c>
      <c r="AO260" s="359">
        <f>master_Daily!EZ230</f>
        <v>0.13</v>
      </c>
      <c r="AP260" s="272">
        <f>master_Daily!FQ230</f>
        <v>0</v>
      </c>
      <c r="AQ260" s="374">
        <f ca="1">master_Daily!FH230</f>
        <v>2.2640000000000002</v>
      </c>
      <c r="AR260" s="271">
        <f ca="1">master_Daily!FP230</f>
        <v>0.16592158299743498</v>
      </c>
      <c r="AS260" s="360">
        <f>master_Daily!FR230</f>
        <v>0</v>
      </c>
      <c r="AT260" s="272">
        <f t="shared" si="93"/>
        <v>0</v>
      </c>
    </row>
    <row r="261" spans="20:46" s="154" customFormat="1" ht="15" hidden="1" customHeight="1" outlineLevel="1">
      <c r="T261" s="155"/>
      <c r="U261" s="156"/>
      <c r="W261" s="514"/>
      <c r="X261" s="268" t="s">
        <v>216</v>
      </c>
      <c r="Y261" s="214" t="s">
        <v>47</v>
      </c>
      <c r="Z261" s="214"/>
      <c r="AA261" s="373">
        <f>master_Daily!$AA231</f>
        <v>2.17</v>
      </c>
      <c r="AB261" s="374">
        <f>master_Daily!$AK231</f>
        <v>0.94</v>
      </c>
      <c r="AC261" s="359">
        <f>master_Daily!AU231</f>
        <v>2.06</v>
      </c>
      <c r="AD261" s="359">
        <f>master_Daily!BE231</f>
        <v>1.52</v>
      </c>
      <c r="AE261" s="359">
        <f>master_Daily!BO231</f>
        <v>1.87</v>
      </c>
      <c r="AF261" s="359">
        <f>master_Daily!BY231</f>
        <v>0.56999999999999995</v>
      </c>
      <c r="AG261" s="359">
        <f>master_Daily!CI231</f>
        <v>0</v>
      </c>
      <c r="AH261" s="359">
        <f>master_Daily!CS231</f>
        <v>0</v>
      </c>
      <c r="AI261" s="359">
        <f>master_Daily!DC231</f>
        <v>0</v>
      </c>
      <c r="AJ261" s="359">
        <f>master_Daily!DM231</f>
        <v>0</v>
      </c>
      <c r="AK261" s="359">
        <f>master_Daily!DW231</f>
        <v>0</v>
      </c>
      <c r="AL261" s="359">
        <f>master_Daily!EG231</f>
        <v>0</v>
      </c>
      <c r="AM261" s="357">
        <f>master_Daily!EQ231</f>
        <v>0</v>
      </c>
      <c r="AN261" s="357">
        <f>master_Daily!ET219</f>
        <v>0</v>
      </c>
      <c r="AO261" s="359">
        <f>master_Daily!EZ231</f>
        <v>0.56999999999999995</v>
      </c>
      <c r="AP261" s="272">
        <f>master_Daily!FQ231</f>
        <v>0</v>
      </c>
      <c r="AQ261" s="374">
        <f ca="1">master_Daily!FH231</f>
        <v>9.129999999999999</v>
      </c>
      <c r="AR261" s="271">
        <f ca="1">master_Daily!FP231</f>
        <v>0.66910956394283616</v>
      </c>
      <c r="AS261" s="360">
        <f>master_Daily!FR231</f>
        <v>0</v>
      </c>
      <c r="AT261" s="272">
        <f t="shared" si="93"/>
        <v>0</v>
      </c>
    </row>
    <row r="262" spans="20:46" s="154" customFormat="1" ht="14.45" hidden="1" customHeight="1" outlineLevel="1">
      <c r="T262" s="155"/>
      <c r="U262" s="156"/>
      <c r="W262" s="514"/>
      <c r="X262" s="268" t="s">
        <v>216</v>
      </c>
      <c r="Y262" s="107" t="s">
        <v>61</v>
      </c>
      <c r="Z262" s="107"/>
      <c r="AA262" s="373">
        <f>master_Daily!$AA232</f>
        <v>0.38500000000000001</v>
      </c>
      <c r="AB262" s="374">
        <f>master_Daily!$AK232</f>
        <v>0.33</v>
      </c>
      <c r="AC262" s="359">
        <f>master_Daily!AU232</f>
        <v>0.49299999999999999</v>
      </c>
      <c r="AD262" s="359">
        <f>master_Daily!BE232</f>
        <v>0.36899999999999999</v>
      </c>
      <c r="AE262" s="359">
        <f>master_Daily!BO232</f>
        <v>0.435</v>
      </c>
      <c r="AF262" s="359">
        <f>master_Daily!BY232</f>
        <v>0.15</v>
      </c>
      <c r="AG262" s="359">
        <f>master_Daily!CI232</f>
        <v>0</v>
      </c>
      <c r="AH262" s="359">
        <f>master_Daily!CS232</f>
        <v>0</v>
      </c>
      <c r="AI262" s="359">
        <f>master_Daily!DC232</f>
        <v>0</v>
      </c>
      <c r="AJ262" s="359">
        <f>master_Daily!DM232</f>
        <v>0</v>
      </c>
      <c r="AK262" s="359">
        <f>master_Daily!DW232</f>
        <v>0</v>
      </c>
      <c r="AL262" s="359">
        <f>master_Daily!EG232</f>
        <v>0</v>
      </c>
      <c r="AM262" s="357">
        <f>master_Daily!EQ232</f>
        <v>0</v>
      </c>
      <c r="AN262" s="357">
        <f>master_Daily!ET220</f>
        <v>0</v>
      </c>
      <c r="AO262" s="359">
        <f>master_Daily!EZ232</f>
        <v>0.15</v>
      </c>
      <c r="AP262" s="272">
        <f>master_Daily!FQ232</f>
        <v>0</v>
      </c>
      <c r="AQ262" s="374">
        <f ca="1">master_Daily!FH232</f>
        <v>2.1619999999999999</v>
      </c>
      <c r="AR262" s="271">
        <f ca="1">master_Daily!FP232</f>
        <v>0.15844631733235617</v>
      </c>
      <c r="AS262" s="360">
        <f>master_Daily!FR232</f>
        <v>0</v>
      </c>
      <c r="AT262" s="272">
        <f t="shared" si="93"/>
        <v>0</v>
      </c>
    </row>
    <row r="263" spans="20:46" s="154" customFormat="1" ht="15" customHeight="1" collapsed="1">
      <c r="T263" s="155"/>
      <c r="U263" s="156"/>
      <c r="W263" s="45" t="s">
        <v>217</v>
      </c>
      <c r="X263" s="267" t="s">
        <v>218</v>
      </c>
      <c r="Y263" s="221"/>
      <c r="Z263" s="221"/>
      <c r="AA263" s="359">
        <f>master_Daily!$AA233</f>
        <v>3.0599999999999996</v>
      </c>
      <c r="AB263" s="359">
        <f>master_Daily!$AK233</f>
        <v>1.8</v>
      </c>
      <c r="AC263" s="359">
        <f>master_Daily!AU233</f>
        <v>3.03</v>
      </c>
      <c r="AD263" s="359">
        <f>master_Daily!BE233</f>
        <v>2.0499999999999998</v>
      </c>
      <c r="AE263" s="359">
        <f>master_Daily!BO233</f>
        <v>2.85</v>
      </c>
      <c r="AF263" s="359">
        <f>master_Daily!BY233</f>
        <v>0.85499999999999998</v>
      </c>
      <c r="AG263" s="359">
        <f>master_Daily!CI233</f>
        <v>0</v>
      </c>
      <c r="AH263" s="359">
        <f>master_Daily!CS233</f>
        <v>0</v>
      </c>
      <c r="AI263" s="359">
        <f>master_Daily!DC233</f>
        <v>0</v>
      </c>
      <c r="AJ263" s="359">
        <f>master_Daily!DM233</f>
        <v>0</v>
      </c>
      <c r="AK263" s="359">
        <f>master_Daily!DW233</f>
        <v>0</v>
      </c>
      <c r="AL263" s="359">
        <f>master_Daily!EG233</f>
        <v>0</v>
      </c>
      <c r="AM263" s="359">
        <f>master_Daily!EQ233</f>
        <v>2.8</v>
      </c>
      <c r="AN263" s="372">
        <f>master_Daily!ES233</f>
        <v>0.45200000000000007</v>
      </c>
      <c r="AO263" s="359">
        <f>master_Daily!EZ233</f>
        <v>0.85499999999999998</v>
      </c>
      <c r="AP263" s="270">
        <f>master_Daily!FQ233</f>
        <v>0.30535714285714288</v>
      </c>
      <c r="AQ263" s="359">
        <f ca="1">master_Daily!FH233</f>
        <v>13.645</v>
      </c>
      <c r="AR263" s="224">
        <f ca="1">master_Daily!FP233</f>
        <v>1</v>
      </c>
      <c r="AS263" s="359">
        <f>master_Daily!FR233</f>
        <v>0</v>
      </c>
      <c r="AT263" s="270">
        <f t="shared" si="93"/>
        <v>0</v>
      </c>
    </row>
    <row r="264" spans="20:46" s="154" customFormat="1" ht="15" hidden="1" customHeight="1" outlineLevel="1">
      <c r="T264" s="155"/>
      <c r="U264" s="156"/>
      <c r="W264" s="45"/>
      <c r="X264" s="268" t="s">
        <v>219</v>
      </c>
      <c r="Y264" s="214" t="s">
        <v>44</v>
      </c>
      <c r="Z264" s="214"/>
      <c r="AA264" s="373">
        <f>master_Daily!$AA234</f>
        <v>2.5000000000000001E-2</v>
      </c>
      <c r="AB264" s="374">
        <f>master_Daily!$AK234</f>
        <v>1.2E-2</v>
      </c>
      <c r="AC264" s="359">
        <f>master_Daily!AU234</f>
        <v>0.02</v>
      </c>
      <c r="AD264" s="359">
        <f>master_Daily!BE234</f>
        <v>8.0000000000000002E-3</v>
      </c>
      <c r="AE264" s="359">
        <f>master_Daily!BO234</f>
        <v>0.02</v>
      </c>
      <c r="AF264" s="359">
        <f>master_Daily!BY234</f>
        <v>4.0000000000000001E-3</v>
      </c>
      <c r="AG264" s="359">
        <f>master_Daily!CI234</f>
        <v>0</v>
      </c>
      <c r="AH264" s="359">
        <f>master_Daily!CS234</f>
        <v>0</v>
      </c>
      <c r="AI264" s="359">
        <f>master_Daily!DC234</f>
        <v>0</v>
      </c>
      <c r="AJ264" s="359">
        <f>master_Daily!DM234</f>
        <v>0</v>
      </c>
      <c r="AK264" s="359">
        <f>master_Daily!DW234</f>
        <v>0</v>
      </c>
      <c r="AL264" s="359">
        <f>master_Daily!EG234</f>
        <v>0</v>
      </c>
      <c r="AM264" s="359">
        <f>master_Daily!EQ234</f>
        <v>0</v>
      </c>
      <c r="AN264" s="372">
        <f>master_Daily!ES234</f>
        <v>0</v>
      </c>
      <c r="AO264" s="360">
        <f>master_Daily!EZ234</f>
        <v>4.0000000000000001E-3</v>
      </c>
      <c r="AP264" s="272">
        <f>master_Daily!FQ234</f>
        <v>0</v>
      </c>
      <c r="AQ264" s="374">
        <f ca="1">master_Daily!FH234</f>
        <v>8.900000000000001E-2</v>
      </c>
      <c r="AR264" s="271">
        <f ca="1">master_Daily!FP234</f>
        <v>6.8277713847334099E-3</v>
      </c>
      <c r="AS264" s="360">
        <f>master_Daily!FR234</f>
        <v>0</v>
      </c>
      <c r="AT264" s="272">
        <f t="shared" si="93"/>
        <v>0</v>
      </c>
    </row>
    <row r="265" spans="20:46" s="154" customFormat="1" ht="15" hidden="1" customHeight="1" outlineLevel="1">
      <c r="T265" s="155"/>
      <c r="U265" s="156"/>
      <c r="W265" s="45"/>
      <c r="X265" s="268" t="s">
        <v>219</v>
      </c>
      <c r="Y265" s="214" t="s">
        <v>45</v>
      </c>
      <c r="Z265" s="214"/>
      <c r="AA265" s="373">
        <f>master_Daily!$AA235</f>
        <v>0</v>
      </c>
      <c r="AB265" s="374">
        <f>master_Daily!$AK235</f>
        <v>1.8E-3</v>
      </c>
      <c r="AC265" s="359">
        <f>master_Daily!AU235</f>
        <v>0</v>
      </c>
      <c r="AD265" s="359">
        <f>master_Daily!BE235</f>
        <v>0</v>
      </c>
      <c r="AE265" s="359">
        <f>master_Daily!BO235</f>
        <v>0</v>
      </c>
      <c r="AF265" s="359">
        <f>master_Daily!BY235</f>
        <v>1E-3</v>
      </c>
      <c r="AG265" s="359">
        <f>master_Daily!CI235</f>
        <v>0</v>
      </c>
      <c r="AH265" s="359">
        <f>master_Daily!CS235</f>
        <v>0</v>
      </c>
      <c r="AI265" s="359">
        <f>master_Daily!DC235</f>
        <v>0</v>
      </c>
      <c r="AJ265" s="359">
        <f>master_Daily!DM235</f>
        <v>0</v>
      </c>
      <c r="AK265" s="359">
        <f>master_Daily!DW235</f>
        <v>0</v>
      </c>
      <c r="AL265" s="359">
        <f>master_Daily!EG235</f>
        <v>0</v>
      </c>
      <c r="AM265" s="359">
        <f>master_Daily!EQ235</f>
        <v>0</v>
      </c>
      <c r="AN265" s="372">
        <f>master_Daily!ES235</f>
        <v>0</v>
      </c>
      <c r="AO265" s="360">
        <f>master_Daily!EZ235</f>
        <v>1E-3</v>
      </c>
      <c r="AP265" s="272">
        <f>master_Daily!FQ235</f>
        <v>0</v>
      </c>
      <c r="AQ265" s="374">
        <f ca="1">master_Daily!FH235</f>
        <v>2.8E-3</v>
      </c>
      <c r="AR265" s="271">
        <f ca="1">master_Daily!FP235</f>
        <v>2.1480629075565781E-4</v>
      </c>
      <c r="AS265" s="360">
        <f>master_Daily!FR235</f>
        <v>0</v>
      </c>
      <c r="AT265" s="272">
        <f t="shared" si="93"/>
        <v>0</v>
      </c>
    </row>
    <row r="266" spans="20:46" s="154" customFormat="1" ht="15" hidden="1" customHeight="1" outlineLevel="1">
      <c r="T266" s="155"/>
      <c r="U266" s="156"/>
      <c r="W266" s="45"/>
      <c r="X266" s="268" t="s">
        <v>219</v>
      </c>
      <c r="Y266" s="214" t="s">
        <v>46</v>
      </c>
      <c r="Z266" s="214"/>
      <c r="AA266" s="373">
        <f>master_Daily!$AA236</f>
        <v>0.54100000000000004</v>
      </c>
      <c r="AB266" s="374">
        <f>master_Daily!$AK236</f>
        <v>0.13619999999999999</v>
      </c>
      <c r="AC266" s="359">
        <f>master_Daily!AU236</f>
        <v>0.37</v>
      </c>
      <c r="AD266" s="359">
        <f>master_Daily!BE236</f>
        <v>0.34</v>
      </c>
      <c r="AE266" s="359">
        <f>master_Daily!BO236</f>
        <v>0.44</v>
      </c>
      <c r="AF266" s="359">
        <f>master_Daily!BY236</f>
        <v>0.1</v>
      </c>
      <c r="AG266" s="359">
        <f>master_Daily!CI236</f>
        <v>0</v>
      </c>
      <c r="AH266" s="359">
        <f>master_Daily!CS236</f>
        <v>0</v>
      </c>
      <c r="AI266" s="359">
        <f>master_Daily!DC236</f>
        <v>0</v>
      </c>
      <c r="AJ266" s="359">
        <f>master_Daily!DM236</f>
        <v>0</v>
      </c>
      <c r="AK266" s="359">
        <f>master_Daily!DW236</f>
        <v>0</v>
      </c>
      <c r="AL266" s="359">
        <f>master_Daily!EG236</f>
        <v>0</v>
      </c>
      <c r="AM266" s="359">
        <f>master_Daily!EQ236</f>
        <v>0</v>
      </c>
      <c r="AN266" s="372">
        <f>master_Daily!ES236</f>
        <v>0</v>
      </c>
      <c r="AO266" s="360">
        <f>master_Daily!EZ236</f>
        <v>0.1</v>
      </c>
      <c r="AP266" s="272">
        <f>master_Daily!FQ236</f>
        <v>0</v>
      </c>
      <c r="AQ266" s="374">
        <f ca="1">master_Daily!FH236</f>
        <v>1.9272000000000002</v>
      </c>
      <c r="AR266" s="271">
        <f ca="1">master_Daily!FP236</f>
        <v>0.14784810126582279</v>
      </c>
      <c r="AS266" s="360">
        <f>master_Daily!FR236</f>
        <v>0</v>
      </c>
      <c r="AT266" s="272">
        <f t="shared" si="93"/>
        <v>0</v>
      </c>
    </row>
    <row r="267" spans="20:46" s="154" customFormat="1" ht="15" hidden="1" customHeight="1" outlineLevel="1">
      <c r="T267" s="155"/>
      <c r="U267" s="156"/>
      <c r="W267" s="45"/>
      <c r="X267" s="268" t="s">
        <v>219</v>
      </c>
      <c r="Y267" s="214" t="s">
        <v>47</v>
      </c>
      <c r="Z267" s="214"/>
      <c r="AA267" s="373">
        <f>master_Daily!$AA237</f>
        <v>1.7</v>
      </c>
      <c r="AB267" s="374">
        <f>master_Daily!$AK237</f>
        <v>2.31</v>
      </c>
      <c r="AC267" s="359">
        <f>master_Daily!AU237</f>
        <v>1.78</v>
      </c>
      <c r="AD267" s="359">
        <f>master_Daily!BE237</f>
        <v>1.1419999999999999</v>
      </c>
      <c r="AE267" s="359">
        <f>master_Daily!BO237</f>
        <v>1.73</v>
      </c>
      <c r="AF267" s="359">
        <f>master_Daily!BY237</f>
        <v>0.41</v>
      </c>
      <c r="AG267" s="359">
        <f>master_Daily!CI237</f>
        <v>0</v>
      </c>
      <c r="AH267" s="359">
        <f>master_Daily!CS237</f>
        <v>0</v>
      </c>
      <c r="AI267" s="359">
        <f>master_Daily!DC237</f>
        <v>0</v>
      </c>
      <c r="AJ267" s="359">
        <f>master_Daily!DM237</f>
        <v>0</v>
      </c>
      <c r="AK267" s="359">
        <f>master_Daily!DW237</f>
        <v>0</v>
      </c>
      <c r="AL267" s="359">
        <f>master_Daily!EG237</f>
        <v>0</v>
      </c>
      <c r="AM267" s="359">
        <f>master_Daily!EQ237</f>
        <v>0</v>
      </c>
      <c r="AN267" s="372">
        <f>master_Daily!ES237</f>
        <v>0</v>
      </c>
      <c r="AO267" s="360">
        <f>master_Daily!EZ237</f>
        <v>0.41</v>
      </c>
      <c r="AP267" s="272">
        <f>master_Daily!FQ237</f>
        <v>0</v>
      </c>
      <c r="AQ267" s="374">
        <f ca="1">master_Daily!FH237</f>
        <v>9.072000000000001</v>
      </c>
      <c r="AR267" s="271">
        <f ca="1">master_Daily!FP237</f>
        <v>0.69597238204833134</v>
      </c>
      <c r="AS267" s="360">
        <f>master_Daily!FR237</f>
        <v>0</v>
      </c>
      <c r="AT267" s="272">
        <f t="shared" si="93"/>
        <v>0</v>
      </c>
    </row>
    <row r="268" spans="20:46" s="154" customFormat="1" ht="14.45" hidden="1" customHeight="1" outlineLevel="1">
      <c r="T268" s="155"/>
      <c r="U268" s="156"/>
      <c r="W268" s="45"/>
      <c r="X268" s="268" t="s">
        <v>219</v>
      </c>
      <c r="Y268" s="107" t="s">
        <v>61</v>
      </c>
      <c r="Z268" s="107"/>
      <c r="AA268" s="373">
        <f>master_Daily!$AA238</f>
        <v>0.33400000000000002</v>
      </c>
      <c r="AB268" s="374">
        <f>master_Daily!$AK238</f>
        <v>0.44</v>
      </c>
      <c r="AC268" s="359">
        <f>master_Daily!AU238</f>
        <v>0.33</v>
      </c>
      <c r="AD268" s="359">
        <f>master_Daily!BE238</f>
        <v>0.41</v>
      </c>
      <c r="AE268" s="359">
        <f>master_Daily!BO238</f>
        <v>0.34</v>
      </c>
      <c r="AF268" s="359">
        <f>master_Daily!BY238</f>
        <v>0.09</v>
      </c>
      <c r="AG268" s="359">
        <f>master_Daily!CI238</f>
        <v>0</v>
      </c>
      <c r="AH268" s="359">
        <f>master_Daily!CS238</f>
        <v>0</v>
      </c>
      <c r="AI268" s="359">
        <f>master_Daily!DC238</f>
        <v>0</v>
      </c>
      <c r="AJ268" s="359">
        <f>master_Daily!DM238</f>
        <v>0</v>
      </c>
      <c r="AK268" s="359">
        <f>master_Daily!DW238</f>
        <v>0</v>
      </c>
      <c r="AL268" s="359">
        <f>master_Daily!EG238</f>
        <v>0</v>
      </c>
      <c r="AM268" s="359">
        <f>master_Daily!EQ238</f>
        <v>0</v>
      </c>
      <c r="AN268" s="372">
        <f>master_Daily!ES238</f>
        <v>0</v>
      </c>
      <c r="AO268" s="360">
        <f>master_Daily!EZ238</f>
        <v>0.09</v>
      </c>
      <c r="AP268" s="272">
        <f>master_Daily!FQ238</f>
        <v>0</v>
      </c>
      <c r="AQ268" s="374">
        <f ca="1">master_Daily!FH238</f>
        <v>1.9440000000000002</v>
      </c>
      <c r="AR268" s="271">
        <f ca="1">master_Daily!FP238</f>
        <v>0.14913693901035671</v>
      </c>
      <c r="AS268" s="360">
        <f>master_Daily!FR238</f>
        <v>0</v>
      </c>
      <c r="AT268" s="272">
        <f t="shared" si="93"/>
        <v>0</v>
      </c>
    </row>
    <row r="269" spans="20:46" s="154" customFormat="1" collapsed="1">
      <c r="T269" s="155"/>
      <c r="U269" s="156"/>
      <c r="W269" s="45" t="s">
        <v>220</v>
      </c>
      <c r="X269" s="267" t="s">
        <v>221</v>
      </c>
      <c r="Y269" s="221"/>
      <c r="Z269" s="221"/>
      <c r="AA269" s="359">
        <f>master_Daily!$AA239</f>
        <v>2.6</v>
      </c>
      <c r="AB269" s="359">
        <f>master_Daily!$AK239</f>
        <v>2.9</v>
      </c>
      <c r="AC269" s="359">
        <f>master_Daily!AU239</f>
        <v>2.5</v>
      </c>
      <c r="AD269" s="359">
        <f>master_Daily!BE239</f>
        <v>1.9</v>
      </c>
      <c r="AE269" s="359">
        <f>master_Daily!BO239</f>
        <v>2.5299999999999998</v>
      </c>
      <c r="AF269" s="359">
        <f>master_Daily!BY239</f>
        <v>0.60499999999999998</v>
      </c>
      <c r="AG269" s="359">
        <f>master_Daily!CI239</f>
        <v>0</v>
      </c>
      <c r="AH269" s="359">
        <f>master_Daily!CS239</f>
        <v>0</v>
      </c>
      <c r="AI269" s="359">
        <f>master_Daily!DC239</f>
        <v>0</v>
      </c>
      <c r="AJ269" s="359">
        <f>master_Daily!DM239</f>
        <v>0</v>
      </c>
      <c r="AK269" s="359">
        <f>master_Daily!DW239</f>
        <v>0</v>
      </c>
      <c r="AL269" s="359">
        <f>master_Daily!EG239</f>
        <v>0</v>
      </c>
      <c r="AM269" s="359">
        <f>master_Daily!EQ239</f>
        <v>2.5499999999999998</v>
      </c>
      <c r="AN269" s="372">
        <f>master_Daily!ES239</f>
        <v>0</v>
      </c>
      <c r="AO269" s="359">
        <f>master_Daily!EZ239</f>
        <v>0.60499999999999998</v>
      </c>
      <c r="AP269" s="270">
        <f>master_Daily!FQ239</f>
        <v>0.23725490196078433</v>
      </c>
      <c r="AQ269" s="359">
        <f ca="1">master_Daily!FH239</f>
        <v>13.035000000000002</v>
      </c>
      <c r="AR269" s="224">
        <f ca="1">master_Daily!FP239</f>
        <v>1</v>
      </c>
      <c r="AS269" s="359">
        <f>master_Daily!FR239</f>
        <v>0</v>
      </c>
      <c r="AT269" s="270">
        <f t="shared" si="93"/>
        <v>0</v>
      </c>
    </row>
    <row r="270" spans="20:46" s="154" customFormat="1" ht="15" hidden="1" customHeight="1" outlineLevel="1">
      <c r="T270" s="155"/>
      <c r="U270" s="156"/>
      <c r="W270" s="45"/>
      <c r="X270" s="505" t="s">
        <v>222</v>
      </c>
      <c r="Y270" s="227" t="s">
        <v>44</v>
      </c>
      <c r="Z270" s="227"/>
      <c r="AA270" s="368">
        <f>master_Daily!$AA246</f>
        <v>0.03</v>
      </c>
      <c r="AB270" s="353">
        <f>master_Daily!$AK246</f>
        <v>0.03</v>
      </c>
      <c r="AC270" s="357">
        <f>master_Daily!AU246</f>
        <v>1.4999999999999999E-2</v>
      </c>
      <c r="AD270" s="357">
        <f>master_Daily!BE246</f>
        <v>1.9E-2</v>
      </c>
      <c r="AE270" s="357">
        <f>master_Daily!BO246</f>
        <v>1.7000000000000001E-2</v>
      </c>
      <c r="AF270" s="357">
        <f>master_Daily!BY246</f>
        <v>3.1E-2</v>
      </c>
      <c r="AG270" s="357">
        <f>master_Daily!CI246</f>
        <v>0</v>
      </c>
      <c r="AH270" s="357">
        <f>master_Daily!CS246</f>
        <v>0</v>
      </c>
      <c r="AI270" s="357">
        <f>master_Daily!DC246</f>
        <v>0</v>
      </c>
      <c r="AJ270" s="357">
        <f>master_Daily!DM246</f>
        <v>0</v>
      </c>
      <c r="AK270" s="357">
        <f>master_Daily!DW246</f>
        <v>0</v>
      </c>
      <c r="AL270" s="357">
        <f>master_Daily!EG246</f>
        <v>0</v>
      </c>
      <c r="AM270" s="357">
        <f>master_Daily!EQ246</f>
        <v>0</v>
      </c>
      <c r="AN270" s="357">
        <f>master_Daily!ES246</f>
        <v>0.01</v>
      </c>
      <c r="AO270" s="358">
        <f>master_Daily!EZ246</f>
        <v>3.1E-2</v>
      </c>
      <c r="AP270" s="266">
        <f>master_Daily!FQ246</f>
        <v>0</v>
      </c>
      <c r="AQ270" s="369">
        <f ca="1">master_Daily!FH246</f>
        <v>0.14200000000000002</v>
      </c>
      <c r="AR270" s="269">
        <f ca="1">master_Daily!FP246</f>
        <v>5.3493663637870503E-3</v>
      </c>
      <c r="AS270" s="358">
        <f>master_Daily!FR246</f>
        <v>0</v>
      </c>
      <c r="AT270" s="266">
        <f t="shared" ref="AT270:AT291" si="94">IFERROR(AS270/AM270,0)</f>
        <v>0</v>
      </c>
    </row>
    <row r="271" spans="20:46" s="154" customFormat="1" ht="15" hidden="1" customHeight="1" outlineLevel="1">
      <c r="T271" s="155"/>
      <c r="U271" s="156"/>
      <c r="W271" s="45"/>
      <c r="X271" s="505" t="s">
        <v>222</v>
      </c>
      <c r="Y271" s="227" t="s">
        <v>45</v>
      </c>
      <c r="Z271" s="227"/>
      <c r="AA271" s="368">
        <f>master_Daily!$AA247</f>
        <v>4.5999999999999999E-2</v>
      </c>
      <c r="AB271" s="353">
        <f>master_Daily!$AK247</f>
        <v>0.01</v>
      </c>
      <c r="AC271" s="357">
        <f>master_Daily!AU247</f>
        <v>1.4999999999999999E-2</v>
      </c>
      <c r="AD271" s="357">
        <f>master_Daily!BE247</f>
        <v>0</v>
      </c>
      <c r="AE271" s="357">
        <f>master_Daily!BO247</f>
        <v>1.0999999999999999E-2</v>
      </c>
      <c r="AF271" s="357">
        <f>master_Daily!BY247</f>
        <v>1.0999999999999999E-2</v>
      </c>
      <c r="AG271" s="357">
        <f>master_Daily!CI247</f>
        <v>0</v>
      </c>
      <c r="AH271" s="357">
        <f>master_Daily!CS247</f>
        <v>0</v>
      </c>
      <c r="AI271" s="357">
        <f>master_Daily!DC247</f>
        <v>0</v>
      </c>
      <c r="AJ271" s="357">
        <f>master_Daily!DM247</f>
        <v>0</v>
      </c>
      <c r="AK271" s="357">
        <f>master_Daily!DW247</f>
        <v>0</v>
      </c>
      <c r="AL271" s="357">
        <f>master_Daily!EG247</f>
        <v>0</v>
      </c>
      <c r="AM271" s="357">
        <f>master_Daily!EQ247</f>
        <v>0</v>
      </c>
      <c r="AN271" s="357">
        <f>master_Daily!ES247</f>
        <v>0</v>
      </c>
      <c r="AO271" s="358">
        <f>master_Daily!EZ247</f>
        <v>1.0999999999999999E-2</v>
      </c>
      <c r="AP271" s="266">
        <f>master_Daily!FQ247</f>
        <v>0</v>
      </c>
      <c r="AQ271" s="369">
        <f ca="1">master_Daily!FH247</f>
        <v>9.2999999999999999E-2</v>
      </c>
      <c r="AR271" s="269">
        <f ca="1">master_Daily!FP247</f>
        <v>3.503458252339406E-3</v>
      </c>
      <c r="AS271" s="358">
        <f>master_Daily!FR247</f>
        <v>0</v>
      </c>
      <c r="AT271" s="266">
        <f t="shared" si="94"/>
        <v>0</v>
      </c>
    </row>
    <row r="272" spans="20:46" s="154" customFormat="1" ht="15" hidden="1" customHeight="1" outlineLevel="1">
      <c r="T272" s="155"/>
      <c r="U272" s="156"/>
      <c r="W272" s="45"/>
      <c r="X272" s="505" t="s">
        <v>222</v>
      </c>
      <c r="Y272" s="227" t="s">
        <v>46</v>
      </c>
      <c r="Z272" s="227"/>
      <c r="AA272" s="368">
        <f>master_Daily!$AA248</f>
        <v>0.84919999999999995</v>
      </c>
      <c r="AB272" s="353">
        <f>master_Daily!$AK248</f>
        <v>0.93</v>
      </c>
      <c r="AC272" s="357">
        <f>master_Daily!AU248</f>
        <v>0.59</v>
      </c>
      <c r="AD272" s="357">
        <f>master_Daily!BE248</f>
        <v>0.69</v>
      </c>
      <c r="AE272" s="357">
        <f>master_Daily!BO248</f>
        <v>0.79</v>
      </c>
      <c r="AF272" s="357">
        <f>master_Daily!BY248</f>
        <v>0.83</v>
      </c>
      <c r="AG272" s="357">
        <f>master_Daily!CI248</f>
        <v>0</v>
      </c>
      <c r="AH272" s="357">
        <f>master_Daily!CS248</f>
        <v>0</v>
      </c>
      <c r="AI272" s="357">
        <f>master_Daily!DC248</f>
        <v>0</v>
      </c>
      <c r="AJ272" s="357">
        <f>master_Daily!DM248</f>
        <v>0</v>
      </c>
      <c r="AK272" s="357">
        <f>master_Daily!DW248</f>
        <v>0</v>
      </c>
      <c r="AL272" s="357">
        <f>master_Daily!EG248</f>
        <v>0</v>
      </c>
      <c r="AM272" s="357">
        <f>master_Daily!EQ248</f>
        <v>0</v>
      </c>
      <c r="AN272" s="357">
        <f>master_Daily!ES248</f>
        <v>0.24</v>
      </c>
      <c r="AO272" s="358">
        <f>master_Daily!EZ248</f>
        <v>0.83</v>
      </c>
      <c r="AP272" s="266">
        <f>master_Daily!FQ248</f>
        <v>0</v>
      </c>
      <c r="AQ272" s="369">
        <f ca="1">master_Daily!FH248</f>
        <v>4.6791999999999998</v>
      </c>
      <c r="AR272" s="269">
        <f ca="1">master_Daily!FP248</f>
        <v>0.17627292316501664</v>
      </c>
      <c r="AS272" s="358">
        <f>master_Daily!FR248</f>
        <v>0</v>
      </c>
      <c r="AT272" s="266">
        <f t="shared" si="94"/>
        <v>0</v>
      </c>
    </row>
    <row r="273" spans="20:46" s="154" customFormat="1" ht="15" hidden="1" customHeight="1" outlineLevel="1">
      <c r="T273" s="155"/>
      <c r="U273" s="156"/>
      <c r="W273" s="45"/>
      <c r="X273" s="505" t="s">
        <v>222</v>
      </c>
      <c r="Y273" s="227" t="s">
        <v>47</v>
      </c>
      <c r="Z273" s="227"/>
      <c r="AA273" s="368">
        <f>master_Daily!$AA249</f>
        <v>3.2719999999999998</v>
      </c>
      <c r="AB273" s="353">
        <f>master_Daily!$AK249</f>
        <v>3.2250000000000001</v>
      </c>
      <c r="AC273" s="357">
        <f>master_Daily!AU249</f>
        <v>2.67</v>
      </c>
      <c r="AD273" s="357">
        <f>master_Daily!BE249</f>
        <v>3.81</v>
      </c>
      <c r="AE273" s="357">
        <f>master_Daily!BO249</f>
        <v>3.75</v>
      </c>
      <c r="AF273" s="357">
        <f>master_Daily!BY249</f>
        <v>1.32</v>
      </c>
      <c r="AG273" s="357">
        <f>master_Daily!CI249</f>
        <v>0</v>
      </c>
      <c r="AH273" s="357">
        <f>master_Daily!CS249</f>
        <v>0</v>
      </c>
      <c r="AI273" s="357">
        <f>master_Daily!DC249</f>
        <v>0</v>
      </c>
      <c r="AJ273" s="357">
        <f>master_Daily!DM249</f>
        <v>0</v>
      </c>
      <c r="AK273" s="357">
        <f>master_Daily!DW249</f>
        <v>0</v>
      </c>
      <c r="AL273" s="357">
        <f>master_Daily!EG249</f>
        <v>0</v>
      </c>
      <c r="AM273" s="357">
        <f>master_Daily!EQ249</f>
        <v>0</v>
      </c>
      <c r="AN273" s="357">
        <f>master_Daily!ES249</f>
        <v>0.77</v>
      </c>
      <c r="AO273" s="358">
        <f>master_Daily!EZ249</f>
        <v>1.32</v>
      </c>
      <c r="AP273" s="266">
        <f>master_Daily!FQ249</f>
        <v>0</v>
      </c>
      <c r="AQ273" s="369">
        <f ca="1">master_Daily!FH249</f>
        <v>18.047000000000001</v>
      </c>
      <c r="AR273" s="269">
        <f ca="1">master_Daily!FP249</f>
        <v>0.67985925892440069</v>
      </c>
      <c r="AS273" s="358">
        <f>master_Daily!FR249</f>
        <v>0</v>
      </c>
      <c r="AT273" s="266">
        <f t="shared" si="94"/>
        <v>0</v>
      </c>
    </row>
    <row r="274" spans="20:46" s="154" customFormat="1" ht="14.45" hidden="1" customHeight="1" outlineLevel="1">
      <c r="T274" s="155"/>
      <c r="U274" s="156"/>
      <c r="W274" s="45"/>
      <c r="X274" s="505" t="s">
        <v>222</v>
      </c>
      <c r="Y274" s="227" t="s">
        <v>61</v>
      </c>
      <c r="Z274" s="227"/>
      <c r="AA274" s="368">
        <f>master_Daily!$AA250</f>
        <v>0.504</v>
      </c>
      <c r="AB274" s="353">
        <f>master_Daily!$AK250</f>
        <v>0.58499999999999996</v>
      </c>
      <c r="AC274" s="357">
        <f>master_Daily!AU250</f>
        <v>0.53</v>
      </c>
      <c r="AD274" s="357">
        <f>master_Daily!BE250</f>
        <v>0.755</v>
      </c>
      <c r="AE274" s="357">
        <f>master_Daily!BO250</f>
        <v>0.86</v>
      </c>
      <c r="AF274" s="357">
        <f>master_Daily!BY250</f>
        <v>0.35</v>
      </c>
      <c r="AG274" s="357">
        <f>master_Daily!CI250</f>
        <v>0</v>
      </c>
      <c r="AH274" s="357">
        <f>master_Daily!CS250</f>
        <v>0</v>
      </c>
      <c r="AI274" s="357">
        <f>master_Daily!DC250</f>
        <v>0</v>
      </c>
      <c r="AJ274" s="357">
        <f>master_Daily!DM250</f>
        <v>0</v>
      </c>
      <c r="AK274" s="357">
        <f>master_Daily!DW250</f>
        <v>0</v>
      </c>
      <c r="AL274" s="357">
        <f>master_Daily!EG250</f>
        <v>0</v>
      </c>
      <c r="AM274" s="357">
        <f>master_Daily!EQ250</f>
        <v>0</v>
      </c>
      <c r="AN274" s="357">
        <f>master_Daily!ES250</f>
        <v>0.28000000000000003</v>
      </c>
      <c r="AO274" s="358">
        <f>master_Daily!EZ250</f>
        <v>0.35</v>
      </c>
      <c r="AP274" s="266">
        <f>master_Daily!FQ250</f>
        <v>0</v>
      </c>
      <c r="AQ274" s="369">
        <f ca="1">master_Daily!FH250</f>
        <v>3.5840000000000001</v>
      </c>
      <c r="AR274" s="269">
        <f ca="1">master_Daily!FP250</f>
        <v>0.13501499329445624</v>
      </c>
      <c r="AS274" s="358">
        <f>master_Daily!FR250</f>
        <v>0</v>
      </c>
      <c r="AT274" s="266">
        <f t="shared" si="94"/>
        <v>0</v>
      </c>
    </row>
    <row r="275" spans="20:46" s="154" customFormat="1" ht="15" customHeight="1" collapsed="1">
      <c r="T275" s="155"/>
      <c r="U275" s="156"/>
      <c r="W275" s="45" t="s">
        <v>223</v>
      </c>
      <c r="X275" s="506" t="s">
        <v>224</v>
      </c>
      <c r="Y275" s="234"/>
      <c r="Z275" s="234"/>
      <c r="AA275" s="361">
        <f>master_Daily!$AA251</f>
        <v>4.7012</v>
      </c>
      <c r="AB275" s="361">
        <f>master_Daily!$AK251</f>
        <v>4.78</v>
      </c>
      <c r="AC275" s="361">
        <f>master_Daily!AU251</f>
        <v>3.8200000000000003</v>
      </c>
      <c r="AD275" s="361">
        <f>master_Daily!BE251</f>
        <v>5.274</v>
      </c>
      <c r="AE275" s="361">
        <f>master_Daily!BO251</f>
        <v>5.4279999999999999</v>
      </c>
      <c r="AF275" s="361">
        <f>master_Daily!BY251</f>
        <v>2.5420000000000003</v>
      </c>
      <c r="AG275" s="361">
        <f>master_Daily!CI251</f>
        <v>0</v>
      </c>
      <c r="AH275" s="361">
        <f>master_Daily!CS251</f>
        <v>0</v>
      </c>
      <c r="AI275" s="361">
        <f>master_Daily!DC251</f>
        <v>0</v>
      </c>
      <c r="AJ275" s="361">
        <f>master_Daily!DM251</f>
        <v>0</v>
      </c>
      <c r="AK275" s="361">
        <f>master_Daily!DW251</f>
        <v>0</v>
      </c>
      <c r="AL275" s="361">
        <f>master_Daily!EG251</f>
        <v>0</v>
      </c>
      <c r="AM275" s="361">
        <f>master_Daily!EQ251</f>
        <v>4.7639999999999993</v>
      </c>
      <c r="AN275" s="361">
        <f>master_Daily!ES251</f>
        <v>1.3</v>
      </c>
      <c r="AO275" s="361">
        <f>master_Daily!EZ251</f>
        <v>2.5420000000000003</v>
      </c>
      <c r="AP275" s="273">
        <f>master_Daily!FQ251</f>
        <v>0.53358522250209917</v>
      </c>
      <c r="AQ275" s="361">
        <f ca="1">master_Daily!FH251</f>
        <v>26.545200000000001</v>
      </c>
      <c r="AR275" s="237">
        <f ca="1">master_Daily!FP251</f>
        <v>1</v>
      </c>
      <c r="AS275" s="361">
        <f>master_Daily!FR251</f>
        <v>0</v>
      </c>
      <c r="AT275" s="273">
        <f t="shared" si="94"/>
        <v>0</v>
      </c>
    </row>
    <row r="276" spans="20:46" s="154" customFormat="1" ht="15" hidden="1" customHeight="1" outlineLevel="1">
      <c r="T276" s="155"/>
      <c r="U276" s="156"/>
      <c r="W276" s="45"/>
      <c r="X276" s="505" t="s">
        <v>225</v>
      </c>
      <c r="Y276" s="227" t="s">
        <v>44</v>
      </c>
      <c r="Z276" s="227"/>
      <c r="AA276" s="375">
        <f>master_Daily!$AA252</f>
        <v>2.1999999999999999E-2</v>
      </c>
      <c r="AB276" s="376">
        <f>master_Daily!$AK252</f>
        <v>1.6E-2</v>
      </c>
      <c r="AC276" s="361">
        <f>master_Daily!AU252</f>
        <v>2.7E-2</v>
      </c>
      <c r="AD276" s="361">
        <f>master_Daily!BE252</f>
        <v>4.0000000000000001E-3</v>
      </c>
      <c r="AE276" s="361">
        <f>master_Daily!BO252</f>
        <v>0.01</v>
      </c>
      <c r="AF276" s="361">
        <f>master_Daily!BY252</f>
        <v>4.0000000000000001E-3</v>
      </c>
      <c r="AG276" s="361">
        <f>master_Daily!CI252</f>
        <v>0</v>
      </c>
      <c r="AH276" s="361">
        <f>master_Daily!CS252</f>
        <v>0</v>
      </c>
      <c r="AI276" s="361">
        <f>master_Daily!DC252</f>
        <v>0</v>
      </c>
      <c r="AJ276" s="361">
        <f>master_Daily!DM252</f>
        <v>0</v>
      </c>
      <c r="AK276" s="361">
        <f>master_Daily!DW252</f>
        <v>0</v>
      </c>
      <c r="AL276" s="361">
        <f>master_Daily!EG252</f>
        <v>0</v>
      </c>
      <c r="AM276" s="361">
        <f>master_Daily!EQ252</f>
        <v>0</v>
      </c>
      <c r="AN276" s="361">
        <f>master_Daily!ES252</f>
        <v>0</v>
      </c>
      <c r="AO276" s="362">
        <f>master_Daily!EZ252</f>
        <v>4.0000000000000001E-3</v>
      </c>
      <c r="AP276" s="275">
        <f>master_Daily!FQ252</f>
        <v>0</v>
      </c>
      <c r="AQ276" s="376">
        <f ca="1">master_Daily!FH252</f>
        <v>8.3000000000000004E-2</v>
      </c>
      <c r="AR276" s="274">
        <f ca="1">master_Daily!FP252</f>
        <v>5.4128081387765743E-3</v>
      </c>
      <c r="AS276" s="362">
        <f>master_Daily!FR252</f>
        <v>0</v>
      </c>
      <c r="AT276" s="275">
        <f t="shared" si="94"/>
        <v>0</v>
      </c>
    </row>
    <row r="277" spans="20:46" s="154" customFormat="1" ht="15" hidden="1" customHeight="1" outlineLevel="1">
      <c r="T277" s="155"/>
      <c r="U277" s="156"/>
      <c r="W277" s="45"/>
      <c r="X277" s="505" t="s">
        <v>225</v>
      </c>
      <c r="Y277" s="227" t="s">
        <v>45</v>
      </c>
      <c r="Z277" s="227"/>
      <c r="AA277" s="375">
        <f>master_Daily!$AA253</f>
        <v>6.0000000000000001E-3</v>
      </c>
      <c r="AB277" s="376">
        <f>master_Daily!$AK253</f>
        <v>2E-3</v>
      </c>
      <c r="AC277" s="361">
        <f>master_Daily!AU253</f>
        <v>0</v>
      </c>
      <c r="AD277" s="361">
        <f>master_Daily!BE253</f>
        <v>1E-3</v>
      </c>
      <c r="AE277" s="361">
        <f>master_Daily!BO253</f>
        <v>6.0000000000000001E-3</v>
      </c>
      <c r="AF277" s="361">
        <f>master_Daily!BY253</f>
        <v>0</v>
      </c>
      <c r="AG277" s="361">
        <f>master_Daily!CI253</f>
        <v>0</v>
      </c>
      <c r="AH277" s="361">
        <f>master_Daily!CS253</f>
        <v>0</v>
      </c>
      <c r="AI277" s="361">
        <f>master_Daily!DC253</f>
        <v>0</v>
      </c>
      <c r="AJ277" s="361">
        <f>master_Daily!DM253</f>
        <v>0</v>
      </c>
      <c r="AK277" s="361">
        <f>master_Daily!DW253</f>
        <v>0</v>
      </c>
      <c r="AL277" s="361">
        <f>master_Daily!EG253</f>
        <v>0</v>
      </c>
      <c r="AM277" s="361">
        <f>master_Daily!EQ253</f>
        <v>0</v>
      </c>
      <c r="AN277" s="361">
        <f>master_Daily!ES253</f>
        <v>0</v>
      </c>
      <c r="AO277" s="362">
        <f>master_Daily!EZ253</f>
        <v>0</v>
      </c>
      <c r="AP277" s="275">
        <f>master_Daily!FQ253</f>
        <v>0</v>
      </c>
      <c r="AQ277" s="376">
        <f ca="1">master_Daily!FH253</f>
        <v>1.5000000000000001E-2</v>
      </c>
      <c r="AR277" s="274">
        <f ca="1">master_Daily!FP253</f>
        <v>9.7821833833311596E-4</v>
      </c>
      <c r="AS277" s="362">
        <f>master_Daily!FR253</f>
        <v>0</v>
      </c>
      <c r="AT277" s="275">
        <f t="shared" si="94"/>
        <v>0</v>
      </c>
    </row>
    <row r="278" spans="20:46" s="154" customFormat="1" ht="15" hidden="1" customHeight="1" outlineLevel="1">
      <c r="T278" s="155"/>
      <c r="U278" s="156"/>
      <c r="W278" s="45"/>
      <c r="X278" s="505" t="s">
        <v>225</v>
      </c>
      <c r="Y278" s="227" t="s">
        <v>46</v>
      </c>
      <c r="Z278" s="227"/>
      <c r="AA278" s="375">
        <f>master_Daily!$AA254</f>
        <v>0.93120000000000003</v>
      </c>
      <c r="AB278" s="376">
        <f>master_Daily!$AK254</f>
        <v>0.81699999999999995</v>
      </c>
      <c r="AC278" s="361">
        <f>master_Daily!AU254</f>
        <v>0.7</v>
      </c>
      <c r="AD278" s="361">
        <f>master_Daily!BE254</f>
        <v>0.70899999999999996</v>
      </c>
      <c r="AE278" s="361">
        <f>master_Daily!BO254</f>
        <v>0.82799999999999996</v>
      </c>
      <c r="AF278" s="361">
        <f>master_Daily!BY254</f>
        <v>0.22</v>
      </c>
      <c r="AG278" s="361">
        <f>master_Daily!CI254</f>
        <v>0</v>
      </c>
      <c r="AH278" s="361">
        <f>master_Daily!CS254</f>
        <v>0</v>
      </c>
      <c r="AI278" s="361">
        <f>master_Daily!DC254</f>
        <v>0</v>
      </c>
      <c r="AJ278" s="361">
        <f>master_Daily!DM254</f>
        <v>0</v>
      </c>
      <c r="AK278" s="361">
        <f>master_Daily!DW254</f>
        <v>0</v>
      </c>
      <c r="AL278" s="361">
        <f>master_Daily!EG254</f>
        <v>0</v>
      </c>
      <c r="AM278" s="361">
        <f>master_Daily!EQ254</f>
        <v>0</v>
      </c>
      <c r="AN278" s="361">
        <f>master_Daily!ES254</f>
        <v>0</v>
      </c>
      <c r="AO278" s="362">
        <f>master_Daily!EZ254</f>
        <v>0.22</v>
      </c>
      <c r="AP278" s="275">
        <f>master_Daily!FQ254</f>
        <v>0</v>
      </c>
      <c r="AQ278" s="376">
        <f ca="1">master_Daily!FH254</f>
        <v>4.2051999999999996</v>
      </c>
      <c r="AR278" s="274">
        <f ca="1">master_Daily!FP254</f>
        <v>0.27424025042389455</v>
      </c>
      <c r="AS278" s="362">
        <f>master_Daily!FR254</f>
        <v>0</v>
      </c>
      <c r="AT278" s="275">
        <f t="shared" si="94"/>
        <v>0</v>
      </c>
    </row>
    <row r="279" spans="20:46" s="154" customFormat="1" ht="15" hidden="1" customHeight="1" outlineLevel="1">
      <c r="T279" s="155"/>
      <c r="U279" s="156"/>
      <c r="W279" s="45"/>
      <c r="X279" s="505" t="s">
        <v>225</v>
      </c>
      <c r="Y279" s="227" t="s">
        <v>47</v>
      </c>
      <c r="Z279" s="227"/>
      <c r="AA279" s="375">
        <f>master_Daily!$AA255</f>
        <v>1.6140000000000001</v>
      </c>
      <c r="AB279" s="376">
        <f>master_Daily!$AK255</f>
        <v>1.7769999999999999</v>
      </c>
      <c r="AC279" s="361">
        <f>master_Daily!AU255</f>
        <v>1.766</v>
      </c>
      <c r="AD279" s="361">
        <f>master_Daily!BE255</f>
        <v>1.7270000000000001</v>
      </c>
      <c r="AE279" s="361">
        <f>master_Daily!BO255</f>
        <v>1.173</v>
      </c>
      <c r="AF279" s="361">
        <f>master_Daily!BY255</f>
        <v>0.53400000000000003</v>
      </c>
      <c r="AG279" s="361">
        <f>master_Daily!CI255</f>
        <v>0</v>
      </c>
      <c r="AH279" s="361">
        <f>master_Daily!CS255</f>
        <v>0</v>
      </c>
      <c r="AI279" s="361">
        <f>master_Daily!DC255</f>
        <v>0</v>
      </c>
      <c r="AJ279" s="361">
        <f>master_Daily!DM255</f>
        <v>0</v>
      </c>
      <c r="AK279" s="361">
        <f>master_Daily!DW255</f>
        <v>0</v>
      </c>
      <c r="AL279" s="361">
        <f>master_Daily!EG255</f>
        <v>0</v>
      </c>
      <c r="AM279" s="361">
        <f>master_Daily!EQ255</f>
        <v>0</v>
      </c>
      <c r="AN279" s="361">
        <f>master_Daily!ES255</f>
        <v>0</v>
      </c>
      <c r="AO279" s="362">
        <f>master_Daily!EZ255</f>
        <v>0.53400000000000003</v>
      </c>
      <c r="AP279" s="275">
        <f>master_Daily!FQ255</f>
        <v>0</v>
      </c>
      <c r="AQ279" s="376">
        <f ca="1">master_Daily!FH255</f>
        <v>8.5910000000000011</v>
      </c>
      <c r="AR279" s="274">
        <f ca="1">master_Daily!FP255</f>
        <v>0.56025824964131998</v>
      </c>
      <c r="AS279" s="362">
        <f>master_Daily!FR255</f>
        <v>0</v>
      </c>
      <c r="AT279" s="275">
        <f t="shared" si="94"/>
        <v>0</v>
      </c>
    </row>
    <row r="280" spans="20:46" s="154" customFormat="1" ht="14.45" hidden="1" customHeight="1" outlineLevel="1">
      <c r="T280" s="155"/>
      <c r="U280" s="156"/>
      <c r="W280" s="45"/>
      <c r="X280" s="505" t="s">
        <v>225</v>
      </c>
      <c r="Y280" s="227" t="s">
        <v>61</v>
      </c>
      <c r="Z280" s="227"/>
      <c r="AA280" s="375">
        <f>master_Daily!$AA256</f>
        <v>0.23080000000000001</v>
      </c>
      <c r="AB280" s="376">
        <f>master_Daily!$AK256</f>
        <v>0.38800000000000001</v>
      </c>
      <c r="AC280" s="361">
        <f>master_Daily!AU256</f>
        <v>0.60699999999999998</v>
      </c>
      <c r="AD280" s="361">
        <f>master_Daily!BE256</f>
        <v>0.48899999999999999</v>
      </c>
      <c r="AE280" s="361">
        <f>master_Daily!BO256</f>
        <v>0.38300000000000001</v>
      </c>
      <c r="AF280" s="361">
        <f>master_Daily!BY256</f>
        <v>0.34200000000000003</v>
      </c>
      <c r="AG280" s="361">
        <f>master_Daily!CI256</f>
        <v>0</v>
      </c>
      <c r="AH280" s="361">
        <f>master_Daily!CS256</f>
        <v>0</v>
      </c>
      <c r="AI280" s="361">
        <f>master_Daily!DC256</f>
        <v>0</v>
      </c>
      <c r="AJ280" s="361">
        <f>master_Daily!DM256</f>
        <v>0</v>
      </c>
      <c r="AK280" s="361">
        <f>master_Daily!DW256</f>
        <v>0</v>
      </c>
      <c r="AL280" s="361">
        <f>master_Daily!EG256</f>
        <v>0</v>
      </c>
      <c r="AM280" s="361">
        <f>master_Daily!EQ256</f>
        <v>0</v>
      </c>
      <c r="AN280" s="361">
        <f>master_Daily!ES256</f>
        <v>0</v>
      </c>
      <c r="AO280" s="362">
        <f>master_Daily!EZ256</f>
        <v>0.34200000000000003</v>
      </c>
      <c r="AP280" s="275">
        <f>master_Daily!FQ256</f>
        <v>0</v>
      </c>
      <c r="AQ280" s="376">
        <f ca="1">master_Daily!FH256</f>
        <v>2.4398</v>
      </c>
      <c r="AR280" s="274">
        <f ca="1">master_Daily!FP256</f>
        <v>0.15911047345767573</v>
      </c>
      <c r="AS280" s="362">
        <f>master_Daily!FR256</f>
        <v>0</v>
      </c>
      <c r="AT280" s="275">
        <f t="shared" si="94"/>
        <v>0</v>
      </c>
    </row>
    <row r="281" spans="20:46" s="154" customFormat="1" ht="15" customHeight="1" collapsed="1">
      <c r="T281" s="155"/>
      <c r="U281" s="156"/>
      <c r="W281" s="45" t="s">
        <v>226</v>
      </c>
      <c r="X281" s="506" t="s">
        <v>227</v>
      </c>
      <c r="Y281" s="234"/>
      <c r="Z281" s="234"/>
      <c r="AA281" s="361">
        <f>master_Daily!$AA257</f>
        <v>2.8039999999999998</v>
      </c>
      <c r="AB281" s="361">
        <f>master_Daily!$AK257</f>
        <v>3</v>
      </c>
      <c r="AC281" s="361">
        <f>master_Daily!AU257</f>
        <v>3.0999999999999996</v>
      </c>
      <c r="AD281" s="361">
        <f>master_Daily!BE257</f>
        <v>2.9299999999999997</v>
      </c>
      <c r="AE281" s="361">
        <f>master_Daily!BO257</f>
        <v>2.4</v>
      </c>
      <c r="AF281" s="361">
        <f>master_Daily!BY257</f>
        <v>1.1000000000000001</v>
      </c>
      <c r="AG281" s="361">
        <f>master_Daily!CI257</f>
        <v>0</v>
      </c>
      <c r="AH281" s="361">
        <f>master_Daily!CS257</f>
        <v>0</v>
      </c>
      <c r="AI281" s="361">
        <f>master_Daily!DC257</f>
        <v>0</v>
      </c>
      <c r="AJ281" s="361">
        <f>master_Daily!DM257</f>
        <v>0</v>
      </c>
      <c r="AK281" s="361">
        <f>master_Daily!DW257</f>
        <v>0</v>
      </c>
      <c r="AL281" s="361">
        <f>master_Daily!EG257</f>
        <v>0</v>
      </c>
      <c r="AM281" s="361">
        <f>master_Daily!EQ257</f>
        <v>3.004</v>
      </c>
      <c r="AN281" s="361">
        <f>master_Daily!ES257</f>
        <v>0</v>
      </c>
      <c r="AO281" s="361">
        <f>master_Daily!EZ257</f>
        <v>1.1000000000000001</v>
      </c>
      <c r="AP281" s="273">
        <f>master_Daily!FQ257</f>
        <v>0.36617842876165119</v>
      </c>
      <c r="AQ281" s="361">
        <f ca="1">master_Daily!FH257</f>
        <v>15.334000000000001</v>
      </c>
      <c r="AR281" s="237">
        <f ca="1">master_Daily!FP257</f>
        <v>1</v>
      </c>
      <c r="AS281" s="361">
        <f>master_Daily!FR257</f>
        <v>0</v>
      </c>
      <c r="AT281" s="273">
        <f t="shared" si="94"/>
        <v>0</v>
      </c>
    </row>
    <row r="282" spans="20:46" s="154" customFormat="1" ht="15" hidden="1" customHeight="1" outlineLevel="1">
      <c r="T282" s="155"/>
      <c r="U282" s="156"/>
      <c r="W282" s="45"/>
      <c r="X282" s="505" t="s">
        <v>228</v>
      </c>
      <c r="Y282" s="227" t="s">
        <v>44</v>
      </c>
      <c r="Z282" s="227"/>
      <c r="AA282" s="375">
        <f>master_Daily!$AA258</f>
        <v>0</v>
      </c>
      <c r="AB282" s="376">
        <f>master_Daily!$AK258</f>
        <v>4.0000000000000001E-3</v>
      </c>
      <c r="AC282" s="361">
        <f>master_Daily!AU258</f>
        <v>3.2000000000000002E-3</v>
      </c>
      <c r="AD282" s="361">
        <f>master_Daily!BE258</f>
        <v>8.8000000000000005E-3</v>
      </c>
      <c r="AE282" s="361">
        <f>master_Daily!BO258</f>
        <v>2.3999999999999998E-3</v>
      </c>
      <c r="AF282" s="361">
        <f>master_Daily!BY258</f>
        <v>5.9999999999999995E-4</v>
      </c>
      <c r="AG282" s="361">
        <f>master_Daily!CI258</f>
        <v>0</v>
      </c>
      <c r="AH282" s="361">
        <f>master_Daily!CS258</f>
        <v>0</v>
      </c>
      <c r="AI282" s="361">
        <f>master_Daily!DC258</f>
        <v>0</v>
      </c>
      <c r="AJ282" s="361">
        <f>master_Daily!DM258</f>
        <v>0</v>
      </c>
      <c r="AK282" s="361">
        <f>master_Daily!DW258</f>
        <v>0</v>
      </c>
      <c r="AL282" s="361">
        <f>master_Daily!EG258</f>
        <v>0</v>
      </c>
      <c r="AM282" s="361">
        <f>master_Daily!EQ258</f>
        <v>0</v>
      </c>
      <c r="AN282" s="361">
        <f>master_Daily!ES258</f>
        <v>0</v>
      </c>
      <c r="AO282" s="362">
        <f>master_Daily!EZ258</f>
        <v>5.9999999999999995E-4</v>
      </c>
      <c r="AP282" s="275">
        <f>master_Daily!FQ258</f>
        <v>0</v>
      </c>
      <c r="AQ282" s="376">
        <f ca="1">master_Daily!FH258</f>
        <v>1.9E-2</v>
      </c>
      <c r="AR282" s="274">
        <f ca="1">master_Daily!FP258</f>
        <v>3.1204835107081857E-3</v>
      </c>
      <c r="AS282" s="362">
        <f>master_Daily!FR258</f>
        <v>0</v>
      </c>
      <c r="AT282" s="275">
        <f t="shared" si="94"/>
        <v>0</v>
      </c>
    </row>
    <row r="283" spans="20:46" s="154" customFormat="1" ht="15" hidden="1" customHeight="1" outlineLevel="1">
      <c r="T283" s="155"/>
      <c r="U283" s="156"/>
      <c r="W283" s="45"/>
      <c r="X283" s="505" t="s">
        <v>228</v>
      </c>
      <c r="Y283" s="227" t="s">
        <v>45</v>
      </c>
      <c r="Z283" s="227"/>
      <c r="AA283" s="375">
        <f>master_Daily!$AA259</f>
        <v>0</v>
      </c>
      <c r="AB283" s="376">
        <f>master_Daily!$AK259</f>
        <v>2E-3</v>
      </c>
      <c r="AC283" s="361">
        <f>master_Daily!AU259</f>
        <v>0</v>
      </c>
      <c r="AD283" s="361">
        <f>master_Daily!BE259</f>
        <v>1E-3</v>
      </c>
      <c r="AE283" s="361">
        <f>master_Daily!BO259</f>
        <v>4.0000000000000002E-4</v>
      </c>
      <c r="AF283" s="361">
        <f>master_Daily!BY259</f>
        <v>0</v>
      </c>
      <c r="AG283" s="361">
        <f>master_Daily!CI259</f>
        <v>0</v>
      </c>
      <c r="AH283" s="361">
        <f>master_Daily!CS259</f>
        <v>0</v>
      </c>
      <c r="AI283" s="361">
        <f>master_Daily!DC259</f>
        <v>0</v>
      </c>
      <c r="AJ283" s="361">
        <f>master_Daily!DM259</f>
        <v>0</v>
      </c>
      <c r="AK283" s="361">
        <f>master_Daily!DW259</f>
        <v>0</v>
      </c>
      <c r="AL283" s="361">
        <f>master_Daily!EG259</f>
        <v>0</v>
      </c>
      <c r="AM283" s="361">
        <f>master_Daily!EQ259</f>
        <v>0</v>
      </c>
      <c r="AN283" s="361">
        <f>master_Daily!ES259</f>
        <v>0</v>
      </c>
      <c r="AO283" s="362">
        <f>master_Daily!EZ259</f>
        <v>0</v>
      </c>
      <c r="AP283" s="275">
        <f>master_Daily!FQ259</f>
        <v>0</v>
      </c>
      <c r="AQ283" s="376">
        <f ca="1">master_Daily!FH259</f>
        <v>3.4000000000000002E-3</v>
      </c>
      <c r="AR283" s="274">
        <f ca="1">master_Daily!FP259</f>
        <v>5.5840231244251744E-4</v>
      </c>
      <c r="AS283" s="362">
        <f>master_Daily!FR259</f>
        <v>0</v>
      </c>
      <c r="AT283" s="275">
        <f t="shared" si="94"/>
        <v>0</v>
      </c>
    </row>
    <row r="284" spans="20:46" s="154" customFormat="1" ht="15" hidden="1" customHeight="1" outlineLevel="1">
      <c r="T284" s="155"/>
      <c r="U284" s="156"/>
      <c r="W284" s="45"/>
      <c r="X284" s="505" t="s">
        <v>228</v>
      </c>
      <c r="Y284" s="227" t="s">
        <v>46</v>
      </c>
      <c r="Z284" s="227"/>
      <c r="AA284" s="375">
        <f>master_Daily!$AA260</f>
        <v>0.39140000000000003</v>
      </c>
      <c r="AB284" s="376">
        <f>master_Daily!$AK260</f>
        <v>0.37</v>
      </c>
      <c r="AC284" s="361">
        <f>master_Daily!AU260</f>
        <v>0.28999999999999998</v>
      </c>
      <c r="AD284" s="361">
        <f>master_Daily!BE260</f>
        <v>0.36</v>
      </c>
      <c r="AE284" s="361">
        <f>master_Daily!BO260</f>
        <v>0.37</v>
      </c>
      <c r="AF284" s="361">
        <f>master_Daily!BY260</f>
        <v>0.14000000000000001</v>
      </c>
      <c r="AG284" s="361">
        <f>master_Daily!CI260</f>
        <v>0</v>
      </c>
      <c r="AH284" s="361">
        <f>master_Daily!CS260</f>
        <v>0</v>
      </c>
      <c r="AI284" s="361">
        <f>master_Daily!DC260</f>
        <v>0</v>
      </c>
      <c r="AJ284" s="361">
        <f>master_Daily!DM260</f>
        <v>0</v>
      </c>
      <c r="AK284" s="361">
        <f>master_Daily!DW260</f>
        <v>0</v>
      </c>
      <c r="AL284" s="361">
        <f>master_Daily!EG260</f>
        <v>0</v>
      </c>
      <c r="AM284" s="361">
        <f>master_Daily!EQ260</f>
        <v>0</v>
      </c>
      <c r="AN284" s="361">
        <f>master_Daily!ES260</f>
        <v>0</v>
      </c>
      <c r="AO284" s="362">
        <f>master_Daily!EZ260</f>
        <v>0.14000000000000001</v>
      </c>
      <c r="AP284" s="275">
        <f>master_Daily!FQ260</f>
        <v>0</v>
      </c>
      <c r="AQ284" s="376">
        <f ca="1">master_Daily!FH260</f>
        <v>1.9214000000000002</v>
      </c>
      <c r="AR284" s="274">
        <f ca="1">master_Daily!FP260</f>
        <v>0.3155630009197215</v>
      </c>
      <c r="AS284" s="362">
        <f>master_Daily!FR260</f>
        <v>0</v>
      </c>
      <c r="AT284" s="275">
        <f t="shared" si="94"/>
        <v>0</v>
      </c>
    </row>
    <row r="285" spans="20:46" s="154" customFormat="1" ht="15" hidden="1" customHeight="1" outlineLevel="1">
      <c r="T285" s="155"/>
      <c r="U285" s="156"/>
      <c r="W285" s="45"/>
      <c r="X285" s="505" t="s">
        <v>228</v>
      </c>
      <c r="Y285" s="227" t="s">
        <v>47</v>
      </c>
      <c r="Z285" s="227"/>
      <c r="AA285" s="375">
        <f>master_Daily!$AA261</f>
        <v>0.48499999999999999</v>
      </c>
      <c r="AB285" s="376">
        <f>master_Daily!$AK261</f>
        <v>0.42499999999999999</v>
      </c>
      <c r="AC285" s="361">
        <f>master_Daily!AU261</f>
        <v>0.62</v>
      </c>
      <c r="AD285" s="361">
        <f>master_Daily!BE261</f>
        <v>0.44500000000000001</v>
      </c>
      <c r="AE285" s="361">
        <f>master_Daily!BO261</f>
        <v>0.55000000000000004</v>
      </c>
      <c r="AF285" s="361">
        <f>master_Daily!BY261</f>
        <v>0.28999999999999998</v>
      </c>
      <c r="AG285" s="361">
        <f>master_Daily!CI261</f>
        <v>0</v>
      </c>
      <c r="AH285" s="361">
        <f>master_Daily!CS261</f>
        <v>0</v>
      </c>
      <c r="AI285" s="361">
        <f>master_Daily!DC261</f>
        <v>0</v>
      </c>
      <c r="AJ285" s="361">
        <f>master_Daily!DM261</f>
        <v>0</v>
      </c>
      <c r="AK285" s="361">
        <f>master_Daily!DW261</f>
        <v>0</v>
      </c>
      <c r="AL285" s="361">
        <f>master_Daily!EG261</f>
        <v>0</v>
      </c>
      <c r="AM285" s="361">
        <f>master_Daily!EQ261</f>
        <v>0</v>
      </c>
      <c r="AN285" s="361">
        <f>master_Daily!ES261</f>
        <v>0</v>
      </c>
      <c r="AO285" s="362">
        <f>master_Daily!EZ261</f>
        <v>0.28999999999999998</v>
      </c>
      <c r="AP285" s="275">
        <f>master_Daily!FQ261</f>
        <v>0</v>
      </c>
      <c r="AQ285" s="376">
        <f ca="1">master_Daily!FH261</f>
        <v>2.8149999999999999</v>
      </c>
      <c r="AR285" s="274">
        <f ca="1">master_Daily!FP261</f>
        <v>0.46232426750755484</v>
      </c>
      <c r="AS285" s="362">
        <f>master_Daily!FR261</f>
        <v>0</v>
      </c>
      <c r="AT285" s="275">
        <f t="shared" si="94"/>
        <v>0</v>
      </c>
    </row>
    <row r="286" spans="20:46" s="154" customFormat="1" ht="14.45" hidden="1" customHeight="1" outlineLevel="1">
      <c r="T286" s="155"/>
      <c r="U286" s="156"/>
      <c r="W286" s="45"/>
      <c r="X286" s="505" t="s">
        <v>228</v>
      </c>
      <c r="Y286" s="227" t="s">
        <v>61</v>
      </c>
      <c r="Z286" s="227"/>
      <c r="AA286" s="375">
        <f>master_Daily!$AA262</f>
        <v>0.21</v>
      </c>
      <c r="AB286" s="376">
        <f>master_Daily!$AK262</f>
        <v>0.2</v>
      </c>
      <c r="AC286" s="361">
        <f>master_Daily!AU262</f>
        <v>0.24</v>
      </c>
      <c r="AD286" s="361">
        <f>master_Daily!BE262</f>
        <v>0.21</v>
      </c>
      <c r="AE286" s="361">
        <f>master_Daily!BO262</f>
        <v>0.26</v>
      </c>
      <c r="AF286" s="361">
        <f>master_Daily!BY262</f>
        <v>0.21</v>
      </c>
      <c r="AG286" s="361">
        <f>master_Daily!CI262</f>
        <v>0</v>
      </c>
      <c r="AH286" s="361">
        <f>master_Daily!CS262</f>
        <v>0</v>
      </c>
      <c r="AI286" s="361">
        <f>master_Daily!DC262</f>
        <v>0</v>
      </c>
      <c r="AJ286" s="361">
        <f>master_Daily!DM262</f>
        <v>0</v>
      </c>
      <c r="AK286" s="361">
        <f>master_Daily!DW262</f>
        <v>0</v>
      </c>
      <c r="AL286" s="361">
        <f>master_Daily!EG262</f>
        <v>0</v>
      </c>
      <c r="AM286" s="361">
        <f>master_Daily!EQ262</f>
        <v>0</v>
      </c>
      <c r="AN286" s="361">
        <f>master_Daily!ES262</f>
        <v>0</v>
      </c>
      <c r="AO286" s="362">
        <f>master_Daily!EZ262</f>
        <v>0.21</v>
      </c>
      <c r="AP286" s="275">
        <f>master_Daily!FQ262</f>
        <v>0</v>
      </c>
      <c r="AQ286" s="376">
        <f ca="1">master_Daily!FH262</f>
        <v>1.33</v>
      </c>
      <c r="AR286" s="274">
        <f ca="1">master_Daily!FP262</f>
        <v>0.218433845749573</v>
      </c>
      <c r="AS286" s="362">
        <f>master_Daily!FR262</f>
        <v>0</v>
      </c>
      <c r="AT286" s="275">
        <f t="shared" si="94"/>
        <v>0</v>
      </c>
    </row>
    <row r="287" spans="20:46" s="154" customFormat="1" collapsed="1">
      <c r="T287" s="155"/>
      <c r="U287" s="156"/>
      <c r="W287" s="45" t="s">
        <v>229</v>
      </c>
      <c r="X287" s="506" t="s">
        <v>230</v>
      </c>
      <c r="Y287" s="234"/>
      <c r="Z287" s="234"/>
      <c r="AA287" s="361">
        <f>master_Daily!$AA263</f>
        <v>1.0864</v>
      </c>
      <c r="AB287" s="361">
        <f>master_Daily!$AK263</f>
        <v>1.0009999999999999</v>
      </c>
      <c r="AC287" s="361">
        <f>master_Daily!AU263</f>
        <v>1.1532</v>
      </c>
      <c r="AD287" s="361">
        <f>master_Daily!BE263</f>
        <v>1.0247999999999999</v>
      </c>
      <c r="AE287" s="361">
        <f>master_Daily!BO263</f>
        <v>1.1828000000000001</v>
      </c>
      <c r="AF287" s="361">
        <f>master_Daily!BY263</f>
        <v>0.64059999999999995</v>
      </c>
      <c r="AG287" s="361">
        <f>master_Daily!CI263</f>
        <v>0</v>
      </c>
      <c r="AH287" s="361">
        <f>master_Daily!CS263</f>
        <v>0</v>
      </c>
      <c r="AI287" s="361">
        <f>master_Daily!DC263</f>
        <v>0</v>
      </c>
      <c r="AJ287" s="361">
        <f>master_Daily!DM263</f>
        <v>0</v>
      </c>
      <c r="AK287" s="361">
        <f>master_Daily!DW263</f>
        <v>0</v>
      </c>
      <c r="AL287" s="361">
        <f>master_Daily!EG263</f>
        <v>0</v>
      </c>
      <c r="AM287" s="361">
        <f>master_Daily!EQ263</f>
        <v>1.2850000000000001</v>
      </c>
      <c r="AN287" s="361">
        <f>master_Daily!ES263</f>
        <v>0</v>
      </c>
      <c r="AO287" s="361">
        <f>master_Daily!EZ263</f>
        <v>0.64059999999999995</v>
      </c>
      <c r="AP287" s="273">
        <f>master_Daily!FQ263</f>
        <v>0.49852140077821</v>
      </c>
      <c r="AQ287" s="361">
        <f ca="1">master_Daily!FH263</f>
        <v>6.0888</v>
      </c>
      <c r="AR287" s="237">
        <f ca="1">master_Daily!FP263</f>
        <v>1</v>
      </c>
      <c r="AS287" s="361">
        <f>master_Daily!FR263</f>
        <v>0</v>
      </c>
      <c r="AT287" s="273">
        <f t="shared" si="94"/>
        <v>0</v>
      </c>
    </row>
    <row r="288" spans="20:46" s="154" customFormat="1" ht="15" hidden="1" customHeight="1" outlineLevel="1">
      <c r="T288" s="155"/>
      <c r="U288" s="156"/>
      <c r="W288" s="45"/>
      <c r="X288" s="507" t="s">
        <v>231</v>
      </c>
      <c r="Y288" s="240" t="s">
        <v>44</v>
      </c>
      <c r="Z288" s="240"/>
      <c r="AA288" s="368">
        <f>master_Daily!$AA270</f>
        <v>0.03</v>
      </c>
      <c r="AB288" s="353">
        <f>master_Daily!$AK270</f>
        <v>0</v>
      </c>
      <c r="AC288" s="357">
        <f>master_Daily!AU270</f>
        <v>0.01</v>
      </c>
      <c r="AD288" s="357">
        <f>master_Daily!BE270</f>
        <v>1.6E-2</v>
      </c>
      <c r="AE288" s="357">
        <f>master_Daily!BO270</f>
        <v>1.9599999999999999E-2</v>
      </c>
      <c r="AF288" s="357">
        <f>master_Daily!BY270</f>
        <v>2.46E-2</v>
      </c>
      <c r="AG288" s="357">
        <f>master_Daily!CI270</f>
        <v>0</v>
      </c>
      <c r="AH288" s="357">
        <f>master_Daily!CS270</f>
        <v>0</v>
      </c>
      <c r="AI288" s="357">
        <f>master_Daily!DC270</f>
        <v>0</v>
      </c>
      <c r="AJ288" s="357">
        <f>master_Daily!DM270</f>
        <v>0</v>
      </c>
      <c r="AK288" s="357">
        <f>master_Daily!DW270</f>
        <v>0</v>
      </c>
      <c r="AL288" s="357">
        <f>master_Daily!EG270</f>
        <v>0</v>
      </c>
      <c r="AM288" s="357">
        <f>master_Daily!EQ270</f>
        <v>0</v>
      </c>
      <c r="AN288" s="357">
        <f>master_Daily!ES270</f>
        <v>0</v>
      </c>
      <c r="AO288" s="358">
        <f>master_Daily!EZ270</f>
        <v>2.46E-2</v>
      </c>
      <c r="AP288" s="266">
        <f>master_Daily!FQ270</f>
        <v>0</v>
      </c>
      <c r="AQ288" s="369">
        <f ca="1">master_Daily!FH270</f>
        <v>0.1002</v>
      </c>
      <c r="AR288" s="269">
        <f ca="1">master_Daily!FP270</f>
        <v>6.2023373279191836E-3</v>
      </c>
      <c r="AS288" s="358">
        <f>master_Daily!FR270</f>
        <v>0</v>
      </c>
      <c r="AT288" s="266">
        <f t="shared" si="94"/>
        <v>0</v>
      </c>
    </row>
    <row r="289" spans="20:46" s="154" customFormat="1" ht="15" hidden="1" customHeight="1" outlineLevel="1">
      <c r="T289" s="155"/>
      <c r="U289" s="156"/>
      <c r="W289" s="45"/>
      <c r="X289" s="507" t="s">
        <v>231</v>
      </c>
      <c r="Y289" s="240" t="s">
        <v>45</v>
      </c>
      <c r="Z289" s="240"/>
      <c r="AA289" s="368">
        <f>master_Daily!$AA271</f>
        <v>2.4E-2</v>
      </c>
      <c r="AB289" s="353">
        <f>master_Daily!$AK271</f>
        <v>0.01</v>
      </c>
      <c r="AC289" s="357">
        <f>master_Daily!AU271</f>
        <v>0.02</v>
      </c>
      <c r="AD289" s="357">
        <f>master_Daily!BE271</f>
        <v>0.03</v>
      </c>
      <c r="AE289" s="357">
        <f>master_Daily!BO271</f>
        <v>0</v>
      </c>
      <c r="AF289" s="357">
        <f>master_Daily!BY271</f>
        <v>1E-3</v>
      </c>
      <c r="AG289" s="357">
        <f>master_Daily!CI271</f>
        <v>0</v>
      </c>
      <c r="AH289" s="357">
        <f>master_Daily!CS271</f>
        <v>0</v>
      </c>
      <c r="AI289" s="357">
        <f>master_Daily!DC271</f>
        <v>0</v>
      </c>
      <c r="AJ289" s="357">
        <f>master_Daily!DM271</f>
        <v>0</v>
      </c>
      <c r="AK289" s="357">
        <f>master_Daily!DW271</f>
        <v>0</v>
      </c>
      <c r="AL289" s="357">
        <f>master_Daily!EG271</f>
        <v>0</v>
      </c>
      <c r="AM289" s="357">
        <f>master_Daily!EQ271</f>
        <v>0</v>
      </c>
      <c r="AN289" s="357">
        <f>master_Daily!ES271</f>
        <v>0</v>
      </c>
      <c r="AO289" s="358">
        <f>master_Daily!EZ271</f>
        <v>1E-3</v>
      </c>
      <c r="AP289" s="266">
        <f>master_Daily!FQ271</f>
        <v>0</v>
      </c>
      <c r="AQ289" s="369">
        <f ca="1">master_Daily!FH271</f>
        <v>8.5000000000000006E-2</v>
      </c>
      <c r="AR289" s="269">
        <f ca="1">master_Daily!FP271</f>
        <v>5.2614638011290486E-3</v>
      </c>
      <c r="AS289" s="358">
        <f>master_Daily!FR271</f>
        <v>0</v>
      </c>
      <c r="AT289" s="266">
        <f t="shared" si="94"/>
        <v>0</v>
      </c>
    </row>
    <row r="290" spans="20:46" s="154" customFormat="1" ht="15" hidden="1" customHeight="1" outlineLevel="1">
      <c r="T290" s="155"/>
      <c r="U290" s="156"/>
      <c r="W290" s="45"/>
      <c r="X290" s="507" t="s">
        <v>231</v>
      </c>
      <c r="Y290" s="240" t="s">
        <v>46</v>
      </c>
      <c r="Z290" s="240"/>
      <c r="AA290" s="368">
        <f>master_Daily!$AA272</f>
        <v>0.79800000000000004</v>
      </c>
      <c r="AB290" s="353">
        <f>master_Daily!$AK272</f>
        <v>0.86399999999999999</v>
      </c>
      <c r="AC290" s="357">
        <f>master_Daily!AU272</f>
        <v>0.44</v>
      </c>
      <c r="AD290" s="357">
        <f>master_Daily!BE272</f>
        <v>0.81</v>
      </c>
      <c r="AE290" s="357">
        <f>master_Daily!BO272</f>
        <v>1.18</v>
      </c>
      <c r="AF290" s="357">
        <f>master_Daily!BY272</f>
        <v>0.27</v>
      </c>
      <c r="AG290" s="357">
        <f>master_Daily!CI272</f>
        <v>0</v>
      </c>
      <c r="AH290" s="357">
        <f>master_Daily!CS272</f>
        <v>0</v>
      </c>
      <c r="AI290" s="357">
        <f>master_Daily!DC272</f>
        <v>0</v>
      </c>
      <c r="AJ290" s="357">
        <f>master_Daily!DM272</f>
        <v>0</v>
      </c>
      <c r="AK290" s="357">
        <f>master_Daily!DW272</f>
        <v>0</v>
      </c>
      <c r="AL290" s="357">
        <f>master_Daily!EG272</f>
        <v>0</v>
      </c>
      <c r="AM290" s="357">
        <f>master_Daily!EQ272</f>
        <v>0</v>
      </c>
      <c r="AN290" s="357">
        <f>master_Daily!ES272</f>
        <v>0</v>
      </c>
      <c r="AO290" s="358">
        <f>master_Daily!EZ272</f>
        <v>0.27</v>
      </c>
      <c r="AP290" s="266">
        <f>master_Daily!FQ272</f>
        <v>0</v>
      </c>
      <c r="AQ290" s="369">
        <f ca="1">master_Daily!FH272</f>
        <v>4.3620000000000001</v>
      </c>
      <c r="AR290" s="269">
        <f ca="1">master_Daily!FP272</f>
        <v>0.27000594235911657</v>
      </c>
      <c r="AS290" s="358">
        <f>master_Daily!FR272</f>
        <v>0</v>
      </c>
      <c r="AT290" s="266">
        <f t="shared" si="94"/>
        <v>0</v>
      </c>
    </row>
    <row r="291" spans="20:46" s="154" customFormat="1" ht="15" hidden="1" customHeight="1" outlineLevel="1">
      <c r="T291" s="155"/>
      <c r="U291" s="156"/>
      <c r="W291" s="45"/>
      <c r="X291" s="507" t="s">
        <v>231</v>
      </c>
      <c r="Y291" s="240" t="s">
        <v>47</v>
      </c>
      <c r="Z291" s="240"/>
      <c r="AA291" s="368">
        <f>master_Daily!$AA273</f>
        <v>2.2000000000000002</v>
      </c>
      <c r="AB291" s="353">
        <f>master_Daily!$AK273</f>
        <v>2.37</v>
      </c>
      <c r="AC291" s="357">
        <f>master_Daily!AU273</f>
        <v>2.327</v>
      </c>
      <c r="AD291" s="357">
        <f>master_Daily!BE273</f>
        <v>1.976</v>
      </c>
      <c r="AE291" s="357">
        <f>master_Daily!BO273</f>
        <v>1.298</v>
      </c>
      <c r="AF291" s="357">
        <f>master_Daily!BY273</f>
        <v>1.01</v>
      </c>
      <c r="AG291" s="357">
        <f>master_Daily!CI273</f>
        <v>0</v>
      </c>
      <c r="AH291" s="357">
        <f>master_Daily!CS273</f>
        <v>0</v>
      </c>
      <c r="AI291" s="357">
        <f>master_Daily!DC273</f>
        <v>0</v>
      </c>
      <c r="AJ291" s="357">
        <f>master_Daily!DM273</f>
        <v>0</v>
      </c>
      <c r="AK291" s="357">
        <f>master_Daily!DW273</f>
        <v>0</v>
      </c>
      <c r="AL291" s="357">
        <f>master_Daily!EG273</f>
        <v>0</v>
      </c>
      <c r="AM291" s="357">
        <f>master_Daily!EQ273</f>
        <v>0</v>
      </c>
      <c r="AN291" s="357">
        <f>master_Daily!ES273</f>
        <v>0</v>
      </c>
      <c r="AO291" s="358">
        <f>master_Daily!EZ273</f>
        <v>1.01</v>
      </c>
      <c r="AP291" s="266">
        <f>master_Daily!FQ273</f>
        <v>0</v>
      </c>
      <c r="AQ291" s="369">
        <f ca="1">master_Daily!FH273</f>
        <v>11.181000000000001</v>
      </c>
      <c r="AR291" s="269">
        <f ca="1">master_Daily!FP273</f>
        <v>0.69209913835792813</v>
      </c>
      <c r="AS291" s="358">
        <f>master_Daily!FR273</f>
        <v>0</v>
      </c>
      <c r="AT291" s="266">
        <f t="shared" si="94"/>
        <v>0</v>
      </c>
    </row>
    <row r="292" spans="20:46" s="154" customFormat="1" ht="14.45" hidden="1" customHeight="1" outlineLevel="1">
      <c r="T292" s="155"/>
      <c r="U292" s="156"/>
      <c r="W292" s="45"/>
      <c r="X292" s="507" t="s">
        <v>231</v>
      </c>
      <c r="Y292" s="240" t="s">
        <v>61</v>
      </c>
      <c r="Z292" s="240"/>
      <c r="AA292" s="368">
        <f>master_Daily!$AA274</f>
        <v>0</v>
      </c>
      <c r="AB292" s="353">
        <f>master_Daily!$AK274</f>
        <v>0.06</v>
      </c>
      <c r="AC292" s="357">
        <f>master_Daily!AU274</f>
        <v>0.10299999999999999</v>
      </c>
      <c r="AD292" s="357">
        <f>master_Daily!BE274</f>
        <v>7.0000000000000007E-2</v>
      </c>
      <c r="AE292" s="357">
        <f>master_Daily!BO274</f>
        <v>0.114</v>
      </c>
      <c r="AF292" s="357">
        <f>master_Daily!BY274</f>
        <v>0.08</v>
      </c>
      <c r="AG292" s="357">
        <f>master_Daily!CI274</f>
        <v>0</v>
      </c>
      <c r="AH292" s="357">
        <f>master_Daily!CS274</f>
        <v>0</v>
      </c>
      <c r="AI292" s="357">
        <f>master_Daily!DC274</f>
        <v>0</v>
      </c>
      <c r="AJ292" s="357">
        <f>master_Daily!DM274</f>
        <v>0</v>
      </c>
      <c r="AK292" s="357">
        <f>master_Daily!DW274</f>
        <v>0</v>
      </c>
      <c r="AL292" s="357">
        <f>master_Daily!EG274</f>
        <v>0</v>
      </c>
      <c r="AM292" s="357">
        <f>master_Daily!EQ274</f>
        <v>0</v>
      </c>
      <c r="AN292" s="357">
        <f>master_Daily!ES274</f>
        <v>0</v>
      </c>
      <c r="AO292" s="358">
        <f>master_Daily!EZ274</f>
        <v>0.08</v>
      </c>
      <c r="AP292" s="266">
        <f>master_Daily!FQ274</f>
        <v>0</v>
      </c>
      <c r="AQ292" s="369">
        <f ca="1">master_Daily!FH274</f>
        <v>0.42699999999999999</v>
      </c>
      <c r="AR292" s="269">
        <f ca="1">master_Daily!FP274</f>
        <v>2.6431118153907099E-2</v>
      </c>
      <c r="AS292" s="358">
        <f>master_Daily!FR274</f>
        <v>0</v>
      </c>
      <c r="AT292" s="266">
        <f t="shared" ref="AT292:AT310" si="95">IFERROR(AS292/AM292,0)</f>
        <v>0</v>
      </c>
    </row>
    <row r="293" spans="20:46" s="154" customFormat="1" ht="17.100000000000001" customHeight="1" collapsed="1">
      <c r="T293" s="155"/>
      <c r="U293" s="156"/>
      <c r="W293" s="45" t="s">
        <v>232</v>
      </c>
      <c r="X293" s="508" t="s">
        <v>233</v>
      </c>
      <c r="Y293" s="286"/>
      <c r="Z293" s="286"/>
      <c r="AA293" s="363">
        <f>master_Daily!$AA275</f>
        <v>3.0520000000000005</v>
      </c>
      <c r="AB293" s="363">
        <f>master_Daily!$AK275</f>
        <v>3.3040000000000003</v>
      </c>
      <c r="AC293" s="363">
        <f>master_Daily!AU275</f>
        <v>2.9</v>
      </c>
      <c r="AD293" s="363">
        <f>master_Daily!BE275</f>
        <v>2.9019999999999997</v>
      </c>
      <c r="AE293" s="363">
        <f>master_Daily!BO275</f>
        <v>2.6116000000000001</v>
      </c>
      <c r="AF293" s="363">
        <f>master_Daily!BY275</f>
        <v>1.3856000000000002</v>
      </c>
      <c r="AG293" s="363">
        <f>master_Daily!CI275</f>
        <v>0</v>
      </c>
      <c r="AH293" s="363">
        <f>master_Daily!CS275</f>
        <v>0</v>
      </c>
      <c r="AI293" s="363">
        <f>master_Daily!DC275</f>
        <v>0</v>
      </c>
      <c r="AJ293" s="363">
        <f>master_Daily!DM275</f>
        <v>0</v>
      </c>
      <c r="AK293" s="363">
        <f>master_Daily!DW275</f>
        <v>0</v>
      </c>
      <c r="AL293" s="363">
        <f>master_Daily!EG275</f>
        <v>0</v>
      </c>
      <c r="AM293" s="363">
        <f>master_Daily!EQ275</f>
        <v>2.98</v>
      </c>
      <c r="AN293" s="363">
        <f>master_Daily!ES275</f>
        <v>0</v>
      </c>
      <c r="AO293" s="363">
        <f>master_Daily!EZ275</f>
        <v>1.3856000000000002</v>
      </c>
      <c r="AP293" s="291">
        <f>master_Daily!FQ275</f>
        <v>0.4649664429530202</v>
      </c>
      <c r="AQ293" s="363">
        <f ca="1">master_Daily!FH275</f>
        <v>16.155200000000001</v>
      </c>
      <c r="AR293" s="290">
        <f ca="1">master_Daily!FP275</f>
        <v>1</v>
      </c>
      <c r="AS293" s="363">
        <f>master_Daily!FR275</f>
        <v>0</v>
      </c>
      <c r="AT293" s="291">
        <f t="shared" si="95"/>
        <v>0</v>
      </c>
    </row>
    <row r="294" spans="20:46" s="154" customFormat="1" ht="14.45" hidden="1" customHeight="1" outlineLevel="1">
      <c r="T294" s="155"/>
      <c r="U294" s="156"/>
      <c r="W294" s="45"/>
      <c r="X294" s="509" t="s">
        <v>234</v>
      </c>
      <c r="Y294" s="287" t="s">
        <v>44</v>
      </c>
      <c r="Z294" s="287"/>
      <c r="AA294" s="370">
        <f>master_Daily!$AA276</f>
        <v>1.0999999999999999E-2</v>
      </c>
      <c r="AB294" s="371">
        <f>master_Daily!$AK276</f>
        <v>1.4999999999999999E-2</v>
      </c>
      <c r="AC294" s="363">
        <f>master_Daily!AU276</f>
        <v>1.4E-2</v>
      </c>
      <c r="AD294" s="363">
        <f>master_Daily!BE276</f>
        <v>1.7000000000000001E-2</v>
      </c>
      <c r="AE294" s="363">
        <f>master_Daily!BO276</f>
        <v>2E-3</v>
      </c>
      <c r="AF294" s="363">
        <f>master_Daily!BY276</f>
        <v>6.0000000000000001E-3</v>
      </c>
      <c r="AG294" s="363">
        <f>master_Daily!CI276</f>
        <v>0</v>
      </c>
      <c r="AH294" s="363">
        <f>master_Daily!CS276</f>
        <v>0</v>
      </c>
      <c r="AI294" s="363">
        <f>master_Daily!DC276</f>
        <v>0</v>
      </c>
      <c r="AJ294" s="363">
        <f>master_Daily!DM276</f>
        <v>0</v>
      </c>
      <c r="AK294" s="363">
        <f>master_Daily!DW276</f>
        <v>0</v>
      </c>
      <c r="AL294" s="363">
        <f>master_Daily!EG276</f>
        <v>0</v>
      </c>
      <c r="AM294" s="363">
        <f>master_Daily!EQ276</f>
        <v>0</v>
      </c>
      <c r="AN294" s="363">
        <f>master_Daily!ES276</f>
        <v>0</v>
      </c>
      <c r="AO294" s="364">
        <f>master_Daily!EZ276</f>
        <v>6.0000000000000001E-3</v>
      </c>
      <c r="AP294" s="293">
        <f>master_Daily!FQ276</f>
        <v>0</v>
      </c>
      <c r="AQ294" s="371">
        <f ca="1">master_Daily!FH276</f>
        <v>6.5000000000000002E-2</v>
      </c>
      <c r="AR294" s="292">
        <f ca="1">master_Daily!FP276</f>
        <v>5.1916932907348249E-3</v>
      </c>
      <c r="AS294" s="364">
        <f>master_Daily!FR276</f>
        <v>0</v>
      </c>
      <c r="AT294" s="293">
        <f t="shared" si="95"/>
        <v>0</v>
      </c>
    </row>
    <row r="295" spans="20:46" s="154" customFormat="1" ht="14.45" hidden="1" customHeight="1" outlineLevel="1">
      <c r="T295" s="155"/>
      <c r="U295" s="156"/>
      <c r="W295" s="45"/>
      <c r="X295" s="509" t="s">
        <v>234</v>
      </c>
      <c r="Y295" s="287" t="s">
        <v>45</v>
      </c>
      <c r="Z295" s="287"/>
      <c r="AA295" s="370">
        <f>master_Daily!$AA277</f>
        <v>3.7199999999999997E-2</v>
      </c>
      <c r="AB295" s="371">
        <f>master_Daily!$AK277</f>
        <v>4.4999999999999998E-2</v>
      </c>
      <c r="AC295" s="363">
        <f>master_Daily!AU277</f>
        <v>5.6000000000000001E-2</v>
      </c>
      <c r="AD295" s="363">
        <f>master_Daily!BE277</f>
        <v>2.3E-2</v>
      </c>
      <c r="AE295" s="363">
        <f>master_Daily!BO277</f>
        <v>8.0000000000000002E-3</v>
      </c>
      <c r="AF295" s="363">
        <f>master_Daily!BY277</f>
        <v>4.0000000000000001E-3</v>
      </c>
      <c r="AG295" s="363">
        <f>master_Daily!CI277</f>
        <v>0</v>
      </c>
      <c r="AH295" s="363">
        <f>master_Daily!CS277</f>
        <v>0</v>
      </c>
      <c r="AI295" s="363">
        <f>master_Daily!DC277</f>
        <v>0</v>
      </c>
      <c r="AJ295" s="363">
        <f>master_Daily!DM277</f>
        <v>0</v>
      </c>
      <c r="AK295" s="363">
        <f>master_Daily!DW277</f>
        <v>0</v>
      </c>
      <c r="AL295" s="363">
        <f>master_Daily!EG277</f>
        <v>0</v>
      </c>
      <c r="AM295" s="363">
        <f>master_Daily!EQ277</f>
        <v>0</v>
      </c>
      <c r="AN295" s="363">
        <f>master_Daily!ES277</f>
        <v>0</v>
      </c>
      <c r="AO295" s="364">
        <f>master_Daily!EZ277</f>
        <v>4.0000000000000001E-3</v>
      </c>
      <c r="AP295" s="293">
        <f>master_Daily!FQ277</f>
        <v>0</v>
      </c>
      <c r="AQ295" s="371">
        <f ca="1">master_Daily!FH277</f>
        <v>0.17319999999999999</v>
      </c>
      <c r="AR295" s="292">
        <f ca="1">master_Daily!FP277</f>
        <v>1.3833865814696486E-2</v>
      </c>
      <c r="AS295" s="364">
        <f>master_Daily!FR277</f>
        <v>0</v>
      </c>
      <c r="AT295" s="293">
        <f t="shared" si="95"/>
        <v>0</v>
      </c>
    </row>
    <row r="296" spans="20:46" s="154" customFormat="1" ht="14.45" hidden="1" customHeight="1" outlineLevel="1">
      <c r="T296" s="155"/>
      <c r="U296" s="156"/>
      <c r="W296" s="45"/>
      <c r="X296" s="509" t="s">
        <v>234</v>
      </c>
      <c r="Y296" s="287" t="s">
        <v>46</v>
      </c>
      <c r="Z296" s="287"/>
      <c r="AA296" s="370">
        <f>master_Daily!$AA278</f>
        <v>0.4904</v>
      </c>
      <c r="AB296" s="371">
        <f>master_Daily!$AK278</f>
        <v>0.67</v>
      </c>
      <c r="AC296" s="363">
        <f>master_Daily!AU278</f>
        <v>0.44</v>
      </c>
      <c r="AD296" s="363">
        <f>master_Daily!BE278</f>
        <v>0.63</v>
      </c>
      <c r="AE296" s="363">
        <f>master_Daily!BO278</f>
        <v>0.33</v>
      </c>
      <c r="AF296" s="363">
        <f>master_Daily!BY278</f>
        <v>0.21</v>
      </c>
      <c r="AG296" s="363">
        <f>master_Daily!CI278</f>
        <v>0</v>
      </c>
      <c r="AH296" s="363">
        <f>master_Daily!CS278</f>
        <v>0</v>
      </c>
      <c r="AI296" s="363">
        <f>master_Daily!DC278</f>
        <v>0</v>
      </c>
      <c r="AJ296" s="363">
        <f>master_Daily!DM278</f>
        <v>0</v>
      </c>
      <c r="AK296" s="363">
        <f>master_Daily!DW278</f>
        <v>0</v>
      </c>
      <c r="AL296" s="363">
        <f>master_Daily!EG278</f>
        <v>0</v>
      </c>
      <c r="AM296" s="363">
        <f>master_Daily!EQ278</f>
        <v>0</v>
      </c>
      <c r="AN296" s="363">
        <f>master_Daily!ES278</f>
        <v>0</v>
      </c>
      <c r="AO296" s="364">
        <f>master_Daily!EZ278</f>
        <v>0.21</v>
      </c>
      <c r="AP296" s="293">
        <f>master_Daily!FQ278</f>
        <v>0</v>
      </c>
      <c r="AQ296" s="371">
        <f ca="1">master_Daily!FH278</f>
        <v>2.7704</v>
      </c>
      <c r="AR296" s="292">
        <f ca="1">master_Daily!FP278</f>
        <v>0.22127795527156549</v>
      </c>
      <c r="AS296" s="364">
        <f>master_Daily!FR278</f>
        <v>0</v>
      </c>
      <c r="AT296" s="293">
        <f t="shared" si="95"/>
        <v>0</v>
      </c>
    </row>
    <row r="297" spans="20:46" s="154" customFormat="1" ht="14.45" hidden="1" customHeight="1" outlineLevel="1">
      <c r="T297" s="155"/>
      <c r="U297" s="156"/>
      <c r="W297" s="45"/>
      <c r="X297" s="509" t="s">
        <v>234</v>
      </c>
      <c r="Y297" s="287" t="s">
        <v>47</v>
      </c>
      <c r="Z297" s="287"/>
      <c r="AA297" s="370">
        <f>master_Daily!$AA279</f>
        <v>1.7314000000000001</v>
      </c>
      <c r="AB297" s="371">
        <f>master_Daily!$AK279</f>
        <v>1.81</v>
      </c>
      <c r="AC297" s="363">
        <f>master_Daily!AU279</f>
        <v>2.09</v>
      </c>
      <c r="AD297" s="363">
        <f>master_Daily!BE279</f>
        <v>1.86</v>
      </c>
      <c r="AE297" s="363">
        <f>master_Daily!BO279</f>
        <v>1.01</v>
      </c>
      <c r="AF297" s="363">
        <f>master_Daily!BY279</f>
        <v>0.53</v>
      </c>
      <c r="AG297" s="363">
        <f>master_Daily!CI279</f>
        <v>0</v>
      </c>
      <c r="AH297" s="363">
        <f>master_Daily!CS279</f>
        <v>0</v>
      </c>
      <c r="AI297" s="363">
        <f>master_Daily!DC279</f>
        <v>0</v>
      </c>
      <c r="AJ297" s="363">
        <f>master_Daily!DM279</f>
        <v>0</v>
      </c>
      <c r="AK297" s="363">
        <f>master_Daily!DW279</f>
        <v>0</v>
      </c>
      <c r="AL297" s="363">
        <f>master_Daily!EG279</f>
        <v>0</v>
      </c>
      <c r="AM297" s="363">
        <f>master_Daily!EQ279</f>
        <v>0</v>
      </c>
      <c r="AN297" s="363">
        <f>master_Daily!ES279</f>
        <v>0</v>
      </c>
      <c r="AO297" s="364">
        <f>master_Daily!EZ279</f>
        <v>0.53</v>
      </c>
      <c r="AP297" s="293">
        <f>master_Daily!FQ279</f>
        <v>0</v>
      </c>
      <c r="AQ297" s="371">
        <f ca="1">master_Daily!FH279</f>
        <v>9.0313999999999997</v>
      </c>
      <c r="AR297" s="292">
        <f ca="1">master_Daily!FP279</f>
        <v>0.72135782747603838</v>
      </c>
      <c r="AS297" s="364">
        <f>master_Daily!FR279</f>
        <v>0</v>
      </c>
      <c r="AT297" s="293">
        <f t="shared" si="95"/>
        <v>0</v>
      </c>
    </row>
    <row r="298" spans="20:46" s="154" customFormat="1" ht="15" hidden="1" customHeight="1" outlineLevel="1">
      <c r="T298" s="155"/>
      <c r="U298" s="156"/>
      <c r="W298" s="45"/>
      <c r="X298" s="509" t="s">
        <v>234</v>
      </c>
      <c r="Y298" s="240" t="s">
        <v>61</v>
      </c>
      <c r="Z298" s="240"/>
      <c r="AA298" s="370">
        <f>master_Daily!$AA280</f>
        <v>7.0000000000000007E-2</v>
      </c>
      <c r="AB298" s="371">
        <f>master_Daily!$AK280</f>
        <v>0.06</v>
      </c>
      <c r="AC298" s="363">
        <f>master_Daily!AU280</f>
        <v>0.16</v>
      </c>
      <c r="AD298" s="363">
        <f>master_Daily!BE280</f>
        <v>0.11</v>
      </c>
      <c r="AE298" s="363">
        <f>master_Daily!BO280</f>
        <v>0.05</v>
      </c>
      <c r="AF298" s="363">
        <f>master_Daily!BY280</f>
        <v>0.03</v>
      </c>
      <c r="AG298" s="363">
        <f>master_Daily!CI280</f>
        <v>0</v>
      </c>
      <c r="AH298" s="363">
        <f>master_Daily!CS280</f>
        <v>0</v>
      </c>
      <c r="AI298" s="363">
        <f>master_Daily!DC280</f>
        <v>0</v>
      </c>
      <c r="AJ298" s="363">
        <f>master_Daily!DM280</f>
        <v>0</v>
      </c>
      <c r="AK298" s="363">
        <f>master_Daily!DW280</f>
        <v>0</v>
      </c>
      <c r="AL298" s="363">
        <f>master_Daily!EG280</f>
        <v>0</v>
      </c>
      <c r="AM298" s="363">
        <f>master_Daily!EQ280</f>
        <v>0</v>
      </c>
      <c r="AN298" s="363">
        <f>master_Daily!ES280</f>
        <v>0</v>
      </c>
      <c r="AO298" s="364">
        <f>master_Daily!EZ280</f>
        <v>0.03</v>
      </c>
      <c r="AP298" s="293">
        <f>master_Daily!FQ280</f>
        <v>0</v>
      </c>
      <c r="AQ298" s="371">
        <f ca="1">master_Daily!FH280</f>
        <v>0.48</v>
      </c>
      <c r="AR298" s="292">
        <f ca="1">master_Daily!FP280</f>
        <v>3.8338658146964855E-2</v>
      </c>
      <c r="AS298" s="364">
        <f>master_Daily!FR280</f>
        <v>0</v>
      </c>
      <c r="AT298" s="293">
        <f t="shared" si="95"/>
        <v>0</v>
      </c>
    </row>
    <row r="299" spans="20:46" s="154" customFormat="1" ht="15" customHeight="1" collapsed="1">
      <c r="T299" s="155"/>
      <c r="U299" s="156"/>
      <c r="W299" s="45" t="s">
        <v>235</v>
      </c>
      <c r="X299" s="508" t="s">
        <v>236</v>
      </c>
      <c r="Y299" s="286"/>
      <c r="Z299" s="286"/>
      <c r="AA299" s="363">
        <f>master_Daily!$AA281</f>
        <v>2.34</v>
      </c>
      <c r="AB299" s="363">
        <f>master_Daily!$AK281</f>
        <v>2.6</v>
      </c>
      <c r="AC299" s="363">
        <f>master_Daily!AU281</f>
        <v>2.76</v>
      </c>
      <c r="AD299" s="363">
        <f>master_Daily!BE281</f>
        <v>2.64</v>
      </c>
      <c r="AE299" s="363">
        <f>master_Daily!BO281</f>
        <v>1.4000000000000001</v>
      </c>
      <c r="AF299" s="363">
        <f>master_Daily!BY281</f>
        <v>0.78</v>
      </c>
      <c r="AG299" s="363">
        <f>master_Daily!CI281</f>
        <v>0</v>
      </c>
      <c r="AH299" s="363">
        <f>master_Daily!CS281</f>
        <v>0</v>
      </c>
      <c r="AI299" s="363">
        <f>master_Daily!DC281</f>
        <v>0</v>
      </c>
      <c r="AJ299" s="363">
        <f>master_Daily!DM281</f>
        <v>0</v>
      </c>
      <c r="AK299" s="363">
        <f>master_Daily!DW281</f>
        <v>0</v>
      </c>
      <c r="AL299" s="363">
        <f>master_Daily!EG281</f>
        <v>0</v>
      </c>
      <c r="AM299" s="363">
        <f>master_Daily!EQ281</f>
        <v>1.78</v>
      </c>
      <c r="AN299" s="363">
        <f>master_Daily!ES281</f>
        <v>0</v>
      </c>
      <c r="AO299" s="363">
        <f>master_Daily!EZ281</f>
        <v>0.78</v>
      </c>
      <c r="AP299" s="291">
        <f>master_Daily!FQ281</f>
        <v>0.43820224719101125</v>
      </c>
      <c r="AQ299" s="363">
        <f ca="1">master_Daily!FH281</f>
        <v>12.52</v>
      </c>
      <c r="AR299" s="290">
        <f ca="1">master_Daily!FP281</f>
        <v>1</v>
      </c>
      <c r="AS299" s="363">
        <f>master_Daily!FR281</f>
        <v>0</v>
      </c>
      <c r="AT299" s="291">
        <f t="shared" si="95"/>
        <v>0</v>
      </c>
    </row>
    <row r="300" spans="20:46" s="154" customFormat="1" ht="15" hidden="1" customHeight="1" outlineLevel="1">
      <c r="T300" s="155"/>
      <c r="U300" s="156"/>
      <c r="W300" s="45"/>
      <c r="X300" s="510" t="s">
        <v>237</v>
      </c>
      <c r="Y300" s="253" t="s">
        <v>44</v>
      </c>
      <c r="Z300" s="253"/>
      <c r="AA300" s="368">
        <f>master_Daily!$AA282</f>
        <v>2.3800000000000002E-2</v>
      </c>
      <c r="AB300" s="353">
        <f>master_Daily!$AK282</f>
        <v>3.3000000000000002E-2</v>
      </c>
      <c r="AC300" s="357">
        <f>master_Daily!AU282</f>
        <v>0.02</v>
      </c>
      <c r="AD300" s="357">
        <f>master_Daily!BE282</f>
        <v>3.7600000000000001E-2</v>
      </c>
      <c r="AE300" s="357">
        <f>master_Daily!BO282</f>
        <v>1.7000000000000001E-2</v>
      </c>
      <c r="AF300" s="357">
        <f>master_Daily!BY282</f>
        <v>2.5000000000000001E-2</v>
      </c>
      <c r="AG300" s="357">
        <f>master_Daily!CI282</f>
        <v>0</v>
      </c>
      <c r="AH300" s="357">
        <f>master_Daily!CS282</f>
        <v>0</v>
      </c>
      <c r="AI300" s="357">
        <f>master_Daily!DC282</f>
        <v>0</v>
      </c>
      <c r="AJ300" s="357">
        <f>master_Daily!DM282</f>
        <v>0</v>
      </c>
      <c r="AK300" s="357">
        <f>master_Daily!DW282</f>
        <v>0</v>
      </c>
      <c r="AL300" s="357">
        <f>master_Daily!EG282</f>
        <v>0</v>
      </c>
      <c r="AM300" s="357">
        <f>master_Daily!EQ282</f>
        <v>0</v>
      </c>
      <c r="AN300" s="357">
        <f>master_Daily!ES282</f>
        <v>0</v>
      </c>
      <c r="AO300" s="358">
        <f>master_Daily!EZ282</f>
        <v>2.5000000000000001E-2</v>
      </c>
      <c r="AP300" s="266">
        <f>master_Daily!FQ282</f>
        <v>0</v>
      </c>
      <c r="AQ300" s="369">
        <f ca="1">master_Daily!FH282</f>
        <v>0.15640000000000001</v>
      </c>
      <c r="AR300" s="269">
        <f ca="1">master_Daily!FP282</f>
        <v>6.9449378330372997E-3</v>
      </c>
      <c r="AS300" s="358">
        <f>master_Daily!FR282</f>
        <v>0</v>
      </c>
      <c r="AT300" s="291">
        <f t="shared" si="95"/>
        <v>0</v>
      </c>
    </row>
    <row r="301" spans="20:46" s="154" customFormat="1" ht="15" hidden="1" customHeight="1" outlineLevel="1">
      <c r="T301" s="155"/>
      <c r="U301" s="156"/>
      <c r="W301" s="45"/>
      <c r="X301" s="510" t="s">
        <v>237</v>
      </c>
      <c r="Y301" s="253" t="s">
        <v>45</v>
      </c>
      <c r="Z301" s="253"/>
      <c r="AA301" s="368">
        <f>master_Daily!$AA283</f>
        <v>6.1999999999999998E-3</v>
      </c>
      <c r="AB301" s="353">
        <f>master_Daily!$AK283</f>
        <v>4.0000000000000001E-3</v>
      </c>
      <c r="AC301" s="357">
        <f>master_Daily!AU283</f>
        <v>7.0000000000000001E-3</v>
      </c>
      <c r="AD301" s="357">
        <f>master_Daily!BE283</f>
        <v>4.0000000000000001E-3</v>
      </c>
      <c r="AE301" s="357">
        <f>master_Daily!BO283</f>
        <v>5.0000000000000001E-3</v>
      </c>
      <c r="AF301" s="357">
        <f>master_Daily!BY283</f>
        <v>0</v>
      </c>
      <c r="AG301" s="357">
        <f>master_Daily!CI283</f>
        <v>0</v>
      </c>
      <c r="AH301" s="357">
        <f>master_Daily!CS283</f>
        <v>0</v>
      </c>
      <c r="AI301" s="357">
        <f>master_Daily!DC283</f>
        <v>0</v>
      </c>
      <c r="AJ301" s="357">
        <f>master_Daily!DM283</f>
        <v>0</v>
      </c>
      <c r="AK301" s="357">
        <f>master_Daily!DW283</f>
        <v>0</v>
      </c>
      <c r="AL301" s="357">
        <f>master_Daily!EG283</f>
        <v>0</v>
      </c>
      <c r="AM301" s="357">
        <f>master_Daily!EQ283</f>
        <v>0</v>
      </c>
      <c r="AN301" s="357">
        <f>master_Daily!ES283</f>
        <v>0</v>
      </c>
      <c r="AO301" s="358">
        <f>master_Daily!EZ283</f>
        <v>0</v>
      </c>
      <c r="AP301" s="266">
        <f>master_Daily!FQ283</f>
        <v>0</v>
      </c>
      <c r="AQ301" s="369">
        <f ca="1">master_Daily!FH283</f>
        <v>2.6200000000000001E-2</v>
      </c>
      <c r="AR301" s="269">
        <f ca="1">master_Daily!FP283</f>
        <v>1.1634103019538186E-3</v>
      </c>
      <c r="AS301" s="358">
        <f>master_Daily!FR283</f>
        <v>0</v>
      </c>
      <c r="AT301" s="291">
        <f t="shared" si="95"/>
        <v>0</v>
      </c>
    </row>
    <row r="302" spans="20:46" s="154" customFormat="1" ht="15" hidden="1" customHeight="1" outlineLevel="1">
      <c r="T302" s="155"/>
      <c r="U302" s="156"/>
      <c r="W302" s="45"/>
      <c r="X302" s="510" t="s">
        <v>237</v>
      </c>
      <c r="Y302" s="253" t="s">
        <v>46</v>
      </c>
      <c r="Z302" s="253"/>
      <c r="AA302" s="368">
        <f>master_Daily!$AA284</f>
        <v>1.7118</v>
      </c>
      <c r="AB302" s="353">
        <f>master_Daily!$AK284</f>
        <v>1.74</v>
      </c>
      <c r="AC302" s="357">
        <f>master_Daily!AU284</f>
        <v>1.4</v>
      </c>
      <c r="AD302" s="357">
        <f>master_Daily!BE284</f>
        <v>1.613</v>
      </c>
      <c r="AE302" s="357">
        <f>master_Daily!BO284</f>
        <v>1.5629999999999999</v>
      </c>
      <c r="AF302" s="357">
        <f>master_Daily!BY284</f>
        <v>0.42499999999999999</v>
      </c>
      <c r="AG302" s="357">
        <f>master_Daily!CI284</f>
        <v>0</v>
      </c>
      <c r="AH302" s="357">
        <f>master_Daily!CS284</f>
        <v>0</v>
      </c>
      <c r="AI302" s="357">
        <f>master_Daily!DC284</f>
        <v>0</v>
      </c>
      <c r="AJ302" s="357">
        <f>master_Daily!DM284</f>
        <v>0</v>
      </c>
      <c r="AK302" s="357">
        <f>master_Daily!DW284</f>
        <v>0</v>
      </c>
      <c r="AL302" s="357">
        <f>master_Daily!EG284</f>
        <v>0</v>
      </c>
      <c r="AM302" s="357">
        <f>master_Daily!EQ284</f>
        <v>0</v>
      </c>
      <c r="AN302" s="357">
        <f>master_Daily!ES284</f>
        <v>0</v>
      </c>
      <c r="AO302" s="358">
        <f>master_Daily!EZ284</f>
        <v>0.42499999999999999</v>
      </c>
      <c r="AP302" s="266">
        <f>master_Daily!FQ284</f>
        <v>0</v>
      </c>
      <c r="AQ302" s="369">
        <f ca="1">master_Daily!FH284</f>
        <v>8.4528000000000016</v>
      </c>
      <c r="AR302" s="269">
        <f ca="1">master_Daily!FP284</f>
        <v>0.37534635879218475</v>
      </c>
      <c r="AS302" s="358">
        <f>master_Daily!FR284</f>
        <v>0</v>
      </c>
      <c r="AT302" s="291">
        <f t="shared" si="95"/>
        <v>0</v>
      </c>
    </row>
    <row r="303" spans="20:46" s="154" customFormat="1" ht="15" hidden="1" customHeight="1" outlineLevel="1">
      <c r="T303" s="155"/>
      <c r="U303" s="156"/>
      <c r="W303" s="45"/>
      <c r="X303" s="510" t="s">
        <v>237</v>
      </c>
      <c r="Y303" s="253" t="s">
        <v>47</v>
      </c>
      <c r="Z303" s="253"/>
      <c r="AA303" s="368">
        <f>master_Daily!$AA285</f>
        <v>1.7612000000000001</v>
      </c>
      <c r="AB303" s="353">
        <f>master_Daily!$AK285</f>
        <v>1.6659999999999999</v>
      </c>
      <c r="AC303" s="357">
        <f>master_Daily!AU285</f>
        <v>1.873</v>
      </c>
      <c r="AD303" s="357">
        <f>master_Daily!BE285</f>
        <v>1.5773999999999999</v>
      </c>
      <c r="AE303" s="357">
        <f>master_Daily!BO285</f>
        <v>1.67</v>
      </c>
      <c r="AF303" s="357">
        <f>master_Daily!BY285</f>
        <v>0.88</v>
      </c>
      <c r="AG303" s="357">
        <f>master_Daily!CI285</f>
        <v>0</v>
      </c>
      <c r="AH303" s="357">
        <f>master_Daily!CS285</f>
        <v>0</v>
      </c>
      <c r="AI303" s="357">
        <f>master_Daily!DC285</f>
        <v>0</v>
      </c>
      <c r="AJ303" s="357">
        <f>master_Daily!DM285</f>
        <v>0</v>
      </c>
      <c r="AK303" s="357">
        <f>master_Daily!DW285</f>
        <v>0</v>
      </c>
      <c r="AL303" s="357">
        <f>master_Daily!EG285</f>
        <v>0</v>
      </c>
      <c r="AM303" s="357">
        <f>master_Daily!EQ285</f>
        <v>0</v>
      </c>
      <c r="AN303" s="357">
        <f>master_Daily!ES285</f>
        <v>0</v>
      </c>
      <c r="AO303" s="358">
        <f>master_Daily!EZ285</f>
        <v>0.88</v>
      </c>
      <c r="AP303" s="266">
        <f>master_Daily!FQ285</f>
        <v>0</v>
      </c>
      <c r="AQ303" s="369">
        <f ca="1">master_Daily!FH285</f>
        <v>9.4276</v>
      </c>
      <c r="AR303" s="269">
        <f ca="1">master_Daily!FP285</f>
        <v>0.41863232682060386</v>
      </c>
      <c r="AS303" s="358">
        <f>master_Daily!FR285</f>
        <v>0</v>
      </c>
      <c r="AT303" s="291">
        <f t="shared" si="95"/>
        <v>0</v>
      </c>
    </row>
    <row r="304" spans="20:46" s="154" customFormat="1" ht="14.45" hidden="1" customHeight="1" outlineLevel="1">
      <c r="T304" s="155"/>
      <c r="U304" s="156"/>
      <c r="W304" s="45"/>
      <c r="X304" s="510" t="s">
        <v>237</v>
      </c>
      <c r="Y304" s="253" t="s">
        <v>61</v>
      </c>
      <c r="Z304" s="253"/>
      <c r="AA304" s="368">
        <f>master_Daily!$AA286</f>
        <v>0.69699999999999995</v>
      </c>
      <c r="AB304" s="353">
        <f>master_Daily!$AK286</f>
        <v>0.52700000000000002</v>
      </c>
      <c r="AC304" s="357">
        <f>master_Daily!AU286</f>
        <v>0.86</v>
      </c>
      <c r="AD304" s="357">
        <f>master_Daily!BE286</f>
        <v>0.90800000000000003</v>
      </c>
      <c r="AE304" s="357">
        <f>master_Daily!BO286</f>
        <v>0.84499999999999997</v>
      </c>
      <c r="AF304" s="357">
        <f>master_Daily!BY286</f>
        <v>0.62</v>
      </c>
      <c r="AG304" s="357">
        <f>master_Daily!CI286</f>
        <v>0</v>
      </c>
      <c r="AH304" s="357">
        <f>master_Daily!CS286</f>
        <v>0</v>
      </c>
      <c r="AI304" s="357">
        <f>master_Daily!DC286</f>
        <v>0</v>
      </c>
      <c r="AJ304" s="357">
        <f>master_Daily!DM286</f>
        <v>0</v>
      </c>
      <c r="AK304" s="357">
        <f>master_Daily!DW286</f>
        <v>0</v>
      </c>
      <c r="AL304" s="357">
        <f>master_Daily!EG286</f>
        <v>0</v>
      </c>
      <c r="AM304" s="357">
        <f>master_Daily!EQ286</f>
        <v>0</v>
      </c>
      <c r="AN304" s="357">
        <f>master_Daily!ES286</f>
        <v>0</v>
      </c>
      <c r="AO304" s="358">
        <f>master_Daily!EZ286</f>
        <v>0.62</v>
      </c>
      <c r="AP304" s="266">
        <f>master_Daily!FQ286</f>
        <v>0</v>
      </c>
      <c r="AQ304" s="369">
        <f ca="1">master_Daily!FH286</f>
        <v>4.4569999999999999</v>
      </c>
      <c r="AR304" s="269">
        <f ca="1">master_Daily!FP286</f>
        <v>0.19791296625222021</v>
      </c>
      <c r="AS304" s="358">
        <f>master_Daily!FR286</f>
        <v>0</v>
      </c>
      <c r="AT304" s="291">
        <f t="shared" si="95"/>
        <v>0</v>
      </c>
    </row>
    <row r="305" spans="20:46" s="154" customFormat="1" ht="15" customHeight="1" collapsed="1">
      <c r="T305" s="155"/>
      <c r="U305" s="156"/>
      <c r="W305" s="45" t="s">
        <v>238</v>
      </c>
      <c r="X305" s="511" t="s">
        <v>239</v>
      </c>
      <c r="Y305" s="260"/>
      <c r="Z305" s="260"/>
      <c r="AA305" s="365">
        <f>master_Daily!$AA287</f>
        <v>4.2</v>
      </c>
      <c r="AB305" s="365">
        <f>master_Daily!$AK287</f>
        <v>3.9699999999999998</v>
      </c>
      <c r="AC305" s="365">
        <f>master_Daily!AU287</f>
        <v>4.16</v>
      </c>
      <c r="AD305" s="365">
        <f>master_Daily!BE287</f>
        <v>4.1400000000000006</v>
      </c>
      <c r="AE305" s="365">
        <f>master_Daily!BO287</f>
        <v>4.0999999999999996</v>
      </c>
      <c r="AF305" s="365">
        <f>master_Daily!BY287</f>
        <v>1.9500000000000002</v>
      </c>
      <c r="AG305" s="365">
        <f>master_Daily!CI287</f>
        <v>0</v>
      </c>
      <c r="AH305" s="365">
        <f>master_Daily!CS287</f>
        <v>0</v>
      </c>
      <c r="AI305" s="365">
        <f>master_Daily!DC287</f>
        <v>0</v>
      </c>
      <c r="AJ305" s="365">
        <f>master_Daily!DM287</f>
        <v>0</v>
      </c>
      <c r="AK305" s="365">
        <f>master_Daily!DW287</f>
        <v>0</v>
      </c>
      <c r="AL305" s="365">
        <f>master_Daily!EG287</f>
        <v>0</v>
      </c>
      <c r="AM305" s="365">
        <f>master_Daily!EQ287</f>
        <v>3.9</v>
      </c>
      <c r="AN305" s="365">
        <f>master_Daily!ES287</f>
        <v>0</v>
      </c>
      <c r="AO305" s="365">
        <f>master_Daily!EZ287</f>
        <v>1.9500000000000002</v>
      </c>
      <c r="AP305" s="276">
        <f>master_Daily!FQ287</f>
        <v>0.50000000000000011</v>
      </c>
      <c r="AQ305" s="365">
        <f ca="1">master_Daily!FH287</f>
        <v>22.520000000000003</v>
      </c>
      <c r="AR305" s="263">
        <f ca="1">master_Daily!FP287</f>
        <v>1</v>
      </c>
      <c r="AS305" s="365">
        <f>master_Daily!FR287</f>
        <v>0</v>
      </c>
      <c r="AT305" s="291">
        <f t="shared" si="95"/>
        <v>0</v>
      </c>
    </row>
    <row r="306" spans="20:46" ht="14.45" hidden="1" customHeight="1" outlineLevel="1">
      <c r="W306" s="45"/>
      <c r="X306" s="512" t="s">
        <v>240</v>
      </c>
      <c r="Y306" s="157" t="s">
        <v>44</v>
      </c>
      <c r="Z306" s="157"/>
      <c r="AA306" s="379">
        <f>master_Daily!$AA318</f>
        <v>5.1999999999999998E-3</v>
      </c>
      <c r="AB306" s="380">
        <f>master_Daily!$AK318</f>
        <v>1.4E-3</v>
      </c>
      <c r="AC306" s="377">
        <f>master_Daily!AU318</f>
        <v>0.01</v>
      </c>
      <c r="AD306" s="377">
        <f>master_Daily!BE318</f>
        <v>1.4E-3</v>
      </c>
      <c r="AE306" s="377">
        <f>master_Daily!BO318</f>
        <v>1.14E-2</v>
      </c>
      <c r="AF306" s="377">
        <f>master_Daily!BY318</f>
        <v>8.0000000000000004E-4</v>
      </c>
      <c r="AG306" s="377">
        <f>master_Daily!CI318</f>
        <v>0</v>
      </c>
      <c r="AH306" s="377">
        <f>master_Daily!CS318</f>
        <v>0</v>
      </c>
      <c r="AI306" s="377">
        <f>master_Daily!DC318</f>
        <v>0</v>
      </c>
      <c r="AJ306" s="377">
        <f>master_Daily!DM318</f>
        <v>0</v>
      </c>
      <c r="AK306" s="377">
        <f>master_Daily!DW318</f>
        <v>0</v>
      </c>
      <c r="AL306" s="377">
        <f>master_Daily!EG318</f>
        <v>0</v>
      </c>
      <c r="AM306" s="366">
        <f>master_Daily!EQ318</f>
        <v>0</v>
      </c>
      <c r="AN306" s="378">
        <f>master_Daily!ES318</f>
        <v>0</v>
      </c>
      <c r="AO306" s="367">
        <f>master_Daily!EZ318</f>
        <v>8.0000000000000004E-4</v>
      </c>
      <c r="AP306" s="280">
        <f>master_Daily!FQ318</f>
        <v>0</v>
      </c>
      <c r="AQ306" s="381">
        <f ca="1">master_Daily!FH318</f>
        <v>3.0199999999999998E-2</v>
      </c>
      <c r="AR306" s="279">
        <f ca="1">master_Daily!FP318</f>
        <v>2.4413904607922389E-3</v>
      </c>
      <c r="AS306" s="367">
        <f>master_Daily!FR318</f>
        <v>0</v>
      </c>
      <c r="AT306" s="291">
        <f t="shared" si="95"/>
        <v>0</v>
      </c>
    </row>
    <row r="307" spans="20:46" ht="14.45" hidden="1" customHeight="1" outlineLevel="1">
      <c r="W307" s="45"/>
      <c r="X307" s="512" t="s">
        <v>240</v>
      </c>
      <c r="Y307" s="157" t="s">
        <v>45</v>
      </c>
      <c r="Z307" s="157"/>
      <c r="AA307" s="379">
        <f>master_Daily!$AA319</f>
        <v>0</v>
      </c>
      <c r="AB307" s="380">
        <f>master_Daily!$AK319</f>
        <v>0</v>
      </c>
      <c r="AC307" s="377">
        <f>master_Daily!AU319</f>
        <v>0</v>
      </c>
      <c r="AD307" s="377">
        <f>master_Daily!BE319</f>
        <v>0</v>
      </c>
      <c r="AE307" s="377">
        <f>master_Daily!BO319</f>
        <v>0</v>
      </c>
      <c r="AF307" s="377">
        <f>master_Daily!BY319</f>
        <v>0</v>
      </c>
      <c r="AG307" s="377">
        <f>master_Daily!CI319</f>
        <v>0</v>
      </c>
      <c r="AH307" s="377">
        <f>master_Daily!CS319</f>
        <v>0</v>
      </c>
      <c r="AI307" s="377">
        <f>master_Daily!DC319</f>
        <v>0</v>
      </c>
      <c r="AJ307" s="377">
        <f>master_Daily!DM319</f>
        <v>0</v>
      </c>
      <c r="AK307" s="377">
        <f>master_Daily!DW319</f>
        <v>0</v>
      </c>
      <c r="AL307" s="377">
        <f>master_Daily!EG319</f>
        <v>0</v>
      </c>
      <c r="AM307" s="381">
        <f>master_Daily!EQ319</f>
        <v>0</v>
      </c>
      <c r="AN307" s="378">
        <f>master_Daily!ES319</f>
        <v>0</v>
      </c>
      <c r="AO307" s="367">
        <f>master_Daily!EZ319</f>
        <v>0</v>
      </c>
      <c r="AP307" s="280">
        <f>master_Daily!FQ319</f>
        <v>0</v>
      </c>
      <c r="AQ307" s="381">
        <f ca="1">master_Daily!FH319</f>
        <v>0</v>
      </c>
      <c r="AR307" s="279">
        <f ca="1">master_Daily!FP319</f>
        <v>0</v>
      </c>
      <c r="AS307" s="367">
        <f>master_Daily!FR319</f>
        <v>0</v>
      </c>
      <c r="AT307" s="291">
        <f t="shared" si="95"/>
        <v>0</v>
      </c>
    </row>
    <row r="308" spans="20:46" ht="14.45" hidden="1" customHeight="1" outlineLevel="1">
      <c r="W308" s="45"/>
      <c r="X308" s="512" t="s">
        <v>240</v>
      </c>
      <c r="Y308" s="157" t="s">
        <v>46</v>
      </c>
      <c r="Z308" s="157"/>
      <c r="AA308" s="379">
        <f>master_Daily!$AA320</f>
        <v>0.62819999999999998</v>
      </c>
      <c r="AB308" s="380">
        <f>master_Daily!$AK320</f>
        <v>0.69499999999999995</v>
      </c>
      <c r="AC308" s="377">
        <f>master_Daily!AU320</f>
        <v>0.45500000000000002</v>
      </c>
      <c r="AD308" s="377">
        <f>master_Daily!BE320</f>
        <v>0.39500000000000002</v>
      </c>
      <c r="AE308" s="377">
        <f>master_Daily!BO320</f>
        <v>0.48859999999999998</v>
      </c>
      <c r="AF308" s="377">
        <f>master_Daily!BY320</f>
        <v>0.185</v>
      </c>
      <c r="AG308" s="377">
        <f>master_Daily!CI320</f>
        <v>0</v>
      </c>
      <c r="AH308" s="377">
        <f>master_Daily!CS320</f>
        <v>0</v>
      </c>
      <c r="AI308" s="377">
        <f>master_Daily!DC320</f>
        <v>0</v>
      </c>
      <c r="AJ308" s="377">
        <f>master_Daily!DM320</f>
        <v>0</v>
      </c>
      <c r="AK308" s="377">
        <f>master_Daily!DW320</f>
        <v>0</v>
      </c>
      <c r="AL308" s="377">
        <f>master_Daily!EG320</f>
        <v>0</v>
      </c>
      <c r="AM308" s="381">
        <f>master_Daily!EQ320</f>
        <v>0</v>
      </c>
      <c r="AN308" s="378">
        <f>master_Daily!ES320</f>
        <v>0</v>
      </c>
      <c r="AO308" s="367">
        <f>master_Daily!EZ320</f>
        <v>0.185</v>
      </c>
      <c r="AP308" s="280">
        <f>master_Daily!FQ320</f>
        <v>0</v>
      </c>
      <c r="AQ308" s="381">
        <f ca="1">master_Daily!FH320</f>
        <v>2.8468</v>
      </c>
      <c r="AR308" s="279">
        <f ca="1">master_Daily!FP320</f>
        <v>0.23013742926434921</v>
      </c>
      <c r="AS308" s="367">
        <f>master_Daily!FR320</f>
        <v>0</v>
      </c>
      <c r="AT308" s="291">
        <f t="shared" si="95"/>
        <v>0</v>
      </c>
    </row>
    <row r="309" spans="20:46" ht="14.45" hidden="1" customHeight="1" outlineLevel="1">
      <c r="W309" s="45"/>
      <c r="X309" s="512" t="s">
        <v>240</v>
      </c>
      <c r="Y309" s="157" t="s">
        <v>47</v>
      </c>
      <c r="Z309" s="157"/>
      <c r="AA309" s="379">
        <f>master_Daily!$AA321</f>
        <v>1.0706</v>
      </c>
      <c r="AB309" s="380">
        <f>master_Daily!$AK321</f>
        <v>0.94359999999999999</v>
      </c>
      <c r="AC309" s="377">
        <f>master_Daily!AU321</f>
        <v>0.84</v>
      </c>
      <c r="AD309" s="377">
        <f>master_Daily!BE321</f>
        <v>1.0085999999999999</v>
      </c>
      <c r="AE309" s="377">
        <f>master_Daily!BO321</f>
        <v>1.1466000000000001</v>
      </c>
      <c r="AF309" s="377">
        <f>master_Daily!BY321</f>
        <v>0.49919999999999998</v>
      </c>
      <c r="AG309" s="377">
        <f>master_Daily!CI321</f>
        <v>0</v>
      </c>
      <c r="AH309" s="377">
        <f>master_Daily!CS321</f>
        <v>0</v>
      </c>
      <c r="AI309" s="377">
        <f>master_Daily!DC321</f>
        <v>0</v>
      </c>
      <c r="AJ309" s="377">
        <f>master_Daily!DM321</f>
        <v>0</v>
      </c>
      <c r="AK309" s="377">
        <f>master_Daily!DW321</f>
        <v>0</v>
      </c>
      <c r="AL309" s="377">
        <f>master_Daily!EG321</f>
        <v>0</v>
      </c>
      <c r="AM309" s="381">
        <f>master_Daily!EQ321</f>
        <v>0</v>
      </c>
      <c r="AN309" s="378">
        <f>master_Daily!ES321</f>
        <v>0</v>
      </c>
      <c r="AO309" s="367">
        <f>master_Daily!EZ321</f>
        <v>0.49919999999999998</v>
      </c>
      <c r="AP309" s="280">
        <f>master_Daily!FQ321</f>
        <v>0</v>
      </c>
      <c r="AQ309" s="381">
        <f ca="1">master_Daily!FH321</f>
        <v>5.5085999999999995</v>
      </c>
      <c r="AR309" s="279">
        <f ca="1">master_Daily!FP321</f>
        <v>0.44531932093775256</v>
      </c>
      <c r="AS309" s="367">
        <f>master_Daily!FR321</f>
        <v>0</v>
      </c>
      <c r="AT309" s="291">
        <f t="shared" si="95"/>
        <v>0</v>
      </c>
    </row>
    <row r="310" spans="20:46" ht="14.45" hidden="1" customHeight="1" outlineLevel="1">
      <c r="W310" s="45"/>
      <c r="X310" s="512" t="s">
        <v>240</v>
      </c>
      <c r="Y310" s="157" t="s">
        <v>61</v>
      </c>
      <c r="Z310" s="157"/>
      <c r="AA310" s="379">
        <f>master_Daily!$AA322</f>
        <v>0.59599999999999997</v>
      </c>
      <c r="AB310" s="380">
        <f>master_Daily!$AK322</f>
        <v>0.46</v>
      </c>
      <c r="AC310" s="377">
        <f>master_Daily!AU322</f>
        <v>0.78</v>
      </c>
      <c r="AD310" s="377">
        <f>master_Daily!BE322</f>
        <v>0.86499999999999999</v>
      </c>
      <c r="AE310" s="377">
        <f>master_Daily!BO322</f>
        <v>0.85340000000000005</v>
      </c>
      <c r="AF310" s="377">
        <f>master_Daily!BY322</f>
        <v>0.43</v>
      </c>
      <c r="AG310" s="377">
        <f>master_Daily!CI322</f>
        <v>0</v>
      </c>
      <c r="AH310" s="377">
        <f>master_Daily!CS322</f>
        <v>0</v>
      </c>
      <c r="AI310" s="377">
        <f>master_Daily!DC322</f>
        <v>0</v>
      </c>
      <c r="AJ310" s="377">
        <f>master_Daily!DM322</f>
        <v>0</v>
      </c>
      <c r="AK310" s="377">
        <f>master_Daily!DW322</f>
        <v>0</v>
      </c>
      <c r="AL310" s="377">
        <f>master_Daily!EG322</f>
        <v>0</v>
      </c>
      <c r="AM310" s="381">
        <f>master_Daily!EQ322</f>
        <v>0</v>
      </c>
      <c r="AN310" s="378">
        <f>master_Daily!ES322</f>
        <v>0</v>
      </c>
      <c r="AO310" s="367">
        <f>master_Daily!EZ322</f>
        <v>0.43</v>
      </c>
      <c r="AP310" s="280">
        <f>master_Daily!FQ322</f>
        <v>0</v>
      </c>
      <c r="AQ310" s="381">
        <f ca="1">master_Daily!FH322</f>
        <v>3.9844000000000004</v>
      </c>
      <c r="AR310" s="279">
        <f ca="1">master_Daily!FP322</f>
        <v>0.32210185933710589</v>
      </c>
      <c r="AS310" s="367">
        <f>master_Daily!FR322</f>
        <v>0</v>
      </c>
      <c r="AT310" s="291">
        <f t="shared" si="95"/>
        <v>0</v>
      </c>
    </row>
    <row r="311" spans="20:46" collapsed="1">
      <c r="W311" s="45" t="s">
        <v>241</v>
      </c>
      <c r="X311" s="513" t="s">
        <v>242</v>
      </c>
      <c r="Y311" s="260"/>
      <c r="Z311" s="260"/>
      <c r="AA311" s="377">
        <f>master_Daily!$AA323</f>
        <v>2.2999999999999998</v>
      </c>
      <c r="AB311" s="377">
        <f>master_Daily!$AK323</f>
        <v>2.1</v>
      </c>
      <c r="AC311" s="377">
        <f>master_Daily!AU323</f>
        <v>2.085</v>
      </c>
      <c r="AD311" s="377">
        <f>master_Daily!BE323</f>
        <v>2.27</v>
      </c>
      <c r="AE311" s="377">
        <f>master_Daily!BO323</f>
        <v>2.5</v>
      </c>
      <c r="AF311" s="377">
        <f>master_Daily!BY323</f>
        <v>1.115</v>
      </c>
      <c r="AG311" s="377">
        <f>master_Daily!CI323</f>
        <v>0</v>
      </c>
      <c r="AH311" s="377">
        <f>master_Daily!CS323</f>
        <v>0</v>
      </c>
      <c r="AI311" s="377">
        <f>master_Daily!DC323</f>
        <v>0</v>
      </c>
      <c r="AJ311" s="377">
        <f>master_Daily!DM323</f>
        <v>0</v>
      </c>
      <c r="AK311" s="377">
        <f>master_Daily!DW323</f>
        <v>0</v>
      </c>
      <c r="AL311" s="377">
        <f>master_Daily!EG323</f>
        <v>0</v>
      </c>
      <c r="AM311" s="366">
        <f>master_Daily!EQ323</f>
        <v>2.48</v>
      </c>
      <c r="AN311" s="378">
        <f>master_Daily!ES323</f>
        <v>0</v>
      </c>
      <c r="AO311" s="366">
        <f>master_Daily!EZ323</f>
        <v>1.115</v>
      </c>
      <c r="AP311" s="278">
        <f>master_Daily!FQ323</f>
        <v>0.44959677419354838</v>
      </c>
      <c r="AQ311" s="366">
        <f ca="1">master_Daily!FH323</f>
        <v>12.370000000000001</v>
      </c>
      <c r="AR311" s="277">
        <f ca="1">master_Daily!FP323</f>
        <v>1</v>
      </c>
      <c r="AS311" s="366">
        <f>master_Daily!FR323</f>
        <v>0</v>
      </c>
      <c r="AT311" s="291">
        <f>IFERROR(AS311/AM311,0)</f>
        <v>0</v>
      </c>
    </row>
    <row r="312" spans="20:46">
      <c r="X312" s="15"/>
      <c r="Y312" s="53"/>
      <c r="Z312" s="53"/>
    </row>
    <row r="313" spans="20:46">
      <c r="X313" s="176"/>
      <c r="Y313" s="53"/>
    </row>
    <row r="314" spans="20:46">
      <c r="X314" s="176"/>
    </row>
  </sheetData>
  <mergeCells count="541">
    <mergeCell ref="S170:T170"/>
    <mergeCell ref="U170:V170"/>
    <mergeCell ref="AO163:AO164"/>
    <mergeCell ref="AP163:AP164"/>
    <mergeCell ref="B165:B169"/>
    <mergeCell ref="C165:D165"/>
    <mergeCell ref="S165:T165"/>
    <mergeCell ref="U165:V165"/>
    <mergeCell ref="Y165:Z165"/>
    <mergeCell ref="C166:D166"/>
    <mergeCell ref="S166:T166"/>
    <mergeCell ref="U166:V166"/>
    <mergeCell ref="Y166:Z166"/>
    <mergeCell ref="C167:D167"/>
    <mergeCell ref="S167:T167"/>
    <mergeCell ref="U167:V167"/>
    <mergeCell ref="Y167:Z167"/>
    <mergeCell ref="C168:D168"/>
    <mergeCell ref="S168:T168"/>
    <mergeCell ref="U168:V168"/>
    <mergeCell ref="Y168:Z168"/>
    <mergeCell ref="C169:D169"/>
    <mergeCell ref="S169:T169"/>
    <mergeCell ref="U169:V169"/>
    <mergeCell ref="Y169:Z169"/>
    <mergeCell ref="AF163:AF164"/>
    <mergeCell ref="AG163:AG164"/>
    <mergeCell ref="AH163:AH164"/>
    <mergeCell ref="AI163:AI164"/>
    <mergeCell ref="AJ163:AJ164"/>
    <mergeCell ref="AK163:AK164"/>
    <mergeCell ref="AL163:AL164"/>
    <mergeCell ref="AM163:AM164"/>
    <mergeCell ref="AN163:AN164"/>
    <mergeCell ref="S163:T164"/>
    <mergeCell ref="U163:V164"/>
    <mergeCell ref="X163:X164"/>
    <mergeCell ref="Y163:Z164"/>
    <mergeCell ref="AA163:AA164"/>
    <mergeCell ref="AB163:AB164"/>
    <mergeCell ref="AC163:AC164"/>
    <mergeCell ref="AD163:AD164"/>
    <mergeCell ref="AE163:AE164"/>
    <mergeCell ref="C45:D45"/>
    <mergeCell ref="C46:D46"/>
    <mergeCell ref="C47:D47"/>
    <mergeCell ref="C48:D48"/>
    <mergeCell ref="C49:D49"/>
    <mergeCell ref="C50:D50"/>
    <mergeCell ref="B162:V162"/>
    <mergeCell ref="X162:AP162"/>
    <mergeCell ref="B163:B164"/>
    <mergeCell ref="C163:D164"/>
    <mergeCell ref="E163:E164"/>
    <mergeCell ref="F163:F164"/>
    <mergeCell ref="G163:G164"/>
    <mergeCell ref="H163:H164"/>
    <mergeCell ref="I163:I164"/>
    <mergeCell ref="J163:J164"/>
    <mergeCell ref="K163:K164"/>
    <mergeCell ref="L163:L164"/>
    <mergeCell ref="M163:M164"/>
    <mergeCell ref="N163:N164"/>
    <mergeCell ref="O163:O164"/>
    <mergeCell ref="P163:P164"/>
    <mergeCell ref="Q163:Q164"/>
    <mergeCell ref="R163:R164"/>
    <mergeCell ref="B42:V42"/>
    <mergeCell ref="B43:B44"/>
    <mergeCell ref="C43:D44"/>
    <mergeCell ref="E43:E44"/>
    <mergeCell ref="F43:F44"/>
    <mergeCell ref="G43:G44"/>
    <mergeCell ref="H43:H44"/>
    <mergeCell ref="I43:I44"/>
    <mergeCell ref="J43:J44"/>
    <mergeCell ref="K43:K44"/>
    <mergeCell ref="L43:L44"/>
    <mergeCell ref="M43:M44"/>
    <mergeCell ref="N43:N44"/>
    <mergeCell ref="O43:O44"/>
    <mergeCell ref="P43:P44"/>
    <mergeCell ref="Q43:Q44"/>
    <mergeCell ref="R43:R44"/>
    <mergeCell ref="S43:S44"/>
    <mergeCell ref="T43:T44"/>
    <mergeCell ref="U43:U44"/>
    <mergeCell ref="V43:V44"/>
    <mergeCell ref="C147:D147"/>
    <mergeCell ref="C148:D148"/>
    <mergeCell ref="C149:D149"/>
    <mergeCell ref="D175:D176"/>
    <mergeCell ref="X142:AP142"/>
    <mergeCell ref="Y143:Z144"/>
    <mergeCell ref="Y145:Z145"/>
    <mergeCell ref="Y146:Z146"/>
    <mergeCell ref="Y147:Z147"/>
    <mergeCell ref="Y148:Z148"/>
    <mergeCell ref="Y149:Z149"/>
    <mergeCell ref="X173:AT173"/>
    <mergeCell ref="Z175:Z176"/>
    <mergeCell ref="AM143:AM144"/>
    <mergeCell ref="AN143:AN144"/>
    <mergeCell ref="AO143:AO144"/>
    <mergeCell ref="AP143:AP144"/>
    <mergeCell ref="AD143:AD144"/>
    <mergeCell ref="AE143:AE144"/>
    <mergeCell ref="AF143:AF144"/>
    <mergeCell ref="AG143:AG144"/>
    <mergeCell ref="AH143:AH144"/>
    <mergeCell ref="AI143:AI144"/>
    <mergeCell ref="AJ143:AJ144"/>
    <mergeCell ref="S145:T145"/>
    <mergeCell ref="U145:V145"/>
    <mergeCell ref="S146:T146"/>
    <mergeCell ref="U146:V146"/>
    <mergeCell ref="S147:T147"/>
    <mergeCell ref="U147:V147"/>
    <mergeCell ref="S148:T148"/>
    <mergeCell ref="U148:V148"/>
    <mergeCell ref="S149:T149"/>
    <mergeCell ref="U149:V149"/>
    <mergeCell ref="AK143:AK144"/>
    <mergeCell ref="AL143:AL144"/>
    <mergeCell ref="B143:B144"/>
    <mergeCell ref="E143:E144"/>
    <mergeCell ref="F143:F144"/>
    <mergeCell ref="G143:G144"/>
    <mergeCell ref="H143:H144"/>
    <mergeCell ref="I143:I144"/>
    <mergeCell ref="J143:J144"/>
    <mergeCell ref="K143:K144"/>
    <mergeCell ref="L143:L144"/>
    <mergeCell ref="M143:M144"/>
    <mergeCell ref="N143:N144"/>
    <mergeCell ref="O143:O144"/>
    <mergeCell ref="P143:P144"/>
    <mergeCell ref="Q143:Q144"/>
    <mergeCell ref="R143:R144"/>
    <mergeCell ref="S143:T144"/>
    <mergeCell ref="U143:V144"/>
    <mergeCell ref="X143:X144"/>
    <mergeCell ref="AA143:AA144"/>
    <mergeCell ref="AB143:AB144"/>
    <mergeCell ref="AC143:AC144"/>
    <mergeCell ref="I133:I134"/>
    <mergeCell ref="J133:J134"/>
    <mergeCell ref="K133:K134"/>
    <mergeCell ref="L133:L134"/>
    <mergeCell ref="M133:M134"/>
    <mergeCell ref="N133:N134"/>
    <mergeCell ref="O133:O134"/>
    <mergeCell ref="P133:P134"/>
    <mergeCell ref="C20:D20"/>
    <mergeCell ref="F133:F134"/>
    <mergeCell ref="G133:G134"/>
    <mergeCell ref="H133:H134"/>
    <mergeCell ref="H123:H124"/>
    <mergeCell ref="D101:D102"/>
    <mergeCell ref="E101:E102"/>
    <mergeCell ref="C123:C124"/>
    <mergeCell ref="P123:P124"/>
    <mergeCell ref="D54:D55"/>
    <mergeCell ref="G54:G55"/>
    <mergeCell ref="H54:H55"/>
    <mergeCell ref="I54:I55"/>
    <mergeCell ref="J54:J55"/>
    <mergeCell ref="K54:K55"/>
    <mergeCell ref="L54:L55"/>
    <mergeCell ref="S20:T20"/>
    <mergeCell ref="U20:V20"/>
    <mergeCell ref="AL133:AL134"/>
    <mergeCell ref="AM133:AM134"/>
    <mergeCell ref="AN133:AN134"/>
    <mergeCell ref="Q133:Q134"/>
    <mergeCell ref="R133:S134"/>
    <mergeCell ref="T133:U134"/>
    <mergeCell ref="W133:W134"/>
    <mergeCell ref="X133:X134"/>
    <mergeCell ref="Y133:Y134"/>
    <mergeCell ref="Z133:Z134"/>
    <mergeCell ref="AA133:AA134"/>
    <mergeCell ref="AB133:AB134"/>
    <mergeCell ref="AK133:AK134"/>
    <mergeCell ref="AF133:AF134"/>
    <mergeCell ref="AG133:AG134"/>
    <mergeCell ref="AH133:AH134"/>
    <mergeCell ref="AI133:AI134"/>
    <mergeCell ref="AJ133:AJ134"/>
    <mergeCell ref="R125:S125"/>
    <mergeCell ref="Q123:Q124"/>
    <mergeCell ref="R123:S124"/>
    <mergeCell ref="S101:S102"/>
    <mergeCell ref="C17:D17"/>
    <mergeCell ref="S17:T17"/>
    <mergeCell ref="U17:V17"/>
    <mergeCell ref="C18:D18"/>
    <mergeCell ref="S18:T18"/>
    <mergeCell ref="U18:V18"/>
    <mergeCell ref="C19:D19"/>
    <mergeCell ref="S19:T19"/>
    <mergeCell ref="U19:V19"/>
    <mergeCell ref="Q13:Q14"/>
    <mergeCell ref="R13:R14"/>
    <mergeCell ref="S13:T14"/>
    <mergeCell ref="U13:V14"/>
    <mergeCell ref="C15:D15"/>
    <mergeCell ref="S15:T15"/>
    <mergeCell ref="U15:V15"/>
    <mergeCell ref="C16:D16"/>
    <mergeCell ref="S16:T16"/>
    <mergeCell ref="U16:V16"/>
    <mergeCell ref="H13:H14"/>
    <mergeCell ref="I13:I14"/>
    <mergeCell ref="J13:J14"/>
    <mergeCell ref="K13:K14"/>
    <mergeCell ref="L13:L14"/>
    <mergeCell ref="M13:M14"/>
    <mergeCell ref="N13:N14"/>
    <mergeCell ref="O13:O14"/>
    <mergeCell ref="P13:P14"/>
    <mergeCell ref="P175:P176"/>
    <mergeCell ref="Q175:Q176"/>
    <mergeCell ref="R175:R176"/>
    <mergeCell ref="S175:S176"/>
    <mergeCell ref="U175:U176"/>
    <mergeCell ref="H175:H176"/>
    <mergeCell ref="R135:S135"/>
    <mergeCell ref="R136:S136"/>
    <mergeCell ref="R137:S137"/>
    <mergeCell ref="R138:S138"/>
    <mergeCell ref="T135:U135"/>
    <mergeCell ref="T136:U136"/>
    <mergeCell ref="T137:U137"/>
    <mergeCell ref="R140:S140"/>
    <mergeCell ref="T140:U140"/>
    <mergeCell ref="S150:T150"/>
    <mergeCell ref="U150:V150"/>
    <mergeCell ref="B173:U173"/>
    <mergeCell ref="B142:V142"/>
    <mergeCell ref="D174:P174"/>
    <mergeCell ref="C143:D144"/>
    <mergeCell ref="C145:D145"/>
    <mergeCell ref="C146:D146"/>
    <mergeCell ref="B145:B149"/>
    <mergeCell ref="B236:C236"/>
    <mergeCell ref="B218:C218"/>
    <mergeCell ref="B230:C230"/>
    <mergeCell ref="T138:U138"/>
    <mergeCell ref="N175:N176"/>
    <mergeCell ref="R129:S129"/>
    <mergeCell ref="O175:O176"/>
    <mergeCell ref="R139:S139"/>
    <mergeCell ref="T139:U139"/>
    <mergeCell ref="B224:C224"/>
    <mergeCell ref="T175:T176"/>
    <mergeCell ref="B206:C206"/>
    <mergeCell ref="B212:C212"/>
    <mergeCell ref="B200:C200"/>
    <mergeCell ref="I175:I176"/>
    <mergeCell ref="J175:J176"/>
    <mergeCell ref="B175:B176"/>
    <mergeCell ref="C175:C176"/>
    <mergeCell ref="K175:K176"/>
    <mergeCell ref="L175:L176"/>
    <mergeCell ref="E175:E176"/>
    <mergeCell ref="F175:F176"/>
    <mergeCell ref="G175:G176"/>
    <mergeCell ref="B135:B139"/>
    <mergeCell ref="B125:B129"/>
    <mergeCell ref="M101:M102"/>
    <mergeCell ref="N101:N102"/>
    <mergeCell ref="O101:O102"/>
    <mergeCell ref="O123:O124"/>
    <mergeCell ref="I101:I102"/>
    <mergeCell ref="J101:J102"/>
    <mergeCell ref="P101:P102"/>
    <mergeCell ref="P112:P113"/>
    <mergeCell ref="B122:U122"/>
    <mergeCell ref="C101:C102"/>
    <mergeCell ref="I114:K114"/>
    <mergeCell ref="F123:F124"/>
    <mergeCell ref="G123:G124"/>
    <mergeCell ref="R101:R102"/>
    <mergeCell ref="I115:K115"/>
    <mergeCell ref="B123:B124"/>
    <mergeCell ref="E123:E124"/>
    <mergeCell ref="B112:B113"/>
    <mergeCell ref="C112:C113"/>
    <mergeCell ref="D112:D113"/>
    <mergeCell ref="E112:E113"/>
    <mergeCell ref="F112:F113"/>
    <mergeCell ref="M112:M113"/>
    <mergeCell ref="R130:S130"/>
    <mergeCell ref="T130:U130"/>
    <mergeCell ref="R126:S126"/>
    <mergeCell ref="T126:U126"/>
    <mergeCell ref="R127:S127"/>
    <mergeCell ref="T127:U127"/>
    <mergeCell ref="R128:S128"/>
    <mergeCell ref="T128:U128"/>
    <mergeCell ref="I123:I124"/>
    <mergeCell ref="J123:J124"/>
    <mergeCell ref="T125:U125"/>
    <mergeCell ref="T123:U124"/>
    <mergeCell ref="O54:O55"/>
    <mergeCell ref="P54:P55"/>
    <mergeCell ref="M54:M55"/>
    <mergeCell ref="AD133:AD134"/>
    <mergeCell ref="AE133:AE134"/>
    <mergeCell ref="M175:M176"/>
    <mergeCell ref="D123:D124"/>
    <mergeCell ref="F101:F102"/>
    <mergeCell ref="H101:H102"/>
    <mergeCell ref="N112:N113"/>
    <mergeCell ref="O112:O113"/>
    <mergeCell ref="I112:K113"/>
    <mergeCell ref="I116:K116"/>
    <mergeCell ref="K123:K124"/>
    <mergeCell ref="L123:L124"/>
    <mergeCell ref="M123:M124"/>
    <mergeCell ref="N123:N124"/>
    <mergeCell ref="K101:K102"/>
    <mergeCell ref="B132:U132"/>
    <mergeCell ref="B133:B134"/>
    <mergeCell ref="C133:C134"/>
    <mergeCell ref="D133:D134"/>
    <mergeCell ref="E133:E134"/>
    <mergeCell ref="Y123:Y124"/>
    <mergeCell ref="B12:V12"/>
    <mergeCell ref="AS175:AT175"/>
    <mergeCell ref="T129:U129"/>
    <mergeCell ref="AC175:AC176"/>
    <mergeCell ref="AD175:AD176"/>
    <mergeCell ref="AB175:AB176"/>
    <mergeCell ref="AA175:AA176"/>
    <mergeCell ref="AL175:AL176"/>
    <mergeCell ref="AM175:AM176"/>
    <mergeCell ref="AK175:AK176"/>
    <mergeCell ref="AI175:AI176"/>
    <mergeCell ref="AJ175:AJ176"/>
    <mergeCell ref="AH175:AH176"/>
    <mergeCell ref="AN175:AR175"/>
    <mergeCell ref="V175:V176"/>
    <mergeCell ref="X175:X176"/>
    <mergeCell ref="Y175:Y176"/>
    <mergeCell ref="AE175:AE176"/>
    <mergeCell ref="AF175:AF176"/>
    <mergeCell ref="AG175:AG176"/>
    <mergeCell ref="W132:AN132"/>
    <mergeCell ref="AC133:AC134"/>
    <mergeCell ref="W123:W124"/>
    <mergeCell ref="X123:X124"/>
    <mergeCell ref="Z123:Z124"/>
    <mergeCell ref="AE123:AE124"/>
    <mergeCell ref="AF123:AF124"/>
    <mergeCell ref="W54:X54"/>
    <mergeCell ref="W122:AN122"/>
    <mergeCell ref="Y54:Z54"/>
    <mergeCell ref="AK123:AK124"/>
    <mergeCell ref="AL123:AL124"/>
    <mergeCell ref="AA123:AA124"/>
    <mergeCell ref="AB123:AB124"/>
    <mergeCell ref="AC123:AC124"/>
    <mergeCell ref="AG123:AG124"/>
    <mergeCell ref="AD123:AD124"/>
    <mergeCell ref="AM123:AM124"/>
    <mergeCell ref="AH123:AH124"/>
    <mergeCell ref="AI123:AI124"/>
    <mergeCell ref="AJ123:AJ124"/>
    <mergeCell ref="AN123:AN124"/>
    <mergeCell ref="AA54:AB54"/>
    <mergeCell ref="B1:V1"/>
    <mergeCell ref="C3:D4"/>
    <mergeCell ref="C5:D5"/>
    <mergeCell ref="C6:D6"/>
    <mergeCell ref="C7:D7"/>
    <mergeCell ref="C8:D8"/>
    <mergeCell ref="C9:D9"/>
    <mergeCell ref="C10:D10"/>
    <mergeCell ref="N3:N4"/>
    <mergeCell ref="O3:O4"/>
    <mergeCell ref="P3:P4"/>
    <mergeCell ref="Q3:Q4"/>
    <mergeCell ref="R3:R4"/>
    <mergeCell ref="U3:V4"/>
    <mergeCell ref="S3:T4"/>
    <mergeCell ref="K3:K4"/>
    <mergeCell ref="M3:M4"/>
    <mergeCell ref="L3:L4"/>
    <mergeCell ref="S5:T5"/>
    <mergeCell ref="S6:T6"/>
    <mergeCell ref="S7:T7"/>
    <mergeCell ref="S8:T8"/>
    <mergeCell ref="Q54:Q55"/>
    <mergeCell ref="B2:V2"/>
    <mergeCell ref="U5:V5"/>
    <mergeCell ref="U6:V6"/>
    <mergeCell ref="U7:V7"/>
    <mergeCell ref="U8:V8"/>
    <mergeCell ref="U9:V9"/>
    <mergeCell ref="S10:T10"/>
    <mergeCell ref="U10:V10"/>
    <mergeCell ref="E3:E4"/>
    <mergeCell ref="F3:F4"/>
    <mergeCell ref="G3:G4"/>
    <mergeCell ref="H3:H4"/>
    <mergeCell ref="I3:I4"/>
    <mergeCell ref="J3:J4"/>
    <mergeCell ref="S9:T9"/>
    <mergeCell ref="S23:S24"/>
    <mergeCell ref="T23:T24"/>
    <mergeCell ref="V23:V24"/>
    <mergeCell ref="F54:F55"/>
    <mergeCell ref="B3:B4"/>
    <mergeCell ref="B54:B55"/>
    <mergeCell ref="C54:C55"/>
    <mergeCell ref="E54:E55"/>
    <mergeCell ref="N54:N55"/>
    <mergeCell ref="R54:V54"/>
    <mergeCell ref="E53:P53"/>
    <mergeCell ref="T101:T102"/>
    <mergeCell ref="U101:U102"/>
    <mergeCell ref="B13:B14"/>
    <mergeCell ref="C13:D14"/>
    <mergeCell ref="E13:E14"/>
    <mergeCell ref="F13:F14"/>
    <mergeCell ref="G13:G14"/>
    <mergeCell ref="U23:U24"/>
    <mergeCell ref="C28:D28"/>
    <mergeCell ref="C29:D29"/>
    <mergeCell ref="C30:D30"/>
    <mergeCell ref="C25:D25"/>
    <mergeCell ref="C26:D26"/>
    <mergeCell ref="C27:D27"/>
    <mergeCell ref="B22:V22"/>
    <mergeCell ref="B23:B24"/>
    <mergeCell ref="C23:D24"/>
    <mergeCell ref="E23:E24"/>
    <mergeCell ref="F23:F24"/>
    <mergeCell ref="G23:G24"/>
    <mergeCell ref="H23:H24"/>
    <mergeCell ref="Y53:AB53"/>
    <mergeCell ref="I23:I24"/>
    <mergeCell ref="J23:J24"/>
    <mergeCell ref="K23:K24"/>
    <mergeCell ref="L23:L24"/>
    <mergeCell ref="M23:M24"/>
    <mergeCell ref="N23:N24"/>
    <mergeCell ref="O23:O24"/>
    <mergeCell ref="P23:P24"/>
    <mergeCell ref="R23:R24"/>
    <mergeCell ref="Q23:Q24"/>
    <mergeCell ref="B32:V32"/>
    <mergeCell ref="B33:B34"/>
    <mergeCell ref="C33:D34"/>
    <mergeCell ref="E33:E34"/>
    <mergeCell ref="F33:F34"/>
    <mergeCell ref="G33:G34"/>
    <mergeCell ref="H33:H34"/>
    <mergeCell ref="I33:I34"/>
    <mergeCell ref="J33:J34"/>
    <mergeCell ref="K33:K34"/>
    <mergeCell ref="L33:L34"/>
    <mergeCell ref="M33:M34"/>
    <mergeCell ref="N33:N34"/>
    <mergeCell ref="O33:O34"/>
    <mergeCell ref="P33:P34"/>
    <mergeCell ref="Q33:Q34"/>
    <mergeCell ref="R33:R34"/>
    <mergeCell ref="S33:S34"/>
    <mergeCell ref="T33:T34"/>
    <mergeCell ref="U33:U34"/>
    <mergeCell ref="V33:V34"/>
    <mergeCell ref="C35:D35"/>
    <mergeCell ref="C36:D36"/>
    <mergeCell ref="C37:D37"/>
    <mergeCell ref="C38:D38"/>
    <mergeCell ref="C39:D39"/>
    <mergeCell ref="C40:D40"/>
    <mergeCell ref="B152:V152"/>
    <mergeCell ref="X152:AP152"/>
    <mergeCell ref="B153:B154"/>
    <mergeCell ref="C153:D154"/>
    <mergeCell ref="E153:E154"/>
    <mergeCell ref="F153:F154"/>
    <mergeCell ref="G153:G154"/>
    <mergeCell ref="H153:H154"/>
    <mergeCell ref="I153:I154"/>
    <mergeCell ref="J153:J154"/>
    <mergeCell ref="K153:K154"/>
    <mergeCell ref="L153:L154"/>
    <mergeCell ref="M153:M154"/>
    <mergeCell ref="N153:N154"/>
    <mergeCell ref="O153:O154"/>
    <mergeCell ref="P153:P154"/>
    <mergeCell ref="Q153:Q154"/>
    <mergeCell ref="R153:R154"/>
    <mergeCell ref="S153:T154"/>
    <mergeCell ref="U153:V154"/>
    <mergeCell ref="X153:X154"/>
    <mergeCell ref="Y153:Z154"/>
    <mergeCell ref="AA153:AA154"/>
    <mergeCell ref="AB153:AB154"/>
    <mergeCell ref="AC153:AC154"/>
    <mergeCell ref="AD153:AD154"/>
    <mergeCell ref="AE153:AE154"/>
    <mergeCell ref="AF153:AF154"/>
    <mergeCell ref="AG153:AG154"/>
    <mergeCell ref="AH153:AH154"/>
    <mergeCell ref="AI153:AI154"/>
    <mergeCell ref="AJ153:AJ154"/>
    <mergeCell ref="AK153:AK154"/>
    <mergeCell ref="AL153:AL154"/>
    <mergeCell ref="AM153:AM154"/>
    <mergeCell ref="AN153:AN154"/>
    <mergeCell ref="AO153:AO154"/>
    <mergeCell ref="S160:T160"/>
    <mergeCell ref="U160:V160"/>
    <mergeCell ref="AP153:AP154"/>
    <mergeCell ref="B155:B159"/>
    <mergeCell ref="C155:D155"/>
    <mergeCell ref="S155:T155"/>
    <mergeCell ref="U155:V155"/>
    <mergeCell ref="Y155:Z155"/>
    <mergeCell ref="C156:D156"/>
    <mergeCell ref="S156:T156"/>
    <mergeCell ref="U156:V156"/>
    <mergeCell ref="Y156:Z156"/>
    <mergeCell ref="C157:D157"/>
    <mergeCell ref="S157:T157"/>
    <mergeCell ref="U157:V157"/>
    <mergeCell ref="Y157:Z157"/>
    <mergeCell ref="C158:D158"/>
    <mergeCell ref="S158:T158"/>
    <mergeCell ref="U158:V158"/>
    <mergeCell ref="Y158:Z158"/>
    <mergeCell ref="C159:D159"/>
    <mergeCell ref="S159:T159"/>
    <mergeCell ref="U159:V159"/>
    <mergeCell ref="Y159:Z159"/>
  </mergeCells>
  <phoneticPr fontId="59" type="noConversion"/>
  <conditionalFormatting sqref="AP177:AP198">
    <cfRule type="cellIs" dxfId="273" priority="72" operator="greaterThan">
      <formula>0.9</formula>
    </cfRule>
    <cfRule type="cellIs" dxfId="272" priority="73" operator="greaterThan">
      <formula>0.9</formula>
    </cfRule>
  </conditionalFormatting>
  <conditionalFormatting sqref="T63:T81">
    <cfRule type="cellIs" dxfId="271" priority="71" operator="greaterThan">
      <formula>0.9</formula>
    </cfRule>
  </conditionalFormatting>
  <conditionalFormatting sqref="AP207:AP210">
    <cfRule type="cellIs" dxfId="270" priority="70" operator="greaterThan">
      <formula>0.9</formula>
    </cfRule>
  </conditionalFormatting>
  <conditionalFormatting sqref="AP200:AP204 AP206:AP210 AP212:AP216 AP218:AP222 AP224:AP228 AP230 AP177:AP198">
    <cfRule type="cellIs" dxfId="269" priority="68" operator="greaterThan">
      <formula>0.9</formula>
    </cfRule>
  </conditionalFormatting>
  <conditionalFormatting sqref="T236 T177:T204">
    <cfRule type="cellIs" dxfId="268" priority="67" operator="greaterThan">
      <formula>0.9</formula>
    </cfRule>
  </conditionalFormatting>
  <conditionalFormatting sqref="AP199">
    <cfRule type="cellIs" dxfId="267" priority="65" operator="greaterThan">
      <formula>0.9</formula>
    </cfRule>
    <cfRule type="cellIs" dxfId="266" priority="66" operator="greaterThan">
      <formula>0.9</formula>
    </cfRule>
  </conditionalFormatting>
  <conditionalFormatting sqref="AP199">
    <cfRule type="cellIs" dxfId="265" priority="64" operator="greaterThan">
      <formula>0.9</formula>
    </cfRule>
  </conditionalFormatting>
  <conditionalFormatting sqref="AP205">
    <cfRule type="cellIs" dxfId="264" priority="60" operator="greaterThan">
      <formula>0.9</formula>
    </cfRule>
  </conditionalFormatting>
  <conditionalFormatting sqref="T205">
    <cfRule type="cellIs" dxfId="263" priority="62" operator="greaterThan">
      <formula>0.9</formula>
    </cfRule>
  </conditionalFormatting>
  <conditionalFormatting sqref="AP205">
    <cfRule type="cellIs" dxfId="262" priority="61" operator="greaterThan">
      <formula>0.9</formula>
    </cfRule>
  </conditionalFormatting>
  <conditionalFormatting sqref="AP211">
    <cfRule type="cellIs" dxfId="261" priority="58" operator="greaterThan">
      <formula>0.9</formula>
    </cfRule>
  </conditionalFormatting>
  <conditionalFormatting sqref="T217">
    <cfRule type="cellIs" dxfId="260" priority="59" operator="greaterThan">
      <formula>0.9</formula>
    </cfRule>
  </conditionalFormatting>
  <conditionalFormatting sqref="T211">
    <cfRule type="cellIs" dxfId="259" priority="56" operator="greaterThan">
      <formula>0.9</formula>
    </cfRule>
  </conditionalFormatting>
  <conditionalFormatting sqref="AP211">
    <cfRule type="cellIs" dxfId="258" priority="57" operator="greaterThan">
      <formula>0.9</formula>
    </cfRule>
  </conditionalFormatting>
  <conditionalFormatting sqref="AP217">
    <cfRule type="cellIs" dxfId="257" priority="55" operator="greaterThan">
      <formula>0.9</formula>
    </cfRule>
  </conditionalFormatting>
  <conditionalFormatting sqref="AP223">
    <cfRule type="cellIs" dxfId="256" priority="54" operator="greaterThan">
      <formula>0.9</formula>
    </cfRule>
  </conditionalFormatting>
  <conditionalFormatting sqref="T235">
    <cfRule type="cellIs" dxfId="255" priority="53" operator="greaterThan">
      <formula>0.9</formula>
    </cfRule>
  </conditionalFormatting>
  <conditionalFormatting sqref="AP229">
    <cfRule type="cellIs" dxfId="254" priority="52" operator="greaterThan">
      <formula>0.9</formula>
    </cfRule>
  </conditionalFormatting>
  <conditionalFormatting sqref="T219:T222">
    <cfRule type="cellIs" dxfId="253" priority="43" operator="greaterThan">
      <formula>0.9</formula>
    </cfRule>
  </conditionalFormatting>
  <conditionalFormatting sqref="T224">
    <cfRule type="cellIs" dxfId="252" priority="42" operator="greaterThan">
      <formula>0.9</formula>
    </cfRule>
  </conditionalFormatting>
  <conditionalFormatting sqref="T223">
    <cfRule type="cellIs" dxfId="251" priority="41" operator="greaterThan">
      <formula>0.9</formula>
    </cfRule>
  </conditionalFormatting>
  <conditionalFormatting sqref="T225:T228">
    <cfRule type="cellIs" dxfId="250" priority="40" operator="greaterThan">
      <formula>0.9</formula>
    </cfRule>
  </conditionalFormatting>
  <conditionalFormatting sqref="T230">
    <cfRule type="cellIs" dxfId="249" priority="39" operator="greaterThan">
      <formula>0.9</formula>
    </cfRule>
  </conditionalFormatting>
  <conditionalFormatting sqref="T229">
    <cfRule type="cellIs" dxfId="248" priority="38" operator="greaterThan">
      <formula>0.9</formula>
    </cfRule>
  </conditionalFormatting>
  <conditionalFormatting sqref="T82">
    <cfRule type="cellIs" dxfId="247" priority="37" operator="greaterThan">
      <formula>1</formula>
    </cfRule>
  </conditionalFormatting>
  <conditionalFormatting sqref="AT205">
    <cfRule type="cellIs" dxfId="246" priority="18" operator="greaterThan">
      <formula>0.9</formula>
    </cfRule>
  </conditionalFormatting>
  <conditionalFormatting sqref="AT211">
    <cfRule type="cellIs" dxfId="245" priority="17" operator="greaterThan">
      <formula>0.9</formula>
    </cfRule>
  </conditionalFormatting>
  <conditionalFormatting sqref="AT211">
    <cfRule type="cellIs" dxfId="244" priority="16" operator="greaterThan">
      <formula>0.9</formula>
    </cfRule>
  </conditionalFormatting>
  <conditionalFormatting sqref="AT217">
    <cfRule type="cellIs" dxfId="243" priority="15" operator="greaterThan">
      <formula>0.9</formula>
    </cfRule>
  </conditionalFormatting>
  <conditionalFormatting sqref="AT223">
    <cfRule type="cellIs" dxfId="242" priority="14" operator="greaterThan">
      <formula>0.9</formula>
    </cfRule>
  </conditionalFormatting>
  <conditionalFormatting sqref="AT229">
    <cfRule type="cellIs" dxfId="241" priority="13" operator="greaterThan">
      <formula>0.9</formula>
    </cfRule>
  </conditionalFormatting>
  <conditionalFormatting sqref="AT177:AT198">
    <cfRule type="cellIs" dxfId="240" priority="26" operator="greaterThan">
      <formula>0.9</formula>
    </cfRule>
    <cfRule type="cellIs" dxfId="239" priority="27" operator="greaterThan">
      <formula>0.9</formula>
    </cfRule>
  </conditionalFormatting>
  <conditionalFormatting sqref="AT201:AT204">
    <cfRule type="cellIs" dxfId="238" priority="25" operator="greaterThan">
      <formula>0.9</formula>
    </cfRule>
  </conditionalFormatting>
  <conditionalFormatting sqref="AT207:AT210">
    <cfRule type="cellIs" dxfId="237" priority="24" operator="greaterThan">
      <formula>0.9</formula>
    </cfRule>
  </conditionalFormatting>
  <conditionalFormatting sqref="AT200:AT204 AT206:AT210 AT212:AT216 AT218:AT222 AT224:AT228 AT230 AT177:AT198">
    <cfRule type="cellIs" dxfId="236" priority="23" operator="greaterThan">
      <formula>0.9</formula>
    </cfRule>
  </conditionalFormatting>
  <conditionalFormatting sqref="AT199">
    <cfRule type="cellIs" dxfId="235" priority="21" operator="greaterThan">
      <formula>0.9</formula>
    </cfRule>
    <cfRule type="cellIs" dxfId="234" priority="22" operator="greaterThan">
      <formula>0.9</formula>
    </cfRule>
  </conditionalFormatting>
  <conditionalFormatting sqref="AT199">
    <cfRule type="cellIs" dxfId="233" priority="20" operator="greaterThan">
      <formula>0.9</formula>
    </cfRule>
  </conditionalFormatting>
  <conditionalFormatting sqref="AT205">
    <cfRule type="cellIs" dxfId="232" priority="19" operator="greaterThan">
      <formula>0.9</formula>
    </cfRule>
  </conditionalFormatting>
  <conditionalFormatting sqref="X63:X81">
    <cfRule type="cellIs" dxfId="231" priority="10" operator="greaterThan">
      <formula>0.9</formula>
    </cfRule>
  </conditionalFormatting>
  <conditionalFormatting sqref="X82">
    <cfRule type="cellIs" dxfId="230" priority="4" operator="greaterThan">
      <formula>1</formula>
    </cfRule>
  </conditionalFormatting>
  <conditionalFormatting sqref="T62">
    <cfRule type="cellIs" dxfId="229" priority="2" operator="greaterThan">
      <formula>0.9</formula>
    </cfRule>
  </conditionalFormatting>
  <conditionalFormatting sqref="X62">
    <cfRule type="cellIs" dxfId="228" priority="1" operator="greaterThan">
      <formula>0.9</formula>
    </cfRule>
  </conditionalFormatting>
  <pageMargins left="0.7" right="0.7" top="0.75" bottom="0.75" header="0.3" footer="0.3"/>
  <pageSetup orientation="portrait" horizontalDpi="300" r:id="rId1"/>
  <customProperties>
    <customPr name="_pios_id" r:id="rId2"/>
  </customProperties>
  <ignoredErrors>
    <ignoredError sqref="AQ206 AQ212 AQ218 AQ224 T82:V82 V230 Q82 X82 S36:S39 AD67 AD72:AD77" formula="1"/>
    <ignoredError sqref="AP96 AB101:AG101 Y107:AG108 AB106:AC106 AB102:AG104 AA111:AB113 AG109 AG110 AB105:AE105 AG105 AG112:AG113 AE106:AG106 AA110" formulaRange="1"/>
  </ignoredErrors>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FF0000"/>
  </sheetPr>
  <dimension ref="B1:FV383"/>
  <sheetViews>
    <sheetView showGridLines="0" topLeftCell="W149" zoomScale="55" zoomScaleNormal="55" workbookViewId="0">
      <selection activeCell="EQ156" sqref="EQ156"/>
    </sheetView>
  </sheetViews>
  <sheetFormatPr defaultColWidth="9.140625" defaultRowHeight="15" outlineLevelRow="1" outlineLevelCol="1"/>
  <cols>
    <col min="1" max="1" width="1.42578125" style="15" customWidth="1"/>
    <col min="2" max="2" width="13.85546875" style="15" customWidth="1"/>
    <col min="3" max="3" width="12.85546875" style="15" customWidth="1"/>
    <col min="4" max="4" width="14.42578125" style="15" customWidth="1"/>
    <col min="5" max="5" width="12.28515625" style="15" customWidth="1" outlineLevel="1"/>
    <col min="6" max="6" width="12.5703125" style="15" customWidth="1" outlineLevel="1"/>
    <col min="7" max="7" width="12" style="15" customWidth="1" outlineLevel="1"/>
    <col min="8" max="8" width="12.7109375" style="15" customWidth="1" outlineLevel="1"/>
    <col min="9" max="9" width="12" style="15" customWidth="1" outlineLevel="1"/>
    <col min="10" max="10" width="11.28515625" style="15" customWidth="1" outlineLevel="1"/>
    <col min="11" max="11" width="12.5703125" style="15" customWidth="1" outlineLevel="1"/>
    <col min="12" max="12" width="12.28515625" style="15" customWidth="1" outlineLevel="1"/>
    <col min="13" max="13" width="13.42578125" style="15" customWidth="1" outlineLevel="1"/>
    <col min="14" max="14" width="12.5703125" style="15" customWidth="1" outlineLevel="1"/>
    <col min="15" max="15" width="13.28515625" style="15" customWidth="1" outlineLevel="1"/>
    <col min="16" max="16" width="13.7109375" style="15" customWidth="1" outlineLevel="1"/>
    <col min="17" max="17" width="14.42578125" style="15" bestFit="1" customWidth="1"/>
    <col min="18" max="18" width="15.140625" style="15" customWidth="1"/>
    <col min="19" max="19" width="13.42578125" style="15" bestFit="1" customWidth="1"/>
    <col min="20" max="20" width="14" style="15" customWidth="1"/>
    <col min="21" max="21" width="11.140625" style="15" customWidth="1"/>
    <col min="22" max="22" width="12.5703125" style="15" customWidth="1"/>
    <col min="23" max="23" width="16.42578125" style="15" customWidth="1"/>
    <col min="24" max="24" width="11.28515625" style="53" customWidth="1"/>
    <col min="25" max="25" width="12.5703125" style="15" customWidth="1"/>
    <col min="26" max="26" width="12.28515625" style="15" customWidth="1"/>
    <col min="27" max="27" width="12.5703125" style="15" customWidth="1"/>
    <col min="28" max="28" width="12.5703125" style="15" hidden="1" customWidth="1" outlineLevel="1"/>
    <col min="29" max="31" width="12.28515625" style="15" hidden="1" customWidth="1" outlineLevel="1"/>
    <col min="32" max="32" width="10.28515625" style="15" hidden="1" customWidth="1" outlineLevel="1"/>
    <col min="33" max="34" width="10.140625" style="15" hidden="1" customWidth="1" outlineLevel="1"/>
    <col min="35" max="35" width="11.28515625" style="15" hidden="1" customWidth="1" outlineLevel="1"/>
    <col min="36" max="36" width="12.28515625" style="15" hidden="1" customWidth="1" outlineLevel="1"/>
    <col min="37" max="37" width="12.5703125" style="15" customWidth="1" collapsed="1"/>
    <col min="38" max="38" width="12.5703125" style="15" hidden="1" customWidth="1" outlineLevel="1"/>
    <col min="39" max="44" width="12.28515625" style="15" hidden="1" customWidth="1" outlineLevel="1"/>
    <col min="45" max="45" width="11.28515625" style="15" hidden="1" customWidth="1" outlineLevel="1" collapsed="1"/>
    <col min="46" max="46" width="12.28515625" style="15" hidden="1" customWidth="1" outlineLevel="1"/>
    <col min="47" max="47" width="12.5703125" style="15" customWidth="1" collapsed="1"/>
    <col min="48" max="48" width="12.5703125" style="15" hidden="1" customWidth="1" outlineLevel="1"/>
    <col min="49" max="54" width="12.28515625" style="15" hidden="1" customWidth="1" outlineLevel="1"/>
    <col min="55" max="55" width="10.140625" style="15" hidden="1" customWidth="1" outlineLevel="1" collapsed="1"/>
    <col min="56" max="56" width="12.28515625" style="15" hidden="1" customWidth="1" outlineLevel="1"/>
    <col min="57" max="57" width="12.5703125" style="15" customWidth="1" collapsed="1"/>
    <col min="58" max="58" width="12.5703125" style="15" hidden="1" customWidth="1" outlineLevel="1"/>
    <col min="59" max="64" width="12.28515625" style="15" hidden="1" customWidth="1" outlineLevel="1"/>
    <col min="65" max="65" width="10.42578125" style="15" hidden="1" customWidth="1" outlineLevel="1" collapsed="1"/>
    <col min="66" max="66" width="12.28515625" style="15" hidden="1" customWidth="1" outlineLevel="1"/>
    <col min="67" max="67" width="12.5703125" style="15" customWidth="1" collapsed="1"/>
    <col min="68" max="68" width="12.5703125" style="15" hidden="1" customWidth="1" outlineLevel="1"/>
    <col min="69" max="74" width="12.28515625" style="15" hidden="1" customWidth="1" outlineLevel="1"/>
    <col min="75" max="75" width="10.42578125" style="15" hidden="1" customWidth="1" outlineLevel="1" collapsed="1"/>
    <col min="76" max="76" width="12.28515625" style="15" hidden="1" customWidth="1" outlineLevel="1"/>
    <col min="77" max="77" width="12.5703125" style="15" customWidth="1" collapsed="1"/>
    <col min="78" max="78" width="12.5703125" style="15" hidden="1" customWidth="1" outlineLevel="1"/>
    <col min="79" max="84" width="12.28515625" style="15" hidden="1" customWidth="1" outlineLevel="1"/>
    <col min="85" max="85" width="10.42578125" style="15" hidden="1" customWidth="1" outlineLevel="1" collapsed="1"/>
    <col min="86" max="86" width="12.28515625" style="15" hidden="1" customWidth="1" outlineLevel="1"/>
    <col min="87" max="87" width="12.5703125" style="15" customWidth="1" collapsed="1"/>
    <col min="88" max="88" width="12.5703125" style="15" hidden="1" customWidth="1" outlineLevel="1"/>
    <col min="89" max="94" width="12.28515625" style="15" hidden="1" customWidth="1" outlineLevel="1"/>
    <col min="95" max="95" width="10.5703125" style="15" hidden="1" customWidth="1" outlineLevel="1" collapsed="1"/>
    <col min="96" max="96" width="12.28515625" style="15" hidden="1" customWidth="1" outlineLevel="1"/>
    <col min="97" max="97" width="12.5703125" style="15" customWidth="1" collapsed="1"/>
    <col min="98" max="98" width="12.5703125" style="15" hidden="1" customWidth="1" outlineLevel="1"/>
    <col min="99" max="104" width="12.28515625" style="15" hidden="1" customWidth="1" outlineLevel="1"/>
    <col min="105" max="105" width="11.28515625" style="15" hidden="1" customWidth="1" outlineLevel="1" collapsed="1"/>
    <col min="106" max="106" width="12.28515625" style="15" hidden="1" customWidth="1" outlineLevel="1"/>
    <col min="107" max="107" width="12.5703125" style="15" customWidth="1" collapsed="1"/>
    <col min="108" max="108" width="12.5703125" style="15" hidden="1" customWidth="1" outlineLevel="1"/>
    <col min="109" max="114" width="12.28515625" style="15" hidden="1" customWidth="1" outlineLevel="1"/>
    <col min="115" max="115" width="11.85546875" style="15" hidden="1" customWidth="1" outlineLevel="1" collapsed="1"/>
    <col min="116" max="116" width="12.28515625" style="15" hidden="1" customWidth="1" outlineLevel="1"/>
    <col min="117" max="117" width="12.5703125" style="15" customWidth="1" collapsed="1"/>
    <col min="118" max="118" width="12.5703125" style="15" hidden="1" customWidth="1" outlineLevel="1"/>
    <col min="119" max="124" width="12.28515625" style="15" hidden="1" customWidth="1" outlineLevel="1"/>
    <col min="125" max="125" width="10.42578125" style="15" hidden="1" customWidth="1" outlineLevel="1" collapsed="1"/>
    <col min="126" max="126" width="12.28515625" style="15" hidden="1" customWidth="1" outlineLevel="1"/>
    <col min="127" max="127" width="12.5703125" style="15" customWidth="1" collapsed="1"/>
    <col min="128" max="128" width="12.5703125" style="15" hidden="1" customWidth="1" outlineLevel="1"/>
    <col min="129" max="134" width="12.28515625" style="15" hidden="1" customWidth="1" outlineLevel="1"/>
    <col min="135" max="135" width="11.140625" style="15" hidden="1" customWidth="1" outlineLevel="1" collapsed="1"/>
    <col min="136" max="136" width="12.28515625" style="15" hidden="1" customWidth="1" outlineLevel="1"/>
    <col min="137" max="137" width="12.5703125" style="15" customWidth="1" collapsed="1"/>
    <col min="138" max="138" width="12.5703125" style="15" hidden="1" customWidth="1" outlineLevel="1"/>
    <col min="139" max="143" width="12.28515625" style="15" hidden="1" customWidth="1" outlineLevel="1"/>
    <col min="144" max="144" width="8.85546875" style="15" hidden="1" customWidth="1" outlineLevel="1"/>
    <col min="145" max="145" width="10.85546875" style="15" hidden="1" customWidth="1" outlineLevel="1" collapsed="1"/>
    <col min="146" max="146" width="9.7109375" style="15" hidden="1" customWidth="1" outlineLevel="1"/>
    <col min="147" max="147" width="9.5703125" style="15" customWidth="1" collapsed="1"/>
    <col min="148" max="148" width="8.85546875" style="15" customWidth="1"/>
    <col min="149" max="149" width="8" style="15" bestFit="1" customWidth="1"/>
    <col min="150" max="150" width="13.42578125" style="15" hidden="1" customWidth="1" outlineLevel="1"/>
    <col min="151" max="151" width="11.5703125" style="15" hidden="1" customWidth="1" outlineLevel="1"/>
    <col min="152" max="153" width="9.85546875" style="15" hidden="1" customWidth="1" outlineLevel="1"/>
    <col min="154" max="154" width="10.42578125" style="15" hidden="1" customWidth="1" outlineLevel="1" collapsed="1"/>
    <col min="155" max="155" width="10" style="15" hidden="1" customWidth="1" outlineLevel="1"/>
    <col min="156" max="156" width="10.28515625" style="15" customWidth="1" collapsed="1"/>
    <col min="157" max="157" width="9.42578125" style="15" customWidth="1"/>
    <col min="158" max="158" width="11.5703125" style="15" customWidth="1"/>
    <col min="159" max="160" width="9.85546875" style="15" hidden="1" customWidth="1" outlineLevel="1"/>
    <col min="161" max="161" width="9.140625" style="15" hidden="1" customWidth="1" outlineLevel="1"/>
    <col min="162" max="162" width="11.7109375" style="15" hidden="1" customWidth="1" outlineLevel="1" collapsed="1"/>
    <col min="163" max="163" width="11.28515625" style="15" hidden="1" customWidth="1" outlineLevel="1"/>
    <col min="164" max="164" width="11.5703125" style="15" customWidth="1" collapsed="1"/>
    <col min="165" max="165" width="8.28515625" style="15" customWidth="1"/>
    <col min="166" max="166" width="11.85546875" style="15" customWidth="1"/>
    <col min="167" max="167" width="11.28515625" style="15" hidden="1" customWidth="1" outlineLevel="1"/>
    <col min="168" max="168" width="10.28515625" style="15" hidden="1" customWidth="1" outlineLevel="1"/>
    <col min="169" max="169" width="8.85546875" style="15" hidden="1" customWidth="1" outlineLevel="1"/>
    <col min="170" max="170" width="10" style="15" hidden="1" customWidth="1" outlineLevel="1" collapsed="1"/>
    <col min="171" max="171" width="11.28515625" style="15" hidden="1" customWidth="1" outlineLevel="1"/>
    <col min="172" max="172" width="12.28515625" style="15" customWidth="1" collapsed="1"/>
    <col min="173" max="173" width="13.7109375" style="15" customWidth="1"/>
    <col min="174" max="16384" width="9.140625" style="15"/>
  </cols>
  <sheetData>
    <row r="1" spans="2:165" ht="15" customHeight="1">
      <c r="B1" s="797" t="s">
        <v>25</v>
      </c>
      <c r="C1" s="797"/>
      <c r="D1" s="797"/>
      <c r="E1" s="797"/>
      <c r="F1" s="797"/>
      <c r="G1" s="797"/>
      <c r="H1" s="797"/>
      <c r="I1" s="797"/>
      <c r="J1" s="797"/>
      <c r="K1" s="797"/>
      <c r="L1" s="797"/>
      <c r="M1" s="797"/>
      <c r="N1" s="797"/>
      <c r="O1" s="797"/>
      <c r="P1" s="797"/>
      <c r="Q1" s="797"/>
      <c r="R1" s="797"/>
      <c r="S1" s="797"/>
      <c r="T1" s="797"/>
      <c r="U1" s="797"/>
      <c r="V1" s="797"/>
    </row>
    <row r="2" spans="2:165" ht="15.75">
      <c r="B2" s="172" t="str">
        <f>LEFT(TEXT( DATE(Cover!$C$7,Cover!$C$8,1),"mmmm"),3)</f>
        <v>Jun</v>
      </c>
      <c r="C2" s="182">
        <f>Cover!C7</f>
        <v>2025</v>
      </c>
      <c r="D2" s="171" t="s">
        <v>243</v>
      </c>
      <c r="F2" s="52"/>
      <c r="G2" s="52"/>
      <c r="H2" s="52"/>
      <c r="I2" s="52"/>
      <c r="J2" s="52"/>
      <c r="K2" s="52"/>
      <c r="L2" s="52"/>
      <c r="M2" s="52"/>
      <c r="N2" s="52"/>
      <c r="O2" s="194"/>
      <c r="P2" s="194"/>
      <c r="Q2" s="52" t="s">
        <v>67</v>
      </c>
      <c r="R2" s="18">
        <v>0.45</v>
      </c>
      <c r="S2" s="16"/>
      <c r="T2" s="16"/>
      <c r="U2" s="17" t="s">
        <v>244</v>
      </c>
      <c r="V2" s="19" t="str">
        <f>CONCATENATE(Cover!C10,"/",Cover!C8,"/",Cover!C7)</f>
        <v>14/6/2025</v>
      </c>
    </row>
    <row r="3" spans="2:165" ht="15" customHeight="1">
      <c r="B3" s="766" t="s">
        <v>119</v>
      </c>
      <c r="C3" s="766" t="s">
        <v>27</v>
      </c>
      <c r="D3" s="766" t="s">
        <v>69</v>
      </c>
      <c r="E3" s="761" t="s">
        <v>245</v>
      </c>
      <c r="F3" s="761" t="s">
        <v>246</v>
      </c>
      <c r="G3" s="761" t="s">
        <v>247</v>
      </c>
      <c r="H3" s="761" t="s">
        <v>248</v>
      </c>
      <c r="I3" s="761" t="s">
        <v>249</v>
      </c>
      <c r="J3" s="761" t="s">
        <v>250</v>
      </c>
      <c r="K3" s="761" t="s">
        <v>251</v>
      </c>
      <c r="L3" s="761" t="s">
        <v>252</v>
      </c>
      <c r="M3" s="761" t="s">
        <v>253</v>
      </c>
      <c r="N3" s="761" t="s">
        <v>254</v>
      </c>
      <c r="O3" s="761" t="s">
        <v>255</v>
      </c>
      <c r="P3" s="761" t="s">
        <v>256</v>
      </c>
      <c r="Q3" s="700" t="str">
        <f>"Target "  &amp;    $X$127</f>
        <v>Target Jun</v>
      </c>
      <c r="R3" s="782" t="s">
        <v>257</v>
      </c>
      <c r="S3" s="816" t="s">
        <v>258</v>
      </c>
      <c r="T3" s="818" t="s">
        <v>78</v>
      </c>
      <c r="U3" s="820" t="s">
        <v>259</v>
      </c>
      <c r="V3" s="709" t="s">
        <v>260</v>
      </c>
      <c r="W3" s="793" t="s">
        <v>261</v>
      </c>
      <c r="X3" s="795" t="s">
        <v>262</v>
      </c>
      <c r="Y3" s="183"/>
      <c r="Z3" s="183"/>
      <c r="AA3" s="183"/>
      <c r="AB3" s="183"/>
      <c r="AC3" s="183"/>
      <c r="AD3" s="183"/>
      <c r="AE3" s="183"/>
      <c r="AF3" s="183"/>
      <c r="AG3" s="183"/>
      <c r="AH3" s="183"/>
      <c r="AI3" s="183"/>
      <c r="AJ3" s="183"/>
      <c r="AK3" s="183"/>
      <c r="AL3" s="183"/>
      <c r="AM3" s="183"/>
      <c r="AN3" s="183"/>
      <c r="AO3" s="183"/>
      <c r="AP3" s="183"/>
      <c r="AQ3" s="183"/>
      <c r="AR3" s="183"/>
      <c r="AS3" s="183"/>
      <c r="AT3" s="183"/>
      <c r="AU3" s="183"/>
      <c r="AV3" s="183"/>
      <c r="AW3" s="183"/>
      <c r="AX3" s="183"/>
      <c r="AY3" s="183"/>
      <c r="AZ3" s="183"/>
      <c r="BA3" s="183"/>
      <c r="BB3" s="183"/>
      <c r="BC3" s="183"/>
      <c r="BD3" s="183"/>
      <c r="BE3" s="183"/>
      <c r="BF3" s="183"/>
      <c r="BG3" s="183"/>
      <c r="BH3" s="183"/>
      <c r="BI3" s="183"/>
      <c r="BJ3" s="183"/>
      <c r="BK3" s="183"/>
      <c r="BL3" s="183"/>
      <c r="BM3" s="183"/>
      <c r="BN3" s="183"/>
      <c r="BO3" s="183"/>
      <c r="BP3" s="183"/>
      <c r="BQ3" s="183"/>
      <c r="BR3" s="183"/>
      <c r="BS3" s="183"/>
      <c r="BT3" s="183"/>
      <c r="BU3" s="183"/>
      <c r="BV3" s="183"/>
      <c r="BW3" s="183"/>
      <c r="BX3" s="183"/>
      <c r="BY3" s="183"/>
      <c r="BZ3" s="183"/>
      <c r="CA3" s="183"/>
      <c r="CB3" s="183"/>
      <c r="CC3" s="183"/>
      <c r="CD3" s="183"/>
      <c r="CE3" s="183"/>
      <c r="CF3" s="183"/>
      <c r="CG3" s="183"/>
      <c r="CH3" s="183"/>
      <c r="CI3" s="183"/>
      <c r="CJ3" s="183"/>
      <c r="CK3" s="183"/>
      <c r="CL3" s="183"/>
      <c r="CM3" s="183"/>
      <c r="CN3" s="183"/>
      <c r="CO3" s="183"/>
      <c r="CP3" s="183"/>
      <c r="CQ3" s="183"/>
      <c r="CR3" s="183"/>
      <c r="CS3" s="183"/>
      <c r="CT3" s="183"/>
      <c r="CU3" s="183"/>
      <c r="CV3" s="183"/>
      <c r="CW3" s="183"/>
      <c r="CX3" s="183"/>
      <c r="CY3" s="183"/>
      <c r="CZ3" s="183"/>
      <c r="DA3" s="183"/>
      <c r="DB3" s="183"/>
      <c r="DC3" s="183"/>
      <c r="DD3" s="183"/>
      <c r="DE3" s="183"/>
      <c r="DF3" s="183"/>
      <c r="DG3" s="183"/>
      <c r="DH3" s="183"/>
      <c r="DI3" s="183"/>
      <c r="DJ3" s="183"/>
      <c r="DK3" s="183"/>
      <c r="DL3" s="183"/>
      <c r="DM3" s="183"/>
      <c r="DN3" s="183"/>
      <c r="DO3" s="183"/>
      <c r="DP3" s="183"/>
      <c r="DQ3" s="183"/>
      <c r="DR3" s="183"/>
      <c r="DS3" s="183"/>
      <c r="DT3" s="183"/>
      <c r="DU3" s="183"/>
      <c r="DV3" s="183"/>
      <c r="DW3" s="183"/>
      <c r="DX3" s="183"/>
      <c r="DY3" s="183"/>
      <c r="DZ3" s="183"/>
      <c r="EA3" s="183"/>
      <c r="EB3" s="183"/>
      <c r="EC3" s="183"/>
      <c r="ED3" s="183"/>
      <c r="EE3" s="183"/>
      <c r="EF3" s="183"/>
      <c r="EG3" s="183"/>
      <c r="EH3" s="183"/>
      <c r="EI3" s="183"/>
      <c r="EJ3" s="183"/>
      <c r="EK3" s="183"/>
      <c r="EL3" s="183"/>
      <c r="EM3" s="183"/>
      <c r="EN3" s="183"/>
      <c r="EO3" s="183"/>
      <c r="EP3" s="183"/>
      <c r="EQ3" s="183"/>
      <c r="ER3" s="183"/>
      <c r="ES3" s="183"/>
      <c r="ET3" s="183"/>
      <c r="EU3" s="183"/>
      <c r="EV3" s="183"/>
      <c r="EW3" s="183"/>
      <c r="EX3" s="183"/>
      <c r="EY3" s="183"/>
      <c r="EZ3" s="183"/>
      <c r="FA3" s="183"/>
      <c r="FB3" s="183"/>
      <c r="FC3" s="183"/>
      <c r="FD3" s="183"/>
      <c r="FE3" s="183"/>
      <c r="FF3" s="183"/>
      <c r="FG3" s="183"/>
      <c r="FH3" s="183"/>
      <c r="FI3" s="183"/>
    </row>
    <row r="4" spans="2:165" ht="15" customHeight="1">
      <c r="B4" s="748"/>
      <c r="C4" s="748"/>
      <c r="D4" s="748"/>
      <c r="E4" s="732"/>
      <c r="F4" s="732"/>
      <c r="G4" s="732"/>
      <c r="H4" s="732"/>
      <c r="I4" s="732"/>
      <c r="J4" s="732"/>
      <c r="K4" s="732"/>
      <c r="L4" s="732"/>
      <c r="M4" s="732"/>
      <c r="N4" s="732"/>
      <c r="O4" s="732"/>
      <c r="P4" s="732"/>
      <c r="Q4" s="701"/>
      <c r="R4" s="783"/>
      <c r="S4" s="817"/>
      <c r="T4" s="819"/>
      <c r="U4" s="821"/>
      <c r="V4" s="710"/>
      <c r="W4" s="794"/>
      <c r="X4" s="796"/>
      <c r="Y4" s="183"/>
      <c r="Z4" s="183"/>
      <c r="AA4" s="183"/>
      <c r="AB4" s="183"/>
      <c r="AC4" s="183"/>
      <c r="AD4" s="183"/>
      <c r="AE4" s="183"/>
      <c r="AF4" s="183"/>
      <c r="AG4" s="183"/>
      <c r="AH4" s="183"/>
      <c r="AI4" s="183"/>
      <c r="AJ4" s="183"/>
      <c r="AK4" s="183"/>
      <c r="AL4" s="183"/>
      <c r="AM4" s="183"/>
      <c r="AN4" s="183"/>
      <c r="AO4" s="183"/>
      <c r="AP4" s="183"/>
      <c r="AQ4" s="183"/>
      <c r="AR4" s="183"/>
      <c r="AS4" s="183"/>
      <c r="AT4" s="183"/>
      <c r="AU4" s="183"/>
      <c r="AV4" s="183"/>
      <c r="AW4" s="183"/>
      <c r="AX4" s="183"/>
      <c r="AY4" s="183"/>
      <c r="AZ4" s="183"/>
      <c r="BA4" s="183"/>
      <c r="BB4" s="183"/>
      <c r="BC4" s="183"/>
      <c r="BD4" s="183"/>
      <c r="BE4" s="183"/>
      <c r="BF4" s="183"/>
      <c r="BG4" s="183"/>
      <c r="BH4" s="183"/>
      <c r="BI4" s="183"/>
      <c r="BJ4" s="183"/>
      <c r="BK4" s="183"/>
      <c r="BL4" s="183"/>
      <c r="BM4" s="183"/>
      <c r="BN4" s="183"/>
      <c r="BO4" s="183"/>
      <c r="BP4" s="183"/>
      <c r="BQ4" s="183"/>
      <c r="BR4" s="183"/>
      <c r="BS4" s="183"/>
      <c r="BT4" s="183"/>
      <c r="BU4" s="183"/>
      <c r="BV4" s="183"/>
      <c r="BW4" s="183"/>
      <c r="BX4" s="183"/>
      <c r="BY4" s="183"/>
      <c r="BZ4" s="183"/>
      <c r="CA4" s="183"/>
      <c r="CB4" s="183"/>
      <c r="CC4" s="183"/>
      <c r="CD4" s="183"/>
      <c r="CE4" s="183"/>
      <c r="CF4" s="183"/>
      <c r="CG4" s="183"/>
      <c r="CH4" s="183"/>
      <c r="CI4" s="183"/>
      <c r="CJ4" s="183"/>
      <c r="CK4" s="183"/>
      <c r="CL4" s="183"/>
      <c r="CM4" s="183"/>
      <c r="CN4" s="183"/>
      <c r="CO4" s="183"/>
      <c r="CP4" s="183"/>
      <c r="CQ4" s="183"/>
      <c r="CR4" s="183"/>
      <c r="CS4" s="183"/>
      <c r="CT4" s="183"/>
      <c r="CU4" s="183"/>
      <c r="CV4" s="183"/>
      <c r="CW4" s="183"/>
      <c r="CX4" s="183"/>
      <c r="CY4" s="183"/>
      <c r="CZ4" s="183"/>
      <c r="DA4" s="183"/>
      <c r="DB4" s="183"/>
      <c r="DC4" s="183"/>
      <c r="DD4" s="183"/>
      <c r="DE4" s="183"/>
      <c r="DF4" s="183"/>
      <c r="DG4" s="183"/>
      <c r="DH4" s="183"/>
      <c r="DI4" s="183"/>
      <c r="DJ4" s="183"/>
      <c r="DK4" s="183"/>
      <c r="DL4" s="183"/>
      <c r="DM4" s="183"/>
      <c r="DN4" s="183"/>
      <c r="DO4" s="183"/>
      <c r="DP4" s="183"/>
      <c r="DQ4" s="183"/>
      <c r="DR4" s="183"/>
      <c r="DS4" s="183"/>
      <c r="DT4" s="183"/>
      <c r="DU4" s="183"/>
      <c r="DV4" s="183"/>
      <c r="DW4" s="183"/>
      <c r="DX4" s="183"/>
      <c r="DY4" s="183"/>
      <c r="DZ4" s="183"/>
      <c r="EA4" s="183"/>
      <c r="EB4" s="183"/>
      <c r="EC4" s="183"/>
      <c r="ED4" s="183"/>
      <c r="EE4" s="183"/>
      <c r="EF4" s="183"/>
      <c r="EG4" s="183"/>
      <c r="EH4" s="183"/>
      <c r="EI4" s="183"/>
      <c r="EJ4" s="183"/>
      <c r="EK4" s="183"/>
      <c r="EL4" s="183"/>
      <c r="EM4" s="183"/>
      <c r="EN4" s="183"/>
      <c r="EO4" s="183"/>
      <c r="EP4" s="183"/>
      <c r="EQ4" s="183"/>
      <c r="ER4" s="183"/>
      <c r="ES4" s="183"/>
      <c r="ET4" s="183"/>
      <c r="EU4" s="183"/>
      <c r="EV4" s="183"/>
      <c r="EW4" s="183"/>
      <c r="EX4" s="183"/>
      <c r="EY4" s="183"/>
      <c r="EZ4" s="183"/>
      <c r="FA4" s="183"/>
      <c r="FB4" s="183"/>
      <c r="FC4" s="183"/>
      <c r="FD4" s="183"/>
      <c r="FE4" s="183"/>
      <c r="FF4" s="183"/>
      <c r="FG4" s="183"/>
      <c r="FH4" s="183"/>
      <c r="FI4" s="183"/>
    </row>
    <row r="5" spans="2:165" hidden="1" outlineLevel="1">
      <c r="B5" s="81" t="s">
        <v>25</v>
      </c>
      <c r="C5" s="81" t="s">
        <v>44</v>
      </c>
      <c r="D5" s="303" t="s">
        <v>81</v>
      </c>
      <c r="E5" s="304">
        <v>0</v>
      </c>
      <c r="F5" s="304">
        <v>0</v>
      </c>
      <c r="G5" s="304">
        <v>0</v>
      </c>
      <c r="H5" s="304">
        <v>0</v>
      </c>
      <c r="I5" s="304">
        <v>0</v>
      </c>
      <c r="J5" s="304">
        <v>0</v>
      </c>
      <c r="K5" s="304"/>
      <c r="L5" s="304"/>
      <c r="M5" s="304"/>
      <c r="N5" s="304"/>
      <c r="O5" s="304"/>
      <c r="P5" s="304"/>
      <c r="Q5" s="304"/>
      <c r="R5" s="304">
        <f>IFERROR(SUMIFS(Daily_Vol_yesterday[Order Quantity],Daily_Vol_yesterday[Cust_Cat.cust_channel],  "&lt;&gt;DSO",Daily_Vol_yesterday[Map_Product.TME_SKU],master_Daily!D5)/50000,0)</f>
        <v>0</v>
      </c>
      <c r="S5" s="304">
        <f>IFERROR(SUM(SUMIFS(Weekly_Vol[Quantity],Weekly_Vol[Cust_Cat.cust_channel],  "&lt;&gt;DSO",Weekly_Vol[Map_Product.TME_SKU],master_Daily!D5))/50000,0)</f>
        <v>0</v>
      </c>
      <c r="T5" s="305">
        <f t="shared" ref="T5:T13" si="0">SUM(E5:P5)</f>
        <v>0</v>
      </c>
      <c r="U5" s="306">
        <f>IFERROR(T5/$T$16,0)</f>
        <v>0</v>
      </c>
      <c r="V5" s="315">
        <f t="shared" ref="V5:V11" si="1">IFERROR(S5/Q5,0)</f>
        <v>0</v>
      </c>
      <c r="W5" s="304">
        <f>IFERROR(SUM(SUMIFS(Weekly_Vol[Quantity],Weekly_Vol[Cust_Cat.Customer category],  "Key Account",Weekly_Vol[Map_Product.TME_SKU],master_Daily!D5))/50000,0)
+ IFERROR(SUMIFS(TME_MTD_Dist[Sell_WHS_QTY],TME_MTD_Dist[SKU],master_Daily!$D5)/50000,0)
 + IFERROR(SUMIFS(TME_MTD_Dist[Sell_RTL_QTY],TME_MTD_Dist[SKU],master_Daily!$D5)/50000,0)</f>
        <v>0</v>
      </c>
      <c r="X5" s="314"/>
      <c r="Y5" s="183"/>
      <c r="Z5" s="183"/>
      <c r="AA5" s="183"/>
      <c r="AB5" s="183"/>
      <c r="AC5" s="183"/>
      <c r="AD5" s="183"/>
      <c r="AE5" s="183"/>
      <c r="AF5" s="183"/>
      <c r="AG5" s="183"/>
      <c r="AH5" s="183"/>
      <c r="AI5" s="183"/>
      <c r="AJ5" s="183"/>
      <c r="AK5" s="183"/>
      <c r="AL5" s="183"/>
      <c r="AM5" s="183"/>
      <c r="AN5" s="183"/>
      <c r="AO5" s="183"/>
      <c r="AP5" s="183"/>
      <c r="AQ5" s="183"/>
      <c r="AR5" s="183"/>
      <c r="AS5" s="183"/>
      <c r="AT5" s="183"/>
      <c r="AU5" s="183"/>
      <c r="AV5" s="183"/>
      <c r="AW5" s="183"/>
      <c r="AX5" s="183"/>
      <c r="AY5" s="183"/>
      <c r="AZ5" s="183"/>
      <c r="BA5" s="183"/>
      <c r="BB5" s="183"/>
      <c r="BC5" s="183"/>
      <c r="BD5" s="183"/>
      <c r="BE5" s="183"/>
      <c r="BF5" s="183"/>
      <c r="BG5" s="183"/>
      <c r="BH5" s="183"/>
      <c r="BI5" s="183"/>
      <c r="BJ5" s="183"/>
      <c r="BK5" s="183"/>
      <c r="BL5" s="183"/>
      <c r="BM5" s="183"/>
      <c r="BN5" s="183"/>
      <c r="BO5" s="183"/>
      <c r="BP5" s="183"/>
      <c r="BQ5" s="183"/>
      <c r="BR5" s="183"/>
      <c r="BS5" s="183"/>
      <c r="BT5" s="183"/>
      <c r="BU5" s="183"/>
      <c r="BV5" s="183"/>
      <c r="BW5" s="183"/>
      <c r="BX5" s="183"/>
      <c r="BY5" s="183"/>
      <c r="BZ5" s="183"/>
      <c r="CA5" s="183"/>
      <c r="CB5" s="183"/>
      <c r="CC5" s="183"/>
      <c r="CD5" s="183"/>
      <c r="CE5" s="183"/>
      <c r="CF5" s="183"/>
      <c r="CG5" s="183"/>
      <c r="CH5" s="183"/>
      <c r="CI5" s="183"/>
      <c r="CJ5" s="183"/>
      <c r="CK5" s="183"/>
      <c r="CL5" s="183"/>
      <c r="CM5" s="183"/>
      <c r="CN5" s="183"/>
      <c r="CO5" s="183"/>
      <c r="CP5" s="183"/>
      <c r="CQ5" s="183"/>
      <c r="CR5" s="183"/>
      <c r="CS5" s="183"/>
      <c r="CT5" s="183"/>
      <c r="CU5" s="183"/>
      <c r="CV5" s="183"/>
      <c r="CW5" s="183"/>
      <c r="CX5" s="183"/>
      <c r="CY5" s="183"/>
      <c r="CZ5" s="183"/>
      <c r="DA5" s="183"/>
      <c r="DB5" s="183"/>
      <c r="DC5" s="183"/>
      <c r="DD5" s="183"/>
      <c r="DE5" s="183"/>
      <c r="DF5" s="183"/>
      <c r="DG5" s="183"/>
      <c r="DH5" s="183"/>
      <c r="DI5" s="183"/>
      <c r="DJ5" s="183"/>
      <c r="DK5" s="183"/>
      <c r="DL5" s="183"/>
      <c r="DM5" s="183"/>
      <c r="DN5" s="183"/>
      <c r="DO5" s="183"/>
      <c r="DP5" s="183"/>
      <c r="DQ5" s="183"/>
      <c r="DR5" s="183"/>
      <c r="DS5" s="183"/>
      <c r="DT5" s="183"/>
      <c r="DU5" s="183"/>
      <c r="DV5" s="183"/>
      <c r="DW5" s="183"/>
      <c r="DX5" s="183"/>
      <c r="DY5" s="183"/>
      <c r="DZ5" s="183"/>
      <c r="EA5" s="183"/>
      <c r="EB5" s="183"/>
      <c r="EC5" s="183"/>
      <c r="ED5" s="183"/>
      <c r="EE5" s="183"/>
      <c r="EF5" s="183"/>
      <c r="EG5" s="183"/>
      <c r="EH5" s="183"/>
      <c r="EI5" s="183"/>
      <c r="EJ5" s="183"/>
      <c r="EK5" s="183"/>
      <c r="EL5" s="183"/>
      <c r="EM5" s="183"/>
      <c r="EN5" s="183"/>
      <c r="EO5" s="183"/>
      <c r="EP5" s="183"/>
      <c r="EQ5" s="183"/>
      <c r="ER5" s="183"/>
      <c r="ES5" s="183"/>
      <c r="ET5" s="183"/>
      <c r="EU5" s="183"/>
      <c r="EV5" s="183"/>
      <c r="EW5" s="183"/>
      <c r="EX5" s="183"/>
      <c r="EY5" s="183"/>
      <c r="EZ5" s="183"/>
      <c r="FA5" s="183"/>
      <c r="FB5" s="183"/>
      <c r="FC5" s="183"/>
      <c r="FD5" s="183"/>
      <c r="FE5" s="183"/>
      <c r="FF5" s="183"/>
      <c r="FG5" s="183"/>
      <c r="FH5" s="183"/>
      <c r="FI5" s="183"/>
    </row>
    <row r="6" spans="2:165" hidden="1" outlineLevel="1">
      <c r="B6" s="81" t="s">
        <v>25</v>
      </c>
      <c r="C6" s="81" t="s">
        <v>44</v>
      </c>
      <c r="D6" s="303" t="s">
        <v>82</v>
      </c>
      <c r="E6" s="304">
        <v>0</v>
      </c>
      <c r="F6" s="304">
        <v>0</v>
      </c>
      <c r="G6" s="304">
        <v>0</v>
      </c>
      <c r="H6" s="304">
        <v>0</v>
      </c>
      <c r="I6" s="304">
        <v>0</v>
      </c>
      <c r="J6" s="304">
        <v>0</v>
      </c>
      <c r="K6" s="304"/>
      <c r="L6" s="304"/>
      <c r="M6" s="304"/>
      <c r="N6" s="304"/>
      <c r="O6" s="304"/>
      <c r="P6" s="304"/>
      <c r="Q6" s="304"/>
      <c r="R6" s="304">
        <f>IFERROR(SUMIFS(Daily_Vol_yesterday[Order Quantity],Daily_Vol_yesterday[Cust_Cat.cust_channel],  "&lt;&gt;DSO",Daily_Vol_yesterday[Map_Product.TME_SKU],master_Daily!D6)/50000,0)</f>
        <v>0</v>
      </c>
      <c r="S6" s="304">
        <f>IFERROR(SUM(SUMIFS(Weekly_Vol[Quantity],Weekly_Vol[Cust_Cat.cust_channel],  "&lt;&gt;DSO",Weekly_Vol[Map_Product.TME_SKU],master_Daily!D6))/50000,0)</f>
        <v>0</v>
      </c>
      <c r="T6" s="305">
        <f t="shared" si="0"/>
        <v>0</v>
      </c>
      <c r="U6" s="306">
        <f t="shared" ref="U6:U15" si="2">IFERROR(T6/$T$16,0)</f>
        <v>0</v>
      </c>
      <c r="V6" s="315">
        <f t="shared" si="1"/>
        <v>0</v>
      </c>
      <c r="W6" s="313">
        <f>IFERROR(SUM(SUMIFS(Weekly_Vol[Quantity],Weekly_Vol[Cust_Cat.Customer category],  "Key Account",Weekly_Vol[Map_Product.TME_SKU],master_Daily!D6))/50000,0)
+ IFERROR(SUMIFS(TME_MTD_Dist[Sell_WHS_QTY],TME_MTD_Dist[SKU],master_Daily!$D6)/50000,0)
 + IFERROR(SUMIFS(TME_MTD_Dist[Sell_RTL_QTY],TME_MTD_Dist[SKU],master_Daily!$D6)/50000,0)</f>
        <v>0</v>
      </c>
      <c r="X6" s="314"/>
      <c r="Y6" s="183"/>
      <c r="Z6" s="183"/>
      <c r="AA6" s="183"/>
      <c r="AB6" s="183"/>
      <c r="AC6" s="183"/>
      <c r="AD6" s="183"/>
      <c r="AE6" s="183"/>
      <c r="AF6" s="183"/>
      <c r="AG6" s="183"/>
      <c r="AH6" s="183"/>
      <c r="AI6" s="183"/>
      <c r="AJ6" s="183"/>
      <c r="AK6" s="183"/>
      <c r="AL6" s="183"/>
      <c r="AM6" s="183"/>
      <c r="AN6" s="183"/>
      <c r="AO6" s="183"/>
      <c r="AP6" s="183"/>
      <c r="AQ6" s="183"/>
      <c r="AR6" s="183"/>
      <c r="AS6" s="183"/>
      <c r="AT6" s="183"/>
      <c r="AU6" s="183"/>
      <c r="AV6" s="183"/>
      <c r="AW6" s="183"/>
      <c r="AX6" s="183"/>
      <c r="AY6" s="183"/>
      <c r="AZ6" s="183"/>
      <c r="BA6" s="183"/>
      <c r="BB6" s="183"/>
      <c r="BC6" s="183"/>
      <c r="BD6" s="183"/>
      <c r="BE6" s="183"/>
      <c r="BF6" s="183"/>
      <c r="BG6" s="183"/>
      <c r="BH6" s="183"/>
      <c r="BI6" s="183"/>
      <c r="BJ6" s="183"/>
      <c r="BK6" s="183"/>
      <c r="BL6" s="183"/>
      <c r="BM6" s="183"/>
      <c r="BN6" s="183"/>
      <c r="BO6" s="183"/>
      <c r="BP6" s="183"/>
      <c r="BQ6" s="183"/>
      <c r="BR6" s="183"/>
      <c r="BS6" s="183"/>
      <c r="BT6" s="183"/>
      <c r="BU6" s="183"/>
      <c r="BV6" s="183"/>
      <c r="BW6" s="183"/>
      <c r="BX6" s="183"/>
      <c r="BY6" s="183"/>
      <c r="BZ6" s="183"/>
      <c r="CA6" s="183"/>
      <c r="CB6" s="183"/>
      <c r="CC6" s="183"/>
      <c r="CD6" s="183"/>
      <c r="CE6" s="183"/>
      <c r="CF6" s="183"/>
      <c r="CG6" s="183"/>
      <c r="CH6" s="183"/>
      <c r="CI6" s="183"/>
      <c r="CJ6" s="183"/>
      <c r="CK6" s="183"/>
      <c r="CL6" s="183"/>
      <c r="CM6" s="183"/>
      <c r="CN6" s="183"/>
      <c r="CO6" s="183"/>
      <c r="CP6" s="183"/>
      <c r="CQ6" s="183"/>
      <c r="CR6" s="183"/>
      <c r="CS6" s="183"/>
      <c r="CT6" s="183"/>
      <c r="CU6" s="183"/>
      <c r="CV6" s="183"/>
      <c r="CW6" s="183"/>
      <c r="CX6" s="183"/>
      <c r="CY6" s="183"/>
      <c r="CZ6" s="183"/>
      <c r="DA6" s="183"/>
      <c r="DB6" s="183"/>
      <c r="DC6" s="183"/>
      <c r="DD6" s="183"/>
      <c r="DE6" s="183"/>
      <c r="DF6" s="183"/>
      <c r="DG6" s="183"/>
      <c r="DH6" s="183"/>
      <c r="DI6" s="183"/>
      <c r="DJ6" s="183"/>
      <c r="DK6" s="183"/>
      <c r="DL6" s="183"/>
      <c r="DM6" s="183"/>
      <c r="DN6" s="183"/>
      <c r="DO6" s="183"/>
      <c r="DP6" s="183"/>
      <c r="DQ6" s="183"/>
      <c r="DR6" s="183"/>
      <c r="DS6" s="183"/>
      <c r="DT6" s="183"/>
      <c r="DU6" s="183"/>
      <c r="DV6" s="183"/>
      <c r="DW6" s="183"/>
      <c r="DX6" s="183"/>
      <c r="DY6" s="183"/>
      <c r="DZ6" s="183"/>
      <c r="EA6" s="183"/>
      <c r="EB6" s="183"/>
      <c r="EC6" s="183"/>
      <c r="ED6" s="183"/>
      <c r="EE6" s="183"/>
      <c r="EF6" s="183"/>
      <c r="EG6" s="183"/>
      <c r="EH6" s="183"/>
      <c r="EI6" s="183"/>
      <c r="EJ6" s="183"/>
      <c r="EK6" s="183"/>
      <c r="EL6" s="183"/>
      <c r="EM6" s="183"/>
      <c r="EN6" s="183"/>
      <c r="EO6" s="183"/>
      <c r="EP6" s="183"/>
      <c r="EQ6" s="183"/>
      <c r="ER6" s="183"/>
      <c r="ES6" s="183"/>
      <c r="ET6" s="183"/>
      <c r="EU6" s="183"/>
      <c r="EV6" s="183"/>
      <c r="EW6" s="183"/>
      <c r="EX6" s="183"/>
      <c r="EY6" s="183"/>
      <c r="EZ6" s="183"/>
      <c r="FA6" s="183"/>
      <c r="FB6" s="183"/>
      <c r="FC6" s="183"/>
      <c r="FD6" s="183"/>
      <c r="FE6" s="183"/>
      <c r="FF6" s="183"/>
      <c r="FG6" s="183"/>
      <c r="FH6" s="183"/>
      <c r="FI6" s="183"/>
    </row>
    <row r="7" spans="2:165" hidden="1" outlineLevel="1">
      <c r="B7" s="81" t="s">
        <v>25</v>
      </c>
      <c r="C7" s="81" t="s">
        <v>44</v>
      </c>
      <c r="D7" s="303" t="s">
        <v>83</v>
      </c>
      <c r="E7" s="304">
        <v>2.1154799999999998</v>
      </c>
      <c r="F7" s="304">
        <v>1.8542000000000001</v>
      </c>
      <c r="G7" s="304">
        <v>1.9925999999999999</v>
      </c>
      <c r="H7" s="304">
        <v>2.0387400000000002</v>
      </c>
      <c r="I7" s="304">
        <v>1.7385999999999999</v>
      </c>
      <c r="J7" s="304">
        <v>1.05278</v>
      </c>
      <c r="K7" s="304"/>
      <c r="L7" s="304"/>
      <c r="M7" s="304"/>
      <c r="N7" s="304"/>
      <c r="O7" s="304"/>
      <c r="P7" s="304"/>
      <c r="Q7" s="304"/>
      <c r="R7" s="304">
        <f>IFERROR(SUMIFS(Daily_Vol_yesterday[Order Quantity],Daily_Vol_yesterday[Cust_Cat.cust_channel],  "&lt;&gt;DSO",Daily_Vol_yesterday[Map_Product.TME_SKU],master_Daily!D7)/50000,0)</f>
        <v>2.3199999999999998E-2</v>
      </c>
      <c r="S7" s="304">
        <f>IFERROR(SUM(SUMIFS(Weekly_Vol[Quantity],Weekly_Vol[Cust_Cat.cust_channel],  "&lt;&gt;DSO",Weekly_Vol[Map_Product.TME_SKU],master_Daily!D7))/50000,0)</f>
        <v>1.05278</v>
      </c>
      <c r="T7" s="305">
        <f t="shared" si="0"/>
        <v>10.792400000000001</v>
      </c>
      <c r="U7" s="306">
        <f t="shared" si="2"/>
        <v>0.307296483419361</v>
      </c>
      <c r="V7" s="315">
        <f t="shared" si="1"/>
        <v>0</v>
      </c>
      <c r="W7" s="313">
        <f>IFERROR(SUM(SUMIFS(Weekly_Vol[Quantity],Weekly_Vol[Cust_Cat.Customer category],  "Key Account",Weekly_Vol[Map_Product.TME_SKU],master_Daily!D7))/50000,0)
+ IFERROR(SUMIFS(TME_MTD_Dist[Sell_WHS_QTY],TME_MTD_Dist[SKU],master_Daily!$D7)/50000,0)
 + IFERROR(SUMIFS(TME_MTD_Dist[Sell_RTL_QTY],TME_MTD_Dist[SKU],master_Daily!$D7)/50000,0)</f>
        <v>1.02878</v>
      </c>
      <c r="X7" s="314"/>
      <c r="Y7" s="183"/>
      <c r="Z7" s="183"/>
      <c r="AA7" s="183"/>
      <c r="AB7" s="183"/>
      <c r="AC7" s="183"/>
      <c r="AD7" s="183"/>
      <c r="AE7" s="183"/>
      <c r="AF7" s="183"/>
      <c r="AG7" s="183"/>
      <c r="AH7" s="183"/>
      <c r="AI7" s="183"/>
      <c r="AJ7" s="183"/>
      <c r="AK7" s="183"/>
      <c r="AL7" s="183"/>
      <c r="AM7" s="183"/>
      <c r="AN7" s="183"/>
      <c r="AO7" s="183"/>
      <c r="AP7" s="183"/>
      <c r="AQ7" s="183"/>
      <c r="AR7" s="183"/>
      <c r="AS7" s="183"/>
      <c r="AT7" s="183"/>
      <c r="AU7" s="183"/>
      <c r="AV7" s="183"/>
      <c r="AW7" s="183"/>
      <c r="AX7" s="183"/>
      <c r="AY7" s="183"/>
      <c r="AZ7" s="183"/>
      <c r="BA7" s="183"/>
      <c r="BB7" s="183"/>
      <c r="BC7" s="183"/>
      <c r="BD7" s="183"/>
      <c r="BE7" s="183"/>
      <c r="BF7" s="183"/>
      <c r="BG7" s="183"/>
      <c r="BH7" s="183"/>
      <c r="BI7" s="183"/>
      <c r="BJ7" s="183"/>
      <c r="BK7" s="183"/>
      <c r="BL7" s="183"/>
      <c r="BM7" s="183"/>
      <c r="BN7" s="183"/>
      <c r="BO7" s="183"/>
      <c r="BP7" s="183"/>
      <c r="BQ7" s="183"/>
      <c r="BR7" s="183"/>
      <c r="BS7" s="183"/>
      <c r="BT7" s="183"/>
      <c r="BU7" s="183"/>
      <c r="BV7" s="183"/>
      <c r="BW7" s="183"/>
      <c r="BX7" s="183"/>
      <c r="BY7" s="183"/>
      <c r="BZ7" s="183"/>
      <c r="CA7" s="183"/>
      <c r="CB7" s="183"/>
      <c r="CC7" s="183"/>
      <c r="CD7" s="183"/>
      <c r="CE7" s="183"/>
      <c r="CF7" s="183"/>
      <c r="CG7" s="183"/>
      <c r="CH7" s="183"/>
      <c r="CI7" s="183"/>
      <c r="CJ7" s="183"/>
      <c r="CK7" s="183"/>
      <c r="CL7" s="183"/>
      <c r="CM7" s="183"/>
      <c r="CN7" s="183"/>
      <c r="CO7" s="183"/>
      <c r="CP7" s="183"/>
      <c r="CQ7" s="183"/>
      <c r="CR7" s="183"/>
      <c r="CS7" s="183"/>
      <c r="CT7" s="183"/>
      <c r="CU7" s="183"/>
      <c r="CV7" s="183"/>
      <c r="CW7" s="183"/>
      <c r="CX7" s="183"/>
      <c r="CY7" s="183"/>
      <c r="CZ7" s="183"/>
      <c r="DA7" s="183"/>
      <c r="DB7" s="183"/>
      <c r="DC7" s="183"/>
      <c r="DD7" s="183"/>
      <c r="DE7" s="183"/>
      <c r="DF7" s="183"/>
      <c r="DG7" s="183"/>
      <c r="DH7" s="183"/>
      <c r="DI7" s="183"/>
      <c r="DJ7" s="183"/>
      <c r="DK7" s="183"/>
      <c r="DL7" s="183"/>
      <c r="DM7" s="183"/>
      <c r="DN7" s="183"/>
      <c r="DO7" s="183"/>
      <c r="DP7" s="183"/>
      <c r="DQ7" s="183"/>
      <c r="DR7" s="183"/>
      <c r="DS7" s="183"/>
      <c r="DT7" s="183"/>
      <c r="DU7" s="183"/>
      <c r="DV7" s="183"/>
      <c r="DW7" s="183"/>
      <c r="DX7" s="183"/>
      <c r="DY7" s="183"/>
      <c r="DZ7" s="183"/>
      <c r="EA7" s="183"/>
      <c r="EB7" s="183"/>
      <c r="EC7" s="183"/>
      <c r="ED7" s="183"/>
      <c r="EE7" s="183"/>
      <c r="EF7" s="183"/>
      <c r="EG7" s="183"/>
      <c r="EH7" s="183"/>
      <c r="EI7" s="183"/>
      <c r="EJ7" s="183"/>
      <c r="EK7" s="183"/>
      <c r="EL7" s="183"/>
      <c r="EM7" s="183"/>
      <c r="EN7" s="183"/>
      <c r="EO7" s="183"/>
      <c r="EP7" s="183"/>
      <c r="EQ7" s="183"/>
      <c r="ER7" s="183"/>
      <c r="ES7" s="183"/>
      <c r="ET7" s="183"/>
      <c r="EU7" s="183"/>
      <c r="EV7" s="183"/>
      <c r="EW7" s="183"/>
      <c r="EX7" s="183"/>
      <c r="EY7" s="183"/>
      <c r="EZ7" s="183"/>
      <c r="FA7" s="183"/>
      <c r="FB7" s="183"/>
      <c r="FC7" s="183"/>
      <c r="FD7" s="183"/>
      <c r="FE7" s="183"/>
      <c r="FF7" s="183"/>
      <c r="FG7" s="183"/>
      <c r="FH7" s="183"/>
      <c r="FI7" s="183"/>
    </row>
    <row r="8" spans="2:165" hidden="1" outlineLevel="1">
      <c r="B8" s="81" t="s">
        <v>25</v>
      </c>
      <c r="C8" s="81" t="s">
        <v>44</v>
      </c>
      <c r="D8" s="303" t="s">
        <v>84</v>
      </c>
      <c r="E8" s="304">
        <v>1.1849799999999999</v>
      </c>
      <c r="F8" s="304">
        <v>1.0058</v>
      </c>
      <c r="G8" s="304">
        <v>1.3532</v>
      </c>
      <c r="H8" s="304">
        <v>1.45258</v>
      </c>
      <c r="I8" s="304">
        <v>1.41496</v>
      </c>
      <c r="J8" s="304">
        <v>0.67734000000000005</v>
      </c>
      <c r="K8" s="304"/>
      <c r="L8" s="304"/>
      <c r="M8" s="304"/>
      <c r="N8" s="304"/>
      <c r="O8" s="304"/>
      <c r="P8" s="304"/>
      <c r="Q8" s="304"/>
      <c r="R8" s="304">
        <f>IFERROR(SUMIFS(Daily_Vol_yesterday[Order Quantity],Daily_Vol_yesterday[Cust_Cat.cust_channel],  "&lt;&gt;DSO",Daily_Vol_yesterday[Map_Product.TME_SKU],master_Daily!D8)/50000,0)</f>
        <v>2.06E-2</v>
      </c>
      <c r="S8" s="304">
        <f>IFERROR(SUM(SUMIFS(Weekly_Vol[Quantity],Weekly_Vol[Cust_Cat.cust_channel],  "&lt;&gt;DSO",Weekly_Vol[Map_Product.TME_SKU],master_Daily!D8))/50000,0)</f>
        <v>0.67734000000000005</v>
      </c>
      <c r="T8" s="305">
        <f t="shared" si="0"/>
        <v>7.0888600000000004</v>
      </c>
      <c r="U8" s="306">
        <f t="shared" si="2"/>
        <v>0.20184405224529961</v>
      </c>
      <c r="V8" s="315">
        <f t="shared" si="1"/>
        <v>0</v>
      </c>
      <c r="W8" s="313">
        <f>IFERROR(SUM(SUMIFS(Weekly_Vol[Quantity],Weekly_Vol[Cust_Cat.Customer category],  "Key Account",Weekly_Vol[Map_Product.TME_SKU],master_Daily!D8))/50000,0)
+ IFERROR(SUMIFS(TME_MTD_Dist[Sell_WHS_QTY],TME_MTD_Dist[SKU],master_Daily!$D8)/50000,0)
 + IFERROR(SUMIFS(TME_MTD_Dist[Sell_RTL_QTY],TME_MTD_Dist[SKU],master_Daily!$D8)/50000,0)</f>
        <v>0.66034000000000004</v>
      </c>
      <c r="X8" s="314"/>
      <c r="Y8" s="183"/>
      <c r="Z8" s="183"/>
      <c r="AA8" s="183"/>
      <c r="AB8" s="183"/>
      <c r="AC8" s="183"/>
      <c r="AD8" s="183"/>
      <c r="AE8" s="183"/>
      <c r="AF8" s="183"/>
      <c r="AG8" s="183"/>
      <c r="AH8" s="183"/>
      <c r="AI8" s="183"/>
      <c r="AJ8" s="183"/>
      <c r="AK8" s="183"/>
      <c r="AL8" s="183"/>
      <c r="AM8" s="183"/>
      <c r="AN8" s="183"/>
      <c r="AO8" s="183"/>
      <c r="AP8" s="183"/>
      <c r="AQ8" s="183"/>
      <c r="AR8" s="183"/>
      <c r="AS8" s="183"/>
      <c r="AT8" s="183"/>
      <c r="AU8" s="183"/>
      <c r="AV8" s="183"/>
      <c r="AW8" s="183"/>
      <c r="AX8" s="183"/>
      <c r="AY8" s="183"/>
      <c r="AZ8" s="183"/>
      <c r="BA8" s="183"/>
      <c r="BB8" s="183"/>
      <c r="BC8" s="183"/>
      <c r="BD8" s="183"/>
      <c r="BE8" s="183"/>
      <c r="BF8" s="183"/>
      <c r="BG8" s="183"/>
      <c r="BH8" s="183"/>
      <c r="BI8" s="183"/>
      <c r="BJ8" s="183"/>
      <c r="BK8" s="183"/>
      <c r="BL8" s="183"/>
      <c r="BM8" s="183"/>
      <c r="BN8" s="183"/>
      <c r="BO8" s="183"/>
      <c r="BP8" s="183"/>
      <c r="BQ8" s="183"/>
      <c r="BR8" s="183"/>
      <c r="BS8" s="183"/>
      <c r="BT8" s="183"/>
      <c r="BU8" s="183"/>
      <c r="BV8" s="183"/>
      <c r="BW8" s="183"/>
      <c r="BX8" s="183"/>
      <c r="BY8" s="183"/>
      <c r="BZ8" s="183"/>
      <c r="CA8" s="183"/>
      <c r="CB8" s="183"/>
      <c r="CC8" s="183"/>
      <c r="CD8" s="183"/>
      <c r="CE8" s="183"/>
      <c r="CF8" s="183"/>
      <c r="CG8" s="183"/>
      <c r="CH8" s="183"/>
      <c r="CI8" s="183"/>
      <c r="CJ8" s="183"/>
      <c r="CK8" s="183"/>
      <c r="CL8" s="183"/>
      <c r="CM8" s="183"/>
      <c r="CN8" s="183"/>
      <c r="CO8" s="183"/>
      <c r="CP8" s="183"/>
      <c r="CQ8" s="183"/>
      <c r="CR8" s="183"/>
      <c r="CS8" s="183"/>
      <c r="CT8" s="183"/>
      <c r="CU8" s="183"/>
      <c r="CV8" s="183"/>
      <c r="CW8" s="183"/>
      <c r="CX8" s="183"/>
      <c r="CY8" s="183"/>
      <c r="CZ8" s="183"/>
      <c r="DA8" s="183"/>
      <c r="DB8" s="183"/>
      <c r="DC8" s="183"/>
      <c r="DD8" s="183"/>
      <c r="DE8" s="183"/>
      <c r="DF8" s="183"/>
      <c r="DG8" s="183"/>
      <c r="DH8" s="183"/>
      <c r="DI8" s="183"/>
      <c r="DJ8" s="183"/>
      <c r="DK8" s="183"/>
      <c r="DL8" s="183"/>
      <c r="DM8" s="183"/>
      <c r="DN8" s="183"/>
      <c r="DO8" s="183"/>
      <c r="DP8" s="183"/>
      <c r="DQ8" s="183"/>
      <c r="DR8" s="183"/>
      <c r="DS8" s="183"/>
      <c r="DT8" s="183"/>
      <c r="DU8" s="183"/>
      <c r="DV8" s="183"/>
      <c r="DW8" s="183"/>
      <c r="DX8" s="183"/>
      <c r="DY8" s="183"/>
      <c r="DZ8" s="183"/>
      <c r="EA8" s="183"/>
      <c r="EB8" s="183"/>
      <c r="EC8" s="183"/>
      <c r="ED8" s="183"/>
      <c r="EE8" s="183"/>
      <c r="EF8" s="183"/>
      <c r="EG8" s="183"/>
      <c r="EH8" s="183"/>
      <c r="EI8" s="183"/>
      <c r="EJ8" s="183"/>
      <c r="EK8" s="183"/>
      <c r="EL8" s="183"/>
      <c r="EM8" s="183"/>
      <c r="EN8" s="183"/>
      <c r="EO8" s="183"/>
      <c r="EP8" s="183"/>
      <c r="EQ8" s="183"/>
      <c r="ER8" s="183"/>
      <c r="ES8" s="183"/>
      <c r="ET8" s="183"/>
      <c r="EU8" s="183"/>
      <c r="EV8" s="183"/>
      <c r="EW8" s="183"/>
      <c r="EX8" s="183"/>
      <c r="EY8" s="183"/>
      <c r="EZ8" s="183"/>
      <c r="FA8" s="183"/>
      <c r="FB8" s="183"/>
      <c r="FC8" s="183"/>
      <c r="FD8" s="183"/>
      <c r="FE8" s="183"/>
      <c r="FF8" s="183"/>
      <c r="FG8" s="183"/>
      <c r="FH8" s="183"/>
      <c r="FI8" s="183"/>
    </row>
    <row r="9" spans="2:165" hidden="1" outlineLevel="1">
      <c r="B9" s="81" t="s">
        <v>25</v>
      </c>
      <c r="C9" s="81" t="s">
        <v>44</v>
      </c>
      <c r="D9" s="303" t="s">
        <v>85</v>
      </c>
      <c r="E9" s="304">
        <v>3.5151400000000002</v>
      </c>
      <c r="F9" s="304">
        <v>3.0259800000000001</v>
      </c>
      <c r="G9" s="304">
        <v>3.1194000000000002</v>
      </c>
      <c r="H9" s="304">
        <v>2.8731800000000001</v>
      </c>
      <c r="I9" s="304">
        <v>3.1337600000000001</v>
      </c>
      <c r="J9" s="304">
        <v>1.57176</v>
      </c>
      <c r="K9" s="304"/>
      <c r="L9" s="304"/>
      <c r="M9" s="304"/>
      <c r="N9" s="304"/>
      <c r="O9" s="304"/>
      <c r="P9" s="304"/>
      <c r="Q9" s="304"/>
      <c r="R9" s="304">
        <f>IFERROR(SUMIFS(Daily_Vol_yesterday[Order Quantity],Daily_Vol_yesterday[Cust_Cat.cust_channel],  "&lt;&gt;DSO",Daily_Vol_yesterday[Map_Product.TME_SKU],master_Daily!D9)/50000,0)</f>
        <v>5.9799999999999999E-2</v>
      </c>
      <c r="S9" s="304">
        <f>IFERROR(SUM(SUMIFS(Weekly_Vol[Quantity],Weekly_Vol[Cust_Cat.cust_channel],  "&lt;&gt;DSO",Weekly_Vol[Map_Product.TME_SKU],master_Daily!D9))/50000,0)</f>
        <v>1.57176</v>
      </c>
      <c r="T9" s="305">
        <f t="shared" si="0"/>
        <v>17.23922</v>
      </c>
      <c r="U9" s="306">
        <f t="shared" si="2"/>
        <v>0.49085946433533933</v>
      </c>
      <c r="V9" s="315">
        <f t="shared" si="1"/>
        <v>0</v>
      </c>
      <c r="W9" s="313">
        <f>IFERROR(SUM(SUMIFS(Weekly_Vol[Quantity],Weekly_Vol[Cust_Cat.Customer category],  "Key Account",Weekly_Vol[Map_Product.TME_SKU],master_Daily!D9))/50000,0)
+ IFERROR(SUMIFS(TME_MTD_Dist[Sell_WHS_QTY],TME_MTD_Dist[SKU],master_Daily!$D9)/50000,0)
 + IFERROR(SUMIFS(TME_MTD_Dist[Sell_RTL_QTY],TME_MTD_Dist[SKU],master_Daily!$D9)/50000,0)</f>
        <v>1.5047600000000001</v>
      </c>
      <c r="X9" s="314"/>
      <c r="Y9" s="183"/>
      <c r="Z9" s="183"/>
      <c r="AA9" s="183"/>
      <c r="AB9" s="183"/>
      <c r="AC9" s="183"/>
      <c r="AD9" s="183"/>
      <c r="AE9" s="183"/>
      <c r="AF9" s="183"/>
      <c r="AG9" s="183"/>
      <c r="AH9" s="183"/>
      <c r="AI9" s="183"/>
      <c r="AJ9" s="183"/>
      <c r="AK9" s="183"/>
      <c r="AL9" s="183"/>
      <c r="AM9" s="183"/>
      <c r="AN9" s="183"/>
      <c r="AO9" s="183"/>
      <c r="AP9" s="183"/>
      <c r="AQ9" s="183"/>
      <c r="AR9" s="183"/>
      <c r="AS9" s="183"/>
      <c r="AT9" s="183"/>
      <c r="AU9" s="183"/>
      <c r="AV9" s="183"/>
      <c r="AW9" s="183"/>
      <c r="AX9" s="183"/>
      <c r="AY9" s="183"/>
      <c r="AZ9" s="183"/>
      <c r="BA9" s="183"/>
      <c r="BB9" s="183"/>
      <c r="BC9" s="183"/>
      <c r="BD9" s="183"/>
      <c r="BE9" s="183"/>
      <c r="BF9" s="183"/>
      <c r="BG9" s="183"/>
      <c r="BH9" s="183"/>
      <c r="BI9" s="183"/>
      <c r="BJ9" s="183"/>
      <c r="BK9" s="183"/>
      <c r="BL9" s="183"/>
      <c r="BM9" s="183"/>
      <c r="BN9" s="183"/>
      <c r="BO9" s="183"/>
      <c r="BP9" s="183"/>
      <c r="BQ9" s="183"/>
      <c r="BR9" s="183"/>
      <c r="BS9" s="183"/>
      <c r="BT9" s="183"/>
      <c r="BU9" s="183"/>
      <c r="BV9" s="183"/>
      <c r="BW9" s="183"/>
      <c r="BX9" s="183"/>
      <c r="BY9" s="183"/>
      <c r="BZ9" s="183"/>
      <c r="CA9" s="183"/>
      <c r="CB9" s="183"/>
      <c r="CC9" s="183"/>
      <c r="CD9" s="183"/>
      <c r="CE9" s="183"/>
      <c r="CF9" s="183"/>
      <c r="CG9" s="183"/>
      <c r="CH9" s="183"/>
      <c r="CI9" s="183"/>
      <c r="CJ9" s="183"/>
      <c r="CK9" s="183"/>
      <c r="CL9" s="183"/>
      <c r="CM9" s="183"/>
      <c r="CN9" s="183"/>
      <c r="CO9" s="183"/>
      <c r="CP9" s="183"/>
      <c r="CQ9" s="183"/>
      <c r="CR9" s="183"/>
      <c r="CS9" s="183"/>
      <c r="CT9" s="183"/>
      <c r="CU9" s="183"/>
      <c r="CV9" s="183"/>
      <c r="CW9" s="183"/>
      <c r="CX9" s="183"/>
      <c r="CY9" s="183"/>
      <c r="CZ9" s="183"/>
      <c r="DA9" s="183"/>
      <c r="DB9" s="183"/>
      <c r="DC9" s="183"/>
      <c r="DD9" s="183"/>
      <c r="DE9" s="183"/>
      <c r="DF9" s="183"/>
      <c r="DG9" s="183"/>
      <c r="DH9" s="183"/>
      <c r="DI9" s="183"/>
      <c r="DJ9" s="183"/>
      <c r="DK9" s="183"/>
      <c r="DL9" s="183"/>
      <c r="DM9" s="183"/>
      <c r="DN9" s="183"/>
      <c r="DO9" s="183"/>
      <c r="DP9" s="183"/>
      <c r="DQ9" s="183"/>
      <c r="DR9" s="183"/>
      <c r="DS9" s="183"/>
      <c r="DT9" s="183"/>
      <c r="DU9" s="183"/>
      <c r="DV9" s="183"/>
      <c r="DW9" s="183"/>
      <c r="DX9" s="183"/>
      <c r="DY9" s="183"/>
      <c r="DZ9" s="183"/>
      <c r="EA9" s="183"/>
      <c r="EB9" s="183"/>
      <c r="EC9" s="183"/>
      <c r="ED9" s="183"/>
      <c r="EE9" s="183"/>
      <c r="EF9" s="183"/>
      <c r="EG9" s="183"/>
      <c r="EH9" s="183"/>
      <c r="EI9" s="183"/>
      <c r="EJ9" s="183"/>
      <c r="EK9" s="183"/>
      <c r="EL9" s="183"/>
      <c r="EM9" s="183"/>
      <c r="EN9" s="183"/>
      <c r="EO9" s="183"/>
      <c r="EP9" s="183"/>
      <c r="EQ9" s="183"/>
      <c r="ER9" s="183"/>
      <c r="ES9" s="183"/>
      <c r="ET9" s="183"/>
      <c r="EU9" s="183"/>
      <c r="EV9" s="183"/>
      <c r="EW9" s="183"/>
      <c r="EX9" s="183"/>
      <c r="EY9" s="183"/>
      <c r="EZ9" s="183"/>
      <c r="FA9" s="183"/>
      <c r="FB9" s="183"/>
      <c r="FC9" s="183"/>
      <c r="FD9" s="183"/>
      <c r="FE9" s="183"/>
      <c r="FF9" s="183"/>
      <c r="FG9" s="183"/>
      <c r="FH9" s="183"/>
      <c r="FI9" s="183"/>
    </row>
    <row r="10" spans="2:165" hidden="1" outlineLevel="1">
      <c r="B10" s="81" t="s">
        <v>25</v>
      </c>
      <c r="C10" s="81" t="s">
        <v>44</v>
      </c>
      <c r="D10" s="303" t="s">
        <v>86</v>
      </c>
      <c r="E10" s="304">
        <v>0</v>
      </c>
      <c r="F10" s="304">
        <v>0</v>
      </c>
      <c r="G10" s="304">
        <v>0</v>
      </c>
      <c r="H10" s="304">
        <v>0</v>
      </c>
      <c r="I10" s="304">
        <v>0</v>
      </c>
      <c r="J10" s="304">
        <v>0</v>
      </c>
      <c r="K10" s="304"/>
      <c r="L10" s="304"/>
      <c r="M10" s="304"/>
      <c r="N10" s="304"/>
      <c r="O10" s="304"/>
      <c r="P10" s="304"/>
      <c r="Q10" s="304"/>
      <c r="R10" s="304">
        <f>IFERROR(SUMIFS(Daily_Vol_yesterday[Order Quantity],Daily_Vol_yesterday[Cust_Cat.cust_channel],  "&lt;&gt;DSO",Daily_Vol_yesterday[Map_Product.TME_SKU],master_Daily!D10)/50000,0)</f>
        <v>0</v>
      </c>
      <c r="S10" s="304">
        <f>IFERROR(SUM(SUMIFS(Weekly_Vol[Quantity],Weekly_Vol[Cust_Cat.cust_channel],  "&lt;&gt;DSO",Weekly_Vol[Map_Product.TME_SKU],master_Daily!D10))/50000,0)</f>
        <v>0</v>
      </c>
      <c r="T10" s="305">
        <f t="shared" si="0"/>
        <v>0</v>
      </c>
      <c r="U10" s="306">
        <f t="shared" si="2"/>
        <v>0</v>
      </c>
      <c r="V10" s="315">
        <f t="shared" si="1"/>
        <v>0</v>
      </c>
      <c r="W10" s="313">
        <f>IFERROR(SUM(SUMIFS(Weekly_Vol[Quantity],Weekly_Vol[Cust_Cat.Customer category],  "Key Account",Weekly_Vol[Map_Product.TME_SKU],master_Daily!D10))/50000,0)
+ IFERROR(SUMIFS(TME_MTD_Dist[Sell_WHS_QTY],TME_MTD_Dist[SKU],master_Daily!$D10)/50000,0)
 + IFERROR(SUMIFS(TME_MTD_Dist[Sell_RTL_QTY],TME_MTD_Dist[SKU],master_Daily!$D10)/50000,0)</f>
        <v>0</v>
      </c>
      <c r="X10" s="314"/>
      <c r="Y10" s="183"/>
      <c r="Z10" s="183"/>
      <c r="AA10" s="183"/>
      <c r="AB10" s="183"/>
      <c r="AC10" s="183"/>
      <c r="AD10" s="183"/>
      <c r="AE10" s="183"/>
      <c r="AF10" s="183"/>
      <c r="AG10" s="183"/>
      <c r="AH10" s="183"/>
      <c r="AI10" s="183"/>
      <c r="AJ10" s="183"/>
      <c r="AK10" s="183"/>
      <c r="AL10" s="183"/>
      <c r="AM10" s="183"/>
      <c r="AN10" s="183"/>
      <c r="AO10" s="183"/>
      <c r="AP10" s="183"/>
      <c r="AQ10" s="183"/>
      <c r="AR10" s="183"/>
      <c r="AS10" s="183"/>
      <c r="AT10" s="183"/>
      <c r="AU10" s="183"/>
      <c r="AV10" s="183"/>
      <c r="AW10" s="183"/>
      <c r="AX10" s="183"/>
      <c r="AY10" s="183"/>
      <c r="AZ10" s="183"/>
      <c r="BA10" s="183"/>
      <c r="BB10" s="183"/>
      <c r="BC10" s="183"/>
      <c r="BD10" s="183"/>
      <c r="BE10" s="183"/>
      <c r="BF10" s="183"/>
      <c r="BG10" s="183"/>
      <c r="BH10" s="183"/>
      <c r="BI10" s="183"/>
      <c r="BJ10" s="183"/>
      <c r="BK10" s="183"/>
      <c r="BL10" s="183"/>
      <c r="BM10" s="183"/>
      <c r="BN10" s="183"/>
      <c r="BO10" s="183"/>
      <c r="BP10" s="183"/>
      <c r="BQ10" s="183"/>
      <c r="BR10" s="183"/>
      <c r="BS10" s="183"/>
      <c r="BT10" s="183"/>
      <c r="BU10" s="183"/>
      <c r="BV10" s="183"/>
      <c r="BW10" s="183"/>
      <c r="BX10" s="183"/>
      <c r="BY10" s="183"/>
      <c r="BZ10" s="183"/>
      <c r="CA10" s="183"/>
      <c r="CB10" s="183"/>
      <c r="CC10" s="183"/>
      <c r="CD10" s="183"/>
      <c r="CE10" s="183"/>
      <c r="CF10" s="183"/>
      <c r="CG10" s="183"/>
      <c r="CH10" s="183"/>
      <c r="CI10" s="183"/>
      <c r="CJ10" s="183"/>
      <c r="CK10" s="183"/>
      <c r="CL10" s="183"/>
      <c r="CM10" s="183"/>
      <c r="CN10" s="183"/>
      <c r="CO10" s="183"/>
      <c r="CP10" s="183"/>
      <c r="CQ10" s="183"/>
      <c r="CR10" s="183"/>
      <c r="CS10" s="183"/>
      <c r="CT10" s="183"/>
      <c r="CU10" s="183"/>
      <c r="CV10" s="183"/>
      <c r="CW10" s="183"/>
      <c r="CX10" s="183"/>
      <c r="CY10" s="183"/>
      <c r="CZ10" s="183"/>
      <c r="DA10" s="183"/>
      <c r="DB10" s="183"/>
      <c r="DC10" s="183"/>
      <c r="DD10" s="183"/>
      <c r="DE10" s="183"/>
      <c r="DF10" s="183"/>
      <c r="DG10" s="183"/>
      <c r="DH10" s="183"/>
      <c r="DI10" s="183"/>
      <c r="DJ10" s="183"/>
      <c r="DK10" s="183"/>
      <c r="DL10" s="183"/>
      <c r="DM10" s="183"/>
      <c r="DN10" s="183"/>
      <c r="DO10" s="183"/>
      <c r="DP10" s="183"/>
      <c r="DQ10" s="183"/>
      <c r="DR10" s="183"/>
      <c r="DS10" s="183"/>
      <c r="DT10" s="183"/>
      <c r="DU10" s="183"/>
      <c r="DV10" s="183"/>
      <c r="DW10" s="183"/>
      <c r="DX10" s="183"/>
      <c r="DY10" s="183"/>
      <c r="DZ10" s="183"/>
      <c r="EA10" s="183"/>
      <c r="EB10" s="183"/>
      <c r="EC10" s="183"/>
      <c r="ED10" s="183"/>
      <c r="EE10" s="183"/>
      <c r="EF10" s="183"/>
      <c r="EG10" s="183"/>
      <c r="EH10" s="183"/>
      <c r="EI10" s="183"/>
      <c r="EJ10" s="183"/>
      <c r="EK10" s="183"/>
      <c r="EL10" s="183"/>
      <c r="EM10" s="183"/>
      <c r="EN10" s="183"/>
      <c r="EO10" s="183"/>
      <c r="EP10" s="183"/>
      <c r="EQ10" s="183"/>
      <c r="ER10" s="183"/>
      <c r="ES10" s="183"/>
      <c r="ET10" s="183"/>
      <c r="EU10" s="183"/>
      <c r="EV10" s="183"/>
      <c r="EW10" s="183"/>
      <c r="EX10" s="183"/>
      <c r="EY10" s="183"/>
      <c r="EZ10" s="183"/>
      <c r="FA10" s="183"/>
      <c r="FB10" s="183"/>
      <c r="FC10" s="183"/>
      <c r="FD10" s="183"/>
      <c r="FE10" s="183"/>
      <c r="FF10" s="183"/>
      <c r="FG10" s="183"/>
      <c r="FH10" s="183"/>
      <c r="FI10" s="183"/>
    </row>
    <row r="11" spans="2:165" hidden="1" outlineLevel="1">
      <c r="B11" s="81" t="s">
        <v>25</v>
      </c>
      <c r="C11" s="81" t="s">
        <v>44</v>
      </c>
      <c r="D11" s="303" t="s">
        <v>87</v>
      </c>
      <c r="E11" s="70">
        <v>0</v>
      </c>
      <c r="F11" s="70">
        <v>0</v>
      </c>
      <c r="G11" s="70">
        <v>0</v>
      </c>
      <c r="H11" s="70">
        <v>0</v>
      </c>
      <c r="I11" s="70">
        <v>0</v>
      </c>
      <c r="J11" s="70">
        <v>0</v>
      </c>
      <c r="K11" s="70"/>
      <c r="L11" s="70"/>
      <c r="M11" s="70"/>
      <c r="N11" s="70"/>
      <c r="O11" s="70"/>
      <c r="P11" s="70"/>
      <c r="Q11" s="70"/>
      <c r="R11" s="70">
        <f>IFERROR(SUMIFS(Daily_Vol_yesterday[Order Quantity],Daily_Vol_yesterday[Cust_Cat.cust_channel],  "&lt;&gt;DSO",Daily_Vol_yesterday[Map_Product.TME_SKU],master_Daily!D11)/50000,0)</f>
        <v>0</v>
      </c>
      <c r="S11" s="70">
        <f>IFERROR(SUM(SUMIFS(Weekly_Vol[Quantity],Weekly_Vol[Cust_Cat.cust_channel],  "&lt;&gt;DSO",Weekly_Vol[Map_Product.TME_SKU],master_Daily!D11))/50000,0)</f>
        <v>0</v>
      </c>
      <c r="T11" s="82">
        <f t="shared" si="0"/>
        <v>0</v>
      </c>
      <c r="U11" s="83">
        <f t="shared" si="2"/>
        <v>0</v>
      </c>
      <c r="V11" s="315">
        <f t="shared" si="1"/>
        <v>0</v>
      </c>
      <c r="W11" s="313">
        <f>IFERROR(SUM(SUMIFS(Weekly_Vol[Quantity],Weekly_Vol[Cust_Cat.Customer category],  "Key Account",Weekly_Vol[Map_Product.TME_SKU],master_Daily!D11))/50000,0)
+ IFERROR(SUMIFS(TME_MTD_Dist[Sell_WHS_QTY],TME_MTD_Dist[SKU],master_Daily!$D11)/50000,0)
 + IFERROR(SUMIFS(TME_MTD_Dist[Sell_RTL_QTY],TME_MTD_Dist[SKU],master_Daily!$D11)/50000,0)</f>
        <v>0</v>
      </c>
      <c r="X11" s="314"/>
      <c r="Y11" s="183"/>
      <c r="Z11" s="183"/>
      <c r="AA11" s="183"/>
      <c r="AB11" s="183"/>
      <c r="AC11" s="183"/>
      <c r="AD11" s="183"/>
      <c r="AE11" s="183"/>
      <c r="AF11" s="183"/>
      <c r="AG11" s="183"/>
      <c r="AH11" s="183"/>
      <c r="AI11" s="183"/>
      <c r="AJ11" s="183"/>
      <c r="AK11" s="183"/>
      <c r="AL11" s="183"/>
      <c r="AM11" s="183"/>
      <c r="AN11" s="183"/>
      <c r="AO11" s="183"/>
      <c r="AP11" s="183"/>
      <c r="AQ11" s="183"/>
      <c r="AR11" s="183"/>
      <c r="AS11" s="183"/>
      <c r="AT11" s="183"/>
      <c r="AU11" s="183"/>
      <c r="AV11" s="183"/>
      <c r="AW11" s="183"/>
      <c r="AX11" s="183"/>
      <c r="AY11" s="183"/>
      <c r="AZ11" s="183"/>
      <c r="BA11" s="183"/>
      <c r="BB11" s="183"/>
      <c r="BC11" s="183"/>
      <c r="BD11" s="183"/>
      <c r="BE11" s="183"/>
      <c r="BF11" s="183"/>
      <c r="BG11" s="183"/>
      <c r="BH11" s="183"/>
      <c r="BI11" s="183"/>
      <c r="BJ11" s="183"/>
      <c r="BK11" s="183"/>
      <c r="BL11" s="183"/>
      <c r="BM11" s="183"/>
      <c r="BN11" s="183"/>
      <c r="BO11" s="183"/>
      <c r="BP11" s="183"/>
      <c r="BQ11" s="183"/>
      <c r="BR11" s="183"/>
      <c r="BS11" s="183"/>
      <c r="BT11" s="183"/>
      <c r="BU11" s="183"/>
      <c r="BV11" s="183"/>
      <c r="BW11" s="183"/>
      <c r="BX11" s="183"/>
      <c r="BY11" s="183"/>
      <c r="BZ11" s="183"/>
      <c r="CA11" s="183"/>
      <c r="CB11" s="183"/>
      <c r="CC11" s="183"/>
      <c r="CD11" s="183"/>
      <c r="CE11" s="183"/>
      <c r="CF11" s="183"/>
      <c r="CG11" s="183"/>
      <c r="CH11" s="183"/>
      <c r="CI11" s="183"/>
      <c r="CJ11" s="183"/>
      <c r="CK11" s="183"/>
      <c r="CL11" s="183"/>
      <c r="CM11" s="183"/>
      <c r="CN11" s="183"/>
      <c r="CO11" s="183"/>
      <c r="CP11" s="183"/>
      <c r="CQ11" s="183"/>
      <c r="CR11" s="183"/>
      <c r="CS11" s="183"/>
      <c r="CT11" s="183"/>
      <c r="CU11" s="183"/>
      <c r="CV11" s="183"/>
      <c r="CW11" s="183"/>
      <c r="CX11" s="183"/>
      <c r="CY11" s="183"/>
      <c r="CZ11" s="183"/>
      <c r="DA11" s="183"/>
      <c r="DB11" s="183"/>
      <c r="DC11" s="183"/>
      <c r="DD11" s="183"/>
      <c r="DE11" s="183"/>
      <c r="DF11" s="183"/>
      <c r="DG11" s="183"/>
      <c r="DH11" s="183"/>
      <c r="DI11" s="183"/>
      <c r="DJ11" s="183"/>
      <c r="DK11" s="183"/>
      <c r="DL11" s="183"/>
      <c r="DM11" s="183"/>
      <c r="DN11" s="183"/>
      <c r="DO11" s="183"/>
      <c r="DP11" s="183"/>
      <c r="DQ11" s="183"/>
      <c r="DR11" s="183"/>
      <c r="DS11" s="183"/>
      <c r="DT11" s="183"/>
      <c r="DU11" s="183"/>
      <c r="DV11" s="183"/>
      <c r="DW11" s="183"/>
      <c r="DX11" s="183"/>
      <c r="DY11" s="183"/>
      <c r="DZ11" s="183"/>
      <c r="EA11" s="183"/>
      <c r="EB11" s="183"/>
      <c r="EC11" s="183"/>
      <c r="ED11" s="183"/>
      <c r="EE11" s="183"/>
      <c r="EF11" s="183"/>
      <c r="EG11" s="183"/>
      <c r="EH11" s="183"/>
      <c r="EI11" s="183"/>
      <c r="EJ11" s="183"/>
      <c r="EK11" s="183"/>
      <c r="EL11" s="183"/>
      <c r="EM11" s="183"/>
      <c r="EN11" s="183"/>
      <c r="EO11" s="183"/>
      <c r="EP11" s="183"/>
      <c r="EQ11" s="183"/>
      <c r="ER11" s="183"/>
      <c r="ES11" s="183"/>
      <c r="ET11" s="183"/>
      <c r="EU11" s="183"/>
      <c r="EV11" s="183"/>
      <c r="EW11" s="183"/>
      <c r="EX11" s="183"/>
      <c r="EY11" s="183"/>
      <c r="EZ11" s="183"/>
      <c r="FA11" s="183"/>
      <c r="FB11" s="183"/>
      <c r="FC11" s="183"/>
      <c r="FD11" s="183"/>
      <c r="FE11" s="183"/>
      <c r="FF11" s="183"/>
      <c r="FG11" s="183"/>
      <c r="FH11" s="183"/>
      <c r="FI11" s="183"/>
    </row>
    <row r="12" spans="2:165" ht="0.2" hidden="1" customHeight="1" outlineLevel="1">
      <c r="B12" s="81"/>
      <c r="C12" s="81"/>
      <c r="D12" s="301"/>
      <c r="E12" s="70">
        <v>0</v>
      </c>
      <c r="F12" s="70">
        <v>0</v>
      </c>
      <c r="G12" s="70">
        <v>0</v>
      </c>
      <c r="H12" s="70">
        <v>0</v>
      </c>
      <c r="I12" s="70">
        <v>0</v>
      </c>
      <c r="J12" s="70">
        <v>0</v>
      </c>
      <c r="K12" s="70"/>
      <c r="L12" s="70"/>
      <c r="M12" s="70"/>
      <c r="N12" s="70"/>
      <c r="O12" s="70"/>
      <c r="P12" s="70"/>
      <c r="Q12" s="70"/>
      <c r="R12" s="70">
        <f>IFERROR(SUMIFS(Daily_Vol_yesterday[Order Quantity],Daily_Vol_yesterday[Cust_Cat.cust_channel],  "&lt;&gt;DSO",Daily_Vol_yesterday[Map_Product.TME_SKU],master_Daily!D12)/50000,0)</f>
        <v>0</v>
      </c>
      <c r="S12" s="70">
        <f>IFERROR(SUM(SUMIFS(Weekly_Vol[Quantity],Weekly_Vol[Cust_Cat.cust_channel],  "&lt;&gt;DSO",Weekly_Vol[Map_Product.TME_SKU],master_Daily!D12))/50000,0)</f>
        <v>0</v>
      </c>
      <c r="T12" s="82">
        <f t="shared" si="0"/>
        <v>0</v>
      </c>
      <c r="U12" s="83">
        <f t="shared" si="2"/>
        <v>0</v>
      </c>
      <c r="V12" s="84"/>
      <c r="W12" s="183"/>
      <c r="X12" s="314"/>
      <c r="Y12" s="183"/>
      <c r="Z12" s="183"/>
      <c r="AA12" s="183"/>
      <c r="AB12" s="183"/>
      <c r="AC12" s="183"/>
      <c r="AD12" s="183"/>
      <c r="AE12" s="183"/>
      <c r="AF12" s="183"/>
      <c r="AG12" s="183"/>
      <c r="AH12" s="183"/>
      <c r="AI12" s="183"/>
      <c r="AJ12" s="183"/>
      <c r="AK12" s="183"/>
      <c r="AL12" s="183"/>
      <c r="AM12" s="183"/>
      <c r="AN12" s="183"/>
      <c r="AO12" s="183"/>
      <c r="AP12" s="183"/>
      <c r="AQ12" s="183"/>
      <c r="AR12" s="183"/>
      <c r="AS12" s="183"/>
      <c r="AT12" s="183"/>
      <c r="AU12" s="183"/>
      <c r="AV12" s="183"/>
      <c r="AW12" s="183"/>
      <c r="AX12" s="183"/>
      <c r="AY12" s="183"/>
      <c r="AZ12" s="183"/>
      <c r="BA12" s="183"/>
      <c r="BB12" s="183"/>
      <c r="BC12" s="183"/>
      <c r="BD12" s="183"/>
      <c r="BE12" s="183"/>
      <c r="BF12" s="183"/>
      <c r="BG12" s="183"/>
      <c r="BH12" s="183"/>
      <c r="BI12" s="183"/>
      <c r="BJ12" s="183"/>
      <c r="BK12" s="183"/>
      <c r="BL12" s="183"/>
      <c r="BM12" s="183"/>
      <c r="BN12" s="183"/>
      <c r="BO12" s="183"/>
      <c r="BP12" s="183"/>
      <c r="BQ12" s="183"/>
      <c r="BR12" s="183"/>
      <c r="BS12" s="183"/>
      <c r="BT12" s="183"/>
      <c r="BU12" s="183"/>
      <c r="BV12" s="183"/>
      <c r="BW12" s="183"/>
      <c r="BX12" s="183"/>
      <c r="BY12" s="183"/>
      <c r="BZ12" s="183"/>
      <c r="CA12" s="183"/>
      <c r="CB12" s="183"/>
      <c r="CC12" s="183"/>
      <c r="CD12" s="183"/>
      <c r="CE12" s="183"/>
      <c r="CF12" s="183"/>
      <c r="CG12" s="183"/>
      <c r="CH12" s="183"/>
      <c r="CI12" s="183"/>
      <c r="CJ12" s="183"/>
      <c r="CK12" s="183"/>
      <c r="CL12" s="183"/>
      <c r="CM12" s="183"/>
      <c r="CN12" s="183"/>
      <c r="CO12" s="183"/>
      <c r="CP12" s="183"/>
      <c r="CQ12" s="183"/>
      <c r="CR12" s="183"/>
      <c r="CS12" s="183"/>
      <c r="CT12" s="183"/>
      <c r="CU12" s="183"/>
      <c r="CV12" s="183"/>
      <c r="CW12" s="183"/>
      <c r="CX12" s="183"/>
      <c r="CY12" s="183"/>
      <c r="CZ12" s="183"/>
      <c r="DA12" s="183"/>
      <c r="DB12" s="183"/>
      <c r="DC12" s="183"/>
      <c r="DD12" s="183"/>
      <c r="DE12" s="183"/>
      <c r="DF12" s="183"/>
      <c r="DG12" s="183"/>
      <c r="DH12" s="183"/>
      <c r="DI12" s="183"/>
      <c r="DJ12" s="183"/>
      <c r="DK12" s="183"/>
      <c r="DL12" s="183"/>
      <c r="DM12" s="183"/>
      <c r="DN12" s="183"/>
      <c r="DO12" s="183"/>
      <c r="DP12" s="183"/>
      <c r="DQ12" s="183"/>
      <c r="DR12" s="183"/>
      <c r="DS12" s="183"/>
      <c r="DT12" s="183"/>
      <c r="DU12" s="183"/>
      <c r="DV12" s="183"/>
      <c r="DW12" s="183"/>
      <c r="DX12" s="183"/>
      <c r="DY12" s="183"/>
      <c r="DZ12" s="183"/>
      <c r="EA12" s="183"/>
      <c r="EB12" s="183"/>
      <c r="EC12" s="183"/>
      <c r="ED12" s="183"/>
      <c r="EE12" s="183"/>
      <c r="EF12" s="183"/>
      <c r="EG12" s="183"/>
      <c r="EH12" s="183"/>
      <c r="EI12" s="183"/>
      <c r="EJ12" s="183"/>
      <c r="EK12" s="183"/>
      <c r="EL12" s="183"/>
      <c r="EM12" s="183"/>
      <c r="EN12" s="183"/>
      <c r="EO12" s="183"/>
      <c r="EP12" s="183"/>
      <c r="EQ12" s="183"/>
      <c r="ER12" s="183"/>
      <c r="ES12" s="183"/>
      <c r="ET12" s="183"/>
      <c r="EU12" s="183"/>
      <c r="EV12" s="183"/>
      <c r="EW12" s="183"/>
      <c r="EX12" s="183"/>
      <c r="EY12" s="183"/>
      <c r="EZ12" s="183"/>
      <c r="FA12" s="183"/>
      <c r="FB12" s="183"/>
      <c r="FC12" s="183"/>
      <c r="FD12" s="183"/>
      <c r="FE12" s="183"/>
      <c r="FF12" s="183"/>
      <c r="FG12" s="183"/>
      <c r="FH12" s="183"/>
      <c r="FI12" s="183"/>
    </row>
    <row r="13" spans="2:165" ht="0.2" hidden="1" customHeight="1" outlineLevel="1">
      <c r="B13" s="81"/>
      <c r="C13" s="81"/>
      <c r="D13" s="301"/>
      <c r="E13" s="70">
        <v>0</v>
      </c>
      <c r="F13" s="70">
        <v>0</v>
      </c>
      <c r="G13" s="70">
        <v>0</v>
      </c>
      <c r="H13" s="70">
        <v>0</v>
      </c>
      <c r="I13" s="70">
        <v>0</v>
      </c>
      <c r="J13" s="70">
        <v>0</v>
      </c>
      <c r="K13" s="70"/>
      <c r="L13" s="70"/>
      <c r="M13" s="70"/>
      <c r="N13" s="70"/>
      <c r="O13" s="70"/>
      <c r="P13" s="70"/>
      <c r="Q13" s="70"/>
      <c r="R13" s="70">
        <f>IFERROR(SUMIFS(Daily_Vol_yesterday[Order Quantity],Daily_Vol_yesterday[Cust_Cat.cust_channel],  "&lt;&gt;DSO",Daily_Vol_yesterday[Map_Product.TME_SKU],master_Daily!D13)/50000,0)</f>
        <v>0</v>
      </c>
      <c r="S13" s="70">
        <f>IFERROR(SUM(SUMIFS(Weekly_Vol[Quantity],Weekly_Vol[Cust_Cat.cust_channel],  "&lt;&gt;DSO",Weekly_Vol[Map_Product.TME_SKU],master_Daily!D13))/50000,0)</f>
        <v>0</v>
      </c>
      <c r="T13" s="82">
        <f t="shared" si="0"/>
        <v>0</v>
      </c>
      <c r="U13" s="83">
        <f t="shared" si="2"/>
        <v>0</v>
      </c>
      <c r="V13" s="84"/>
      <c r="W13" s="183"/>
      <c r="X13" s="314"/>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3"/>
      <c r="BI13" s="183"/>
      <c r="BJ13" s="183"/>
      <c r="BK13" s="183"/>
      <c r="BL13" s="183"/>
      <c r="BM13" s="183"/>
      <c r="BN13" s="183"/>
      <c r="BO13" s="183"/>
      <c r="BP13" s="183"/>
      <c r="BQ13" s="183"/>
      <c r="BR13" s="183"/>
      <c r="BS13" s="183"/>
      <c r="BT13" s="183"/>
      <c r="BU13" s="183"/>
      <c r="BV13" s="183"/>
      <c r="BW13" s="183"/>
      <c r="BX13" s="183"/>
      <c r="BY13" s="183"/>
      <c r="BZ13" s="183"/>
      <c r="CA13" s="183"/>
      <c r="CB13" s="183"/>
      <c r="CC13" s="183"/>
      <c r="CD13" s="183"/>
      <c r="CE13" s="183"/>
      <c r="CF13" s="183"/>
      <c r="CG13" s="183"/>
      <c r="CH13" s="183"/>
      <c r="CI13" s="183"/>
      <c r="CJ13" s="183"/>
      <c r="CK13" s="183"/>
      <c r="CL13" s="183"/>
      <c r="CM13" s="183"/>
      <c r="CN13" s="183"/>
      <c r="CO13" s="183"/>
      <c r="CP13" s="183"/>
      <c r="CQ13" s="183"/>
      <c r="CR13" s="183"/>
      <c r="CS13" s="183"/>
      <c r="CT13" s="183"/>
      <c r="CU13" s="183"/>
      <c r="CV13" s="183"/>
      <c r="CW13" s="183"/>
      <c r="CX13" s="183"/>
      <c r="CY13" s="183"/>
      <c r="CZ13" s="183"/>
      <c r="DA13" s="183"/>
      <c r="DB13" s="183"/>
      <c r="DC13" s="183"/>
      <c r="DD13" s="183"/>
      <c r="DE13" s="183"/>
      <c r="DF13" s="183"/>
      <c r="DG13" s="183"/>
      <c r="DH13" s="183"/>
      <c r="DI13" s="183"/>
      <c r="DJ13" s="183"/>
      <c r="DK13" s="183"/>
      <c r="DL13" s="183"/>
      <c r="DM13" s="183"/>
      <c r="DN13" s="183"/>
      <c r="DO13" s="183"/>
      <c r="DP13" s="183"/>
      <c r="DQ13" s="183"/>
      <c r="DR13" s="183"/>
      <c r="DS13" s="183"/>
      <c r="DT13" s="183"/>
      <c r="DU13" s="183"/>
      <c r="DV13" s="183"/>
      <c r="DW13" s="183"/>
      <c r="DX13" s="183"/>
      <c r="DY13" s="183"/>
      <c r="DZ13" s="183"/>
      <c r="EA13" s="183"/>
      <c r="EB13" s="183"/>
      <c r="EC13" s="183"/>
      <c r="ED13" s="183"/>
      <c r="EE13" s="183"/>
      <c r="EF13" s="183"/>
      <c r="EG13" s="183"/>
      <c r="EH13" s="183"/>
      <c r="EI13" s="183"/>
      <c r="EJ13" s="183"/>
      <c r="EK13" s="183"/>
      <c r="EL13" s="183"/>
      <c r="EM13" s="183"/>
      <c r="EN13" s="183"/>
      <c r="EO13" s="183"/>
      <c r="EP13" s="183"/>
      <c r="EQ13" s="183"/>
      <c r="ER13" s="183"/>
      <c r="ES13" s="183"/>
      <c r="ET13" s="183"/>
      <c r="EU13" s="183"/>
      <c r="EV13" s="183"/>
      <c r="EW13" s="183"/>
      <c r="EX13" s="183"/>
      <c r="EY13" s="183"/>
      <c r="EZ13" s="183"/>
      <c r="FA13" s="183"/>
      <c r="FB13" s="183"/>
      <c r="FC13" s="183"/>
      <c r="FD13" s="183"/>
      <c r="FE13" s="183"/>
      <c r="FF13" s="183"/>
      <c r="FG13" s="183"/>
      <c r="FH13" s="183"/>
      <c r="FI13" s="183"/>
    </row>
    <row r="14" spans="2:165" ht="0.2" hidden="1" customHeight="1" outlineLevel="1">
      <c r="B14" s="81"/>
      <c r="C14" s="81"/>
      <c r="D14" s="301"/>
      <c r="E14" s="70">
        <v>0</v>
      </c>
      <c r="F14" s="70">
        <v>0</v>
      </c>
      <c r="G14" s="70">
        <v>0</v>
      </c>
      <c r="H14" s="70">
        <v>0</v>
      </c>
      <c r="I14" s="70">
        <v>0</v>
      </c>
      <c r="J14" s="70">
        <v>0</v>
      </c>
      <c r="K14" s="70"/>
      <c r="L14" s="70"/>
      <c r="M14" s="70"/>
      <c r="N14" s="70"/>
      <c r="O14" s="70"/>
      <c r="P14" s="70"/>
      <c r="Q14" s="70"/>
      <c r="R14" s="70">
        <f>IFERROR(SUMIFS(Daily_Vol_yesterday[Order Quantity],Daily_Vol_yesterday[Cust_Cat.cust_channel],  "&lt;&gt;DSO",Daily_Vol_yesterday[Map_Product.TME_SKU],master_Daily!D14)/50000,0)</f>
        <v>0</v>
      </c>
      <c r="S14" s="70">
        <f>IFERROR(SUM(SUMIFS(Weekly_Vol[Quantity],Weekly_Vol[Cust_Cat.cust_channel],  "&lt;&gt;DSO",Weekly_Vol[Map_Product.TME_SKU],master_Daily!D14))/50000,0)</f>
        <v>0</v>
      </c>
      <c r="T14" s="82">
        <f>SUM(E14:P14)</f>
        <v>0</v>
      </c>
      <c r="U14" s="83">
        <f t="shared" si="2"/>
        <v>0</v>
      </c>
      <c r="V14" s="84"/>
      <c r="W14" s="183"/>
      <c r="X14" s="314"/>
      <c r="Y14" s="183"/>
      <c r="Z14" s="183"/>
      <c r="AA14" s="183"/>
      <c r="AB14" s="183"/>
      <c r="AC14" s="183"/>
      <c r="AD14" s="183"/>
      <c r="AE14" s="183"/>
      <c r="AF14" s="183"/>
      <c r="AG14" s="183"/>
      <c r="AH14" s="183"/>
      <c r="AI14" s="183"/>
      <c r="AJ14" s="183"/>
      <c r="AK14" s="183"/>
      <c r="AL14" s="183"/>
      <c r="AM14" s="183"/>
      <c r="AN14" s="183"/>
      <c r="AO14" s="183"/>
      <c r="AP14" s="183"/>
      <c r="AQ14" s="183"/>
      <c r="AR14" s="183"/>
      <c r="AS14" s="183"/>
      <c r="AT14" s="183"/>
      <c r="AU14" s="183"/>
      <c r="AV14" s="183"/>
      <c r="AW14" s="183"/>
      <c r="AX14" s="183"/>
      <c r="AY14" s="183"/>
      <c r="AZ14" s="183"/>
      <c r="BA14" s="183"/>
      <c r="BB14" s="183"/>
      <c r="BC14" s="183"/>
      <c r="BD14" s="183"/>
      <c r="BE14" s="183"/>
      <c r="BF14" s="183"/>
      <c r="BG14" s="183"/>
      <c r="BH14" s="183"/>
      <c r="BI14" s="183"/>
      <c r="BJ14" s="183"/>
      <c r="BK14" s="183"/>
      <c r="BL14" s="183"/>
      <c r="BM14" s="183"/>
      <c r="BN14" s="183"/>
      <c r="BO14" s="183"/>
      <c r="BP14" s="183"/>
      <c r="BQ14" s="183"/>
      <c r="BR14" s="183"/>
      <c r="BS14" s="183"/>
      <c r="BT14" s="183"/>
      <c r="BU14" s="183"/>
      <c r="BV14" s="183"/>
      <c r="BW14" s="183"/>
      <c r="BX14" s="183"/>
      <c r="BY14" s="183"/>
      <c r="BZ14" s="183"/>
      <c r="CA14" s="183"/>
      <c r="CB14" s="183"/>
      <c r="CC14" s="183"/>
      <c r="CD14" s="183"/>
      <c r="CE14" s="183"/>
      <c r="CF14" s="183"/>
      <c r="CG14" s="183"/>
      <c r="CH14" s="183"/>
      <c r="CI14" s="183"/>
      <c r="CJ14" s="183"/>
      <c r="CK14" s="183"/>
      <c r="CL14" s="183"/>
      <c r="CM14" s="183"/>
      <c r="CN14" s="183"/>
      <c r="CO14" s="183"/>
      <c r="CP14" s="183"/>
      <c r="CQ14" s="183"/>
      <c r="CR14" s="183"/>
      <c r="CS14" s="183"/>
      <c r="CT14" s="183"/>
      <c r="CU14" s="183"/>
      <c r="CV14" s="183"/>
      <c r="CW14" s="183"/>
      <c r="CX14" s="183"/>
      <c r="CY14" s="183"/>
      <c r="CZ14" s="183"/>
      <c r="DA14" s="183"/>
      <c r="DB14" s="183"/>
      <c r="DC14" s="183"/>
      <c r="DD14" s="183"/>
      <c r="DE14" s="183"/>
      <c r="DF14" s="183"/>
      <c r="DG14" s="183"/>
      <c r="DH14" s="183"/>
      <c r="DI14" s="183"/>
      <c r="DJ14" s="183"/>
      <c r="DK14" s="183"/>
      <c r="DL14" s="183"/>
      <c r="DM14" s="183"/>
      <c r="DN14" s="183"/>
      <c r="DO14" s="183"/>
      <c r="DP14" s="183"/>
      <c r="DQ14" s="183"/>
      <c r="DR14" s="183"/>
      <c r="DS14" s="183"/>
      <c r="DT14" s="183"/>
      <c r="DU14" s="183"/>
      <c r="DV14" s="183"/>
      <c r="DW14" s="183"/>
      <c r="DX14" s="183"/>
      <c r="DY14" s="183"/>
      <c r="DZ14" s="183"/>
      <c r="EA14" s="183"/>
      <c r="EB14" s="183"/>
      <c r="EC14" s="183"/>
      <c r="ED14" s="183"/>
      <c r="EE14" s="183"/>
      <c r="EF14" s="183"/>
      <c r="EG14" s="183"/>
      <c r="EH14" s="183"/>
      <c r="EI14" s="183"/>
      <c r="EJ14" s="183"/>
      <c r="EK14" s="183"/>
      <c r="EL14" s="183"/>
      <c r="EM14" s="183"/>
      <c r="EN14" s="183"/>
      <c r="EO14" s="183"/>
      <c r="EP14" s="183"/>
      <c r="EQ14" s="183"/>
      <c r="ER14" s="183"/>
      <c r="ES14" s="183"/>
      <c r="ET14" s="183"/>
      <c r="EU14" s="183"/>
      <c r="EV14" s="183"/>
      <c r="EW14" s="183"/>
      <c r="EX14" s="183"/>
      <c r="EY14" s="183"/>
      <c r="EZ14" s="183"/>
      <c r="FA14" s="183"/>
      <c r="FB14" s="183"/>
      <c r="FC14" s="183"/>
      <c r="FD14" s="183"/>
      <c r="FE14" s="183"/>
      <c r="FF14" s="183"/>
      <c r="FG14" s="183"/>
      <c r="FH14" s="183"/>
      <c r="FI14" s="183"/>
    </row>
    <row r="15" spans="2:165" ht="0.2" hidden="1" customHeight="1" outlineLevel="1">
      <c r="B15" s="81"/>
      <c r="C15" s="81"/>
      <c r="D15" s="301"/>
      <c r="E15" s="70">
        <v>0</v>
      </c>
      <c r="F15" s="70">
        <v>0</v>
      </c>
      <c r="G15" s="70">
        <v>0</v>
      </c>
      <c r="H15" s="70">
        <v>0</v>
      </c>
      <c r="I15" s="70">
        <v>0</v>
      </c>
      <c r="J15" s="70">
        <v>0</v>
      </c>
      <c r="K15" s="70"/>
      <c r="L15" s="70"/>
      <c r="M15" s="70"/>
      <c r="N15" s="70"/>
      <c r="O15" s="70"/>
      <c r="P15" s="70"/>
      <c r="Q15" s="70"/>
      <c r="R15" s="70">
        <f>IFERROR(SUMIFS(Daily_Vol_yesterday[Order Quantity],Daily_Vol_yesterday[Cust_Cat.cust_channel],  "&lt;&gt;DSO",Daily_Vol_yesterday[Map_Product.TME_SKU],master_Daily!D15)/50000,0)</f>
        <v>0</v>
      </c>
      <c r="S15" s="70">
        <f>IFERROR(SUM(SUMIFS(Weekly_Vol[Quantity],Weekly_Vol[Cust_Cat.cust_channel],  "&lt;&gt;DSO",Weekly_Vol[Map_Product.TME_SKU],master_Daily!D15))/50000,0)</f>
        <v>0</v>
      </c>
      <c r="T15" s="82">
        <f>SUM(E15:P15)</f>
        <v>0</v>
      </c>
      <c r="U15" s="83">
        <f t="shared" si="2"/>
        <v>0</v>
      </c>
      <c r="V15" s="84"/>
      <c r="W15" s="183"/>
      <c r="X15" s="314"/>
      <c r="Y15" s="183"/>
      <c r="Z15" s="183"/>
      <c r="AA15" s="183"/>
      <c r="AB15" s="183"/>
      <c r="AC15" s="183"/>
      <c r="AD15" s="183"/>
      <c r="AE15" s="183"/>
      <c r="AF15" s="183"/>
      <c r="AG15" s="183"/>
      <c r="AH15" s="183"/>
      <c r="AI15" s="183"/>
      <c r="AJ15" s="183"/>
      <c r="AK15" s="183"/>
      <c r="AL15" s="183"/>
      <c r="AM15" s="183"/>
      <c r="AN15" s="183"/>
      <c r="AO15" s="183"/>
      <c r="AP15" s="183"/>
      <c r="AQ15" s="183"/>
      <c r="AR15" s="183"/>
      <c r="AS15" s="183"/>
      <c r="AT15" s="183"/>
      <c r="AU15" s="183"/>
      <c r="AV15" s="183"/>
      <c r="AW15" s="183"/>
      <c r="AX15" s="183"/>
      <c r="AY15" s="183"/>
      <c r="AZ15" s="183"/>
      <c r="BA15" s="183"/>
      <c r="BB15" s="183"/>
      <c r="BC15" s="183"/>
      <c r="BD15" s="183"/>
      <c r="BE15" s="183"/>
      <c r="BF15" s="183"/>
      <c r="BG15" s="183"/>
      <c r="BH15" s="183"/>
      <c r="BI15" s="183"/>
      <c r="BJ15" s="183"/>
      <c r="BK15" s="183"/>
      <c r="BL15" s="183"/>
      <c r="BM15" s="183"/>
      <c r="BN15" s="183"/>
      <c r="BO15" s="183"/>
      <c r="BP15" s="183"/>
      <c r="BQ15" s="183"/>
      <c r="BR15" s="183"/>
      <c r="BS15" s="183"/>
      <c r="BT15" s="183"/>
      <c r="BU15" s="183"/>
      <c r="BV15" s="183"/>
      <c r="BW15" s="183"/>
      <c r="BX15" s="183"/>
      <c r="BY15" s="183"/>
      <c r="BZ15" s="183"/>
      <c r="CA15" s="183"/>
      <c r="CB15" s="183"/>
      <c r="CC15" s="183"/>
      <c r="CD15" s="183"/>
      <c r="CE15" s="183"/>
      <c r="CF15" s="183"/>
      <c r="CG15" s="183"/>
      <c r="CH15" s="183"/>
      <c r="CI15" s="183"/>
      <c r="CJ15" s="183"/>
      <c r="CK15" s="183"/>
      <c r="CL15" s="183"/>
      <c r="CM15" s="183"/>
      <c r="CN15" s="183"/>
      <c r="CO15" s="183"/>
      <c r="CP15" s="183"/>
      <c r="CQ15" s="183"/>
      <c r="CR15" s="183"/>
      <c r="CS15" s="183"/>
      <c r="CT15" s="183"/>
      <c r="CU15" s="183"/>
      <c r="CV15" s="183"/>
      <c r="CW15" s="183"/>
      <c r="CX15" s="183"/>
      <c r="CY15" s="183"/>
      <c r="CZ15" s="183"/>
      <c r="DA15" s="183"/>
      <c r="DB15" s="183"/>
      <c r="DC15" s="183"/>
      <c r="DD15" s="183"/>
      <c r="DE15" s="183"/>
      <c r="DF15" s="183"/>
      <c r="DG15" s="183"/>
      <c r="DH15" s="183"/>
      <c r="DI15" s="183"/>
      <c r="DJ15" s="183"/>
      <c r="DK15" s="183"/>
      <c r="DL15" s="183"/>
      <c r="DM15" s="183"/>
      <c r="DN15" s="183"/>
      <c r="DO15" s="183"/>
      <c r="DP15" s="183"/>
      <c r="DQ15" s="183"/>
      <c r="DR15" s="183"/>
      <c r="DS15" s="183"/>
      <c r="DT15" s="183"/>
      <c r="DU15" s="183"/>
      <c r="DV15" s="183"/>
      <c r="DW15" s="183"/>
      <c r="DX15" s="183"/>
      <c r="DY15" s="183"/>
      <c r="DZ15" s="183"/>
      <c r="EA15" s="183"/>
      <c r="EB15" s="183"/>
      <c r="EC15" s="183"/>
      <c r="ED15" s="183"/>
      <c r="EE15" s="183"/>
      <c r="EF15" s="183"/>
      <c r="EG15" s="183"/>
      <c r="EH15" s="183"/>
      <c r="EI15" s="183"/>
      <c r="EJ15" s="183"/>
      <c r="EK15" s="183"/>
      <c r="EL15" s="183"/>
      <c r="EM15" s="183"/>
      <c r="EN15" s="183"/>
      <c r="EO15" s="183"/>
      <c r="EP15" s="183"/>
      <c r="EQ15" s="183"/>
      <c r="ER15" s="183"/>
      <c r="ES15" s="183"/>
      <c r="ET15" s="183"/>
      <c r="EU15" s="183"/>
      <c r="EV15" s="183"/>
      <c r="EW15" s="183"/>
      <c r="EX15" s="183"/>
      <c r="EY15" s="183"/>
      <c r="EZ15" s="183"/>
      <c r="FA15" s="183"/>
      <c r="FB15" s="183"/>
      <c r="FC15" s="183"/>
      <c r="FD15" s="183"/>
      <c r="FE15" s="183"/>
      <c r="FF15" s="183"/>
      <c r="FG15" s="183"/>
      <c r="FH15" s="183"/>
      <c r="FI15" s="183"/>
    </row>
    <row r="16" spans="2:165" collapsed="1">
      <c r="B16" s="24" t="s">
        <v>25</v>
      </c>
      <c r="C16" s="24" t="s">
        <v>44</v>
      </c>
      <c r="D16" s="398"/>
      <c r="E16" s="25">
        <v>6.8156000000000008</v>
      </c>
      <c r="F16" s="25">
        <v>5.88598</v>
      </c>
      <c r="G16" s="25">
        <v>6.4652000000000003</v>
      </c>
      <c r="H16" s="25">
        <v>6.3644999999999996</v>
      </c>
      <c r="I16" s="25">
        <v>6.2873200000000002</v>
      </c>
      <c r="J16" s="25">
        <v>3.3018800000000001</v>
      </c>
      <c r="K16" s="25"/>
      <c r="L16" s="25"/>
      <c r="M16" s="25"/>
      <c r="N16" s="25"/>
      <c r="O16" s="25"/>
      <c r="P16" s="25"/>
      <c r="Q16" s="25">
        <f>Q134+EQ134</f>
        <v>5.4113681089112058</v>
      </c>
      <c r="R16" s="25">
        <f ca="1">ER134+R134</f>
        <v>0.1036</v>
      </c>
      <c r="S16" s="25">
        <f ca="1">$EZ$134+S134</f>
        <v>3.3018800000000001</v>
      </c>
      <c r="T16" s="25">
        <f>SUM(E16:P16)</f>
        <v>35.120480000000001</v>
      </c>
      <c r="U16" s="59">
        <f>IFERROR(T16/$T$101,0)</f>
        <v>4.688732494325136E-2</v>
      </c>
      <c r="V16" s="27">
        <f ca="1">IFERROR(S16/Q16,0)</f>
        <v>0.61017471617992647</v>
      </c>
      <c r="W16" s="399">
        <f>$FR$134+$S$134</f>
        <v>3.1938800000000001</v>
      </c>
      <c r="X16" s="27">
        <f>IFERROR(W16/Q16,0)</f>
        <v>0.590216731835422</v>
      </c>
      <c r="Y16" s="183"/>
      <c r="Z16" s="183"/>
      <c r="AA16" s="183"/>
      <c r="AB16" s="183"/>
      <c r="AC16" s="183"/>
      <c r="AD16" s="183"/>
      <c r="AE16" s="183"/>
      <c r="AF16" s="183"/>
      <c r="AG16" s="183"/>
      <c r="AH16" s="183"/>
      <c r="AI16" s="183"/>
      <c r="AJ16" s="183"/>
      <c r="AK16" s="183"/>
      <c r="AL16" s="183"/>
      <c r="AM16" s="183"/>
      <c r="AN16" s="183"/>
      <c r="AO16" s="183"/>
      <c r="AP16" s="183"/>
      <c r="AQ16" s="183"/>
      <c r="AR16" s="183"/>
      <c r="AS16" s="183"/>
      <c r="AT16" s="183"/>
      <c r="AU16" s="183"/>
      <c r="AV16" s="183"/>
      <c r="AW16" s="183"/>
      <c r="AX16" s="183"/>
      <c r="AY16" s="183"/>
      <c r="AZ16" s="183"/>
      <c r="BA16" s="183"/>
      <c r="BB16" s="183"/>
      <c r="BC16" s="183"/>
      <c r="BD16" s="183"/>
      <c r="BE16" s="183"/>
      <c r="BF16" s="183"/>
      <c r="BG16" s="183"/>
      <c r="BH16" s="183"/>
      <c r="BI16" s="183"/>
      <c r="BJ16" s="183"/>
      <c r="BK16" s="183"/>
      <c r="BL16" s="183"/>
      <c r="BM16" s="183"/>
      <c r="BN16" s="183"/>
      <c r="BO16" s="183"/>
      <c r="BP16" s="183"/>
      <c r="BQ16" s="183"/>
      <c r="BR16" s="183"/>
      <c r="BS16" s="183"/>
      <c r="BT16" s="183"/>
      <c r="BU16" s="183"/>
      <c r="BV16" s="183"/>
      <c r="BW16" s="183"/>
      <c r="BX16" s="183"/>
      <c r="BY16" s="183"/>
      <c r="BZ16" s="183"/>
      <c r="CA16" s="183"/>
      <c r="CB16" s="183"/>
      <c r="CC16" s="183"/>
      <c r="CD16" s="183"/>
      <c r="CE16" s="183"/>
      <c r="CF16" s="183"/>
      <c r="CG16" s="183"/>
      <c r="CH16" s="183"/>
      <c r="CI16" s="183"/>
      <c r="CJ16" s="183"/>
      <c r="CK16" s="183"/>
      <c r="CL16" s="183"/>
      <c r="CM16" s="183"/>
      <c r="CN16" s="183"/>
      <c r="CO16" s="183"/>
      <c r="CP16" s="183"/>
      <c r="CQ16" s="183"/>
      <c r="CR16" s="183"/>
      <c r="CS16" s="183"/>
      <c r="CT16" s="183"/>
      <c r="CU16" s="183"/>
      <c r="CV16" s="183"/>
      <c r="CW16" s="183"/>
      <c r="CX16" s="183"/>
      <c r="CY16" s="183"/>
      <c r="CZ16" s="183"/>
      <c r="DA16" s="183"/>
      <c r="DB16" s="183"/>
      <c r="DC16" s="183"/>
      <c r="DD16" s="183"/>
      <c r="DE16" s="183"/>
      <c r="DF16" s="183"/>
      <c r="DG16" s="183"/>
      <c r="DH16" s="183"/>
      <c r="DI16" s="183"/>
      <c r="DJ16" s="183"/>
      <c r="DK16" s="183"/>
      <c r="DL16" s="183"/>
      <c r="DM16" s="183"/>
      <c r="DN16" s="183"/>
      <c r="DO16" s="183"/>
      <c r="DP16" s="183"/>
      <c r="DQ16" s="183"/>
      <c r="DR16" s="183"/>
      <c r="DS16" s="183"/>
      <c r="DT16" s="183"/>
      <c r="DU16" s="183"/>
      <c r="DV16" s="183"/>
      <c r="DW16" s="183"/>
      <c r="DX16" s="183"/>
      <c r="DY16" s="183"/>
      <c r="DZ16" s="183"/>
      <c r="EA16" s="183"/>
      <c r="EB16" s="183"/>
      <c r="EC16" s="183"/>
      <c r="ED16" s="183"/>
      <c r="EE16" s="183"/>
      <c r="EF16" s="183"/>
      <c r="EG16" s="183"/>
      <c r="EH16" s="183"/>
      <c r="EI16" s="183"/>
      <c r="EJ16" s="183"/>
      <c r="EK16" s="183"/>
      <c r="EL16" s="183"/>
      <c r="EM16" s="183"/>
      <c r="EN16" s="183"/>
      <c r="EO16" s="183"/>
      <c r="EP16" s="183"/>
      <c r="EQ16" s="183"/>
      <c r="ER16" s="183"/>
      <c r="ES16" s="183"/>
      <c r="ET16" s="183"/>
      <c r="EU16" s="183"/>
      <c r="EV16" s="183"/>
      <c r="EW16" s="183"/>
      <c r="EX16" s="183"/>
      <c r="EY16" s="183"/>
      <c r="EZ16" s="183"/>
      <c r="FA16" s="183"/>
      <c r="FB16" s="183"/>
      <c r="FC16" s="183"/>
      <c r="FD16" s="183"/>
      <c r="FE16" s="183"/>
      <c r="FF16" s="183"/>
      <c r="FG16" s="183"/>
      <c r="FH16" s="183"/>
      <c r="FI16" s="183"/>
    </row>
    <row r="17" spans="2:165" ht="15" hidden="1" customHeight="1" outlineLevel="1">
      <c r="B17" s="81" t="s">
        <v>25</v>
      </c>
      <c r="C17" s="81" t="s">
        <v>45</v>
      </c>
      <c r="D17" s="303" t="s">
        <v>88</v>
      </c>
      <c r="E17" s="304">
        <v>2.13368</v>
      </c>
      <c r="F17" s="304">
        <v>2.04888</v>
      </c>
      <c r="G17" s="304">
        <v>2.12906</v>
      </c>
      <c r="H17" s="304">
        <v>1.7956799999999999</v>
      </c>
      <c r="I17" s="304">
        <v>1.57602</v>
      </c>
      <c r="J17" s="304">
        <v>0.74995999999999996</v>
      </c>
      <c r="K17" s="304"/>
      <c r="L17" s="304"/>
      <c r="M17" s="304"/>
      <c r="N17" s="304"/>
      <c r="O17" s="304"/>
      <c r="P17" s="304"/>
      <c r="Q17" s="304"/>
      <c r="R17" s="304">
        <f>IFERROR(SUMIFS(Daily_Vol_yesterday[Order Quantity],Daily_Vol_yesterday[Cust_Cat.cust_channel],  "&lt;&gt;DSO",Daily_Vol_yesterday[Map_Product.TME_SKU],master_Daily!D17)/50000,0)</f>
        <v>2.6200000000000001E-2</v>
      </c>
      <c r="S17" s="304">
        <f>IFERROR(SUM(SUMIFS(Weekly_Vol[Quantity],Weekly_Vol[Cust_Cat.cust_channel],  "&lt;&gt;DSO",Weekly_Vol[Map_Product.TME_SKU],master_Daily!D17))/50000,0)</f>
        <v>0.74995999999999996</v>
      </c>
      <c r="T17" s="305">
        <f t="shared" ref="T17:T26" si="3">SUM(E17:P17)</f>
        <v>10.43328</v>
      </c>
      <c r="U17" s="306">
        <f>IFERROR(T17/$T$27,0)</f>
        <v>1</v>
      </c>
      <c r="V17" s="315">
        <f>IFERROR(S17/Q17,0)</f>
        <v>0</v>
      </c>
      <c r="W17" s="313">
        <f>IFERROR(SUM(SUMIFS(Weekly_Vol[Quantity],Weekly_Vol[Cust_Cat.Customer category],  "Key Account",Weekly_Vol[Map_Product.TME_SKU],master_Daily!D17))/50000,0)
+ IFERROR(SUMIFS(TME_MTD_Dist[Sell_WHS_QTY],TME_MTD_Dist[SKU],master_Daily!$D17)/50000,0)
 + IFERROR(SUMIFS(TME_MTD_Dist[Sell_RTL_QTY],TME_MTD_Dist[SKU],master_Daily!$D17)/50000,0)</f>
        <v>0.73295999999999994</v>
      </c>
      <c r="X17" s="314"/>
      <c r="Y17" s="183"/>
      <c r="Z17" s="183"/>
      <c r="AA17" s="183"/>
      <c r="AB17" s="183"/>
      <c r="AC17" s="183"/>
      <c r="AD17" s="183"/>
      <c r="AE17" s="183"/>
      <c r="AF17" s="183"/>
      <c r="AG17" s="183"/>
      <c r="AH17" s="183"/>
      <c r="AI17" s="183"/>
      <c r="AJ17" s="183"/>
      <c r="AK17" s="183"/>
      <c r="AL17" s="183"/>
      <c r="AM17" s="183"/>
      <c r="AN17" s="183"/>
      <c r="AO17" s="183"/>
      <c r="AP17" s="183"/>
      <c r="AQ17" s="183"/>
      <c r="AR17" s="183"/>
      <c r="AS17" s="183"/>
      <c r="AT17" s="183"/>
      <c r="AU17" s="183"/>
      <c r="AV17" s="183"/>
      <c r="AW17" s="183"/>
      <c r="AX17" s="183"/>
      <c r="AY17" s="183"/>
      <c r="AZ17" s="183"/>
      <c r="BA17" s="183"/>
      <c r="BB17" s="183"/>
      <c r="BC17" s="183"/>
      <c r="BD17" s="183"/>
      <c r="BE17" s="183"/>
      <c r="BF17" s="183"/>
      <c r="BG17" s="183"/>
      <c r="BH17" s="183"/>
      <c r="BI17" s="183"/>
      <c r="BJ17" s="183"/>
      <c r="BK17" s="183"/>
      <c r="BL17" s="183"/>
      <c r="BM17" s="183"/>
      <c r="BN17" s="183"/>
      <c r="BO17" s="183"/>
      <c r="BP17" s="183"/>
      <c r="BQ17" s="183"/>
      <c r="BR17" s="183"/>
      <c r="BS17" s="183"/>
      <c r="BT17" s="183"/>
      <c r="BU17" s="183"/>
      <c r="BV17" s="183"/>
      <c r="BW17" s="183"/>
      <c r="BX17" s="183"/>
      <c r="BY17" s="183"/>
      <c r="BZ17" s="183"/>
      <c r="CA17" s="183"/>
      <c r="CB17" s="183"/>
      <c r="CC17" s="183"/>
      <c r="CD17" s="183"/>
      <c r="CE17" s="183"/>
      <c r="CF17" s="183"/>
      <c r="CG17" s="183"/>
      <c r="CH17" s="183"/>
      <c r="CI17" s="183"/>
      <c r="CJ17" s="183"/>
      <c r="CK17" s="183"/>
      <c r="CL17" s="183"/>
      <c r="CM17" s="183"/>
      <c r="CN17" s="183"/>
      <c r="CO17" s="183"/>
      <c r="CP17" s="183"/>
      <c r="CQ17" s="183"/>
      <c r="CR17" s="183"/>
      <c r="CS17" s="183"/>
      <c r="CT17" s="183"/>
      <c r="CU17" s="183"/>
      <c r="CV17" s="183"/>
      <c r="CW17" s="183"/>
      <c r="CX17" s="183"/>
      <c r="CY17" s="183"/>
      <c r="CZ17" s="183"/>
      <c r="DA17" s="183"/>
      <c r="DB17" s="183"/>
      <c r="DC17" s="183"/>
      <c r="DD17" s="183"/>
      <c r="DE17" s="183"/>
      <c r="DF17" s="183"/>
      <c r="DG17" s="183"/>
      <c r="DH17" s="183"/>
      <c r="DI17" s="183"/>
      <c r="DJ17" s="183"/>
      <c r="DK17" s="183"/>
      <c r="DL17" s="183"/>
      <c r="DM17" s="183"/>
      <c r="DN17" s="183"/>
      <c r="DO17" s="183"/>
      <c r="DP17" s="183"/>
      <c r="DQ17" s="183"/>
      <c r="DR17" s="183"/>
      <c r="DS17" s="183"/>
      <c r="DT17" s="183"/>
      <c r="DU17" s="183"/>
      <c r="DV17" s="183"/>
      <c r="DW17" s="183"/>
      <c r="DX17" s="183"/>
      <c r="DY17" s="183"/>
      <c r="DZ17" s="183"/>
      <c r="EA17" s="183"/>
      <c r="EB17" s="183"/>
      <c r="EC17" s="183"/>
      <c r="ED17" s="183"/>
      <c r="EE17" s="183"/>
      <c r="EF17" s="183"/>
      <c r="EG17" s="183"/>
      <c r="EH17" s="183"/>
      <c r="EI17" s="183"/>
      <c r="EJ17" s="183"/>
      <c r="EK17" s="183"/>
      <c r="EL17" s="183"/>
      <c r="EM17" s="183"/>
      <c r="EN17" s="183"/>
      <c r="EO17" s="183"/>
      <c r="EP17" s="183"/>
      <c r="EQ17" s="183"/>
      <c r="ER17" s="183"/>
      <c r="ES17" s="183"/>
      <c r="ET17" s="183"/>
      <c r="EU17" s="183"/>
      <c r="EV17" s="183"/>
      <c r="EW17" s="183"/>
      <c r="EX17" s="183"/>
      <c r="EY17" s="183"/>
      <c r="EZ17" s="183"/>
      <c r="FA17" s="183"/>
      <c r="FB17" s="183"/>
      <c r="FC17" s="183"/>
      <c r="FD17" s="183"/>
      <c r="FE17" s="183"/>
      <c r="FF17" s="183"/>
      <c r="FG17" s="183"/>
      <c r="FH17" s="183"/>
      <c r="FI17" s="183"/>
    </row>
    <row r="18" spans="2:165" ht="15" hidden="1" customHeight="1" outlineLevel="1">
      <c r="B18" s="81" t="s">
        <v>25</v>
      </c>
      <c r="C18" s="81" t="s">
        <v>45</v>
      </c>
      <c r="D18" s="303" t="s">
        <v>89</v>
      </c>
      <c r="E18" s="304">
        <v>0</v>
      </c>
      <c r="F18" s="304">
        <v>0</v>
      </c>
      <c r="G18" s="304">
        <v>0</v>
      </c>
      <c r="H18" s="304">
        <v>0</v>
      </c>
      <c r="I18" s="304">
        <v>0</v>
      </c>
      <c r="J18" s="304">
        <v>0</v>
      </c>
      <c r="K18" s="304"/>
      <c r="L18" s="304"/>
      <c r="M18" s="304"/>
      <c r="N18" s="304"/>
      <c r="O18" s="304"/>
      <c r="P18" s="304"/>
      <c r="Q18" s="304"/>
      <c r="R18" s="304">
        <f>IFERROR(SUMIFS(Daily_Vol_yesterday[Order Quantity],Daily_Vol_yesterday[Cust_Cat.cust_channel],  "&lt;&gt;DSO",Daily_Vol_yesterday[Map_Product.TME_SKU],master_Daily!D18)/50000,0)</f>
        <v>0</v>
      </c>
      <c r="S18" s="304">
        <f>IFERROR(SUM(SUMIFS(Weekly_Vol[Quantity],Weekly_Vol[Cust_Cat.cust_channel],  "&lt;&gt;DSO",Weekly_Vol[Map_Product.TME_SKU],master_Daily!D18))/50000,0)</f>
        <v>0</v>
      </c>
      <c r="T18" s="305">
        <f t="shared" si="3"/>
        <v>0</v>
      </c>
      <c r="U18" s="306">
        <f t="shared" ref="U18:U26" si="4">IFERROR(T18/$T$27,0)</f>
        <v>0</v>
      </c>
      <c r="V18" s="315">
        <f>IFERROR(S18/Q18,0)</f>
        <v>0</v>
      </c>
      <c r="W18" s="313">
        <f>IFERROR(SUM(SUMIFS(Weekly_Vol[Quantity],Weekly_Vol[Cust_Cat.Customer category],  "Key Account",Weekly_Vol[Map_Product.TME_SKU],master_Daily!D18))/50000,0)
+ IFERROR(SUMIFS(TME_MTD_Dist[Sell_WHS_QTY],TME_MTD_Dist[SKU],master_Daily!$D18)/50000,0)
 + IFERROR(SUMIFS(TME_MTD_Dist[Sell_RTL_QTY],TME_MTD_Dist[SKU],master_Daily!$D18)/50000,0)</f>
        <v>0</v>
      </c>
      <c r="X18" s="314"/>
      <c r="Y18" s="183"/>
      <c r="Z18" s="183"/>
      <c r="AA18" s="183"/>
      <c r="AB18" s="183"/>
      <c r="AC18" s="183"/>
      <c r="AD18" s="183"/>
      <c r="AE18" s="183"/>
      <c r="AF18" s="183"/>
      <c r="AG18" s="183"/>
      <c r="AH18" s="183"/>
      <c r="AI18" s="183"/>
      <c r="AJ18" s="183"/>
      <c r="AK18" s="183"/>
      <c r="AL18" s="183"/>
      <c r="AM18" s="183"/>
      <c r="AN18" s="183"/>
      <c r="AO18" s="183"/>
      <c r="AP18" s="183"/>
      <c r="AQ18" s="183"/>
      <c r="AR18" s="183"/>
      <c r="AS18" s="183"/>
      <c r="AT18" s="183"/>
      <c r="AU18" s="183"/>
      <c r="AV18" s="183"/>
      <c r="AW18" s="183"/>
      <c r="AX18" s="183"/>
      <c r="AY18" s="183"/>
      <c r="AZ18" s="183"/>
      <c r="BA18" s="183"/>
      <c r="BB18" s="183"/>
      <c r="BC18" s="183"/>
      <c r="BD18" s="183"/>
      <c r="BE18" s="183"/>
      <c r="BF18" s="183"/>
      <c r="BG18" s="183"/>
      <c r="BH18" s="183"/>
      <c r="BI18" s="183"/>
      <c r="BJ18" s="183"/>
      <c r="BK18" s="183"/>
      <c r="BL18" s="183"/>
      <c r="BM18" s="183"/>
      <c r="BN18" s="183"/>
      <c r="BO18" s="183"/>
      <c r="BP18" s="183"/>
      <c r="BQ18" s="183"/>
      <c r="BR18" s="183"/>
      <c r="BS18" s="183"/>
      <c r="BT18" s="183"/>
      <c r="BU18" s="183"/>
      <c r="BV18" s="183"/>
      <c r="BW18" s="183"/>
      <c r="BX18" s="183"/>
      <c r="BY18" s="183"/>
      <c r="BZ18" s="183"/>
      <c r="CA18" s="183"/>
      <c r="CB18" s="183"/>
      <c r="CC18" s="183"/>
      <c r="CD18" s="183"/>
      <c r="CE18" s="183"/>
      <c r="CF18" s="183"/>
      <c r="CG18" s="183"/>
      <c r="CH18" s="183"/>
      <c r="CI18" s="183"/>
      <c r="CJ18" s="183"/>
      <c r="CK18" s="183"/>
      <c r="CL18" s="183"/>
      <c r="CM18" s="183"/>
      <c r="CN18" s="183"/>
      <c r="CO18" s="183"/>
      <c r="CP18" s="183"/>
      <c r="CQ18" s="183"/>
      <c r="CR18" s="183"/>
      <c r="CS18" s="183"/>
      <c r="CT18" s="183"/>
      <c r="CU18" s="183"/>
      <c r="CV18" s="183"/>
      <c r="CW18" s="183"/>
      <c r="CX18" s="183"/>
      <c r="CY18" s="183"/>
      <c r="CZ18" s="183"/>
      <c r="DA18" s="183"/>
      <c r="DB18" s="183"/>
      <c r="DC18" s="183"/>
      <c r="DD18" s="183"/>
      <c r="DE18" s="183"/>
      <c r="DF18" s="183"/>
      <c r="DG18" s="183"/>
      <c r="DH18" s="183"/>
      <c r="DI18" s="183"/>
      <c r="DJ18" s="183"/>
      <c r="DK18" s="183"/>
      <c r="DL18" s="183"/>
      <c r="DM18" s="183"/>
      <c r="DN18" s="183"/>
      <c r="DO18" s="183"/>
      <c r="DP18" s="183"/>
      <c r="DQ18" s="183"/>
      <c r="DR18" s="183"/>
      <c r="DS18" s="183"/>
      <c r="DT18" s="183"/>
      <c r="DU18" s="183"/>
      <c r="DV18" s="183"/>
      <c r="DW18" s="183"/>
      <c r="DX18" s="183"/>
      <c r="DY18" s="183"/>
      <c r="DZ18" s="183"/>
      <c r="EA18" s="183"/>
      <c r="EB18" s="183"/>
      <c r="EC18" s="183"/>
      <c r="ED18" s="183"/>
      <c r="EE18" s="183"/>
      <c r="EF18" s="183"/>
      <c r="EG18" s="183"/>
      <c r="EH18" s="183"/>
      <c r="EI18" s="183"/>
      <c r="EJ18" s="183"/>
      <c r="EK18" s="183"/>
      <c r="EL18" s="183"/>
      <c r="EM18" s="183"/>
      <c r="EN18" s="183"/>
      <c r="EO18" s="183"/>
      <c r="EP18" s="183"/>
      <c r="EQ18" s="183"/>
      <c r="ER18" s="183"/>
      <c r="ES18" s="183"/>
      <c r="ET18" s="183"/>
      <c r="EU18" s="183"/>
      <c r="EV18" s="183"/>
      <c r="EW18" s="183"/>
      <c r="EX18" s="183"/>
      <c r="EY18" s="183"/>
      <c r="EZ18" s="183"/>
      <c r="FA18" s="183"/>
      <c r="FB18" s="183"/>
      <c r="FC18" s="183"/>
      <c r="FD18" s="183"/>
      <c r="FE18" s="183"/>
      <c r="FF18" s="183"/>
      <c r="FG18" s="183"/>
      <c r="FH18" s="183"/>
      <c r="FI18" s="183"/>
    </row>
    <row r="19" spans="2:165" ht="15" hidden="1" customHeight="1" outlineLevel="1">
      <c r="B19" s="81" t="s">
        <v>25</v>
      </c>
      <c r="C19" s="81" t="s">
        <v>45</v>
      </c>
      <c r="D19" s="303" t="s">
        <v>90</v>
      </c>
      <c r="E19" s="304">
        <v>0</v>
      </c>
      <c r="F19" s="304">
        <v>0</v>
      </c>
      <c r="G19" s="304">
        <v>0</v>
      </c>
      <c r="H19" s="304">
        <v>0</v>
      </c>
      <c r="I19" s="304">
        <v>0</v>
      </c>
      <c r="J19" s="304">
        <v>0</v>
      </c>
      <c r="K19" s="304"/>
      <c r="L19" s="304"/>
      <c r="M19" s="304"/>
      <c r="N19" s="304"/>
      <c r="O19" s="304"/>
      <c r="P19" s="304"/>
      <c r="Q19" s="304"/>
      <c r="R19" s="304">
        <f>IFERROR(SUMIFS(Daily_Vol_yesterday[Order Quantity],Daily_Vol_yesterday[Cust_Cat.cust_channel],  "&lt;&gt;DSO",Daily_Vol_yesterday[Map_Product.TME_SKU],master_Daily!D19)/50000,0)</f>
        <v>0</v>
      </c>
      <c r="S19" s="304">
        <f>IFERROR(SUM(SUMIFS(Weekly_Vol[Quantity],Weekly_Vol[Cust_Cat.cust_channel],  "&lt;&gt;DSO",Weekly_Vol[Map_Product.TME_SKU],master_Daily!D19))/50000,0)</f>
        <v>0</v>
      </c>
      <c r="T19" s="305">
        <f t="shared" si="3"/>
        <v>0</v>
      </c>
      <c r="U19" s="306">
        <f t="shared" si="4"/>
        <v>0</v>
      </c>
      <c r="V19" s="315">
        <f>IFERROR(S19/Q19,0)</f>
        <v>0</v>
      </c>
      <c r="W19" s="313">
        <f>IFERROR(SUM(SUMIFS(Weekly_Vol[Quantity],Weekly_Vol[Cust_Cat.Customer category],  "Key Account",Weekly_Vol[Map_Product.TME_SKU],master_Daily!D19))/50000,0)
+ IFERROR(SUMIFS(TME_MTD_Dist[Sell_WHS_QTY],TME_MTD_Dist[SKU],master_Daily!$D19)/50000,0)
 + IFERROR(SUMIFS(TME_MTD_Dist[Sell_RTL_QTY],TME_MTD_Dist[SKU],master_Daily!$D19)/50000,0)</f>
        <v>0</v>
      </c>
      <c r="X19" s="314"/>
      <c r="Y19" s="183"/>
      <c r="Z19" s="183"/>
      <c r="AA19" s="183"/>
      <c r="AB19" s="183"/>
      <c r="AC19" s="183"/>
      <c r="AD19" s="183"/>
      <c r="AE19" s="183"/>
      <c r="AF19" s="183"/>
      <c r="AG19" s="183"/>
      <c r="AH19" s="183"/>
      <c r="AI19" s="183"/>
      <c r="AJ19" s="183"/>
      <c r="AK19" s="183"/>
      <c r="AL19" s="183"/>
      <c r="AM19" s="183"/>
      <c r="AN19" s="183"/>
      <c r="AO19" s="183"/>
      <c r="AP19" s="183"/>
      <c r="AQ19" s="183"/>
      <c r="AR19" s="183"/>
      <c r="AS19" s="183"/>
      <c r="AT19" s="183"/>
      <c r="AU19" s="183"/>
      <c r="AV19" s="183"/>
      <c r="AW19" s="183"/>
      <c r="AX19" s="183"/>
      <c r="AY19" s="183"/>
      <c r="AZ19" s="183"/>
      <c r="BA19" s="183"/>
      <c r="BB19" s="183"/>
      <c r="BC19" s="183"/>
      <c r="BD19" s="183"/>
      <c r="BE19" s="183"/>
      <c r="BF19" s="183"/>
      <c r="BG19" s="183"/>
      <c r="BH19" s="183"/>
      <c r="BI19" s="183"/>
      <c r="BJ19" s="183"/>
      <c r="BK19" s="183"/>
      <c r="BL19" s="183"/>
      <c r="BM19" s="183"/>
      <c r="BN19" s="183"/>
      <c r="BO19" s="183"/>
      <c r="BP19" s="183"/>
      <c r="BQ19" s="183"/>
      <c r="BR19" s="183"/>
      <c r="BS19" s="183"/>
      <c r="BT19" s="183"/>
      <c r="BU19" s="183"/>
      <c r="BV19" s="183"/>
      <c r="BW19" s="183"/>
      <c r="BX19" s="183"/>
      <c r="BY19" s="183"/>
      <c r="BZ19" s="183"/>
      <c r="CA19" s="183"/>
      <c r="CB19" s="183"/>
      <c r="CC19" s="183"/>
      <c r="CD19" s="183"/>
      <c r="CE19" s="183"/>
      <c r="CF19" s="183"/>
      <c r="CG19" s="183"/>
      <c r="CH19" s="183"/>
      <c r="CI19" s="183"/>
      <c r="CJ19" s="183"/>
      <c r="CK19" s="183"/>
      <c r="CL19" s="183"/>
      <c r="CM19" s="183"/>
      <c r="CN19" s="183"/>
      <c r="CO19" s="183"/>
      <c r="CP19" s="183"/>
      <c r="CQ19" s="183"/>
      <c r="CR19" s="183"/>
      <c r="CS19" s="183"/>
      <c r="CT19" s="183"/>
      <c r="CU19" s="183"/>
      <c r="CV19" s="183"/>
      <c r="CW19" s="183"/>
      <c r="CX19" s="183"/>
      <c r="CY19" s="183"/>
      <c r="CZ19" s="183"/>
      <c r="DA19" s="183"/>
      <c r="DB19" s="183"/>
      <c r="DC19" s="183"/>
      <c r="DD19" s="183"/>
      <c r="DE19" s="183"/>
      <c r="DF19" s="183"/>
      <c r="DG19" s="183"/>
      <c r="DH19" s="183"/>
      <c r="DI19" s="183"/>
      <c r="DJ19" s="183"/>
      <c r="DK19" s="183"/>
      <c r="DL19" s="183"/>
      <c r="DM19" s="183"/>
      <c r="DN19" s="183"/>
      <c r="DO19" s="183"/>
      <c r="DP19" s="183"/>
      <c r="DQ19" s="183"/>
      <c r="DR19" s="183"/>
      <c r="DS19" s="183"/>
      <c r="DT19" s="183"/>
      <c r="DU19" s="183"/>
      <c r="DV19" s="183"/>
      <c r="DW19" s="183"/>
      <c r="DX19" s="183"/>
      <c r="DY19" s="183"/>
      <c r="DZ19" s="183"/>
      <c r="EA19" s="183"/>
      <c r="EB19" s="183"/>
      <c r="EC19" s="183"/>
      <c r="ED19" s="183"/>
      <c r="EE19" s="183"/>
      <c r="EF19" s="183"/>
      <c r="EG19" s="183"/>
      <c r="EH19" s="183"/>
      <c r="EI19" s="183"/>
      <c r="EJ19" s="183"/>
      <c r="EK19" s="183"/>
      <c r="EL19" s="183"/>
      <c r="EM19" s="183"/>
      <c r="EN19" s="183"/>
      <c r="EO19" s="183"/>
      <c r="EP19" s="183"/>
      <c r="EQ19" s="183"/>
      <c r="ER19" s="183"/>
      <c r="ES19" s="183"/>
      <c r="ET19" s="183"/>
      <c r="EU19" s="183"/>
      <c r="EV19" s="183"/>
      <c r="EW19" s="183"/>
      <c r="EX19" s="183"/>
      <c r="EY19" s="183"/>
      <c r="EZ19" s="183"/>
      <c r="FA19" s="183"/>
      <c r="FB19" s="183"/>
      <c r="FC19" s="183"/>
      <c r="FD19" s="183"/>
      <c r="FE19" s="183"/>
      <c r="FF19" s="183"/>
      <c r="FG19" s="183"/>
      <c r="FH19" s="183"/>
      <c r="FI19" s="183"/>
    </row>
    <row r="20" spans="2:165" ht="0.2" hidden="1" customHeight="1" outlineLevel="1">
      <c r="B20" s="81"/>
      <c r="C20" s="81"/>
      <c r="D20" s="301"/>
      <c r="E20" s="70">
        <v>0</v>
      </c>
      <c r="F20" s="70">
        <v>0</v>
      </c>
      <c r="G20" s="70">
        <v>0</v>
      </c>
      <c r="H20" s="70">
        <v>0</v>
      </c>
      <c r="I20" s="70">
        <v>0</v>
      </c>
      <c r="J20" s="70">
        <v>0</v>
      </c>
      <c r="K20" s="70"/>
      <c r="L20" s="70"/>
      <c r="M20" s="70"/>
      <c r="N20" s="70"/>
      <c r="O20" s="70"/>
      <c r="P20" s="70"/>
      <c r="Q20" s="70"/>
      <c r="R20" s="70">
        <f>IFERROR(SUMIFS(Daily_Vol_yesterday[Order Quantity],Daily_Vol_yesterday[Cust_Cat.cust_channel],  "&lt;&gt;DSO",Daily_Vol_yesterday[Map_Product.TME_SKU],master_Daily!D20)/50000,0)</f>
        <v>0</v>
      </c>
      <c r="S20" s="70">
        <f>IFERROR(SUM(SUMIFS(Weekly_Vol[Quantity],Weekly_Vol[Cust_Cat.cust_channel],  "&lt;&gt;DSO",Weekly_Vol[Map_Product.TME_SKU],master_Daily!D20))/50000,0)</f>
        <v>0</v>
      </c>
      <c r="T20" s="82">
        <f t="shared" si="3"/>
        <v>0</v>
      </c>
      <c r="U20" s="83">
        <f t="shared" si="4"/>
        <v>0</v>
      </c>
      <c r="V20" s="84"/>
      <c r="W20" s="183"/>
      <c r="X20" s="314"/>
      <c r="Y20" s="183"/>
      <c r="Z20" s="183"/>
      <c r="AA20" s="183"/>
      <c r="AB20" s="183"/>
      <c r="AC20" s="183"/>
      <c r="AD20" s="183"/>
      <c r="AE20" s="183"/>
      <c r="AF20" s="183"/>
      <c r="AG20" s="183"/>
      <c r="AH20" s="183"/>
      <c r="AI20" s="183"/>
      <c r="AJ20" s="183"/>
      <c r="AK20" s="183"/>
      <c r="AL20" s="183"/>
      <c r="AM20" s="183"/>
      <c r="AN20" s="183"/>
      <c r="AO20" s="183"/>
      <c r="AP20" s="183"/>
      <c r="AQ20" s="183"/>
      <c r="AR20" s="183"/>
      <c r="AS20" s="183"/>
      <c r="AT20" s="183"/>
      <c r="AU20" s="183"/>
      <c r="AV20" s="183"/>
      <c r="AW20" s="183"/>
      <c r="AX20" s="183"/>
      <c r="AY20" s="183"/>
      <c r="AZ20" s="183"/>
      <c r="BA20" s="183"/>
      <c r="BB20" s="183"/>
      <c r="BC20" s="183"/>
      <c r="BD20" s="183"/>
      <c r="BE20" s="183"/>
      <c r="BF20" s="183"/>
      <c r="BG20" s="183"/>
      <c r="BH20" s="183"/>
      <c r="BI20" s="183"/>
      <c r="BJ20" s="183"/>
      <c r="BK20" s="183"/>
      <c r="BL20" s="183"/>
      <c r="BM20" s="183"/>
      <c r="BN20" s="183"/>
      <c r="BO20" s="183"/>
      <c r="BP20" s="183"/>
      <c r="BQ20" s="183"/>
      <c r="BR20" s="183"/>
      <c r="BS20" s="183"/>
      <c r="BT20" s="183"/>
      <c r="BU20" s="183"/>
      <c r="BV20" s="183"/>
      <c r="BW20" s="183"/>
      <c r="BX20" s="183"/>
      <c r="BY20" s="183"/>
      <c r="BZ20" s="183"/>
      <c r="CA20" s="183"/>
      <c r="CB20" s="183"/>
      <c r="CC20" s="183"/>
      <c r="CD20" s="183"/>
      <c r="CE20" s="183"/>
      <c r="CF20" s="183"/>
      <c r="CG20" s="183"/>
      <c r="CH20" s="183"/>
      <c r="CI20" s="183"/>
      <c r="CJ20" s="183"/>
      <c r="CK20" s="183"/>
      <c r="CL20" s="183"/>
      <c r="CM20" s="183"/>
      <c r="CN20" s="183"/>
      <c r="CO20" s="183"/>
      <c r="CP20" s="183"/>
      <c r="CQ20" s="183"/>
      <c r="CR20" s="183"/>
      <c r="CS20" s="183"/>
      <c r="CT20" s="183"/>
      <c r="CU20" s="183"/>
      <c r="CV20" s="183"/>
      <c r="CW20" s="183"/>
      <c r="CX20" s="183"/>
      <c r="CY20" s="183"/>
      <c r="CZ20" s="183"/>
      <c r="DA20" s="183"/>
      <c r="DB20" s="183"/>
      <c r="DC20" s="183"/>
      <c r="DD20" s="183"/>
      <c r="DE20" s="183"/>
      <c r="DF20" s="183"/>
      <c r="DG20" s="183"/>
      <c r="DH20" s="183"/>
      <c r="DI20" s="183"/>
      <c r="DJ20" s="183"/>
      <c r="DK20" s="183"/>
      <c r="DL20" s="183"/>
      <c r="DM20" s="183"/>
      <c r="DN20" s="183"/>
      <c r="DO20" s="183"/>
      <c r="DP20" s="183"/>
      <c r="DQ20" s="183"/>
      <c r="DR20" s="183"/>
      <c r="DS20" s="183"/>
      <c r="DT20" s="183"/>
      <c r="DU20" s="183"/>
      <c r="DV20" s="183"/>
      <c r="DW20" s="183"/>
      <c r="DX20" s="183"/>
      <c r="DY20" s="183"/>
      <c r="DZ20" s="183"/>
      <c r="EA20" s="183"/>
      <c r="EB20" s="183"/>
      <c r="EC20" s="183"/>
      <c r="ED20" s="183"/>
      <c r="EE20" s="183"/>
      <c r="EF20" s="183"/>
      <c r="EG20" s="183"/>
      <c r="EH20" s="183"/>
      <c r="EI20" s="183"/>
      <c r="EJ20" s="183"/>
      <c r="EK20" s="183"/>
      <c r="EL20" s="183"/>
      <c r="EM20" s="183"/>
      <c r="EN20" s="183"/>
      <c r="EO20" s="183"/>
      <c r="EP20" s="183"/>
      <c r="EQ20" s="183"/>
      <c r="ER20" s="183"/>
      <c r="ES20" s="183"/>
      <c r="ET20" s="183"/>
      <c r="EU20" s="183"/>
      <c r="EV20" s="183"/>
      <c r="EW20" s="183"/>
      <c r="EX20" s="183"/>
      <c r="EY20" s="183"/>
      <c r="EZ20" s="183"/>
      <c r="FA20" s="183"/>
      <c r="FB20" s="183"/>
      <c r="FC20" s="183"/>
      <c r="FD20" s="183"/>
      <c r="FE20" s="183"/>
      <c r="FF20" s="183"/>
      <c r="FG20" s="183"/>
      <c r="FH20" s="183"/>
      <c r="FI20" s="183"/>
    </row>
    <row r="21" spans="2:165" ht="0.2" hidden="1" customHeight="1" outlineLevel="1">
      <c r="B21" s="81"/>
      <c r="C21" s="81"/>
      <c r="D21" s="301"/>
      <c r="E21" s="70">
        <v>0</v>
      </c>
      <c r="F21" s="70">
        <v>0</v>
      </c>
      <c r="G21" s="70">
        <v>0</v>
      </c>
      <c r="H21" s="70">
        <v>0</v>
      </c>
      <c r="I21" s="70">
        <v>0</v>
      </c>
      <c r="J21" s="70">
        <v>0</v>
      </c>
      <c r="K21" s="70"/>
      <c r="L21" s="70"/>
      <c r="M21" s="70"/>
      <c r="N21" s="70"/>
      <c r="O21" s="70"/>
      <c r="P21" s="70"/>
      <c r="Q21" s="70"/>
      <c r="R21" s="70">
        <f>IFERROR(SUMIFS(Daily_Vol_yesterday[Order Quantity],Daily_Vol_yesterday[Cust_Cat.cust_channel],  "&lt;&gt;DSO",Daily_Vol_yesterday[Map_Product.TME_SKU],master_Daily!D21)/50000,0)</f>
        <v>0</v>
      </c>
      <c r="S21" s="70">
        <f>IFERROR(SUM(SUMIFS(Weekly_Vol[Quantity],Weekly_Vol[Cust_Cat.cust_channel],  "&lt;&gt;DSO",Weekly_Vol[Map_Product.TME_SKU],master_Daily!D21))/50000,0)</f>
        <v>0</v>
      </c>
      <c r="T21" s="82">
        <f t="shared" si="3"/>
        <v>0</v>
      </c>
      <c r="U21" s="83">
        <f t="shared" si="4"/>
        <v>0</v>
      </c>
      <c r="V21" s="84"/>
      <c r="W21" s="183"/>
      <c r="X21" s="314"/>
      <c r="Y21" s="183"/>
      <c r="Z21" s="183"/>
      <c r="AA21" s="183"/>
      <c r="AB21" s="183"/>
      <c r="AC21" s="183"/>
      <c r="AD21" s="183"/>
      <c r="AE21" s="183"/>
      <c r="AF21" s="183"/>
      <c r="AG21" s="183"/>
      <c r="AH21" s="183"/>
      <c r="AI21" s="183"/>
      <c r="AJ21" s="183"/>
      <c r="AK21" s="183"/>
      <c r="AL21" s="183"/>
      <c r="AM21" s="183"/>
      <c r="AN21" s="183"/>
      <c r="AO21" s="183"/>
      <c r="AP21" s="183"/>
      <c r="AQ21" s="183"/>
      <c r="AR21" s="183"/>
      <c r="AS21" s="183"/>
      <c r="AT21" s="183"/>
      <c r="AU21" s="183"/>
      <c r="AV21" s="183"/>
      <c r="AW21" s="183"/>
      <c r="AX21" s="183"/>
      <c r="AY21" s="183"/>
      <c r="AZ21" s="183"/>
      <c r="BA21" s="183"/>
      <c r="BB21" s="183"/>
      <c r="BC21" s="183"/>
      <c r="BD21" s="183"/>
      <c r="BE21" s="183"/>
      <c r="BF21" s="183"/>
      <c r="BG21" s="183"/>
      <c r="BH21" s="183"/>
      <c r="BI21" s="183"/>
      <c r="BJ21" s="183"/>
      <c r="BK21" s="183"/>
      <c r="BL21" s="183"/>
      <c r="BM21" s="183"/>
      <c r="BN21" s="183"/>
      <c r="BO21" s="183"/>
      <c r="BP21" s="183"/>
      <c r="BQ21" s="183"/>
      <c r="BR21" s="183"/>
      <c r="BS21" s="183"/>
      <c r="BT21" s="183"/>
      <c r="BU21" s="183"/>
      <c r="BV21" s="183"/>
      <c r="BW21" s="183"/>
      <c r="BX21" s="183"/>
      <c r="BY21" s="183"/>
      <c r="BZ21" s="183"/>
      <c r="CA21" s="183"/>
      <c r="CB21" s="183"/>
      <c r="CC21" s="183"/>
      <c r="CD21" s="183"/>
      <c r="CE21" s="183"/>
      <c r="CF21" s="183"/>
      <c r="CG21" s="183"/>
      <c r="CH21" s="183"/>
      <c r="CI21" s="183"/>
      <c r="CJ21" s="183"/>
      <c r="CK21" s="183"/>
      <c r="CL21" s="183"/>
      <c r="CM21" s="183"/>
      <c r="CN21" s="183"/>
      <c r="CO21" s="183"/>
      <c r="CP21" s="183"/>
      <c r="CQ21" s="183"/>
      <c r="CR21" s="183"/>
      <c r="CS21" s="183"/>
      <c r="CT21" s="183"/>
      <c r="CU21" s="183"/>
      <c r="CV21" s="183"/>
      <c r="CW21" s="183"/>
      <c r="CX21" s="183"/>
      <c r="CY21" s="183"/>
      <c r="CZ21" s="183"/>
      <c r="DA21" s="183"/>
      <c r="DB21" s="183"/>
      <c r="DC21" s="183"/>
      <c r="DD21" s="183"/>
      <c r="DE21" s="183"/>
      <c r="DF21" s="183"/>
      <c r="DG21" s="183"/>
      <c r="DH21" s="183"/>
      <c r="DI21" s="183"/>
      <c r="DJ21" s="183"/>
      <c r="DK21" s="183"/>
      <c r="DL21" s="183"/>
      <c r="DM21" s="183"/>
      <c r="DN21" s="183"/>
      <c r="DO21" s="183"/>
      <c r="DP21" s="183"/>
      <c r="DQ21" s="183"/>
      <c r="DR21" s="183"/>
      <c r="DS21" s="183"/>
      <c r="DT21" s="183"/>
      <c r="DU21" s="183"/>
      <c r="DV21" s="183"/>
      <c r="DW21" s="183"/>
      <c r="DX21" s="183"/>
      <c r="DY21" s="183"/>
      <c r="DZ21" s="183"/>
      <c r="EA21" s="183"/>
      <c r="EB21" s="183"/>
      <c r="EC21" s="183"/>
      <c r="ED21" s="183"/>
      <c r="EE21" s="183"/>
      <c r="EF21" s="183"/>
      <c r="EG21" s="183"/>
      <c r="EH21" s="183"/>
      <c r="EI21" s="183"/>
      <c r="EJ21" s="183"/>
      <c r="EK21" s="183"/>
      <c r="EL21" s="183"/>
      <c r="EM21" s="183"/>
      <c r="EN21" s="183"/>
      <c r="EO21" s="183"/>
      <c r="EP21" s="183"/>
      <c r="EQ21" s="183"/>
      <c r="ER21" s="183"/>
      <c r="ES21" s="183"/>
      <c r="ET21" s="183"/>
      <c r="EU21" s="183"/>
      <c r="EV21" s="183"/>
      <c r="EW21" s="183"/>
      <c r="EX21" s="183"/>
      <c r="EY21" s="183"/>
      <c r="EZ21" s="183"/>
      <c r="FA21" s="183"/>
      <c r="FB21" s="183"/>
      <c r="FC21" s="183"/>
      <c r="FD21" s="183"/>
      <c r="FE21" s="183"/>
      <c r="FF21" s="183"/>
      <c r="FG21" s="183"/>
      <c r="FH21" s="183"/>
      <c r="FI21" s="183"/>
    </row>
    <row r="22" spans="2:165" ht="0.2" hidden="1" customHeight="1" outlineLevel="1">
      <c r="B22" s="81"/>
      <c r="C22" s="81"/>
      <c r="D22" s="301"/>
      <c r="E22" s="70">
        <v>0</v>
      </c>
      <c r="F22" s="70">
        <v>0</v>
      </c>
      <c r="G22" s="70">
        <v>0</v>
      </c>
      <c r="H22" s="70">
        <v>0</v>
      </c>
      <c r="I22" s="70">
        <v>0</v>
      </c>
      <c r="J22" s="70">
        <v>0</v>
      </c>
      <c r="K22" s="70"/>
      <c r="L22" s="70"/>
      <c r="M22" s="70"/>
      <c r="N22" s="70"/>
      <c r="O22" s="70"/>
      <c r="P22" s="70"/>
      <c r="Q22" s="70"/>
      <c r="R22" s="70">
        <f>IFERROR(SUMIFS(Daily_Vol_yesterday[Order Quantity],Daily_Vol_yesterday[Cust_Cat.cust_channel],  "&lt;&gt;DSO",Daily_Vol_yesterday[Map_Product.TME_SKU],master_Daily!D22)/50000,0)</f>
        <v>0</v>
      </c>
      <c r="S22" s="70">
        <f>IFERROR(SUM(SUMIFS(Weekly_Vol[Quantity],Weekly_Vol[Cust_Cat.cust_channel],  "&lt;&gt;DSO",Weekly_Vol[Map_Product.TME_SKU],master_Daily!D22))/50000,0)</f>
        <v>0</v>
      </c>
      <c r="T22" s="82">
        <f t="shared" si="3"/>
        <v>0</v>
      </c>
      <c r="U22" s="83">
        <f t="shared" si="4"/>
        <v>0</v>
      </c>
      <c r="V22" s="84"/>
      <c r="W22" s="183"/>
      <c r="X22" s="314"/>
      <c r="Y22" s="183"/>
      <c r="Z22" s="183"/>
      <c r="AA22" s="183"/>
      <c r="AB22" s="183"/>
      <c r="AC22" s="183"/>
      <c r="AD22" s="183"/>
      <c r="AE22" s="183"/>
      <c r="AF22" s="183"/>
      <c r="AG22" s="183"/>
      <c r="AH22" s="183"/>
      <c r="AI22" s="183"/>
      <c r="AJ22" s="183"/>
      <c r="AK22" s="183"/>
      <c r="AL22" s="183"/>
      <c r="AM22" s="183"/>
      <c r="AN22" s="183"/>
      <c r="AO22" s="183"/>
      <c r="AP22" s="183"/>
      <c r="AQ22" s="183"/>
      <c r="AR22" s="183"/>
      <c r="AS22" s="183"/>
      <c r="AT22" s="183"/>
      <c r="AU22" s="183"/>
      <c r="AV22" s="183"/>
      <c r="AW22" s="183"/>
      <c r="AX22" s="183"/>
      <c r="AY22" s="183"/>
      <c r="AZ22" s="183"/>
      <c r="BA22" s="183"/>
      <c r="BB22" s="183"/>
      <c r="BC22" s="183"/>
      <c r="BD22" s="183"/>
      <c r="BE22" s="183"/>
      <c r="BF22" s="183"/>
      <c r="BG22" s="183"/>
      <c r="BH22" s="183"/>
      <c r="BI22" s="183"/>
      <c r="BJ22" s="183"/>
      <c r="BK22" s="183"/>
      <c r="BL22" s="183"/>
      <c r="BM22" s="183"/>
      <c r="BN22" s="183"/>
      <c r="BO22" s="183"/>
      <c r="BP22" s="183"/>
      <c r="BQ22" s="183"/>
      <c r="BR22" s="183"/>
      <c r="BS22" s="183"/>
      <c r="BT22" s="183"/>
      <c r="BU22" s="183"/>
      <c r="BV22" s="183"/>
      <c r="BW22" s="183"/>
      <c r="BX22" s="183"/>
      <c r="BY22" s="183"/>
      <c r="BZ22" s="183"/>
      <c r="CA22" s="183"/>
      <c r="CB22" s="183"/>
      <c r="CC22" s="183"/>
      <c r="CD22" s="183"/>
      <c r="CE22" s="183"/>
      <c r="CF22" s="183"/>
      <c r="CG22" s="183"/>
      <c r="CH22" s="183"/>
      <c r="CI22" s="183"/>
      <c r="CJ22" s="183"/>
      <c r="CK22" s="183"/>
      <c r="CL22" s="183"/>
      <c r="CM22" s="183"/>
      <c r="CN22" s="183"/>
      <c r="CO22" s="183"/>
      <c r="CP22" s="183"/>
      <c r="CQ22" s="183"/>
      <c r="CR22" s="183"/>
      <c r="CS22" s="183"/>
      <c r="CT22" s="183"/>
      <c r="CU22" s="183"/>
      <c r="CV22" s="183"/>
      <c r="CW22" s="183"/>
      <c r="CX22" s="183"/>
      <c r="CY22" s="183"/>
      <c r="CZ22" s="183"/>
      <c r="DA22" s="183"/>
      <c r="DB22" s="183"/>
      <c r="DC22" s="183"/>
      <c r="DD22" s="183"/>
      <c r="DE22" s="183"/>
      <c r="DF22" s="183"/>
      <c r="DG22" s="183"/>
      <c r="DH22" s="183"/>
      <c r="DI22" s="183"/>
      <c r="DJ22" s="183"/>
      <c r="DK22" s="183"/>
      <c r="DL22" s="183"/>
      <c r="DM22" s="183"/>
      <c r="DN22" s="183"/>
      <c r="DO22" s="183"/>
      <c r="DP22" s="183"/>
      <c r="DQ22" s="183"/>
      <c r="DR22" s="183"/>
      <c r="DS22" s="183"/>
      <c r="DT22" s="183"/>
      <c r="DU22" s="183"/>
      <c r="DV22" s="183"/>
      <c r="DW22" s="183"/>
      <c r="DX22" s="183"/>
      <c r="DY22" s="183"/>
      <c r="DZ22" s="183"/>
      <c r="EA22" s="183"/>
      <c r="EB22" s="183"/>
      <c r="EC22" s="183"/>
      <c r="ED22" s="183"/>
      <c r="EE22" s="183"/>
      <c r="EF22" s="183"/>
      <c r="EG22" s="183"/>
      <c r="EH22" s="183"/>
      <c r="EI22" s="183"/>
      <c r="EJ22" s="183"/>
      <c r="EK22" s="183"/>
      <c r="EL22" s="183"/>
      <c r="EM22" s="183"/>
      <c r="EN22" s="183"/>
      <c r="EO22" s="183"/>
      <c r="EP22" s="183"/>
      <c r="EQ22" s="183"/>
      <c r="ER22" s="183"/>
      <c r="ES22" s="183"/>
      <c r="ET22" s="183"/>
      <c r="EU22" s="183"/>
      <c r="EV22" s="183"/>
      <c r="EW22" s="183"/>
      <c r="EX22" s="183"/>
      <c r="EY22" s="183"/>
      <c r="EZ22" s="183"/>
      <c r="FA22" s="183"/>
      <c r="FB22" s="183"/>
      <c r="FC22" s="183"/>
      <c r="FD22" s="183"/>
      <c r="FE22" s="183"/>
      <c r="FF22" s="183"/>
      <c r="FG22" s="183"/>
      <c r="FH22" s="183"/>
      <c r="FI22" s="183"/>
    </row>
    <row r="23" spans="2:165" ht="0.2" hidden="1" customHeight="1" outlineLevel="1">
      <c r="B23" s="81"/>
      <c r="C23" s="81"/>
      <c r="D23" s="301"/>
      <c r="E23" s="70">
        <v>0</v>
      </c>
      <c r="F23" s="70">
        <v>0</v>
      </c>
      <c r="G23" s="70">
        <v>0</v>
      </c>
      <c r="H23" s="70">
        <v>0</v>
      </c>
      <c r="I23" s="70">
        <v>0</v>
      </c>
      <c r="J23" s="70">
        <v>0</v>
      </c>
      <c r="K23" s="70"/>
      <c r="L23" s="70"/>
      <c r="M23" s="70"/>
      <c r="N23" s="70"/>
      <c r="O23" s="70"/>
      <c r="P23" s="70"/>
      <c r="Q23" s="70"/>
      <c r="R23" s="70">
        <f>IFERROR(SUMIFS(Daily_Vol_yesterday[Order Quantity],Daily_Vol_yesterday[Cust_Cat.cust_channel],  "&lt;&gt;DSO",Daily_Vol_yesterday[Map_Product.TME_SKU],master_Daily!D23)/50000,0)</f>
        <v>0</v>
      </c>
      <c r="S23" s="70">
        <f>IFERROR(SUM(SUMIFS(Weekly_Vol[Quantity],Weekly_Vol[Cust_Cat.cust_channel],  "&lt;&gt;DSO",Weekly_Vol[Map_Product.TME_SKU],master_Daily!D23))/50000,0)</f>
        <v>0</v>
      </c>
      <c r="T23" s="82">
        <f t="shared" si="3"/>
        <v>0</v>
      </c>
      <c r="U23" s="83">
        <f t="shared" si="4"/>
        <v>0</v>
      </c>
      <c r="V23" s="84"/>
      <c r="W23" s="183"/>
      <c r="X23" s="314"/>
      <c r="Y23" s="183"/>
      <c r="Z23" s="183"/>
      <c r="AA23" s="183"/>
      <c r="AB23" s="183"/>
      <c r="AC23" s="183"/>
      <c r="AD23" s="183"/>
      <c r="AE23" s="183"/>
      <c r="AF23" s="183"/>
      <c r="AG23" s="183"/>
      <c r="AH23" s="183"/>
      <c r="AI23" s="183"/>
      <c r="AJ23" s="183"/>
      <c r="AK23" s="183"/>
      <c r="AL23" s="183"/>
      <c r="AM23" s="183"/>
      <c r="AN23" s="183"/>
      <c r="AO23" s="183"/>
      <c r="AP23" s="183"/>
      <c r="AQ23" s="183"/>
      <c r="AR23" s="183"/>
      <c r="AS23" s="183"/>
      <c r="AT23" s="183"/>
      <c r="AU23" s="183"/>
      <c r="AV23" s="183"/>
      <c r="AW23" s="183"/>
      <c r="AX23" s="183"/>
      <c r="AY23" s="183"/>
      <c r="AZ23" s="183"/>
      <c r="BA23" s="183"/>
      <c r="BB23" s="183"/>
      <c r="BC23" s="183"/>
      <c r="BD23" s="183"/>
      <c r="BE23" s="183"/>
      <c r="BF23" s="183"/>
      <c r="BG23" s="183"/>
      <c r="BH23" s="183"/>
      <c r="BI23" s="183"/>
      <c r="BJ23" s="183"/>
      <c r="BK23" s="183"/>
      <c r="BL23" s="183"/>
      <c r="BM23" s="183"/>
      <c r="BN23" s="183"/>
      <c r="BO23" s="183"/>
      <c r="BP23" s="183"/>
      <c r="BQ23" s="183"/>
      <c r="BR23" s="183"/>
      <c r="BS23" s="183"/>
      <c r="BT23" s="183"/>
      <c r="BU23" s="183"/>
      <c r="BV23" s="183"/>
      <c r="BW23" s="183"/>
      <c r="BX23" s="183"/>
      <c r="BY23" s="183"/>
      <c r="BZ23" s="183"/>
      <c r="CA23" s="183"/>
      <c r="CB23" s="183"/>
      <c r="CC23" s="183"/>
      <c r="CD23" s="183"/>
      <c r="CE23" s="183"/>
      <c r="CF23" s="183"/>
      <c r="CG23" s="183"/>
      <c r="CH23" s="183"/>
      <c r="CI23" s="183"/>
      <c r="CJ23" s="183"/>
      <c r="CK23" s="183"/>
      <c r="CL23" s="183"/>
      <c r="CM23" s="183"/>
      <c r="CN23" s="183"/>
      <c r="CO23" s="183"/>
      <c r="CP23" s="183"/>
      <c r="CQ23" s="183"/>
      <c r="CR23" s="183"/>
      <c r="CS23" s="183"/>
      <c r="CT23" s="183"/>
      <c r="CU23" s="183"/>
      <c r="CV23" s="183"/>
      <c r="CW23" s="183"/>
      <c r="CX23" s="183"/>
      <c r="CY23" s="183"/>
      <c r="CZ23" s="183"/>
      <c r="DA23" s="183"/>
      <c r="DB23" s="183"/>
      <c r="DC23" s="183"/>
      <c r="DD23" s="183"/>
      <c r="DE23" s="183"/>
      <c r="DF23" s="183"/>
      <c r="DG23" s="183"/>
      <c r="DH23" s="183"/>
      <c r="DI23" s="183"/>
      <c r="DJ23" s="183"/>
      <c r="DK23" s="183"/>
      <c r="DL23" s="183"/>
      <c r="DM23" s="183"/>
      <c r="DN23" s="183"/>
      <c r="DO23" s="183"/>
      <c r="DP23" s="183"/>
      <c r="DQ23" s="183"/>
      <c r="DR23" s="183"/>
      <c r="DS23" s="183"/>
      <c r="DT23" s="183"/>
      <c r="DU23" s="183"/>
      <c r="DV23" s="183"/>
      <c r="DW23" s="183"/>
      <c r="DX23" s="183"/>
      <c r="DY23" s="183"/>
      <c r="DZ23" s="183"/>
      <c r="EA23" s="183"/>
      <c r="EB23" s="183"/>
      <c r="EC23" s="183"/>
      <c r="ED23" s="183"/>
      <c r="EE23" s="183"/>
      <c r="EF23" s="183"/>
      <c r="EG23" s="183"/>
      <c r="EH23" s="183"/>
      <c r="EI23" s="183"/>
      <c r="EJ23" s="183"/>
      <c r="EK23" s="183"/>
      <c r="EL23" s="183"/>
      <c r="EM23" s="183"/>
      <c r="EN23" s="183"/>
      <c r="EO23" s="183"/>
      <c r="EP23" s="183"/>
      <c r="EQ23" s="183"/>
      <c r="ER23" s="183"/>
      <c r="ES23" s="183"/>
      <c r="ET23" s="183"/>
      <c r="EU23" s="183"/>
      <c r="EV23" s="183"/>
      <c r="EW23" s="183"/>
      <c r="EX23" s="183"/>
      <c r="EY23" s="183"/>
      <c r="EZ23" s="183"/>
      <c r="FA23" s="183"/>
      <c r="FB23" s="183"/>
      <c r="FC23" s="183"/>
      <c r="FD23" s="183"/>
      <c r="FE23" s="183"/>
      <c r="FF23" s="183"/>
      <c r="FG23" s="183"/>
      <c r="FH23" s="183"/>
      <c r="FI23" s="183"/>
    </row>
    <row r="24" spans="2:165" ht="0.2" hidden="1" customHeight="1" outlineLevel="1">
      <c r="B24" s="81"/>
      <c r="C24" s="81"/>
      <c r="D24" s="301"/>
      <c r="E24" s="70">
        <v>0</v>
      </c>
      <c r="F24" s="70">
        <v>0</v>
      </c>
      <c r="G24" s="70">
        <v>0</v>
      </c>
      <c r="H24" s="70">
        <v>0</v>
      </c>
      <c r="I24" s="70">
        <v>0</v>
      </c>
      <c r="J24" s="70">
        <v>0</v>
      </c>
      <c r="K24" s="70"/>
      <c r="L24" s="70"/>
      <c r="M24" s="70"/>
      <c r="N24" s="70"/>
      <c r="O24" s="70"/>
      <c r="P24" s="70"/>
      <c r="Q24" s="70"/>
      <c r="R24" s="70">
        <f>IFERROR(SUMIFS(Daily_Vol_yesterday[Order Quantity],Daily_Vol_yesterday[Cust_Cat.cust_channel],  "&lt;&gt;DSO",Daily_Vol_yesterday[Map_Product.TME_SKU],master_Daily!D24)/50000,0)</f>
        <v>0</v>
      </c>
      <c r="S24" s="70">
        <f>IFERROR(SUM(SUMIFS(Weekly_Vol[Quantity],Weekly_Vol[Cust_Cat.cust_channel],  "&lt;&gt;DSO",Weekly_Vol[Map_Product.TME_SKU],master_Daily!D24))/50000,0)</f>
        <v>0</v>
      </c>
      <c r="T24" s="82">
        <f t="shared" si="3"/>
        <v>0</v>
      </c>
      <c r="U24" s="83">
        <f t="shared" si="4"/>
        <v>0</v>
      </c>
      <c r="V24" s="84"/>
      <c r="W24" s="183"/>
      <c r="X24" s="314"/>
      <c r="Y24" s="183"/>
      <c r="Z24" s="183"/>
      <c r="AA24" s="183"/>
      <c r="AB24" s="183"/>
      <c r="AC24" s="183"/>
      <c r="AD24" s="183"/>
      <c r="AE24" s="183"/>
      <c r="AF24" s="183"/>
      <c r="AG24" s="183"/>
      <c r="AH24" s="183"/>
      <c r="AI24" s="183"/>
      <c r="AJ24" s="183"/>
      <c r="AK24" s="183"/>
      <c r="AL24" s="183"/>
      <c r="AM24" s="183"/>
      <c r="AN24" s="183"/>
      <c r="AO24" s="183"/>
      <c r="AP24" s="183"/>
      <c r="AQ24" s="183"/>
      <c r="AR24" s="183"/>
      <c r="AS24" s="183"/>
      <c r="AT24" s="183"/>
      <c r="AU24" s="183"/>
      <c r="AV24" s="183"/>
      <c r="AW24" s="183"/>
      <c r="AX24" s="183"/>
      <c r="AY24" s="183"/>
      <c r="AZ24" s="183"/>
      <c r="BA24" s="183"/>
      <c r="BB24" s="183"/>
      <c r="BC24" s="183"/>
      <c r="BD24" s="183"/>
      <c r="BE24" s="183"/>
      <c r="BF24" s="183"/>
      <c r="BG24" s="183"/>
      <c r="BH24" s="183"/>
      <c r="BI24" s="183"/>
      <c r="BJ24" s="183"/>
      <c r="BK24" s="183"/>
      <c r="BL24" s="183"/>
      <c r="BM24" s="183"/>
      <c r="BN24" s="183"/>
      <c r="BO24" s="183"/>
      <c r="BP24" s="183"/>
      <c r="BQ24" s="183"/>
      <c r="BR24" s="183"/>
      <c r="BS24" s="183"/>
      <c r="BT24" s="183"/>
      <c r="BU24" s="183"/>
      <c r="BV24" s="183"/>
      <c r="BW24" s="183"/>
      <c r="BX24" s="183"/>
      <c r="BY24" s="183"/>
      <c r="BZ24" s="183"/>
      <c r="CA24" s="183"/>
      <c r="CB24" s="183"/>
      <c r="CC24" s="183"/>
      <c r="CD24" s="183"/>
      <c r="CE24" s="183"/>
      <c r="CF24" s="183"/>
      <c r="CG24" s="183"/>
      <c r="CH24" s="183"/>
      <c r="CI24" s="183"/>
      <c r="CJ24" s="183"/>
      <c r="CK24" s="183"/>
      <c r="CL24" s="183"/>
      <c r="CM24" s="183"/>
      <c r="CN24" s="183"/>
      <c r="CO24" s="183"/>
      <c r="CP24" s="183"/>
      <c r="CQ24" s="183"/>
      <c r="CR24" s="183"/>
      <c r="CS24" s="183"/>
      <c r="CT24" s="183"/>
      <c r="CU24" s="183"/>
      <c r="CV24" s="183"/>
      <c r="CW24" s="183"/>
      <c r="CX24" s="183"/>
      <c r="CY24" s="183"/>
      <c r="CZ24" s="183"/>
      <c r="DA24" s="183"/>
      <c r="DB24" s="183"/>
      <c r="DC24" s="183"/>
      <c r="DD24" s="183"/>
      <c r="DE24" s="183"/>
      <c r="DF24" s="183"/>
      <c r="DG24" s="183"/>
      <c r="DH24" s="183"/>
      <c r="DI24" s="183"/>
      <c r="DJ24" s="183"/>
      <c r="DK24" s="183"/>
      <c r="DL24" s="183"/>
      <c r="DM24" s="183"/>
      <c r="DN24" s="183"/>
      <c r="DO24" s="183"/>
      <c r="DP24" s="183"/>
      <c r="DQ24" s="183"/>
      <c r="DR24" s="183"/>
      <c r="DS24" s="183"/>
      <c r="DT24" s="183"/>
      <c r="DU24" s="183"/>
      <c r="DV24" s="183"/>
      <c r="DW24" s="183"/>
      <c r="DX24" s="183"/>
      <c r="DY24" s="183"/>
      <c r="DZ24" s="183"/>
      <c r="EA24" s="183"/>
      <c r="EB24" s="183"/>
      <c r="EC24" s="183"/>
      <c r="ED24" s="183"/>
      <c r="EE24" s="183"/>
      <c r="EF24" s="183"/>
      <c r="EG24" s="183"/>
      <c r="EH24" s="183"/>
      <c r="EI24" s="183"/>
      <c r="EJ24" s="183"/>
      <c r="EK24" s="183"/>
      <c r="EL24" s="183"/>
      <c r="EM24" s="183"/>
      <c r="EN24" s="183"/>
      <c r="EO24" s="183"/>
      <c r="EP24" s="183"/>
      <c r="EQ24" s="183"/>
      <c r="ER24" s="183"/>
      <c r="ES24" s="183"/>
      <c r="ET24" s="183"/>
      <c r="EU24" s="183"/>
      <c r="EV24" s="183"/>
      <c r="EW24" s="183"/>
      <c r="EX24" s="183"/>
      <c r="EY24" s="183"/>
      <c r="EZ24" s="183"/>
      <c r="FA24" s="183"/>
      <c r="FB24" s="183"/>
      <c r="FC24" s="183"/>
      <c r="FD24" s="183"/>
      <c r="FE24" s="183"/>
      <c r="FF24" s="183"/>
      <c r="FG24" s="183"/>
      <c r="FH24" s="183"/>
      <c r="FI24" s="183"/>
    </row>
    <row r="25" spans="2:165" ht="0.2" hidden="1" customHeight="1" outlineLevel="1">
      <c r="B25" s="81"/>
      <c r="C25" s="81"/>
      <c r="D25" s="301"/>
      <c r="E25" s="70">
        <v>0</v>
      </c>
      <c r="F25" s="70">
        <v>0</v>
      </c>
      <c r="G25" s="70">
        <v>0</v>
      </c>
      <c r="H25" s="70">
        <v>0</v>
      </c>
      <c r="I25" s="70">
        <v>0</v>
      </c>
      <c r="J25" s="70">
        <v>0</v>
      </c>
      <c r="K25" s="70"/>
      <c r="L25" s="70"/>
      <c r="M25" s="70"/>
      <c r="N25" s="70"/>
      <c r="O25" s="70"/>
      <c r="P25" s="70"/>
      <c r="Q25" s="70"/>
      <c r="R25" s="70">
        <f>IFERROR(SUMIFS(Daily_Vol_yesterday[Order Quantity],Daily_Vol_yesterday[Cust_Cat.cust_channel],  "&lt;&gt;DSO",Daily_Vol_yesterday[Map_Product.TME_SKU],master_Daily!D25)/50000,0)</f>
        <v>0</v>
      </c>
      <c r="S25" s="70">
        <f>IFERROR(SUM(SUMIFS(Weekly_Vol[Quantity],Weekly_Vol[Cust_Cat.cust_channel],  "&lt;&gt;DSO",Weekly_Vol[Map_Product.TME_SKU],master_Daily!D25))/50000,0)</f>
        <v>0</v>
      </c>
      <c r="T25" s="82">
        <f t="shared" si="3"/>
        <v>0</v>
      </c>
      <c r="U25" s="83">
        <f t="shared" si="4"/>
        <v>0</v>
      </c>
      <c r="V25" s="84"/>
      <c r="W25" s="183"/>
      <c r="X25" s="314"/>
      <c r="Y25" s="183"/>
      <c r="Z25" s="183"/>
      <c r="AA25" s="183"/>
      <c r="AB25" s="183"/>
      <c r="AC25" s="183"/>
      <c r="AD25" s="183"/>
      <c r="AE25" s="183"/>
      <c r="AF25" s="183"/>
      <c r="AG25" s="183"/>
      <c r="AH25" s="183"/>
      <c r="AI25" s="183"/>
      <c r="AJ25" s="183"/>
      <c r="AK25" s="183"/>
      <c r="AL25" s="183"/>
      <c r="AM25" s="183"/>
      <c r="AN25" s="183"/>
      <c r="AO25" s="183"/>
      <c r="AP25" s="183"/>
      <c r="AQ25" s="183"/>
      <c r="AR25" s="183"/>
      <c r="AS25" s="183"/>
      <c r="AT25" s="183"/>
      <c r="AU25" s="183"/>
      <c r="AV25" s="183"/>
      <c r="AW25" s="183"/>
      <c r="AX25" s="183"/>
      <c r="AY25" s="183"/>
      <c r="AZ25" s="183"/>
      <c r="BA25" s="183"/>
      <c r="BB25" s="183"/>
      <c r="BC25" s="183"/>
      <c r="BD25" s="183"/>
      <c r="BE25" s="183"/>
      <c r="BF25" s="183"/>
      <c r="BG25" s="183"/>
      <c r="BH25" s="183"/>
      <c r="BI25" s="183"/>
      <c r="BJ25" s="183"/>
      <c r="BK25" s="183"/>
      <c r="BL25" s="183"/>
      <c r="BM25" s="183"/>
      <c r="BN25" s="183"/>
      <c r="BO25" s="183"/>
      <c r="BP25" s="183"/>
      <c r="BQ25" s="183"/>
      <c r="BR25" s="183"/>
      <c r="BS25" s="183"/>
      <c r="BT25" s="183"/>
      <c r="BU25" s="183"/>
      <c r="BV25" s="183"/>
      <c r="BW25" s="183"/>
      <c r="BX25" s="183"/>
      <c r="BY25" s="183"/>
      <c r="BZ25" s="183"/>
      <c r="CA25" s="183"/>
      <c r="CB25" s="183"/>
      <c r="CC25" s="183"/>
      <c r="CD25" s="183"/>
      <c r="CE25" s="183"/>
      <c r="CF25" s="183"/>
      <c r="CG25" s="183"/>
      <c r="CH25" s="183"/>
      <c r="CI25" s="183"/>
      <c r="CJ25" s="183"/>
      <c r="CK25" s="183"/>
      <c r="CL25" s="183"/>
      <c r="CM25" s="183"/>
      <c r="CN25" s="183"/>
      <c r="CO25" s="183"/>
      <c r="CP25" s="183"/>
      <c r="CQ25" s="183"/>
      <c r="CR25" s="183"/>
      <c r="CS25" s="183"/>
      <c r="CT25" s="183"/>
      <c r="CU25" s="183"/>
      <c r="CV25" s="183"/>
      <c r="CW25" s="183"/>
      <c r="CX25" s="183"/>
      <c r="CY25" s="183"/>
      <c r="CZ25" s="183"/>
      <c r="DA25" s="183"/>
      <c r="DB25" s="183"/>
      <c r="DC25" s="183"/>
      <c r="DD25" s="183"/>
      <c r="DE25" s="183"/>
      <c r="DF25" s="183"/>
      <c r="DG25" s="183"/>
      <c r="DH25" s="183"/>
      <c r="DI25" s="183"/>
      <c r="DJ25" s="183"/>
      <c r="DK25" s="183"/>
      <c r="DL25" s="183"/>
      <c r="DM25" s="183"/>
      <c r="DN25" s="183"/>
      <c r="DO25" s="183"/>
      <c r="DP25" s="183"/>
      <c r="DQ25" s="183"/>
      <c r="DR25" s="183"/>
      <c r="DS25" s="183"/>
      <c r="DT25" s="183"/>
      <c r="DU25" s="183"/>
      <c r="DV25" s="183"/>
      <c r="DW25" s="183"/>
      <c r="DX25" s="183"/>
      <c r="DY25" s="183"/>
      <c r="DZ25" s="183"/>
      <c r="EA25" s="183"/>
      <c r="EB25" s="183"/>
      <c r="EC25" s="183"/>
      <c r="ED25" s="183"/>
      <c r="EE25" s="183"/>
      <c r="EF25" s="183"/>
      <c r="EG25" s="183"/>
      <c r="EH25" s="183"/>
      <c r="EI25" s="183"/>
      <c r="EJ25" s="183"/>
      <c r="EK25" s="183"/>
      <c r="EL25" s="183"/>
      <c r="EM25" s="183"/>
      <c r="EN25" s="183"/>
      <c r="EO25" s="183"/>
      <c r="EP25" s="183"/>
      <c r="EQ25" s="183"/>
      <c r="ER25" s="183"/>
      <c r="ES25" s="183"/>
      <c r="ET25" s="183"/>
      <c r="EU25" s="183"/>
      <c r="EV25" s="183"/>
      <c r="EW25" s="183"/>
      <c r="EX25" s="183"/>
      <c r="EY25" s="183"/>
      <c r="EZ25" s="183"/>
      <c r="FA25" s="183"/>
      <c r="FB25" s="183"/>
      <c r="FC25" s="183"/>
      <c r="FD25" s="183"/>
      <c r="FE25" s="183"/>
      <c r="FF25" s="183"/>
      <c r="FG25" s="183"/>
      <c r="FH25" s="183"/>
      <c r="FI25" s="183"/>
    </row>
    <row r="26" spans="2:165" ht="0.2" hidden="1" customHeight="1" outlineLevel="1">
      <c r="B26" s="81"/>
      <c r="C26" s="81"/>
      <c r="D26" s="301"/>
      <c r="E26" s="70">
        <v>0</v>
      </c>
      <c r="F26" s="70">
        <v>0</v>
      </c>
      <c r="G26" s="70">
        <v>0</v>
      </c>
      <c r="H26" s="70">
        <v>0</v>
      </c>
      <c r="I26" s="70">
        <v>0</v>
      </c>
      <c r="J26" s="70">
        <v>0</v>
      </c>
      <c r="K26" s="70"/>
      <c r="L26" s="70"/>
      <c r="M26" s="70"/>
      <c r="N26" s="70"/>
      <c r="O26" s="70"/>
      <c r="P26" s="70"/>
      <c r="Q26" s="70"/>
      <c r="R26" s="70">
        <f>IFERROR(SUMIFS(Daily_Vol_yesterday[Order Quantity],Daily_Vol_yesterday[Cust_Cat.cust_channel],  "&lt;&gt;DSO",Daily_Vol_yesterday[Map_Product.TME_SKU],master_Daily!D26)/50000,0)</f>
        <v>0</v>
      </c>
      <c r="S26" s="70">
        <f>IFERROR(SUM(SUMIFS(Weekly_Vol[Quantity],Weekly_Vol[Cust_Cat.cust_channel],  "&lt;&gt;DSO",Weekly_Vol[Map_Product.TME_SKU],master_Daily!D26))/50000,0)</f>
        <v>0</v>
      </c>
      <c r="T26" s="82">
        <f t="shared" si="3"/>
        <v>0</v>
      </c>
      <c r="U26" s="83">
        <f t="shared" si="4"/>
        <v>0</v>
      </c>
      <c r="V26" s="84"/>
      <c r="W26" s="183"/>
      <c r="X26" s="314"/>
      <c r="Y26" s="183"/>
      <c r="Z26" s="183"/>
      <c r="AA26" s="183"/>
      <c r="AB26" s="183"/>
      <c r="AC26" s="183"/>
      <c r="AD26" s="183"/>
      <c r="AE26" s="183"/>
      <c r="AF26" s="183"/>
      <c r="AG26" s="183"/>
      <c r="AH26" s="183"/>
      <c r="AI26" s="183"/>
      <c r="AJ26" s="183"/>
      <c r="AK26" s="183"/>
      <c r="AL26" s="183"/>
      <c r="AM26" s="183"/>
      <c r="AN26" s="183"/>
      <c r="AO26" s="183"/>
      <c r="AP26" s="183"/>
      <c r="AQ26" s="183"/>
      <c r="AR26" s="183"/>
      <c r="AS26" s="183"/>
      <c r="AT26" s="183"/>
      <c r="AU26" s="183"/>
      <c r="AV26" s="183"/>
      <c r="AW26" s="183"/>
      <c r="AX26" s="183"/>
      <c r="AY26" s="183"/>
      <c r="AZ26" s="183"/>
      <c r="BA26" s="183"/>
      <c r="BB26" s="183"/>
      <c r="BC26" s="183"/>
      <c r="BD26" s="183"/>
      <c r="BE26" s="183"/>
      <c r="BF26" s="183"/>
      <c r="BG26" s="183"/>
      <c r="BH26" s="183"/>
      <c r="BI26" s="183"/>
      <c r="BJ26" s="183"/>
      <c r="BK26" s="183"/>
      <c r="BL26" s="183"/>
      <c r="BM26" s="183"/>
      <c r="BN26" s="183"/>
      <c r="BO26" s="183"/>
      <c r="BP26" s="183"/>
      <c r="BQ26" s="183"/>
      <c r="BR26" s="183"/>
      <c r="BS26" s="183"/>
      <c r="BT26" s="183"/>
      <c r="BU26" s="183"/>
      <c r="BV26" s="183"/>
      <c r="BW26" s="183"/>
      <c r="BX26" s="183"/>
      <c r="BY26" s="183"/>
      <c r="BZ26" s="183"/>
      <c r="CA26" s="183"/>
      <c r="CB26" s="183"/>
      <c r="CC26" s="183"/>
      <c r="CD26" s="183"/>
      <c r="CE26" s="183"/>
      <c r="CF26" s="183"/>
      <c r="CG26" s="183"/>
      <c r="CH26" s="183"/>
      <c r="CI26" s="183"/>
      <c r="CJ26" s="183"/>
      <c r="CK26" s="183"/>
      <c r="CL26" s="183"/>
      <c r="CM26" s="183"/>
      <c r="CN26" s="183"/>
      <c r="CO26" s="183"/>
      <c r="CP26" s="183"/>
      <c r="CQ26" s="183"/>
      <c r="CR26" s="183"/>
      <c r="CS26" s="183"/>
      <c r="CT26" s="183"/>
      <c r="CU26" s="183"/>
      <c r="CV26" s="183"/>
      <c r="CW26" s="183"/>
      <c r="CX26" s="183"/>
      <c r="CY26" s="183"/>
      <c r="CZ26" s="183"/>
      <c r="DA26" s="183"/>
      <c r="DB26" s="183"/>
      <c r="DC26" s="183"/>
      <c r="DD26" s="183"/>
      <c r="DE26" s="183"/>
      <c r="DF26" s="183"/>
      <c r="DG26" s="183"/>
      <c r="DH26" s="183"/>
      <c r="DI26" s="183"/>
      <c r="DJ26" s="183"/>
      <c r="DK26" s="183"/>
      <c r="DL26" s="183"/>
      <c r="DM26" s="183"/>
      <c r="DN26" s="183"/>
      <c r="DO26" s="183"/>
      <c r="DP26" s="183"/>
      <c r="DQ26" s="183"/>
      <c r="DR26" s="183"/>
      <c r="DS26" s="183"/>
      <c r="DT26" s="183"/>
      <c r="DU26" s="183"/>
      <c r="DV26" s="183"/>
      <c r="DW26" s="183"/>
      <c r="DX26" s="183"/>
      <c r="DY26" s="183"/>
      <c r="DZ26" s="183"/>
      <c r="EA26" s="183"/>
      <c r="EB26" s="183"/>
      <c r="EC26" s="183"/>
      <c r="ED26" s="183"/>
      <c r="EE26" s="183"/>
      <c r="EF26" s="183"/>
      <c r="EG26" s="183"/>
      <c r="EH26" s="183"/>
      <c r="EI26" s="183"/>
      <c r="EJ26" s="183"/>
      <c r="EK26" s="183"/>
      <c r="EL26" s="183"/>
      <c r="EM26" s="183"/>
      <c r="EN26" s="183"/>
      <c r="EO26" s="183"/>
      <c r="EP26" s="183"/>
      <c r="EQ26" s="183"/>
      <c r="ER26" s="183"/>
      <c r="ES26" s="183"/>
      <c r="ET26" s="183"/>
      <c r="EU26" s="183"/>
      <c r="EV26" s="183"/>
      <c r="EW26" s="183"/>
      <c r="EX26" s="183"/>
      <c r="EY26" s="183"/>
      <c r="EZ26" s="183"/>
      <c r="FA26" s="183"/>
      <c r="FB26" s="183"/>
      <c r="FC26" s="183"/>
      <c r="FD26" s="183"/>
      <c r="FE26" s="183"/>
      <c r="FF26" s="183"/>
      <c r="FG26" s="183"/>
      <c r="FH26" s="183"/>
      <c r="FI26" s="183"/>
    </row>
    <row r="27" spans="2:165" ht="15" customHeight="1" collapsed="1">
      <c r="B27" s="24" t="s">
        <v>25</v>
      </c>
      <c r="C27" s="24" t="s">
        <v>45</v>
      </c>
      <c r="D27" s="398"/>
      <c r="E27" s="25">
        <v>2.13368</v>
      </c>
      <c r="F27" s="25">
        <v>2.04888</v>
      </c>
      <c r="G27" s="25">
        <v>2.12906</v>
      </c>
      <c r="H27" s="25">
        <v>1.7956800000000002</v>
      </c>
      <c r="I27" s="25">
        <v>1.5760200000000002</v>
      </c>
      <c r="J27" s="25">
        <v>0.74996000000000007</v>
      </c>
      <c r="K27" s="25"/>
      <c r="L27" s="25"/>
      <c r="M27" s="25"/>
      <c r="N27" s="25"/>
      <c r="O27" s="25"/>
      <c r="P27" s="25"/>
      <c r="Q27" s="25">
        <f>EQ137+Q137</f>
        <v>1.5663994972227151</v>
      </c>
      <c r="R27" s="25">
        <f ca="1">ER137+R137</f>
        <v>2.6200000000000001E-2</v>
      </c>
      <c r="S27" s="25">
        <f ca="1">$EZ$137+$S$137</f>
        <v>0.74996000000000007</v>
      </c>
      <c r="T27" s="25">
        <f>SUM(E27:P27)</f>
        <v>10.43328</v>
      </c>
      <c r="U27" s="59">
        <f>IFERROR(T27/$T$101,0)</f>
        <v>1.3928869696084039E-2</v>
      </c>
      <c r="V27" s="27">
        <f ca="1">IFERROR(S27/Q27,0)</f>
        <v>0.47877952037759663</v>
      </c>
      <c r="W27" s="399">
        <f>$FR$137+$S$137</f>
        <v>0.73296000000000006</v>
      </c>
      <c r="X27" s="27">
        <f>IFERROR(W27/Q27,0)</f>
        <v>0.46792660576025819</v>
      </c>
      <c r="Y27" s="183"/>
      <c r="Z27" s="183"/>
      <c r="AA27" s="183"/>
      <c r="AB27" s="183"/>
      <c r="AC27" s="183"/>
      <c r="AD27" s="183"/>
      <c r="AE27" s="183"/>
      <c r="AF27" s="183"/>
      <c r="AG27" s="183"/>
      <c r="AH27" s="183"/>
      <c r="AI27" s="183"/>
      <c r="AJ27" s="183"/>
      <c r="AK27" s="183"/>
      <c r="AL27" s="183"/>
      <c r="AM27" s="183"/>
      <c r="AN27" s="183"/>
      <c r="AO27" s="183"/>
      <c r="AP27" s="183"/>
      <c r="AQ27" s="183"/>
      <c r="AR27" s="183"/>
      <c r="AS27" s="183"/>
      <c r="AT27" s="183"/>
      <c r="AU27" s="183"/>
      <c r="AV27" s="183"/>
      <c r="AW27" s="183"/>
      <c r="AX27" s="183"/>
      <c r="AY27" s="183"/>
      <c r="AZ27" s="183"/>
      <c r="BA27" s="183"/>
      <c r="BB27" s="183"/>
      <c r="BC27" s="183"/>
      <c r="BD27" s="183"/>
      <c r="BE27" s="183"/>
      <c r="BF27" s="183"/>
      <c r="BG27" s="183"/>
      <c r="BH27" s="183"/>
      <c r="BI27" s="183"/>
      <c r="BJ27" s="183"/>
      <c r="BK27" s="183"/>
      <c r="BL27" s="183"/>
      <c r="BM27" s="183"/>
      <c r="BN27" s="183"/>
      <c r="BO27" s="183"/>
      <c r="BP27" s="183"/>
      <c r="BQ27" s="183"/>
      <c r="BR27" s="183"/>
      <c r="BS27" s="183"/>
      <c r="BT27" s="183"/>
      <c r="BU27" s="183"/>
      <c r="BV27" s="183"/>
      <c r="BW27" s="183"/>
      <c r="BX27" s="183"/>
      <c r="BY27" s="183"/>
      <c r="BZ27" s="183"/>
      <c r="CA27" s="183"/>
      <c r="CB27" s="183"/>
      <c r="CC27" s="183"/>
      <c r="CD27" s="183"/>
      <c r="CE27" s="183"/>
      <c r="CF27" s="183"/>
      <c r="CG27" s="183"/>
      <c r="CH27" s="183"/>
      <c r="CI27" s="183"/>
      <c r="CJ27" s="183"/>
      <c r="CK27" s="183"/>
      <c r="CL27" s="183"/>
      <c r="CM27" s="183"/>
      <c r="CN27" s="183"/>
      <c r="CO27" s="183"/>
      <c r="CP27" s="183"/>
      <c r="CQ27" s="183"/>
      <c r="CR27" s="183"/>
      <c r="CS27" s="183"/>
      <c r="CT27" s="183"/>
      <c r="CU27" s="183"/>
      <c r="CV27" s="183"/>
      <c r="CW27" s="183"/>
      <c r="CX27" s="183"/>
      <c r="CY27" s="183"/>
      <c r="CZ27" s="183"/>
      <c r="DA27" s="183"/>
      <c r="DB27" s="183"/>
      <c r="DC27" s="183"/>
      <c r="DD27" s="183"/>
      <c r="DE27" s="183"/>
      <c r="DF27" s="183"/>
      <c r="DG27" s="183"/>
      <c r="DH27" s="183"/>
      <c r="DI27" s="183"/>
      <c r="DJ27" s="183"/>
      <c r="DK27" s="183"/>
      <c r="DL27" s="183"/>
      <c r="DM27" s="183"/>
      <c r="DN27" s="183"/>
      <c r="DO27" s="183"/>
      <c r="DP27" s="183"/>
      <c r="DQ27" s="183"/>
      <c r="DR27" s="183"/>
      <c r="DS27" s="183"/>
      <c r="DT27" s="183"/>
      <c r="DU27" s="183"/>
      <c r="DV27" s="183"/>
      <c r="DW27" s="183"/>
      <c r="DX27" s="183"/>
      <c r="DY27" s="183"/>
      <c r="DZ27" s="183"/>
      <c r="EA27" s="183"/>
      <c r="EB27" s="183"/>
      <c r="EC27" s="183"/>
      <c r="ED27" s="183"/>
      <c r="EE27" s="183"/>
      <c r="EF27" s="183"/>
      <c r="EG27" s="183"/>
      <c r="EH27" s="183"/>
      <c r="EI27" s="183"/>
      <c r="EJ27" s="183"/>
      <c r="EK27" s="183"/>
      <c r="EL27" s="183"/>
      <c r="EM27" s="183"/>
      <c r="EN27" s="183"/>
      <c r="EO27" s="183"/>
      <c r="EP27" s="183"/>
      <c r="EQ27" s="183"/>
      <c r="ER27" s="183"/>
      <c r="ES27" s="183"/>
      <c r="ET27" s="183"/>
      <c r="EU27" s="183"/>
      <c r="EV27" s="183"/>
      <c r="EW27" s="183"/>
      <c r="EX27" s="183"/>
      <c r="EY27" s="183"/>
      <c r="EZ27" s="183"/>
      <c r="FA27" s="183"/>
      <c r="FB27" s="183"/>
      <c r="FC27" s="183"/>
      <c r="FD27" s="183"/>
      <c r="FE27" s="183"/>
      <c r="FF27" s="183"/>
      <c r="FG27" s="183"/>
      <c r="FH27" s="183"/>
      <c r="FI27" s="183"/>
    </row>
    <row r="28" spans="2:165" ht="15" hidden="1" customHeight="1" outlineLevel="1">
      <c r="B28" s="81" t="s">
        <v>25</v>
      </c>
      <c r="C28" s="81" t="s">
        <v>46</v>
      </c>
      <c r="D28" s="303" t="s">
        <v>91</v>
      </c>
      <c r="E28" s="304">
        <v>0</v>
      </c>
      <c r="F28" s="304">
        <v>0</v>
      </c>
      <c r="G28" s="304">
        <v>0</v>
      </c>
      <c r="H28" s="304">
        <v>0</v>
      </c>
      <c r="I28" s="304">
        <v>0</v>
      </c>
      <c r="J28" s="304">
        <v>0</v>
      </c>
      <c r="K28" s="304"/>
      <c r="L28" s="304"/>
      <c r="M28" s="304"/>
      <c r="N28" s="304"/>
      <c r="O28" s="304"/>
      <c r="P28" s="304"/>
      <c r="Q28" s="304"/>
      <c r="R28" s="304">
        <f>IFERROR(SUMIFS(Daily_Vol_yesterday[Order Quantity],Daily_Vol_yesterday[Cust_Cat.cust_channel],  "&lt;&gt;DSO",Daily_Vol_yesterday[Map_Product.TME_SKU],master_Daily!D28)/50000,0)</f>
        <v>0</v>
      </c>
      <c r="S28" s="304">
        <f>IFERROR(SUM(SUMIFS(Weekly_Vol[Quantity],Weekly_Vol[Cust_Cat.cust_channel],  "&lt;&gt;DSO",Weekly_Vol[Map_Product.TME_SKU],master_Daily!D28))/50000,0)</f>
        <v>0</v>
      </c>
      <c r="T28" s="305">
        <f t="shared" ref="T28:T37" si="5">SUM(E28:P28)</f>
        <v>0</v>
      </c>
      <c r="U28" s="306">
        <f>IFERROR(T28/$T$38,0)</f>
        <v>0</v>
      </c>
      <c r="V28" s="315">
        <f>IFERROR(S28/Q28,0)</f>
        <v>0</v>
      </c>
      <c r="W28" s="313">
        <f>IFERROR(SUM(SUMIFS(Weekly_Vol[Quantity],Weekly_Vol[Cust_Cat.Customer category],  "Key Account",Weekly_Vol[Map_Product.TME_SKU],master_Daily!D28))/50000,0)
+ IFERROR(SUMIFS(TME_MTD_Dist[Sell_WHS_QTY],TME_MTD_Dist[SKU],master_Daily!$D28)/50000,0)
 + IFERROR(SUMIFS(TME_MTD_Dist[Sell_RTL_QTY],TME_MTD_Dist[SKU],master_Daily!$D28)/50000,0)</f>
        <v>0</v>
      </c>
      <c r="X28" s="314"/>
      <c r="Y28" s="183"/>
      <c r="Z28" s="183"/>
      <c r="AA28" s="183"/>
      <c r="AB28" s="183"/>
      <c r="AC28" s="183"/>
      <c r="AD28" s="183"/>
      <c r="AE28" s="183"/>
      <c r="AF28" s="183"/>
      <c r="AG28" s="183"/>
      <c r="AH28" s="183"/>
      <c r="AI28" s="183"/>
      <c r="AJ28" s="183"/>
      <c r="AK28" s="183"/>
      <c r="AL28" s="183"/>
      <c r="AM28" s="183"/>
      <c r="AN28" s="183"/>
      <c r="AO28" s="183"/>
      <c r="AP28" s="183"/>
      <c r="AQ28" s="183"/>
      <c r="AR28" s="183"/>
      <c r="AS28" s="183"/>
      <c r="AT28" s="183"/>
      <c r="AU28" s="183"/>
      <c r="AV28" s="183"/>
      <c r="AW28" s="183"/>
      <c r="AX28" s="183"/>
      <c r="AY28" s="183"/>
      <c r="AZ28" s="183"/>
      <c r="BA28" s="183"/>
      <c r="BB28" s="183"/>
      <c r="BC28" s="183"/>
      <c r="BD28" s="183"/>
      <c r="BE28" s="183"/>
      <c r="BF28" s="183"/>
      <c r="BG28" s="183"/>
      <c r="BH28" s="183"/>
      <c r="BI28" s="183"/>
      <c r="BJ28" s="183"/>
      <c r="BK28" s="183"/>
      <c r="BL28" s="183"/>
      <c r="BM28" s="183"/>
      <c r="BN28" s="183"/>
      <c r="BO28" s="183"/>
      <c r="BP28" s="183"/>
      <c r="BQ28" s="183"/>
      <c r="BR28" s="183"/>
      <c r="BS28" s="183"/>
      <c r="BT28" s="183"/>
      <c r="BU28" s="183"/>
      <c r="BV28" s="183"/>
      <c r="BW28" s="183"/>
      <c r="BX28" s="183"/>
      <c r="BY28" s="183"/>
      <c r="BZ28" s="183"/>
      <c r="CA28" s="183"/>
      <c r="CB28" s="183"/>
      <c r="CC28" s="183"/>
      <c r="CD28" s="183"/>
      <c r="CE28" s="183"/>
      <c r="CF28" s="183"/>
      <c r="CG28" s="183"/>
      <c r="CH28" s="183"/>
      <c r="CI28" s="183"/>
      <c r="CJ28" s="183"/>
      <c r="CK28" s="183"/>
      <c r="CL28" s="183"/>
      <c r="CM28" s="183"/>
      <c r="CN28" s="183"/>
      <c r="CO28" s="183"/>
      <c r="CP28" s="183"/>
      <c r="CQ28" s="183"/>
      <c r="CR28" s="183"/>
      <c r="CS28" s="183"/>
      <c r="CT28" s="183"/>
      <c r="CU28" s="183"/>
      <c r="CV28" s="183"/>
      <c r="CW28" s="183"/>
      <c r="CX28" s="183"/>
      <c r="CY28" s="183"/>
      <c r="CZ28" s="183"/>
      <c r="DA28" s="183"/>
      <c r="DB28" s="183"/>
      <c r="DC28" s="183"/>
      <c r="DD28" s="183"/>
      <c r="DE28" s="183"/>
      <c r="DF28" s="183"/>
      <c r="DG28" s="183"/>
      <c r="DH28" s="183"/>
      <c r="DI28" s="183"/>
      <c r="DJ28" s="183"/>
      <c r="DK28" s="183"/>
      <c r="DL28" s="183"/>
      <c r="DM28" s="183"/>
      <c r="DN28" s="183"/>
      <c r="DO28" s="183"/>
      <c r="DP28" s="183"/>
      <c r="DQ28" s="183"/>
      <c r="DR28" s="183"/>
      <c r="DS28" s="183"/>
      <c r="DT28" s="183"/>
      <c r="DU28" s="183"/>
      <c r="DV28" s="183"/>
      <c r="DW28" s="183"/>
      <c r="DX28" s="183"/>
      <c r="DY28" s="183"/>
      <c r="DZ28" s="183"/>
      <c r="EA28" s="183"/>
      <c r="EB28" s="183"/>
      <c r="EC28" s="183"/>
      <c r="ED28" s="183"/>
      <c r="EE28" s="183"/>
      <c r="EF28" s="183"/>
      <c r="EG28" s="183"/>
      <c r="EH28" s="183"/>
      <c r="EI28" s="183"/>
      <c r="EJ28" s="183"/>
      <c r="EK28" s="183"/>
      <c r="EL28" s="183"/>
      <c r="EM28" s="183"/>
      <c r="EN28" s="183"/>
      <c r="EO28" s="183"/>
      <c r="EP28" s="183"/>
      <c r="EQ28" s="183"/>
      <c r="ER28" s="183"/>
      <c r="ES28" s="183"/>
      <c r="ET28" s="183"/>
      <c r="EU28" s="183"/>
      <c r="EV28" s="183"/>
      <c r="EW28" s="183"/>
      <c r="EX28" s="183"/>
      <c r="EY28" s="183"/>
      <c r="EZ28" s="183"/>
      <c r="FA28" s="183"/>
      <c r="FB28" s="183"/>
      <c r="FC28" s="183"/>
      <c r="FD28" s="183"/>
      <c r="FE28" s="183"/>
      <c r="FF28" s="183"/>
      <c r="FG28" s="183"/>
      <c r="FH28" s="183"/>
      <c r="FI28" s="183"/>
    </row>
    <row r="29" spans="2:165" ht="15" hidden="1" customHeight="1" outlineLevel="1">
      <c r="B29" s="81" t="s">
        <v>25</v>
      </c>
      <c r="C29" s="81" t="s">
        <v>46</v>
      </c>
      <c r="D29" s="303" t="s">
        <v>92</v>
      </c>
      <c r="E29" s="304">
        <v>13.77474</v>
      </c>
      <c r="F29" s="304">
        <v>17.475960000000001</v>
      </c>
      <c r="G29" s="304">
        <v>13.018940000000001</v>
      </c>
      <c r="H29" s="304">
        <v>12.69164</v>
      </c>
      <c r="I29" s="304">
        <v>12.340820000000001</v>
      </c>
      <c r="J29" s="304">
        <v>6.2509399999999999</v>
      </c>
      <c r="K29" s="304"/>
      <c r="L29" s="304"/>
      <c r="M29" s="304"/>
      <c r="N29" s="304"/>
      <c r="O29" s="304"/>
      <c r="P29" s="304"/>
      <c r="Q29" s="304"/>
      <c r="R29" s="304">
        <f>IFERROR(SUMIFS(Daily_Vol_yesterday[Order Quantity],Daily_Vol_yesterday[Cust_Cat.cust_channel],  "&lt;&gt;DSO",Daily_Vol_yesterday[Map_Product.TME_SKU],master_Daily!D29)/50000,0)</f>
        <v>0.52639999999999998</v>
      </c>
      <c r="S29" s="304">
        <f>IFERROR(SUM(SUMIFS(Weekly_Vol[Quantity],Weekly_Vol[Cust_Cat.cust_channel],  "&lt;&gt;DSO",Weekly_Vol[Map_Product.TME_SKU],master_Daily!D29))/50000,0)</f>
        <v>6.2509399999999999</v>
      </c>
      <c r="T29" s="305">
        <f t="shared" si="5"/>
        <v>75.553039999999996</v>
      </c>
      <c r="U29" s="306">
        <f t="shared" ref="U29:U37" si="6">IFERROR(T29/$T$38,0)</f>
        <v>0.42891522818848032</v>
      </c>
      <c r="V29" s="315">
        <f>IFERROR(S29/Q29,0)</f>
        <v>0</v>
      </c>
      <c r="W29" s="313">
        <f>IFERROR(SUM(SUMIFS(Weekly_Vol[Quantity],Weekly_Vol[Cust_Cat.Customer category],  "Key Account",Weekly_Vol[Map_Product.TME_SKU],master_Daily!D29))/50000,0)
+ IFERROR(SUMIFS(TME_MTD_Dist[Sell_WHS_QTY],TME_MTD_Dist[SKU],master_Daily!$D29)/50000,0)
 + IFERROR(SUMIFS(TME_MTD_Dist[Sell_RTL_QTY],TME_MTD_Dist[SKU],master_Daily!$D29)/50000,0)</f>
        <v>5.4909400000000002</v>
      </c>
      <c r="X29" s="314"/>
      <c r="Y29" s="183"/>
      <c r="Z29" s="183"/>
      <c r="AA29" s="183"/>
      <c r="AB29" s="183"/>
      <c r="AC29" s="183"/>
      <c r="AD29" s="183"/>
      <c r="AE29" s="183"/>
      <c r="AF29" s="183"/>
      <c r="AG29" s="183"/>
      <c r="AH29" s="183"/>
      <c r="AI29" s="183"/>
      <c r="AJ29" s="183"/>
      <c r="AK29" s="183"/>
      <c r="AL29" s="183"/>
      <c r="AM29" s="183"/>
      <c r="AN29" s="183"/>
      <c r="AO29" s="183"/>
      <c r="AP29" s="183"/>
      <c r="AQ29" s="183"/>
      <c r="AR29" s="183"/>
      <c r="AS29" s="183"/>
      <c r="AT29" s="183"/>
      <c r="AU29" s="183"/>
      <c r="AV29" s="183"/>
      <c r="AW29" s="183"/>
      <c r="AX29" s="183"/>
      <c r="AY29" s="183"/>
      <c r="AZ29" s="183"/>
      <c r="BA29" s="183"/>
      <c r="BB29" s="183"/>
      <c r="BC29" s="183"/>
      <c r="BD29" s="183"/>
      <c r="BE29" s="183"/>
      <c r="BF29" s="183"/>
      <c r="BG29" s="183"/>
      <c r="BH29" s="183"/>
      <c r="BI29" s="183"/>
      <c r="BJ29" s="183"/>
      <c r="BK29" s="183"/>
      <c r="BL29" s="183"/>
      <c r="BM29" s="183"/>
      <c r="BN29" s="183"/>
      <c r="BO29" s="183"/>
      <c r="BP29" s="183"/>
      <c r="BQ29" s="183"/>
      <c r="BR29" s="183"/>
      <c r="BS29" s="183"/>
      <c r="BT29" s="183"/>
      <c r="BU29" s="183"/>
      <c r="BV29" s="183"/>
      <c r="BW29" s="183"/>
      <c r="BX29" s="183"/>
      <c r="BY29" s="183"/>
      <c r="BZ29" s="183"/>
      <c r="CA29" s="183"/>
      <c r="CB29" s="183"/>
      <c r="CC29" s="183"/>
      <c r="CD29" s="183"/>
      <c r="CE29" s="183"/>
      <c r="CF29" s="183"/>
      <c r="CG29" s="183"/>
      <c r="CH29" s="183"/>
      <c r="CI29" s="183"/>
      <c r="CJ29" s="183"/>
      <c r="CK29" s="183"/>
      <c r="CL29" s="183"/>
      <c r="CM29" s="183"/>
      <c r="CN29" s="183"/>
      <c r="CO29" s="183"/>
      <c r="CP29" s="183"/>
      <c r="CQ29" s="183"/>
      <c r="CR29" s="183"/>
      <c r="CS29" s="183"/>
      <c r="CT29" s="183"/>
      <c r="CU29" s="183"/>
      <c r="CV29" s="183"/>
      <c r="CW29" s="183"/>
      <c r="CX29" s="183"/>
      <c r="CY29" s="183"/>
      <c r="CZ29" s="183"/>
      <c r="DA29" s="183"/>
      <c r="DB29" s="183"/>
      <c r="DC29" s="183"/>
      <c r="DD29" s="183"/>
      <c r="DE29" s="183"/>
      <c r="DF29" s="183"/>
      <c r="DG29" s="183"/>
      <c r="DH29" s="183"/>
      <c r="DI29" s="183"/>
      <c r="DJ29" s="183"/>
      <c r="DK29" s="183"/>
      <c r="DL29" s="183"/>
      <c r="DM29" s="183"/>
      <c r="DN29" s="183"/>
      <c r="DO29" s="183"/>
      <c r="DP29" s="183"/>
      <c r="DQ29" s="183"/>
      <c r="DR29" s="183"/>
      <c r="DS29" s="183"/>
      <c r="DT29" s="183"/>
      <c r="DU29" s="183"/>
      <c r="DV29" s="183"/>
      <c r="DW29" s="183"/>
      <c r="DX29" s="183"/>
      <c r="DY29" s="183"/>
      <c r="DZ29" s="183"/>
      <c r="EA29" s="183"/>
      <c r="EB29" s="183"/>
      <c r="EC29" s="183"/>
      <c r="ED29" s="183"/>
      <c r="EE29" s="183"/>
      <c r="EF29" s="183"/>
      <c r="EG29" s="183"/>
      <c r="EH29" s="183"/>
      <c r="EI29" s="183"/>
      <c r="EJ29" s="183"/>
      <c r="EK29" s="183"/>
      <c r="EL29" s="183"/>
      <c r="EM29" s="183"/>
      <c r="EN29" s="183"/>
      <c r="EO29" s="183"/>
      <c r="EP29" s="183"/>
      <c r="EQ29" s="183"/>
      <c r="ER29" s="183"/>
      <c r="ES29" s="183"/>
      <c r="ET29" s="183"/>
      <c r="EU29" s="183"/>
      <c r="EV29" s="183"/>
      <c r="EW29" s="183"/>
      <c r="EX29" s="183"/>
      <c r="EY29" s="183"/>
      <c r="EZ29" s="183"/>
      <c r="FA29" s="183"/>
      <c r="FB29" s="183"/>
      <c r="FC29" s="183"/>
      <c r="FD29" s="183"/>
      <c r="FE29" s="183"/>
      <c r="FF29" s="183"/>
      <c r="FG29" s="183"/>
      <c r="FH29" s="183"/>
      <c r="FI29" s="183"/>
    </row>
    <row r="30" spans="2:165" ht="15" hidden="1" customHeight="1" outlineLevel="1">
      <c r="B30" s="81" t="s">
        <v>25</v>
      </c>
      <c r="C30" s="81" t="s">
        <v>46</v>
      </c>
      <c r="D30" s="303" t="s">
        <v>93</v>
      </c>
      <c r="E30" s="304">
        <v>10.50314</v>
      </c>
      <c r="F30" s="304">
        <v>7.8083200000000001</v>
      </c>
      <c r="G30" s="304">
        <v>8.4350799999999992</v>
      </c>
      <c r="H30" s="304">
        <v>8.5255200000000002</v>
      </c>
      <c r="I30" s="304">
        <v>8.4581999999999997</v>
      </c>
      <c r="J30" s="304">
        <v>3.9824000000000002</v>
      </c>
      <c r="K30" s="304"/>
      <c r="L30" s="304"/>
      <c r="M30" s="304"/>
      <c r="N30" s="304"/>
      <c r="O30" s="304"/>
      <c r="P30" s="304"/>
      <c r="Q30" s="304"/>
      <c r="R30" s="304">
        <f>IFERROR(SUMIFS(Daily_Vol_yesterday[Order Quantity],Daily_Vol_yesterday[Cust_Cat.cust_channel],  "&lt;&gt;DSO",Daily_Vol_yesterday[Map_Product.TME_SKU],master_Daily!D30)/50000,0)</f>
        <v>0.31180000000000002</v>
      </c>
      <c r="S30" s="304">
        <f>IFERROR(SUM(SUMIFS(Weekly_Vol[Quantity],Weekly_Vol[Cust_Cat.cust_channel],  "&lt;&gt;DSO",Weekly_Vol[Map_Product.TME_SKU],master_Daily!D30))/50000,0)</f>
        <v>3.9824000000000002</v>
      </c>
      <c r="T30" s="305">
        <f t="shared" si="5"/>
        <v>47.712659999999993</v>
      </c>
      <c r="U30" s="306">
        <f t="shared" si="6"/>
        <v>0.27086516242601721</v>
      </c>
      <c r="V30" s="315">
        <f>IFERROR(S30/Q30,0)</f>
        <v>0</v>
      </c>
      <c r="W30" s="313">
        <f>IFERROR(SUM(SUMIFS(Weekly_Vol[Quantity],Weekly_Vol[Cust_Cat.Customer category],  "Key Account",Weekly_Vol[Map_Product.TME_SKU],master_Daily!D30))/50000,0)
+ IFERROR(SUMIFS(TME_MTD_Dist[Sell_WHS_QTY],TME_MTD_Dist[SKU],master_Daily!$D30)/50000,0)
 + IFERROR(SUMIFS(TME_MTD_Dist[Sell_RTL_QTY],TME_MTD_Dist[SKU],master_Daily!$D30)/50000,0)</f>
        <v>3.3073999999999999</v>
      </c>
      <c r="X30" s="314"/>
      <c r="Y30" s="183"/>
      <c r="Z30" s="183"/>
      <c r="AA30" s="183"/>
      <c r="AB30" s="183"/>
      <c r="AC30" s="183"/>
      <c r="AD30" s="183"/>
      <c r="AE30" s="183"/>
      <c r="AF30" s="183"/>
      <c r="AG30" s="183"/>
      <c r="AH30" s="183"/>
      <c r="AI30" s="183"/>
      <c r="AJ30" s="183"/>
      <c r="AK30" s="183"/>
      <c r="AL30" s="183"/>
      <c r="AM30" s="183"/>
      <c r="AN30" s="183"/>
      <c r="AO30" s="183"/>
      <c r="AP30" s="183"/>
      <c r="AQ30" s="183"/>
      <c r="AR30" s="183"/>
      <c r="AS30" s="183"/>
      <c r="AT30" s="183"/>
      <c r="AU30" s="183"/>
      <c r="AV30" s="183"/>
      <c r="AW30" s="183"/>
      <c r="AX30" s="183"/>
      <c r="AY30" s="183"/>
      <c r="AZ30" s="183"/>
      <c r="BA30" s="183"/>
      <c r="BB30" s="183"/>
      <c r="BC30" s="183"/>
      <c r="BD30" s="183"/>
      <c r="BE30" s="183"/>
      <c r="BF30" s="183"/>
      <c r="BG30" s="183"/>
      <c r="BH30" s="183"/>
      <c r="BI30" s="183"/>
      <c r="BJ30" s="183"/>
      <c r="BK30" s="183"/>
      <c r="BL30" s="183"/>
      <c r="BM30" s="183"/>
      <c r="BN30" s="183"/>
      <c r="BO30" s="183"/>
      <c r="BP30" s="183"/>
      <c r="BQ30" s="183"/>
      <c r="BR30" s="183"/>
      <c r="BS30" s="183"/>
      <c r="BT30" s="183"/>
      <c r="BU30" s="183"/>
      <c r="BV30" s="183"/>
      <c r="BW30" s="183"/>
      <c r="BX30" s="183"/>
      <c r="BY30" s="183"/>
      <c r="BZ30" s="183"/>
      <c r="CA30" s="183"/>
      <c r="CB30" s="183"/>
      <c r="CC30" s="183"/>
      <c r="CD30" s="183"/>
      <c r="CE30" s="183"/>
      <c r="CF30" s="183"/>
      <c r="CG30" s="183"/>
      <c r="CH30" s="183"/>
      <c r="CI30" s="183"/>
      <c r="CJ30" s="183"/>
      <c r="CK30" s="183"/>
      <c r="CL30" s="183"/>
      <c r="CM30" s="183"/>
      <c r="CN30" s="183"/>
      <c r="CO30" s="183"/>
      <c r="CP30" s="183"/>
      <c r="CQ30" s="183"/>
      <c r="CR30" s="183"/>
      <c r="CS30" s="183"/>
      <c r="CT30" s="183"/>
      <c r="CU30" s="183"/>
      <c r="CV30" s="183"/>
      <c r="CW30" s="183"/>
      <c r="CX30" s="183"/>
      <c r="CY30" s="183"/>
      <c r="CZ30" s="183"/>
      <c r="DA30" s="183"/>
      <c r="DB30" s="183"/>
      <c r="DC30" s="183"/>
      <c r="DD30" s="183"/>
      <c r="DE30" s="183"/>
      <c r="DF30" s="183"/>
      <c r="DG30" s="183"/>
      <c r="DH30" s="183"/>
      <c r="DI30" s="183"/>
      <c r="DJ30" s="183"/>
      <c r="DK30" s="183"/>
      <c r="DL30" s="183"/>
      <c r="DM30" s="183"/>
      <c r="DN30" s="183"/>
      <c r="DO30" s="183"/>
      <c r="DP30" s="183"/>
      <c r="DQ30" s="183"/>
      <c r="DR30" s="183"/>
      <c r="DS30" s="183"/>
      <c r="DT30" s="183"/>
      <c r="DU30" s="183"/>
      <c r="DV30" s="183"/>
      <c r="DW30" s="183"/>
      <c r="DX30" s="183"/>
      <c r="DY30" s="183"/>
      <c r="DZ30" s="183"/>
      <c r="EA30" s="183"/>
      <c r="EB30" s="183"/>
      <c r="EC30" s="183"/>
      <c r="ED30" s="183"/>
      <c r="EE30" s="183"/>
      <c r="EF30" s="183"/>
      <c r="EG30" s="183"/>
      <c r="EH30" s="183"/>
      <c r="EI30" s="183"/>
      <c r="EJ30" s="183"/>
      <c r="EK30" s="183"/>
      <c r="EL30" s="183"/>
      <c r="EM30" s="183"/>
      <c r="EN30" s="183"/>
      <c r="EO30" s="183"/>
      <c r="EP30" s="183"/>
      <c r="EQ30" s="183"/>
      <c r="ER30" s="183"/>
      <c r="ES30" s="183"/>
      <c r="ET30" s="183"/>
      <c r="EU30" s="183"/>
      <c r="EV30" s="183"/>
      <c r="EW30" s="183"/>
      <c r="EX30" s="183"/>
      <c r="EY30" s="183"/>
      <c r="EZ30" s="183"/>
      <c r="FA30" s="183"/>
      <c r="FB30" s="183"/>
      <c r="FC30" s="183"/>
      <c r="FD30" s="183"/>
      <c r="FE30" s="183"/>
      <c r="FF30" s="183"/>
      <c r="FG30" s="183"/>
      <c r="FH30" s="183"/>
      <c r="FI30" s="183"/>
    </row>
    <row r="31" spans="2:165" ht="15" hidden="1" customHeight="1" outlineLevel="1">
      <c r="B31" s="81" t="s">
        <v>25</v>
      </c>
      <c r="C31" s="81" t="s">
        <v>46</v>
      </c>
      <c r="D31" s="303" t="s">
        <v>94</v>
      </c>
      <c r="E31" s="304">
        <v>11.38198</v>
      </c>
      <c r="F31" s="304">
        <v>5.3095600000000003</v>
      </c>
      <c r="G31" s="304">
        <v>10.46612</v>
      </c>
      <c r="H31" s="304">
        <v>10.491379999999999</v>
      </c>
      <c r="I31" s="304">
        <v>10.1762</v>
      </c>
      <c r="J31" s="304">
        <v>5.0581800000000001</v>
      </c>
      <c r="K31" s="304"/>
      <c r="L31" s="304"/>
      <c r="M31" s="304"/>
      <c r="N31" s="304"/>
      <c r="O31" s="304"/>
      <c r="P31" s="304"/>
      <c r="Q31" s="304"/>
      <c r="R31" s="304">
        <f>IFERROR(SUMIFS(Daily_Vol_yesterday[Order Quantity],Daily_Vol_yesterday[Cust_Cat.cust_channel],  "&lt;&gt;DSO",Daily_Vol_yesterday[Map_Product.TME_SKU],master_Daily!D31)/50000,0)</f>
        <v>0.37</v>
      </c>
      <c r="S31" s="304">
        <f>IFERROR(SUM(SUMIFS(Weekly_Vol[Quantity],Weekly_Vol[Cust_Cat.cust_channel],  "&lt;&gt;DSO",Weekly_Vol[Map_Product.TME_SKU],master_Daily!D31))/50000,0)</f>
        <v>5.0581800000000001</v>
      </c>
      <c r="T31" s="305">
        <f t="shared" si="5"/>
        <v>52.883420000000001</v>
      </c>
      <c r="U31" s="306">
        <f t="shared" si="6"/>
        <v>0.30021960938550252</v>
      </c>
      <c r="V31" s="315">
        <f>IFERROR(S31/Q31,0)</f>
        <v>0</v>
      </c>
      <c r="W31" s="313">
        <f>IFERROR(SUM(SUMIFS(Weekly_Vol[Quantity],Weekly_Vol[Cust_Cat.Customer category],  "Key Account",Weekly_Vol[Map_Product.TME_SKU],master_Daily!D31))/50000,0)
+ IFERROR(SUMIFS(TME_MTD_Dist[Sell_WHS_QTY],TME_MTD_Dist[SKU],master_Daily!$D31)/50000,0)
 + IFERROR(SUMIFS(TME_MTD_Dist[Sell_RTL_QTY],TME_MTD_Dist[SKU],master_Daily!$D31)/50000,0)</f>
        <v>3.9831799999999999</v>
      </c>
      <c r="X31" s="314"/>
      <c r="Y31" s="183"/>
      <c r="Z31" s="183"/>
      <c r="AA31" s="183"/>
      <c r="AB31" s="183"/>
      <c r="AC31" s="183"/>
      <c r="AD31" s="183"/>
      <c r="AE31" s="183"/>
      <c r="AF31" s="183"/>
      <c r="AG31" s="183"/>
      <c r="AH31" s="183"/>
      <c r="AI31" s="183"/>
      <c r="AJ31" s="183"/>
      <c r="AK31" s="183"/>
      <c r="AL31" s="183"/>
      <c r="AM31" s="183"/>
      <c r="AN31" s="183"/>
      <c r="AO31" s="183"/>
      <c r="AP31" s="183"/>
      <c r="AQ31" s="183"/>
      <c r="AR31" s="183"/>
      <c r="AS31" s="183"/>
      <c r="AT31" s="183"/>
      <c r="AU31" s="183"/>
      <c r="AV31" s="183"/>
      <c r="AW31" s="183"/>
      <c r="AX31" s="183"/>
      <c r="AY31" s="183"/>
      <c r="AZ31" s="183"/>
      <c r="BA31" s="183"/>
      <c r="BB31" s="183"/>
      <c r="BC31" s="183"/>
      <c r="BD31" s="183"/>
      <c r="BE31" s="183"/>
      <c r="BF31" s="183"/>
      <c r="BG31" s="183"/>
      <c r="BH31" s="183"/>
      <c r="BI31" s="183"/>
      <c r="BJ31" s="183"/>
      <c r="BK31" s="183"/>
      <c r="BL31" s="183"/>
      <c r="BM31" s="183"/>
      <c r="BN31" s="183"/>
      <c r="BO31" s="183"/>
      <c r="BP31" s="183"/>
      <c r="BQ31" s="183"/>
      <c r="BR31" s="183"/>
      <c r="BS31" s="183"/>
      <c r="BT31" s="183"/>
      <c r="BU31" s="183"/>
      <c r="BV31" s="183"/>
      <c r="BW31" s="183"/>
      <c r="BX31" s="183"/>
      <c r="BY31" s="183"/>
      <c r="BZ31" s="183"/>
      <c r="CA31" s="183"/>
      <c r="CB31" s="183"/>
      <c r="CC31" s="183"/>
      <c r="CD31" s="183"/>
      <c r="CE31" s="183"/>
      <c r="CF31" s="183"/>
      <c r="CG31" s="183"/>
      <c r="CH31" s="183"/>
      <c r="CI31" s="183"/>
      <c r="CJ31" s="183"/>
      <c r="CK31" s="183"/>
      <c r="CL31" s="183"/>
      <c r="CM31" s="183"/>
      <c r="CN31" s="183"/>
      <c r="CO31" s="183"/>
      <c r="CP31" s="183"/>
      <c r="CQ31" s="183"/>
      <c r="CR31" s="183"/>
      <c r="CS31" s="183"/>
      <c r="CT31" s="183"/>
      <c r="CU31" s="183"/>
      <c r="CV31" s="183"/>
      <c r="CW31" s="183"/>
      <c r="CX31" s="183"/>
      <c r="CY31" s="183"/>
      <c r="CZ31" s="183"/>
      <c r="DA31" s="183"/>
      <c r="DB31" s="183"/>
      <c r="DC31" s="183"/>
      <c r="DD31" s="183"/>
      <c r="DE31" s="183"/>
      <c r="DF31" s="183"/>
      <c r="DG31" s="183"/>
      <c r="DH31" s="183"/>
      <c r="DI31" s="183"/>
      <c r="DJ31" s="183"/>
      <c r="DK31" s="183"/>
      <c r="DL31" s="183"/>
      <c r="DM31" s="183"/>
      <c r="DN31" s="183"/>
      <c r="DO31" s="183"/>
      <c r="DP31" s="183"/>
      <c r="DQ31" s="183"/>
      <c r="DR31" s="183"/>
      <c r="DS31" s="183"/>
      <c r="DT31" s="183"/>
      <c r="DU31" s="183"/>
      <c r="DV31" s="183"/>
      <c r="DW31" s="183"/>
      <c r="DX31" s="183"/>
      <c r="DY31" s="183"/>
      <c r="DZ31" s="183"/>
      <c r="EA31" s="183"/>
      <c r="EB31" s="183"/>
      <c r="EC31" s="183"/>
      <c r="ED31" s="183"/>
      <c r="EE31" s="183"/>
      <c r="EF31" s="183"/>
      <c r="EG31" s="183"/>
      <c r="EH31" s="183"/>
      <c r="EI31" s="183"/>
      <c r="EJ31" s="183"/>
      <c r="EK31" s="183"/>
      <c r="EL31" s="183"/>
      <c r="EM31" s="183"/>
      <c r="EN31" s="183"/>
      <c r="EO31" s="183"/>
      <c r="EP31" s="183"/>
      <c r="EQ31" s="183"/>
      <c r="ER31" s="183"/>
      <c r="ES31" s="183"/>
      <c r="ET31" s="183"/>
      <c r="EU31" s="183"/>
      <c r="EV31" s="183"/>
      <c r="EW31" s="183"/>
      <c r="EX31" s="183"/>
      <c r="EY31" s="183"/>
      <c r="EZ31" s="183"/>
      <c r="FA31" s="183"/>
      <c r="FB31" s="183"/>
      <c r="FC31" s="183"/>
      <c r="FD31" s="183"/>
      <c r="FE31" s="183"/>
      <c r="FF31" s="183"/>
      <c r="FG31" s="183"/>
      <c r="FH31" s="183"/>
      <c r="FI31" s="183"/>
    </row>
    <row r="32" spans="2:165" ht="0.2" hidden="1" customHeight="1" outlineLevel="1">
      <c r="B32" s="81"/>
      <c r="C32" s="81"/>
      <c r="D32" s="301"/>
      <c r="E32" s="70">
        <v>0</v>
      </c>
      <c r="F32" s="70">
        <v>0</v>
      </c>
      <c r="G32" s="70">
        <v>0</v>
      </c>
      <c r="H32" s="70">
        <v>0</v>
      </c>
      <c r="I32" s="70">
        <v>0</v>
      </c>
      <c r="J32" s="70">
        <v>0</v>
      </c>
      <c r="K32" s="70"/>
      <c r="L32" s="70"/>
      <c r="M32" s="70"/>
      <c r="N32" s="70"/>
      <c r="O32" s="70"/>
      <c r="P32" s="70"/>
      <c r="Q32" s="70"/>
      <c r="R32" s="70">
        <f>IFERROR(SUMIFS(Daily_Vol_yesterday[Order Quantity],Daily_Vol_yesterday[Cust_Cat.cust_channel],  "&lt;&gt;DSO",Daily_Vol_yesterday[Map_Product.TME_SKU],master_Daily!D32)/50000,0)</f>
        <v>0</v>
      </c>
      <c r="S32" s="70">
        <f>IFERROR(SUM(SUMIFS(Weekly_Vol[Quantity],Weekly_Vol[Cust_Cat.cust_channel],  "&lt;&gt;DSO",Weekly_Vol[Map_Product.TME_SKU],master_Daily!D32))/50000,0)</f>
        <v>0</v>
      </c>
      <c r="T32" s="82">
        <f t="shared" si="5"/>
        <v>0</v>
      </c>
      <c r="U32" s="83">
        <f t="shared" si="6"/>
        <v>0</v>
      </c>
      <c r="V32" s="84"/>
      <c r="W32" s="313">
        <f>IFERROR(SUM(SUMIFS(Weekly_Vol[Quantity],Weekly_Vol[Cust_Cat.Customer category],  "Key Account",Weekly_Vol[Map_Product.TME_SKU],master_Daily!D32))/50000,0)
+ IFERROR(SUMIFS(TME_MTD_Dist[Sell_WHS_QTY],TME_MTD_Dist[SKU],master_Daily!$D32)/50000,0)
 + IFERROR(SUMIFS(TME_MTD_Dist[Sell_RTL_QTY],TME_MTD_Dist[SKU],master_Daily!$D32)/50000,0)</f>
        <v>0</v>
      </c>
      <c r="X32" s="314"/>
      <c r="Y32" s="183"/>
      <c r="Z32" s="183"/>
      <c r="AA32" s="183"/>
      <c r="AB32" s="183"/>
      <c r="AC32" s="183"/>
      <c r="AD32" s="183"/>
      <c r="AE32" s="183"/>
      <c r="AF32" s="183"/>
      <c r="AG32" s="183"/>
      <c r="AH32" s="183"/>
      <c r="AI32" s="183"/>
      <c r="AJ32" s="183"/>
      <c r="AK32" s="183"/>
      <c r="AL32" s="183"/>
      <c r="AM32" s="183"/>
      <c r="AN32" s="183"/>
      <c r="AO32" s="183"/>
      <c r="AP32" s="183"/>
      <c r="AQ32" s="183"/>
      <c r="AR32" s="183"/>
      <c r="AS32" s="183"/>
      <c r="AT32" s="183"/>
      <c r="AU32" s="183"/>
      <c r="AV32" s="183"/>
      <c r="AW32" s="183"/>
      <c r="AX32" s="183"/>
      <c r="AY32" s="183"/>
      <c r="AZ32" s="183"/>
      <c r="BA32" s="183"/>
      <c r="BB32" s="183"/>
      <c r="BC32" s="183"/>
      <c r="BD32" s="183"/>
      <c r="BE32" s="183"/>
      <c r="BF32" s="183"/>
      <c r="BG32" s="183"/>
      <c r="BH32" s="183"/>
      <c r="BI32" s="183"/>
      <c r="BJ32" s="183"/>
      <c r="BK32" s="183"/>
      <c r="BL32" s="183"/>
      <c r="BM32" s="183"/>
      <c r="BN32" s="183"/>
      <c r="BO32" s="183"/>
      <c r="BP32" s="183"/>
      <c r="BQ32" s="183"/>
      <c r="BR32" s="183"/>
      <c r="BS32" s="183"/>
      <c r="BT32" s="183"/>
      <c r="BU32" s="183"/>
      <c r="BV32" s="183"/>
      <c r="BW32" s="183"/>
      <c r="BX32" s="183"/>
      <c r="BY32" s="183"/>
      <c r="BZ32" s="183"/>
      <c r="CA32" s="183"/>
      <c r="CB32" s="183"/>
      <c r="CC32" s="183"/>
      <c r="CD32" s="183"/>
      <c r="CE32" s="183"/>
      <c r="CF32" s="183"/>
      <c r="CG32" s="183"/>
      <c r="CH32" s="183"/>
      <c r="CI32" s="183"/>
      <c r="CJ32" s="183"/>
      <c r="CK32" s="183"/>
      <c r="CL32" s="183"/>
      <c r="CM32" s="183"/>
      <c r="CN32" s="183"/>
      <c r="CO32" s="183"/>
      <c r="CP32" s="183"/>
      <c r="CQ32" s="183"/>
      <c r="CR32" s="183"/>
      <c r="CS32" s="183"/>
      <c r="CT32" s="183"/>
      <c r="CU32" s="183"/>
      <c r="CV32" s="183"/>
      <c r="CW32" s="183"/>
      <c r="CX32" s="183"/>
      <c r="CY32" s="183"/>
      <c r="CZ32" s="183"/>
      <c r="DA32" s="183"/>
      <c r="DB32" s="183"/>
      <c r="DC32" s="183"/>
      <c r="DD32" s="183"/>
      <c r="DE32" s="183"/>
      <c r="DF32" s="183"/>
      <c r="DG32" s="183"/>
      <c r="DH32" s="183"/>
      <c r="DI32" s="183"/>
      <c r="DJ32" s="183"/>
      <c r="DK32" s="183"/>
      <c r="DL32" s="183"/>
      <c r="DM32" s="183"/>
      <c r="DN32" s="183"/>
      <c r="DO32" s="183"/>
      <c r="DP32" s="183"/>
      <c r="DQ32" s="183"/>
      <c r="DR32" s="183"/>
      <c r="DS32" s="183"/>
      <c r="DT32" s="183"/>
      <c r="DU32" s="183"/>
      <c r="DV32" s="183"/>
      <c r="DW32" s="183"/>
      <c r="DX32" s="183"/>
      <c r="DY32" s="183"/>
      <c r="DZ32" s="183"/>
      <c r="EA32" s="183"/>
      <c r="EB32" s="183"/>
      <c r="EC32" s="183"/>
      <c r="ED32" s="183"/>
      <c r="EE32" s="183"/>
      <c r="EF32" s="183"/>
      <c r="EG32" s="183"/>
      <c r="EH32" s="183"/>
      <c r="EI32" s="183"/>
      <c r="EJ32" s="183"/>
      <c r="EK32" s="183"/>
      <c r="EL32" s="183"/>
      <c r="EM32" s="183"/>
      <c r="EN32" s="183"/>
      <c r="EO32" s="183"/>
      <c r="EP32" s="183"/>
      <c r="EQ32" s="183"/>
      <c r="ER32" s="183"/>
      <c r="ES32" s="183"/>
      <c r="ET32" s="183"/>
      <c r="EU32" s="183"/>
      <c r="EV32" s="183"/>
      <c r="EW32" s="183"/>
      <c r="EX32" s="183"/>
      <c r="EY32" s="183"/>
      <c r="EZ32" s="183"/>
      <c r="FA32" s="183"/>
      <c r="FB32" s="183"/>
      <c r="FC32" s="183"/>
      <c r="FD32" s="183"/>
      <c r="FE32" s="183"/>
      <c r="FF32" s="183"/>
      <c r="FG32" s="183"/>
      <c r="FH32" s="183"/>
      <c r="FI32" s="183"/>
    </row>
    <row r="33" spans="2:165" ht="0.2" hidden="1" customHeight="1" outlineLevel="1">
      <c r="B33" s="81"/>
      <c r="C33" s="81"/>
      <c r="D33" s="301"/>
      <c r="E33" s="70">
        <v>0</v>
      </c>
      <c r="F33" s="70">
        <v>0</v>
      </c>
      <c r="G33" s="70">
        <v>0</v>
      </c>
      <c r="H33" s="70">
        <v>0</v>
      </c>
      <c r="I33" s="70">
        <v>0</v>
      </c>
      <c r="J33" s="70">
        <v>0</v>
      </c>
      <c r="K33" s="70"/>
      <c r="L33" s="70"/>
      <c r="M33" s="70"/>
      <c r="N33" s="70"/>
      <c r="O33" s="70"/>
      <c r="P33" s="70"/>
      <c r="Q33" s="70"/>
      <c r="R33" s="70">
        <f>IFERROR(SUMIFS(Daily_Vol_yesterday[Order Quantity],Daily_Vol_yesterday[Cust_Cat.cust_channel],  "&lt;&gt;DSO",Daily_Vol_yesterday[Map_Product.TME_SKU],master_Daily!D33)/50000,0)</f>
        <v>0</v>
      </c>
      <c r="S33" s="70">
        <f>IFERROR(SUM(SUMIFS(Weekly_Vol[Quantity],Weekly_Vol[Cust_Cat.cust_channel],  "&lt;&gt;DSO",Weekly_Vol[Map_Product.TME_SKU],master_Daily!D33))/50000,0)</f>
        <v>0</v>
      </c>
      <c r="T33" s="82">
        <f t="shared" si="5"/>
        <v>0</v>
      </c>
      <c r="U33" s="83">
        <f t="shared" si="6"/>
        <v>0</v>
      </c>
      <c r="V33" s="84"/>
      <c r="W33" s="313">
        <f>IFERROR(SUM(SUMIFS(Weekly_Vol[Quantity],Weekly_Vol[Cust_Cat.Customer category],  "Key Account",Weekly_Vol[Map_Product.TME_SKU],master_Daily!D33))/50000,0)
+ IFERROR(SUMIFS(TME_MTD_Dist[Sell_WHS_QTY],TME_MTD_Dist[SKU],master_Daily!$D33)/50000,0)
 + IFERROR(SUMIFS(TME_MTD_Dist[Sell_RTL_QTY],TME_MTD_Dist[SKU],master_Daily!$D33)/50000,0)</f>
        <v>0</v>
      </c>
      <c r="X33" s="314"/>
      <c r="Y33" s="183"/>
      <c r="Z33" s="183"/>
      <c r="AA33" s="183"/>
      <c r="AB33" s="183"/>
      <c r="AC33" s="183"/>
      <c r="AD33" s="183"/>
      <c r="AE33" s="183"/>
      <c r="AF33" s="183"/>
      <c r="AG33" s="183"/>
      <c r="AH33" s="183"/>
      <c r="AI33" s="183"/>
      <c r="AJ33" s="183"/>
      <c r="AK33" s="183"/>
      <c r="AL33" s="183"/>
      <c r="AM33" s="183"/>
      <c r="AN33" s="183"/>
      <c r="AO33" s="183"/>
      <c r="AP33" s="183"/>
      <c r="AQ33" s="183"/>
      <c r="AR33" s="183"/>
      <c r="AS33" s="183"/>
      <c r="AT33" s="183"/>
      <c r="AU33" s="183"/>
      <c r="AV33" s="183"/>
      <c r="AW33" s="183"/>
      <c r="AX33" s="183"/>
      <c r="AY33" s="183"/>
      <c r="AZ33" s="183"/>
      <c r="BA33" s="183"/>
      <c r="BB33" s="183"/>
      <c r="BC33" s="183"/>
      <c r="BD33" s="183"/>
      <c r="BE33" s="183"/>
      <c r="BF33" s="183"/>
      <c r="BG33" s="183"/>
      <c r="BH33" s="183"/>
      <c r="BI33" s="183"/>
      <c r="BJ33" s="183"/>
      <c r="BK33" s="183"/>
      <c r="BL33" s="183"/>
      <c r="BM33" s="183"/>
      <c r="BN33" s="183"/>
      <c r="BO33" s="183"/>
      <c r="BP33" s="183"/>
      <c r="BQ33" s="183"/>
      <c r="BR33" s="183"/>
      <c r="BS33" s="183"/>
      <c r="BT33" s="183"/>
      <c r="BU33" s="183"/>
      <c r="BV33" s="183"/>
      <c r="BW33" s="183"/>
      <c r="BX33" s="183"/>
      <c r="BY33" s="183"/>
      <c r="BZ33" s="183"/>
      <c r="CA33" s="183"/>
      <c r="CB33" s="183"/>
      <c r="CC33" s="183"/>
      <c r="CD33" s="183"/>
      <c r="CE33" s="183"/>
      <c r="CF33" s="183"/>
      <c r="CG33" s="183"/>
      <c r="CH33" s="183"/>
      <c r="CI33" s="183"/>
      <c r="CJ33" s="183"/>
      <c r="CK33" s="183"/>
      <c r="CL33" s="183"/>
      <c r="CM33" s="183"/>
      <c r="CN33" s="183"/>
      <c r="CO33" s="183"/>
      <c r="CP33" s="183"/>
      <c r="CQ33" s="183"/>
      <c r="CR33" s="183"/>
      <c r="CS33" s="183"/>
      <c r="CT33" s="183"/>
      <c r="CU33" s="183"/>
      <c r="CV33" s="183"/>
      <c r="CW33" s="183"/>
      <c r="CX33" s="183"/>
      <c r="CY33" s="183"/>
      <c r="CZ33" s="183"/>
      <c r="DA33" s="183"/>
      <c r="DB33" s="183"/>
      <c r="DC33" s="183"/>
      <c r="DD33" s="183"/>
      <c r="DE33" s="183"/>
      <c r="DF33" s="183"/>
      <c r="DG33" s="183"/>
      <c r="DH33" s="183"/>
      <c r="DI33" s="183"/>
      <c r="DJ33" s="183"/>
      <c r="DK33" s="183"/>
      <c r="DL33" s="183"/>
      <c r="DM33" s="183"/>
      <c r="DN33" s="183"/>
      <c r="DO33" s="183"/>
      <c r="DP33" s="183"/>
      <c r="DQ33" s="183"/>
      <c r="DR33" s="183"/>
      <c r="DS33" s="183"/>
      <c r="DT33" s="183"/>
      <c r="DU33" s="183"/>
      <c r="DV33" s="183"/>
      <c r="DW33" s="183"/>
      <c r="DX33" s="183"/>
      <c r="DY33" s="183"/>
      <c r="DZ33" s="183"/>
      <c r="EA33" s="183"/>
      <c r="EB33" s="183"/>
      <c r="EC33" s="183"/>
      <c r="ED33" s="183"/>
      <c r="EE33" s="183"/>
      <c r="EF33" s="183"/>
      <c r="EG33" s="183"/>
      <c r="EH33" s="183"/>
      <c r="EI33" s="183"/>
      <c r="EJ33" s="183"/>
      <c r="EK33" s="183"/>
      <c r="EL33" s="183"/>
      <c r="EM33" s="183"/>
      <c r="EN33" s="183"/>
      <c r="EO33" s="183"/>
      <c r="EP33" s="183"/>
      <c r="EQ33" s="183"/>
      <c r="ER33" s="183"/>
      <c r="ES33" s="183"/>
      <c r="ET33" s="183"/>
      <c r="EU33" s="183"/>
      <c r="EV33" s="183"/>
      <c r="EW33" s="183"/>
      <c r="EX33" s="183"/>
      <c r="EY33" s="183"/>
      <c r="EZ33" s="183"/>
      <c r="FA33" s="183"/>
      <c r="FB33" s="183"/>
      <c r="FC33" s="183"/>
      <c r="FD33" s="183"/>
      <c r="FE33" s="183"/>
      <c r="FF33" s="183"/>
      <c r="FG33" s="183"/>
      <c r="FH33" s="183"/>
      <c r="FI33" s="183"/>
    </row>
    <row r="34" spans="2:165" ht="0.2" hidden="1" customHeight="1" outlineLevel="1">
      <c r="B34" s="81"/>
      <c r="C34" s="81"/>
      <c r="D34" s="301"/>
      <c r="E34" s="70">
        <v>0</v>
      </c>
      <c r="F34" s="70">
        <v>0</v>
      </c>
      <c r="G34" s="70">
        <v>0</v>
      </c>
      <c r="H34" s="70">
        <v>0</v>
      </c>
      <c r="I34" s="70">
        <v>0</v>
      </c>
      <c r="J34" s="70">
        <v>0</v>
      </c>
      <c r="K34" s="70"/>
      <c r="L34" s="70"/>
      <c r="M34" s="70"/>
      <c r="N34" s="70"/>
      <c r="O34" s="70"/>
      <c r="P34" s="70"/>
      <c r="Q34" s="70"/>
      <c r="R34" s="70">
        <f>IFERROR(SUMIFS(Daily_Vol_yesterday[Order Quantity],Daily_Vol_yesterday[Cust_Cat.cust_channel],  "&lt;&gt;DSO",Daily_Vol_yesterday[Map_Product.TME_SKU],master_Daily!D34)/50000,0)</f>
        <v>0</v>
      </c>
      <c r="S34" s="70">
        <f>IFERROR(SUM(SUMIFS(Weekly_Vol[Quantity],Weekly_Vol[Cust_Cat.cust_channel],  "&lt;&gt;DSO",Weekly_Vol[Map_Product.TME_SKU],master_Daily!D34))/50000,0)</f>
        <v>0</v>
      </c>
      <c r="T34" s="82">
        <f t="shared" si="5"/>
        <v>0</v>
      </c>
      <c r="U34" s="83">
        <f t="shared" si="6"/>
        <v>0</v>
      </c>
      <c r="V34" s="84"/>
      <c r="W34" s="313">
        <f>IFERROR(SUM(SUMIFS(Weekly_Vol[Quantity],Weekly_Vol[Cust_Cat.Customer category],  "Key Account",Weekly_Vol[Map_Product.TME_SKU],master_Daily!D34))/50000,0)
+ IFERROR(SUMIFS(TME_MTD_Dist[Sell_WHS_QTY],TME_MTD_Dist[SKU],master_Daily!$D34)/50000,0)
 + IFERROR(SUMIFS(TME_MTD_Dist[Sell_RTL_QTY],TME_MTD_Dist[SKU],master_Daily!$D34)/50000,0)</f>
        <v>0</v>
      </c>
      <c r="X34" s="314"/>
      <c r="Y34" s="183"/>
      <c r="Z34" s="183"/>
      <c r="AA34" s="183"/>
      <c r="AB34" s="183"/>
      <c r="AC34" s="183"/>
      <c r="AD34" s="183"/>
      <c r="AE34" s="183"/>
      <c r="AF34" s="183"/>
      <c r="AG34" s="183"/>
      <c r="AH34" s="183"/>
      <c r="AI34" s="183"/>
      <c r="AJ34" s="183"/>
      <c r="AK34" s="183"/>
      <c r="AL34" s="183"/>
      <c r="AM34" s="183"/>
      <c r="AN34" s="183"/>
      <c r="AO34" s="183"/>
      <c r="AP34" s="183"/>
      <c r="AQ34" s="183"/>
      <c r="AR34" s="183"/>
      <c r="AS34" s="183"/>
      <c r="AT34" s="183"/>
      <c r="AU34" s="183"/>
      <c r="AV34" s="183"/>
      <c r="AW34" s="183"/>
      <c r="AX34" s="183"/>
      <c r="AY34" s="183"/>
      <c r="AZ34" s="183"/>
      <c r="BA34" s="183"/>
      <c r="BB34" s="183"/>
      <c r="BC34" s="183"/>
      <c r="BD34" s="183"/>
      <c r="BE34" s="183"/>
      <c r="BF34" s="183"/>
      <c r="BG34" s="183"/>
      <c r="BH34" s="183"/>
      <c r="BI34" s="183"/>
      <c r="BJ34" s="183"/>
      <c r="BK34" s="183"/>
      <c r="BL34" s="183"/>
      <c r="BM34" s="183"/>
      <c r="BN34" s="183"/>
      <c r="BO34" s="183"/>
      <c r="BP34" s="183"/>
      <c r="BQ34" s="183"/>
      <c r="BR34" s="183"/>
      <c r="BS34" s="183"/>
      <c r="BT34" s="183"/>
      <c r="BU34" s="183"/>
      <c r="BV34" s="183"/>
      <c r="BW34" s="183"/>
      <c r="BX34" s="183"/>
      <c r="BY34" s="183"/>
      <c r="BZ34" s="183"/>
      <c r="CA34" s="183"/>
      <c r="CB34" s="183"/>
      <c r="CC34" s="183"/>
      <c r="CD34" s="183"/>
      <c r="CE34" s="183"/>
      <c r="CF34" s="183"/>
      <c r="CG34" s="183"/>
      <c r="CH34" s="183"/>
      <c r="CI34" s="183"/>
      <c r="CJ34" s="183"/>
      <c r="CK34" s="183"/>
      <c r="CL34" s="183"/>
      <c r="CM34" s="183"/>
      <c r="CN34" s="183"/>
      <c r="CO34" s="183"/>
      <c r="CP34" s="183"/>
      <c r="CQ34" s="183"/>
      <c r="CR34" s="183"/>
      <c r="CS34" s="183"/>
      <c r="CT34" s="183"/>
      <c r="CU34" s="183"/>
      <c r="CV34" s="183"/>
      <c r="CW34" s="183"/>
      <c r="CX34" s="183"/>
      <c r="CY34" s="183"/>
      <c r="CZ34" s="183"/>
      <c r="DA34" s="183"/>
      <c r="DB34" s="183"/>
      <c r="DC34" s="183"/>
      <c r="DD34" s="183"/>
      <c r="DE34" s="183"/>
      <c r="DF34" s="183"/>
      <c r="DG34" s="183"/>
      <c r="DH34" s="183"/>
      <c r="DI34" s="183"/>
      <c r="DJ34" s="183"/>
      <c r="DK34" s="183"/>
      <c r="DL34" s="183"/>
      <c r="DM34" s="183"/>
      <c r="DN34" s="183"/>
      <c r="DO34" s="183"/>
      <c r="DP34" s="183"/>
      <c r="DQ34" s="183"/>
      <c r="DR34" s="183"/>
      <c r="DS34" s="183"/>
      <c r="DT34" s="183"/>
      <c r="DU34" s="183"/>
      <c r="DV34" s="183"/>
      <c r="DW34" s="183"/>
      <c r="DX34" s="183"/>
      <c r="DY34" s="183"/>
      <c r="DZ34" s="183"/>
      <c r="EA34" s="183"/>
      <c r="EB34" s="183"/>
      <c r="EC34" s="183"/>
      <c r="ED34" s="183"/>
      <c r="EE34" s="183"/>
      <c r="EF34" s="183"/>
      <c r="EG34" s="183"/>
      <c r="EH34" s="183"/>
      <c r="EI34" s="183"/>
      <c r="EJ34" s="183"/>
      <c r="EK34" s="183"/>
      <c r="EL34" s="183"/>
      <c r="EM34" s="183"/>
      <c r="EN34" s="183"/>
      <c r="EO34" s="183"/>
      <c r="EP34" s="183"/>
      <c r="EQ34" s="183"/>
      <c r="ER34" s="183"/>
      <c r="ES34" s="183"/>
      <c r="ET34" s="183"/>
      <c r="EU34" s="183"/>
      <c r="EV34" s="183"/>
      <c r="EW34" s="183"/>
      <c r="EX34" s="183"/>
      <c r="EY34" s="183"/>
      <c r="EZ34" s="183"/>
      <c r="FA34" s="183"/>
      <c r="FB34" s="183"/>
      <c r="FC34" s="183"/>
      <c r="FD34" s="183"/>
      <c r="FE34" s="183"/>
      <c r="FF34" s="183"/>
      <c r="FG34" s="183"/>
      <c r="FH34" s="183"/>
      <c r="FI34" s="183"/>
    </row>
    <row r="35" spans="2:165" ht="0.2" hidden="1" customHeight="1" outlineLevel="1">
      <c r="B35" s="81"/>
      <c r="C35" s="81"/>
      <c r="D35" s="301"/>
      <c r="E35" s="70">
        <v>0</v>
      </c>
      <c r="F35" s="70">
        <v>0</v>
      </c>
      <c r="G35" s="70">
        <v>0</v>
      </c>
      <c r="H35" s="70">
        <v>0</v>
      </c>
      <c r="I35" s="70">
        <v>0</v>
      </c>
      <c r="J35" s="70">
        <v>0</v>
      </c>
      <c r="K35" s="70"/>
      <c r="L35" s="70"/>
      <c r="M35" s="70"/>
      <c r="N35" s="70"/>
      <c r="O35" s="70"/>
      <c r="P35" s="70"/>
      <c r="Q35" s="70"/>
      <c r="R35" s="70">
        <f>IFERROR(SUMIFS(Daily_Vol_yesterday[Order Quantity],Daily_Vol_yesterday[Cust_Cat.cust_channel],  "&lt;&gt;DSO",Daily_Vol_yesterday[Map_Product.TME_SKU],master_Daily!D35)/50000,0)</f>
        <v>0</v>
      </c>
      <c r="S35" s="70">
        <f>IFERROR(SUM(SUMIFS(Weekly_Vol[Quantity],Weekly_Vol[Cust_Cat.cust_channel],  "&lt;&gt;DSO",Weekly_Vol[Map_Product.TME_SKU],master_Daily!D35))/50000,0)</f>
        <v>0</v>
      </c>
      <c r="T35" s="82">
        <f t="shared" si="5"/>
        <v>0</v>
      </c>
      <c r="U35" s="83">
        <f t="shared" si="6"/>
        <v>0</v>
      </c>
      <c r="V35" s="84"/>
      <c r="W35" s="313">
        <f>IFERROR(SUM(SUMIFS(Weekly_Vol[Quantity],Weekly_Vol[Cust_Cat.Customer category],  "Key Account",Weekly_Vol[Map_Product.TME_SKU],master_Daily!D35))/50000,0)
+ IFERROR(SUMIFS(TME_MTD_Dist[Sell_WHS_QTY],TME_MTD_Dist[SKU],master_Daily!$D35)/50000,0)
 + IFERROR(SUMIFS(TME_MTD_Dist[Sell_RTL_QTY],TME_MTD_Dist[SKU],master_Daily!$D35)/50000,0)</f>
        <v>0</v>
      </c>
      <c r="X35" s="314"/>
      <c r="Y35" s="183"/>
      <c r="Z35" s="183"/>
      <c r="AA35" s="183"/>
      <c r="AB35" s="183"/>
      <c r="AC35" s="183"/>
      <c r="AD35" s="183"/>
      <c r="AE35" s="183"/>
      <c r="AF35" s="183"/>
      <c r="AG35" s="183"/>
      <c r="AH35" s="183"/>
      <c r="AI35" s="183"/>
      <c r="AJ35" s="183"/>
      <c r="AK35" s="183"/>
      <c r="AL35" s="183"/>
      <c r="AM35" s="183"/>
      <c r="AN35" s="183"/>
      <c r="AO35" s="183"/>
      <c r="AP35" s="183"/>
      <c r="AQ35" s="183"/>
      <c r="AR35" s="183"/>
      <c r="AS35" s="183"/>
      <c r="AT35" s="183"/>
      <c r="AU35" s="183"/>
      <c r="AV35" s="183"/>
      <c r="AW35" s="183"/>
      <c r="AX35" s="183"/>
      <c r="AY35" s="183"/>
      <c r="AZ35" s="183"/>
      <c r="BA35" s="183"/>
      <c r="BB35" s="183"/>
      <c r="BC35" s="183"/>
      <c r="BD35" s="183"/>
      <c r="BE35" s="183"/>
      <c r="BF35" s="183"/>
      <c r="BG35" s="183"/>
      <c r="BH35" s="183"/>
      <c r="BI35" s="183"/>
      <c r="BJ35" s="183"/>
      <c r="BK35" s="183"/>
      <c r="BL35" s="183"/>
      <c r="BM35" s="183"/>
      <c r="BN35" s="183"/>
      <c r="BO35" s="183"/>
      <c r="BP35" s="183"/>
      <c r="BQ35" s="183"/>
      <c r="BR35" s="183"/>
      <c r="BS35" s="183"/>
      <c r="BT35" s="183"/>
      <c r="BU35" s="183"/>
      <c r="BV35" s="183"/>
      <c r="BW35" s="183"/>
      <c r="BX35" s="183"/>
      <c r="BY35" s="183"/>
      <c r="BZ35" s="183"/>
      <c r="CA35" s="183"/>
      <c r="CB35" s="183"/>
      <c r="CC35" s="183"/>
      <c r="CD35" s="183"/>
      <c r="CE35" s="183"/>
      <c r="CF35" s="183"/>
      <c r="CG35" s="183"/>
      <c r="CH35" s="183"/>
      <c r="CI35" s="183"/>
      <c r="CJ35" s="183"/>
      <c r="CK35" s="183"/>
      <c r="CL35" s="183"/>
      <c r="CM35" s="183"/>
      <c r="CN35" s="183"/>
      <c r="CO35" s="183"/>
      <c r="CP35" s="183"/>
      <c r="CQ35" s="183"/>
      <c r="CR35" s="183"/>
      <c r="CS35" s="183"/>
      <c r="CT35" s="183"/>
      <c r="CU35" s="183"/>
      <c r="CV35" s="183"/>
      <c r="CW35" s="183"/>
      <c r="CX35" s="183"/>
      <c r="CY35" s="183"/>
      <c r="CZ35" s="183"/>
      <c r="DA35" s="183"/>
      <c r="DB35" s="183"/>
      <c r="DC35" s="183"/>
      <c r="DD35" s="183"/>
      <c r="DE35" s="183"/>
      <c r="DF35" s="183"/>
      <c r="DG35" s="183"/>
      <c r="DH35" s="183"/>
      <c r="DI35" s="183"/>
      <c r="DJ35" s="183"/>
      <c r="DK35" s="183"/>
      <c r="DL35" s="183"/>
      <c r="DM35" s="183"/>
      <c r="DN35" s="183"/>
      <c r="DO35" s="183"/>
      <c r="DP35" s="183"/>
      <c r="DQ35" s="183"/>
      <c r="DR35" s="183"/>
      <c r="DS35" s="183"/>
      <c r="DT35" s="183"/>
      <c r="DU35" s="183"/>
      <c r="DV35" s="183"/>
      <c r="DW35" s="183"/>
      <c r="DX35" s="183"/>
      <c r="DY35" s="183"/>
      <c r="DZ35" s="183"/>
      <c r="EA35" s="183"/>
      <c r="EB35" s="183"/>
      <c r="EC35" s="183"/>
      <c r="ED35" s="183"/>
      <c r="EE35" s="183"/>
      <c r="EF35" s="183"/>
      <c r="EG35" s="183"/>
      <c r="EH35" s="183"/>
      <c r="EI35" s="183"/>
      <c r="EJ35" s="183"/>
      <c r="EK35" s="183"/>
      <c r="EL35" s="183"/>
      <c r="EM35" s="183"/>
      <c r="EN35" s="183"/>
      <c r="EO35" s="183"/>
      <c r="EP35" s="183"/>
      <c r="EQ35" s="183"/>
      <c r="ER35" s="183"/>
      <c r="ES35" s="183"/>
      <c r="ET35" s="183"/>
      <c r="EU35" s="183"/>
      <c r="EV35" s="183"/>
      <c r="EW35" s="183"/>
      <c r="EX35" s="183"/>
      <c r="EY35" s="183"/>
      <c r="EZ35" s="183"/>
      <c r="FA35" s="183"/>
      <c r="FB35" s="183"/>
      <c r="FC35" s="183"/>
      <c r="FD35" s="183"/>
      <c r="FE35" s="183"/>
      <c r="FF35" s="183"/>
      <c r="FG35" s="183"/>
      <c r="FH35" s="183"/>
      <c r="FI35" s="183"/>
    </row>
    <row r="36" spans="2:165" ht="0.2" hidden="1" customHeight="1" outlineLevel="1">
      <c r="B36" s="81"/>
      <c r="C36" s="81"/>
      <c r="D36" s="301"/>
      <c r="E36" s="70">
        <v>0</v>
      </c>
      <c r="F36" s="70">
        <v>0</v>
      </c>
      <c r="G36" s="70">
        <v>0</v>
      </c>
      <c r="H36" s="70">
        <v>0</v>
      </c>
      <c r="I36" s="70">
        <v>0</v>
      </c>
      <c r="J36" s="70">
        <v>0</v>
      </c>
      <c r="K36" s="70"/>
      <c r="L36" s="70"/>
      <c r="M36" s="70"/>
      <c r="N36" s="70"/>
      <c r="O36" s="70"/>
      <c r="P36" s="70"/>
      <c r="Q36" s="70"/>
      <c r="R36" s="70">
        <f>IFERROR(SUMIFS(Daily_Vol_yesterday[Order Quantity],Daily_Vol_yesterday[Cust_Cat.cust_channel],  "&lt;&gt;DSO",Daily_Vol_yesterday[Map_Product.TME_SKU],master_Daily!D36)/50000,0)</f>
        <v>0</v>
      </c>
      <c r="S36" s="70">
        <f>IFERROR(SUM(SUMIFS(Weekly_Vol[Quantity],Weekly_Vol[Cust_Cat.cust_channel],  "&lt;&gt;DSO",Weekly_Vol[Map_Product.TME_SKU],master_Daily!D36))/50000,0)</f>
        <v>0</v>
      </c>
      <c r="T36" s="82">
        <f t="shared" si="5"/>
        <v>0</v>
      </c>
      <c r="U36" s="83">
        <f t="shared" si="6"/>
        <v>0</v>
      </c>
      <c r="V36" s="84"/>
      <c r="W36" s="313">
        <f>IFERROR(SUM(SUMIFS(Weekly_Vol[Quantity],Weekly_Vol[Cust_Cat.Customer category],  "Key Account",Weekly_Vol[Map_Product.TME_SKU],master_Daily!D36))/50000,0)
+ IFERROR(SUMIFS(TME_MTD_Dist[Sell_WHS_QTY],TME_MTD_Dist[SKU],master_Daily!$D36)/50000,0)
 + IFERROR(SUMIFS(TME_MTD_Dist[Sell_RTL_QTY],TME_MTD_Dist[SKU],master_Daily!$D36)/50000,0)</f>
        <v>0</v>
      </c>
      <c r="X36" s="314"/>
      <c r="Y36" s="183"/>
      <c r="Z36" s="183"/>
      <c r="AA36" s="183"/>
      <c r="AB36" s="183"/>
      <c r="AC36" s="183"/>
      <c r="AD36" s="183"/>
      <c r="AE36" s="183"/>
      <c r="AF36" s="183"/>
      <c r="AG36" s="183"/>
      <c r="AH36" s="183"/>
      <c r="AI36" s="183"/>
      <c r="AJ36" s="183"/>
      <c r="AK36" s="183"/>
      <c r="AL36" s="183"/>
      <c r="AM36" s="183"/>
      <c r="AN36" s="183"/>
      <c r="AO36" s="183"/>
      <c r="AP36" s="183"/>
      <c r="AQ36" s="183"/>
      <c r="AR36" s="183"/>
      <c r="AS36" s="183"/>
      <c r="AT36" s="183"/>
      <c r="AU36" s="183"/>
      <c r="AV36" s="183"/>
      <c r="AW36" s="183"/>
      <c r="AX36" s="183"/>
      <c r="AY36" s="183"/>
      <c r="AZ36" s="183"/>
      <c r="BA36" s="183"/>
      <c r="BB36" s="183"/>
      <c r="BC36" s="183"/>
      <c r="BD36" s="183"/>
      <c r="BE36" s="183"/>
      <c r="BF36" s="183"/>
      <c r="BG36" s="183"/>
      <c r="BH36" s="183"/>
      <c r="BI36" s="183"/>
      <c r="BJ36" s="183"/>
      <c r="BK36" s="183"/>
      <c r="BL36" s="183"/>
      <c r="BM36" s="183"/>
      <c r="BN36" s="183"/>
      <c r="BO36" s="183"/>
      <c r="BP36" s="183"/>
      <c r="BQ36" s="183"/>
      <c r="BR36" s="183"/>
      <c r="BS36" s="183"/>
      <c r="BT36" s="183"/>
      <c r="BU36" s="183"/>
      <c r="BV36" s="183"/>
      <c r="BW36" s="183"/>
      <c r="BX36" s="183"/>
      <c r="BY36" s="183"/>
      <c r="BZ36" s="183"/>
      <c r="CA36" s="183"/>
      <c r="CB36" s="183"/>
      <c r="CC36" s="183"/>
      <c r="CD36" s="183"/>
      <c r="CE36" s="183"/>
      <c r="CF36" s="183"/>
      <c r="CG36" s="183"/>
      <c r="CH36" s="183"/>
      <c r="CI36" s="183"/>
      <c r="CJ36" s="183"/>
      <c r="CK36" s="183"/>
      <c r="CL36" s="183"/>
      <c r="CM36" s="183"/>
      <c r="CN36" s="183"/>
      <c r="CO36" s="183"/>
      <c r="CP36" s="183"/>
      <c r="CQ36" s="183"/>
      <c r="CR36" s="183"/>
      <c r="CS36" s="183"/>
      <c r="CT36" s="183"/>
      <c r="CU36" s="183"/>
      <c r="CV36" s="183"/>
      <c r="CW36" s="183"/>
      <c r="CX36" s="183"/>
      <c r="CY36" s="183"/>
      <c r="CZ36" s="183"/>
      <c r="DA36" s="183"/>
      <c r="DB36" s="183"/>
      <c r="DC36" s="183"/>
      <c r="DD36" s="183"/>
      <c r="DE36" s="183"/>
      <c r="DF36" s="183"/>
      <c r="DG36" s="183"/>
      <c r="DH36" s="183"/>
      <c r="DI36" s="183"/>
      <c r="DJ36" s="183"/>
      <c r="DK36" s="183"/>
      <c r="DL36" s="183"/>
      <c r="DM36" s="183"/>
      <c r="DN36" s="183"/>
      <c r="DO36" s="183"/>
      <c r="DP36" s="183"/>
      <c r="DQ36" s="183"/>
      <c r="DR36" s="183"/>
      <c r="DS36" s="183"/>
      <c r="DT36" s="183"/>
      <c r="DU36" s="183"/>
      <c r="DV36" s="183"/>
      <c r="DW36" s="183"/>
      <c r="DX36" s="183"/>
      <c r="DY36" s="183"/>
      <c r="DZ36" s="183"/>
      <c r="EA36" s="183"/>
      <c r="EB36" s="183"/>
      <c r="EC36" s="183"/>
      <c r="ED36" s="183"/>
      <c r="EE36" s="183"/>
      <c r="EF36" s="183"/>
      <c r="EG36" s="183"/>
      <c r="EH36" s="183"/>
      <c r="EI36" s="183"/>
      <c r="EJ36" s="183"/>
      <c r="EK36" s="183"/>
      <c r="EL36" s="183"/>
      <c r="EM36" s="183"/>
      <c r="EN36" s="183"/>
      <c r="EO36" s="183"/>
      <c r="EP36" s="183"/>
      <c r="EQ36" s="183"/>
      <c r="ER36" s="183"/>
      <c r="ES36" s="183"/>
      <c r="ET36" s="183"/>
      <c r="EU36" s="183"/>
      <c r="EV36" s="183"/>
      <c r="EW36" s="183"/>
      <c r="EX36" s="183"/>
      <c r="EY36" s="183"/>
      <c r="EZ36" s="183"/>
      <c r="FA36" s="183"/>
      <c r="FB36" s="183"/>
      <c r="FC36" s="183"/>
      <c r="FD36" s="183"/>
      <c r="FE36" s="183"/>
      <c r="FF36" s="183"/>
      <c r="FG36" s="183"/>
      <c r="FH36" s="183"/>
      <c r="FI36" s="183"/>
    </row>
    <row r="37" spans="2:165" ht="0.2" hidden="1" customHeight="1" outlineLevel="1">
      <c r="B37" s="81"/>
      <c r="C37" s="81"/>
      <c r="D37" s="301"/>
      <c r="E37" s="70">
        <v>0</v>
      </c>
      <c r="F37" s="70">
        <v>0</v>
      </c>
      <c r="G37" s="70">
        <v>0</v>
      </c>
      <c r="H37" s="70">
        <v>0</v>
      </c>
      <c r="I37" s="70">
        <v>0</v>
      </c>
      <c r="J37" s="70">
        <v>0</v>
      </c>
      <c r="K37" s="70"/>
      <c r="L37" s="70"/>
      <c r="M37" s="70"/>
      <c r="N37" s="70"/>
      <c r="O37" s="70"/>
      <c r="P37" s="70"/>
      <c r="Q37" s="70"/>
      <c r="R37" s="70">
        <f>IFERROR(SUMIFS(Daily_Vol_yesterday[Order Quantity],Daily_Vol_yesterday[Cust_Cat.cust_channel],  "&lt;&gt;DSO",Daily_Vol_yesterday[Map_Product.TME_SKU],master_Daily!D37)/50000,0)</f>
        <v>0</v>
      </c>
      <c r="S37" s="70">
        <f>IFERROR(SUM(SUMIFS(Weekly_Vol[Quantity],Weekly_Vol[Cust_Cat.cust_channel],  "&lt;&gt;DSO",Weekly_Vol[Map_Product.TME_SKU],master_Daily!D37))/50000,0)</f>
        <v>0</v>
      </c>
      <c r="T37" s="82">
        <f t="shared" si="5"/>
        <v>0</v>
      </c>
      <c r="U37" s="83">
        <f t="shared" si="6"/>
        <v>0</v>
      </c>
      <c r="V37" s="84"/>
      <c r="W37" s="313">
        <f>IFERROR(SUM(SUMIFS(Weekly_Vol[Quantity],Weekly_Vol[Cust_Cat.Customer category],  "Key Account",Weekly_Vol[Map_Product.TME_SKU],master_Daily!D37))/50000,0)
+ IFERROR(SUMIFS(TME_MTD_Dist[Sell_WHS_QTY],TME_MTD_Dist[SKU],master_Daily!$D37)/50000,0)
 + IFERROR(SUMIFS(TME_MTD_Dist[Sell_RTL_QTY],TME_MTD_Dist[SKU],master_Daily!$D37)/50000,0)</f>
        <v>0</v>
      </c>
      <c r="X37" s="314"/>
      <c r="Y37" s="183"/>
      <c r="Z37" s="183"/>
      <c r="AA37" s="183"/>
      <c r="AB37" s="183"/>
      <c r="AC37" s="183"/>
      <c r="AD37" s="183"/>
      <c r="AE37" s="183"/>
      <c r="AF37" s="183"/>
      <c r="AG37" s="183"/>
      <c r="AH37" s="183"/>
      <c r="AI37" s="183"/>
      <c r="AJ37" s="183"/>
      <c r="AK37" s="183"/>
      <c r="AL37" s="183"/>
      <c r="AM37" s="183"/>
      <c r="AN37" s="183"/>
      <c r="AO37" s="183"/>
      <c r="AP37" s="183"/>
      <c r="AQ37" s="183"/>
      <c r="AR37" s="183"/>
      <c r="AS37" s="183"/>
      <c r="AT37" s="183"/>
      <c r="AU37" s="183"/>
      <c r="AV37" s="183"/>
      <c r="AW37" s="183"/>
      <c r="AX37" s="183"/>
      <c r="AY37" s="183"/>
      <c r="AZ37" s="183"/>
      <c r="BA37" s="183"/>
      <c r="BB37" s="183"/>
      <c r="BC37" s="183"/>
      <c r="BD37" s="183"/>
      <c r="BE37" s="183"/>
      <c r="BF37" s="183"/>
      <c r="BG37" s="183"/>
      <c r="BH37" s="183"/>
      <c r="BI37" s="183"/>
      <c r="BJ37" s="183"/>
      <c r="BK37" s="183"/>
      <c r="BL37" s="183"/>
      <c r="BM37" s="183"/>
      <c r="BN37" s="183"/>
      <c r="BO37" s="183"/>
      <c r="BP37" s="183"/>
      <c r="BQ37" s="183"/>
      <c r="BR37" s="183"/>
      <c r="BS37" s="183"/>
      <c r="BT37" s="183"/>
      <c r="BU37" s="183"/>
      <c r="BV37" s="183"/>
      <c r="BW37" s="183"/>
      <c r="BX37" s="183"/>
      <c r="BY37" s="183"/>
      <c r="BZ37" s="183"/>
      <c r="CA37" s="183"/>
      <c r="CB37" s="183"/>
      <c r="CC37" s="183"/>
      <c r="CD37" s="183"/>
      <c r="CE37" s="183"/>
      <c r="CF37" s="183"/>
      <c r="CG37" s="183"/>
      <c r="CH37" s="183"/>
      <c r="CI37" s="183"/>
      <c r="CJ37" s="183"/>
      <c r="CK37" s="183"/>
      <c r="CL37" s="183"/>
      <c r="CM37" s="183"/>
      <c r="CN37" s="183"/>
      <c r="CO37" s="183"/>
      <c r="CP37" s="183"/>
      <c r="CQ37" s="183"/>
      <c r="CR37" s="183"/>
      <c r="CS37" s="183"/>
      <c r="CT37" s="183"/>
      <c r="CU37" s="183"/>
      <c r="CV37" s="183"/>
      <c r="CW37" s="183"/>
      <c r="CX37" s="183"/>
      <c r="CY37" s="183"/>
      <c r="CZ37" s="183"/>
      <c r="DA37" s="183"/>
      <c r="DB37" s="183"/>
      <c r="DC37" s="183"/>
      <c r="DD37" s="183"/>
      <c r="DE37" s="183"/>
      <c r="DF37" s="183"/>
      <c r="DG37" s="183"/>
      <c r="DH37" s="183"/>
      <c r="DI37" s="183"/>
      <c r="DJ37" s="183"/>
      <c r="DK37" s="183"/>
      <c r="DL37" s="183"/>
      <c r="DM37" s="183"/>
      <c r="DN37" s="183"/>
      <c r="DO37" s="183"/>
      <c r="DP37" s="183"/>
      <c r="DQ37" s="183"/>
      <c r="DR37" s="183"/>
      <c r="DS37" s="183"/>
      <c r="DT37" s="183"/>
      <c r="DU37" s="183"/>
      <c r="DV37" s="183"/>
      <c r="DW37" s="183"/>
      <c r="DX37" s="183"/>
      <c r="DY37" s="183"/>
      <c r="DZ37" s="183"/>
      <c r="EA37" s="183"/>
      <c r="EB37" s="183"/>
      <c r="EC37" s="183"/>
      <c r="ED37" s="183"/>
      <c r="EE37" s="183"/>
      <c r="EF37" s="183"/>
      <c r="EG37" s="183"/>
      <c r="EH37" s="183"/>
      <c r="EI37" s="183"/>
      <c r="EJ37" s="183"/>
      <c r="EK37" s="183"/>
      <c r="EL37" s="183"/>
      <c r="EM37" s="183"/>
      <c r="EN37" s="183"/>
      <c r="EO37" s="183"/>
      <c r="EP37" s="183"/>
      <c r="EQ37" s="183"/>
      <c r="ER37" s="183"/>
      <c r="ES37" s="183"/>
      <c r="ET37" s="183"/>
      <c r="EU37" s="183"/>
      <c r="EV37" s="183"/>
      <c r="EW37" s="183"/>
      <c r="EX37" s="183"/>
      <c r="EY37" s="183"/>
      <c r="EZ37" s="183"/>
      <c r="FA37" s="183"/>
      <c r="FB37" s="183"/>
      <c r="FC37" s="183"/>
      <c r="FD37" s="183"/>
      <c r="FE37" s="183"/>
      <c r="FF37" s="183"/>
      <c r="FG37" s="183"/>
      <c r="FH37" s="183"/>
      <c r="FI37" s="183"/>
    </row>
    <row r="38" spans="2:165" ht="15" customHeight="1" collapsed="1">
      <c r="B38" s="24" t="s">
        <v>25</v>
      </c>
      <c r="C38" s="24" t="s">
        <v>46</v>
      </c>
      <c r="D38" s="398"/>
      <c r="E38" s="25">
        <v>35.659860000000002</v>
      </c>
      <c r="F38" s="25">
        <v>30.59384</v>
      </c>
      <c r="G38" s="25">
        <v>31.920139999999993</v>
      </c>
      <c r="H38" s="25">
        <v>31.708539999999996</v>
      </c>
      <c r="I38" s="25">
        <v>30.97522</v>
      </c>
      <c r="J38" s="25">
        <v>15.29152</v>
      </c>
      <c r="K38" s="25"/>
      <c r="L38" s="25"/>
      <c r="M38" s="25"/>
      <c r="N38" s="25"/>
      <c r="O38" s="25"/>
      <c r="P38" s="25"/>
      <c r="Q38" s="25">
        <f>Q142+EQ142</f>
        <v>27.720428840091849</v>
      </c>
      <c r="R38" s="25">
        <f ca="1">ER142+R142</f>
        <v>1.2082000000000002</v>
      </c>
      <c r="S38" s="25">
        <f ca="1">$EZ$142+$S$142</f>
        <v>15.29152</v>
      </c>
      <c r="T38" s="25">
        <f>SUM(E38:P38)</f>
        <v>176.14911999999998</v>
      </c>
      <c r="U38" s="59">
        <f>IFERROR(T38/$T$101,0)</f>
        <v>0.23516651901989313</v>
      </c>
      <c r="V38" s="27">
        <f ca="1">IFERROR(S38/Q38,0)</f>
        <v>0.55163360163764819</v>
      </c>
      <c r="W38" s="399">
        <f>$FR$142+$S$142</f>
        <v>12.78152</v>
      </c>
      <c r="X38" s="27">
        <f>IFERROR(W38/Q38,0)</f>
        <v>0.46108666188865677</v>
      </c>
      <c r="Y38" s="183"/>
      <c r="Z38" s="183"/>
      <c r="AA38" s="183"/>
      <c r="AB38" s="183"/>
      <c r="AC38" s="183"/>
      <c r="AD38" s="183"/>
      <c r="AE38" s="183"/>
      <c r="AF38" s="183"/>
      <c r="AG38" s="183"/>
      <c r="AH38" s="183"/>
      <c r="AI38" s="183"/>
      <c r="AJ38" s="183"/>
      <c r="AK38" s="183"/>
      <c r="AL38" s="183"/>
      <c r="AM38" s="183"/>
      <c r="AN38" s="183"/>
      <c r="AO38" s="183"/>
      <c r="AP38" s="183"/>
      <c r="AQ38" s="183"/>
      <c r="AR38" s="183"/>
      <c r="AS38" s="183"/>
      <c r="AT38" s="183"/>
      <c r="AU38" s="183"/>
      <c r="AV38" s="183"/>
      <c r="AW38" s="183"/>
      <c r="AX38" s="183"/>
      <c r="AY38" s="183"/>
      <c r="AZ38" s="183"/>
      <c r="BA38" s="183"/>
      <c r="BB38" s="183"/>
      <c r="BC38" s="183"/>
      <c r="BD38" s="183"/>
      <c r="BE38" s="183"/>
      <c r="BF38" s="183"/>
      <c r="BG38" s="183"/>
      <c r="BH38" s="183"/>
      <c r="BI38" s="183"/>
      <c r="BJ38" s="183"/>
      <c r="BK38" s="183"/>
      <c r="BL38" s="183"/>
      <c r="BM38" s="183"/>
      <c r="BN38" s="183"/>
      <c r="BO38" s="183"/>
      <c r="BP38" s="183"/>
      <c r="BQ38" s="183"/>
      <c r="BR38" s="183"/>
      <c r="BS38" s="183"/>
      <c r="BT38" s="183"/>
      <c r="BU38" s="183"/>
      <c r="BV38" s="183"/>
      <c r="BW38" s="183"/>
      <c r="BX38" s="183"/>
      <c r="BY38" s="183"/>
      <c r="BZ38" s="183"/>
      <c r="CA38" s="183"/>
      <c r="CB38" s="183"/>
      <c r="CC38" s="183"/>
      <c r="CD38" s="183"/>
      <c r="CE38" s="183"/>
      <c r="CF38" s="183"/>
      <c r="CG38" s="183"/>
      <c r="CH38" s="183"/>
      <c r="CI38" s="183"/>
      <c r="CJ38" s="183"/>
      <c r="CK38" s="183"/>
      <c r="CL38" s="183"/>
      <c r="CM38" s="183"/>
      <c r="CN38" s="183"/>
      <c r="CO38" s="183"/>
      <c r="CP38" s="183"/>
      <c r="CQ38" s="183"/>
      <c r="CR38" s="183"/>
      <c r="CS38" s="183"/>
      <c r="CT38" s="183"/>
      <c r="CU38" s="183"/>
      <c r="CV38" s="183"/>
      <c r="CW38" s="183"/>
      <c r="CX38" s="183"/>
      <c r="CY38" s="183"/>
      <c r="CZ38" s="183"/>
      <c r="DA38" s="183"/>
      <c r="DB38" s="183"/>
      <c r="DC38" s="183"/>
      <c r="DD38" s="183"/>
      <c r="DE38" s="183"/>
      <c r="DF38" s="183"/>
      <c r="DG38" s="183"/>
      <c r="DH38" s="183"/>
      <c r="DI38" s="183"/>
      <c r="DJ38" s="183"/>
      <c r="DK38" s="183"/>
      <c r="DL38" s="183"/>
      <c r="DM38" s="183"/>
      <c r="DN38" s="183"/>
      <c r="DO38" s="183"/>
      <c r="DP38" s="183"/>
      <c r="DQ38" s="183"/>
      <c r="DR38" s="183"/>
      <c r="DS38" s="183"/>
      <c r="DT38" s="183"/>
      <c r="DU38" s="183"/>
      <c r="DV38" s="183"/>
      <c r="DW38" s="183"/>
      <c r="DX38" s="183"/>
      <c r="DY38" s="183"/>
      <c r="DZ38" s="183"/>
      <c r="EA38" s="183"/>
      <c r="EB38" s="183"/>
      <c r="EC38" s="183"/>
      <c r="ED38" s="183"/>
      <c r="EE38" s="183"/>
      <c r="EF38" s="183"/>
      <c r="EG38" s="183"/>
      <c r="EH38" s="183"/>
      <c r="EI38" s="183"/>
      <c r="EJ38" s="183"/>
      <c r="EK38" s="183"/>
      <c r="EL38" s="183"/>
      <c r="EM38" s="183"/>
      <c r="EN38" s="183"/>
      <c r="EO38" s="183"/>
      <c r="EP38" s="183"/>
      <c r="EQ38" s="183"/>
      <c r="ER38" s="183"/>
      <c r="ES38" s="183"/>
      <c r="ET38" s="183"/>
      <c r="EU38" s="183"/>
      <c r="EV38" s="183"/>
      <c r="EW38" s="183"/>
      <c r="EX38" s="183"/>
      <c r="EY38" s="183"/>
      <c r="EZ38" s="183"/>
      <c r="FA38" s="183"/>
      <c r="FB38" s="183"/>
      <c r="FC38" s="183"/>
      <c r="FD38" s="183"/>
      <c r="FE38" s="183"/>
      <c r="FF38" s="183"/>
      <c r="FG38" s="183"/>
      <c r="FH38" s="183"/>
      <c r="FI38" s="183"/>
    </row>
    <row r="39" spans="2:165" ht="15" hidden="1" customHeight="1" outlineLevel="1">
      <c r="B39" s="81" t="s">
        <v>25</v>
      </c>
      <c r="C39" s="81" t="s">
        <v>263</v>
      </c>
      <c r="D39" s="303" t="s">
        <v>184</v>
      </c>
      <c r="E39" s="304">
        <v>21.682200000000002</v>
      </c>
      <c r="F39" s="304">
        <v>20.175139999999999</v>
      </c>
      <c r="G39" s="304">
        <v>21.375540000000001</v>
      </c>
      <c r="H39" s="304">
        <v>19.175139999999999</v>
      </c>
      <c r="I39" s="304">
        <v>17.218520000000002</v>
      </c>
      <c r="J39" s="304">
        <v>7.7484999999999999</v>
      </c>
      <c r="K39" s="304"/>
      <c r="L39" s="304"/>
      <c r="M39" s="304"/>
      <c r="N39" s="304"/>
      <c r="O39" s="304"/>
      <c r="P39" s="304"/>
      <c r="Q39" s="304"/>
      <c r="R39" s="304">
        <f>IFERROR(SUMIFS(Daily_Vol_yesterday[Order Quantity],Daily_Vol_yesterday[Cust_Cat.cust_channel],  "&lt;&gt;DSO",Daily_Vol_yesterday[Map_Product.TME_SKU],"CM_BL")/50000,0)</f>
        <v>0.61140000000000005</v>
      </c>
      <c r="S39" s="304">
        <f>IFERROR(SUM(SUMIFS(Weekly_Vol[Quantity],Weekly_Vol[Cust_Cat.cust_channel],  "&lt;&gt;DSO",Weekly_Vol[Map_Product.TME_SKU],"CM_BL"))/50000,0)</f>
        <v>7.7484999999999999</v>
      </c>
      <c r="T39" s="305">
        <f t="shared" ref="T39:T48" si="7">SUM(E39:P39)</f>
        <v>107.37503999999998</v>
      </c>
      <c r="U39" s="306">
        <f>IFERROR(T39/$T$49,0)</f>
        <v>0.26556753201129429</v>
      </c>
      <c r="V39" s="315">
        <f>IFERROR(S39/Q39,0)</f>
        <v>0</v>
      </c>
      <c r="W39" s="313">
        <f>IFERROR(SUM(SUMIFS(Weekly_Vol[Quantity],Weekly_Vol[Cust_Cat.Customer category],  "Key Account",Weekly_Vol[Map_Product.TME_SKU],master_Daily!D39))/50000,0)
+ IFERROR(SUMIFS(TME_MTD_Dist[Sell_WHS_QTY],TME_MTD_Dist[SKU],master_Daily!$D39)/50000,0)
 + IFERROR(SUMIFS(TME_MTD_Dist[Sell_RTL_QTY],TME_MTD_Dist[SKU],master_Daily!$D39)/50000,0)</f>
        <v>6.7892999999999999</v>
      </c>
      <c r="X39" s="314"/>
      <c r="Y39" s="183"/>
      <c r="Z39" s="183"/>
      <c r="AA39" s="183"/>
      <c r="AB39" s="183"/>
      <c r="AC39" s="183"/>
      <c r="AD39" s="183"/>
      <c r="AE39" s="183"/>
      <c r="AF39" s="183"/>
      <c r="AG39" s="183"/>
      <c r="AH39" s="183"/>
      <c r="AI39" s="183"/>
      <c r="AJ39" s="183"/>
      <c r="AK39" s="183"/>
      <c r="AL39" s="183"/>
      <c r="AM39" s="183"/>
      <c r="AN39" s="183"/>
      <c r="AO39" s="183"/>
      <c r="AP39" s="183"/>
      <c r="AQ39" s="183"/>
      <c r="AR39" s="183"/>
      <c r="AS39" s="183"/>
      <c r="AT39" s="183"/>
      <c r="AU39" s="183"/>
      <c r="AV39" s="183"/>
      <c r="AW39" s="183"/>
      <c r="AX39" s="183"/>
      <c r="AY39" s="183"/>
      <c r="AZ39" s="183"/>
      <c r="BA39" s="183"/>
      <c r="BB39" s="183"/>
      <c r="BC39" s="183"/>
      <c r="BD39" s="183"/>
      <c r="BE39" s="183"/>
      <c r="BF39" s="183"/>
      <c r="BG39" s="183"/>
      <c r="BH39" s="183"/>
      <c r="BI39" s="183"/>
      <c r="BJ39" s="183"/>
      <c r="BK39" s="183"/>
      <c r="BL39" s="183"/>
      <c r="BM39" s="183"/>
      <c r="BN39" s="183"/>
      <c r="BO39" s="183"/>
      <c r="BP39" s="183"/>
      <c r="BQ39" s="183"/>
      <c r="BR39" s="183"/>
      <c r="BS39" s="183"/>
      <c r="BT39" s="183"/>
      <c r="BU39" s="183"/>
      <c r="BV39" s="183"/>
      <c r="BW39" s="183"/>
      <c r="BX39" s="183"/>
      <c r="BY39" s="183"/>
      <c r="BZ39" s="183"/>
      <c r="CA39" s="183"/>
      <c r="CB39" s="183"/>
      <c r="CC39" s="183"/>
      <c r="CD39" s="183"/>
      <c r="CE39" s="183"/>
      <c r="CF39" s="183"/>
      <c r="CG39" s="183"/>
      <c r="CH39" s="183"/>
      <c r="CI39" s="183"/>
      <c r="CJ39" s="183"/>
      <c r="CK39" s="183"/>
      <c r="CL39" s="183"/>
      <c r="CM39" s="183"/>
      <c r="CN39" s="183"/>
      <c r="CO39" s="183"/>
      <c r="CP39" s="183"/>
      <c r="CQ39" s="183"/>
      <c r="CR39" s="183"/>
      <c r="CS39" s="183"/>
      <c r="CT39" s="183"/>
      <c r="CU39" s="183"/>
      <c r="CV39" s="183"/>
      <c r="CW39" s="183"/>
      <c r="CX39" s="183"/>
      <c r="CY39" s="183"/>
      <c r="CZ39" s="183"/>
      <c r="DA39" s="183"/>
      <c r="DB39" s="183"/>
      <c r="DC39" s="183"/>
      <c r="DD39" s="183"/>
      <c r="DE39" s="183"/>
      <c r="DF39" s="183"/>
      <c r="DG39" s="183"/>
      <c r="DH39" s="183"/>
      <c r="DI39" s="183"/>
      <c r="DJ39" s="183"/>
      <c r="DK39" s="183"/>
      <c r="DL39" s="183"/>
      <c r="DM39" s="183"/>
      <c r="DN39" s="183"/>
      <c r="DO39" s="183"/>
      <c r="DP39" s="183"/>
      <c r="DQ39" s="183"/>
      <c r="DR39" s="183"/>
      <c r="DS39" s="183"/>
      <c r="DT39" s="183"/>
      <c r="DU39" s="183"/>
      <c r="DV39" s="183"/>
      <c r="DW39" s="183"/>
      <c r="DX39" s="183"/>
      <c r="DY39" s="183"/>
      <c r="DZ39" s="183"/>
      <c r="EA39" s="183"/>
      <c r="EB39" s="183"/>
      <c r="EC39" s="183"/>
      <c r="ED39" s="183"/>
      <c r="EE39" s="183"/>
      <c r="EF39" s="183"/>
      <c r="EG39" s="183"/>
      <c r="EH39" s="183"/>
      <c r="EI39" s="183"/>
      <c r="EJ39" s="183"/>
      <c r="EK39" s="183"/>
      <c r="EL39" s="183"/>
      <c r="EM39" s="183"/>
      <c r="EN39" s="183"/>
      <c r="EO39" s="183"/>
      <c r="EP39" s="183"/>
      <c r="EQ39" s="183"/>
      <c r="ER39" s="183"/>
      <c r="ES39" s="183"/>
      <c r="ET39" s="183"/>
      <c r="EU39" s="183"/>
      <c r="EV39" s="183"/>
      <c r="EW39" s="183"/>
      <c r="EX39" s="183"/>
      <c r="EY39" s="183"/>
      <c r="EZ39" s="183"/>
      <c r="FA39" s="183"/>
      <c r="FB39" s="183"/>
      <c r="FC39" s="183"/>
      <c r="FD39" s="183"/>
      <c r="FE39" s="183"/>
      <c r="FF39" s="183"/>
      <c r="FG39" s="183"/>
      <c r="FH39" s="183"/>
      <c r="FI39" s="183"/>
    </row>
    <row r="40" spans="2:165" ht="15" hidden="1" customHeight="1" outlineLevel="1">
      <c r="B40" s="81" t="s">
        <v>25</v>
      </c>
      <c r="C40" s="81" t="s">
        <v>263</v>
      </c>
      <c r="D40" s="303" t="s">
        <v>185</v>
      </c>
      <c r="E40" s="304">
        <v>0</v>
      </c>
      <c r="F40" s="304">
        <v>0</v>
      </c>
      <c r="G40" s="304">
        <v>0</v>
      </c>
      <c r="H40" s="304">
        <v>0</v>
      </c>
      <c r="I40" s="304">
        <v>0</v>
      </c>
      <c r="J40" s="304">
        <v>0</v>
      </c>
      <c r="K40" s="304"/>
      <c r="L40" s="304"/>
      <c r="M40" s="304"/>
      <c r="N40" s="304"/>
      <c r="O40" s="304"/>
      <c r="P40" s="304"/>
      <c r="Q40" s="304"/>
      <c r="R40" s="304">
        <f>IFERROR(SUMIFS(Daily_Vol_yesterday[Order Quantity],Daily_Vol_yesterday[Cust_Cat.cust_channel],  "&lt;&gt;DSO",Daily_Vol_yesterday[Map_Product.TME_SKU],"CM_EC")/50000,0)</f>
        <v>0</v>
      </c>
      <c r="S40" s="304">
        <f>IFERROR(SUM(SUMIFS(Weekly_Vol[Quantity],Weekly_Vol[Cust_Cat.cust_channel],  "&lt;&gt;DSO",Weekly_Vol[Map_Product.TME_SKU],"CM_EC"))/50000,0)</f>
        <v>0</v>
      </c>
      <c r="T40" s="305">
        <f t="shared" si="7"/>
        <v>0</v>
      </c>
      <c r="U40" s="306">
        <f t="shared" ref="U40:U48" si="8">IFERROR(T40/$T$49,0)</f>
        <v>0</v>
      </c>
      <c r="V40" s="315">
        <f>IFERROR(S40/Q40,0)</f>
        <v>0</v>
      </c>
      <c r="W40" s="313">
        <f>IFERROR(SUM(SUMIFS(Weekly_Vol[Quantity],Weekly_Vol[Cust_Cat.Customer category],  "Key Account",Weekly_Vol[Map_Product.TME_SKU],master_Daily!D40))/50000,0)
+ IFERROR(SUMIFS(TME_MTD_Dist[Sell_WHS_QTY],TME_MTD_Dist[SKU],master_Daily!$D40)/50000,0)
 + IFERROR(SUMIFS(TME_MTD_Dist[Sell_RTL_QTY],TME_MTD_Dist[SKU],master_Daily!$D40)/50000,0)</f>
        <v>0</v>
      </c>
      <c r="X40" s="314"/>
      <c r="Y40" s="183"/>
      <c r="Z40" s="183"/>
      <c r="AA40" s="183"/>
      <c r="AB40" s="183"/>
      <c r="AC40" s="183"/>
      <c r="AD40" s="183"/>
      <c r="AE40" s="183"/>
      <c r="AF40" s="183"/>
      <c r="AG40" s="183"/>
      <c r="AH40" s="183"/>
      <c r="AI40" s="183"/>
      <c r="AJ40" s="183"/>
      <c r="AK40" s="183"/>
      <c r="AL40" s="183"/>
      <c r="AM40" s="183"/>
      <c r="AN40" s="183"/>
      <c r="AO40" s="183"/>
      <c r="AP40" s="183"/>
      <c r="AQ40" s="183"/>
      <c r="AR40" s="183"/>
      <c r="AS40" s="183"/>
      <c r="AT40" s="183"/>
      <c r="AU40" s="183"/>
      <c r="AV40" s="183"/>
      <c r="AW40" s="183"/>
      <c r="AX40" s="183"/>
      <c r="AY40" s="183"/>
      <c r="AZ40" s="183"/>
      <c r="BA40" s="183"/>
      <c r="BB40" s="183"/>
      <c r="BC40" s="183"/>
      <c r="BD40" s="183"/>
      <c r="BE40" s="183"/>
      <c r="BF40" s="183"/>
      <c r="BG40" s="183"/>
      <c r="BH40" s="183"/>
      <c r="BI40" s="183"/>
      <c r="BJ40" s="183"/>
      <c r="BK40" s="183"/>
      <c r="BL40" s="183"/>
      <c r="BM40" s="183"/>
      <c r="BN40" s="183"/>
      <c r="BO40" s="183"/>
      <c r="BP40" s="183"/>
      <c r="BQ40" s="183"/>
      <c r="BR40" s="183"/>
      <c r="BS40" s="183"/>
      <c r="BT40" s="183"/>
      <c r="BU40" s="183"/>
      <c r="BV40" s="183"/>
      <c r="BW40" s="183"/>
      <c r="BX40" s="183"/>
      <c r="BY40" s="183"/>
      <c r="BZ40" s="183"/>
      <c r="CA40" s="183"/>
      <c r="CB40" s="183"/>
      <c r="CC40" s="183"/>
      <c r="CD40" s="183"/>
      <c r="CE40" s="183"/>
      <c r="CF40" s="183"/>
      <c r="CG40" s="183"/>
      <c r="CH40" s="183"/>
      <c r="CI40" s="183"/>
      <c r="CJ40" s="183"/>
      <c r="CK40" s="183"/>
      <c r="CL40" s="183"/>
      <c r="CM40" s="183"/>
      <c r="CN40" s="183"/>
      <c r="CO40" s="183"/>
      <c r="CP40" s="183"/>
      <c r="CQ40" s="183"/>
      <c r="CR40" s="183"/>
      <c r="CS40" s="183"/>
      <c r="CT40" s="183"/>
      <c r="CU40" s="183"/>
      <c r="CV40" s="183"/>
      <c r="CW40" s="183"/>
      <c r="CX40" s="183"/>
      <c r="CY40" s="183"/>
      <c r="CZ40" s="183"/>
      <c r="DA40" s="183"/>
      <c r="DB40" s="183"/>
      <c r="DC40" s="183"/>
      <c r="DD40" s="183"/>
      <c r="DE40" s="183"/>
      <c r="DF40" s="183"/>
      <c r="DG40" s="183"/>
      <c r="DH40" s="183"/>
      <c r="DI40" s="183"/>
      <c r="DJ40" s="183"/>
      <c r="DK40" s="183"/>
      <c r="DL40" s="183"/>
      <c r="DM40" s="183"/>
      <c r="DN40" s="183"/>
      <c r="DO40" s="183"/>
      <c r="DP40" s="183"/>
      <c r="DQ40" s="183"/>
      <c r="DR40" s="183"/>
      <c r="DS40" s="183"/>
      <c r="DT40" s="183"/>
      <c r="DU40" s="183"/>
      <c r="DV40" s="183"/>
      <c r="DW40" s="183"/>
      <c r="DX40" s="183"/>
      <c r="DY40" s="183"/>
      <c r="DZ40" s="183"/>
      <c r="EA40" s="183"/>
      <c r="EB40" s="183"/>
      <c r="EC40" s="183"/>
      <c r="ED40" s="183"/>
      <c r="EE40" s="183"/>
      <c r="EF40" s="183"/>
      <c r="EG40" s="183"/>
      <c r="EH40" s="183"/>
      <c r="EI40" s="183"/>
      <c r="EJ40" s="183"/>
      <c r="EK40" s="183"/>
      <c r="EL40" s="183"/>
      <c r="EM40" s="183"/>
      <c r="EN40" s="183"/>
      <c r="EO40" s="183"/>
      <c r="EP40" s="183"/>
      <c r="EQ40" s="183"/>
      <c r="ER40" s="183"/>
      <c r="ES40" s="183"/>
      <c r="ET40" s="183"/>
      <c r="EU40" s="183"/>
      <c r="EV40" s="183"/>
      <c r="EW40" s="183"/>
      <c r="EX40" s="183"/>
      <c r="EY40" s="183"/>
      <c r="EZ40" s="183"/>
      <c r="FA40" s="183"/>
      <c r="FB40" s="183"/>
      <c r="FC40" s="183"/>
      <c r="FD40" s="183"/>
      <c r="FE40" s="183"/>
      <c r="FF40" s="183"/>
      <c r="FG40" s="183"/>
      <c r="FH40" s="183"/>
      <c r="FI40" s="183"/>
    </row>
    <row r="41" spans="2:165" ht="15" hidden="1" customHeight="1" outlineLevel="1">
      <c r="B41" s="81" t="s">
        <v>25</v>
      </c>
      <c r="C41" s="81" t="s">
        <v>263</v>
      </c>
      <c r="D41" s="303" t="s">
        <v>186</v>
      </c>
      <c r="E41" s="304">
        <v>46.255800000000001</v>
      </c>
      <c r="F41" s="304">
        <v>43.480600000000003</v>
      </c>
      <c r="G41" s="304">
        <v>49.1036</v>
      </c>
      <c r="H41" s="304">
        <v>46.398400000000002</v>
      </c>
      <c r="I41" s="304">
        <v>42.608600000000003</v>
      </c>
      <c r="J41" s="304">
        <v>21.4084</v>
      </c>
      <c r="K41" s="304"/>
      <c r="L41" s="304"/>
      <c r="M41" s="304"/>
      <c r="N41" s="304"/>
      <c r="O41" s="304"/>
      <c r="P41" s="304"/>
      <c r="Q41" s="304"/>
      <c r="R41" s="304">
        <f>IFERROR(SUMIFS(Daily_Vol_yesterday[Order Quantity],Daily_Vol_yesterday[Cust_Cat.cust_channel],  "&lt;&gt;DSO",Daily_Vol_yesterday[Map_Product.TME_SKU],"CM_FF")/50000,0)</f>
        <v>1.7864</v>
      </c>
      <c r="S41" s="304">
        <f>IFERROR(SUM(SUMIFS(Weekly_Vol[Quantity],Weekly_Vol[Cust_Cat.cust_channel],  "&lt;&gt;DSO",Weekly_Vol[Map_Product.TME_SKU],"CM_FF"))/50000,0)</f>
        <v>21.4084</v>
      </c>
      <c r="T41" s="305">
        <f t="shared" si="7"/>
        <v>249.25540000000001</v>
      </c>
      <c r="U41" s="306">
        <f t="shared" si="8"/>
        <v>0.61647605829518648</v>
      </c>
      <c r="V41" s="315">
        <f>IFERROR(S41/Q41,0)</f>
        <v>0</v>
      </c>
      <c r="W41" s="313">
        <f>IFERROR(SUM(SUMIFS(Weekly_Vol[Quantity],Weekly_Vol[Cust_Cat.Customer category],  "Key Account",Weekly_Vol[Map_Product.TME_SKU],master_Daily!D41))/50000,0)
+ IFERROR(SUMIFS(TME_MTD_Dist[Sell_WHS_QTY],TME_MTD_Dist[SKU],master_Daily!$D41)/50000,0)
 + IFERROR(SUMIFS(TME_MTD_Dist[Sell_RTL_QTY],TME_MTD_Dist[SKU],master_Daily!$D41)/50000,0)</f>
        <v>16.671399999999998</v>
      </c>
      <c r="X41" s="314"/>
      <c r="Y41" s="183"/>
      <c r="Z41" s="183"/>
      <c r="AA41" s="183"/>
      <c r="AB41" s="183"/>
      <c r="AC41" s="183"/>
      <c r="AD41" s="183"/>
      <c r="AE41" s="183"/>
      <c r="AF41" s="183"/>
      <c r="AG41" s="183"/>
      <c r="AH41" s="183"/>
      <c r="AI41" s="183"/>
      <c r="AJ41" s="183"/>
      <c r="AK41" s="183"/>
      <c r="AL41" s="183"/>
      <c r="AM41" s="183"/>
      <c r="AN41" s="183"/>
      <c r="AO41" s="183"/>
      <c r="AP41" s="183"/>
      <c r="AQ41" s="183"/>
      <c r="AR41" s="183"/>
      <c r="AS41" s="183"/>
      <c r="AT41" s="183"/>
      <c r="AU41" s="183"/>
      <c r="AV41" s="183"/>
      <c r="AW41" s="183"/>
      <c r="AX41" s="183"/>
      <c r="AY41" s="183"/>
      <c r="AZ41" s="183"/>
      <c r="BA41" s="183"/>
      <c r="BB41" s="183"/>
      <c r="BC41" s="183"/>
      <c r="BD41" s="183"/>
      <c r="BE41" s="183"/>
      <c r="BF41" s="183"/>
      <c r="BG41" s="183"/>
      <c r="BH41" s="183"/>
      <c r="BI41" s="183"/>
      <c r="BJ41" s="183"/>
      <c r="BK41" s="183"/>
      <c r="BL41" s="183"/>
      <c r="BM41" s="183"/>
      <c r="BN41" s="183"/>
      <c r="BO41" s="183"/>
      <c r="BP41" s="183"/>
      <c r="BQ41" s="183"/>
      <c r="BR41" s="183"/>
      <c r="BS41" s="183"/>
      <c r="BT41" s="183"/>
      <c r="BU41" s="183"/>
      <c r="BV41" s="183"/>
      <c r="BW41" s="183"/>
      <c r="BX41" s="183"/>
      <c r="BY41" s="183"/>
      <c r="BZ41" s="183"/>
      <c r="CA41" s="183"/>
      <c r="CB41" s="183"/>
      <c r="CC41" s="183"/>
      <c r="CD41" s="183"/>
      <c r="CE41" s="183"/>
      <c r="CF41" s="183"/>
      <c r="CG41" s="183"/>
      <c r="CH41" s="183"/>
      <c r="CI41" s="183"/>
      <c r="CJ41" s="183"/>
      <c r="CK41" s="183"/>
      <c r="CL41" s="183"/>
      <c r="CM41" s="183"/>
      <c r="CN41" s="183"/>
      <c r="CO41" s="183"/>
      <c r="CP41" s="183"/>
      <c r="CQ41" s="183"/>
      <c r="CR41" s="183"/>
      <c r="CS41" s="183"/>
      <c r="CT41" s="183"/>
      <c r="CU41" s="183"/>
      <c r="CV41" s="183"/>
      <c r="CW41" s="183"/>
      <c r="CX41" s="183"/>
      <c r="CY41" s="183"/>
      <c r="CZ41" s="183"/>
      <c r="DA41" s="183"/>
      <c r="DB41" s="183"/>
      <c r="DC41" s="183"/>
      <c r="DD41" s="183"/>
      <c r="DE41" s="183"/>
      <c r="DF41" s="183"/>
      <c r="DG41" s="183"/>
      <c r="DH41" s="183"/>
      <c r="DI41" s="183"/>
      <c r="DJ41" s="183"/>
      <c r="DK41" s="183"/>
      <c r="DL41" s="183"/>
      <c r="DM41" s="183"/>
      <c r="DN41" s="183"/>
      <c r="DO41" s="183"/>
      <c r="DP41" s="183"/>
      <c r="DQ41" s="183"/>
      <c r="DR41" s="183"/>
      <c r="DS41" s="183"/>
      <c r="DT41" s="183"/>
      <c r="DU41" s="183"/>
      <c r="DV41" s="183"/>
      <c r="DW41" s="183"/>
      <c r="DX41" s="183"/>
      <c r="DY41" s="183"/>
      <c r="DZ41" s="183"/>
      <c r="EA41" s="183"/>
      <c r="EB41" s="183"/>
      <c r="EC41" s="183"/>
      <c r="ED41" s="183"/>
      <c r="EE41" s="183"/>
      <c r="EF41" s="183"/>
      <c r="EG41" s="183"/>
      <c r="EH41" s="183"/>
      <c r="EI41" s="183"/>
      <c r="EJ41" s="183"/>
      <c r="EK41" s="183"/>
      <c r="EL41" s="183"/>
      <c r="EM41" s="183"/>
      <c r="EN41" s="183"/>
      <c r="EO41" s="183"/>
      <c r="EP41" s="183"/>
      <c r="EQ41" s="183"/>
      <c r="ER41" s="183"/>
      <c r="ES41" s="183"/>
      <c r="ET41" s="183"/>
      <c r="EU41" s="183"/>
      <c r="EV41" s="183"/>
      <c r="EW41" s="183"/>
      <c r="EX41" s="183"/>
      <c r="EY41" s="183"/>
      <c r="EZ41" s="183"/>
      <c r="FA41" s="183"/>
      <c r="FB41" s="183"/>
      <c r="FC41" s="183"/>
      <c r="FD41" s="183"/>
      <c r="FE41" s="183"/>
      <c r="FF41" s="183"/>
      <c r="FG41" s="183"/>
      <c r="FH41" s="183"/>
      <c r="FI41" s="183"/>
    </row>
    <row r="42" spans="2:165" ht="15" hidden="1" customHeight="1" outlineLevel="1">
      <c r="B42" s="81" t="s">
        <v>25</v>
      </c>
      <c r="C42" s="81" t="s">
        <v>263</v>
      </c>
      <c r="D42" s="303" t="s">
        <v>187</v>
      </c>
      <c r="E42" s="304">
        <v>8.6454599999999999</v>
      </c>
      <c r="F42" s="304">
        <v>8.0405800000000003</v>
      </c>
      <c r="G42" s="304">
        <v>9.2601200000000006</v>
      </c>
      <c r="H42" s="304">
        <v>8.9246599999999994</v>
      </c>
      <c r="I42" s="304">
        <v>8.7733000000000008</v>
      </c>
      <c r="J42" s="304">
        <v>4.0483599999999997</v>
      </c>
      <c r="K42" s="304"/>
      <c r="L42" s="304"/>
      <c r="M42" s="304"/>
      <c r="N42" s="304"/>
      <c r="O42" s="304"/>
      <c r="P42" s="304"/>
      <c r="Q42" s="304"/>
      <c r="R42" s="304">
        <f>IFERROR(SUMIFS(Daily_Vol_yesterday[Order Quantity],Daily_Vol_yesterday[Cust_Cat.cust_channel],  "&lt;&gt;DSO",Daily_Vol_yesterday[Map_Product.TME_SKU],"CM_MN")/50000,0)</f>
        <v>0.27179999999999999</v>
      </c>
      <c r="S42" s="304">
        <f>IFERROR(SUM(SUMIFS(Weekly_Vol[Quantity],Weekly_Vol[Cust_Cat.cust_channel],  "&lt;&gt;DSO",Weekly_Vol[Map_Product.TME_SKU],"CM_MN"))/50000,0)</f>
        <v>4.0483599999999997</v>
      </c>
      <c r="T42" s="305">
        <f t="shared" si="7"/>
        <v>47.692479999999996</v>
      </c>
      <c r="U42" s="306">
        <f t="shared" si="8"/>
        <v>0.11795640969351921</v>
      </c>
      <c r="V42" s="315">
        <f>IFERROR(S42/Q42,0)</f>
        <v>0</v>
      </c>
      <c r="W42" s="313">
        <f>IFERROR(SUM(SUMIFS(Weekly_Vol[Quantity],Weekly_Vol[Cust_Cat.Customer category],  "Key Account",Weekly_Vol[Map_Product.TME_SKU],master_Daily!D42))/50000,0)
+ IFERROR(SUMIFS(TME_MTD_Dist[Sell_WHS_QTY],TME_MTD_Dist[SKU],master_Daily!$D42)/50000,0)
 + IFERROR(SUMIFS(TME_MTD_Dist[Sell_RTL_QTY],TME_MTD_Dist[SKU],master_Daily!$D42)/50000,0)</f>
        <v>3.4583599999999999</v>
      </c>
      <c r="X42" s="314"/>
      <c r="Y42" s="183"/>
      <c r="Z42" s="183"/>
      <c r="AA42" s="183"/>
      <c r="AB42" s="183"/>
      <c r="AC42" s="183"/>
      <c r="AD42" s="183"/>
      <c r="AE42" s="183"/>
      <c r="AF42" s="183"/>
      <c r="AG42" s="183"/>
      <c r="AH42" s="183"/>
      <c r="AI42" s="183"/>
      <c r="AJ42" s="183"/>
      <c r="AK42" s="183"/>
      <c r="AL42" s="183"/>
      <c r="AM42" s="183"/>
      <c r="AN42" s="183"/>
      <c r="AO42" s="183"/>
      <c r="AP42" s="183"/>
      <c r="AQ42" s="183"/>
      <c r="AR42" s="183"/>
      <c r="AS42" s="183"/>
      <c r="AT42" s="183"/>
      <c r="AU42" s="183"/>
      <c r="AV42" s="183"/>
      <c r="AW42" s="183"/>
      <c r="AX42" s="183"/>
      <c r="AY42" s="183"/>
      <c r="AZ42" s="183"/>
      <c r="BA42" s="183"/>
      <c r="BB42" s="183"/>
      <c r="BC42" s="183"/>
      <c r="BD42" s="183"/>
      <c r="BE42" s="183"/>
      <c r="BF42" s="183"/>
      <c r="BG42" s="183"/>
      <c r="BH42" s="183"/>
      <c r="BI42" s="183"/>
      <c r="BJ42" s="183"/>
      <c r="BK42" s="183"/>
      <c r="BL42" s="183"/>
      <c r="BM42" s="183"/>
      <c r="BN42" s="183"/>
      <c r="BO42" s="183"/>
      <c r="BP42" s="183"/>
      <c r="BQ42" s="183"/>
      <c r="BR42" s="183"/>
      <c r="BS42" s="183"/>
      <c r="BT42" s="183"/>
      <c r="BU42" s="183"/>
      <c r="BV42" s="183"/>
      <c r="BW42" s="183"/>
      <c r="BX42" s="183"/>
      <c r="BY42" s="183"/>
      <c r="BZ42" s="183"/>
      <c r="CA42" s="183"/>
      <c r="CB42" s="183"/>
      <c r="CC42" s="183"/>
      <c r="CD42" s="183"/>
      <c r="CE42" s="183"/>
      <c r="CF42" s="183"/>
      <c r="CG42" s="183"/>
      <c r="CH42" s="183"/>
      <c r="CI42" s="183"/>
      <c r="CJ42" s="183"/>
      <c r="CK42" s="183"/>
      <c r="CL42" s="183"/>
      <c r="CM42" s="183"/>
      <c r="CN42" s="183"/>
      <c r="CO42" s="183"/>
      <c r="CP42" s="183"/>
      <c r="CQ42" s="183"/>
      <c r="CR42" s="183"/>
      <c r="CS42" s="183"/>
      <c r="CT42" s="183"/>
      <c r="CU42" s="183"/>
      <c r="CV42" s="183"/>
      <c r="CW42" s="183"/>
      <c r="CX42" s="183"/>
      <c r="CY42" s="183"/>
      <c r="CZ42" s="183"/>
      <c r="DA42" s="183"/>
      <c r="DB42" s="183"/>
      <c r="DC42" s="183"/>
      <c r="DD42" s="183"/>
      <c r="DE42" s="183"/>
      <c r="DF42" s="183"/>
      <c r="DG42" s="183"/>
      <c r="DH42" s="183"/>
      <c r="DI42" s="183"/>
      <c r="DJ42" s="183"/>
      <c r="DK42" s="183"/>
      <c r="DL42" s="183"/>
      <c r="DM42" s="183"/>
      <c r="DN42" s="183"/>
      <c r="DO42" s="183"/>
      <c r="DP42" s="183"/>
      <c r="DQ42" s="183"/>
      <c r="DR42" s="183"/>
      <c r="DS42" s="183"/>
      <c r="DT42" s="183"/>
      <c r="DU42" s="183"/>
      <c r="DV42" s="183"/>
      <c r="DW42" s="183"/>
      <c r="DX42" s="183"/>
      <c r="DY42" s="183"/>
      <c r="DZ42" s="183"/>
      <c r="EA42" s="183"/>
      <c r="EB42" s="183"/>
      <c r="EC42" s="183"/>
      <c r="ED42" s="183"/>
      <c r="EE42" s="183"/>
      <c r="EF42" s="183"/>
      <c r="EG42" s="183"/>
      <c r="EH42" s="183"/>
      <c r="EI42" s="183"/>
      <c r="EJ42" s="183"/>
      <c r="EK42" s="183"/>
      <c r="EL42" s="183"/>
      <c r="EM42" s="183"/>
      <c r="EN42" s="183"/>
      <c r="EO42" s="183"/>
      <c r="EP42" s="183"/>
      <c r="EQ42" s="183"/>
      <c r="ER42" s="183"/>
      <c r="ES42" s="183"/>
      <c r="ET42" s="183"/>
      <c r="EU42" s="183"/>
      <c r="EV42" s="183"/>
      <c r="EW42" s="183"/>
      <c r="EX42" s="183"/>
      <c r="EY42" s="183"/>
      <c r="EZ42" s="183"/>
      <c r="FA42" s="183"/>
      <c r="FB42" s="183"/>
      <c r="FC42" s="183"/>
      <c r="FD42" s="183"/>
      <c r="FE42" s="183"/>
      <c r="FF42" s="183"/>
      <c r="FG42" s="183"/>
      <c r="FH42" s="183"/>
      <c r="FI42" s="183"/>
    </row>
    <row r="43" spans="2:165" ht="0.2" hidden="1" customHeight="1" outlineLevel="1">
      <c r="B43" s="81"/>
      <c r="C43" s="81"/>
      <c r="D43" s="301"/>
      <c r="E43" s="70">
        <v>0</v>
      </c>
      <c r="F43" s="70">
        <v>0</v>
      </c>
      <c r="G43" s="70">
        <v>0</v>
      </c>
      <c r="H43" s="70">
        <v>0</v>
      </c>
      <c r="I43" s="70">
        <v>0</v>
      </c>
      <c r="J43" s="70">
        <v>0</v>
      </c>
      <c r="K43" s="70"/>
      <c r="L43" s="70"/>
      <c r="M43" s="70"/>
      <c r="N43" s="70"/>
      <c r="O43" s="70"/>
      <c r="P43" s="70"/>
      <c r="Q43" s="70"/>
      <c r="R43" s="70">
        <f>IFERROR(SUMIFS(Daily_Vol_yesterday[Order Quantity],Daily_Vol_yesterday[Cust_Cat.cust_channel],  "&lt;&gt;DSO",Daily_Vol_yesterday[Map_Product.TME_SKU],"CM_")/50000,0)</f>
        <v>0</v>
      </c>
      <c r="S43" s="70">
        <f>IFERROR(SUM(SUMIFS(Weekly_Vol[Quantity],Weekly_Vol[Cust_Cat.cust_channel],  "&lt;&gt;DSO",Weekly_Vol[Map_Product.TME_SKU],"CM_"))/50000,0)</f>
        <v>0</v>
      </c>
      <c r="T43" s="82">
        <f t="shared" si="7"/>
        <v>0</v>
      </c>
      <c r="U43" s="83">
        <f t="shared" si="8"/>
        <v>0</v>
      </c>
      <c r="V43" s="84"/>
      <c r="W43" s="313">
        <f>IFERROR(SUM(SUMIFS(Weekly_Vol[Quantity],Weekly_Vol[Cust_Cat.Customer category],  "Key Account",Weekly_Vol[Map_Product.TME_SKU],master_Daily!D43))/50000,0)
+ IFERROR(SUMIFS(TME_MTD_Dist[Sell_WHS_QTY],TME_MTD_Dist[SKU],master_Daily!$D43)/50000,0)
 + IFERROR(SUMIFS(TME_MTD_Dist[Sell_RTL_QTY],TME_MTD_Dist[SKU],master_Daily!$D43)/50000,0)</f>
        <v>0</v>
      </c>
      <c r="X43" s="314"/>
      <c r="Y43" s="183"/>
      <c r="Z43" s="183"/>
      <c r="AA43" s="183"/>
      <c r="AB43" s="183"/>
      <c r="AC43" s="183"/>
      <c r="AD43" s="183"/>
      <c r="AE43" s="183"/>
      <c r="AF43" s="183"/>
      <c r="AG43" s="183"/>
      <c r="AH43" s="183"/>
      <c r="AI43" s="183"/>
      <c r="AJ43" s="183"/>
      <c r="AK43" s="183"/>
      <c r="AL43" s="183"/>
      <c r="AM43" s="183"/>
      <c r="AN43" s="183"/>
      <c r="AO43" s="183"/>
      <c r="AP43" s="183"/>
      <c r="AQ43" s="183"/>
      <c r="AR43" s="183"/>
      <c r="AS43" s="183"/>
      <c r="AT43" s="183"/>
      <c r="AU43" s="183"/>
      <c r="AV43" s="183"/>
      <c r="AW43" s="183"/>
      <c r="AX43" s="183"/>
      <c r="AY43" s="183"/>
      <c r="AZ43" s="183"/>
      <c r="BA43" s="183"/>
      <c r="BB43" s="183"/>
      <c r="BC43" s="183"/>
      <c r="BD43" s="183"/>
      <c r="BE43" s="183"/>
      <c r="BF43" s="183"/>
      <c r="BG43" s="183"/>
      <c r="BH43" s="183"/>
      <c r="BI43" s="183"/>
      <c r="BJ43" s="183"/>
      <c r="BK43" s="183"/>
      <c r="BL43" s="183"/>
      <c r="BM43" s="183"/>
      <c r="BN43" s="183"/>
      <c r="BO43" s="183"/>
      <c r="BP43" s="183"/>
      <c r="BQ43" s="183"/>
      <c r="BR43" s="183"/>
      <c r="BS43" s="183"/>
      <c r="BT43" s="183"/>
      <c r="BU43" s="183"/>
      <c r="BV43" s="183"/>
      <c r="BW43" s="183"/>
      <c r="BX43" s="183"/>
      <c r="BY43" s="183"/>
      <c r="BZ43" s="183"/>
      <c r="CA43" s="183"/>
      <c r="CB43" s="183"/>
      <c r="CC43" s="183"/>
      <c r="CD43" s="183"/>
      <c r="CE43" s="183"/>
      <c r="CF43" s="183"/>
      <c r="CG43" s="183"/>
      <c r="CH43" s="183"/>
      <c r="CI43" s="183"/>
      <c r="CJ43" s="183"/>
      <c r="CK43" s="183"/>
      <c r="CL43" s="183"/>
      <c r="CM43" s="183"/>
      <c r="CN43" s="183"/>
      <c r="CO43" s="183"/>
      <c r="CP43" s="183"/>
      <c r="CQ43" s="183"/>
      <c r="CR43" s="183"/>
      <c r="CS43" s="183"/>
      <c r="CT43" s="183"/>
      <c r="CU43" s="183"/>
      <c r="CV43" s="183"/>
      <c r="CW43" s="183"/>
      <c r="CX43" s="183"/>
      <c r="CY43" s="183"/>
      <c r="CZ43" s="183"/>
      <c r="DA43" s="183"/>
      <c r="DB43" s="183"/>
      <c r="DC43" s="183"/>
      <c r="DD43" s="183"/>
      <c r="DE43" s="183"/>
      <c r="DF43" s="183"/>
      <c r="DG43" s="183"/>
      <c r="DH43" s="183"/>
      <c r="DI43" s="183"/>
      <c r="DJ43" s="183"/>
      <c r="DK43" s="183"/>
      <c r="DL43" s="183"/>
      <c r="DM43" s="183"/>
      <c r="DN43" s="183"/>
      <c r="DO43" s="183"/>
      <c r="DP43" s="183"/>
      <c r="DQ43" s="183"/>
      <c r="DR43" s="183"/>
      <c r="DS43" s="183"/>
      <c r="DT43" s="183"/>
      <c r="DU43" s="183"/>
      <c r="DV43" s="183"/>
      <c r="DW43" s="183"/>
      <c r="DX43" s="183"/>
      <c r="DY43" s="183"/>
      <c r="DZ43" s="183"/>
      <c r="EA43" s="183"/>
      <c r="EB43" s="183"/>
      <c r="EC43" s="183"/>
      <c r="ED43" s="183"/>
      <c r="EE43" s="183"/>
      <c r="EF43" s="183"/>
      <c r="EG43" s="183"/>
      <c r="EH43" s="183"/>
      <c r="EI43" s="183"/>
      <c r="EJ43" s="183"/>
      <c r="EK43" s="183"/>
      <c r="EL43" s="183"/>
      <c r="EM43" s="183"/>
      <c r="EN43" s="183"/>
      <c r="EO43" s="183"/>
      <c r="EP43" s="183"/>
      <c r="EQ43" s="183"/>
      <c r="ER43" s="183"/>
      <c r="ES43" s="183"/>
      <c r="ET43" s="183"/>
      <c r="EU43" s="183"/>
      <c r="EV43" s="183"/>
      <c r="EW43" s="183"/>
      <c r="EX43" s="183"/>
      <c r="EY43" s="183"/>
      <c r="EZ43" s="183"/>
      <c r="FA43" s="183"/>
      <c r="FB43" s="183"/>
      <c r="FC43" s="183"/>
      <c r="FD43" s="183"/>
      <c r="FE43" s="183"/>
      <c r="FF43" s="183"/>
      <c r="FG43" s="183"/>
      <c r="FH43" s="183"/>
      <c r="FI43" s="183"/>
    </row>
    <row r="44" spans="2:165" ht="0.2" hidden="1" customHeight="1" outlineLevel="1">
      <c r="B44" s="81"/>
      <c r="C44" s="81"/>
      <c r="D44" s="301"/>
      <c r="E44" s="70">
        <v>0</v>
      </c>
      <c r="F44" s="70">
        <v>0</v>
      </c>
      <c r="G44" s="70">
        <v>0</v>
      </c>
      <c r="H44" s="70">
        <v>0</v>
      </c>
      <c r="I44" s="70">
        <v>0</v>
      </c>
      <c r="J44" s="70">
        <v>0</v>
      </c>
      <c r="K44" s="70"/>
      <c r="L44" s="70"/>
      <c r="M44" s="70"/>
      <c r="N44" s="70"/>
      <c r="O44" s="70"/>
      <c r="P44" s="70"/>
      <c r="Q44" s="70"/>
      <c r="R44" s="70">
        <f>IFERROR(SUMIFS(Daily_Vol_yesterday[Order Quantity],Daily_Vol_yesterday[Cust_Cat.cust_channel],  "&lt;&gt;DSO",Daily_Vol_yesterday[Map_Product.TME_SKU],"CM_")/50000,0)</f>
        <v>0</v>
      </c>
      <c r="S44" s="70">
        <f>IFERROR(SUM(SUMIFS(Weekly_Vol[Quantity],Weekly_Vol[Cust_Cat.cust_channel],  "&lt;&gt;DSO",Weekly_Vol[Map_Product.TME_SKU],"CM_"))/50000,0)</f>
        <v>0</v>
      </c>
      <c r="T44" s="82">
        <f t="shared" si="7"/>
        <v>0</v>
      </c>
      <c r="U44" s="83">
        <f t="shared" si="8"/>
        <v>0</v>
      </c>
      <c r="V44" s="84"/>
      <c r="W44" s="313">
        <f>IFERROR(SUM(SUMIFS(Weekly_Vol[Quantity],Weekly_Vol[Cust_Cat.Customer category],  "Key Account",Weekly_Vol[Map_Product.TME_SKU],master_Daily!D44))/50000,0)
+ IFERROR(SUMIFS(TME_MTD_Dist[Sell_WHS_QTY],TME_MTD_Dist[SKU],master_Daily!$D44)/50000,0)
 + IFERROR(SUMIFS(TME_MTD_Dist[Sell_RTL_QTY],TME_MTD_Dist[SKU],master_Daily!$D44)/50000,0)</f>
        <v>0</v>
      </c>
      <c r="X44" s="314"/>
      <c r="Y44" s="183"/>
      <c r="Z44" s="183"/>
      <c r="AA44" s="183"/>
      <c r="AB44" s="183"/>
      <c r="AC44" s="183"/>
      <c r="AD44" s="183"/>
      <c r="AE44" s="183"/>
      <c r="AF44" s="183"/>
      <c r="AG44" s="183"/>
      <c r="AH44" s="183"/>
      <c r="AI44" s="183"/>
      <c r="AJ44" s="183"/>
      <c r="AK44" s="183"/>
      <c r="AL44" s="183"/>
      <c r="AM44" s="183"/>
      <c r="AN44" s="183"/>
      <c r="AO44" s="183"/>
      <c r="AP44" s="183"/>
      <c r="AQ44" s="183"/>
      <c r="AR44" s="183"/>
      <c r="AS44" s="183"/>
      <c r="AT44" s="183"/>
      <c r="AU44" s="183"/>
      <c r="AV44" s="183"/>
      <c r="AW44" s="183"/>
      <c r="AX44" s="183"/>
      <c r="AY44" s="183"/>
      <c r="AZ44" s="183"/>
      <c r="BA44" s="183"/>
      <c r="BB44" s="183"/>
      <c r="BC44" s="183"/>
      <c r="BD44" s="183"/>
      <c r="BE44" s="183"/>
      <c r="BF44" s="183"/>
      <c r="BG44" s="183"/>
      <c r="BH44" s="183"/>
      <c r="BI44" s="183"/>
      <c r="BJ44" s="183"/>
      <c r="BK44" s="183"/>
      <c r="BL44" s="183"/>
      <c r="BM44" s="183"/>
      <c r="BN44" s="183"/>
      <c r="BO44" s="183"/>
      <c r="BP44" s="183"/>
      <c r="BQ44" s="183"/>
      <c r="BR44" s="183"/>
      <c r="BS44" s="183"/>
      <c r="BT44" s="183"/>
      <c r="BU44" s="183"/>
      <c r="BV44" s="183"/>
      <c r="BW44" s="183"/>
      <c r="BX44" s="183"/>
      <c r="BY44" s="183"/>
      <c r="BZ44" s="183"/>
      <c r="CA44" s="183"/>
      <c r="CB44" s="183"/>
      <c r="CC44" s="183"/>
      <c r="CD44" s="183"/>
      <c r="CE44" s="183"/>
      <c r="CF44" s="183"/>
      <c r="CG44" s="183"/>
      <c r="CH44" s="183"/>
      <c r="CI44" s="183"/>
      <c r="CJ44" s="183"/>
      <c r="CK44" s="183"/>
      <c r="CL44" s="183"/>
      <c r="CM44" s="183"/>
      <c r="CN44" s="183"/>
      <c r="CO44" s="183"/>
      <c r="CP44" s="183"/>
      <c r="CQ44" s="183"/>
      <c r="CR44" s="183"/>
      <c r="CS44" s="183"/>
      <c r="CT44" s="183"/>
      <c r="CU44" s="183"/>
      <c r="CV44" s="183"/>
      <c r="CW44" s="183"/>
      <c r="CX44" s="183"/>
      <c r="CY44" s="183"/>
      <c r="CZ44" s="183"/>
      <c r="DA44" s="183"/>
      <c r="DB44" s="183"/>
      <c r="DC44" s="183"/>
      <c r="DD44" s="183"/>
      <c r="DE44" s="183"/>
      <c r="DF44" s="183"/>
      <c r="DG44" s="183"/>
      <c r="DH44" s="183"/>
      <c r="DI44" s="183"/>
      <c r="DJ44" s="183"/>
      <c r="DK44" s="183"/>
      <c r="DL44" s="183"/>
      <c r="DM44" s="183"/>
      <c r="DN44" s="183"/>
      <c r="DO44" s="183"/>
      <c r="DP44" s="183"/>
      <c r="DQ44" s="183"/>
      <c r="DR44" s="183"/>
      <c r="DS44" s="183"/>
      <c r="DT44" s="183"/>
      <c r="DU44" s="183"/>
      <c r="DV44" s="183"/>
      <c r="DW44" s="183"/>
      <c r="DX44" s="183"/>
      <c r="DY44" s="183"/>
      <c r="DZ44" s="183"/>
      <c r="EA44" s="183"/>
      <c r="EB44" s="183"/>
      <c r="EC44" s="183"/>
      <c r="ED44" s="183"/>
      <c r="EE44" s="183"/>
      <c r="EF44" s="183"/>
      <c r="EG44" s="183"/>
      <c r="EH44" s="183"/>
      <c r="EI44" s="183"/>
      <c r="EJ44" s="183"/>
      <c r="EK44" s="183"/>
      <c r="EL44" s="183"/>
      <c r="EM44" s="183"/>
      <c r="EN44" s="183"/>
      <c r="EO44" s="183"/>
      <c r="EP44" s="183"/>
      <c r="EQ44" s="183"/>
      <c r="ER44" s="183"/>
      <c r="ES44" s="183"/>
      <c r="ET44" s="183"/>
      <c r="EU44" s="183"/>
      <c r="EV44" s="183"/>
      <c r="EW44" s="183"/>
      <c r="EX44" s="183"/>
      <c r="EY44" s="183"/>
      <c r="EZ44" s="183"/>
      <c r="FA44" s="183"/>
      <c r="FB44" s="183"/>
      <c r="FC44" s="183"/>
      <c r="FD44" s="183"/>
      <c r="FE44" s="183"/>
      <c r="FF44" s="183"/>
      <c r="FG44" s="183"/>
      <c r="FH44" s="183"/>
      <c r="FI44" s="183"/>
    </row>
    <row r="45" spans="2:165" ht="0.2" hidden="1" customHeight="1" outlineLevel="1">
      <c r="B45" s="81"/>
      <c r="C45" s="81"/>
      <c r="D45" s="301"/>
      <c r="E45" s="70">
        <v>0</v>
      </c>
      <c r="F45" s="70">
        <v>0</v>
      </c>
      <c r="G45" s="70">
        <v>0</v>
      </c>
      <c r="H45" s="70">
        <v>0</v>
      </c>
      <c r="I45" s="70">
        <v>0</v>
      </c>
      <c r="J45" s="70">
        <v>0</v>
      </c>
      <c r="K45" s="70"/>
      <c r="L45" s="70"/>
      <c r="M45" s="70"/>
      <c r="N45" s="70"/>
      <c r="O45" s="70"/>
      <c r="P45" s="70"/>
      <c r="Q45" s="70"/>
      <c r="R45" s="70">
        <f>IFERROR(SUMIFS(Daily_Vol_yesterday[Order Quantity],Daily_Vol_yesterday[Cust_Cat.cust_channel],  "&lt;&gt;DSO",Daily_Vol_yesterday[Map_Product.TME_SKU],"CM_")/50000,0)</f>
        <v>0</v>
      </c>
      <c r="S45" s="70">
        <f>IFERROR(SUM(SUMIFS(Weekly_Vol[Quantity],Weekly_Vol[Cust_Cat.cust_channel],  "&lt;&gt;DSO",Weekly_Vol[Map_Product.TME_SKU],"CM_"))/50000,0)</f>
        <v>0</v>
      </c>
      <c r="T45" s="82">
        <f t="shared" si="7"/>
        <v>0</v>
      </c>
      <c r="U45" s="83">
        <f t="shared" si="8"/>
        <v>0</v>
      </c>
      <c r="V45" s="84"/>
      <c r="W45" s="313">
        <f>IFERROR(SUM(SUMIFS(Weekly_Vol[Quantity],Weekly_Vol[Cust_Cat.Customer category],  "Key Account",Weekly_Vol[Map_Product.TME_SKU],master_Daily!D45))/50000,0)
+ IFERROR(SUMIFS(TME_MTD_Dist[Sell_WHS_QTY],TME_MTD_Dist[SKU],master_Daily!$D45)/50000,0)
 + IFERROR(SUMIFS(TME_MTD_Dist[Sell_RTL_QTY],TME_MTD_Dist[SKU],master_Daily!$D45)/50000,0)</f>
        <v>0</v>
      </c>
      <c r="X45" s="314"/>
      <c r="Y45" s="183"/>
      <c r="Z45" s="183"/>
      <c r="AA45" s="183"/>
      <c r="AB45" s="183"/>
      <c r="AC45" s="183"/>
      <c r="AD45" s="183"/>
      <c r="AE45" s="183"/>
      <c r="AF45" s="183"/>
      <c r="AG45" s="183"/>
      <c r="AH45" s="183"/>
      <c r="AI45" s="183"/>
      <c r="AJ45" s="183"/>
      <c r="AK45" s="183"/>
      <c r="AL45" s="183"/>
      <c r="AM45" s="183"/>
      <c r="AN45" s="183"/>
      <c r="AO45" s="183"/>
      <c r="AP45" s="183"/>
      <c r="AQ45" s="183"/>
      <c r="AR45" s="183"/>
      <c r="AS45" s="183"/>
      <c r="AT45" s="183"/>
      <c r="AU45" s="183"/>
      <c r="AV45" s="183"/>
      <c r="AW45" s="183"/>
      <c r="AX45" s="183"/>
      <c r="AY45" s="183"/>
      <c r="AZ45" s="183"/>
      <c r="BA45" s="183"/>
      <c r="BB45" s="183"/>
      <c r="BC45" s="183"/>
      <c r="BD45" s="183"/>
      <c r="BE45" s="183"/>
      <c r="BF45" s="183"/>
      <c r="BG45" s="183"/>
      <c r="BH45" s="183"/>
      <c r="BI45" s="183"/>
      <c r="BJ45" s="183"/>
      <c r="BK45" s="183"/>
      <c r="BL45" s="183"/>
      <c r="BM45" s="183"/>
      <c r="BN45" s="183"/>
      <c r="BO45" s="183"/>
      <c r="BP45" s="183"/>
      <c r="BQ45" s="183"/>
      <c r="BR45" s="183"/>
      <c r="BS45" s="183"/>
      <c r="BT45" s="183"/>
      <c r="BU45" s="183"/>
      <c r="BV45" s="183"/>
      <c r="BW45" s="183"/>
      <c r="BX45" s="183"/>
      <c r="BY45" s="183"/>
      <c r="BZ45" s="183"/>
      <c r="CA45" s="183"/>
      <c r="CB45" s="183"/>
      <c r="CC45" s="183"/>
      <c r="CD45" s="183"/>
      <c r="CE45" s="183"/>
      <c r="CF45" s="183"/>
      <c r="CG45" s="183"/>
      <c r="CH45" s="183"/>
      <c r="CI45" s="183"/>
      <c r="CJ45" s="183"/>
      <c r="CK45" s="183"/>
      <c r="CL45" s="183"/>
      <c r="CM45" s="183"/>
      <c r="CN45" s="183"/>
      <c r="CO45" s="183"/>
      <c r="CP45" s="183"/>
      <c r="CQ45" s="183"/>
      <c r="CR45" s="183"/>
      <c r="CS45" s="183"/>
      <c r="CT45" s="183"/>
      <c r="CU45" s="183"/>
      <c r="CV45" s="183"/>
      <c r="CW45" s="183"/>
      <c r="CX45" s="183"/>
      <c r="CY45" s="183"/>
      <c r="CZ45" s="183"/>
      <c r="DA45" s="183"/>
      <c r="DB45" s="183"/>
      <c r="DC45" s="183"/>
      <c r="DD45" s="183"/>
      <c r="DE45" s="183"/>
      <c r="DF45" s="183"/>
      <c r="DG45" s="183"/>
      <c r="DH45" s="183"/>
      <c r="DI45" s="183"/>
      <c r="DJ45" s="183"/>
      <c r="DK45" s="183"/>
      <c r="DL45" s="183"/>
      <c r="DM45" s="183"/>
      <c r="DN45" s="183"/>
      <c r="DO45" s="183"/>
      <c r="DP45" s="183"/>
      <c r="DQ45" s="183"/>
      <c r="DR45" s="183"/>
      <c r="DS45" s="183"/>
      <c r="DT45" s="183"/>
      <c r="DU45" s="183"/>
      <c r="DV45" s="183"/>
      <c r="DW45" s="183"/>
      <c r="DX45" s="183"/>
      <c r="DY45" s="183"/>
      <c r="DZ45" s="183"/>
      <c r="EA45" s="183"/>
      <c r="EB45" s="183"/>
      <c r="EC45" s="183"/>
      <c r="ED45" s="183"/>
      <c r="EE45" s="183"/>
      <c r="EF45" s="183"/>
      <c r="EG45" s="183"/>
      <c r="EH45" s="183"/>
      <c r="EI45" s="183"/>
      <c r="EJ45" s="183"/>
      <c r="EK45" s="183"/>
      <c r="EL45" s="183"/>
      <c r="EM45" s="183"/>
      <c r="EN45" s="183"/>
      <c r="EO45" s="183"/>
      <c r="EP45" s="183"/>
      <c r="EQ45" s="183"/>
      <c r="ER45" s="183"/>
      <c r="ES45" s="183"/>
      <c r="ET45" s="183"/>
      <c r="EU45" s="183"/>
      <c r="EV45" s="183"/>
      <c r="EW45" s="183"/>
      <c r="EX45" s="183"/>
      <c r="EY45" s="183"/>
      <c r="EZ45" s="183"/>
      <c r="FA45" s="183"/>
      <c r="FB45" s="183"/>
      <c r="FC45" s="183"/>
      <c r="FD45" s="183"/>
      <c r="FE45" s="183"/>
      <c r="FF45" s="183"/>
      <c r="FG45" s="183"/>
      <c r="FH45" s="183"/>
      <c r="FI45" s="183"/>
    </row>
    <row r="46" spans="2:165" ht="0.2" hidden="1" customHeight="1" outlineLevel="1">
      <c r="B46" s="81"/>
      <c r="C46" s="81"/>
      <c r="D46" s="301"/>
      <c r="E46" s="70">
        <v>0</v>
      </c>
      <c r="F46" s="70">
        <v>0</v>
      </c>
      <c r="G46" s="70">
        <v>0</v>
      </c>
      <c r="H46" s="70">
        <v>0</v>
      </c>
      <c r="I46" s="70">
        <v>0</v>
      </c>
      <c r="J46" s="70">
        <v>0</v>
      </c>
      <c r="K46" s="70"/>
      <c r="L46" s="70"/>
      <c r="M46" s="70"/>
      <c r="N46" s="70"/>
      <c r="O46" s="70"/>
      <c r="P46" s="70"/>
      <c r="Q46" s="70"/>
      <c r="R46" s="70">
        <f>IFERROR(SUMIFS(Daily_Vol_yesterday[Order Quantity],Daily_Vol_yesterday[Cust_Cat.cust_channel],  "&lt;&gt;DSO",Daily_Vol_yesterday[Map_Product.TME_SKU],"CM_")/50000,0)</f>
        <v>0</v>
      </c>
      <c r="S46" s="70">
        <f>IFERROR(SUM(SUMIFS(Weekly_Vol[Quantity],Weekly_Vol[Cust_Cat.cust_channel],  "&lt;&gt;DSO",Weekly_Vol[Map_Product.TME_SKU],"CM_"))/50000,0)</f>
        <v>0</v>
      </c>
      <c r="T46" s="82">
        <f t="shared" si="7"/>
        <v>0</v>
      </c>
      <c r="U46" s="83">
        <f t="shared" si="8"/>
        <v>0</v>
      </c>
      <c r="V46" s="84"/>
      <c r="W46" s="313">
        <f>IFERROR(SUM(SUMIFS(Weekly_Vol[Quantity],Weekly_Vol[Cust_Cat.Customer category],  "Key Account",Weekly_Vol[Map_Product.TME_SKU],master_Daily!D46))/50000,0)
+ IFERROR(SUMIFS(TME_MTD_Dist[Sell_WHS_QTY],TME_MTD_Dist[SKU],master_Daily!$D46)/50000,0)
 + IFERROR(SUMIFS(TME_MTD_Dist[Sell_RTL_QTY],TME_MTD_Dist[SKU],master_Daily!$D46)/50000,0)</f>
        <v>0</v>
      </c>
      <c r="X46" s="314"/>
      <c r="Y46" s="183"/>
      <c r="Z46" s="183"/>
      <c r="AA46" s="183"/>
      <c r="AB46" s="183"/>
      <c r="AC46" s="183"/>
      <c r="AD46" s="183"/>
      <c r="AE46" s="183"/>
      <c r="AF46" s="183"/>
      <c r="AG46" s="183"/>
      <c r="AH46" s="183"/>
      <c r="AI46" s="183"/>
      <c r="AJ46" s="183"/>
      <c r="AK46" s="183"/>
      <c r="AL46" s="183"/>
      <c r="AM46" s="183"/>
      <c r="AN46" s="183"/>
      <c r="AO46" s="183"/>
      <c r="AP46" s="183"/>
      <c r="AQ46" s="183"/>
      <c r="AR46" s="183"/>
      <c r="AS46" s="183"/>
      <c r="AT46" s="183"/>
      <c r="AU46" s="183"/>
      <c r="AV46" s="183"/>
      <c r="AW46" s="183"/>
      <c r="AX46" s="183"/>
      <c r="AY46" s="183"/>
      <c r="AZ46" s="183"/>
      <c r="BA46" s="183"/>
      <c r="BB46" s="183"/>
      <c r="BC46" s="183"/>
      <c r="BD46" s="183"/>
      <c r="BE46" s="183"/>
      <c r="BF46" s="183"/>
      <c r="BG46" s="183"/>
      <c r="BH46" s="183"/>
      <c r="BI46" s="183"/>
      <c r="BJ46" s="183"/>
      <c r="BK46" s="183"/>
      <c r="BL46" s="183"/>
      <c r="BM46" s="183"/>
      <c r="BN46" s="183"/>
      <c r="BO46" s="183"/>
      <c r="BP46" s="183"/>
      <c r="BQ46" s="183"/>
      <c r="BR46" s="183"/>
      <c r="BS46" s="183"/>
      <c r="BT46" s="183"/>
      <c r="BU46" s="183"/>
      <c r="BV46" s="183"/>
      <c r="BW46" s="183"/>
      <c r="BX46" s="183"/>
      <c r="BY46" s="183"/>
      <c r="BZ46" s="183"/>
      <c r="CA46" s="183"/>
      <c r="CB46" s="183"/>
      <c r="CC46" s="183"/>
      <c r="CD46" s="183"/>
      <c r="CE46" s="183"/>
      <c r="CF46" s="183"/>
      <c r="CG46" s="183"/>
      <c r="CH46" s="183"/>
      <c r="CI46" s="183"/>
      <c r="CJ46" s="183"/>
      <c r="CK46" s="183"/>
      <c r="CL46" s="183"/>
      <c r="CM46" s="183"/>
      <c r="CN46" s="183"/>
      <c r="CO46" s="183"/>
      <c r="CP46" s="183"/>
      <c r="CQ46" s="183"/>
      <c r="CR46" s="183"/>
      <c r="CS46" s="183"/>
      <c r="CT46" s="183"/>
      <c r="CU46" s="183"/>
      <c r="CV46" s="183"/>
      <c r="CW46" s="183"/>
      <c r="CX46" s="183"/>
      <c r="CY46" s="183"/>
      <c r="CZ46" s="183"/>
      <c r="DA46" s="183"/>
      <c r="DB46" s="183"/>
      <c r="DC46" s="183"/>
      <c r="DD46" s="183"/>
      <c r="DE46" s="183"/>
      <c r="DF46" s="183"/>
      <c r="DG46" s="183"/>
      <c r="DH46" s="183"/>
      <c r="DI46" s="183"/>
      <c r="DJ46" s="183"/>
      <c r="DK46" s="183"/>
      <c r="DL46" s="183"/>
      <c r="DM46" s="183"/>
      <c r="DN46" s="183"/>
      <c r="DO46" s="183"/>
      <c r="DP46" s="183"/>
      <c r="DQ46" s="183"/>
      <c r="DR46" s="183"/>
      <c r="DS46" s="183"/>
      <c r="DT46" s="183"/>
      <c r="DU46" s="183"/>
      <c r="DV46" s="183"/>
      <c r="DW46" s="183"/>
      <c r="DX46" s="183"/>
      <c r="DY46" s="183"/>
      <c r="DZ46" s="183"/>
      <c r="EA46" s="183"/>
      <c r="EB46" s="183"/>
      <c r="EC46" s="183"/>
      <c r="ED46" s="183"/>
      <c r="EE46" s="183"/>
      <c r="EF46" s="183"/>
      <c r="EG46" s="183"/>
      <c r="EH46" s="183"/>
      <c r="EI46" s="183"/>
      <c r="EJ46" s="183"/>
      <c r="EK46" s="183"/>
      <c r="EL46" s="183"/>
      <c r="EM46" s="183"/>
      <c r="EN46" s="183"/>
      <c r="EO46" s="183"/>
      <c r="EP46" s="183"/>
      <c r="EQ46" s="183"/>
      <c r="ER46" s="183"/>
      <c r="ES46" s="183"/>
      <c r="ET46" s="183"/>
      <c r="EU46" s="183"/>
      <c r="EV46" s="183"/>
      <c r="EW46" s="183"/>
      <c r="EX46" s="183"/>
      <c r="EY46" s="183"/>
      <c r="EZ46" s="183"/>
      <c r="FA46" s="183"/>
      <c r="FB46" s="183"/>
      <c r="FC46" s="183"/>
      <c r="FD46" s="183"/>
      <c r="FE46" s="183"/>
      <c r="FF46" s="183"/>
      <c r="FG46" s="183"/>
      <c r="FH46" s="183"/>
      <c r="FI46" s="183"/>
    </row>
    <row r="47" spans="2:165" ht="0.2" hidden="1" customHeight="1" outlineLevel="1">
      <c r="B47" s="81"/>
      <c r="C47" s="81"/>
      <c r="D47" s="301"/>
      <c r="E47" s="70">
        <v>0</v>
      </c>
      <c r="F47" s="70">
        <v>0</v>
      </c>
      <c r="G47" s="70">
        <v>0</v>
      </c>
      <c r="H47" s="70">
        <v>0</v>
      </c>
      <c r="I47" s="70">
        <v>0</v>
      </c>
      <c r="J47" s="70">
        <v>0</v>
      </c>
      <c r="K47" s="70"/>
      <c r="L47" s="70"/>
      <c r="M47" s="70"/>
      <c r="N47" s="70"/>
      <c r="O47" s="70"/>
      <c r="P47" s="70"/>
      <c r="Q47" s="70"/>
      <c r="R47" s="70">
        <f>IFERROR(SUMIFS(Daily_Vol_yesterday[Order Quantity],Daily_Vol_yesterday[Cust_Cat.cust_channel],  "&lt;&gt;DSO",Daily_Vol_yesterday[Map_Product.TME_SKU],"CM_")/50000,0)</f>
        <v>0</v>
      </c>
      <c r="S47" s="70">
        <f>IFERROR(SUM(SUMIFS(Weekly_Vol[Quantity],Weekly_Vol[Cust_Cat.cust_channel],  "&lt;&gt;DSO",Weekly_Vol[Map_Product.TME_SKU],"CM_"))/50000,0)</f>
        <v>0</v>
      </c>
      <c r="T47" s="82">
        <f t="shared" si="7"/>
        <v>0</v>
      </c>
      <c r="U47" s="83">
        <f t="shared" si="8"/>
        <v>0</v>
      </c>
      <c r="V47" s="84"/>
      <c r="W47" s="313">
        <f>IFERROR(SUM(SUMIFS(Weekly_Vol[Quantity],Weekly_Vol[Cust_Cat.Customer category],  "Key Account",Weekly_Vol[Map_Product.TME_SKU],master_Daily!D47))/50000,0)
+ IFERROR(SUMIFS(TME_MTD_Dist[Sell_WHS_QTY],TME_MTD_Dist[SKU],master_Daily!$D47)/50000,0)
 + IFERROR(SUMIFS(TME_MTD_Dist[Sell_RTL_QTY],TME_MTD_Dist[SKU],master_Daily!$D47)/50000,0)</f>
        <v>0</v>
      </c>
      <c r="X47" s="314"/>
      <c r="Y47" s="183"/>
      <c r="Z47" s="183"/>
      <c r="AA47" s="183"/>
      <c r="AB47" s="183"/>
      <c r="AC47" s="183"/>
      <c r="AD47" s="183"/>
      <c r="AE47" s="183"/>
      <c r="AF47" s="183"/>
      <c r="AG47" s="183"/>
      <c r="AH47" s="183"/>
      <c r="AI47" s="183"/>
      <c r="AJ47" s="183"/>
      <c r="AK47" s="183"/>
      <c r="AL47" s="183"/>
      <c r="AM47" s="183"/>
      <c r="AN47" s="183"/>
      <c r="AO47" s="183"/>
      <c r="AP47" s="183"/>
      <c r="AQ47" s="183"/>
      <c r="AR47" s="183"/>
      <c r="AS47" s="183"/>
      <c r="AT47" s="183"/>
      <c r="AU47" s="183"/>
      <c r="AV47" s="183"/>
      <c r="AW47" s="183"/>
      <c r="AX47" s="183"/>
      <c r="AY47" s="183"/>
      <c r="AZ47" s="183"/>
      <c r="BA47" s="183"/>
      <c r="BB47" s="183"/>
      <c r="BC47" s="183"/>
      <c r="BD47" s="183"/>
      <c r="BE47" s="183"/>
      <c r="BF47" s="183"/>
      <c r="BG47" s="183"/>
      <c r="BH47" s="183"/>
      <c r="BI47" s="183"/>
      <c r="BJ47" s="183"/>
      <c r="BK47" s="183"/>
      <c r="BL47" s="183"/>
      <c r="BM47" s="183"/>
      <c r="BN47" s="183"/>
      <c r="BO47" s="183"/>
      <c r="BP47" s="183"/>
      <c r="BQ47" s="183"/>
      <c r="BR47" s="183"/>
      <c r="BS47" s="183"/>
      <c r="BT47" s="183"/>
      <c r="BU47" s="183"/>
      <c r="BV47" s="183"/>
      <c r="BW47" s="183"/>
      <c r="BX47" s="183"/>
      <c r="BY47" s="183"/>
      <c r="BZ47" s="183"/>
      <c r="CA47" s="183"/>
      <c r="CB47" s="183"/>
      <c r="CC47" s="183"/>
      <c r="CD47" s="183"/>
      <c r="CE47" s="183"/>
      <c r="CF47" s="183"/>
      <c r="CG47" s="183"/>
      <c r="CH47" s="183"/>
      <c r="CI47" s="183"/>
      <c r="CJ47" s="183"/>
      <c r="CK47" s="183"/>
      <c r="CL47" s="183"/>
      <c r="CM47" s="183"/>
      <c r="CN47" s="183"/>
      <c r="CO47" s="183"/>
      <c r="CP47" s="183"/>
      <c r="CQ47" s="183"/>
      <c r="CR47" s="183"/>
      <c r="CS47" s="183"/>
      <c r="CT47" s="183"/>
      <c r="CU47" s="183"/>
      <c r="CV47" s="183"/>
      <c r="CW47" s="183"/>
      <c r="CX47" s="183"/>
      <c r="CY47" s="183"/>
      <c r="CZ47" s="183"/>
      <c r="DA47" s="183"/>
      <c r="DB47" s="183"/>
      <c r="DC47" s="183"/>
      <c r="DD47" s="183"/>
      <c r="DE47" s="183"/>
      <c r="DF47" s="183"/>
      <c r="DG47" s="183"/>
      <c r="DH47" s="183"/>
      <c r="DI47" s="183"/>
      <c r="DJ47" s="183"/>
      <c r="DK47" s="183"/>
      <c r="DL47" s="183"/>
      <c r="DM47" s="183"/>
      <c r="DN47" s="183"/>
      <c r="DO47" s="183"/>
      <c r="DP47" s="183"/>
      <c r="DQ47" s="183"/>
      <c r="DR47" s="183"/>
      <c r="DS47" s="183"/>
      <c r="DT47" s="183"/>
      <c r="DU47" s="183"/>
      <c r="DV47" s="183"/>
      <c r="DW47" s="183"/>
      <c r="DX47" s="183"/>
      <c r="DY47" s="183"/>
      <c r="DZ47" s="183"/>
      <c r="EA47" s="183"/>
      <c r="EB47" s="183"/>
      <c r="EC47" s="183"/>
      <c r="ED47" s="183"/>
      <c r="EE47" s="183"/>
      <c r="EF47" s="183"/>
      <c r="EG47" s="183"/>
      <c r="EH47" s="183"/>
      <c r="EI47" s="183"/>
      <c r="EJ47" s="183"/>
      <c r="EK47" s="183"/>
      <c r="EL47" s="183"/>
      <c r="EM47" s="183"/>
      <c r="EN47" s="183"/>
      <c r="EO47" s="183"/>
      <c r="EP47" s="183"/>
      <c r="EQ47" s="183"/>
      <c r="ER47" s="183"/>
      <c r="ES47" s="183"/>
      <c r="ET47" s="183"/>
      <c r="EU47" s="183"/>
      <c r="EV47" s="183"/>
      <c r="EW47" s="183"/>
      <c r="EX47" s="183"/>
      <c r="EY47" s="183"/>
      <c r="EZ47" s="183"/>
      <c r="FA47" s="183"/>
      <c r="FB47" s="183"/>
      <c r="FC47" s="183"/>
      <c r="FD47" s="183"/>
      <c r="FE47" s="183"/>
      <c r="FF47" s="183"/>
      <c r="FG47" s="183"/>
      <c r="FH47" s="183"/>
      <c r="FI47" s="183"/>
    </row>
    <row r="48" spans="2:165" ht="0.2" hidden="1" customHeight="1" outlineLevel="1">
      <c r="B48" s="81"/>
      <c r="C48" s="81"/>
      <c r="D48" s="301"/>
      <c r="E48" s="70">
        <v>0</v>
      </c>
      <c r="F48" s="70">
        <v>0</v>
      </c>
      <c r="G48" s="70">
        <v>0</v>
      </c>
      <c r="H48" s="70">
        <v>0</v>
      </c>
      <c r="I48" s="70">
        <v>0</v>
      </c>
      <c r="J48" s="70">
        <v>0</v>
      </c>
      <c r="K48" s="70"/>
      <c r="L48" s="70"/>
      <c r="M48" s="70"/>
      <c r="N48" s="70"/>
      <c r="O48" s="70"/>
      <c r="P48" s="70"/>
      <c r="Q48" s="70"/>
      <c r="R48" s="70">
        <f>IFERROR(SUMIFS(Daily_Vol_yesterday[Order Quantity],Daily_Vol_yesterday[Cust_Cat.cust_channel],  "&lt;&gt;DSO",Daily_Vol_yesterday[Map_Product.TME_SKU],"CM_")/50000,0)</f>
        <v>0</v>
      </c>
      <c r="S48" s="70">
        <f>IFERROR(SUM(SUMIFS(Weekly_Vol[Quantity],Weekly_Vol[Cust_Cat.cust_channel],  "&lt;&gt;DSO",Weekly_Vol[Map_Product.TME_SKU],"CM_"))/50000,0)</f>
        <v>0</v>
      </c>
      <c r="T48" s="82">
        <f t="shared" si="7"/>
        <v>0</v>
      </c>
      <c r="U48" s="83">
        <f t="shared" si="8"/>
        <v>0</v>
      </c>
      <c r="V48" s="84"/>
      <c r="W48" s="313">
        <f>IFERROR(SUM(SUMIFS(Weekly_Vol[Quantity],Weekly_Vol[Cust_Cat.Customer category],  "Key Account",Weekly_Vol[Map_Product.TME_SKU],master_Daily!D48))/50000,0)
+ IFERROR(SUMIFS(TME_MTD_Dist[Sell_WHS_QTY],TME_MTD_Dist[SKU],master_Daily!$D48)/50000,0)
 + IFERROR(SUMIFS(TME_MTD_Dist[Sell_RTL_QTY],TME_MTD_Dist[SKU],master_Daily!$D48)/50000,0)</f>
        <v>0</v>
      </c>
      <c r="X48" s="314"/>
      <c r="Y48" s="183"/>
      <c r="Z48" s="183"/>
      <c r="AA48" s="183"/>
      <c r="AB48" s="183"/>
      <c r="AC48" s="183"/>
      <c r="AD48" s="183"/>
      <c r="AE48" s="183"/>
      <c r="AF48" s="183"/>
      <c r="AG48" s="183"/>
      <c r="AH48" s="183"/>
      <c r="AI48" s="183"/>
      <c r="AJ48" s="183"/>
      <c r="AK48" s="183"/>
      <c r="AL48" s="183"/>
      <c r="AM48" s="183"/>
      <c r="AN48" s="183"/>
      <c r="AO48" s="183"/>
      <c r="AP48" s="183"/>
      <c r="AQ48" s="183"/>
      <c r="AR48" s="183"/>
      <c r="AS48" s="183"/>
      <c r="AT48" s="183"/>
      <c r="AU48" s="183"/>
      <c r="AV48" s="183"/>
      <c r="AW48" s="183"/>
      <c r="AX48" s="183"/>
      <c r="AY48" s="183"/>
      <c r="AZ48" s="183"/>
      <c r="BA48" s="183"/>
      <c r="BB48" s="183"/>
      <c r="BC48" s="183"/>
      <c r="BD48" s="183"/>
      <c r="BE48" s="183"/>
      <c r="BF48" s="183"/>
      <c r="BG48" s="183"/>
      <c r="BH48" s="183"/>
      <c r="BI48" s="183"/>
      <c r="BJ48" s="183"/>
      <c r="BK48" s="183"/>
      <c r="BL48" s="183"/>
      <c r="BM48" s="183"/>
      <c r="BN48" s="183"/>
      <c r="BO48" s="183"/>
      <c r="BP48" s="183"/>
      <c r="BQ48" s="183"/>
      <c r="BR48" s="183"/>
      <c r="BS48" s="183"/>
      <c r="BT48" s="183"/>
      <c r="BU48" s="183"/>
      <c r="BV48" s="183"/>
      <c r="BW48" s="183"/>
      <c r="BX48" s="183"/>
      <c r="BY48" s="183"/>
      <c r="BZ48" s="183"/>
      <c r="CA48" s="183"/>
      <c r="CB48" s="183"/>
      <c r="CC48" s="183"/>
      <c r="CD48" s="183"/>
      <c r="CE48" s="183"/>
      <c r="CF48" s="183"/>
      <c r="CG48" s="183"/>
      <c r="CH48" s="183"/>
      <c r="CI48" s="183"/>
      <c r="CJ48" s="183"/>
      <c r="CK48" s="183"/>
      <c r="CL48" s="183"/>
      <c r="CM48" s="183"/>
      <c r="CN48" s="183"/>
      <c r="CO48" s="183"/>
      <c r="CP48" s="183"/>
      <c r="CQ48" s="183"/>
      <c r="CR48" s="183"/>
      <c r="CS48" s="183"/>
      <c r="CT48" s="183"/>
      <c r="CU48" s="183"/>
      <c r="CV48" s="183"/>
      <c r="CW48" s="183"/>
      <c r="CX48" s="183"/>
      <c r="CY48" s="183"/>
      <c r="CZ48" s="183"/>
      <c r="DA48" s="183"/>
      <c r="DB48" s="183"/>
      <c r="DC48" s="183"/>
      <c r="DD48" s="183"/>
      <c r="DE48" s="183"/>
      <c r="DF48" s="183"/>
      <c r="DG48" s="183"/>
      <c r="DH48" s="183"/>
      <c r="DI48" s="183"/>
      <c r="DJ48" s="183"/>
      <c r="DK48" s="183"/>
      <c r="DL48" s="183"/>
      <c r="DM48" s="183"/>
      <c r="DN48" s="183"/>
      <c r="DO48" s="183"/>
      <c r="DP48" s="183"/>
      <c r="DQ48" s="183"/>
      <c r="DR48" s="183"/>
      <c r="DS48" s="183"/>
      <c r="DT48" s="183"/>
      <c r="DU48" s="183"/>
      <c r="DV48" s="183"/>
      <c r="DW48" s="183"/>
      <c r="DX48" s="183"/>
      <c r="DY48" s="183"/>
      <c r="DZ48" s="183"/>
      <c r="EA48" s="183"/>
      <c r="EB48" s="183"/>
      <c r="EC48" s="183"/>
      <c r="ED48" s="183"/>
      <c r="EE48" s="183"/>
      <c r="EF48" s="183"/>
      <c r="EG48" s="183"/>
      <c r="EH48" s="183"/>
      <c r="EI48" s="183"/>
      <c r="EJ48" s="183"/>
      <c r="EK48" s="183"/>
      <c r="EL48" s="183"/>
      <c r="EM48" s="183"/>
      <c r="EN48" s="183"/>
      <c r="EO48" s="183"/>
      <c r="EP48" s="183"/>
      <c r="EQ48" s="183"/>
      <c r="ER48" s="183"/>
      <c r="ES48" s="183"/>
      <c r="ET48" s="183"/>
      <c r="EU48" s="183"/>
      <c r="EV48" s="183"/>
      <c r="EW48" s="183"/>
      <c r="EX48" s="183"/>
      <c r="EY48" s="183"/>
      <c r="EZ48" s="183"/>
      <c r="FA48" s="183"/>
      <c r="FB48" s="183"/>
      <c r="FC48" s="183"/>
      <c r="FD48" s="183"/>
      <c r="FE48" s="183"/>
      <c r="FF48" s="183"/>
      <c r="FG48" s="183"/>
      <c r="FH48" s="183"/>
      <c r="FI48" s="183"/>
    </row>
    <row r="49" spans="2:165" ht="15" customHeight="1" collapsed="1">
      <c r="B49" s="24" t="s">
        <v>25</v>
      </c>
      <c r="C49" s="24" t="s">
        <v>263</v>
      </c>
      <c r="D49" s="398"/>
      <c r="E49" s="25">
        <v>76.583460000000002</v>
      </c>
      <c r="F49" s="25">
        <v>71.69632</v>
      </c>
      <c r="G49" s="25">
        <v>79.739260000000002</v>
      </c>
      <c r="H49" s="25">
        <v>74.498199999999997</v>
      </c>
      <c r="I49" s="25">
        <v>68.600420000000014</v>
      </c>
      <c r="J49" s="25">
        <v>33.205260000000003</v>
      </c>
      <c r="K49" s="25"/>
      <c r="L49" s="25"/>
      <c r="M49" s="25"/>
      <c r="N49" s="25"/>
      <c r="O49" s="25"/>
      <c r="P49" s="25"/>
      <c r="Q49" s="25">
        <f>Q148+EQ148</f>
        <v>65.447402588798539</v>
      </c>
      <c r="R49" s="25">
        <f ca="1">ER148+R148</f>
        <v>2.6696</v>
      </c>
      <c r="S49" s="25">
        <f ca="1">$EZ$148+$S$148</f>
        <v>33.205260000000003</v>
      </c>
      <c r="T49" s="25">
        <f>SUM(E49:P49)</f>
        <v>404.32292000000001</v>
      </c>
      <c r="U49" s="59">
        <f>IFERROR(T49/$T$101,0)</f>
        <v>0.53978818433131392</v>
      </c>
      <c r="V49" s="27">
        <f ca="1">IFERROR(S49/Q49,0)</f>
        <v>0.50735794984296523</v>
      </c>
      <c r="W49" s="399">
        <f>$FR$148+$S$148</f>
        <v>26.919060000000002</v>
      </c>
      <c r="X49" s="27">
        <f>IFERROR(W49/Q49,0)</f>
        <v>0.41130830155522863</v>
      </c>
      <c r="Y49" s="183"/>
      <c r="Z49" s="183"/>
      <c r="AA49" s="183"/>
      <c r="AB49" s="183"/>
      <c r="AC49" s="183"/>
      <c r="AD49" s="183"/>
      <c r="AE49" s="183"/>
      <c r="AF49" s="183"/>
      <c r="AG49" s="183"/>
      <c r="AH49" s="183"/>
      <c r="AI49" s="183"/>
      <c r="AJ49" s="183"/>
      <c r="AK49" s="183"/>
      <c r="AL49" s="183"/>
      <c r="AM49" s="183"/>
      <c r="AN49" s="183"/>
      <c r="AO49" s="183"/>
      <c r="AP49" s="183"/>
      <c r="AQ49" s="183"/>
      <c r="AR49" s="183"/>
      <c r="AS49" s="183"/>
      <c r="AT49" s="183"/>
      <c r="AU49" s="183"/>
      <c r="AV49" s="183"/>
      <c r="AW49" s="183"/>
      <c r="AX49" s="183"/>
      <c r="AY49" s="183"/>
      <c r="AZ49" s="183"/>
      <c r="BA49" s="183"/>
      <c r="BB49" s="183"/>
      <c r="BC49" s="183"/>
      <c r="BD49" s="183"/>
      <c r="BE49" s="183"/>
      <c r="BF49" s="183"/>
      <c r="BG49" s="183"/>
      <c r="BH49" s="183"/>
      <c r="BI49" s="183"/>
      <c r="BJ49" s="183"/>
      <c r="BK49" s="183"/>
      <c r="BL49" s="183"/>
      <c r="BM49" s="183"/>
      <c r="BN49" s="183"/>
      <c r="BO49" s="183"/>
      <c r="BP49" s="183"/>
      <c r="BQ49" s="183"/>
      <c r="BR49" s="183"/>
      <c r="BS49" s="183"/>
      <c r="BT49" s="183"/>
      <c r="BU49" s="183"/>
      <c r="BV49" s="183"/>
      <c r="BW49" s="183"/>
      <c r="BX49" s="183"/>
      <c r="BY49" s="183"/>
      <c r="BZ49" s="183"/>
      <c r="CA49" s="183"/>
      <c r="CB49" s="183"/>
      <c r="CC49" s="183"/>
      <c r="CD49" s="183"/>
      <c r="CE49" s="183"/>
      <c r="CF49" s="183"/>
      <c r="CG49" s="183"/>
      <c r="CH49" s="183"/>
      <c r="CI49" s="183"/>
      <c r="CJ49" s="183"/>
      <c r="CK49" s="183"/>
      <c r="CL49" s="183"/>
      <c r="CM49" s="183"/>
      <c r="CN49" s="183"/>
      <c r="CO49" s="183"/>
      <c r="CP49" s="183"/>
      <c r="CQ49" s="183"/>
      <c r="CR49" s="183"/>
      <c r="CS49" s="183"/>
      <c r="CT49" s="183"/>
      <c r="CU49" s="183"/>
      <c r="CV49" s="183"/>
      <c r="CW49" s="183"/>
      <c r="CX49" s="183"/>
      <c r="CY49" s="183"/>
      <c r="CZ49" s="183"/>
      <c r="DA49" s="183"/>
      <c r="DB49" s="183"/>
      <c r="DC49" s="183"/>
      <c r="DD49" s="183"/>
      <c r="DE49" s="183"/>
      <c r="DF49" s="183"/>
      <c r="DG49" s="183"/>
      <c r="DH49" s="183"/>
      <c r="DI49" s="183"/>
      <c r="DJ49" s="183"/>
      <c r="DK49" s="183"/>
      <c r="DL49" s="183"/>
      <c r="DM49" s="183"/>
      <c r="DN49" s="183"/>
      <c r="DO49" s="183"/>
      <c r="DP49" s="183"/>
      <c r="DQ49" s="183"/>
      <c r="DR49" s="183"/>
      <c r="DS49" s="183"/>
      <c r="DT49" s="183"/>
      <c r="DU49" s="183"/>
      <c r="DV49" s="183"/>
      <c r="DW49" s="183"/>
      <c r="DX49" s="183"/>
      <c r="DY49" s="183"/>
      <c r="DZ49" s="183"/>
      <c r="EA49" s="183"/>
      <c r="EB49" s="183"/>
      <c r="EC49" s="183"/>
      <c r="ED49" s="183"/>
      <c r="EE49" s="183"/>
      <c r="EF49" s="183"/>
      <c r="EG49" s="183"/>
      <c r="EH49" s="183"/>
      <c r="EI49" s="183"/>
      <c r="EJ49" s="183"/>
      <c r="EK49" s="183"/>
      <c r="EL49" s="183"/>
      <c r="EM49" s="183"/>
      <c r="EN49" s="183"/>
      <c r="EO49" s="183"/>
      <c r="EP49" s="183"/>
      <c r="EQ49" s="183"/>
      <c r="ER49" s="183"/>
      <c r="ES49" s="183"/>
      <c r="ET49" s="183"/>
      <c r="EU49" s="183"/>
      <c r="EV49" s="183"/>
      <c r="EW49" s="183"/>
      <c r="EX49" s="183"/>
      <c r="EY49" s="183"/>
      <c r="EZ49" s="183"/>
      <c r="FA49" s="183"/>
      <c r="FB49" s="183"/>
      <c r="FC49" s="183"/>
      <c r="FD49" s="183"/>
      <c r="FE49" s="183"/>
      <c r="FF49" s="183"/>
      <c r="FG49" s="183"/>
      <c r="FH49" s="183"/>
      <c r="FI49" s="183"/>
    </row>
    <row r="50" spans="2:165" ht="15" hidden="1" customHeight="1" outlineLevel="1">
      <c r="B50" s="81" t="s">
        <v>25</v>
      </c>
      <c r="C50" s="81" t="s">
        <v>264</v>
      </c>
      <c r="D50" s="303" t="s">
        <v>188</v>
      </c>
      <c r="E50" s="304">
        <v>15.985720000000001</v>
      </c>
      <c r="F50" s="304">
        <v>15.24798</v>
      </c>
      <c r="G50" s="304">
        <v>18.551839999999999</v>
      </c>
      <c r="H50" s="304">
        <v>20.667259999999999</v>
      </c>
      <c r="I50" s="304">
        <v>19.355840000000001</v>
      </c>
      <c r="J50" s="304">
        <v>10.22518</v>
      </c>
      <c r="K50" s="304"/>
      <c r="L50" s="304"/>
      <c r="M50" s="304"/>
      <c r="N50" s="304"/>
      <c r="O50" s="304"/>
      <c r="P50" s="304"/>
      <c r="Q50" s="304"/>
      <c r="R50" s="304">
        <f>IFERROR(SUMIFS(Daily_Vol_yesterday[Order Quantity],Daily_Vol_yesterday[Cust_Cat.cust_channel],  "&lt;&gt;DSO",Daily_Vol_yesterday[Map_Product.TME_SKU],D50)/50000,0)</f>
        <v>0.7036</v>
      </c>
      <c r="S50" s="304">
        <f>IFERROR(SUM(SUMIFS(Weekly_Vol[Quantity],Weekly_Vol[Map_Product.TME_SKU],D50))/50000,0)</f>
        <v>10.22518</v>
      </c>
      <c r="T50" s="305">
        <f t="shared" ref="T50:T59" si="9">SUM(E50:P50)</f>
        <v>100.03381999999999</v>
      </c>
      <c r="U50" s="306">
        <f>IFERROR(T50/$T$60,0)</f>
        <v>0.81318947347199699</v>
      </c>
      <c r="V50" s="315">
        <f>IFERROR(S50/Q50,0)</f>
        <v>0</v>
      </c>
      <c r="W50" s="313">
        <f>IFERROR(SUM(SUMIFS(Weekly_Vol[Quantity],Weekly_Vol[Cust_Cat.Customer category],  "Key Account",Weekly_Vol[Map_Product.TME_SKU],master_Daily!D50))/50000,0)
+ IFERROR(SUMIFS(TME_MTD_Dist[Sell_WHS_QTY],TME_MTD_Dist[SKU],master_Daily!$D50)/50000,0)
 + IFERROR(SUMIFS(TME_MTD_Dist[Sell_RTL_QTY],TME_MTD_Dist[SKU],master_Daily!$D50)/50000,0)</f>
        <v>8.2581799999999994</v>
      </c>
      <c r="X50" s="314"/>
      <c r="Y50" s="183"/>
      <c r="Z50" s="183"/>
      <c r="AA50" s="183"/>
      <c r="AB50" s="183"/>
      <c r="AC50" s="183"/>
      <c r="AD50" s="183"/>
      <c r="AE50" s="183"/>
      <c r="AF50" s="183"/>
      <c r="AG50" s="183"/>
      <c r="AH50" s="183"/>
      <c r="AI50" s="183"/>
      <c r="AJ50" s="183"/>
      <c r="AK50" s="183"/>
      <c r="AL50" s="183"/>
      <c r="AM50" s="183"/>
      <c r="AN50" s="183"/>
      <c r="AO50" s="183"/>
      <c r="AP50" s="183"/>
      <c r="AQ50" s="183"/>
      <c r="AR50" s="183"/>
      <c r="AS50" s="183"/>
      <c r="AT50" s="183"/>
      <c r="AU50" s="183"/>
      <c r="AV50" s="183"/>
      <c r="AW50" s="183"/>
      <c r="AX50" s="183"/>
      <c r="AY50" s="183"/>
      <c r="AZ50" s="183"/>
      <c r="BA50" s="183"/>
      <c r="BB50" s="183"/>
      <c r="BC50" s="183"/>
      <c r="BD50" s="183"/>
      <c r="BE50" s="183"/>
      <c r="BF50" s="183"/>
      <c r="BG50" s="183"/>
      <c r="BH50" s="183"/>
      <c r="BI50" s="183"/>
      <c r="BJ50" s="183"/>
      <c r="BK50" s="183"/>
      <c r="BL50" s="183"/>
      <c r="BM50" s="183"/>
      <c r="BN50" s="183"/>
      <c r="BO50" s="183"/>
      <c r="BP50" s="183"/>
      <c r="BQ50" s="183"/>
      <c r="BR50" s="183"/>
      <c r="BS50" s="183"/>
      <c r="BT50" s="183"/>
      <c r="BU50" s="183"/>
      <c r="BV50" s="183"/>
      <c r="BW50" s="183"/>
      <c r="BX50" s="183"/>
      <c r="BY50" s="183"/>
      <c r="BZ50" s="183"/>
      <c r="CA50" s="183"/>
      <c r="CB50" s="183"/>
      <c r="CC50" s="183"/>
      <c r="CD50" s="183"/>
      <c r="CE50" s="183"/>
      <c r="CF50" s="183"/>
      <c r="CG50" s="183"/>
      <c r="CH50" s="183"/>
      <c r="CI50" s="183"/>
      <c r="CJ50" s="183"/>
      <c r="CK50" s="183"/>
      <c r="CL50" s="183"/>
      <c r="CM50" s="183"/>
      <c r="CN50" s="183"/>
      <c r="CO50" s="183"/>
      <c r="CP50" s="183"/>
      <c r="CQ50" s="183"/>
      <c r="CR50" s="183"/>
      <c r="CS50" s="183"/>
      <c r="CT50" s="183"/>
      <c r="CU50" s="183"/>
      <c r="CV50" s="183"/>
      <c r="CW50" s="183"/>
      <c r="CX50" s="183"/>
      <c r="CY50" s="183"/>
      <c r="CZ50" s="183"/>
      <c r="DA50" s="183"/>
      <c r="DB50" s="183"/>
      <c r="DC50" s="183"/>
      <c r="DD50" s="183"/>
      <c r="DE50" s="183"/>
      <c r="DF50" s="183"/>
      <c r="DG50" s="183"/>
      <c r="DH50" s="183"/>
      <c r="DI50" s="183"/>
      <c r="DJ50" s="183"/>
      <c r="DK50" s="183"/>
      <c r="DL50" s="183"/>
      <c r="DM50" s="183"/>
      <c r="DN50" s="183"/>
      <c r="DO50" s="183"/>
      <c r="DP50" s="183"/>
      <c r="DQ50" s="183"/>
      <c r="DR50" s="183"/>
      <c r="DS50" s="183"/>
      <c r="DT50" s="183"/>
      <c r="DU50" s="183"/>
      <c r="DV50" s="183"/>
      <c r="DW50" s="183"/>
      <c r="DX50" s="183"/>
      <c r="DY50" s="183"/>
      <c r="DZ50" s="183"/>
      <c r="EA50" s="183"/>
      <c r="EB50" s="183"/>
      <c r="EC50" s="183"/>
      <c r="ED50" s="183"/>
      <c r="EE50" s="183"/>
      <c r="EF50" s="183"/>
      <c r="EG50" s="183"/>
      <c r="EH50" s="183"/>
      <c r="EI50" s="183"/>
      <c r="EJ50" s="183"/>
      <c r="EK50" s="183"/>
      <c r="EL50" s="183"/>
      <c r="EM50" s="183"/>
      <c r="EN50" s="183"/>
      <c r="EO50" s="183"/>
      <c r="EP50" s="183"/>
      <c r="EQ50" s="183"/>
      <c r="ER50" s="183"/>
      <c r="ES50" s="183"/>
      <c r="ET50" s="183"/>
      <c r="EU50" s="183"/>
      <c r="EV50" s="183"/>
      <c r="EW50" s="183"/>
      <c r="EX50" s="183"/>
      <c r="EY50" s="183"/>
      <c r="EZ50" s="183"/>
      <c r="FA50" s="183"/>
      <c r="FB50" s="183"/>
      <c r="FC50" s="183"/>
      <c r="FD50" s="183"/>
      <c r="FE50" s="183"/>
      <c r="FF50" s="183"/>
      <c r="FG50" s="183"/>
      <c r="FH50" s="183"/>
      <c r="FI50" s="183"/>
    </row>
    <row r="51" spans="2:165" ht="15" hidden="1" customHeight="1" outlineLevel="1">
      <c r="B51" s="81" t="s">
        <v>25</v>
      </c>
      <c r="C51" s="81" t="s">
        <v>264</v>
      </c>
      <c r="D51" s="303" t="s">
        <v>189</v>
      </c>
      <c r="E51" s="304">
        <v>3.7668200000000001</v>
      </c>
      <c r="F51" s="304">
        <v>3.452</v>
      </c>
      <c r="G51" s="304">
        <v>4.26</v>
      </c>
      <c r="H51" s="304">
        <v>4.4332399999999996</v>
      </c>
      <c r="I51" s="304">
        <v>4.6233000000000004</v>
      </c>
      <c r="J51" s="304">
        <v>2.4449800000000002</v>
      </c>
      <c r="K51" s="304"/>
      <c r="L51" s="304"/>
      <c r="M51" s="304"/>
      <c r="N51" s="304"/>
      <c r="O51" s="304"/>
      <c r="P51" s="304"/>
      <c r="Q51" s="304"/>
      <c r="R51" s="304">
        <f>IFERROR(SUMIFS(Daily_Vol_yesterday[Order Quantity],Daily_Vol_yesterday[Cust_Cat.cust_channel],  "&lt;&gt;DSO",Daily_Vol_yesterday[Map_Product.TME_SKU],D51)/50000,0)</f>
        <v>0.09</v>
      </c>
      <c r="S51" s="304">
        <f>IFERROR(SUM(SUMIFS(Weekly_Vol[Quantity],Weekly_Vol[Map_Product.TME_SKU],D51))/50000,0)</f>
        <v>2.4449800000000002</v>
      </c>
      <c r="T51" s="305">
        <f t="shared" si="9"/>
        <v>22.980339999999998</v>
      </c>
      <c r="U51" s="306">
        <f t="shared" ref="U51:U59" si="10">IFERROR(T51/$T$60,0)</f>
        <v>0.18681052652800295</v>
      </c>
      <c r="V51" s="315">
        <f>IFERROR(S51/Q51,0)</f>
        <v>0</v>
      </c>
      <c r="W51" s="313">
        <f>IFERROR(SUM(SUMIFS(Weekly_Vol[Quantity],Weekly_Vol[Cust_Cat.Customer category],  "Key Account",Weekly_Vol[Map_Product.TME_SKU],master_Daily!D51))/50000,0)
+ IFERROR(SUMIFS(TME_MTD_Dist[Sell_WHS_QTY],TME_MTD_Dist[SKU],master_Daily!$D51)/50000,0)
 + IFERROR(SUMIFS(TME_MTD_Dist[Sell_RTL_QTY],TME_MTD_Dist[SKU],master_Daily!$D51)/50000,0)</f>
        <v>2.0599799999999999</v>
      </c>
      <c r="X51" s="314"/>
      <c r="Y51" s="183"/>
      <c r="Z51" s="183"/>
      <c r="AA51" s="183"/>
      <c r="AB51" s="183"/>
      <c r="AC51" s="183"/>
      <c r="AD51" s="183"/>
      <c r="AE51" s="183"/>
      <c r="AF51" s="183"/>
      <c r="AG51" s="183"/>
      <c r="AH51" s="183"/>
      <c r="AI51" s="183"/>
      <c r="AJ51" s="183"/>
      <c r="AK51" s="183"/>
      <c r="AL51" s="183"/>
      <c r="AM51" s="183"/>
      <c r="AN51" s="183"/>
      <c r="AO51" s="183"/>
      <c r="AP51" s="183"/>
      <c r="AQ51" s="183"/>
      <c r="AR51" s="183"/>
      <c r="AS51" s="183"/>
      <c r="AT51" s="183"/>
      <c r="AU51" s="183"/>
      <c r="AV51" s="183"/>
      <c r="AW51" s="183"/>
      <c r="AX51" s="183"/>
      <c r="AY51" s="183"/>
      <c r="AZ51" s="183"/>
      <c r="BA51" s="183"/>
      <c r="BB51" s="183"/>
      <c r="BC51" s="183"/>
      <c r="BD51" s="183"/>
      <c r="BE51" s="183"/>
      <c r="BF51" s="183"/>
      <c r="BG51" s="183"/>
      <c r="BH51" s="183"/>
      <c r="BI51" s="183"/>
      <c r="BJ51" s="183"/>
      <c r="BK51" s="183"/>
      <c r="BL51" s="183"/>
      <c r="BM51" s="183"/>
      <c r="BN51" s="183"/>
      <c r="BO51" s="183"/>
      <c r="BP51" s="183"/>
      <c r="BQ51" s="183"/>
      <c r="BR51" s="183"/>
      <c r="BS51" s="183"/>
      <c r="BT51" s="183"/>
      <c r="BU51" s="183"/>
      <c r="BV51" s="183"/>
      <c r="BW51" s="183"/>
      <c r="BX51" s="183"/>
      <c r="BY51" s="183"/>
      <c r="BZ51" s="183"/>
      <c r="CA51" s="183"/>
      <c r="CB51" s="183"/>
      <c r="CC51" s="183"/>
      <c r="CD51" s="183"/>
      <c r="CE51" s="183"/>
      <c r="CF51" s="183"/>
      <c r="CG51" s="183"/>
      <c r="CH51" s="183"/>
      <c r="CI51" s="183"/>
      <c r="CJ51" s="183"/>
      <c r="CK51" s="183"/>
      <c r="CL51" s="183"/>
      <c r="CM51" s="183"/>
      <c r="CN51" s="183"/>
      <c r="CO51" s="183"/>
      <c r="CP51" s="183"/>
      <c r="CQ51" s="183"/>
      <c r="CR51" s="183"/>
      <c r="CS51" s="183"/>
      <c r="CT51" s="183"/>
      <c r="CU51" s="183"/>
      <c r="CV51" s="183"/>
      <c r="CW51" s="183"/>
      <c r="CX51" s="183"/>
      <c r="CY51" s="183"/>
      <c r="CZ51" s="183"/>
      <c r="DA51" s="183"/>
      <c r="DB51" s="183"/>
      <c r="DC51" s="183"/>
      <c r="DD51" s="183"/>
      <c r="DE51" s="183"/>
      <c r="DF51" s="183"/>
      <c r="DG51" s="183"/>
      <c r="DH51" s="183"/>
      <c r="DI51" s="183"/>
      <c r="DJ51" s="183"/>
      <c r="DK51" s="183"/>
      <c r="DL51" s="183"/>
      <c r="DM51" s="183"/>
      <c r="DN51" s="183"/>
      <c r="DO51" s="183"/>
      <c r="DP51" s="183"/>
      <c r="DQ51" s="183"/>
      <c r="DR51" s="183"/>
      <c r="DS51" s="183"/>
      <c r="DT51" s="183"/>
      <c r="DU51" s="183"/>
      <c r="DV51" s="183"/>
      <c r="DW51" s="183"/>
      <c r="DX51" s="183"/>
      <c r="DY51" s="183"/>
      <c r="DZ51" s="183"/>
      <c r="EA51" s="183"/>
      <c r="EB51" s="183"/>
      <c r="EC51" s="183"/>
      <c r="ED51" s="183"/>
      <c r="EE51" s="183"/>
      <c r="EF51" s="183"/>
      <c r="EG51" s="183"/>
      <c r="EH51" s="183"/>
      <c r="EI51" s="183"/>
      <c r="EJ51" s="183"/>
      <c r="EK51" s="183"/>
      <c r="EL51" s="183"/>
      <c r="EM51" s="183"/>
      <c r="EN51" s="183"/>
      <c r="EO51" s="183"/>
      <c r="EP51" s="183"/>
      <c r="EQ51" s="183"/>
      <c r="ER51" s="183"/>
      <c r="ES51" s="183"/>
      <c r="ET51" s="183"/>
      <c r="EU51" s="183"/>
      <c r="EV51" s="183"/>
      <c r="EW51" s="183"/>
      <c r="EX51" s="183"/>
      <c r="EY51" s="183"/>
      <c r="EZ51" s="183"/>
      <c r="FA51" s="183"/>
      <c r="FB51" s="183"/>
      <c r="FC51" s="183"/>
      <c r="FD51" s="183"/>
      <c r="FE51" s="183"/>
      <c r="FF51" s="183"/>
      <c r="FG51" s="183"/>
      <c r="FH51" s="183"/>
      <c r="FI51" s="183"/>
    </row>
    <row r="52" spans="2:165" ht="15" hidden="1" customHeight="1" outlineLevel="1">
      <c r="B52" s="81" t="s">
        <v>25</v>
      </c>
      <c r="C52" s="81" t="s">
        <v>264</v>
      </c>
      <c r="D52" s="303" t="s">
        <v>190</v>
      </c>
      <c r="E52" s="304">
        <v>0</v>
      </c>
      <c r="F52" s="304">
        <v>0</v>
      </c>
      <c r="G52" s="304">
        <v>0</v>
      </c>
      <c r="H52" s="304">
        <v>0</v>
      </c>
      <c r="I52" s="304">
        <v>0</v>
      </c>
      <c r="J52" s="304">
        <v>0</v>
      </c>
      <c r="K52" s="304"/>
      <c r="L52" s="304"/>
      <c r="M52" s="304"/>
      <c r="N52" s="304"/>
      <c r="O52" s="304"/>
      <c r="P52" s="304"/>
      <c r="Q52" s="304"/>
      <c r="R52" s="304">
        <f>IFERROR(SUMIFS(Daily_Vol_yesterday[Order Quantity],Daily_Vol_yesterday[Cust_Cat.cust_channel],  "&lt;&gt;DSO",Daily_Vol_yesterday[Map_Product.TME_SKU],D52)/50000,0)</f>
        <v>0</v>
      </c>
      <c r="S52" s="304">
        <f>IFERROR(SUM(SUMIFS(Weekly_Vol[Quantity],Weekly_Vol[Map_Product.TME_SKU],D52))/50000,0)</f>
        <v>0</v>
      </c>
      <c r="T52" s="305">
        <f t="shared" si="9"/>
        <v>0</v>
      </c>
      <c r="U52" s="306">
        <f t="shared" si="10"/>
        <v>0</v>
      </c>
      <c r="V52" s="315">
        <f>IFERROR(S52/Q52,0)</f>
        <v>0</v>
      </c>
      <c r="W52" s="313">
        <f>IFERROR(SUM(SUMIFS(Weekly_Vol[Quantity],Weekly_Vol[Cust_Cat.Customer category],  "Key Account",Weekly_Vol[Map_Product.TME_SKU],master_Daily!D52))/50000,0)
+ IFERROR(SUMIFS(TME_MTD_Dist[Sell_WHS_QTY],TME_MTD_Dist[SKU],master_Daily!$D52)/50000,0)
 + IFERROR(SUMIFS(TME_MTD_Dist[Sell_RTL_QTY],TME_MTD_Dist[SKU],master_Daily!$D52)/50000,0)</f>
        <v>0</v>
      </c>
      <c r="X52" s="314"/>
      <c r="Y52" s="183"/>
      <c r="Z52" s="183"/>
      <c r="AA52" s="183"/>
      <c r="AB52" s="183"/>
      <c r="AC52" s="183"/>
      <c r="AD52" s="183"/>
      <c r="AE52" s="183"/>
      <c r="AF52" s="183"/>
      <c r="AG52" s="183"/>
      <c r="AH52" s="183"/>
      <c r="AI52" s="183"/>
      <c r="AJ52" s="183"/>
      <c r="AK52" s="183"/>
      <c r="AL52" s="183"/>
      <c r="AM52" s="183"/>
      <c r="AN52" s="183"/>
      <c r="AO52" s="183"/>
      <c r="AP52" s="183"/>
      <c r="AQ52" s="183"/>
      <c r="AR52" s="183"/>
      <c r="AS52" s="183"/>
      <c r="AT52" s="183"/>
      <c r="AU52" s="183"/>
      <c r="AV52" s="183"/>
      <c r="AW52" s="183"/>
      <c r="AX52" s="183"/>
      <c r="AY52" s="183"/>
      <c r="AZ52" s="183"/>
      <c r="BA52" s="183"/>
      <c r="BB52" s="183"/>
      <c r="BC52" s="183"/>
      <c r="BD52" s="183"/>
      <c r="BE52" s="183"/>
      <c r="BF52" s="183"/>
      <c r="BG52" s="183"/>
      <c r="BH52" s="183"/>
      <c r="BI52" s="183"/>
      <c r="BJ52" s="183"/>
      <c r="BK52" s="183"/>
      <c r="BL52" s="183"/>
      <c r="BM52" s="183"/>
      <c r="BN52" s="183"/>
      <c r="BO52" s="183"/>
      <c r="BP52" s="183"/>
      <c r="BQ52" s="183"/>
      <c r="BR52" s="183"/>
      <c r="BS52" s="183"/>
      <c r="BT52" s="183"/>
      <c r="BU52" s="183"/>
      <c r="BV52" s="183"/>
      <c r="BW52" s="183"/>
      <c r="BX52" s="183"/>
      <c r="BY52" s="183"/>
      <c r="BZ52" s="183"/>
      <c r="CA52" s="183"/>
      <c r="CB52" s="183"/>
      <c r="CC52" s="183"/>
      <c r="CD52" s="183"/>
      <c r="CE52" s="183"/>
      <c r="CF52" s="183"/>
      <c r="CG52" s="183"/>
      <c r="CH52" s="183"/>
      <c r="CI52" s="183"/>
      <c r="CJ52" s="183"/>
      <c r="CK52" s="183"/>
      <c r="CL52" s="183"/>
      <c r="CM52" s="183"/>
      <c r="CN52" s="183"/>
      <c r="CO52" s="183"/>
      <c r="CP52" s="183"/>
      <c r="CQ52" s="183"/>
      <c r="CR52" s="183"/>
      <c r="CS52" s="183"/>
      <c r="CT52" s="183"/>
      <c r="CU52" s="183"/>
      <c r="CV52" s="183"/>
      <c r="CW52" s="183"/>
      <c r="CX52" s="183"/>
      <c r="CY52" s="183"/>
      <c r="CZ52" s="183"/>
      <c r="DA52" s="183"/>
      <c r="DB52" s="183"/>
      <c r="DC52" s="183"/>
      <c r="DD52" s="183"/>
      <c r="DE52" s="183"/>
      <c r="DF52" s="183"/>
      <c r="DG52" s="183"/>
      <c r="DH52" s="183"/>
      <c r="DI52" s="183"/>
      <c r="DJ52" s="183"/>
      <c r="DK52" s="183"/>
      <c r="DL52" s="183"/>
      <c r="DM52" s="183"/>
      <c r="DN52" s="183"/>
      <c r="DO52" s="183"/>
      <c r="DP52" s="183"/>
      <c r="DQ52" s="183"/>
      <c r="DR52" s="183"/>
      <c r="DS52" s="183"/>
      <c r="DT52" s="183"/>
      <c r="DU52" s="183"/>
      <c r="DV52" s="183"/>
      <c r="DW52" s="183"/>
      <c r="DX52" s="183"/>
      <c r="DY52" s="183"/>
      <c r="DZ52" s="183"/>
      <c r="EA52" s="183"/>
      <c r="EB52" s="183"/>
      <c r="EC52" s="183"/>
      <c r="ED52" s="183"/>
      <c r="EE52" s="183"/>
      <c r="EF52" s="183"/>
      <c r="EG52" s="183"/>
      <c r="EH52" s="183"/>
      <c r="EI52" s="183"/>
      <c r="EJ52" s="183"/>
      <c r="EK52" s="183"/>
      <c r="EL52" s="183"/>
      <c r="EM52" s="183"/>
      <c r="EN52" s="183"/>
      <c r="EO52" s="183"/>
      <c r="EP52" s="183"/>
      <c r="EQ52" s="183"/>
      <c r="ER52" s="183"/>
      <c r="ES52" s="183"/>
      <c r="ET52" s="183"/>
      <c r="EU52" s="183"/>
      <c r="EV52" s="183"/>
      <c r="EW52" s="183"/>
      <c r="EX52" s="183"/>
      <c r="EY52" s="183"/>
      <c r="EZ52" s="183"/>
      <c r="FA52" s="183"/>
      <c r="FB52" s="183"/>
      <c r="FC52" s="183"/>
      <c r="FD52" s="183"/>
      <c r="FE52" s="183"/>
      <c r="FF52" s="183"/>
      <c r="FG52" s="183"/>
      <c r="FH52" s="183"/>
      <c r="FI52" s="183"/>
    </row>
    <row r="53" spans="2:165" ht="0.2" hidden="1" customHeight="1" outlineLevel="1">
      <c r="B53" s="81"/>
      <c r="C53" s="81"/>
      <c r="D53" s="301"/>
      <c r="E53" s="70">
        <v>0</v>
      </c>
      <c r="F53" s="70">
        <v>0</v>
      </c>
      <c r="G53" s="70">
        <v>0</v>
      </c>
      <c r="H53" s="70">
        <v>0</v>
      </c>
      <c r="I53" s="70">
        <v>0</v>
      </c>
      <c r="J53" s="70">
        <v>0</v>
      </c>
      <c r="K53" s="70"/>
      <c r="L53" s="70"/>
      <c r="M53" s="70"/>
      <c r="N53" s="70"/>
      <c r="O53" s="70"/>
      <c r="P53" s="70"/>
      <c r="Q53" s="70"/>
      <c r="R53" s="70">
        <f>IFERROR(SUMIFS(Daily_Vol_yesterday[Order Quantity],Daily_Vol_yesterday[Cust_Cat.cust_channel],  "&lt;&gt;DSO",Daily_Vol_yesterday[Map_Product.TME_SKU],"CMHD_")/50000,0)</f>
        <v>0</v>
      </c>
      <c r="S53" s="70">
        <f>IFERROR(SUM(SUMIFS(Weekly_Vol[Quantity],Weekly_Vol[Map_Product.TME_SKU],"CMHD_"))/50000,0)</f>
        <v>0</v>
      </c>
      <c r="T53" s="82">
        <f t="shared" si="9"/>
        <v>0</v>
      </c>
      <c r="U53" s="83">
        <f t="shared" si="10"/>
        <v>0</v>
      </c>
      <c r="V53" s="84"/>
      <c r="W53" s="183"/>
      <c r="X53" s="186"/>
      <c r="Y53" s="183"/>
      <c r="Z53" s="183"/>
      <c r="AA53" s="183"/>
      <c r="AB53" s="183"/>
      <c r="AC53" s="183"/>
      <c r="AD53" s="183"/>
      <c r="AE53" s="183"/>
      <c r="AF53" s="183"/>
      <c r="AG53" s="183"/>
      <c r="AH53" s="183"/>
      <c r="AI53" s="183"/>
      <c r="AJ53" s="183"/>
      <c r="AK53" s="183"/>
      <c r="AL53" s="183"/>
      <c r="AM53" s="183"/>
      <c r="AN53" s="183"/>
      <c r="AO53" s="183"/>
      <c r="AP53" s="183"/>
      <c r="AQ53" s="183"/>
      <c r="AR53" s="183"/>
      <c r="AS53" s="183"/>
      <c r="AT53" s="183"/>
      <c r="AU53" s="183"/>
      <c r="AV53" s="183"/>
      <c r="AW53" s="183"/>
      <c r="AX53" s="183"/>
      <c r="AY53" s="183"/>
      <c r="AZ53" s="183"/>
      <c r="BA53" s="183"/>
      <c r="BB53" s="183"/>
      <c r="BC53" s="183"/>
      <c r="BD53" s="183"/>
      <c r="BE53" s="183"/>
      <c r="BF53" s="183"/>
      <c r="BG53" s="183"/>
      <c r="BH53" s="183"/>
      <c r="BI53" s="183"/>
      <c r="BJ53" s="183"/>
      <c r="BK53" s="183"/>
      <c r="BL53" s="183"/>
      <c r="BM53" s="183"/>
      <c r="BN53" s="183"/>
      <c r="BO53" s="183"/>
      <c r="BP53" s="183"/>
      <c r="BQ53" s="183"/>
      <c r="BR53" s="183"/>
      <c r="BS53" s="183"/>
      <c r="BT53" s="183"/>
      <c r="BU53" s="183"/>
      <c r="BV53" s="183"/>
      <c r="BW53" s="183"/>
      <c r="BX53" s="183"/>
      <c r="BY53" s="183"/>
      <c r="BZ53" s="183"/>
      <c r="CA53" s="183"/>
      <c r="CB53" s="183"/>
      <c r="CC53" s="183"/>
      <c r="CD53" s="183"/>
      <c r="CE53" s="183"/>
      <c r="CF53" s="183"/>
      <c r="CG53" s="183"/>
      <c r="CH53" s="183"/>
      <c r="CI53" s="183"/>
      <c r="CJ53" s="183"/>
      <c r="CK53" s="183"/>
      <c r="CL53" s="183"/>
      <c r="CM53" s="183"/>
      <c r="CN53" s="183"/>
      <c r="CO53" s="183"/>
      <c r="CP53" s="183"/>
      <c r="CQ53" s="183"/>
      <c r="CR53" s="183"/>
      <c r="CS53" s="183"/>
      <c r="CT53" s="183"/>
      <c r="CU53" s="183"/>
      <c r="CV53" s="183"/>
      <c r="CW53" s="183"/>
      <c r="CX53" s="183"/>
      <c r="CY53" s="183"/>
      <c r="CZ53" s="183"/>
      <c r="DA53" s="183"/>
      <c r="DB53" s="183"/>
      <c r="DC53" s="183"/>
      <c r="DD53" s="183"/>
      <c r="DE53" s="183"/>
      <c r="DF53" s="183"/>
      <c r="DG53" s="183"/>
      <c r="DH53" s="183"/>
      <c r="DI53" s="183"/>
      <c r="DJ53" s="183"/>
      <c r="DK53" s="183"/>
      <c r="DL53" s="183"/>
      <c r="DM53" s="183"/>
      <c r="DN53" s="183"/>
      <c r="DO53" s="183"/>
      <c r="DP53" s="183"/>
      <c r="DQ53" s="183"/>
      <c r="DR53" s="183"/>
      <c r="DS53" s="183"/>
      <c r="DT53" s="183"/>
      <c r="DU53" s="183"/>
      <c r="DV53" s="183"/>
      <c r="DW53" s="183"/>
      <c r="DX53" s="183"/>
      <c r="DY53" s="183"/>
      <c r="DZ53" s="183"/>
      <c r="EA53" s="183"/>
      <c r="EB53" s="183"/>
      <c r="EC53" s="183"/>
      <c r="ED53" s="183"/>
      <c r="EE53" s="183"/>
      <c r="EF53" s="183"/>
      <c r="EG53" s="183"/>
      <c r="EH53" s="183"/>
      <c r="EI53" s="183"/>
      <c r="EJ53" s="183"/>
      <c r="EK53" s="183"/>
      <c r="EL53" s="183"/>
      <c r="EM53" s="183"/>
      <c r="EN53" s="183"/>
      <c r="EO53" s="183"/>
      <c r="EP53" s="183"/>
      <c r="EQ53" s="183"/>
      <c r="ER53" s="183"/>
      <c r="ES53" s="183"/>
      <c r="ET53" s="183"/>
      <c r="EU53" s="183"/>
      <c r="EV53" s="183"/>
      <c r="EW53" s="183"/>
      <c r="EX53" s="183"/>
      <c r="EY53" s="183"/>
      <c r="EZ53" s="183"/>
      <c r="FA53" s="183"/>
      <c r="FB53" s="183"/>
      <c r="FC53" s="183"/>
      <c r="FD53" s="183"/>
      <c r="FE53" s="183"/>
      <c r="FF53" s="183"/>
      <c r="FG53" s="183"/>
      <c r="FH53" s="183"/>
      <c r="FI53" s="183"/>
    </row>
    <row r="54" spans="2:165" ht="0.2" hidden="1" customHeight="1" outlineLevel="1">
      <c r="B54" s="81"/>
      <c r="C54" s="81"/>
      <c r="D54" s="301"/>
      <c r="E54" s="70">
        <v>0</v>
      </c>
      <c r="F54" s="70">
        <v>0</v>
      </c>
      <c r="G54" s="70">
        <v>0</v>
      </c>
      <c r="H54" s="70">
        <v>0</v>
      </c>
      <c r="I54" s="70">
        <v>0</v>
      </c>
      <c r="J54" s="70">
        <v>0</v>
      </c>
      <c r="K54" s="70"/>
      <c r="L54" s="70"/>
      <c r="M54" s="70"/>
      <c r="N54" s="70"/>
      <c r="O54" s="70"/>
      <c r="P54" s="70"/>
      <c r="Q54" s="70"/>
      <c r="R54" s="70">
        <f>IFERROR(SUMIFS(Daily_Vol_yesterday[Order Quantity],Daily_Vol_yesterday[Cust_Cat.cust_channel],  "&lt;&gt;DSO",Daily_Vol_yesterday[Map_Product.TME_SKU],"CMHD_")/50000,0)</f>
        <v>0</v>
      </c>
      <c r="S54" s="70">
        <f>IFERROR(SUM(SUMIFS(Weekly_Vol[Quantity],Weekly_Vol[Map_Product.TME_SKU],"CMHD_"))/50000,0)</f>
        <v>0</v>
      </c>
      <c r="T54" s="82">
        <f t="shared" si="9"/>
        <v>0</v>
      </c>
      <c r="U54" s="83">
        <f t="shared" si="10"/>
        <v>0</v>
      </c>
      <c r="V54" s="84"/>
      <c r="W54" s="183"/>
      <c r="X54" s="186"/>
      <c r="Y54" s="183"/>
      <c r="Z54" s="183"/>
      <c r="AA54" s="183"/>
      <c r="AB54" s="183"/>
      <c r="AC54" s="183"/>
      <c r="AD54" s="183"/>
      <c r="AE54" s="183"/>
      <c r="AF54" s="183"/>
      <c r="AG54" s="183"/>
      <c r="AH54" s="183"/>
      <c r="AI54" s="183"/>
      <c r="AJ54" s="183"/>
      <c r="AK54" s="183"/>
      <c r="AL54" s="183"/>
      <c r="AM54" s="183"/>
      <c r="AN54" s="183"/>
      <c r="AO54" s="183"/>
      <c r="AP54" s="183"/>
      <c r="AQ54" s="183"/>
      <c r="AR54" s="183"/>
      <c r="AS54" s="183"/>
      <c r="AT54" s="183"/>
      <c r="AU54" s="183"/>
      <c r="AV54" s="183"/>
      <c r="AW54" s="183"/>
      <c r="AX54" s="183"/>
      <c r="AY54" s="183"/>
      <c r="AZ54" s="183"/>
      <c r="BA54" s="183"/>
      <c r="BB54" s="183"/>
      <c r="BC54" s="183"/>
      <c r="BD54" s="183"/>
      <c r="BE54" s="183"/>
      <c r="BF54" s="183"/>
      <c r="BG54" s="183"/>
      <c r="BH54" s="183"/>
      <c r="BI54" s="183"/>
      <c r="BJ54" s="183"/>
      <c r="BK54" s="183"/>
      <c r="BL54" s="183"/>
      <c r="BM54" s="183"/>
      <c r="BN54" s="183"/>
      <c r="BO54" s="183"/>
      <c r="BP54" s="183"/>
      <c r="BQ54" s="183"/>
      <c r="BR54" s="183"/>
      <c r="BS54" s="183"/>
      <c r="BT54" s="183"/>
      <c r="BU54" s="183"/>
      <c r="BV54" s="183"/>
      <c r="BW54" s="183"/>
      <c r="BX54" s="183"/>
      <c r="BY54" s="183"/>
      <c r="BZ54" s="183"/>
      <c r="CA54" s="183"/>
      <c r="CB54" s="183"/>
      <c r="CC54" s="183"/>
      <c r="CD54" s="183"/>
      <c r="CE54" s="183"/>
      <c r="CF54" s="183"/>
      <c r="CG54" s="183"/>
      <c r="CH54" s="183"/>
      <c r="CI54" s="183"/>
      <c r="CJ54" s="183"/>
      <c r="CK54" s="183"/>
      <c r="CL54" s="183"/>
      <c r="CM54" s="183"/>
      <c r="CN54" s="183"/>
      <c r="CO54" s="183"/>
      <c r="CP54" s="183"/>
      <c r="CQ54" s="183"/>
      <c r="CR54" s="183"/>
      <c r="CS54" s="183"/>
      <c r="CT54" s="183"/>
      <c r="CU54" s="183"/>
      <c r="CV54" s="183"/>
      <c r="CW54" s="183"/>
      <c r="CX54" s="183"/>
      <c r="CY54" s="183"/>
      <c r="CZ54" s="183"/>
      <c r="DA54" s="183"/>
      <c r="DB54" s="183"/>
      <c r="DC54" s="183"/>
      <c r="DD54" s="183"/>
      <c r="DE54" s="183"/>
      <c r="DF54" s="183"/>
      <c r="DG54" s="183"/>
      <c r="DH54" s="183"/>
      <c r="DI54" s="183"/>
      <c r="DJ54" s="183"/>
      <c r="DK54" s="183"/>
      <c r="DL54" s="183"/>
      <c r="DM54" s="183"/>
      <c r="DN54" s="183"/>
      <c r="DO54" s="183"/>
      <c r="DP54" s="183"/>
      <c r="DQ54" s="183"/>
      <c r="DR54" s="183"/>
      <c r="DS54" s="183"/>
      <c r="DT54" s="183"/>
      <c r="DU54" s="183"/>
      <c r="DV54" s="183"/>
      <c r="DW54" s="183"/>
      <c r="DX54" s="183"/>
      <c r="DY54" s="183"/>
      <c r="DZ54" s="183"/>
      <c r="EA54" s="183"/>
      <c r="EB54" s="183"/>
      <c r="EC54" s="183"/>
      <c r="ED54" s="183"/>
      <c r="EE54" s="183"/>
      <c r="EF54" s="183"/>
      <c r="EG54" s="183"/>
      <c r="EH54" s="183"/>
      <c r="EI54" s="183"/>
      <c r="EJ54" s="183"/>
      <c r="EK54" s="183"/>
      <c r="EL54" s="183"/>
      <c r="EM54" s="183"/>
      <c r="EN54" s="183"/>
      <c r="EO54" s="183"/>
      <c r="EP54" s="183"/>
      <c r="EQ54" s="183"/>
      <c r="ER54" s="183"/>
      <c r="ES54" s="183"/>
      <c r="ET54" s="183"/>
      <c r="EU54" s="183"/>
      <c r="EV54" s="183"/>
      <c r="EW54" s="183"/>
      <c r="EX54" s="183"/>
      <c r="EY54" s="183"/>
      <c r="EZ54" s="183"/>
      <c r="FA54" s="183"/>
      <c r="FB54" s="183"/>
      <c r="FC54" s="183"/>
      <c r="FD54" s="183"/>
      <c r="FE54" s="183"/>
      <c r="FF54" s="183"/>
      <c r="FG54" s="183"/>
      <c r="FH54" s="183"/>
      <c r="FI54" s="183"/>
    </row>
    <row r="55" spans="2:165" ht="0.2" hidden="1" customHeight="1" outlineLevel="1">
      <c r="B55" s="81"/>
      <c r="C55" s="81"/>
      <c r="D55" s="301"/>
      <c r="E55" s="70">
        <v>0</v>
      </c>
      <c r="F55" s="70">
        <v>0</v>
      </c>
      <c r="G55" s="70">
        <v>0</v>
      </c>
      <c r="H55" s="70">
        <v>0</v>
      </c>
      <c r="I55" s="70">
        <v>0</v>
      </c>
      <c r="J55" s="70">
        <v>0</v>
      </c>
      <c r="K55" s="70"/>
      <c r="L55" s="70"/>
      <c r="M55" s="70"/>
      <c r="N55" s="70"/>
      <c r="O55" s="70"/>
      <c r="P55" s="70"/>
      <c r="Q55" s="70"/>
      <c r="R55" s="70">
        <f>IFERROR(SUMIFS(Daily_Vol_yesterday[Order Quantity],Daily_Vol_yesterday[Cust_Cat.cust_channel],  "&lt;&gt;DSO",Daily_Vol_yesterday[Map_Product.TME_SKU],"CMHD_")/50000,0)</f>
        <v>0</v>
      </c>
      <c r="S55" s="70">
        <f>IFERROR(SUM(SUMIFS(Weekly_Vol[Quantity],Weekly_Vol[Map_Product.TME_SKU],"CMHD_"))/50000,0)</f>
        <v>0</v>
      </c>
      <c r="T55" s="82">
        <f t="shared" si="9"/>
        <v>0</v>
      </c>
      <c r="U55" s="83">
        <f t="shared" si="10"/>
        <v>0</v>
      </c>
      <c r="V55" s="84"/>
      <c r="W55" s="183"/>
      <c r="X55" s="186"/>
      <c r="Y55" s="183"/>
      <c r="Z55" s="183"/>
      <c r="AA55" s="183"/>
      <c r="AB55" s="183"/>
      <c r="AC55" s="183"/>
      <c r="AD55" s="183"/>
      <c r="AE55" s="183"/>
      <c r="AF55" s="183"/>
      <c r="AG55" s="183"/>
      <c r="AH55" s="183"/>
      <c r="AI55" s="183"/>
      <c r="AJ55" s="183"/>
      <c r="AK55" s="183"/>
      <c r="AL55" s="183"/>
      <c r="AM55" s="183"/>
      <c r="AN55" s="183"/>
      <c r="AO55" s="183"/>
      <c r="AP55" s="183"/>
      <c r="AQ55" s="183"/>
      <c r="AR55" s="183"/>
      <c r="AS55" s="183"/>
      <c r="AT55" s="183"/>
      <c r="AU55" s="183"/>
      <c r="AV55" s="183"/>
      <c r="AW55" s="183"/>
      <c r="AX55" s="183"/>
      <c r="AY55" s="183"/>
      <c r="AZ55" s="183"/>
      <c r="BA55" s="183"/>
      <c r="BB55" s="183"/>
      <c r="BC55" s="183"/>
      <c r="BD55" s="183"/>
      <c r="BE55" s="183"/>
      <c r="BF55" s="183"/>
      <c r="BG55" s="183"/>
      <c r="BH55" s="183"/>
      <c r="BI55" s="183"/>
      <c r="BJ55" s="183"/>
      <c r="BK55" s="183"/>
      <c r="BL55" s="183"/>
      <c r="BM55" s="183"/>
      <c r="BN55" s="183"/>
      <c r="BO55" s="183"/>
      <c r="BP55" s="183"/>
      <c r="BQ55" s="183"/>
      <c r="BR55" s="183"/>
      <c r="BS55" s="183"/>
      <c r="BT55" s="183"/>
      <c r="BU55" s="183"/>
      <c r="BV55" s="183"/>
      <c r="BW55" s="183"/>
      <c r="BX55" s="183"/>
      <c r="BY55" s="183"/>
      <c r="BZ55" s="183"/>
      <c r="CA55" s="183"/>
      <c r="CB55" s="183"/>
      <c r="CC55" s="183"/>
      <c r="CD55" s="183"/>
      <c r="CE55" s="183"/>
      <c r="CF55" s="183"/>
      <c r="CG55" s="183"/>
      <c r="CH55" s="183"/>
      <c r="CI55" s="183"/>
      <c r="CJ55" s="183"/>
      <c r="CK55" s="183"/>
      <c r="CL55" s="183"/>
      <c r="CM55" s="183"/>
      <c r="CN55" s="183"/>
      <c r="CO55" s="183"/>
      <c r="CP55" s="183"/>
      <c r="CQ55" s="183"/>
      <c r="CR55" s="183"/>
      <c r="CS55" s="183"/>
      <c r="CT55" s="183"/>
      <c r="CU55" s="183"/>
      <c r="CV55" s="183"/>
      <c r="CW55" s="183"/>
      <c r="CX55" s="183"/>
      <c r="CY55" s="183"/>
      <c r="CZ55" s="183"/>
      <c r="DA55" s="183"/>
      <c r="DB55" s="183"/>
      <c r="DC55" s="183"/>
      <c r="DD55" s="183"/>
      <c r="DE55" s="183"/>
      <c r="DF55" s="183"/>
      <c r="DG55" s="183"/>
      <c r="DH55" s="183"/>
      <c r="DI55" s="183"/>
      <c r="DJ55" s="183"/>
      <c r="DK55" s="183"/>
      <c r="DL55" s="183"/>
      <c r="DM55" s="183"/>
      <c r="DN55" s="183"/>
      <c r="DO55" s="183"/>
      <c r="DP55" s="183"/>
      <c r="DQ55" s="183"/>
      <c r="DR55" s="183"/>
      <c r="DS55" s="183"/>
      <c r="DT55" s="183"/>
      <c r="DU55" s="183"/>
      <c r="DV55" s="183"/>
      <c r="DW55" s="183"/>
      <c r="DX55" s="183"/>
      <c r="DY55" s="183"/>
      <c r="DZ55" s="183"/>
      <c r="EA55" s="183"/>
      <c r="EB55" s="183"/>
      <c r="EC55" s="183"/>
      <c r="ED55" s="183"/>
      <c r="EE55" s="183"/>
      <c r="EF55" s="183"/>
      <c r="EG55" s="183"/>
      <c r="EH55" s="183"/>
      <c r="EI55" s="183"/>
      <c r="EJ55" s="183"/>
      <c r="EK55" s="183"/>
      <c r="EL55" s="183"/>
      <c r="EM55" s="183"/>
      <c r="EN55" s="183"/>
      <c r="EO55" s="183"/>
      <c r="EP55" s="183"/>
      <c r="EQ55" s="183"/>
      <c r="ER55" s="183"/>
      <c r="ES55" s="183"/>
      <c r="ET55" s="183"/>
      <c r="EU55" s="183"/>
      <c r="EV55" s="183"/>
      <c r="EW55" s="183"/>
      <c r="EX55" s="183"/>
      <c r="EY55" s="183"/>
      <c r="EZ55" s="183"/>
      <c r="FA55" s="183"/>
      <c r="FB55" s="183"/>
      <c r="FC55" s="183"/>
      <c r="FD55" s="183"/>
      <c r="FE55" s="183"/>
      <c r="FF55" s="183"/>
      <c r="FG55" s="183"/>
      <c r="FH55" s="183"/>
      <c r="FI55" s="183"/>
    </row>
    <row r="56" spans="2:165" ht="0.2" hidden="1" customHeight="1" outlineLevel="1">
      <c r="B56" s="81"/>
      <c r="C56" s="81"/>
      <c r="D56" s="301"/>
      <c r="E56" s="70">
        <v>0</v>
      </c>
      <c r="F56" s="70">
        <v>0</v>
      </c>
      <c r="G56" s="70">
        <v>0</v>
      </c>
      <c r="H56" s="70">
        <v>0</v>
      </c>
      <c r="I56" s="70">
        <v>0</v>
      </c>
      <c r="J56" s="70">
        <v>0</v>
      </c>
      <c r="K56" s="70"/>
      <c r="L56" s="70"/>
      <c r="M56" s="70"/>
      <c r="N56" s="70"/>
      <c r="O56" s="70"/>
      <c r="P56" s="70"/>
      <c r="Q56" s="70"/>
      <c r="R56" s="70">
        <f>IFERROR(SUMIFS(Daily_Vol_yesterday[Order Quantity],Daily_Vol_yesterday[Cust_Cat.cust_channel],  "&lt;&gt;DSO",Daily_Vol_yesterday[Map_Product.TME_SKU],"CMHD_")/50000,0)</f>
        <v>0</v>
      </c>
      <c r="S56" s="70">
        <f>IFERROR(SUM(SUMIFS(Weekly_Vol[Quantity],Weekly_Vol[Map_Product.TME_SKU],"CMHD_"))/50000,0)</f>
        <v>0</v>
      </c>
      <c r="T56" s="82">
        <f t="shared" si="9"/>
        <v>0</v>
      </c>
      <c r="U56" s="83">
        <f t="shared" si="10"/>
        <v>0</v>
      </c>
      <c r="V56" s="84"/>
      <c r="W56" s="183"/>
      <c r="X56" s="186"/>
      <c r="Y56" s="183"/>
      <c r="Z56" s="183"/>
      <c r="AA56" s="183"/>
      <c r="AB56" s="183"/>
      <c r="AC56" s="183"/>
      <c r="AD56" s="183"/>
      <c r="AE56" s="183"/>
      <c r="AF56" s="183"/>
      <c r="AG56" s="183"/>
      <c r="AH56" s="183"/>
      <c r="AI56" s="183"/>
      <c r="AJ56" s="183"/>
      <c r="AK56" s="183"/>
      <c r="AL56" s="183"/>
      <c r="AM56" s="183"/>
      <c r="AN56" s="183"/>
      <c r="AO56" s="183"/>
      <c r="AP56" s="183"/>
      <c r="AQ56" s="183"/>
      <c r="AR56" s="183"/>
      <c r="AS56" s="183"/>
      <c r="AT56" s="183"/>
      <c r="AU56" s="183"/>
      <c r="AV56" s="183"/>
      <c r="AW56" s="183"/>
      <c r="AX56" s="183"/>
      <c r="AY56" s="183"/>
      <c r="AZ56" s="183"/>
      <c r="BA56" s="183"/>
      <c r="BB56" s="183"/>
      <c r="BC56" s="183"/>
      <c r="BD56" s="183"/>
      <c r="BE56" s="183"/>
      <c r="BF56" s="183"/>
      <c r="BG56" s="183"/>
      <c r="BH56" s="183"/>
      <c r="BI56" s="183"/>
      <c r="BJ56" s="183"/>
      <c r="BK56" s="183"/>
      <c r="BL56" s="183"/>
      <c r="BM56" s="183"/>
      <c r="BN56" s="183"/>
      <c r="BO56" s="183"/>
      <c r="BP56" s="183"/>
      <c r="BQ56" s="183"/>
      <c r="BR56" s="183"/>
      <c r="BS56" s="183"/>
      <c r="BT56" s="183"/>
      <c r="BU56" s="183"/>
      <c r="BV56" s="183"/>
      <c r="BW56" s="183"/>
      <c r="BX56" s="183"/>
      <c r="BY56" s="183"/>
      <c r="BZ56" s="183"/>
      <c r="CA56" s="183"/>
      <c r="CB56" s="183"/>
      <c r="CC56" s="183"/>
      <c r="CD56" s="183"/>
      <c r="CE56" s="183"/>
      <c r="CF56" s="183"/>
      <c r="CG56" s="183"/>
      <c r="CH56" s="183"/>
      <c r="CI56" s="183"/>
      <c r="CJ56" s="183"/>
      <c r="CK56" s="183"/>
      <c r="CL56" s="183"/>
      <c r="CM56" s="183"/>
      <c r="CN56" s="183"/>
      <c r="CO56" s="183"/>
      <c r="CP56" s="183"/>
      <c r="CQ56" s="183"/>
      <c r="CR56" s="183"/>
      <c r="CS56" s="183"/>
      <c r="CT56" s="183"/>
      <c r="CU56" s="183"/>
      <c r="CV56" s="183"/>
      <c r="CW56" s="183"/>
      <c r="CX56" s="183"/>
      <c r="CY56" s="183"/>
      <c r="CZ56" s="183"/>
      <c r="DA56" s="183"/>
      <c r="DB56" s="183"/>
      <c r="DC56" s="183"/>
      <c r="DD56" s="183"/>
      <c r="DE56" s="183"/>
      <c r="DF56" s="183"/>
      <c r="DG56" s="183"/>
      <c r="DH56" s="183"/>
      <c r="DI56" s="183"/>
      <c r="DJ56" s="183"/>
      <c r="DK56" s="183"/>
      <c r="DL56" s="183"/>
      <c r="DM56" s="183"/>
      <c r="DN56" s="183"/>
      <c r="DO56" s="183"/>
      <c r="DP56" s="183"/>
      <c r="DQ56" s="183"/>
      <c r="DR56" s="183"/>
      <c r="DS56" s="183"/>
      <c r="DT56" s="183"/>
      <c r="DU56" s="183"/>
      <c r="DV56" s="183"/>
      <c r="DW56" s="183"/>
      <c r="DX56" s="183"/>
      <c r="DY56" s="183"/>
      <c r="DZ56" s="183"/>
      <c r="EA56" s="183"/>
      <c r="EB56" s="183"/>
      <c r="EC56" s="183"/>
      <c r="ED56" s="183"/>
      <c r="EE56" s="183"/>
      <c r="EF56" s="183"/>
      <c r="EG56" s="183"/>
      <c r="EH56" s="183"/>
      <c r="EI56" s="183"/>
      <c r="EJ56" s="183"/>
      <c r="EK56" s="183"/>
      <c r="EL56" s="183"/>
      <c r="EM56" s="183"/>
      <c r="EN56" s="183"/>
      <c r="EO56" s="183"/>
      <c r="EP56" s="183"/>
      <c r="EQ56" s="183"/>
      <c r="ER56" s="183"/>
      <c r="ES56" s="183"/>
      <c r="ET56" s="183"/>
      <c r="EU56" s="183"/>
      <c r="EV56" s="183"/>
      <c r="EW56" s="183"/>
      <c r="EX56" s="183"/>
      <c r="EY56" s="183"/>
      <c r="EZ56" s="183"/>
      <c r="FA56" s="183"/>
      <c r="FB56" s="183"/>
      <c r="FC56" s="183"/>
      <c r="FD56" s="183"/>
      <c r="FE56" s="183"/>
      <c r="FF56" s="183"/>
      <c r="FG56" s="183"/>
      <c r="FH56" s="183"/>
      <c r="FI56" s="183"/>
    </row>
    <row r="57" spans="2:165" ht="0.2" hidden="1" customHeight="1" outlineLevel="1">
      <c r="B57" s="81"/>
      <c r="C57" s="81"/>
      <c r="D57" s="301"/>
      <c r="E57" s="70">
        <v>0</v>
      </c>
      <c r="F57" s="70">
        <v>0</v>
      </c>
      <c r="G57" s="70">
        <v>0</v>
      </c>
      <c r="H57" s="70">
        <v>0</v>
      </c>
      <c r="I57" s="70">
        <v>0</v>
      </c>
      <c r="J57" s="70">
        <v>0</v>
      </c>
      <c r="K57" s="70"/>
      <c r="L57" s="70"/>
      <c r="M57" s="70"/>
      <c r="N57" s="70"/>
      <c r="O57" s="70"/>
      <c r="P57" s="70"/>
      <c r="Q57" s="70"/>
      <c r="R57" s="70">
        <f>IFERROR(SUMIFS(Daily_Vol_yesterday[Order Quantity],Daily_Vol_yesterday[Cust_Cat.cust_channel],  "&lt;&gt;DSO",Daily_Vol_yesterday[Map_Product.TME_SKU],"CMHD_")/50000,0)</f>
        <v>0</v>
      </c>
      <c r="S57" s="70">
        <f>IFERROR(SUM(SUMIFS(Weekly_Vol[Quantity],Weekly_Vol[Map_Product.TME_SKU],"CMHD_"))/50000,0)</f>
        <v>0</v>
      </c>
      <c r="T57" s="82">
        <f t="shared" si="9"/>
        <v>0</v>
      </c>
      <c r="U57" s="83">
        <f t="shared" si="10"/>
        <v>0</v>
      </c>
      <c r="V57" s="84"/>
      <c r="W57" s="183"/>
      <c r="X57" s="186"/>
      <c r="Y57" s="183"/>
      <c r="Z57" s="183"/>
      <c r="AA57" s="183"/>
      <c r="AB57" s="183"/>
      <c r="AC57" s="183"/>
      <c r="AD57" s="183"/>
      <c r="AE57" s="183"/>
      <c r="AF57" s="183"/>
      <c r="AG57" s="183"/>
      <c r="AH57" s="183"/>
      <c r="AI57" s="183"/>
      <c r="AJ57" s="183"/>
      <c r="AK57" s="183"/>
      <c r="AL57" s="183"/>
      <c r="AM57" s="183"/>
      <c r="AN57" s="183"/>
      <c r="AO57" s="183"/>
      <c r="AP57" s="183"/>
      <c r="AQ57" s="183"/>
      <c r="AR57" s="183"/>
      <c r="AS57" s="183"/>
      <c r="AT57" s="183"/>
      <c r="AU57" s="183"/>
      <c r="AV57" s="183"/>
      <c r="AW57" s="183"/>
      <c r="AX57" s="183"/>
      <c r="AY57" s="183"/>
      <c r="AZ57" s="183"/>
      <c r="BA57" s="183"/>
      <c r="BB57" s="183"/>
      <c r="BC57" s="183"/>
      <c r="BD57" s="183"/>
      <c r="BE57" s="183"/>
      <c r="BF57" s="183"/>
      <c r="BG57" s="183"/>
      <c r="BH57" s="183"/>
      <c r="BI57" s="183"/>
      <c r="BJ57" s="183"/>
      <c r="BK57" s="183"/>
      <c r="BL57" s="183"/>
      <c r="BM57" s="183"/>
      <c r="BN57" s="183"/>
      <c r="BO57" s="183"/>
      <c r="BP57" s="183"/>
      <c r="BQ57" s="183"/>
      <c r="BR57" s="183"/>
      <c r="BS57" s="183"/>
      <c r="BT57" s="183"/>
      <c r="BU57" s="183"/>
      <c r="BV57" s="183"/>
      <c r="BW57" s="183"/>
      <c r="BX57" s="183"/>
      <c r="BY57" s="183"/>
      <c r="BZ57" s="183"/>
      <c r="CA57" s="183"/>
      <c r="CB57" s="183"/>
      <c r="CC57" s="183"/>
      <c r="CD57" s="183"/>
      <c r="CE57" s="183"/>
      <c r="CF57" s="183"/>
      <c r="CG57" s="183"/>
      <c r="CH57" s="183"/>
      <c r="CI57" s="183"/>
      <c r="CJ57" s="183"/>
      <c r="CK57" s="183"/>
      <c r="CL57" s="183"/>
      <c r="CM57" s="183"/>
      <c r="CN57" s="183"/>
      <c r="CO57" s="183"/>
      <c r="CP57" s="183"/>
      <c r="CQ57" s="183"/>
      <c r="CR57" s="183"/>
      <c r="CS57" s="183"/>
      <c r="CT57" s="183"/>
      <c r="CU57" s="183"/>
      <c r="CV57" s="183"/>
      <c r="CW57" s="183"/>
      <c r="CX57" s="183"/>
      <c r="CY57" s="183"/>
      <c r="CZ57" s="183"/>
      <c r="DA57" s="183"/>
      <c r="DB57" s="183"/>
      <c r="DC57" s="183"/>
      <c r="DD57" s="183"/>
      <c r="DE57" s="183"/>
      <c r="DF57" s="183"/>
      <c r="DG57" s="183"/>
      <c r="DH57" s="183"/>
      <c r="DI57" s="183"/>
      <c r="DJ57" s="183"/>
      <c r="DK57" s="183"/>
      <c r="DL57" s="183"/>
      <c r="DM57" s="183"/>
      <c r="DN57" s="183"/>
      <c r="DO57" s="183"/>
      <c r="DP57" s="183"/>
      <c r="DQ57" s="183"/>
      <c r="DR57" s="183"/>
      <c r="DS57" s="183"/>
      <c r="DT57" s="183"/>
      <c r="DU57" s="183"/>
      <c r="DV57" s="183"/>
      <c r="DW57" s="183"/>
      <c r="DX57" s="183"/>
      <c r="DY57" s="183"/>
      <c r="DZ57" s="183"/>
      <c r="EA57" s="183"/>
      <c r="EB57" s="183"/>
      <c r="EC57" s="183"/>
      <c r="ED57" s="183"/>
      <c r="EE57" s="183"/>
      <c r="EF57" s="183"/>
      <c r="EG57" s="183"/>
      <c r="EH57" s="183"/>
      <c r="EI57" s="183"/>
      <c r="EJ57" s="183"/>
      <c r="EK57" s="183"/>
      <c r="EL57" s="183"/>
      <c r="EM57" s="183"/>
      <c r="EN57" s="183"/>
      <c r="EO57" s="183"/>
      <c r="EP57" s="183"/>
      <c r="EQ57" s="183"/>
      <c r="ER57" s="183"/>
      <c r="ES57" s="183"/>
      <c r="ET57" s="183"/>
      <c r="EU57" s="183"/>
      <c r="EV57" s="183"/>
      <c r="EW57" s="183"/>
      <c r="EX57" s="183"/>
      <c r="EY57" s="183"/>
      <c r="EZ57" s="183"/>
      <c r="FA57" s="183"/>
      <c r="FB57" s="183"/>
      <c r="FC57" s="183"/>
      <c r="FD57" s="183"/>
      <c r="FE57" s="183"/>
      <c r="FF57" s="183"/>
      <c r="FG57" s="183"/>
      <c r="FH57" s="183"/>
      <c r="FI57" s="183"/>
    </row>
    <row r="58" spans="2:165" ht="0.2" hidden="1" customHeight="1" outlineLevel="1">
      <c r="B58" s="81"/>
      <c r="C58" s="81"/>
      <c r="D58" s="301"/>
      <c r="E58" s="70">
        <v>0</v>
      </c>
      <c r="F58" s="70">
        <v>0</v>
      </c>
      <c r="G58" s="70">
        <v>0</v>
      </c>
      <c r="H58" s="70">
        <v>0</v>
      </c>
      <c r="I58" s="70">
        <v>0</v>
      </c>
      <c r="J58" s="70">
        <v>0</v>
      </c>
      <c r="K58" s="70"/>
      <c r="L58" s="70"/>
      <c r="M58" s="70"/>
      <c r="N58" s="70"/>
      <c r="O58" s="70"/>
      <c r="P58" s="70"/>
      <c r="Q58" s="70"/>
      <c r="R58" s="70">
        <f>IFERROR(SUMIFS(Daily_Vol_yesterday[Order Quantity],Daily_Vol_yesterday[Cust_Cat.cust_channel],  "&lt;&gt;DSO",Daily_Vol_yesterday[Map_Product.TME_SKU],"CMHD_")/50000,0)</f>
        <v>0</v>
      </c>
      <c r="S58" s="70">
        <f>IFERROR(SUM(SUMIFS(Weekly_Vol[Quantity],Weekly_Vol[Map_Product.TME_SKU],"CMHD_"))/50000,0)</f>
        <v>0</v>
      </c>
      <c r="T58" s="82">
        <f t="shared" si="9"/>
        <v>0</v>
      </c>
      <c r="U58" s="83">
        <f t="shared" si="10"/>
        <v>0</v>
      </c>
      <c r="V58" s="84"/>
      <c r="W58" s="183"/>
      <c r="X58" s="186"/>
      <c r="Y58" s="183"/>
      <c r="Z58" s="183"/>
      <c r="AA58" s="183"/>
      <c r="AB58" s="183"/>
      <c r="AC58" s="183"/>
      <c r="AD58" s="183"/>
      <c r="AE58" s="183"/>
      <c r="AF58" s="183"/>
      <c r="AG58" s="183"/>
      <c r="AH58" s="183"/>
      <c r="AI58" s="183"/>
      <c r="AJ58" s="183"/>
      <c r="AK58" s="183"/>
      <c r="AL58" s="183"/>
      <c r="AM58" s="183"/>
      <c r="AN58" s="183"/>
      <c r="AO58" s="183"/>
      <c r="AP58" s="183"/>
      <c r="AQ58" s="183"/>
      <c r="AR58" s="183"/>
      <c r="AS58" s="183"/>
      <c r="AT58" s="183"/>
      <c r="AU58" s="183"/>
      <c r="AV58" s="183"/>
      <c r="AW58" s="183"/>
      <c r="AX58" s="183"/>
      <c r="AY58" s="183"/>
      <c r="AZ58" s="183"/>
      <c r="BA58" s="183"/>
      <c r="BB58" s="183"/>
      <c r="BC58" s="183"/>
      <c r="BD58" s="183"/>
      <c r="BE58" s="183"/>
      <c r="BF58" s="183"/>
      <c r="BG58" s="183"/>
      <c r="BH58" s="183"/>
      <c r="BI58" s="183"/>
      <c r="BJ58" s="183"/>
      <c r="BK58" s="183"/>
      <c r="BL58" s="183"/>
      <c r="BM58" s="183"/>
      <c r="BN58" s="183"/>
      <c r="BO58" s="183"/>
      <c r="BP58" s="183"/>
      <c r="BQ58" s="183"/>
      <c r="BR58" s="183"/>
      <c r="BS58" s="183"/>
      <c r="BT58" s="183"/>
      <c r="BU58" s="183"/>
      <c r="BV58" s="183"/>
      <c r="BW58" s="183"/>
      <c r="BX58" s="183"/>
      <c r="BY58" s="183"/>
      <c r="BZ58" s="183"/>
      <c r="CA58" s="183"/>
      <c r="CB58" s="183"/>
      <c r="CC58" s="183"/>
      <c r="CD58" s="183"/>
      <c r="CE58" s="183"/>
      <c r="CF58" s="183"/>
      <c r="CG58" s="183"/>
      <c r="CH58" s="183"/>
      <c r="CI58" s="183"/>
      <c r="CJ58" s="183"/>
      <c r="CK58" s="183"/>
      <c r="CL58" s="183"/>
      <c r="CM58" s="183"/>
      <c r="CN58" s="183"/>
      <c r="CO58" s="183"/>
      <c r="CP58" s="183"/>
      <c r="CQ58" s="183"/>
      <c r="CR58" s="183"/>
      <c r="CS58" s="183"/>
      <c r="CT58" s="183"/>
      <c r="CU58" s="183"/>
      <c r="CV58" s="183"/>
      <c r="CW58" s="183"/>
      <c r="CX58" s="183"/>
      <c r="CY58" s="183"/>
      <c r="CZ58" s="183"/>
      <c r="DA58" s="183"/>
      <c r="DB58" s="183"/>
      <c r="DC58" s="183"/>
      <c r="DD58" s="183"/>
      <c r="DE58" s="183"/>
      <c r="DF58" s="183"/>
      <c r="DG58" s="183"/>
      <c r="DH58" s="183"/>
      <c r="DI58" s="183"/>
      <c r="DJ58" s="183"/>
      <c r="DK58" s="183"/>
      <c r="DL58" s="183"/>
      <c r="DM58" s="183"/>
      <c r="DN58" s="183"/>
      <c r="DO58" s="183"/>
      <c r="DP58" s="183"/>
      <c r="DQ58" s="183"/>
      <c r="DR58" s="183"/>
      <c r="DS58" s="183"/>
      <c r="DT58" s="183"/>
      <c r="DU58" s="183"/>
      <c r="DV58" s="183"/>
      <c r="DW58" s="183"/>
      <c r="DX58" s="183"/>
      <c r="DY58" s="183"/>
      <c r="DZ58" s="183"/>
      <c r="EA58" s="183"/>
      <c r="EB58" s="183"/>
      <c r="EC58" s="183"/>
      <c r="ED58" s="183"/>
      <c r="EE58" s="183"/>
      <c r="EF58" s="183"/>
      <c r="EG58" s="183"/>
      <c r="EH58" s="183"/>
      <c r="EI58" s="183"/>
      <c r="EJ58" s="183"/>
      <c r="EK58" s="183"/>
      <c r="EL58" s="183"/>
      <c r="EM58" s="183"/>
      <c r="EN58" s="183"/>
      <c r="EO58" s="183"/>
      <c r="EP58" s="183"/>
      <c r="EQ58" s="183"/>
      <c r="ER58" s="183"/>
      <c r="ES58" s="183"/>
      <c r="ET58" s="183"/>
      <c r="EU58" s="183"/>
      <c r="EV58" s="183"/>
      <c r="EW58" s="183"/>
      <c r="EX58" s="183"/>
      <c r="EY58" s="183"/>
      <c r="EZ58" s="183"/>
      <c r="FA58" s="183"/>
      <c r="FB58" s="183"/>
      <c r="FC58" s="183"/>
      <c r="FD58" s="183"/>
      <c r="FE58" s="183"/>
      <c r="FF58" s="183"/>
      <c r="FG58" s="183"/>
      <c r="FH58" s="183"/>
      <c r="FI58" s="183"/>
    </row>
    <row r="59" spans="2:165" ht="0.2" hidden="1" customHeight="1" outlineLevel="1">
      <c r="B59" s="81"/>
      <c r="C59" s="81"/>
      <c r="D59" s="301"/>
      <c r="E59" s="70">
        <v>0</v>
      </c>
      <c r="F59" s="70">
        <v>0</v>
      </c>
      <c r="G59" s="70">
        <v>0</v>
      </c>
      <c r="H59" s="70">
        <v>0</v>
      </c>
      <c r="I59" s="70">
        <v>0</v>
      </c>
      <c r="J59" s="70">
        <v>0</v>
      </c>
      <c r="K59" s="70"/>
      <c r="L59" s="70"/>
      <c r="M59" s="70"/>
      <c r="N59" s="70"/>
      <c r="O59" s="70"/>
      <c r="P59" s="70"/>
      <c r="Q59" s="70"/>
      <c r="R59" s="70">
        <f>IFERROR(SUMIFS(Daily_Vol_yesterday[Order Quantity],Daily_Vol_yesterday[Cust_Cat.cust_channel],  "&lt;&gt;DSO",Daily_Vol_yesterday[Map_Product.TME_SKU],"CMHD_")/50000,0)</f>
        <v>0</v>
      </c>
      <c r="S59" s="70">
        <f>IFERROR(SUM(SUMIFS(Weekly_Vol[Quantity],Weekly_Vol[Map_Product.TME_SKU],"CMHD_"))/50000,0)</f>
        <v>0</v>
      </c>
      <c r="T59" s="82">
        <f t="shared" si="9"/>
        <v>0</v>
      </c>
      <c r="U59" s="83">
        <f t="shared" si="10"/>
        <v>0</v>
      </c>
      <c r="V59" s="84"/>
      <c r="W59" s="183"/>
      <c r="X59" s="186"/>
      <c r="Y59" s="183"/>
      <c r="Z59" s="183"/>
      <c r="AA59" s="183"/>
      <c r="AB59" s="183"/>
      <c r="AC59" s="183"/>
      <c r="AD59" s="183"/>
      <c r="AE59" s="183"/>
      <c r="AF59" s="183"/>
      <c r="AG59" s="183"/>
      <c r="AH59" s="183"/>
      <c r="AI59" s="183"/>
      <c r="AJ59" s="183"/>
      <c r="AK59" s="183"/>
      <c r="AL59" s="183"/>
      <c r="AM59" s="183"/>
      <c r="AN59" s="183"/>
      <c r="AO59" s="183"/>
      <c r="AP59" s="183"/>
      <c r="AQ59" s="183"/>
      <c r="AR59" s="183"/>
      <c r="AS59" s="183"/>
      <c r="AT59" s="183"/>
      <c r="AU59" s="183"/>
      <c r="AV59" s="183"/>
      <c r="AW59" s="183"/>
      <c r="AX59" s="183"/>
      <c r="AY59" s="183"/>
      <c r="AZ59" s="183"/>
      <c r="BA59" s="183"/>
      <c r="BB59" s="183"/>
      <c r="BC59" s="183"/>
      <c r="BD59" s="183"/>
      <c r="BE59" s="183"/>
      <c r="BF59" s="183"/>
      <c r="BG59" s="183"/>
      <c r="BH59" s="183"/>
      <c r="BI59" s="183"/>
      <c r="BJ59" s="183"/>
      <c r="BK59" s="183"/>
      <c r="BL59" s="183"/>
      <c r="BM59" s="183"/>
      <c r="BN59" s="183"/>
      <c r="BO59" s="183"/>
      <c r="BP59" s="183"/>
      <c r="BQ59" s="183"/>
      <c r="BR59" s="183"/>
      <c r="BS59" s="183"/>
      <c r="BT59" s="183"/>
      <c r="BU59" s="183"/>
      <c r="BV59" s="183"/>
      <c r="BW59" s="183"/>
      <c r="BX59" s="183"/>
      <c r="BY59" s="183"/>
      <c r="BZ59" s="183"/>
      <c r="CA59" s="183"/>
      <c r="CB59" s="183"/>
      <c r="CC59" s="183"/>
      <c r="CD59" s="183"/>
      <c r="CE59" s="183"/>
      <c r="CF59" s="183"/>
      <c r="CG59" s="183"/>
      <c r="CH59" s="183"/>
      <c r="CI59" s="183"/>
      <c r="CJ59" s="183"/>
      <c r="CK59" s="183"/>
      <c r="CL59" s="183"/>
      <c r="CM59" s="183"/>
      <c r="CN59" s="183"/>
      <c r="CO59" s="183"/>
      <c r="CP59" s="183"/>
      <c r="CQ59" s="183"/>
      <c r="CR59" s="183"/>
      <c r="CS59" s="183"/>
      <c r="CT59" s="183"/>
      <c r="CU59" s="183"/>
      <c r="CV59" s="183"/>
      <c r="CW59" s="183"/>
      <c r="CX59" s="183"/>
      <c r="CY59" s="183"/>
      <c r="CZ59" s="183"/>
      <c r="DA59" s="183"/>
      <c r="DB59" s="183"/>
      <c r="DC59" s="183"/>
      <c r="DD59" s="183"/>
      <c r="DE59" s="183"/>
      <c r="DF59" s="183"/>
      <c r="DG59" s="183"/>
      <c r="DH59" s="183"/>
      <c r="DI59" s="183"/>
      <c r="DJ59" s="183"/>
      <c r="DK59" s="183"/>
      <c r="DL59" s="183"/>
      <c r="DM59" s="183"/>
      <c r="DN59" s="183"/>
      <c r="DO59" s="183"/>
      <c r="DP59" s="183"/>
      <c r="DQ59" s="183"/>
      <c r="DR59" s="183"/>
      <c r="DS59" s="183"/>
      <c r="DT59" s="183"/>
      <c r="DU59" s="183"/>
      <c r="DV59" s="183"/>
      <c r="DW59" s="183"/>
      <c r="DX59" s="183"/>
      <c r="DY59" s="183"/>
      <c r="DZ59" s="183"/>
      <c r="EA59" s="183"/>
      <c r="EB59" s="183"/>
      <c r="EC59" s="183"/>
      <c r="ED59" s="183"/>
      <c r="EE59" s="183"/>
      <c r="EF59" s="183"/>
      <c r="EG59" s="183"/>
      <c r="EH59" s="183"/>
      <c r="EI59" s="183"/>
      <c r="EJ59" s="183"/>
      <c r="EK59" s="183"/>
      <c r="EL59" s="183"/>
      <c r="EM59" s="183"/>
      <c r="EN59" s="183"/>
      <c r="EO59" s="183"/>
      <c r="EP59" s="183"/>
      <c r="EQ59" s="183"/>
      <c r="ER59" s="183"/>
      <c r="ES59" s="183"/>
      <c r="ET59" s="183"/>
      <c r="EU59" s="183"/>
      <c r="EV59" s="183"/>
      <c r="EW59" s="183"/>
      <c r="EX59" s="183"/>
      <c r="EY59" s="183"/>
      <c r="EZ59" s="183"/>
      <c r="FA59" s="183"/>
      <c r="FB59" s="183"/>
      <c r="FC59" s="183"/>
      <c r="FD59" s="183"/>
      <c r="FE59" s="183"/>
      <c r="FF59" s="183"/>
      <c r="FG59" s="183"/>
      <c r="FH59" s="183"/>
      <c r="FI59" s="183"/>
    </row>
    <row r="60" spans="2:165" ht="15" customHeight="1" collapsed="1">
      <c r="B60" s="24" t="s">
        <v>25</v>
      </c>
      <c r="C60" s="24" t="s">
        <v>264</v>
      </c>
      <c r="D60" s="398"/>
      <c r="E60" s="25">
        <v>19.75254</v>
      </c>
      <c r="F60" s="25">
        <v>18.69998</v>
      </c>
      <c r="G60" s="25">
        <v>22.811839999999997</v>
      </c>
      <c r="H60" s="25">
        <v>25.100499999999997</v>
      </c>
      <c r="I60" s="25">
        <v>23.979140000000001</v>
      </c>
      <c r="J60" s="25">
        <v>12.670159999999999</v>
      </c>
      <c r="K60" s="25"/>
      <c r="L60" s="25"/>
      <c r="M60" s="25"/>
      <c r="N60" s="25"/>
      <c r="O60" s="25"/>
      <c r="P60" s="25"/>
      <c r="Q60" s="25">
        <f>Q152+EQ152</f>
        <v>20.211400964975695</v>
      </c>
      <c r="R60" s="25">
        <f ca="1">ER152+R152</f>
        <v>0.79360000000000008</v>
      </c>
      <c r="S60" s="25">
        <f ca="1">$EZ$152+$FD$152+$S$152</f>
        <v>12.670159999999999</v>
      </c>
      <c r="T60" s="25">
        <f>SUM(E60:P60)</f>
        <v>123.01415999999999</v>
      </c>
      <c r="U60" s="59">
        <f>IFERROR(T60/$T$101,0)</f>
        <v>0.16422910200945753</v>
      </c>
      <c r="V60" s="27">
        <f ca="1">IFERROR(S60/Q60,0)</f>
        <v>0.62688182882305388</v>
      </c>
      <c r="W60" s="25">
        <f>$FR$152+$S$152</f>
        <v>10.318159999999999</v>
      </c>
      <c r="X60" s="27">
        <f>IFERROR(W60/Q60,0)</f>
        <v>0.51051186495583967</v>
      </c>
      <c r="Y60" s="183"/>
      <c r="Z60" s="183"/>
      <c r="AA60" s="183"/>
      <c r="AB60" s="183"/>
      <c r="AC60" s="183"/>
      <c r="AD60" s="183"/>
      <c r="AE60" s="183"/>
      <c r="AF60" s="183"/>
      <c r="AG60" s="183"/>
      <c r="AH60" s="183"/>
      <c r="AI60" s="183"/>
      <c r="AJ60" s="183"/>
      <c r="AK60" s="183"/>
      <c r="AL60" s="183"/>
      <c r="AM60" s="183"/>
      <c r="AN60" s="183"/>
      <c r="AO60" s="183"/>
      <c r="AP60" s="183"/>
      <c r="AQ60" s="183"/>
      <c r="AR60" s="183"/>
      <c r="AS60" s="183"/>
      <c r="AT60" s="183"/>
      <c r="AU60" s="183"/>
      <c r="AV60" s="183"/>
      <c r="AW60" s="183"/>
      <c r="AX60" s="183"/>
      <c r="AY60" s="183"/>
      <c r="AZ60" s="183"/>
      <c r="BA60" s="183"/>
      <c r="BB60" s="183"/>
      <c r="BC60" s="183"/>
      <c r="BD60" s="183"/>
      <c r="BE60" s="183"/>
      <c r="BF60" s="183"/>
      <c r="BG60" s="183"/>
      <c r="BH60" s="183"/>
      <c r="BI60" s="183"/>
      <c r="BJ60" s="183"/>
      <c r="BK60" s="183"/>
      <c r="BL60" s="183"/>
      <c r="BM60" s="183"/>
      <c r="BN60" s="183"/>
      <c r="BO60" s="183"/>
      <c r="BP60" s="183"/>
      <c r="BQ60" s="183"/>
      <c r="BR60" s="183"/>
      <c r="BS60" s="183"/>
      <c r="BT60" s="183"/>
      <c r="BU60" s="183"/>
      <c r="BV60" s="183"/>
      <c r="BW60" s="183"/>
      <c r="BX60" s="183"/>
      <c r="BY60" s="183"/>
      <c r="BZ60" s="183"/>
      <c r="CA60" s="183"/>
      <c r="CB60" s="183"/>
      <c r="CC60" s="183"/>
      <c r="CD60" s="183"/>
      <c r="CE60" s="183"/>
      <c r="CF60" s="183"/>
      <c r="CG60" s="183"/>
      <c r="CH60" s="183"/>
      <c r="CI60" s="183"/>
      <c r="CJ60" s="183"/>
      <c r="CK60" s="183"/>
      <c r="CL60" s="183"/>
      <c r="CM60" s="183"/>
      <c r="CN60" s="183"/>
      <c r="CO60" s="183"/>
      <c r="CP60" s="183"/>
      <c r="CQ60" s="183"/>
      <c r="CR60" s="183"/>
      <c r="CS60" s="183"/>
      <c r="CT60" s="183"/>
      <c r="CU60" s="183"/>
      <c r="CV60" s="183"/>
      <c r="CW60" s="183"/>
      <c r="CX60" s="183"/>
      <c r="CY60" s="183"/>
      <c r="CZ60" s="183"/>
      <c r="DA60" s="183"/>
      <c r="DB60" s="183"/>
      <c r="DC60" s="183"/>
      <c r="DD60" s="183"/>
      <c r="DE60" s="183"/>
      <c r="DF60" s="183"/>
      <c r="DG60" s="183"/>
      <c r="DH60" s="183"/>
      <c r="DI60" s="183"/>
      <c r="DJ60" s="183"/>
      <c r="DK60" s="183"/>
      <c r="DL60" s="183"/>
      <c r="DM60" s="183"/>
      <c r="DN60" s="183"/>
      <c r="DO60" s="183"/>
      <c r="DP60" s="183"/>
      <c r="DQ60" s="183"/>
      <c r="DR60" s="183"/>
      <c r="DS60" s="183"/>
      <c r="DT60" s="183"/>
      <c r="DU60" s="183"/>
      <c r="DV60" s="183"/>
      <c r="DW60" s="183"/>
      <c r="DX60" s="183"/>
      <c r="DY60" s="183"/>
      <c r="DZ60" s="183"/>
      <c r="EA60" s="183"/>
      <c r="EB60" s="183"/>
      <c r="EC60" s="183"/>
      <c r="ED60" s="183"/>
      <c r="EE60" s="183"/>
      <c r="EF60" s="183"/>
      <c r="EG60" s="183"/>
      <c r="EH60" s="183"/>
      <c r="EI60" s="183"/>
      <c r="EJ60" s="183"/>
      <c r="EK60" s="183"/>
      <c r="EL60" s="183"/>
      <c r="EM60" s="183"/>
      <c r="EN60" s="183"/>
      <c r="EO60" s="183"/>
      <c r="EP60" s="183"/>
      <c r="EQ60" s="183"/>
      <c r="ER60" s="183"/>
      <c r="ES60" s="183"/>
      <c r="ET60" s="183"/>
      <c r="EU60" s="183"/>
      <c r="EV60" s="183"/>
      <c r="EW60" s="183"/>
      <c r="EX60" s="183"/>
      <c r="EY60" s="183"/>
      <c r="EZ60" s="183"/>
      <c r="FA60" s="183"/>
      <c r="FB60" s="183"/>
      <c r="FC60" s="183"/>
      <c r="FD60" s="183"/>
      <c r="FE60" s="183"/>
      <c r="FF60" s="183"/>
      <c r="FG60" s="183"/>
      <c r="FH60" s="183"/>
      <c r="FI60" s="183"/>
    </row>
    <row r="61" spans="2:165" ht="0.2" customHeight="1" outlineLevel="1">
      <c r="B61" s="81"/>
      <c r="C61" s="81"/>
      <c r="D61" s="301"/>
      <c r="E61" s="70"/>
      <c r="F61" s="70"/>
      <c r="G61" s="70"/>
      <c r="H61" s="70"/>
      <c r="I61" s="70"/>
      <c r="J61" s="70"/>
      <c r="K61" s="70"/>
      <c r="L61" s="70"/>
      <c r="M61" s="70"/>
      <c r="N61" s="70"/>
      <c r="O61" s="70"/>
      <c r="P61" s="70"/>
      <c r="Q61" s="70"/>
      <c r="R61" s="70"/>
      <c r="S61" s="70"/>
      <c r="T61" s="82"/>
      <c r="U61" s="83"/>
      <c r="V61" s="84"/>
      <c r="W61" s="183"/>
      <c r="X61" s="186"/>
      <c r="Y61" s="183"/>
      <c r="Z61" s="183"/>
      <c r="AA61" s="183"/>
      <c r="AB61" s="183"/>
      <c r="AC61" s="183"/>
      <c r="AD61" s="183"/>
      <c r="AE61" s="183"/>
      <c r="AF61" s="183"/>
      <c r="AG61" s="183"/>
      <c r="AH61" s="183"/>
      <c r="AI61" s="183"/>
      <c r="AJ61" s="183"/>
      <c r="AK61" s="183"/>
      <c r="AL61" s="183"/>
      <c r="AM61" s="183"/>
      <c r="AN61" s="183"/>
      <c r="AO61" s="183"/>
      <c r="AP61" s="183"/>
      <c r="AQ61" s="183"/>
      <c r="AR61" s="183"/>
      <c r="AS61" s="183"/>
      <c r="AT61" s="183"/>
      <c r="AU61" s="183"/>
      <c r="AV61" s="183"/>
      <c r="AW61" s="183"/>
      <c r="AX61" s="183"/>
      <c r="AY61" s="183"/>
      <c r="AZ61" s="183"/>
      <c r="BA61" s="183"/>
      <c r="BB61" s="183"/>
      <c r="BC61" s="183"/>
      <c r="BD61" s="183"/>
      <c r="BE61" s="183"/>
      <c r="BF61" s="183"/>
      <c r="BG61" s="183"/>
      <c r="BH61" s="183"/>
      <c r="BI61" s="183"/>
      <c r="BJ61" s="183"/>
      <c r="BK61" s="183"/>
      <c r="BL61" s="183"/>
      <c r="BM61" s="183"/>
      <c r="BN61" s="183"/>
      <c r="BO61" s="183"/>
      <c r="BP61" s="183"/>
      <c r="BQ61" s="183"/>
      <c r="BR61" s="183"/>
      <c r="BS61" s="183"/>
      <c r="BT61" s="183"/>
      <c r="BU61" s="183"/>
      <c r="BV61" s="183"/>
      <c r="BW61" s="183"/>
      <c r="BX61" s="183"/>
      <c r="BY61" s="183"/>
      <c r="BZ61" s="183"/>
      <c r="CA61" s="183"/>
      <c r="CB61" s="183"/>
      <c r="CC61" s="183"/>
      <c r="CD61" s="183"/>
      <c r="CE61" s="183"/>
      <c r="CF61" s="183"/>
      <c r="CG61" s="183"/>
      <c r="CH61" s="183"/>
      <c r="CI61" s="183"/>
      <c r="CJ61" s="183"/>
      <c r="CK61" s="183"/>
      <c r="CL61" s="183"/>
      <c r="CM61" s="183"/>
      <c r="CN61" s="183"/>
      <c r="CO61" s="183"/>
      <c r="CP61" s="183"/>
      <c r="CQ61" s="183"/>
      <c r="CR61" s="183"/>
      <c r="CS61" s="183"/>
      <c r="CT61" s="183"/>
      <c r="CU61" s="183"/>
      <c r="CV61" s="183"/>
      <c r="CW61" s="183"/>
      <c r="CX61" s="183"/>
      <c r="CY61" s="183"/>
      <c r="CZ61" s="183"/>
      <c r="DA61" s="183"/>
      <c r="DB61" s="183"/>
      <c r="DC61" s="183"/>
      <c r="DD61" s="183"/>
      <c r="DE61" s="183"/>
      <c r="DF61" s="183"/>
      <c r="DG61" s="183"/>
      <c r="DH61" s="183"/>
      <c r="DI61" s="183"/>
      <c r="DJ61" s="183"/>
      <c r="DK61" s="183"/>
      <c r="DL61" s="183"/>
      <c r="DM61" s="183"/>
      <c r="DN61" s="183"/>
      <c r="DO61" s="183"/>
      <c r="DP61" s="183"/>
      <c r="DQ61" s="183"/>
      <c r="DR61" s="183"/>
      <c r="DS61" s="183"/>
      <c r="DT61" s="183"/>
      <c r="DU61" s="183"/>
      <c r="DV61" s="183"/>
      <c r="DW61" s="183"/>
      <c r="DX61" s="183"/>
      <c r="DY61" s="183"/>
      <c r="DZ61" s="183"/>
      <c r="EA61" s="183"/>
      <c r="EB61" s="183"/>
      <c r="EC61" s="183"/>
      <c r="ED61" s="183"/>
      <c r="EE61" s="183"/>
      <c r="EF61" s="183"/>
      <c r="EG61" s="183"/>
      <c r="EH61" s="183"/>
      <c r="EI61" s="183"/>
      <c r="EJ61" s="183"/>
      <c r="EK61" s="183"/>
      <c r="EL61" s="183"/>
      <c r="EM61" s="183"/>
      <c r="EN61" s="183"/>
      <c r="EO61" s="183"/>
      <c r="EP61" s="183"/>
      <c r="EQ61" s="183"/>
      <c r="ER61" s="183"/>
      <c r="ES61" s="183"/>
      <c r="ET61" s="183"/>
      <c r="EU61" s="183"/>
      <c r="EV61" s="183"/>
      <c r="EW61" s="183"/>
      <c r="EX61" s="183"/>
      <c r="EY61" s="183"/>
      <c r="EZ61" s="183"/>
      <c r="FA61" s="183"/>
      <c r="FB61" s="183"/>
      <c r="FC61" s="183"/>
      <c r="FD61" s="183"/>
      <c r="FE61" s="183"/>
      <c r="FF61" s="183"/>
      <c r="FG61" s="183"/>
      <c r="FH61" s="183"/>
      <c r="FI61" s="183"/>
    </row>
    <row r="62" spans="2:165" ht="0.2" customHeight="1" outlineLevel="1">
      <c r="B62" s="81"/>
      <c r="C62" s="81"/>
      <c r="D62" s="301"/>
      <c r="E62" s="70"/>
      <c r="F62" s="70"/>
      <c r="G62" s="70"/>
      <c r="H62" s="70"/>
      <c r="I62" s="70"/>
      <c r="J62" s="70"/>
      <c r="K62" s="70"/>
      <c r="L62" s="70"/>
      <c r="M62" s="70"/>
      <c r="N62" s="70"/>
      <c r="O62" s="70"/>
      <c r="P62" s="70"/>
      <c r="Q62" s="70"/>
      <c r="R62" s="70"/>
      <c r="S62" s="70"/>
      <c r="T62" s="82"/>
      <c r="U62" s="83"/>
      <c r="V62" s="84"/>
      <c r="W62" s="183"/>
      <c r="X62" s="186"/>
      <c r="Y62" s="183"/>
      <c r="Z62" s="183"/>
      <c r="AA62" s="183"/>
      <c r="AB62" s="183"/>
      <c r="AC62" s="183"/>
      <c r="AD62" s="183"/>
      <c r="AE62" s="183"/>
      <c r="AF62" s="183"/>
      <c r="AG62" s="183"/>
      <c r="AH62" s="183"/>
      <c r="AI62" s="183"/>
      <c r="AJ62" s="183"/>
      <c r="AK62" s="183"/>
      <c r="AL62" s="183"/>
      <c r="AM62" s="183"/>
      <c r="AN62" s="183"/>
      <c r="AO62" s="183"/>
      <c r="AP62" s="183"/>
      <c r="AQ62" s="183"/>
      <c r="AR62" s="183"/>
      <c r="AS62" s="183"/>
      <c r="AT62" s="183"/>
      <c r="AU62" s="183"/>
      <c r="AV62" s="183"/>
      <c r="AW62" s="183"/>
      <c r="AX62" s="183"/>
      <c r="AY62" s="183"/>
      <c r="AZ62" s="183"/>
      <c r="BA62" s="183"/>
      <c r="BB62" s="183"/>
      <c r="BC62" s="183"/>
      <c r="BD62" s="183"/>
      <c r="BE62" s="183"/>
      <c r="BF62" s="183"/>
      <c r="BG62" s="183"/>
      <c r="BH62" s="183"/>
      <c r="BI62" s="183"/>
      <c r="BJ62" s="183"/>
      <c r="BK62" s="183"/>
      <c r="BL62" s="183"/>
      <c r="BM62" s="183"/>
      <c r="BN62" s="183"/>
      <c r="BO62" s="183"/>
      <c r="BP62" s="183"/>
      <c r="BQ62" s="183"/>
      <c r="BR62" s="183"/>
      <c r="BS62" s="183"/>
      <c r="BT62" s="183"/>
      <c r="BU62" s="183"/>
      <c r="BV62" s="183"/>
      <c r="BW62" s="183"/>
      <c r="BX62" s="183"/>
      <c r="BY62" s="183"/>
      <c r="BZ62" s="183"/>
      <c r="CA62" s="183"/>
      <c r="CB62" s="183"/>
      <c r="CC62" s="183"/>
      <c r="CD62" s="183"/>
      <c r="CE62" s="183"/>
      <c r="CF62" s="183"/>
      <c r="CG62" s="183"/>
      <c r="CH62" s="183"/>
      <c r="CI62" s="183"/>
      <c r="CJ62" s="183"/>
      <c r="CK62" s="183"/>
      <c r="CL62" s="183"/>
      <c r="CM62" s="183"/>
      <c r="CN62" s="183"/>
      <c r="CO62" s="183"/>
      <c r="CP62" s="183"/>
      <c r="CQ62" s="183"/>
      <c r="CR62" s="183"/>
      <c r="CS62" s="183"/>
      <c r="CT62" s="183"/>
      <c r="CU62" s="183"/>
      <c r="CV62" s="183"/>
      <c r="CW62" s="183"/>
      <c r="CX62" s="183"/>
      <c r="CY62" s="183"/>
      <c r="CZ62" s="183"/>
      <c r="DA62" s="183"/>
      <c r="DB62" s="183"/>
      <c r="DC62" s="183"/>
      <c r="DD62" s="183"/>
      <c r="DE62" s="183"/>
      <c r="DF62" s="183"/>
      <c r="DG62" s="183"/>
      <c r="DH62" s="183"/>
      <c r="DI62" s="183"/>
      <c r="DJ62" s="183"/>
      <c r="DK62" s="183"/>
      <c r="DL62" s="183"/>
      <c r="DM62" s="183"/>
      <c r="DN62" s="183"/>
      <c r="DO62" s="183"/>
      <c r="DP62" s="183"/>
      <c r="DQ62" s="183"/>
      <c r="DR62" s="183"/>
      <c r="DS62" s="183"/>
      <c r="DT62" s="183"/>
      <c r="DU62" s="183"/>
      <c r="DV62" s="183"/>
      <c r="DW62" s="183"/>
      <c r="DX62" s="183"/>
      <c r="DY62" s="183"/>
      <c r="DZ62" s="183"/>
      <c r="EA62" s="183"/>
      <c r="EB62" s="183"/>
      <c r="EC62" s="183"/>
      <c r="ED62" s="183"/>
      <c r="EE62" s="183"/>
      <c r="EF62" s="183"/>
      <c r="EG62" s="183"/>
      <c r="EH62" s="183"/>
      <c r="EI62" s="183"/>
      <c r="EJ62" s="183"/>
      <c r="EK62" s="183"/>
      <c r="EL62" s="183"/>
      <c r="EM62" s="183"/>
      <c r="EN62" s="183"/>
      <c r="EO62" s="183"/>
      <c r="EP62" s="183"/>
      <c r="EQ62" s="183"/>
      <c r="ER62" s="183"/>
      <c r="ES62" s="183"/>
      <c r="ET62" s="183"/>
      <c r="EU62" s="183"/>
      <c r="EV62" s="183"/>
      <c r="EW62" s="183"/>
      <c r="EX62" s="183"/>
      <c r="EY62" s="183"/>
      <c r="EZ62" s="183"/>
      <c r="FA62" s="183"/>
      <c r="FB62" s="183"/>
      <c r="FC62" s="183"/>
      <c r="FD62" s="183"/>
      <c r="FE62" s="183"/>
      <c r="FF62" s="183"/>
      <c r="FG62" s="183"/>
      <c r="FH62" s="183"/>
      <c r="FI62" s="183"/>
    </row>
    <row r="63" spans="2:165" ht="0.2" customHeight="1" outlineLevel="1">
      <c r="B63" s="81"/>
      <c r="C63" s="81"/>
      <c r="D63" s="301"/>
      <c r="E63" s="70"/>
      <c r="F63" s="70"/>
      <c r="G63" s="70"/>
      <c r="H63" s="70"/>
      <c r="I63" s="70"/>
      <c r="J63" s="70"/>
      <c r="K63" s="70"/>
      <c r="L63" s="70"/>
      <c r="M63" s="70"/>
      <c r="N63" s="70"/>
      <c r="O63" s="70"/>
      <c r="P63" s="70"/>
      <c r="Q63" s="70"/>
      <c r="R63" s="70"/>
      <c r="S63" s="70"/>
      <c r="T63" s="82"/>
      <c r="U63" s="83"/>
      <c r="V63" s="84"/>
      <c r="W63" s="183"/>
      <c r="X63" s="186"/>
      <c r="Y63" s="183"/>
      <c r="Z63" s="183"/>
      <c r="AA63" s="183"/>
      <c r="AB63" s="183"/>
      <c r="AC63" s="183"/>
      <c r="AD63" s="183"/>
      <c r="AE63" s="183"/>
      <c r="AF63" s="183"/>
      <c r="AG63" s="183"/>
      <c r="AH63" s="183"/>
      <c r="AI63" s="183"/>
      <c r="AJ63" s="183"/>
      <c r="AK63" s="183"/>
      <c r="AL63" s="183"/>
      <c r="AM63" s="183"/>
      <c r="AN63" s="183"/>
      <c r="AO63" s="183"/>
      <c r="AP63" s="183"/>
      <c r="AQ63" s="183"/>
      <c r="AR63" s="183"/>
      <c r="AS63" s="183"/>
      <c r="AT63" s="183"/>
      <c r="AU63" s="183"/>
      <c r="AV63" s="183"/>
      <c r="AW63" s="183"/>
      <c r="AX63" s="183"/>
      <c r="AY63" s="183"/>
      <c r="AZ63" s="183"/>
      <c r="BA63" s="183"/>
      <c r="BB63" s="183"/>
      <c r="BC63" s="183"/>
      <c r="BD63" s="183"/>
      <c r="BE63" s="183"/>
      <c r="BF63" s="183"/>
      <c r="BG63" s="183"/>
      <c r="BH63" s="183"/>
      <c r="BI63" s="183"/>
      <c r="BJ63" s="183"/>
      <c r="BK63" s="183"/>
      <c r="BL63" s="183"/>
      <c r="BM63" s="183"/>
      <c r="BN63" s="183"/>
      <c r="BO63" s="183"/>
      <c r="BP63" s="183"/>
      <c r="BQ63" s="183"/>
      <c r="BR63" s="183"/>
      <c r="BS63" s="183"/>
      <c r="BT63" s="183"/>
      <c r="BU63" s="183"/>
      <c r="BV63" s="183"/>
      <c r="BW63" s="183"/>
      <c r="BX63" s="183"/>
      <c r="BY63" s="183"/>
      <c r="BZ63" s="183"/>
      <c r="CA63" s="183"/>
      <c r="CB63" s="183"/>
      <c r="CC63" s="183"/>
      <c r="CD63" s="183"/>
      <c r="CE63" s="183"/>
      <c r="CF63" s="183"/>
      <c r="CG63" s="183"/>
      <c r="CH63" s="183"/>
      <c r="CI63" s="183"/>
      <c r="CJ63" s="183"/>
      <c r="CK63" s="183"/>
      <c r="CL63" s="183"/>
      <c r="CM63" s="183"/>
      <c r="CN63" s="183"/>
      <c r="CO63" s="183"/>
      <c r="CP63" s="183"/>
      <c r="CQ63" s="183"/>
      <c r="CR63" s="183"/>
      <c r="CS63" s="183"/>
      <c r="CT63" s="183"/>
      <c r="CU63" s="183"/>
      <c r="CV63" s="183"/>
      <c r="CW63" s="183"/>
      <c r="CX63" s="183"/>
      <c r="CY63" s="183"/>
      <c r="CZ63" s="183"/>
      <c r="DA63" s="183"/>
      <c r="DB63" s="183"/>
      <c r="DC63" s="183"/>
      <c r="DD63" s="183"/>
      <c r="DE63" s="183"/>
      <c r="DF63" s="183"/>
      <c r="DG63" s="183"/>
      <c r="DH63" s="183"/>
      <c r="DI63" s="183"/>
      <c r="DJ63" s="183"/>
      <c r="DK63" s="183"/>
      <c r="DL63" s="183"/>
      <c r="DM63" s="183"/>
      <c r="DN63" s="183"/>
      <c r="DO63" s="183"/>
      <c r="DP63" s="183"/>
      <c r="DQ63" s="183"/>
      <c r="DR63" s="183"/>
      <c r="DS63" s="183"/>
      <c r="DT63" s="183"/>
      <c r="DU63" s="183"/>
      <c r="DV63" s="183"/>
      <c r="DW63" s="183"/>
      <c r="DX63" s="183"/>
      <c r="DY63" s="183"/>
      <c r="DZ63" s="183"/>
      <c r="EA63" s="183"/>
      <c r="EB63" s="183"/>
      <c r="EC63" s="183"/>
      <c r="ED63" s="183"/>
      <c r="EE63" s="183"/>
      <c r="EF63" s="183"/>
      <c r="EG63" s="183"/>
      <c r="EH63" s="183"/>
      <c r="EI63" s="183"/>
      <c r="EJ63" s="183"/>
      <c r="EK63" s="183"/>
      <c r="EL63" s="183"/>
      <c r="EM63" s="183"/>
      <c r="EN63" s="183"/>
      <c r="EO63" s="183"/>
      <c r="EP63" s="183"/>
      <c r="EQ63" s="183"/>
      <c r="ER63" s="183"/>
      <c r="ES63" s="183"/>
      <c r="ET63" s="183"/>
      <c r="EU63" s="183"/>
      <c r="EV63" s="183"/>
      <c r="EW63" s="183"/>
      <c r="EX63" s="183"/>
      <c r="EY63" s="183"/>
      <c r="EZ63" s="183"/>
      <c r="FA63" s="183"/>
      <c r="FB63" s="183"/>
      <c r="FC63" s="183"/>
      <c r="FD63" s="183"/>
      <c r="FE63" s="183"/>
      <c r="FF63" s="183"/>
      <c r="FG63" s="183"/>
      <c r="FH63" s="183"/>
      <c r="FI63" s="183"/>
    </row>
    <row r="64" spans="2:165" ht="0.2" customHeight="1" outlineLevel="1">
      <c r="B64" s="81"/>
      <c r="C64" s="81"/>
      <c r="D64" s="301"/>
      <c r="E64" s="70"/>
      <c r="F64" s="70"/>
      <c r="G64" s="70"/>
      <c r="H64" s="70"/>
      <c r="I64" s="70"/>
      <c r="J64" s="70"/>
      <c r="K64" s="70"/>
      <c r="L64" s="70"/>
      <c r="M64" s="70"/>
      <c r="N64" s="70"/>
      <c r="O64" s="70"/>
      <c r="P64" s="70"/>
      <c r="Q64" s="70"/>
      <c r="R64" s="70"/>
      <c r="S64" s="70"/>
      <c r="T64" s="82"/>
      <c r="U64" s="83"/>
      <c r="V64" s="84"/>
      <c r="W64" s="183"/>
      <c r="X64" s="186"/>
      <c r="Y64" s="183"/>
      <c r="Z64" s="183"/>
      <c r="AA64" s="183"/>
      <c r="AB64" s="183"/>
      <c r="AC64" s="183"/>
      <c r="AD64" s="183"/>
      <c r="AE64" s="183"/>
      <c r="AF64" s="183"/>
      <c r="AG64" s="183"/>
      <c r="AH64" s="183"/>
      <c r="AI64" s="183"/>
      <c r="AJ64" s="183"/>
      <c r="AK64" s="183"/>
      <c r="AL64" s="183"/>
      <c r="AM64" s="183"/>
      <c r="AN64" s="183"/>
      <c r="AO64" s="183"/>
      <c r="AP64" s="183"/>
      <c r="AQ64" s="183"/>
      <c r="AR64" s="183"/>
      <c r="AS64" s="183"/>
      <c r="AT64" s="183"/>
      <c r="AU64" s="183"/>
      <c r="AV64" s="183"/>
      <c r="AW64" s="183"/>
      <c r="AX64" s="183"/>
      <c r="AY64" s="183"/>
      <c r="AZ64" s="183"/>
      <c r="BA64" s="183"/>
      <c r="BB64" s="183"/>
      <c r="BC64" s="183"/>
      <c r="BD64" s="183"/>
      <c r="BE64" s="183"/>
      <c r="BF64" s="183"/>
      <c r="BG64" s="183"/>
      <c r="BH64" s="183"/>
      <c r="BI64" s="183"/>
      <c r="BJ64" s="183"/>
      <c r="BK64" s="183"/>
      <c r="BL64" s="183"/>
      <c r="BM64" s="183"/>
      <c r="BN64" s="183"/>
      <c r="BO64" s="183"/>
      <c r="BP64" s="183"/>
      <c r="BQ64" s="183"/>
      <c r="BR64" s="183"/>
      <c r="BS64" s="183"/>
      <c r="BT64" s="183"/>
      <c r="BU64" s="183"/>
      <c r="BV64" s="183"/>
      <c r="BW64" s="183"/>
      <c r="BX64" s="183"/>
      <c r="BY64" s="183"/>
      <c r="BZ64" s="183"/>
      <c r="CA64" s="183"/>
      <c r="CB64" s="183"/>
      <c r="CC64" s="183"/>
      <c r="CD64" s="183"/>
      <c r="CE64" s="183"/>
      <c r="CF64" s="183"/>
      <c r="CG64" s="183"/>
      <c r="CH64" s="183"/>
      <c r="CI64" s="183"/>
      <c r="CJ64" s="183"/>
      <c r="CK64" s="183"/>
      <c r="CL64" s="183"/>
      <c r="CM64" s="183"/>
      <c r="CN64" s="183"/>
      <c r="CO64" s="183"/>
      <c r="CP64" s="183"/>
      <c r="CQ64" s="183"/>
      <c r="CR64" s="183"/>
      <c r="CS64" s="183"/>
      <c r="CT64" s="183"/>
      <c r="CU64" s="183"/>
      <c r="CV64" s="183"/>
      <c r="CW64" s="183"/>
      <c r="CX64" s="183"/>
      <c r="CY64" s="183"/>
      <c r="CZ64" s="183"/>
      <c r="DA64" s="183"/>
      <c r="DB64" s="183"/>
      <c r="DC64" s="183"/>
      <c r="DD64" s="183"/>
      <c r="DE64" s="183"/>
      <c r="DF64" s="183"/>
      <c r="DG64" s="183"/>
      <c r="DH64" s="183"/>
      <c r="DI64" s="183"/>
      <c r="DJ64" s="183"/>
      <c r="DK64" s="183"/>
      <c r="DL64" s="183"/>
      <c r="DM64" s="183"/>
      <c r="DN64" s="183"/>
      <c r="DO64" s="183"/>
      <c r="DP64" s="183"/>
      <c r="DQ64" s="183"/>
      <c r="DR64" s="183"/>
      <c r="DS64" s="183"/>
      <c r="DT64" s="183"/>
      <c r="DU64" s="183"/>
      <c r="DV64" s="183"/>
      <c r="DW64" s="183"/>
      <c r="DX64" s="183"/>
      <c r="DY64" s="183"/>
      <c r="DZ64" s="183"/>
      <c r="EA64" s="183"/>
      <c r="EB64" s="183"/>
      <c r="EC64" s="183"/>
      <c r="ED64" s="183"/>
      <c r="EE64" s="183"/>
      <c r="EF64" s="183"/>
      <c r="EG64" s="183"/>
      <c r="EH64" s="183"/>
      <c r="EI64" s="183"/>
      <c r="EJ64" s="183"/>
      <c r="EK64" s="183"/>
      <c r="EL64" s="183"/>
      <c r="EM64" s="183"/>
      <c r="EN64" s="183"/>
      <c r="EO64" s="183"/>
      <c r="EP64" s="183"/>
      <c r="EQ64" s="183"/>
      <c r="ER64" s="183"/>
      <c r="ES64" s="183"/>
      <c r="ET64" s="183"/>
      <c r="EU64" s="183"/>
      <c r="EV64" s="183"/>
      <c r="EW64" s="183"/>
      <c r="EX64" s="183"/>
      <c r="EY64" s="183"/>
      <c r="EZ64" s="183"/>
      <c r="FA64" s="183"/>
      <c r="FB64" s="183"/>
      <c r="FC64" s="183"/>
      <c r="FD64" s="183"/>
      <c r="FE64" s="183"/>
      <c r="FF64" s="183"/>
      <c r="FG64" s="183"/>
      <c r="FH64" s="183"/>
      <c r="FI64" s="183"/>
    </row>
    <row r="65" spans="2:165" ht="0.2" customHeight="1" outlineLevel="1">
      <c r="B65" s="81"/>
      <c r="C65" s="81"/>
      <c r="D65" s="301"/>
      <c r="E65" s="70"/>
      <c r="F65" s="70"/>
      <c r="G65" s="70"/>
      <c r="H65" s="70"/>
      <c r="I65" s="70"/>
      <c r="J65" s="70"/>
      <c r="K65" s="70"/>
      <c r="L65" s="70"/>
      <c r="M65" s="70"/>
      <c r="N65" s="70"/>
      <c r="O65" s="70"/>
      <c r="P65" s="70"/>
      <c r="Q65" s="70"/>
      <c r="R65" s="70"/>
      <c r="S65" s="70"/>
      <c r="T65" s="82"/>
      <c r="U65" s="83"/>
      <c r="V65" s="84"/>
      <c r="W65" s="183"/>
      <c r="X65" s="186"/>
      <c r="Y65" s="183"/>
      <c r="Z65" s="183"/>
      <c r="AA65" s="183"/>
      <c r="AB65" s="183"/>
      <c r="AC65" s="183"/>
      <c r="AD65" s="183"/>
      <c r="AE65" s="183"/>
      <c r="AF65" s="183"/>
      <c r="AG65" s="183"/>
      <c r="AH65" s="183"/>
      <c r="AI65" s="183"/>
      <c r="AJ65" s="183"/>
      <c r="AK65" s="183"/>
      <c r="AL65" s="183"/>
      <c r="AM65" s="183"/>
      <c r="AN65" s="183"/>
      <c r="AO65" s="183"/>
      <c r="AP65" s="183"/>
      <c r="AQ65" s="183"/>
      <c r="AR65" s="183"/>
      <c r="AS65" s="183"/>
      <c r="AT65" s="183"/>
      <c r="AU65" s="183"/>
      <c r="AV65" s="183"/>
      <c r="AW65" s="183"/>
      <c r="AX65" s="183"/>
      <c r="AY65" s="183"/>
      <c r="AZ65" s="183"/>
      <c r="BA65" s="183"/>
      <c r="BB65" s="183"/>
      <c r="BC65" s="183"/>
      <c r="BD65" s="183"/>
      <c r="BE65" s="183"/>
      <c r="BF65" s="183"/>
      <c r="BG65" s="183"/>
      <c r="BH65" s="183"/>
      <c r="BI65" s="183"/>
      <c r="BJ65" s="183"/>
      <c r="BK65" s="183"/>
      <c r="BL65" s="183"/>
      <c r="BM65" s="183"/>
      <c r="BN65" s="183"/>
      <c r="BO65" s="183"/>
      <c r="BP65" s="183"/>
      <c r="BQ65" s="183"/>
      <c r="BR65" s="183"/>
      <c r="BS65" s="183"/>
      <c r="BT65" s="183"/>
      <c r="BU65" s="183"/>
      <c r="BV65" s="183"/>
      <c r="BW65" s="183"/>
      <c r="BX65" s="183"/>
      <c r="BY65" s="183"/>
      <c r="BZ65" s="183"/>
      <c r="CA65" s="183"/>
      <c r="CB65" s="183"/>
      <c r="CC65" s="183"/>
      <c r="CD65" s="183"/>
      <c r="CE65" s="183"/>
      <c r="CF65" s="183"/>
      <c r="CG65" s="183"/>
      <c r="CH65" s="183"/>
      <c r="CI65" s="183"/>
      <c r="CJ65" s="183"/>
      <c r="CK65" s="183"/>
      <c r="CL65" s="183"/>
      <c r="CM65" s="183"/>
      <c r="CN65" s="183"/>
      <c r="CO65" s="183"/>
      <c r="CP65" s="183"/>
      <c r="CQ65" s="183"/>
      <c r="CR65" s="183"/>
      <c r="CS65" s="183"/>
      <c r="CT65" s="183"/>
      <c r="CU65" s="183"/>
      <c r="CV65" s="183"/>
      <c r="CW65" s="183"/>
      <c r="CX65" s="183"/>
      <c r="CY65" s="183"/>
      <c r="CZ65" s="183"/>
      <c r="DA65" s="183"/>
      <c r="DB65" s="183"/>
      <c r="DC65" s="183"/>
      <c r="DD65" s="183"/>
      <c r="DE65" s="183"/>
      <c r="DF65" s="183"/>
      <c r="DG65" s="183"/>
      <c r="DH65" s="183"/>
      <c r="DI65" s="183"/>
      <c r="DJ65" s="183"/>
      <c r="DK65" s="183"/>
      <c r="DL65" s="183"/>
      <c r="DM65" s="183"/>
      <c r="DN65" s="183"/>
      <c r="DO65" s="183"/>
      <c r="DP65" s="183"/>
      <c r="DQ65" s="183"/>
      <c r="DR65" s="183"/>
      <c r="DS65" s="183"/>
      <c r="DT65" s="183"/>
      <c r="DU65" s="183"/>
      <c r="DV65" s="183"/>
      <c r="DW65" s="183"/>
      <c r="DX65" s="183"/>
      <c r="DY65" s="183"/>
      <c r="DZ65" s="183"/>
      <c r="EA65" s="183"/>
      <c r="EB65" s="183"/>
      <c r="EC65" s="183"/>
      <c r="ED65" s="183"/>
      <c r="EE65" s="183"/>
      <c r="EF65" s="183"/>
      <c r="EG65" s="183"/>
      <c r="EH65" s="183"/>
      <c r="EI65" s="183"/>
      <c r="EJ65" s="183"/>
      <c r="EK65" s="183"/>
      <c r="EL65" s="183"/>
      <c r="EM65" s="183"/>
      <c r="EN65" s="183"/>
      <c r="EO65" s="183"/>
      <c r="EP65" s="183"/>
      <c r="EQ65" s="183"/>
      <c r="ER65" s="183"/>
      <c r="ES65" s="183"/>
      <c r="ET65" s="183"/>
      <c r="EU65" s="183"/>
      <c r="EV65" s="183"/>
      <c r="EW65" s="183"/>
      <c r="EX65" s="183"/>
      <c r="EY65" s="183"/>
      <c r="EZ65" s="183"/>
      <c r="FA65" s="183"/>
      <c r="FB65" s="183"/>
      <c r="FC65" s="183"/>
      <c r="FD65" s="183"/>
      <c r="FE65" s="183"/>
      <c r="FF65" s="183"/>
      <c r="FG65" s="183"/>
      <c r="FH65" s="183"/>
      <c r="FI65" s="183"/>
    </row>
    <row r="66" spans="2:165" ht="0.2" customHeight="1" outlineLevel="1">
      <c r="B66" s="81"/>
      <c r="C66" s="81"/>
      <c r="D66" s="301"/>
      <c r="E66" s="70"/>
      <c r="F66" s="70"/>
      <c r="G66" s="70"/>
      <c r="H66" s="70"/>
      <c r="I66" s="70"/>
      <c r="J66" s="70"/>
      <c r="K66" s="70"/>
      <c r="L66" s="70"/>
      <c r="M66" s="70"/>
      <c r="N66" s="70"/>
      <c r="O66" s="70"/>
      <c r="P66" s="70"/>
      <c r="Q66" s="70"/>
      <c r="R66" s="70"/>
      <c r="S66" s="70"/>
      <c r="T66" s="82"/>
      <c r="U66" s="83"/>
      <c r="V66" s="84"/>
      <c r="W66" s="183"/>
      <c r="X66" s="186"/>
      <c r="Y66" s="183"/>
      <c r="Z66" s="183"/>
      <c r="AA66" s="183"/>
      <c r="AB66" s="183"/>
      <c r="AC66" s="183"/>
      <c r="AD66" s="183"/>
      <c r="AE66" s="183"/>
      <c r="AF66" s="183"/>
      <c r="AG66" s="183"/>
      <c r="AH66" s="183"/>
      <c r="AI66" s="183"/>
      <c r="AJ66" s="183"/>
      <c r="AK66" s="183"/>
      <c r="AL66" s="183"/>
      <c r="AM66" s="183"/>
      <c r="AN66" s="183"/>
      <c r="AO66" s="183"/>
      <c r="AP66" s="183"/>
      <c r="AQ66" s="183"/>
      <c r="AR66" s="183"/>
      <c r="AS66" s="183"/>
      <c r="AT66" s="183"/>
      <c r="AU66" s="183"/>
      <c r="AV66" s="183"/>
      <c r="AW66" s="183"/>
      <c r="AX66" s="183"/>
      <c r="AY66" s="183"/>
      <c r="AZ66" s="183"/>
      <c r="BA66" s="183"/>
      <c r="BB66" s="183"/>
      <c r="BC66" s="183"/>
      <c r="BD66" s="183"/>
      <c r="BE66" s="183"/>
      <c r="BF66" s="183"/>
      <c r="BG66" s="183"/>
      <c r="BH66" s="183"/>
      <c r="BI66" s="183"/>
      <c r="BJ66" s="183"/>
      <c r="BK66" s="183"/>
      <c r="BL66" s="183"/>
      <c r="BM66" s="183"/>
      <c r="BN66" s="183"/>
      <c r="BO66" s="183"/>
      <c r="BP66" s="183"/>
      <c r="BQ66" s="183"/>
      <c r="BR66" s="183"/>
      <c r="BS66" s="183"/>
      <c r="BT66" s="183"/>
      <c r="BU66" s="183"/>
      <c r="BV66" s="183"/>
      <c r="BW66" s="183"/>
      <c r="BX66" s="183"/>
      <c r="BY66" s="183"/>
      <c r="BZ66" s="183"/>
      <c r="CA66" s="183"/>
      <c r="CB66" s="183"/>
      <c r="CC66" s="183"/>
      <c r="CD66" s="183"/>
      <c r="CE66" s="183"/>
      <c r="CF66" s="183"/>
      <c r="CG66" s="183"/>
      <c r="CH66" s="183"/>
      <c r="CI66" s="183"/>
      <c r="CJ66" s="183"/>
      <c r="CK66" s="183"/>
      <c r="CL66" s="183"/>
      <c r="CM66" s="183"/>
      <c r="CN66" s="183"/>
      <c r="CO66" s="183"/>
      <c r="CP66" s="183"/>
      <c r="CQ66" s="183"/>
      <c r="CR66" s="183"/>
      <c r="CS66" s="183"/>
      <c r="CT66" s="183"/>
      <c r="CU66" s="183"/>
      <c r="CV66" s="183"/>
      <c r="CW66" s="183"/>
      <c r="CX66" s="183"/>
      <c r="CY66" s="183"/>
      <c r="CZ66" s="183"/>
      <c r="DA66" s="183"/>
      <c r="DB66" s="183"/>
      <c r="DC66" s="183"/>
      <c r="DD66" s="183"/>
      <c r="DE66" s="183"/>
      <c r="DF66" s="183"/>
      <c r="DG66" s="183"/>
      <c r="DH66" s="183"/>
      <c r="DI66" s="183"/>
      <c r="DJ66" s="183"/>
      <c r="DK66" s="183"/>
      <c r="DL66" s="183"/>
      <c r="DM66" s="183"/>
      <c r="DN66" s="183"/>
      <c r="DO66" s="183"/>
      <c r="DP66" s="183"/>
      <c r="DQ66" s="183"/>
      <c r="DR66" s="183"/>
      <c r="DS66" s="183"/>
      <c r="DT66" s="183"/>
      <c r="DU66" s="183"/>
      <c r="DV66" s="183"/>
      <c r="DW66" s="183"/>
      <c r="DX66" s="183"/>
      <c r="DY66" s="183"/>
      <c r="DZ66" s="183"/>
      <c r="EA66" s="183"/>
      <c r="EB66" s="183"/>
      <c r="EC66" s="183"/>
      <c r="ED66" s="183"/>
      <c r="EE66" s="183"/>
      <c r="EF66" s="183"/>
      <c r="EG66" s="183"/>
      <c r="EH66" s="183"/>
      <c r="EI66" s="183"/>
      <c r="EJ66" s="183"/>
      <c r="EK66" s="183"/>
      <c r="EL66" s="183"/>
      <c r="EM66" s="183"/>
      <c r="EN66" s="183"/>
      <c r="EO66" s="183"/>
      <c r="EP66" s="183"/>
      <c r="EQ66" s="183"/>
      <c r="ER66" s="183"/>
      <c r="ES66" s="183"/>
      <c r="ET66" s="183"/>
      <c r="EU66" s="183"/>
      <c r="EV66" s="183"/>
      <c r="EW66" s="183"/>
      <c r="EX66" s="183"/>
      <c r="EY66" s="183"/>
      <c r="EZ66" s="183"/>
      <c r="FA66" s="183"/>
      <c r="FB66" s="183"/>
      <c r="FC66" s="183"/>
      <c r="FD66" s="183"/>
      <c r="FE66" s="183"/>
      <c r="FF66" s="183"/>
      <c r="FG66" s="183"/>
      <c r="FH66" s="183"/>
      <c r="FI66" s="183"/>
    </row>
    <row r="67" spans="2:165" ht="0.2" customHeight="1" outlineLevel="1">
      <c r="B67" s="81"/>
      <c r="C67" s="81"/>
      <c r="D67" s="301"/>
      <c r="E67" s="70"/>
      <c r="F67" s="70"/>
      <c r="G67" s="70"/>
      <c r="H67" s="70"/>
      <c r="I67" s="70"/>
      <c r="J67" s="70"/>
      <c r="K67" s="70"/>
      <c r="L67" s="70"/>
      <c r="M67" s="70"/>
      <c r="N67" s="70"/>
      <c r="O67" s="70"/>
      <c r="P67" s="70"/>
      <c r="Q67" s="70"/>
      <c r="R67" s="70"/>
      <c r="S67" s="70"/>
      <c r="T67" s="82"/>
      <c r="U67" s="83"/>
      <c r="V67" s="84"/>
      <c r="W67" s="183"/>
      <c r="X67" s="186"/>
      <c r="Y67" s="183"/>
      <c r="Z67" s="183"/>
      <c r="AA67" s="183"/>
      <c r="AB67" s="183"/>
      <c r="AC67" s="183"/>
      <c r="AD67" s="183"/>
      <c r="AE67" s="183"/>
      <c r="AF67" s="183"/>
      <c r="AG67" s="183"/>
      <c r="AH67" s="183"/>
      <c r="AI67" s="183"/>
      <c r="AJ67" s="183"/>
      <c r="AK67" s="183"/>
      <c r="AL67" s="183"/>
      <c r="AM67" s="183"/>
      <c r="AN67" s="183"/>
      <c r="AO67" s="183"/>
      <c r="AP67" s="183"/>
      <c r="AQ67" s="183"/>
      <c r="AR67" s="183"/>
      <c r="AS67" s="183"/>
      <c r="AT67" s="183"/>
      <c r="AU67" s="183"/>
      <c r="AV67" s="183"/>
      <c r="AW67" s="183"/>
      <c r="AX67" s="183"/>
      <c r="AY67" s="183"/>
      <c r="AZ67" s="183"/>
      <c r="BA67" s="183"/>
      <c r="BB67" s="183"/>
      <c r="BC67" s="183"/>
      <c r="BD67" s="183"/>
      <c r="BE67" s="183"/>
      <c r="BF67" s="183"/>
      <c r="BG67" s="183"/>
      <c r="BH67" s="183"/>
      <c r="BI67" s="183"/>
      <c r="BJ67" s="183"/>
      <c r="BK67" s="183"/>
      <c r="BL67" s="183"/>
      <c r="BM67" s="183"/>
      <c r="BN67" s="183"/>
      <c r="BO67" s="183"/>
      <c r="BP67" s="183"/>
      <c r="BQ67" s="183"/>
      <c r="BR67" s="183"/>
      <c r="BS67" s="183"/>
      <c r="BT67" s="183"/>
      <c r="BU67" s="183"/>
      <c r="BV67" s="183"/>
      <c r="BW67" s="183"/>
      <c r="BX67" s="183"/>
      <c r="BY67" s="183"/>
      <c r="BZ67" s="183"/>
      <c r="CA67" s="183"/>
      <c r="CB67" s="183"/>
      <c r="CC67" s="183"/>
      <c r="CD67" s="183"/>
      <c r="CE67" s="183"/>
      <c r="CF67" s="183"/>
      <c r="CG67" s="183"/>
      <c r="CH67" s="183"/>
      <c r="CI67" s="183"/>
      <c r="CJ67" s="183"/>
      <c r="CK67" s="183"/>
      <c r="CL67" s="183"/>
      <c r="CM67" s="183"/>
      <c r="CN67" s="183"/>
      <c r="CO67" s="183"/>
      <c r="CP67" s="183"/>
      <c r="CQ67" s="183"/>
      <c r="CR67" s="183"/>
      <c r="CS67" s="183"/>
      <c r="CT67" s="183"/>
      <c r="CU67" s="183"/>
      <c r="CV67" s="183"/>
      <c r="CW67" s="183"/>
      <c r="CX67" s="183"/>
      <c r="CY67" s="183"/>
      <c r="CZ67" s="183"/>
      <c r="DA67" s="183"/>
      <c r="DB67" s="183"/>
      <c r="DC67" s="183"/>
      <c r="DD67" s="183"/>
      <c r="DE67" s="183"/>
      <c r="DF67" s="183"/>
      <c r="DG67" s="183"/>
      <c r="DH67" s="183"/>
      <c r="DI67" s="183"/>
      <c r="DJ67" s="183"/>
      <c r="DK67" s="183"/>
      <c r="DL67" s="183"/>
      <c r="DM67" s="183"/>
      <c r="DN67" s="183"/>
      <c r="DO67" s="183"/>
      <c r="DP67" s="183"/>
      <c r="DQ67" s="183"/>
      <c r="DR67" s="183"/>
      <c r="DS67" s="183"/>
      <c r="DT67" s="183"/>
      <c r="DU67" s="183"/>
      <c r="DV67" s="183"/>
      <c r="DW67" s="183"/>
      <c r="DX67" s="183"/>
      <c r="DY67" s="183"/>
      <c r="DZ67" s="183"/>
      <c r="EA67" s="183"/>
      <c r="EB67" s="183"/>
      <c r="EC67" s="183"/>
      <c r="ED67" s="183"/>
      <c r="EE67" s="183"/>
      <c r="EF67" s="183"/>
      <c r="EG67" s="183"/>
      <c r="EH67" s="183"/>
      <c r="EI67" s="183"/>
      <c r="EJ67" s="183"/>
      <c r="EK67" s="183"/>
      <c r="EL67" s="183"/>
      <c r="EM67" s="183"/>
      <c r="EN67" s="183"/>
      <c r="EO67" s="183"/>
      <c r="EP67" s="183"/>
      <c r="EQ67" s="183"/>
      <c r="ER67" s="183"/>
      <c r="ES67" s="183"/>
      <c r="ET67" s="183"/>
      <c r="EU67" s="183"/>
      <c r="EV67" s="183"/>
      <c r="EW67" s="183"/>
      <c r="EX67" s="183"/>
      <c r="EY67" s="183"/>
      <c r="EZ67" s="183"/>
      <c r="FA67" s="183"/>
      <c r="FB67" s="183"/>
      <c r="FC67" s="183"/>
      <c r="FD67" s="183"/>
      <c r="FE67" s="183"/>
      <c r="FF67" s="183"/>
      <c r="FG67" s="183"/>
      <c r="FH67" s="183"/>
      <c r="FI67" s="183"/>
    </row>
    <row r="68" spans="2:165" ht="0.2" customHeight="1" outlineLevel="1">
      <c r="B68" s="81"/>
      <c r="C68" s="81"/>
      <c r="D68" s="301"/>
      <c r="E68" s="70"/>
      <c r="F68" s="70"/>
      <c r="G68" s="70"/>
      <c r="H68" s="70"/>
      <c r="I68" s="70"/>
      <c r="J68" s="70"/>
      <c r="K68" s="70"/>
      <c r="L68" s="70"/>
      <c r="M68" s="70"/>
      <c r="N68" s="70"/>
      <c r="O68" s="70"/>
      <c r="P68" s="70"/>
      <c r="Q68" s="70"/>
      <c r="R68" s="70"/>
      <c r="S68" s="70"/>
      <c r="T68" s="82"/>
      <c r="U68" s="83"/>
      <c r="V68" s="84"/>
      <c r="W68" s="183"/>
      <c r="X68" s="186"/>
      <c r="Y68" s="183"/>
      <c r="Z68" s="183"/>
      <c r="AA68" s="183"/>
      <c r="AB68" s="183"/>
      <c r="AC68" s="183"/>
      <c r="AD68" s="183"/>
      <c r="AE68" s="183"/>
      <c r="AF68" s="183"/>
      <c r="AG68" s="183"/>
      <c r="AH68" s="183"/>
      <c r="AI68" s="183"/>
      <c r="AJ68" s="183"/>
      <c r="AK68" s="183"/>
      <c r="AL68" s="183"/>
      <c r="AM68" s="183"/>
      <c r="AN68" s="183"/>
      <c r="AO68" s="183"/>
      <c r="AP68" s="183"/>
      <c r="AQ68" s="183"/>
      <c r="AR68" s="183"/>
      <c r="AS68" s="183"/>
      <c r="AT68" s="183"/>
      <c r="AU68" s="183"/>
      <c r="AV68" s="183"/>
      <c r="AW68" s="183"/>
      <c r="AX68" s="183"/>
      <c r="AY68" s="183"/>
      <c r="AZ68" s="183"/>
      <c r="BA68" s="183"/>
      <c r="BB68" s="183"/>
      <c r="BC68" s="183"/>
      <c r="BD68" s="183"/>
      <c r="BE68" s="183"/>
      <c r="BF68" s="183"/>
      <c r="BG68" s="183"/>
      <c r="BH68" s="183"/>
      <c r="BI68" s="183"/>
      <c r="BJ68" s="183"/>
      <c r="BK68" s="183"/>
      <c r="BL68" s="183"/>
      <c r="BM68" s="183"/>
      <c r="BN68" s="183"/>
      <c r="BO68" s="183"/>
      <c r="BP68" s="183"/>
      <c r="BQ68" s="183"/>
      <c r="BR68" s="183"/>
      <c r="BS68" s="183"/>
      <c r="BT68" s="183"/>
      <c r="BU68" s="183"/>
      <c r="BV68" s="183"/>
      <c r="BW68" s="183"/>
      <c r="BX68" s="183"/>
      <c r="BY68" s="183"/>
      <c r="BZ68" s="183"/>
      <c r="CA68" s="183"/>
      <c r="CB68" s="183"/>
      <c r="CC68" s="183"/>
      <c r="CD68" s="183"/>
      <c r="CE68" s="183"/>
      <c r="CF68" s="183"/>
      <c r="CG68" s="183"/>
      <c r="CH68" s="183"/>
      <c r="CI68" s="183"/>
      <c r="CJ68" s="183"/>
      <c r="CK68" s="183"/>
      <c r="CL68" s="183"/>
      <c r="CM68" s="183"/>
      <c r="CN68" s="183"/>
      <c r="CO68" s="183"/>
      <c r="CP68" s="183"/>
      <c r="CQ68" s="183"/>
      <c r="CR68" s="183"/>
      <c r="CS68" s="183"/>
      <c r="CT68" s="183"/>
      <c r="CU68" s="183"/>
      <c r="CV68" s="183"/>
      <c r="CW68" s="183"/>
      <c r="CX68" s="183"/>
      <c r="CY68" s="183"/>
      <c r="CZ68" s="183"/>
      <c r="DA68" s="183"/>
      <c r="DB68" s="183"/>
      <c r="DC68" s="183"/>
      <c r="DD68" s="183"/>
      <c r="DE68" s="183"/>
      <c r="DF68" s="183"/>
      <c r="DG68" s="183"/>
      <c r="DH68" s="183"/>
      <c r="DI68" s="183"/>
      <c r="DJ68" s="183"/>
      <c r="DK68" s="183"/>
      <c r="DL68" s="183"/>
      <c r="DM68" s="183"/>
      <c r="DN68" s="183"/>
      <c r="DO68" s="183"/>
      <c r="DP68" s="183"/>
      <c r="DQ68" s="183"/>
      <c r="DR68" s="183"/>
      <c r="DS68" s="183"/>
      <c r="DT68" s="183"/>
      <c r="DU68" s="183"/>
      <c r="DV68" s="183"/>
      <c r="DW68" s="183"/>
      <c r="DX68" s="183"/>
      <c r="DY68" s="183"/>
      <c r="DZ68" s="183"/>
      <c r="EA68" s="183"/>
      <c r="EB68" s="183"/>
      <c r="EC68" s="183"/>
      <c r="ED68" s="183"/>
      <c r="EE68" s="183"/>
      <c r="EF68" s="183"/>
      <c r="EG68" s="183"/>
      <c r="EH68" s="183"/>
      <c r="EI68" s="183"/>
      <c r="EJ68" s="183"/>
      <c r="EK68" s="183"/>
      <c r="EL68" s="183"/>
      <c r="EM68" s="183"/>
      <c r="EN68" s="183"/>
      <c r="EO68" s="183"/>
      <c r="EP68" s="183"/>
      <c r="EQ68" s="183"/>
      <c r="ER68" s="183"/>
      <c r="ES68" s="183"/>
      <c r="ET68" s="183"/>
      <c r="EU68" s="183"/>
      <c r="EV68" s="183"/>
      <c r="EW68" s="183"/>
      <c r="EX68" s="183"/>
      <c r="EY68" s="183"/>
      <c r="EZ68" s="183"/>
      <c r="FA68" s="183"/>
      <c r="FB68" s="183"/>
      <c r="FC68" s="183"/>
      <c r="FD68" s="183"/>
      <c r="FE68" s="183"/>
      <c r="FF68" s="183"/>
      <c r="FG68" s="183"/>
      <c r="FH68" s="183"/>
      <c r="FI68" s="183"/>
    </row>
    <row r="69" spans="2:165" ht="0.2" customHeight="1" outlineLevel="1">
      <c r="B69" s="81"/>
      <c r="C69" s="81"/>
      <c r="D69" s="301"/>
      <c r="E69" s="70"/>
      <c r="F69" s="70"/>
      <c r="G69" s="70"/>
      <c r="H69" s="70"/>
      <c r="I69" s="70"/>
      <c r="J69" s="70"/>
      <c r="K69" s="70"/>
      <c r="L69" s="70"/>
      <c r="M69" s="70"/>
      <c r="N69" s="70"/>
      <c r="O69" s="70"/>
      <c r="P69" s="70"/>
      <c r="Q69" s="70"/>
      <c r="R69" s="70"/>
      <c r="S69" s="70"/>
      <c r="T69" s="82"/>
      <c r="U69" s="83"/>
      <c r="V69" s="84"/>
      <c r="W69" s="183"/>
      <c r="X69" s="186"/>
      <c r="Y69" s="183"/>
      <c r="Z69" s="183"/>
      <c r="AA69" s="183"/>
      <c r="AB69" s="183"/>
      <c r="AC69" s="183"/>
      <c r="AD69" s="183"/>
      <c r="AE69" s="183"/>
      <c r="AF69" s="183"/>
      <c r="AG69" s="183"/>
      <c r="AH69" s="183"/>
      <c r="AI69" s="183"/>
      <c r="AJ69" s="183"/>
      <c r="AK69" s="183"/>
      <c r="AL69" s="183"/>
      <c r="AM69" s="183"/>
      <c r="AN69" s="183"/>
      <c r="AO69" s="183"/>
      <c r="AP69" s="183"/>
      <c r="AQ69" s="183"/>
      <c r="AR69" s="183"/>
      <c r="AS69" s="183"/>
      <c r="AT69" s="183"/>
      <c r="AU69" s="183"/>
      <c r="AV69" s="183"/>
      <c r="AW69" s="183"/>
      <c r="AX69" s="183"/>
      <c r="AY69" s="183"/>
      <c r="AZ69" s="183"/>
      <c r="BA69" s="183"/>
      <c r="BB69" s="183"/>
      <c r="BC69" s="183"/>
      <c r="BD69" s="183"/>
      <c r="BE69" s="183"/>
      <c r="BF69" s="183"/>
      <c r="BG69" s="183"/>
      <c r="BH69" s="183"/>
      <c r="BI69" s="183"/>
      <c r="BJ69" s="183"/>
      <c r="BK69" s="183"/>
      <c r="BL69" s="183"/>
      <c r="BM69" s="183"/>
      <c r="BN69" s="183"/>
      <c r="BO69" s="183"/>
      <c r="BP69" s="183"/>
      <c r="BQ69" s="183"/>
      <c r="BR69" s="183"/>
      <c r="BS69" s="183"/>
      <c r="BT69" s="183"/>
      <c r="BU69" s="183"/>
      <c r="BV69" s="183"/>
      <c r="BW69" s="183"/>
      <c r="BX69" s="183"/>
      <c r="BY69" s="183"/>
      <c r="BZ69" s="183"/>
      <c r="CA69" s="183"/>
      <c r="CB69" s="183"/>
      <c r="CC69" s="183"/>
      <c r="CD69" s="183"/>
      <c r="CE69" s="183"/>
      <c r="CF69" s="183"/>
      <c r="CG69" s="183"/>
      <c r="CH69" s="183"/>
      <c r="CI69" s="183"/>
      <c r="CJ69" s="183"/>
      <c r="CK69" s="183"/>
      <c r="CL69" s="183"/>
      <c r="CM69" s="183"/>
      <c r="CN69" s="183"/>
      <c r="CO69" s="183"/>
      <c r="CP69" s="183"/>
      <c r="CQ69" s="183"/>
      <c r="CR69" s="183"/>
      <c r="CS69" s="183"/>
      <c r="CT69" s="183"/>
      <c r="CU69" s="183"/>
      <c r="CV69" s="183"/>
      <c r="CW69" s="183"/>
      <c r="CX69" s="183"/>
      <c r="CY69" s="183"/>
      <c r="CZ69" s="183"/>
      <c r="DA69" s="183"/>
      <c r="DB69" s="183"/>
      <c r="DC69" s="183"/>
      <c r="DD69" s="183"/>
      <c r="DE69" s="183"/>
      <c r="DF69" s="183"/>
      <c r="DG69" s="183"/>
      <c r="DH69" s="183"/>
      <c r="DI69" s="183"/>
      <c r="DJ69" s="183"/>
      <c r="DK69" s="183"/>
      <c r="DL69" s="183"/>
      <c r="DM69" s="183"/>
      <c r="DN69" s="183"/>
      <c r="DO69" s="183"/>
      <c r="DP69" s="183"/>
      <c r="DQ69" s="183"/>
      <c r="DR69" s="183"/>
      <c r="DS69" s="183"/>
      <c r="DT69" s="183"/>
      <c r="DU69" s="183"/>
      <c r="DV69" s="183"/>
      <c r="DW69" s="183"/>
      <c r="DX69" s="183"/>
      <c r="DY69" s="183"/>
      <c r="DZ69" s="183"/>
      <c r="EA69" s="183"/>
      <c r="EB69" s="183"/>
      <c r="EC69" s="183"/>
      <c r="ED69" s="183"/>
      <c r="EE69" s="183"/>
      <c r="EF69" s="183"/>
      <c r="EG69" s="183"/>
      <c r="EH69" s="183"/>
      <c r="EI69" s="183"/>
      <c r="EJ69" s="183"/>
      <c r="EK69" s="183"/>
      <c r="EL69" s="183"/>
      <c r="EM69" s="183"/>
      <c r="EN69" s="183"/>
      <c r="EO69" s="183"/>
      <c r="EP69" s="183"/>
      <c r="EQ69" s="183"/>
      <c r="ER69" s="183"/>
      <c r="ES69" s="183"/>
      <c r="ET69" s="183"/>
      <c r="EU69" s="183"/>
      <c r="EV69" s="183"/>
      <c r="EW69" s="183"/>
      <c r="EX69" s="183"/>
      <c r="EY69" s="183"/>
      <c r="EZ69" s="183"/>
      <c r="FA69" s="183"/>
      <c r="FB69" s="183"/>
      <c r="FC69" s="183"/>
      <c r="FD69" s="183"/>
      <c r="FE69" s="183"/>
      <c r="FF69" s="183"/>
      <c r="FG69" s="183"/>
      <c r="FH69" s="183"/>
      <c r="FI69" s="183"/>
    </row>
    <row r="70" spans="2:165" ht="0.2" customHeight="1" outlineLevel="1">
      <c r="B70" s="81"/>
      <c r="C70" s="81"/>
      <c r="D70" s="301"/>
      <c r="E70" s="70"/>
      <c r="F70" s="70"/>
      <c r="G70" s="70"/>
      <c r="H70" s="70"/>
      <c r="I70" s="70"/>
      <c r="J70" s="70"/>
      <c r="K70" s="70"/>
      <c r="L70" s="70"/>
      <c r="M70" s="70"/>
      <c r="N70" s="70"/>
      <c r="O70" s="70"/>
      <c r="P70" s="70"/>
      <c r="Q70" s="70"/>
      <c r="R70" s="70"/>
      <c r="S70" s="70"/>
      <c r="T70" s="82"/>
      <c r="U70" s="83"/>
      <c r="V70" s="84"/>
      <c r="W70" s="183"/>
      <c r="X70" s="186"/>
      <c r="Y70" s="183"/>
      <c r="Z70" s="183"/>
      <c r="AA70" s="183"/>
      <c r="AB70" s="183"/>
      <c r="AC70" s="183"/>
      <c r="AD70" s="183"/>
      <c r="AE70" s="183"/>
      <c r="AF70" s="183"/>
      <c r="AG70" s="183"/>
      <c r="AH70" s="183"/>
      <c r="AI70" s="183"/>
      <c r="AJ70" s="183"/>
      <c r="AK70" s="183"/>
      <c r="AL70" s="183"/>
      <c r="AM70" s="183"/>
      <c r="AN70" s="183"/>
      <c r="AO70" s="183"/>
      <c r="AP70" s="183"/>
      <c r="AQ70" s="183"/>
      <c r="AR70" s="183"/>
      <c r="AS70" s="183"/>
      <c r="AT70" s="183"/>
      <c r="AU70" s="183"/>
      <c r="AV70" s="183"/>
      <c r="AW70" s="183"/>
      <c r="AX70" s="183"/>
      <c r="AY70" s="183"/>
      <c r="AZ70" s="183"/>
      <c r="BA70" s="183"/>
      <c r="BB70" s="183"/>
      <c r="BC70" s="183"/>
      <c r="BD70" s="183"/>
      <c r="BE70" s="183"/>
      <c r="BF70" s="183"/>
      <c r="BG70" s="183"/>
      <c r="BH70" s="183"/>
      <c r="BI70" s="183"/>
      <c r="BJ70" s="183"/>
      <c r="BK70" s="183"/>
      <c r="BL70" s="183"/>
      <c r="BM70" s="183"/>
      <c r="BN70" s="183"/>
      <c r="BO70" s="183"/>
      <c r="BP70" s="183"/>
      <c r="BQ70" s="183"/>
      <c r="BR70" s="183"/>
      <c r="BS70" s="183"/>
      <c r="BT70" s="183"/>
      <c r="BU70" s="183"/>
      <c r="BV70" s="183"/>
      <c r="BW70" s="183"/>
      <c r="BX70" s="183"/>
      <c r="BY70" s="183"/>
      <c r="BZ70" s="183"/>
      <c r="CA70" s="183"/>
      <c r="CB70" s="183"/>
      <c r="CC70" s="183"/>
      <c r="CD70" s="183"/>
      <c r="CE70" s="183"/>
      <c r="CF70" s="183"/>
      <c r="CG70" s="183"/>
      <c r="CH70" s="183"/>
      <c r="CI70" s="183"/>
      <c r="CJ70" s="183"/>
      <c r="CK70" s="183"/>
      <c r="CL70" s="183"/>
      <c r="CM70" s="183"/>
      <c r="CN70" s="183"/>
      <c r="CO70" s="183"/>
      <c r="CP70" s="183"/>
      <c r="CQ70" s="183"/>
      <c r="CR70" s="183"/>
      <c r="CS70" s="183"/>
      <c r="CT70" s="183"/>
      <c r="CU70" s="183"/>
      <c r="CV70" s="183"/>
      <c r="CW70" s="183"/>
      <c r="CX70" s="183"/>
      <c r="CY70" s="183"/>
      <c r="CZ70" s="183"/>
      <c r="DA70" s="183"/>
      <c r="DB70" s="183"/>
      <c r="DC70" s="183"/>
      <c r="DD70" s="183"/>
      <c r="DE70" s="183"/>
      <c r="DF70" s="183"/>
      <c r="DG70" s="183"/>
      <c r="DH70" s="183"/>
      <c r="DI70" s="183"/>
      <c r="DJ70" s="183"/>
      <c r="DK70" s="183"/>
      <c r="DL70" s="183"/>
      <c r="DM70" s="183"/>
      <c r="DN70" s="183"/>
      <c r="DO70" s="183"/>
      <c r="DP70" s="183"/>
      <c r="DQ70" s="183"/>
      <c r="DR70" s="183"/>
      <c r="DS70" s="183"/>
      <c r="DT70" s="183"/>
      <c r="DU70" s="183"/>
      <c r="DV70" s="183"/>
      <c r="DW70" s="183"/>
      <c r="DX70" s="183"/>
      <c r="DY70" s="183"/>
      <c r="DZ70" s="183"/>
      <c r="EA70" s="183"/>
      <c r="EB70" s="183"/>
      <c r="EC70" s="183"/>
      <c r="ED70" s="183"/>
      <c r="EE70" s="183"/>
      <c r="EF70" s="183"/>
      <c r="EG70" s="183"/>
      <c r="EH70" s="183"/>
      <c r="EI70" s="183"/>
      <c r="EJ70" s="183"/>
      <c r="EK70" s="183"/>
      <c r="EL70" s="183"/>
      <c r="EM70" s="183"/>
      <c r="EN70" s="183"/>
      <c r="EO70" s="183"/>
      <c r="EP70" s="183"/>
      <c r="EQ70" s="183"/>
      <c r="ER70" s="183"/>
      <c r="ES70" s="183"/>
      <c r="ET70" s="183"/>
      <c r="EU70" s="183"/>
      <c r="EV70" s="183"/>
      <c r="EW70" s="183"/>
      <c r="EX70" s="183"/>
      <c r="EY70" s="183"/>
      <c r="EZ70" s="183"/>
      <c r="FA70" s="183"/>
      <c r="FB70" s="183"/>
      <c r="FC70" s="183"/>
      <c r="FD70" s="183"/>
      <c r="FE70" s="183"/>
      <c r="FF70" s="183"/>
      <c r="FG70" s="183"/>
      <c r="FH70" s="183"/>
      <c r="FI70" s="183"/>
    </row>
    <row r="71" spans="2:165" ht="0.2" customHeight="1" outlineLevel="1">
      <c r="B71" s="81"/>
      <c r="C71" s="81"/>
      <c r="D71" s="301"/>
      <c r="E71" s="70"/>
      <c r="F71" s="70"/>
      <c r="G71" s="70"/>
      <c r="H71" s="70"/>
      <c r="I71" s="70"/>
      <c r="J71" s="70"/>
      <c r="K71" s="70"/>
      <c r="L71" s="70"/>
      <c r="M71" s="70"/>
      <c r="N71" s="70"/>
      <c r="O71" s="70"/>
      <c r="P71" s="70"/>
      <c r="Q71" s="70"/>
      <c r="R71" s="70"/>
      <c r="S71" s="70"/>
      <c r="T71" s="82"/>
      <c r="U71" s="83"/>
      <c r="V71" s="84"/>
      <c r="W71" s="183"/>
      <c r="X71" s="186"/>
      <c r="Y71" s="183"/>
      <c r="Z71" s="183"/>
      <c r="AA71" s="183"/>
      <c r="AB71" s="183"/>
      <c r="AC71" s="183"/>
      <c r="AD71" s="183"/>
      <c r="AE71" s="183"/>
      <c r="AF71" s="183"/>
      <c r="AG71" s="183"/>
      <c r="AH71" s="183"/>
      <c r="AI71" s="183"/>
      <c r="AJ71" s="183"/>
      <c r="AK71" s="183"/>
      <c r="AL71" s="183"/>
      <c r="AM71" s="183"/>
      <c r="AN71" s="183"/>
      <c r="AO71" s="183"/>
      <c r="AP71" s="183"/>
      <c r="AQ71" s="183"/>
      <c r="AR71" s="183"/>
      <c r="AS71" s="183"/>
      <c r="AT71" s="183"/>
      <c r="AU71" s="183"/>
      <c r="AV71" s="183"/>
      <c r="AW71" s="183"/>
      <c r="AX71" s="183"/>
      <c r="AY71" s="183"/>
      <c r="AZ71" s="183"/>
      <c r="BA71" s="183"/>
      <c r="BB71" s="183"/>
      <c r="BC71" s="183"/>
      <c r="BD71" s="183"/>
      <c r="BE71" s="183"/>
      <c r="BF71" s="183"/>
      <c r="BG71" s="183"/>
      <c r="BH71" s="183"/>
      <c r="BI71" s="183"/>
      <c r="BJ71" s="183"/>
      <c r="BK71" s="183"/>
      <c r="BL71" s="183"/>
      <c r="BM71" s="183"/>
      <c r="BN71" s="183"/>
      <c r="BO71" s="183"/>
      <c r="BP71" s="183"/>
      <c r="BQ71" s="183"/>
      <c r="BR71" s="183"/>
      <c r="BS71" s="183"/>
      <c r="BT71" s="183"/>
      <c r="BU71" s="183"/>
      <c r="BV71" s="183"/>
      <c r="BW71" s="183"/>
      <c r="BX71" s="183"/>
      <c r="BY71" s="183"/>
      <c r="BZ71" s="183"/>
      <c r="CA71" s="183"/>
      <c r="CB71" s="183"/>
      <c r="CC71" s="183"/>
      <c r="CD71" s="183"/>
      <c r="CE71" s="183"/>
      <c r="CF71" s="183"/>
      <c r="CG71" s="183"/>
      <c r="CH71" s="183"/>
      <c r="CI71" s="183"/>
      <c r="CJ71" s="183"/>
      <c r="CK71" s="183"/>
      <c r="CL71" s="183"/>
      <c r="CM71" s="183"/>
      <c r="CN71" s="183"/>
      <c r="CO71" s="183"/>
      <c r="CP71" s="183"/>
      <c r="CQ71" s="183"/>
      <c r="CR71" s="183"/>
      <c r="CS71" s="183"/>
      <c r="CT71" s="183"/>
      <c r="CU71" s="183"/>
      <c r="CV71" s="183"/>
      <c r="CW71" s="183"/>
      <c r="CX71" s="183"/>
      <c r="CY71" s="183"/>
      <c r="CZ71" s="183"/>
      <c r="DA71" s="183"/>
      <c r="DB71" s="183"/>
      <c r="DC71" s="183"/>
      <c r="DD71" s="183"/>
      <c r="DE71" s="183"/>
      <c r="DF71" s="183"/>
      <c r="DG71" s="183"/>
      <c r="DH71" s="183"/>
      <c r="DI71" s="183"/>
      <c r="DJ71" s="183"/>
      <c r="DK71" s="183"/>
      <c r="DL71" s="183"/>
      <c r="DM71" s="183"/>
      <c r="DN71" s="183"/>
      <c r="DO71" s="183"/>
      <c r="DP71" s="183"/>
      <c r="DQ71" s="183"/>
      <c r="DR71" s="183"/>
      <c r="DS71" s="183"/>
      <c r="DT71" s="183"/>
      <c r="DU71" s="183"/>
      <c r="DV71" s="183"/>
      <c r="DW71" s="183"/>
      <c r="DX71" s="183"/>
      <c r="DY71" s="183"/>
      <c r="DZ71" s="183"/>
      <c r="EA71" s="183"/>
      <c r="EB71" s="183"/>
      <c r="EC71" s="183"/>
      <c r="ED71" s="183"/>
      <c r="EE71" s="183"/>
      <c r="EF71" s="183"/>
      <c r="EG71" s="183"/>
      <c r="EH71" s="183"/>
      <c r="EI71" s="183"/>
      <c r="EJ71" s="183"/>
      <c r="EK71" s="183"/>
      <c r="EL71" s="183"/>
      <c r="EM71" s="183"/>
      <c r="EN71" s="183"/>
      <c r="EO71" s="183"/>
      <c r="EP71" s="183"/>
      <c r="EQ71" s="183"/>
      <c r="ER71" s="183"/>
      <c r="ES71" s="183"/>
      <c r="ET71" s="183"/>
      <c r="EU71" s="183"/>
      <c r="EV71" s="183"/>
      <c r="EW71" s="183"/>
      <c r="EX71" s="183"/>
      <c r="EY71" s="183"/>
      <c r="EZ71" s="183"/>
      <c r="FA71" s="183"/>
      <c r="FB71" s="183"/>
      <c r="FC71" s="183"/>
      <c r="FD71" s="183"/>
      <c r="FE71" s="183"/>
      <c r="FF71" s="183"/>
      <c r="FG71" s="183"/>
      <c r="FH71" s="183"/>
      <c r="FI71" s="183"/>
    </row>
    <row r="72" spans="2:165" ht="0.2" customHeight="1" outlineLevel="1">
      <c r="B72" s="81"/>
      <c r="C72" s="81"/>
      <c r="D72" s="301"/>
      <c r="E72" s="70"/>
      <c r="F72" s="70"/>
      <c r="G72" s="70"/>
      <c r="H72" s="70"/>
      <c r="I72" s="70"/>
      <c r="J72" s="70"/>
      <c r="K72" s="70"/>
      <c r="L72" s="70"/>
      <c r="M72" s="70"/>
      <c r="N72" s="70"/>
      <c r="O72" s="70"/>
      <c r="P72" s="70"/>
      <c r="Q72" s="70"/>
      <c r="R72" s="70"/>
      <c r="S72" s="70"/>
      <c r="T72" s="82"/>
      <c r="U72" s="83"/>
      <c r="V72" s="84"/>
      <c r="W72" s="183"/>
      <c r="X72" s="186"/>
      <c r="Y72" s="183"/>
      <c r="Z72" s="183"/>
      <c r="AA72" s="183"/>
      <c r="AB72" s="183"/>
      <c r="AC72" s="183"/>
      <c r="AD72" s="183"/>
      <c r="AE72" s="183"/>
      <c r="AF72" s="183"/>
      <c r="AG72" s="183"/>
      <c r="AH72" s="183"/>
      <c r="AI72" s="183"/>
      <c r="AJ72" s="183"/>
      <c r="AK72" s="183"/>
      <c r="AL72" s="183"/>
      <c r="AM72" s="183"/>
      <c r="AN72" s="183"/>
      <c r="AO72" s="183"/>
      <c r="AP72" s="183"/>
      <c r="AQ72" s="183"/>
      <c r="AR72" s="183"/>
      <c r="AS72" s="183"/>
      <c r="AT72" s="183"/>
      <c r="AU72" s="183"/>
      <c r="AV72" s="183"/>
      <c r="AW72" s="183"/>
      <c r="AX72" s="183"/>
      <c r="AY72" s="183"/>
      <c r="AZ72" s="183"/>
      <c r="BA72" s="183"/>
      <c r="BB72" s="183"/>
      <c r="BC72" s="183"/>
      <c r="BD72" s="183"/>
      <c r="BE72" s="183"/>
      <c r="BF72" s="183"/>
      <c r="BG72" s="183"/>
      <c r="BH72" s="183"/>
      <c r="BI72" s="183"/>
      <c r="BJ72" s="183"/>
      <c r="BK72" s="183"/>
      <c r="BL72" s="183"/>
      <c r="BM72" s="183"/>
      <c r="BN72" s="183"/>
      <c r="BO72" s="183"/>
      <c r="BP72" s="183"/>
      <c r="BQ72" s="183"/>
      <c r="BR72" s="183"/>
      <c r="BS72" s="183"/>
      <c r="BT72" s="183"/>
      <c r="BU72" s="183"/>
      <c r="BV72" s="183"/>
      <c r="BW72" s="183"/>
      <c r="BX72" s="183"/>
      <c r="BY72" s="183"/>
      <c r="BZ72" s="183"/>
      <c r="CA72" s="183"/>
      <c r="CB72" s="183"/>
      <c r="CC72" s="183"/>
      <c r="CD72" s="183"/>
      <c r="CE72" s="183"/>
      <c r="CF72" s="183"/>
      <c r="CG72" s="183"/>
      <c r="CH72" s="183"/>
      <c r="CI72" s="183"/>
      <c r="CJ72" s="183"/>
      <c r="CK72" s="183"/>
      <c r="CL72" s="183"/>
      <c r="CM72" s="183"/>
      <c r="CN72" s="183"/>
      <c r="CO72" s="183"/>
      <c r="CP72" s="183"/>
      <c r="CQ72" s="183"/>
      <c r="CR72" s="183"/>
      <c r="CS72" s="183"/>
      <c r="CT72" s="183"/>
      <c r="CU72" s="183"/>
      <c r="CV72" s="183"/>
      <c r="CW72" s="183"/>
      <c r="CX72" s="183"/>
      <c r="CY72" s="183"/>
      <c r="CZ72" s="183"/>
      <c r="DA72" s="183"/>
      <c r="DB72" s="183"/>
      <c r="DC72" s="183"/>
      <c r="DD72" s="183"/>
      <c r="DE72" s="183"/>
      <c r="DF72" s="183"/>
      <c r="DG72" s="183"/>
      <c r="DH72" s="183"/>
      <c r="DI72" s="183"/>
      <c r="DJ72" s="183"/>
      <c r="DK72" s="183"/>
      <c r="DL72" s="183"/>
      <c r="DM72" s="183"/>
      <c r="DN72" s="183"/>
      <c r="DO72" s="183"/>
      <c r="DP72" s="183"/>
      <c r="DQ72" s="183"/>
      <c r="DR72" s="183"/>
      <c r="DS72" s="183"/>
      <c r="DT72" s="183"/>
      <c r="DU72" s="183"/>
      <c r="DV72" s="183"/>
      <c r="DW72" s="183"/>
      <c r="DX72" s="183"/>
      <c r="DY72" s="183"/>
      <c r="DZ72" s="183"/>
      <c r="EA72" s="183"/>
      <c r="EB72" s="183"/>
      <c r="EC72" s="183"/>
      <c r="ED72" s="183"/>
      <c r="EE72" s="183"/>
      <c r="EF72" s="183"/>
      <c r="EG72" s="183"/>
      <c r="EH72" s="183"/>
      <c r="EI72" s="183"/>
      <c r="EJ72" s="183"/>
      <c r="EK72" s="183"/>
      <c r="EL72" s="183"/>
      <c r="EM72" s="183"/>
      <c r="EN72" s="183"/>
      <c r="EO72" s="183"/>
      <c r="EP72" s="183"/>
      <c r="EQ72" s="183"/>
      <c r="ER72" s="183"/>
      <c r="ES72" s="183"/>
      <c r="ET72" s="183"/>
      <c r="EU72" s="183"/>
      <c r="EV72" s="183"/>
      <c r="EW72" s="183"/>
      <c r="EX72" s="183"/>
      <c r="EY72" s="183"/>
      <c r="EZ72" s="183"/>
      <c r="FA72" s="183"/>
      <c r="FB72" s="183"/>
      <c r="FC72" s="183"/>
      <c r="FD72" s="183"/>
      <c r="FE72" s="183"/>
      <c r="FF72" s="183"/>
      <c r="FG72" s="183"/>
      <c r="FH72" s="183"/>
      <c r="FI72" s="183"/>
    </row>
    <row r="73" spans="2:165" ht="0.2" customHeight="1" outlineLevel="1">
      <c r="B73" s="81"/>
      <c r="C73" s="81"/>
      <c r="D73" s="301"/>
      <c r="E73" s="70"/>
      <c r="F73" s="70"/>
      <c r="G73" s="70"/>
      <c r="H73" s="70"/>
      <c r="I73" s="70"/>
      <c r="J73" s="70"/>
      <c r="K73" s="70"/>
      <c r="L73" s="70"/>
      <c r="M73" s="70"/>
      <c r="N73" s="70"/>
      <c r="O73" s="70"/>
      <c r="P73" s="70"/>
      <c r="Q73" s="70"/>
      <c r="R73" s="70"/>
      <c r="S73" s="70"/>
      <c r="T73" s="82"/>
      <c r="U73" s="83"/>
      <c r="V73" s="84"/>
      <c r="W73" s="183"/>
      <c r="X73" s="186"/>
      <c r="Y73" s="183"/>
      <c r="Z73" s="183"/>
      <c r="AA73" s="183"/>
      <c r="AB73" s="183"/>
      <c r="AC73" s="183"/>
      <c r="AD73" s="183"/>
      <c r="AE73" s="183"/>
      <c r="AF73" s="183"/>
      <c r="AG73" s="183"/>
      <c r="AH73" s="183"/>
      <c r="AI73" s="183"/>
      <c r="AJ73" s="183"/>
      <c r="AK73" s="183"/>
      <c r="AL73" s="183"/>
      <c r="AM73" s="183"/>
      <c r="AN73" s="183"/>
      <c r="AO73" s="183"/>
      <c r="AP73" s="183"/>
      <c r="AQ73" s="183"/>
      <c r="AR73" s="183"/>
      <c r="AS73" s="183"/>
      <c r="AT73" s="183"/>
      <c r="AU73" s="183"/>
      <c r="AV73" s="183"/>
      <c r="AW73" s="183"/>
      <c r="AX73" s="183"/>
      <c r="AY73" s="183"/>
      <c r="AZ73" s="183"/>
      <c r="BA73" s="183"/>
      <c r="BB73" s="183"/>
      <c r="BC73" s="183"/>
      <c r="BD73" s="183"/>
      <c r="BE73" s="183"/>
      <c r="BF73" s="183"/>
      <c r="BG73" s="183"/>
      <c r="BH73" s="183"/>
      <c r="BI73" s="183"/>
      <c r="BJ73" s="183"/>
      <c r="BK73" s="183"/>
      <c r="BL73" s="183"/>
      <c r="BM73" s="183"/>
      <c r="BN73" s="183"/>
      <c r="BO73" s="183"/>
      <c r="BP73" s="183"/>
      <c r="BQ73" s="183"/>
      <c r="BR73" s="183"/>
      <c r="BS73" s="183"/>
      <c r="BT73" s="183"/>
      <c r="BU73" s="183"/>
      <c r="BV73" s="183"/>
      <c r="BW73" s="183"/>
      <c r="BX73" s="183"/>
      <c r="BY73" s="183"/>
      <c r="BZ73" s="183"/>
      <c r="CA73" s="183"/>
      <c r="CB73" s="183"/>
      <c r="CC73" s="183"/>
      <c r="CD73" s="183"/>
      <c r="CE73" s="183"/>
      <c r="CF73" s="183"/>
      <c r="CG73" s="183"/>
      <c r="CH73" s="183"/>
      <c r="CI73" s="183"/>
      <c r="CJ73" s="183"/>
      <c r="CK73" s="183"/>
      <c r="CL73" s="183"/>
      <c r="CM73" s="183"/>
      <c r="CN73" s="183"/>
      <c r="CO73" s="183"/>
      <c r="CP73" s="183"/>
      <c r="CQ73" s="183"/>
      <c r="CR73" s="183"/>
      <c r="CS73" s="183"/>
      <c r="CT73" s="183"/>
      <c r="CU73" s="183"/>
      <c r="CV73" s="183"/>
      <c r="CW73" s="183"/>
      <c r="CX73" s="183"/>
      <c r="CY73" s="183"/>
      <c r="CZ73" s="183"/>
      <c r="DA73" s="183"/>
      <c r="DB73" s="183"/>
      <c r="DC73" s="183"/>
      <c r="DD73" s="183"/>
      <c r="DE73" s="183"/>
      <c r="DF73" s="183"/>
      <c r="DG73" s="183"/>
      <c r="DH73" s="183"/>
      <c r="DI73" s="183"/>
      <c r="DJ73" s="183"/>
      <c r="DK73" s="183"/>
      <c r="DL73" s="183"/>
      <c r="DM73" s="183"/>
      <c r="DN73" s="183"/>
      <c r="DO73" s="183"/>
      <c r="DP73" s="183"/>
      <c r="DQ73" s="183"/>
      <c r="DR73" s="183"/>
      <c r="DS73" s="183"/>
      <c r="DT73" s="183"/>
      <c r="DU73" s="183"/>
      <c r="DV73" s="183"/>
      <c r="DW73" s="183"/>
      <c r="DX73" s="183"/>
      <c r="DY73" s="183"/>
      <c r="DZ73" s="183"/>
      <c r="EA73" s="183"/>
      <c r="EB73" s="183"/>
      <c r="EC73" s="183"/>
      <c r="ED73" s="183"/>
      <c r="EE73" s="183"/>
      <c r="EF73" s="183"/>
      <c r="EG73" s="183"/>
      <c r="EH73" s="183"/>
      <c r="EI73" s="183"/>
      <c r="EJ73" s="183"/>
      <c r="EK73" s="183"/>
      <c r="EL73" s="183"/>
      <c r="EM73" s="183"/>
      <c r="EN73" s="183"/>
      <c r="EO73" s="183"/>
      <c r="EP73" s="183"/>
      <c r="EQ73" s="183"/>
      <c r="ER73" s="183"/>
      <c r="ES73" s="183"/>
      <c r="ET73" s="183"/>
      <c r="EU73" s="183"/>
      <c r="EV73" s="183"/>
      <c r="EW73" s="183"/>
      <c r="EX73" s="183"/>
      <c r="EY73" s="183"/>
      <c r="EZ73" s="183"/>
      <c r="FA73" s="183"/>
      <c r="FB73" s="183"/>
      <c r="FC73" s="183"/>
      <c r="FD73" s="183"/>
      <c r="FE73" s="183"/>
      <c r="FF73" s="183"/>
      <c r="FG73" s="183"/>
      <c r="FH73" s="183"/>
      <c r="FI73" s="183"/>
    </row>
    <row r="74" spans="2:165" ht="0.2" customHeight="1" outlineLevel="1">
      <c r="B74" s="81"/>
      <c r="C74" s="81"/>
      <c r="D74" s="301"/>
      <c r="E74" s="70"/>
      <c r="F74" s="70"/>
      <c r="G74" s="70"/>
      <c r="H74" s="70"/>
      <c r="I74" s="70"/>
      <c r="J74" s="70"/>
      <c r="K74" s="70"/>
      <c r="L74" s="70"/>
      <c r="M74" s="70"/>
      <c r="N74" s="70"/>
      <c r="O74" s="70"/>
      <c r="P74" s="70"/>
      <c r="Q74" s="70"/>
      <c r="R74" s="70"/>
      <c r="S74" s="70"/>
      <c r="T74" s="82"/>
      <c r="U74" s="83"/>
      <c r="V74" s="84"/>
      <c r="W74" s="183"/>
      <c r="X74" s="186"/>
      <c r="Y74" s="183"/>
      <c r="Z74" s="183"/>
      <c r="AA74" s="183"/>
      <c r="AB74" s="183"/>
      <c r="AC74" s="183"/>
      <c r="AD74" s="183"/>
      <c r="AE74" s="183"/>
      <c r="AF74" s="183"/>
      <c r="AG74" s="183"/>
      <c r="AH74" s="183"/>
      <c r="AI74" s="183"/>
      <c r="AJ74" s="183"/>
      <c r="AK74" s="183"/>
      <c r="AL74" s="183"/>
      <c r="AM74" s="183"/>
      <c r="AN74" s="183"/>
      <c r="AO74" s="183"/>
      <c r="AP74" s="183"/>
      <c r="AQ74" s="183"/>
      <c r="AR74" s="183"/>
      <c r="AS74" s="183"/>
      <c r="AT74" s="183"/>
      <c r="AU74" s="183"/>
      <c r="AV74" s="183"/>
      <c r="AW74" s="183"/>
      <c r="AX74" s="183"/>
      <c r="AY74" s="183"/>
      <c r="AZ74" s="183"/>
      <c r="BA74" s="183"/>
      <c r="BB74" s="183"/>
      <c r="BC74" s="183"/>
      <c r="BD74" s="183"/>
      <c r="BE74" s="183"/>
      <c r="BF74" s="183"/>
      <c r="BG74" s="183"/>
      <c r="BH74" s="183"/>
      <c r="BI74" s="183"/>
      <c r="BJ74" s="183"/>
      <c r="BK74" s="183"/>
      <c r="BL74" s="183"/>
      <c r="BM74" s="183"/>
      <c r="BN74" s="183"/>
      <c r="BO74" s="183"/>
      <c r="BP74" s="183"/>
      <c r="BQ74" s="183"/>
      <c r="BR74" s="183"/>
      <c r="BS74" s="183"/>
      <c r="BT74" s="183"/>
      <c r="BU74" s="183"/>
      <c r="BV74" s="183"/>
      <c r="BW74" s="183"/>
      <c r="BX74" s="183"/>
      <c r="BY74" s="183"/>
      <c r="BZ74" s="183"/>
      <c r="CA74" s="183"/>
      <c r="CB74" s="183"/>
      <c r="CC74" s="183"/>
      <c r="CD74" s="183"/>
      <c r="CE74" s="183"/>
      <c r="CF74" s="183"/>
      <c r="CG74" s="183"/>
      <c r="CH74" s="183"/>
      <c r="CI74" s="183"/>
      <c r="CJ74" s="183"/>
      <c r="CK74" s="183"/>
      <c r="CL74" s="183"/>
      <c r="CM74" s="183"/>
      <c r="CN74" s="183"/>
      <c r="CO74" s="183"/>
      <c r="CP74" s="183"/>
      <c r="CQ74" s="183"/>
      <c r="CR74" s="183"/>
      <c r="CS74" s="183"/>
      <c r="CT74" s="183"/>
      <c r="CU74" s="183"/>
      <c r="CV74" s="183"/>
      <c r="CW74" s="183"/>
      <c r="CX74" s="183"/>
      <c r="CY74" s="183"/>
      <c r="CZ74" s="183"/>
      <c r="DA74" s="183"/>
      <c r="DB74" s="183"/>
      <c r="DC74" s="183"/>
      <c r="DD74" s="183"/>
      <c r="DE74" s="183"/>
      <c r="DF74" s="183"/>
      <c r="DG74" s="183"/>
      <c r="DH74" s="183"/>
      <c r="DI74" s="183"/>
      <c r="DJ74" s="183"/>
      <c r="DK74" s="183"/>
      <c r="DL74" s="183"/>
      <c r="DM74" s="183"/>
      <c r="DN74" s="183"/>
      <c r="DO74" s="183"/>
      <c r="DP74" s="183"/>
      <c r="DQ74" s="183"/>
      <c r="DR74" s="183"/>
      <c r="DS74" s="183"/>
      <c r="DT74" s="183"/>
      <c r="DU74" s="183"/>
      <c r="DV74" s="183"/>
      <c r="DW74" s="183"/>
      <c r="DX74" s="183"/>
      <c r="DY74" s="183"/>
      <c r="DZ74" s="183"/>
      <c r="EA74" s="183"/>
      <c r="EB74" s="183"/>
      <c r="EC74" s="183"/>
      <c r="ED74" s="183"/>
      <c r="EE74" s="183"/>
      <c r="EF74" s="183"/>
      <c r="EG74" s="183"/>
      <c r="EH74" s="183"/>
      <c r="EI74" s="183"/>
      <c r="EJ74" s="183"/>
      <c r="EK74" s="183"/>
      <c r="EL74" s="183"/>
      <c r="EM74" s="183"/>
      <c r="EN74" s="183"/>
      <c r="EO74" s="183"/>
      <c r="EP74" s="183"/>
      <c r="EQ74" s="183"/>
      <c r="ER74" s="183"/>
      <c r="ES74" s="183"/>
      <c r="ET74" s="183"/>
      <c r="EU74" s="183"/>
      <c r="EV74" s="183"/>
      <c r="EW74" s="183"/>
      <c r="EX74" s="183"/>
      <c r="EY74" s="183"/>
      <c r="EZ74" s="183"/>
      <c r="FA74" s="183"/>
      <c r="FB74" s="183"/>
      <c r="FC74" s="183"/>
      <c r="FD74" s="183"/>
      <c r="FE74" s="183"/>
      <c r="FF74" s="183"/>
      <c r="FG74" s="183"/>
      <c r="FH74" s="183"/>
      <c r="FI74" s="183"/>
    </row>
    <row r="75" spans="2:165" ht="0.2" customHeight="1" outlineLevel="1">
      <c r="B75" s="81"/>
      <c r="C75" s="81"/>
      <c r="D75" s="301"/>
      <c r="E75" s="70"/>
      <c r="F75" s="70"/>
      <c r="G75" s="70"/>
      <c r="H75" s="70"/>
      <c r="I75" s="70"/>
      <c r="J75" s="70"/>
      <c r="K75" s="70"/>
      <c r="L75" s="70"/>
      <c r="M75" s="70"/>
      <c r="N75" s="70"/>
      <c r="O75" s="70"/>
      <c r="P75" s="70"/>
      <c r="Q75" s="70"/>
      <c r="R75" s="70"/>
      <c r="S75" s="70"/>
      <c r="T75" s="82"/>
      <c r="U75" s="83"/>
      <c r="V75" s="84"/>
      <c r="W75" s="183"/>
      <c r="X75" s="186"/>
      <c r="Y75" s="183"/>
      <c r="Z75" s="183"/>
      <c r="AA75" s="183"/>
      <c r="AB75" s="183"/>
      <c r="AC75" s="183"/>
      <c r="AD75" s="183"/>
      <c r="AE75" s="183"/>
      <c r="AF75" s="183"/>
      <c r="AG75" s="183"/>
      <c r="AH75" s="183"/>
      <c r="AI75" s="183"/>
      <c r="AJ75" s="183"/>
      <c r="AK75" s="183"/>
      <c r="AL75" s="183"/>
      <c r="AM75" s="183"/>
      <c r="AN75" s="183"/>
      <c r="AO75" s="183"/>
      <c r="AP75" s="183"/>
      <c r="AQ75" s="183"/>
      <c r="AR75" s="183"/>
      <c r="AS75" s="183"/>
      <c r="AT75" s="183"/>
      <c r="AU75" s="183"/>
      <c r="AV75" s="183"/>
      <c r="AW75" s="183"/>
      <c r="AX75" s="183"/>
      <c r="AY75" s="183"/>
      <c r="AZ75" s="183"/>
      <c r="BA75" s="183"/>
      <c r="BB75" s="183"/>
      <c r="BC75" s="183"/>
      <c r="BD75" s="183"/>
      <c r="BE75" s="183"/>
      <c r="BF75" s="183"/>
      <c r="BG75" s="183"/>
      <c r="BH75" s="183"/>
      <c r="BI75" s="183"/>
      <c r="BJ75" s="183"/>
      <c r="BK75" s="183"/>
      <c r="BL75" s="183"/>
      <c r="BM75" s="183"/>
      <c r="BN75" s="183"/>
      <c r="BO75" s="183"/>
      <c r="BP75" s="183"/>
      <c r="BQ75" s="183"/>
      <c r="BR75" s="183"/>
      <c r="BS75" s="183"/>
      <c r="BT75" s="183"/>
      <c r="BU75" s="183"/>
      <c r="BV75" s="183"/>
      <c r="BW75" s="183"/>
      <c r="BX75" s="183"/>
      <c r="BY75" s="183"/>
      <c r="BZ75" s="183"/>
      <c r="CA75" s="183"/>
      <c r="CB75" s="183"/>
      <c r="CC75" s="183"/>
      <c r="CD75" s="183"/>
      <c r="CE75" s="183"/>
      <c r="CF75" s="183"/>
      <c r="CG75" s="183"/>
      <c r="CH75" s="183"/>
      <c r="CI75" s="183"/>
      <c r="CJ75" s="183"/>
      <c r="CK75" s="183"/>
      <c r="CL75" s="183"/>
      <c r="CM75" s="183"/>
      <c r="CN75" s="183"/>
      <c r="CO75" s="183"/>
      <c r="CP75" s="183"/>
      <c r="CQ75" s="183"/>
      <c r="CR75" s="183"/>
      <c r="CS75" s="183"/>
      <c r="CT75" s="183"/>
      <c r="CU75" s="183"/>
      <c r="CV75" s="183"/>
      <c r="CW75" s="183"/>
      <c r="CX75" s="183"/>
      <c r="CY75" s="183"/>
      <c r="CZ75" s="183"/>
      <c r="DA75" s="183"/>
      <c r="DB75" s="183"/>
      <c r="DC75" s="183"/>
      <c r="DD75" s="183"/>
      <c r="DE75" s="183"/>
      <c r="DF75" s="183"/>
      <c r="DG75" s="183"/>
      <c r="DH75" s="183"/>
      <c r="DI75" s="183"/>
      <c r="DJ75" s="183"/>
      <c r="DK75" s="183"/>
      <c r="DL75" s="183"/>
      <c r="DM75" s="183"/>
      <c r="DN75" s="183"/>
      <c r="DO75" s="183"/>
      <c r="DP75" s="183"/>
      <c r="DQ75" s="183"/>
      <c r="DR75" s="183"/>
      <c r="DS75" s="183"/>
      <c r="DT75" s="183"/>
      <c r="DU75" s="183"/>
      <c r="DV75" s="183"/>
      <c r="DW75" s="183"/>
      <c r="DX75" s="183"/>
      <c r="DY75" s="183"/>
      <c r="DZ75" s="183"/>
      <c r="EA75" s="183"/>
      <c r="EB75" s="183"/>
      <c r="EC75" s="183"/>
      <c r="ED75" s="183"/>
      <c r="EE75" s="183"/>
      <c r="EF75" s="183"/>
      <c r="EG75" s="183"/>
      <c r="EH75" s="183"/>
      <c r="EI75" s="183"/>
      <c r="EJ75" s="183"/>
      <c r="EK75" s="183"/>
      <c r="EL75" s="183"/>
      <c r="EM75" s="183"/>
      <c r="EN75" s="183"/>
      <c r="EO75" s="183"/>
      <c r="EP75" s="183"/>
      <c r="EQ75" s="183"/>
      <c r="ER75" s="183"/>
      <c r="ES75" s="183"/>
      <c r="ET75" s="183"/>
      <c r="EU75" s="183"/>
      <c r="EV75" s="183"/>
      <c r="EW75" s="183"/>
      <c r="EX75" s="183"/>
      <c r="EY75" s="183"/>
      <c r="EZ75" s="183"/>
      <c r="FA75" s="183"/>
      <c r="FB75" s="183"/>
      <c r="FC75" s="183"/>
      <c r="FD75" s="183"/>
      <c r="FE75" s="183"/>
      <c r="FF75" s="183"/>
      <c r="FG75" s="183"/>
      <c r="FH75" s="183"/>
      <c r="FI75" s="183"/>
    </row>
    <row r="76" spans="2:165" ht="0.2" customHeight="1" outlineLevel="1">
      <c r="B76" s="81"/>
      <c r="C76" s="81"/>
      <c r="D76" s="301"/>
      <c r="E76" s="70"/>
      <c r="F76" s="70"/>
      <c r="G76" s="70"/>
      <c r="H76" s="70"/>
      <c r="I76" s="70"/>
      <c r="J76" s="70"/>
      <c r="K76" s="70"/>
      <c r="L76" s="70"/>
      <c r="M76" s="70"/>
      <c r="N76" s="70"/>
      <c r="O76" s="70"/>
      <c r="P76" s="70"/>
      <c r="Q76" s="70"/>
      <c r="R76" s="70"/>
      <c r="S76" s="70"/>
      <c r="T76" s="82"/>
      <c r="U76" s="83"/>
      <c r="V76" s="84"/>
      <c r="W76" s="183"/>
      <c r="X76" s="186"/>
      <c r="Y76" s="183"/>
      <c r="Z76" s="183"/>
      <c r="AA76" s="183"/>
      <c r="AB76" s="183"/>
      <c r="AC76" s="183"/>
      <c r="AD76" s="183"/>
      <c r="AE76" s="183"/>
      <c r="AF76" s="183"/>
      <c r="AG76" s="183"/>
      <c r="AH76" s="183"/>
      <c r="AI76" s="183"/>
      <c r="AJ76" s="183"/>
      <c r="AK76" s="183"/>
      <c r="AL76" s="183"/>
      <c r="AM76" s="183"/>
      <c r="AN76" s="183"/>
      <c r="AO76" s="183"/>
      <c r="AP76" s="183"/>
      <c r="AQ76" s="183"/>
      <c r="AR76" s="183"/>
      <c r="AS76" s="183"/>
      <c r="AT76" s="183"/>
      <c r="AU76" s="183"/>
      <c r="AV76" s="183"/>
      <c r="AW76" s="183"/>
      <c r="AX76" s="183"/>
      <c r="AY76" s="183"/>
      <c r="AZ76" s="183"/>
      <c r="BA76" s="183"/>
      <c r="BB76" s="183"/>
      <c r="BC76" s="183"/>
      <c r="BD76" s="183"/>
      <c r="BE76" s="183"/>
      <c r="BF76" s="183"/>
      <c r="BG76" s="183"/>
      <c r="BH76" s="183"/>
      <c r="BI76" s="183"/>
      <c r="BJ76" s="183"/>
      <c r="BK76" s="183"/>
      <c r="BL76" s="183"/>
      <c r="BM76" s="183"/>
      <c r="BN76" s="183"/>
      <c r="BO76" s="183"/>
      <c r="BP76" s="183"/>
      <c r="BQ76" s="183"/>
      <c r="BR76" s="183"/>
      <c r="BS76" s="183"/>
      <c r="BT76" s="183"/>
      <c r="BU76" s="183"/>
      <c r="BV76" s="183"/>
      <c r="BW76" s="183"/>
      <c r="BX76" s="183"/>
      <c r="BY76" s="183"/>
      <c r="BZ76" s="183"/>
      <c r="CA76" s="183"/>
      <c r="CB76" s="183"/>
      <c r="CC76" s="183"/>
      <c r="CD76" s="183"/>
      <c r="CE76" s="183"/>
      <c r="CF76" s="183"/>
      <c r="CG76" s="183"/>
      <c r="CH76" s="183"/>
      <c r="CI76" s="183"/>
      <c r="CJ76" s="183"/>
      <c r="CK76" s="183"/>
      <c r="CL76" s="183"/>
      <c r="CM76" s="183"/>
      <c r="CN76" s="183"/>
      <c r="CO76" s="183"/>
      <c r="CP76" s="183"/>
      <c r="CQ76" s="183"/>
      <c r="CR76" s="183"/>
      <c r="CS76" s="183"/>
      <c r="CT76" s="183"/>
      <c r="CU76" s="183"/>
      <c r="CV76" s="183"/>
      <c r="CW76" s="183"/>
      <c r="CX76" s="183"/>
      <c r="CY76" s="183"/>
      <c r="CZ76" s="183"/>
      <c r="DA76" s="183"/>
      <c r="DB76" s="183"/>
      <c r="DC76" s="183"/>
      <c r="DD76" s="183"/>
      <c r="DE76" s="183"/>
      <c r="DF76" s="183"/>
      <c r="DG76" s="183"/>
      <c r="DH76" s="183"/>
      <c r="DI76" s="183"/>
      <c r="DJ76" s="183"/>
      <c r="DK76" s="183"/>
      <c r="DL76" s="183"/>
      <c r="DM76" s="183"/>
      <c r="DN76" s="183"/>
      <c r="DO76" s="183"/>
      <c r="DP76" s="183"/>
      <c r="DQ76" s="183"/>
      <c r="DR76" s="183"/>
      <c r="DS76" s="183"/>
      <c r="DT76" s="183"/>
      <c r="DU76" s="183"/>
      <c r="DV76" s="183"/>
      <c r="DW76" s="183"/>
      <c r="DX76" s="183"/>
      <c r="DY76" s="183"/>
      <c r="DZ76" s="183"/>
      <c r="EA76" s="183"/>
      <c r="EB76" s="183"/>
      <c r="EC76" s="183"/>
      <c r="ED76" s="183"/>
      <c r="EE76" s="183"/>
      <c r="EF76" s="183"/>
      <c r="EG76" s="183"/>
      <c r="EH76" s="183"/>
      <c r="EI76" s="183"/>
      <c r="EJ76" s="183"/>
      <c r="EK76" s="183"/>
      <c r="EL76" s="183"/>
      <c r="EM76" s="183"/>
      <c r="EN76" s="183"/>
      <c r="EO76" s="183"/>
      <c r="EP76" s="183"/>
      <c r="EQ76" s="183"/>
      <c r="ER76" s="183"/>
      <c r="ES76" s="183"/>
      <c r="ET76" s="183"/>
      <c r="EU76" s="183"/>
      <c r="EV76" s="183"/>
      <c r="EW76" s="183"/>
      <c r="EX76" s="183"/>
      <c r="EY76" s="183"/>
      <c r="EZ76" s="183"/>
      <c r="FA76" s="183"/>
      <c r="FB76" s="183"/>
      <c r="FC76" s="183"/>
      <c r="FD76" s="183"/>
      <c r="FE76" s="183"/>
      <c r="FF76" s="183"/>
      <c r="FG76" s="183"/>
      <c r="FH76" s="183"/>
      <c r="FI76" s="183"/>
    </row>
    <row r="77" spans="2:165" ht="0.2" customHeight="1" outlineLevel="1">
      <c r="B77" s="81"/>
      <c r="C77" s="81"/>
      <c r="D77" s="301"/>
      <c r="E77" s="70"/>
      <c r="F77" s="70"/>
      <c r="G77" s="70"/>
      <c r="H77" s="70"/>
      <c r="I77" s="70"/>
      <c r="J77" s="70"/>
      <c r="K77" s="70"/>
      <c r="L77" s="70"/>
      <c r="M77" s="70"/>
      <c r="N77" s="70"/>
      <c r="O77" s="70"/>
      <c r="P77" s="70"/>
      <c r="Q77" s="70"/>
      <c r="R77" s="70"/>
      <c r="S77" s="70"/>
      <c r="T77" s="82"/>
      <c r="U77" s="83"/>
      <c r="V77" s="84"/>
      <c r="W77" s="183"/>
      <c r="X77" s="186"/>
      <c r="Y77" s="183"/>
      <c r="Z77" s="183"/>
      <c r="AA77" s="183"/>
      <c r="AB77" s="183"/>
      <c r="AC77" s="183"/>
      <c r="AD77" s="183"/>
      <c r="AE77" s="183"/>
      <c r="AF77" s="183"/>
      <c r="AG77" s="183"/>
      <c r="AH77" s="183"/>
      <c r="AI77" s="183"/>
      <c r="AJ77" s="183"/>
      <c r="AK77" s="183"/>
      <c r="AL77" s="183"/>
      <c r="AM77" s="183"/>
      <c r="AN77" s="183"/>
      <c r="AO77" s="183"/>
      <c r="AP77" s="183"/>
      <c r="AQ77" s="183"/>
      <c r="AR77" s="183"/>
      <c r="AS77" s="183"/>
      <c r="AT77" s="183"/>
      <c r="AU77" s="183"/>
      <c r="AV77" s="183"/>
      <c r="AW77" s="183"/>
      <c r="AX77" s="183"/>
      <c r="AY77" s="183"/>
      <c r="AZ77" s="183"/>
      <c r="BA77" s="183"/>
      <c r="BB77" s="183"/>
      <c r="BC77" s="183"/>
      <c r="BD77" s="183"/>
      <c r="BE77" s="183"/>
      <c r="BF77" s="183"/>
      <c r="BG77" s="183"/>
      <c r="BH77" s="183"/>
      <c r="BI77" s="183"/>
      <c r="BJ77" s="183"/>
      <c r="BK77" s="183"/>
      <c r="BL77" s="183"/>
      <c r="BM77" s="183"/>
      <c r="BN77" s="183"/>
      <c r="BO77" s="183"/>
      <c r="BP77" s="183"/>
      <c r="BQ77" s="183"/>
      <c r="BR77" s="183"/>
      <c r="BS77" s="183"/>
      <c r="BT77" s="183"/>
      <c r="BU77" s="183"/>
      <c r="BV77" s="183"/>
      <c r="BW77" s="183"/>
      <c r="BX77" s="183"/>
      <c r="BY77" s="183"/>
      <c r="BZ77" s="183"/>
      <c r="CA77" s="183"/>
      <c r="CB77" s="183"/>
      <c r="CC77" s="183"/>
      <c r="CD77" s="183"/>
      <c r="CE77" s="183"/>
      <c r="CF77" s="183"/>
      <c r="CG77" s="183"/>
      <c r="CH77" s="183"/>
      <c r="CI77" s="183"/>
      <c r="CJ77" s="183"/>
      <c r="CK77" s="183"/>
      <c r="CL77" s="183"/>
      <c r="CM77" s="183"/>
      <c r="CN77" s="183"/>
      <c r="CO77" s="183"/>
      <c r="CP77" s="183"/>
      <c r="CQ77" s="183"/>
      <c r="CR77" s="183"/>
      <c r="CS77" s="183"/>
      <c r="CT77" s="183"/>
      <c r="CU77" s="183"/>
      <c r="CV77" s="183"/>
      <c r="CW77" s="183"/>
      <c r="CX77" s="183"/>
      <c r="CY77" s="183"/>
      <c r="CZ77" s="183"/>
      <c r="DA77" s="183"/>
      <c r="DB77" s="183"/>
      <c r="DC77" s="183"/>
      <c r="DD77" s="183"/>
      <c r="DE77" s="183"/>
      <c r="DF77" s="183"/>
      <c r="DG77" s="183"/>
      <c r="DH77" s="183"/>
      <c r="DI77" s="183"/>
      <c r="DJ77" s="183"/>
      <c r="DK77" s="183"/>
      <c r="DL77" s="183"/>
      <c r="DM77" s="183"/>
      <c r="DN77" s="183"/>
      <c r="DO77" s="183"/>
      <c r="DP77" s="183"/>
      <c r="DQ77" s="183"/>
      <c r="DR77" s="183"/>
      <c r="DS77" s="183"/>
      <c r="DT77" s="183"/>
      <c r="DU77" s="183"/>
      <c r="DV77" s="183"/>
      <c r="DW77" s="183"/>
      <c r="DX77" s="183"/>
      <c r="DY77" s="183"/>
      <c r="DZ77" s="183"/>
      <c r="EA77" s="183"/>
      <c r="EB77" s="183"/>
      <c r="EC77" s="183"/>
      <c r="ED77" s="183"/>
      <c r="EE77" s="183"/>
      <c r="EF77" s="183"/>
      <c r="EG77" s="183"/>
      <c r="EH77" s="183"/>
      <c r="EI77" s="183"/>
      <c r="EJ77" s="183"/>
      <c r="EK77" s="183"/>
      <c r="EL77" s="183"/>
      <c r="EM77" s="183"/>
      <c r="EN77" s="183"/>
      <c r="EO77" s="183"/>
      <c r="EP77" s="183"/>
      <c r="EQ77" s="183"/>
      <c r="ER77" s="183"/>
      <c r="ES77" s="183"/>
      <c r="ET77" s="183"/>
      <c r="EU77" s="183"/>
      <c r="EV77" s="183"/>
      <c r="EW77" s="183"/>
      <c r="EX77" s="183"/>
      <c r="EY77" s="183"/>
      <c r="EZ77" s="183"/>
      <c r="FA77" s="183"/>
      <c r="FB77" s="183"/>
      <c r="FC77" s="183"/>
      <c r="FD77" s="183"/>
      <c r="FE77" s="183"/>
      <c r="FF77" s="183"/>
      <c r="FG77" s="183"/>
      <c r="FH77" s="183"/>
      <c r="FI77" s="183"/>
    </row>
    <row r="78" spans="2:165" ht="0.2" customHeight="1" outlineLevel="1">
      <c r="B78" s="81"/>
      <c r="C78" s="81"/>
      <c r="D78" s="301"/>
      <c r="E78" s="70"/>
      <c r="F78" s="70"/>
      <c r="G78" s="70"/>
      <c r="H78" s="70"/>
      <c r="I78" s="70"/>
      <c r="J78" s="70"/>
      <c r="K78" s="70"/>
      <c r="L78" s="70"/>
      <c r="M78" s="70"/>
      <c r="N78" s="70"/>
      <c r="O78" s="70"/>
      <c r="P78" s="70"/>
      <c r="Q78" s="70"/>
      <c r="R78" s="70"/>
      <c r="S78" s="70"/>
      <c r="T78" s="82"/>
      <c r="U78" s="83"/>
      <c r="V78" s="84"/>
      <c r="W78" s="183"/>
      <c r="X78" s="186"/>
      <c r="Y78" s="183"/>
      <c r="Z78" s="183"/>
      <c r="AA78" s="183"/>
      <c r="AB78" s="183"/>
      <c r="AC78" s="183"/>
      <c r="AD78" s="183"/>
      <c r="AE78" s="183"/>
      <c r="AF78" s="183"/>
      <c r="AG78" s="183"/>
      <c r="AH78" s="183"/>
      <c r="AI78" s="183"/>
      <c r="AJ78" s="183"/>
      <c r="AK78" s="183"/>
      <c r="AL78" s="183"/>
      <c r="AM78" s="183"/>
      <c r="AN78" s="183"/>
      <c r="AO78" s="183"/>
      <c r="AP78" s="183"/>
      <c r="AQ78" s="183"/>
      <c r="AR78" s="183"/>
      <c r="AS78" s="183"/>
      <c r="AT78" s="183"/>
      <c r="AU78" s="183"/>
      <c r="AV78" s="183"/>
      <c r="AW78" s="183"/>
      <c r="AX78" s="183"/>
      <c r="AY78" s="183"/>
      <c r="AZ78" s="183"/>
      <c r="BA78" s="183"/>
      <c r="BB78" s="183"/>
      <c r="BC78" s="183"/>
      <c r="BD78" s="183"/>
      <c r="BE78" s="183"/>
      <c r="BF78" s="183"/>
      <c r="BG78" s="183"/>
      <c r="BH78" s="183"/>
      <c r="BI78" s="183"/>
      <c r="BJ78" s="183"/>
      <c r="BK78" s="183"/>
      <c r="BL78" s="183"/>
      <c r="BM78" s="183"/>
      <c r="BN78" s="183"/>
      <c r="BO78" s="183"/>
      <c r="BP78" s="183"/>
      <c r="BQ78" s="183"/>
      <c r="BR78" s="183"/>
      <c r="BS78" s="183"/>
      <c r="BT78" s="183"/>
      <c r="BU78" s="183"/>
      <c r="BV78" s="183"/>
      <c r="BW78" s="183"/>
      <c r="BX78" s="183"/>
      <c r="BY78" s="183"/>
      <c r="BZ78" s="183"/>
      <c r="CA78" s="183"/>
      <c r="CB78" s="183"/>
      <c r="CC78" s="183"/>
      <c r="CD78" s="183"/>
      <c r="CE78" s="183"/>
      <c r="CF78" s="183"/>
      <c r="CG78" s="183"/>
      <c r="CH78" s="183"/>
      <c r="CI78" s="183"/>
      <c r="CJ78" s="183"/>
      <c r="CK78" s="183"/>
      <c r="CL78" s="183"/>
      <c r="CM78" s="183"/>
      <c r="CN78" s="183"/>
      <c r="CO78" s="183"/>
      <c r="CP78" s="183"/>
      <c r="CQ78" s="183"/>
      <c r="CR78" s="183"/>
      <c r="CS78" s="183"/>
      <c r="CT78" s="183"/>
      <c r="CU78" s="183"/>
      <c r="CV78" s="183"/>
      <c r="CW78" s="183"/>
      <c r="CX78" s="183"/>
      <c r="CY78" s="183"/>
      <c r="CZ78" s="183"/>
      <c r="DA78" s="183"/>
      <c r="DB78" s="183"/>
      <c r="DC78" s="183"/>
      <c r="DD78" s="183"/>
      <c r="DE78" s="183"/>
      <c r="DF78" s="183"/>
      <c r="DG78" s="183"/>
      <c r="DH78" s="183"/>
      <c r="DI78" s="183"/>
      <c r="DJ78" s="183"/>
      <c r="DK78" s="183"/>
      <c r="DL78" s="183"/>
      <c r="DM78" s="183"/>
      <c r="DN78" s="183"/>
      <c r="DO78" s="183"/>
      <c r="DP78" s="183"/>
      <c r="DQ78" s="183"/>
      <c r="DR78" s="183"/>
      <c r="DS78" s="183"/>
      <c r="DT78" s="183"/>
      <c r="DU78" s="183"/>
      <c r="DV78" s="183"/>
      <c r="DW78" s="183"/>
      <c r="DX78" s="183"/>
      <c r="DY78" s="183"/>
      <c r="DZ78" s="183"/>
      <c r="EA78" s="183"/>
      <c r="EB78" s="183"/>
      <c r="EC78" s="183"/>
      <c r="ED78" s="183"/>
      <c r="EE78" s="183"/>
      <c r="EF78" s="183"/>
      <c r="EG78" s="183"/>
      <c r="EH78" s="183"/>
      <c r="EI78" s="183"/>
      <c r="EJ78" s="183"/>
      <c r="EK78" s="183"/>
      <c r="EL78" s="183"/>
      <c r="EM78" s="183"/>
      <c r="EN78" s="183"/>
      <c r="EO78" s="183"/>
      <c r="EP78" s="183"/>
      <c r="EQ78" s="183"/>
      <c r="ER78" s="183"/>
      <c r="ES78" s="183"/>
      <c r="ET78" s="183"/>
      <c r="EU78" s="183"/>
      <c r="EV78" s="183"/>
      <c r="EW78" s="183"/>
      <c r="EX78" s="183"/>
      <c r="EY78" s="183"/>
      <c r="EZ78" s="183"/>
      <c r="FA78" s="183"/>
      <c r="FB78" s="183"/>
      <c r="FC78" s="183"/>
      <c r="FD78" s="183"/>
      <c r="FE78" s="183"/>
      <c r="FF78" s="183"/>
      <c r="FG78" s="183"/>
      <c r="FH78" s="183"/>
      <c r="FI78" s="183"/>
    </row>
    <row r="79" spans="2:165" ht="0.2" customHeight="1" outlineLevel="1">
      <c r="B79" s="81"/>
      <c r="C79" s="81"/>
      <c r="D79" s="301"/>
      <c r="E79" s="70"/>
      <c r="F79" s="70"/>
      <c r="G79" s="70"/>
      <c r="H79" s="70"/>
      <c r="I79" s="70"/>
      <c r="J79" s="70"/>
      <c r="K79" s="70"/>
      <c r="L79" s="70"/>
      <c r="M79" s="70"/>
      <c r="N79" s="70"/>
      <c r="O79" s="70"/>
      <c r="P79" s="70"/>
      <c r="Q79" s="70"/>
      <c r="R79" s="70"/>
      <c r="S79" s="70"/>
      <c r="T79" s="82"/>
      <c r="U79" s="83"/>
      <c r="V79" s="84"/>
      <c r="W79" s="183"/>
      <c r="X79" s="186"/>
      <c r="Y79" s="183"/>
      <c r="Z79" s="183"/>
      <c r="AA79" s="183"/>
      <c r="AB79" s="183"/>
      <c r="AC79" s="183"/>
      <c r="AD79" s="183"/>
      <c r="AE79" s="183"/>
      <c r="AF79" s="183"/>
      <c r="AG79" s="183"/>
      <c r="AH79" s="183"/>
      <c r="AI79" s="183"/>
      <c r="AJ79" s="183"/>
      <c r="AK79" s="183"/>
      <c r="AL79" s="183"/>
      <c r="AM79" s="183"/>
      <c r="AN79" s="183"/>
      <c r="AO79" s="183"/>
      <c r="AP79" s="183"/>
      <c r="AQ79" s="183"/>
      <c r="AR79" s="183"/>
      <c r="AS79" s="183"/>
      <c r="AT79" s="183"/>
      <c r="AU79" s="183"/>
      <c r="AV79" s="183"/>
      <c r="AW79" s="183"/>
      <c r="AX79" s="183"/>
      <c r="AY79" s="183"/>
      <c r="AZ79" s="183"/>
      <c r="BA79" s="183"/>
      <c r="BB79" s="183"/>
      <c r="BC79" s="183"/>
      <c r="BD79" s="183"/>
      <c r="BE79" s="183"/>
      <c r="BF79" s="183"/>
      <c r="BG79" s="183"/>
      <c r="BH79" s="183"/>
      <c r="BI79" s="183"/>
      <c r="BJ79" s="183"/>
      <c r="BK79" s="183"/>
      <c r="BL79" s="183"/>
      <c r="BM79" s="183"/>
      <c r="BN79" s="183"/>
      <c r="BO79" s="183"/>
      <c r="BP79" s="183"/>
      <c r="BQ79" s="183"/>
      <c r="BR79" s="183"/>
      <c r="BS79" s="183"/>
      <c r="BT79" s="183"/>
      <c r="BU79" s="183"/>
      <c r="BV79" s="183"/>
      <c r="BW79" s="183"/>
      <c r="BX79" s="183"/>
      <c r="BY79" s="183"/>
      <c r="BZ79" s="183"/>
      <c r="CA79" s="183"/>
      <c r="CB79" s="183"/>
      <c r="CC79" s="183"/>
      <c r="CD79" s="183"/>
      <c r="CE79" s="183"/>
      <c r="CF79" s="183"/>
      <c r="CG79" s="183"/>
      <c r="CH79" s="183"/>
      <c r="CI79" s="183"/>
      <c r="CJ79" s="183"/>
      <c r="CK79" s="183"/>
      <c r="CL79" s="183"/>
      <c r="CM79" s="183"/>
      <c r="CN79" s="183"/>
      <c r="CO79" s="183"/>
      <c r="CP79" s="183"/>
      <c r="CQ79" s="183"/>
      <c r="CR79" s="183"/>
      <c r="CS79" s="183"/>
      <c r="CT79" s="183"/>
      <c r="CU79" s="183"/>
      <c r="CV79" s="183"/>
      <c r="CW79" s="183"/>
      <c r="CX79" s="183"/>
      <c r="CY79" s="183"/>
      <c r="CZ79" s="183"/>
      <c r="DA79" s="183"/>
      <c r="DB79" s="183"/>
      <c r="DC79" s="183"/>
      <c r="DD79" s="183"/>
      <c r="DE79" s="183"/>
      <c r="DF79" s="183"/>
      <c r="DG79" s="183"/>
      <c r="DH79" s="183"/>
      <c r="DI79" s="183"/>
      <c r="DJ79" s="183"/>
      <c r="DK79" s="183"/>
      <c r="DL79" s="183"/>
      <c r="DM79" s="183"/>
      <c r="DN79" s="183"/>
      <c r="DO79" s="183"/>
      <c r="DP79" s="183"/>
      <c r="DQ79" s="183"/>
      <c r="DR79" s="183"/>
      <c r="DS79" s="183"/>
      <c r="DT79" s="183"/>
      <c r="DU79" s="183"/>
      <c r="DV79" s="183"/>
      <c r="DW79" s="183"/>
      <c r="DX79" s="183"/>
      <c r="DY79" s="183"/>
      <c r="DZ79" s="183"/>
      <c r="EA79" s="183"/>
      <c r="EB79" s="183"/>
      <c r="EC79" s="183"/>
      <c r="ED79" s="183"/>
      <c r="EE79" s="183"/>
      <c r="EF79" s="183"/>
      <c r="EG79" s="183"/>
      <c r="EH79" s="183"/>
      <c r="EI79" s="183"/>
      <c r="EJ79" s="183"/>
      <c r="EK79" s="183"/>
      <c r="EL79" s="183"/>
      <c r="EM79" s="183"/>
      <c r="EN79" s="183"/>
      <c r="EO79" s="183"/>
      <c r="EP79" s="183"/>
      <c r="EQ79" s="183"/>
      <c r="ER79" s="183"/>
      <c r="ES79" s="183"/>
      <c r="ET79" s="183"/>
      <c r="EU79" s="183"/>
      <c r="EV79" s="183"/>
      <c r="EW79" s="183"/>
      <c r="EX79" s="183"/>
      <c r="EY79" s="183"/>
      <c r="EZ79" s="183"/>
      <c r="FA79" s="183"/>
      <c r="FB79" s="183"/>
      <c r="FC79" s="183"/>
      <c r="FD79" s="183"/>
      <c r="FE79" s="183"/>
      <c r="FF79" s="183"/>
      <c r="FG79" s="183"/>
      <c r="FH79" s="183"/>
      <c r="FI79" s="183"/>
    </row>
    <row r="80" spans="2:165" ht="0.2" customHeight="1" outlineLevel="1">
      <c r="B80" s="81"/>
      <c r="C80" s="81"/>
      <c r="D80" s="301"/>
      <c r="E80" s="70"/>
      <c r="F80" s="70"/>
      <c r="G80" s="70"/>
      <c r="H80" s="70"/>
      <c r="I80" s="70"/>
      <c r="J80" s="70"/>
      <c r="K80" s="70"/>
      <c r="L80" s="70"/>
      <c r="M80" s="70"/>
      <c r="N80" s="70"/>
      <c r="O80" s="70"/>
      <c r="P80" s="70"/>
      <c r="Q80" s="70"/>
      <c r="R80" s="70"/>
      <c r="S80" s="70"/>
      <c r="T80" s="82"/>
      <c r="U80" s="83"/>
      <c r="V80" s="84"/>
      <c r="W80" s="183"/>
      <c r="X80" s="186"/>
      <c r="Y80" s="183"/>
      <c r="Z80" s="183"/>
      <c r="AA80" s="183"/>
      <c r="AB80" s="183"/>
      <c r="AC80" s="183"/>
      <c r="AD80" s="183"/>
      <c r="AE80" s="183"/>
      <c r="AF80" s="183"/>
      <c r="AG80" s="183"/>
      <c r="AH80" s="183"/>
      <c r="AI80" s="183"/>
      <c r="AJ80" s="183"/>
      <c r="AK80" s="183"/>
      <c r="AL80" s="183"/>
      <c r="AM80" s="183"/>
      <c r="AN80" s="183"/>
      <c r="AO80" s="183"/>
      <c r="AP80" s="183"/>
      <c r="AQ80" s="183"/>
      <c r="AR80" s="183"/>
      <c r="AS80" s="183"/>
      <c r="AT80" s="183"/>
      <c r="AU80" s="183"/>
      <c r="AV80" s="183"/>
      <c r="AW80" s="183"/>
      <c r="AX80" s="183"/>
      <c r="AY80" s="183"/>
      <c r="AZ80" s="183"/>
      <c r="BA80" s="183"/>
      <c r="BB80" s="183"/>
      <c r="BC80" s="183"/>
      <c r="BD80" s="183"/>
      <c r="BE80" s="183"/>
      <c r="BF80" s="183"/>
      <c r="BG80" s="183"/>
      <c r="BH80" s="183"/>
      <c r="BI80" s="183"/>
      <c r="BJ80" s="183"/>
      <c r="BK80" s="183"/>
      <c r="BL80" s="183"/>
      <c r="BM80" s="183"/>
      <c r="BN80" s="183"/>
      <c r="BO80" s="183"/>
      <c r="BP80" s="183"/>
      <c r="BQ80" s="183"/>
      <c r="BR80" s="183"/>
      <c r="BS80" s="183"/>
      <c r="BT80" s="183"/>
      <c r="BU80" s="183"/>
      <c r="BV80" s="183"/>
      <c r="BW80" s="183"/>
      <c r="BX80" s="183"/>
      <c r="BY80" s="183"/>
      <c r="BZ80" s="183"/>
      <c r="CA80" s="183"/>
      <c r="CB80" s="183"/>
      <c r="CC80" s="183"/>
      <c r="CD80" s="183"/>
      <c r="CE80" s="183"/>
      <c r="CF80" s="183"/>
      <c r="CG80" s="183"/>
      <c r="CH80" s="183"/>
      <c r="CI80" s="183"/>
      <c r="CJ80" s="183"/>
      <c r="CK80" s="183"/>
      <c r="CL80" s="183"/>
      <c r="CM80" s="183"/>
      <c r="CN80" s="183"/>
      <c r="CO80" s="183"/>
      <c r="CP80" s="183"/>
      <c r="CQ80" s="183"/>
      <c r="CR80" s="183"/>
      <c r="CS80" s="183"/>
      <c r="CT80" s="183"/>
      <c r="CU80" s="183"/>
      <c r="CV80" s="183"/>
      <c r="CW80" s="183"/>
      <c r="CX80" s="183"/>
      <c r="CY80" s="183"/>
      <c r="CZ80" s="183"/>
      <c r="DA80" s="183"/>
      <c r="DB80" s="183"/>
      <c r="DC80" s="183"/>
      <c r="DD80" s="183"/>
      <c r="DE80" s="183"/>
      <c r="DF80" s="183"/>
      <c r="DG80" s="183"/>
      <c r="DH80" s="183"/>
      <c r="DI80" s="183"/>
      <c r="DJ80" s="183"/>
      <c r="DK80" s="183"/>
      <c r="DL80" s="183"/>
      <c r="DM80" s="183"/>
      <c r="DN80" s="183"/>
      <c r="DO80" s="183"/>
      <c r="DP80" s="183"/>
      <c r="DQ80" s="183"/>
      <c r="DR80" s="183"/>
      <c r="DS80" s="183"/>
      <c r="DT80" s="183"/>
      <c r="DU80" s="183"/>
      <c r="DV80" s="183"/>
      <c r="DW80" s="183"/>
      <c r="DX80" s="183"/>
      <c r="DY80" s="183"/>
      <c r="DZ80" s="183"/>
      <c r="EA80" s="183"/>
      <c r="EB80" s="183"/>
      <c r="EC80" s="183"/>
      <c r="ED80" s="183"/>
      <c r="EE80" s="183"/>
      <c r="EF80" s="183"/>
      <c r="EG80" s="183"/>
      <c r="EH80" s="183"/>
      <c r="EI80" s="183"/>
      <c r="EJ80" s="183"/>
      <c r="EK80" s="183"/>
      <c r="EL80" s="183"/>
      <c r="EM80" s="183"/>
      <c r="EN80" s="183"/>
      <c r="EO80" s="183"/>
      <c r="EP80" s="183"/>
      <c r="EQ80" s="183"/>
      <c r="ER80" s="183"/>
      <c r="ES80" s="183"/>
      <c r="ET80" s="183"/>
      <c r="EU80" s="183"/>
      <c r="EV80" s="183"/>
      <c r="EW80" s="183"/>
      <c r="EX80" s="183"/>
      <c r="EY80" s="183"/>
      <c r="EZ80" s="183"/>
      <c r="FA80" s="183"/>
      <c r="FB80" s="183"/>
      <c r="FC80" s="183"/>
      <c r="FD80" s="183"/>
      <c r="FE80" s="183"/>
      <c r="FF80" s="183"/>
      <c r="FG80" s="183"/>
      <c r="FH80" s="183"/>
      <c r="FI80" s="183"/>
    </row>
    <row r="81" spans="2:165" ht="0.2" customHeight="1" outlineLevel="1">
      <c r="B81" s="81"/>
      <c r="C81" s="81"/>
      <c r="D81" s="301"/>
      <c r="E81" s="70"/>
      <c r="F81" s="70"/>
      <c r="G81" s="70"/>
      <c r="H81" s="70"/>
      <c r="I81" s="70"/>
      <c r="J81" s="70"/>
      <c r="K81" s="70"/>
      <c r="L81" s="70"/>
      <c r="M81" s="70"/>
      <c r="N81" s="70"/>
      <c r="O81" s="70"/>
      <c r="P81" s="70"/>
      <c r="Q81" s="70"/>
      <c r="R81" s="70"/>
      <c r="S81" s="70"/>
      <c r="T81" s="82"/>
      <c r="U81" s="83"/>
      <c r="V81" s="84"/>
      <c r="W81" s="183"/>
      <c r="X81" s="186"/>
      <c r="Y81" s="183"/>
      <c r="Z81" s="183"/>
      <c r="AA81" s="183"/>
      <c r="AB81" s="183"/>
      <c r="AC81" s="183"/>
      <c r="AD81" s="183"/>
      <c r="AE81" s="183"/>
      <c r="AF81" s="183"/>
      <c r="AG81" s="183"/>
      <c r="AH81" s="183"/>
      <c r="AI81" s="183"/>
      <c r="AJ81" s="183"/>
      <c r="AK81" s="183"/>
      <c r="AL81" s="183"/>
      <c r="AM81" s="183"/>
      <c r="AN81" s="183"/>
      <c r="AO81" s="183"/>
      <c r="AP81" s="183"/>
      <c r="AQ81" s="183"/>
      <c r="AR81" s="183"/>
      <c r="AS81" s="183"/>
      <c r="AT81" s="183"/>
      <c r="AU81" s="183"/>
      <c r="AV81" s="183"/>
      <c r="AW81" s="183"/>
      <c r="AX81" s="183"/>
      <c r="AY81" s="183"/>
      <c r="AZ81" s="183"/>
      <c r="BA81" s="183"/>
      <c r="BB81" s="183"/>
      <c r="BC81" s="183"/>
      <c r="BD81" s="183"/>
      <c r="BE81" s="183"/>
      <c r="BF81" s="183"/>
      <c r="BG81" s="183"/>
      <c r="BH81" s="183"/>
      <c r="BI81" s="183"/>
      <c r="BJ81" s="183"/>
      <c r="BK81" s="183"/>
      <c r="BL81" s="183"/>
      <c r="BM81" s="183"/>
      <c r="BN81" s="183"/>
      <c r="BO81" s="183"/>
      <c r="BP81" s="183"/>
      <c r="BQ81" s="183"/>
      <c r="BR81" s="183"/>
      <c r="BS81" s="183"/>
      <c r="BT81" s="183"/>
      <c r="BU81" s="183"/>
      <c r="BV81" s="183"/>
      <c r="BW81" s="183"/>
      <c r="BX81" s="183"/>
      <c r="BY81" s="183"/>
      <c r="BZ81" s="183"/>
      <c r="CA81" s="183"/>
      <c r="CB81" s="183"/>
      <c r="CC81" s="183"/>
      <c r="CD81" s="183"/>
      <c r="CE81" s="183"/>
      <c r="CF81" s="183"/>
      <c r="CG81" s="183"/>
      <c r="CH81" s="183"/>
      <c r="CI81" s="183"/>
      <c r="CJ81" s="183"/>
      <c r="CK81" s="183"/>
      <c r="CL81" s="183"/>
      <c r="CM81" s="183"/>
      <c r="CN81" s="183"/>
      <c r="CO81" s="183"/>
      <c r="CP81" s="183"/>
      <c r="CQ81" s="183"/>
      <c r="CR81" s="183"/>
      <c r="CS81" s="183"/>
      <c r="CT81" s="183"/>
      <c r="CU81" s="183"/>
      <c r="CV81" s="183"/>
      <c r="CW81" s="183"/>
      <c r="CX81" s="183"/>
      <c r="CY81" s="183"/>
      <c r="CZ81" s="183"/>
      <c r="DA81" s="183"/>
      <c r="DB81" s="183"/>
      <c r="DC81" s="183"/>
      <c r="DD81" s="183"/>
      <c r="DE81" s="183"/>
      <c r="DF81" s="183"/>
      <c r="DG81" s="183"/>
      <c r="DH81" s="183"/>
      <c r="DI81" s="183"/>
      <c r="DJ81" s="183"/>
      <c r="DK81" s="183"/>
      <c r="DL81" s="183"/>
      <c r="DM81" s="183"/>
      <c r="DN81" s="183"/>
      <c r="DO81" s="183"/>
      <c r="DP81" s="183"/>
      <c r="DQ81" s="183"/>
      <c r="DR81" s="183"/>
      <c r="DS81" s="183"/>
      <c r="DT81" s="183"/>
      <c r="DU81" s="183"/>
      <c r="DV81" s="183"/>
      <c r="DW81" s="183"/>
      <c r="DX81" s="183"/>
      <c r="DY81" s="183"/>
      <c r="DZ81" s="183"/>
      <c r="EA81" s="183"/>
      <c r="EB81" s="183"/>
      <c r="EC81" s="183"/>
      <c r="ED81" s="183"/>
      <c r="EE81" s="183"/>
      <c r="EF81" s="183"/>
      <c r="EG81" s="183"/>
      <c r="EH81" s="183"/>
      <c r="EI81" s="183"/>
      <c r="EJ81" s="183"/>
      <c r="EK81" s="183"/>
      <c r="EL81" s="183"/>
      <c r="EM81" s="183"/>
      <c r="EN81" s="183"/>
      <c r="EO81" s="183"/>
      <c r="EP81" s="183"/>
      <c r="EQ81" s="183"/>
      <c r="ER81" s="183"/>
      <c r="ES81" s="183"/>
      <c r="ET81" s="183"/>
      <c r="EU81" s="183"/>
      <c r="EV81" s="183"/>
      <c r="EW81" s="183"/>
      <c r="EX81" s="183"/>
      <c r="EY81" s="183"/>
      <c r="EZ81" s="183"/>
      <c r="FA81" s="183"/>
      <c r="FB81" s="183"/>
      <c r="FC81" s="183"/>
      <c r="FD81" s="183"/>
      <c r="FE81" s="183"/>
      <c r="FF81" s="183"/>
      <c r="FG81" s="183"/>
      <c r="FH81" s="183"/>
      <c r="FI81" s="183"/>
    </row>
    <row r="82" spans="2:165" ht="0.2" customHeight="1" outlineLevel="1">
      <c r="B82" s="81"/>
      <c r="C82" s="81"/>
      <c r="D82" s="301"/>
      <c r="E82" s="70"/>
      <c r="F82" s="70"/>
      <c r="G82" s="70"/>
      <c r="H82" s="70"/>
      <c r="I82" s="70"/>
      <c r="J82" s="70"/>
      <c r="K82" s="70"/>
      <c r="L82" s="70"/>
      <c r="M82" s="70"/>
      <c r="N82" s="70"/>
      <c r="O82" s="70"/>
      <c r="P82" s="70"/>
      <c r="Q82" s="70"/>
      <c r="R82" s="70"/>
      <c r="S82" s="70"/>
      <c r="T82" s="82"/>
      <c r="U82" s="83"/>
      <c r="V82" s="84"/>
      <c r="W82" s="183"/>
      <c r="X82" s="186"/>
      <c r="Y82" s="183"/>
      <c r="Z82" s="183"/>
      <c r="AA82" s="183"/>
      <c r="AB82" s="183"/>
      <c r="AC82" s="183"/>
      <c r="AD82" s="183"/>
      <c r="AE82" s="183"/>
      <c r="AF82" s="183"/>
      <c r="AG82" s="183"/>
      <c r="AH82" s="183"/>
      <c r="AI82" s="183"/>
      <c r="AJ82" s="183"/>
      <c r="AK82" s="183"/>
      <c r="AL82" s="183"/>
      <c r="AM82" s="183"/>
      <c r="AN82" s="183"/>
      <c r="AO82" s="183"/>
      <c r="AP82" s="183"/>
      <c r="AQ82" s="183"/>
      <c r="AR82" s="183"/>
      <c r="AS82" s="183"/>
      <c r="AT82" s="183"/>
      <c r="AU82" s="183"/>
      <c r="AV82" s="183"/>
      <c r="AW82" s="183"/>
      <c r="AX82" s="183"/>
      <c r="AY82" s="183"/>
      <c r="AZ82" s="183"/>
      <c r="BA82" s="183"/>
      <c r="BB82" s="183"/>
      <c r="BC82" s="183"/>
      <c r="BD82" s="183"/>
      <c r="BE82" s="183"/>
      <c r="BF82" s="183"/>
      <c r="BG82" s="183"/>
      <c r="BH82" s="183"/>
      <c r="BI82" s="183"/>
      <c r="BJ82" s="183"/>
      <c r="BK82" s="183"/>
      <c r="BL82" s="183"/>
      <c r="BM82" s="183"/>
      <c r="BN82" s="183"/>
      <c r="BO82" s="183"/>
      <c r="BP82" s="183"/>
      <c r="BQ82" s="183"/>
      <c r="BR82" s="183"/>
      <c r="BS82" s="183"/>
      <c r="BT82" s="183"/>
      <c r="BU82" s="183"/>
      <c r="BV82" s="183"/>
      <c r="BW82" s="183"/>
      <c r="BX82" s="183"/>
      <c r="BY82" s="183"/>
      <c r="BZ82" s="183"/>
      <c r="CA82" s="183"/>
      <c r="CB82" s="183"/>
      <c r="CC82" s="183"/>
      <c r="CD82" s="183"/>
      <c r="CE82" s="183"/>
      <c r="CF82" s="183"/>
      <c r="CG82" s="183"/>
      <c r="CH82" s="183"/>
      <c r="CI82" s="183"/>
      <c r="CJ82" s="183"/>
      <c r="CK82" s="183"/>
      <c r="CL82" s="183"/>
      <c r="CM82" s="183"/>
      <c r="CN82" s="183"/>
      <c r="CO82" s="183"/>
      <c r="CP82" s="183"/>
      <c r="CQ82" s="183"/>
      <c r="CR82" s="183"/>
      <c r="CS82" s="183"/>
      <c r="CT82" s="183"/>
      <c r="CU82" s="183"/>
      <c r="CV82" s="183"/>
      <c r="CW82" s="183"/>
      <c r="CX82" s="183"/>
      <c r="CY82" s="183"/>
      <c r="CZ82" s="183"/>
      <c r="DA82" s="183"/>
      <c r="DB82" s="183"/>
      <c r="DC82" s="183"/>
      <c r="DD82" s="183"/>
      <c r="DE82" s="183"/>
      <c r="DF82" s="183"/>
      <c r="DG82" s="183"/>
      <c r="DH82" s="183"/>
      <c r="DI82" s="183"/>
      <c r="DJ82" s="183"/>
      <c r="DK82" s="183"/>
      <c r="DL82" s="183"/>
      <c r="DM82" s="183"/>
      <c r="DN82" s="183"/>
      <c r="DO82" s="183"/>
      <c r="DP82" s="183"/>
      <c r="DQ82" s="183"/>
      <c r="DR82" s="183"/>
      <c r="DS82" s="183"/>
      <c r="DT82" s="183"/>
      <c r="DU82" s="183"/>
      <c r="DV82" s="183"/>
      <c r="DW82" s="183"/>
      <c r="DX82" s="183"/>
      <c r="DY82" s="183"/>
      <c r="DZ82" s="183"/>
      <c r="EA82" s="183"/>
      <c r="EB82" s="183"/>
      <c r="EC82" s="183"/>
      <c r="ED82" s="183"/>
      <c r="EE82" s="183"/>
      <c r="EF82" s="183"/>
      <c r="EG82" s="183"/>
      <c r="EH82" s="183"/>
      <c r="EI82" s="183"/>
      <c r="EJ82" s="183"/>
      <c r="EK82" s="183"/>
      <c r="EL82" s="183"/>
      <c r="EM82" s="183"/>
      <c r="EN82" s="183"/>
      <c r="EO82" s="183"/>
      <c r="EP82" s="183"/>
      <c r="EQ82" s="183"/>
      <c r="ER82" s="183"/>
      <c r="ES82" s="183"/>
      <c r="ET82" s="183"/>
      <c r="EU82" s="183"/>
      <c r="EV82" s="183"/>
      <c r="EW82" s="183"/>
      <c r="EX82" s="183"/>
      <c r="EY82" s="183"/>
      <c r="EZ82" s="183"/>
      <c r="FA82" s="183"/>
      <c r="FB82" s="183"/>
      <c r="FC82" s="183"/>
      <c r="FD82" s="183"/>
      <c r="FE82" s="183"/>
      <c r="FF82" s="183"/>
      <c r="FG82" s="183"/>
      <c r="FH82" s="183"/>
      <c r="FI82" s="183"/>
    </row>
    <row r="83" spans="2:165" ht="0.2" customHeight="1" outlineLevel="1">
      <c r="B83" s="81"/>
      <c r="C83" s="81"/>
      <c r="D83" s="301"/>
      <c r="E83" s="70"/>
      <c r="F83" s="70"/>
      <c r="G83" s="70"/>
      <c r="H83" s="70"/>
      <c r="I83" s="70"/>
      <c r="J83" s="70"/>
      <c r="K83" s="70"/>
      <c r="L83" s="70"/>
      <c r="M83" s="70"/>
      <c r="N83" s="70"/>
      <c r="O83" s="70"/>
      <c r="P83" s="70"/>
      <c r="Q83" s="70"/>
      <c r="R83" s="70"/>
      <c r="S83" s="70"/>
      <c r="T83" s="82"/>
      <c r="U83" s="83"/>
      <c r="V83" s="84"/>
      <c r="W83" s="183"/>
      <c r="X83" s="186"/>
      <c r="Y83" s="183"/>
      <c r="Z83" s="183"/>
      <c r="AA83" s="183"/>
      <c r="AB83" s="183"/>
      <c r="AC83" s="183"/>
      <c r="AD83" s="183"/>
      <c r="AE83" s="183"/>
      <c r="AF83" s="183"/>
      <c r="AG83" s="183"/>
      <c r="AH83" s="183"/>
      <c r="AI83" s="183"/>
      <c r="AJ83" s="183"/>
      <c r="AK83" s="183"/>
      <c r="AL83" s="183"/>
      <c r="AM83" s="183"/>
      <c r="AN83" s="183"/>
      <c r="AO83" s="183"/>
      <c r="AP83" s="183"/>
      <c r="AQ83" s="183"/>
      <c r="AR83" s="183"/>
      <c r="AS83" s="183"/>
      <c r="AT83" s="183"/>
      <c r="AU83" s="183"/>
      <c r="AV83" s="183"/>
      <c r="AW83" s="183"/>
      <c r="AX83" s="183"/>
      <c r="AY83" s="183"/>
      <c r="AZ83" s="183"/>
      <c r="BA83" s="183"/>
      <c r="BB83" s="183"/>
      <c r="BC83" s="183"/>
      <c r="BD83" s="183"/>
      <c r="BE83" s="183"/>
      <c r="BF83" s="183"/>
      <c r="BG83" s="183"/>
      <c r="BH83" s="183"/>
      <c r="BI83" s="183"/>
      <c r="BJ83" s="183"/>
      <c r="BK83" s="183"/>
      <c r="BL83" s="183"/>
      <c r="BM83" s="183"/>
      <c r="BN83" s="183"/>
      <c r="BO83" s="183"/>
      <c r="BP83" s="183"/>
      <c r="BQ83" s="183"/>
      <c r="BR83" s="183"/>
      <c r="BS83" s="183"/>
      <c r="BT83" s="183"/>
      <c r="BU83" s="183"/>
      <c r="BV83" s="183"/>
      <c r="BW83" s="183"/>
      <c r="BX83" s="183"/>
      <c r="BY83" s="183"/>
      <c r="BZ83" s="183"/>
      <c r="CA83" s="183"/>
      <c r="CB83" s="183"/>
      <c r="CC83" s="183"/>
      <c r="CD83" s="183"/>
      <c r="CE83" s="183"/>
      <c r="CF83" s="183"/>
      <c r="CG83" s="183"/>
      <c r="CH83" s="183"/>
      <c r="CI83" s="183"/>
      <c r="CJ83" s="183"/>
      <c r="CK83" s="183"/>
      <c r="CL83" s="183"/>
      <c r="CM83" s="183"/>
      <c r="CN83" s="183"/>
      <c r="CO83" s="183"/>
      <c r="CP83" s="183"/>
      <c r="CQ83" s="183"/>
      <c r="CR83" s="183"/>
      <c r="CS83" s="183"/>
      <c r="CT83" s="183"/>
      <c r="CU83" s="183"/>
      <c r="CV83" s="183"/>
      <c r="CW83" s="183"/>
      <c r="CX83" s="183"/>
      <c r="CY83" s="183"/>
      <c r="CZ83" s="183"/>
      <c r="DA83" s="183"/>
      <c r="DB83" s="183"/>
      <c r="DC83" s="183"/>
      <c r="DD83" s="183"/>
      <c r="DE83" s="183"/>
      <c r="DF83" s="183"/>
      <c r="DG83" s="183"/>
      <c r="DH83" s="183"/>
      <c r="DI83" s="183"/>
      <c r="DJ83" s="183"/>
      <c r="DK83" s="183"/>
      <c r="DL83" s="183"/>
      <c r="DM83" s="183"/>
      <c r="DN83" s="183"/>
      <c r="DO83" s="183"/>
      <c r="DP83" s="183"/>
      <c r="DQ83" s="183"/>
      <c r="DR83" s="183"/>
      <c r="DS83" s="183"/>
      <c r="DT83" s="183"/>
      <c r="DU83" s="183"/>
      <c r="DV83" s="183"/>
      <c r="DW83" s="183"/>
      <c r="DX83" s="183"/>
      <c r="DY83" s="183"/>
      <c r="DZ83" s="183"/>
      <c r="EA83" s="183"/>
      <c r="EB83" s="183"/>
      <c r="EC83" s="183"/>
      <c r="ED83" s="183"/>
      <c r="EE83" s="183"/>
      <c r="EF83" s="183"/>
      <c r="EG83" s="183"/>
      <c r="EH83" s="183"/>
      <c r="EI83" s="183"/>
      <c r="EJ83" s="183"/>
      <c r="EK83" s="183"/>
      <c r="EL83" s="183"/>
      <c r="EM83" s="183"/>
      <c r="EN83" s="183"/>
      <c r="EO83" s="183"/>
      <c r="EP83" s="183"/>
      <c r="EQ83" s="183"/>
      <c r="ER83" s="183"/>
      <c r="ES83" s="183"/>
      <c r="ET83" s="183"/>
      <c r="EU83" s="183"/>
      <c r="EV83" s="183"/>
      <c r="EW83" s="183"/>
      <c r="EX83" s="183"/>
      <c r="EY83" s="183"/>
      <c r="EZ83" s="183"/>
      <c r="FA83" s="183"/>
      <c r="FB83" s="183"/>
      <c r="FC83" s="183"/>
      <c r="FD83" s="183"/>
      <c r="FE83" s="183"/>
      <c r="FF83" s="183"/>
      <c r="FG83" s="183"/>
      <c r="FH83" s="183"/>
      <c r="FI83" s="183"/>
    </row>
    <row r="84" spans="2:165" ht="0.2" customHeight="1" outlineLevel="1">
      <c r="B84" s="81"/>
      <c r="C84" s="81"/>
      <c r="D84" s="301"/>
      <c r="E84" s="70"/>
      <c r="F84" s="70"/>
      <c r="G84" s="70"/>
      <c r="H84" s="70"/>
      <c r="I84" s="70"/>
      <c r="J84" s="70"/>
      <c r="K84" s="70"/>
      <c r="L84" s="70"/>
      <c r="M84" s="70"/>
      <c r="N84" s="70"/>
      <c r="O84" s="70"/>
      <c r="P84" s="70"/>
      <c r="Q84" s="70"/>
      <c r="R84" s="70"/>
      <c r="S84" s="70"/>
      <c r="T84" s="82"/>
      <c r="U84" s="83"/>
      <c r="V84" s="84"/>
      <c r="W84" s="183"/>
      <c r="X84" s="186"/>
      <c r="Y84" s="183"/>
      <c r="Z84" s="183"/>
      <c r="AA84" s="183"/>
      <c r="AB84" s="183"/>
      <c r="AC84" s="183"/>
      <c r="AD84" s="183"/>
      <c r="AE84" s="183"/>
      <c r="AF84" s="183"/>
      <c r="AG84" s="183"/>
      <c r="AH84" s="183"/>
      <c r="AI84" s="183"/>
      <c r="AJ84" s="183"/>
      <c r="AK84" s="183"/>
      <c r="AL84" s="183"/>
      <c r="AM84" s="183"/>
      <c r="AN84" s="183"/>
      <c r="AO84" s="183"/>
      <c r="AP84" s="183"/>
      <c r="AQ84" s="183"/>
      <c r="AR84" s="183"/>
      <c r="AS84" s="183"/>
      <c r="AT84" s="183"/>
      <c r="AU84" s="183"/>
      <c r="AV84" s="183"/>
      <c r="AW84" s="183"/>
      <c r="AX84" s="183"/>
      <c r="AY84" s="183"/>
      <c r="AZ84" s="183"/>
      <c r="BA84" s="183"/>
      <c r="BB84" s="183"/>
      <c r="BC84" s="183"/>
      <c r="BD84" s="183"/>
      <c r="BE84" s="183"/>
      <c r="BF84" s="183"/>
      <c r="BG84" s="183"/>
      <c r="BH84" s="183"/>
      <c r="BI84" s="183"/>
      <c r="BJ84" s="183"/>
      <c r="BK84" s="183"/>
      <c r="BL84" s="183"/>
      <c r="BM84" s="183"/>
      <c r="BN84" s="183"/>
      <c r="BO84" s="183"/>
      <c r="BP84" s="183"/>
      <c r="BQ84" s="183"/>
      <c r="BR84" s="183"/>
      <c r="BS84" s="183"/>
      <c r="BT84" s="183"/>
      <c r="BU84" s="183"/>
      <c r="BV84" s="183"/>
      <c r="BW84" s="183"/>
      <c r="BX84" s="183"/>
      <c r="BY84" s="183"/>
      <c r="BZ84" s="183"/>
      <c r="CA84" s="183"/>
      <c r="CB84" s="183"/>
      <c r="CC84" s="183"/>
      <c r="CD84" s="183"/>
      <c r="CE84" s="183"/>
      <c r="CF84" s="183"/>
      <c r="CG84" s="183"/>
      <c r="CH84" s="183"/>
      <c r="CI84" s="183"/>
      <c r="CJ84" s="183"/>
      <c r="CK84" s="183"/>
      <c r="CL84" s="183"/>
      <c r="CM84" s="183"/>
      <c r="CN84" s="183"/>
      <c r="CO84" s="183"/>
      <c r="CP84" s="183"/>
      <c r="CQ84" s="183"/>
      <c r="CR84" s="183"/>
      <c r="CS84" s="183"/>
      <c r="CT84" s="183"/>
      <c r="CU84" s="183"/>
      <c r="CV84" s="183"/>
      <c r="CW84" s="183"/>
      <c r="CX84" s="183"/>
      <c r="CY84" s="183"/>
      <c r="CZ84" s="183"/>
      <c r="DA84" s="183"/>
      <c r="DB84" s="183"/>
      <c r="DC84" s="183"/>
      <c r="DD84" s="183"/>
      <c r="DE84" s="183"/>
      <c r="DF84" s="183"/>
      <c r="DG84" s="183"/>
      <c r="DH84" s="183"/>
      <c r="DI84" s="183"/>
      <c r="DJ84" s="183"/>
      <c r="DK84" s="183"/>
      <c r="DL84" s="183"/>
      <c r="DM84" s="183"/>
      <c r="DN84" s="183"/>
      <c r="DO84" s="183"/>
      <c r="DP84" s="183"/>
      <c r="DQ84" s="183"/>
      <c r="DR84" s="183"/>
      <c r="DS84" s="183"/>
      <c r="DT84" s="183"/>
      <c r="DU84" s="183"/>
      <c r="DV84" s="183"/>
      <c r="DW84" s="183"/>
      <c r="DX84" s="183"/>
      <c r="DY84" s="183"/>
      <c r="DZ84" s="183"/>
      <c r="EA84" s="183"/>
      <c r="EB84" s="183"/>
      <c r="EC84" s="183"/>
      <c r="ED84" s="183"/>
      <c r="EE84" s="183"/>
      <c r="EF84" s="183"/>
      <c r="EG84" s="183"/>
      <c r="EH84" s="183"/>
      <c r="EI84" s="183"/>
      <c r="EJ84" s="183"/>
      <c r="EK84" s="183"/>
      <c r="EL84" s="183"/>
      <c r="EM84" s="183"/>
      <c r="EN84" s="183"/>
      <c r="EO84" s="183"/>
      <c r="EP84" s="183"/>
      <c r="EQ84" s="183"/>
      <c r="ER84" s="183"/>
      <c r="ES84" s="183"/>
      <c r="ET84" s="183"/>
      <c r="EU84" s="183"/>
      <c r="EV84" s="183"/>
      <c r="EW84" s="183"/>
      <c r="EX84" s="183"/>
      <c r="EY84" s="183"/>
      <c r="EZ84" s="183"/>
      <c r="FA84" s="183"/>
      <c r="FB84" s="183"/>
      <c r="FC84" s="183"/>
      <c r="FD84" s="183"/>
      <c r="FE84" s="183"/>
      <c r="FF84" s="183"/>
      <c r="FG84" s="183"/>
      <c r="FH84" s="183"/>
      <c r="FI84" s="183"/>
    </row>
    <row r="85" spans="2:165" ht="0.2" customHeight="1" outlineLevel="1">
      <c r="B85" s="81"/>
      <c r="C85" s="81"/>
      <c r="D85" s="301"/>
      <c r="E85" s="70"/>
      <c r="F85" s="70"/>
      <c r="G85" s="70"/>
      <c r="H85" s="70"/>
      <c r="I85" s="70"/>
      <c r="J85" s="70"/>
      <c r="K85" s="70"/>
      <c r="L85" s="70"/>
      <c r="M85" s="70"/>
      <c r="N85" s="70"/>
      <c r="O85" s="70"/>
      <c r="P85" s="70"/>
      <c r="Q85" s="70"/>
      <c r="R85" s="70"/>
      <c r="S85" s="70"/>
      <c r="T85" s="82"/>
      <c r="U85" s="83"/>
      <c r="V85" s="84"/>
      <c r="W85" s="183"/>
      <c r="X85" s="186"/>
      <c r="Y85" s="183"/>
      <c r="Z85" s="183"/>
      <c r="AA85" s="183"/>
      <c r="AB85" s="183"/>
      <c r="AC85" s="183"/>
      <c r="AD85" s="183"/>
      <c r="AE85" s="183"/>
      <c r="AF85" s="183"/>
      <c r="AG85" s="183"/>
      <c r="AH85" s="183"/>
      <c r="AI85" s="183"/>
      <c r="AJ85" s="183"/>
      <c r="AK85" s="183"/>
      <c r="AL85" s="183"/>
      <c r="AM85" s="183"/>
      <c r="AN85" s="183"/>
      <c r="AO85" s="183"/>
      <c r="AP85" s="183"/>
      <c r="AQ85" s="183"/>
      <c r="AR85" s="183"/>
      <c r="AS85" s="183"/>
      <c r="AT85" s="183"/>
      <c r="AU85" s="183"/>
      <c r="AV85" s="183"/>
      <c r="AW85" s="183"/>
      <c r="AX85" s="183"/>
      <c r="AY85" s="183"/>
      <c r="AZ85" s="183"/>
      <c r="BA85" s="183"/>
      <c r="BB85" s="183"/>
      <c r="BC85" s="183"/>
      <c r="BD85" s="183"/>
      <c r="BE85" s="183"/>
      <c r="BF85" s="183"/>
      <c r="BG85" s="183"/>
      <c r="BH85" s="183"/>
      <c r="BI85" s="183"/>
      <c r="BJ85" s="183"/>
      <c r="BK85" s="183"/>
      <c r="BL85" s="183"/>
      <c r="BM85" s="183"/>
      <c r="BN85" s="183"/>
      <c r="BO85" s="183"/>
      <c r="BP85" s="183"/>
      <c r="BQ85" s="183"/>
      <c r="BR85" s="183"/>
      <c r="BS85" s="183"/>
      <c r="BT85" s="183"/>
      <c r="BU85" s="183"/>
      <c r="BV85" s="183"/>
      <c r="BW85" s="183"/>
      <c r="BX85" s="183"/>
      <c r="BY85" s="183"/>
      <c r="BZ85" s="183"/>
      <c r="CA85" s="183"/>
      <c r="CB85" s="183"/>
      <c r="CC85" s="183"/>
      <c r="CD85" s="183"/>
      <c r="CE85" s="183"/>
      <c r="CF85" s="183"/>
      <c r="CG85" s="183"/>
      <c r="CH85" s="183"/>
      <c r="CI85" s="183"/>
      <c r="CJ85" s="183"/>
      <c r="CK85" s="183"/>
      <c r="CL85" s="183"/>
      <c r="CM85" s="183"/>
      <c r="CN85" s="183"/>
      <c r="CO85" s="183"/>
      <c r="CP85" s="183"/>
      <c r="CQ85" s="183"/>
      <c r="CR85" s="183"/>
      <c r="CS85" s="183"/>
      <c r="CT85" s="183"/>
      <c r="CU85" s="183"/>
      <c r="CV85" s="183"/>
      <c r="CW85" s="183"/>
      <c r="CX85" s="183"/>
      <c r="CY85" s="183"/>
      <c r="CZ85" s="183"/>
      <c r="DA85" s="183"/>
      <c r="DB85" s="183"/>
      <c r="DC85" s="183"/>
      <c r="DD85" s="183"/>
      <c r="DE85" s="183"/>
      <c r="DF85" s="183"/>
      <c r="DG85" s="183"/>
      <c r="DH85" s="183"/>
      <c r="DI85" s="183"/>
      <c r="DJ85" s="183"/>
      <c r="DK85" s="183"/>
      <c r="DL85" s="183"/>
      <c r="DM85" s="183"/>
      <c r="DN85" s="183"/>
      <c r="DO85" s="183"/>
      <c r="DP85" s="183"/>
      <c r="DQ85" s="183"/>
      <c r="DR85" s="183"/>
      <c r="DS85" s="183"/>
      <c r="DT85" s="183"/>
      <c r="DU85" s="183"/>
      <c r="DV85" s="183"/>
      <c r="DW85" s="183"/>
      <c r="DX85" s="183"/>
      <c r="DY85" s="183"/>
      <c r="DZ85" s="183"/>
      <c r="EA85" s="183"/>
      <c r="EB85" s="183"/>
      <c r="EC85" s="183"/>
      <c r="ED85" s="183"/>
      <c r="EE85" s="183"/>
      <c r="EF85" s="183"/>
      <c r="EG85" s="183"/>
      <c r="EH85" s="183"/>
      <c r="EI85" s="183"/>
      <c r="EJ85" s="183"/>
      <c r="EK85" s="183"/>
      <c r="EL85" s="183"/>
      <c r="EM85" s="183"/>
      <c r="EN85" s="183"/>
      <c r="EO85" s="183"/>
      <c r="EP85" s="183"/>
      <c r="EQ85" s="183"/>
      <c r="ER85" s="183"/>
      <c r="ES85" s="183"/>
      <c r="ET85" s="183"/>
      <c r="EU85" s="183"/>
      <c r="EV85" s="183"/>
      <c r="EW85" s="183"/>
      <c r="EX85" s="183"/>
      <c r="EY85" s="183"/>
      <c r="EZ85" s="183"/>
      <c r="FA85" s="183"/>
      <c r="FB85" s="183"/>
      <c r="FC85" s="183"/>
      <c r="FD85" s="183"/>
      <c r="FE85" s="183"/>
      <c r="FF85" s="183"/>
      <c r="FG85" s="183"/>
      <c r="FH85" s="183"/>
      <c r="FI85" s="183"/>
    </row>
    <row r="86" spans="2:165" ht="0.2" customHeight="1" outlineLevel="1">
      <c r="B86" s="81"/>
      <c r="C86" s="81"/>
      <c r="D86" s="301"/>
      <c r="E86" s="70"/>
      <c r="F86" s="70"/>
      <c r="G86" s="70"/>
      <c r="H86" s="70"/>
      <c r="I86" s="70"/>
      <c r="J86" s="70"/>
      <c r="K86" s="70"/>
      <c r="L86" s="70"/>
      <c r="M86" s="70"/>
      <c r="N86" s="70"/>
      <c r="O86" s="70"/>
      <c r="P86" s="70"/>
      <c r="Q86" s="70"/>
      <c r="R86" s="70"/>
      <c r="S86" s="70"/>
      <c r="T86" s="82"/>
      <c r="U86" s="83"/>
      <c r="V86" s="84"/>
      <c r="W86" s="183"/>
      <c r="X86" s="186"/>
      <c r="Y86" s="183"/>
      <c r="Z86" s="183"/>
      <c r="AA86" s="183"/>
      <c r="AB86" s="183"/>
      <c r="AC86" s="183"/>
      <c r="AD86" s="183"/>
      <c r="AE86" s="183"/>
      <c r="AF86" s="183"/>
      <c r="AG86" s="183"/>
      <c r="AH86" s="183"/>
      <c r="AI86" s="183"/>
      <c r="AJ86" s="183"/>
      <c r="AK86" s="183"/>
      <c r="AL86" s="183"/>
      <c r="AM86" s="183"/>
      <c r="AN86" s="183"/>
      <c r="AO86" s="183"/>
      <c r="AP86" s="183"/>
      <c r="AQ86" s="183"/>
      <c r="AR86" s="183"/>
      <c r="AS86" s="183"/>
      <c r="AT86" s="183"/>
      <c r="AU86" s="183"/>
      <c r="AV86" s="183"/>
      <c r="AW86" s="183"/>
      <c r="AX86" s="183"/>
      <c r="AY86" s="183"/>
      <c r="AZ86" s="183"/>
      <c r="BA86" s="183"/>
      <c r="BB86" s="183"/>
      <c r="BC86" s="183"/>
      <c r="BD86" s="183"/>
      <c r="BE86" s="183"/>
      <c r="BF86" s="183"/>
      <c r="BG86" s="183"/>
      <c r="BH86" s="183"/>
      <c r="BI86" s="183"/>
      <c r="BJ86" s="183"/>
      <c r="BK86" s="183"/>
      <c r="BL86" s="183"/>
      <c r="BM86" s="183"/>
      <c r="BN86" s="183"/>
      <c r="BO86" s="183"/>
      <c r="BP86" s="183"/>
      <c r="BQ86" s="183"/>
      <c r="BR86" s="183"/>
      <c r="BS86" s="183"/>
      <c r="BT86" s="183"/>
      <c r="BU86" s="183"/>
      <c r="BV86" s="183"/>
      <c r="BW86" s="183"/>
      <c r="BX86" s="183"/>
      <c r="BY86" s="183"/>
      <c r="BZ86" s="183"/>
      <c r="CA86" s="183"/>
      <c r="CB86" s="183"/>
      <c r="CC86" s="183"/>
      <c r="CD86" s="183"/>
      <c r="CE86" s="183"/>
      <c r="CF86" s="183"/>
      <c r="CG86" s="183"/>
      <c r="CH86" s="183"/>
      <c r="CI86" s="183"/>
      <c r="CJ86" s="183"/>
      <c r="CK86" s="183"/>
      <c r="CL86" s="183"/>
      <c r="CM86" s="183"/>
      <c r="CN86" s="183"/>
      <c r="CO86" s="183"/>
      <c r="CP86" s="183"/>
      <c r="CQ86" s="183"/>
      <c r="CR86" s="183"/>
      <c r="CS86" s="183"/>
      <c r="CT86" s="183"/>
      <c r="CU86" s="183"/>
      <c r="CV86" s="183"/>
      <c r="CW86" s="183"/>
      <c r="CX86" s="183"/>
      <c r="CY86" s="183"/>
      <c r="CZ86" s="183"/>
      <c r="DA86" s="183"/>
      <c r="DB86" s="183"/>
      <c r="DC86" s="183"/>
      <c r="DD86" s="183"/>
      <c r="DE86" s="183"/>
      <c r="DF86" s="183"/>
      <c r="DG86" s="183"/>
      <c r="DH86" s="183"/>
      <c r="DI86" s="183"/>
      <c r="DJ86" s="183"/>
      <c r="DK86" s="183"/>
      <c r="DL86" s="183"/>
      <c r="DM86" s="183"/>
      <c r="DN86" s="183"/>
      <c r="DO86" s="183"/>
      <c r="DP86" s="183"/>
      <c r="DQ86" s="183"/>
      <c r="DR86" s="183"/>
      <c r="DS86" s="183"/>
      <c r="DT86" s="183"/>
      <c r="DU86" s="183"/>
      <c r="DV86" s="183"/>
      <c r="DW86" s="183"/>
      <c r="DX86" s="183"/>
      <c r="DY86" s="183"/>
      <c r="DZ86" s="183"/>
      <c r="EA86" s="183"/>
      <c r="EB86" s="183"/>
      <c r="EC86" s="183"/>
      <c r="ED86" s="183"/>
      <c r="EE86" s="183"/>
      <c r="EF86" s="183"/>
      <c r="EG86" s="183"/>
      <c r="EH86" s="183"/>
      <c r="EI86" s="183"/>
      <c r="EJ86" s="183"/>
      <c r="EK86" s="183"/>
      <c r="EL86" s="183"/>
      <c r="EM86" s="183"/>
      <c r="EN86" s="183"/>
      <c r="EO86" s="183"/>
      <c r="EP86" s="183"/>
      <c r="EQ86" s="183"/>
      <c r="ER86" s="183"/>
      <c r="ES86" s="183"/>
      <c r="ET86" s="183"/>
      <c r="EU86" s="183"/>
      <c r="EV86" s="183"/>
      <c r="EW86" s="183"/>
      <c r="EX86" s="183"/>
      <c r="EY86" s="183"/>
      <c r="EZ86" s="183"/>
      <c r="FA86" s="183"/>
      <c r="FB86" s="183"/>
      <c r="FC86" s="183"/>
      <c r="FD86" s="183"/>
      <c r="FE86" s="183"/>
      <c r="FF86" s="183"/>
      <c r="FG86" s="183"/>
      <c r="FH86" s="183"/>
      <c r="FI86" s="183"/>
    </row>
    <row r="87" spans="2:165" ht="0.2" customHeight="1" outlineLevel="1">
      <c r="B87" s="81"/>
      <c r="C87" s="81"/>
      <c r="D87" s="301"/>
      <c r="E87" s="70"/>
      <c r="F87" s="70"/>
      <c r="G87" s="70"/>
      <c r="H87" s="70"/>
      <c r="I87" s="70"/>
      <c r="J87" s="70"/>
      <c r="K87" s="70"/>
      <c r="L87" s="70"/>
      <c r="M87" s="70"/>
      <c r="N87" s="70"/>
      <c r="O87" s="70"/>
      <c r="P87" s="70"/>
      <c r="Q87" s="70"/>
      <c r="R87" s="70"/>
      <c r="S87" s="70"/>
      <c r="T87" s="82"/>
      <c r="U87" s="83"/>
      <c r="V87" s="84"/>
      <c r="W87" s="183"/>
      <c r="X87" s="186"/>
      <c r="Y87" s="183"/>
      <c r="Z87" s="183"/>
      <c r="AA87" s="183"/>
      <c r="AB87" s="183"/>
      <c r="AC87" s="183"/>
      <c r="AD87" s="183"/>
      <c r="AE87" s="183"/>
      <c r="AF87" s="183"/>
      <c r="AG87" s="183"/>
      <c r="AH87" s="183"/>
      <c r="AI87" s="183"/>
      <c r="AJ87" s="183"/>
      <c r="AK87" s="183"/>
      <c r="AL87" s="183"/>
      <c r="AM87" s="183"/>
      <c r="AN87" s="183"/>
      <c r="AO87" s="183"/>
      <c r="AP87" s="183"/>
      <c r="AQ87" s="183"/>
      <c r="AR87" s="183"/>
      <c r="AS87" s="183"/>
      <c r="AT87" s="183"/>
      <c r="AU87" s="183"/>
      <c r="AV87" s="183"/>
      <c r="AW87" s="183"/>
      <c r="AX87" s="183"/>
      <c r="AY87" s="183"/>
      <c r="AZ87" s="183"/>
      <c r="BA87" s="183"/>
      <c r="BB87" s="183"/>
      <c r="BC87" s="183"/>
      <c r="BD87" s="183"/>
      <c r="BE87" s="183"/>
      <c r="BF87" s="183"/>
      <c r="BG87" s="183"/>
      <c r="BH87" s="183"/>
      <c r="BI87" s="183"/>
      <c r="BJ87" s="183"/>
      <c r="BK87" s="183"/>
      <c r="BL87" s="183"/>
      <c r="BM87" s="183"/>
      <c r="BN87" s="183"/>
      <c r="BO87" s="183"/>
      <c r="BP87" s="183"/>
      <c r="BQ87" s="183"/>
      <c r="BR87" s="183"/>
      <c r="BS87" s="183"/>
      <c r="BT87" s="183"/>
      <c r="BU87" s="183"/>
      <c r="BV87" s="183"/>
      <c r="BW87" s="183"/>
      <c r="BX87" s="183"/>
      <c r="BY87" s="183"/>
      <c r="BZ87" s="183"/>
      <c r="CA87" s="183"/>
      <c r="CB87" s="183"/>
      <c r="CC87" s="183"/>
      <c r="CD87" s="183"/>
      <c r="CE87" s="183"/>
      <c r="CF87" s="183"/>
      <c r="CG87" s="183"/>
      <c r="CH87" s="183"/>
      <c r="CI87" s="183"/>
      <c r="CJ87" s="183"/>
      <c r="CK87" s="183"/>
      <c r="CL87" s="183"/>
      <c r="CM87" s="183"/>
      <c r="CN87" s="183"/>
      <c r="CO87" s="183"/>
      <c r="CP87" s="183"/>
      <c r="CQ87" s="183"/>
      <c r="CR87" s="183"/>
      <c r="CS87" s="183"/>
      <c r="CT87" s="183"/>
      <c r="CU87" s="183"/>
      <c r="CV87" s="183"/>
      <c r="CW87" s="183"/>
      <c r="CX87" s="183"/>
      <c r="CY87" s="183"/>
      <c r="CZ87" s="183"/>
      <c r="DA87" s="183"/>
      <c r="DB87" s="183"/>
      <c r="DC87" s="183"/>
      <c r="DD87" s="183"/>
      <c r="DE87" s="183"/>
      <c r="DF87" s="183"/>
      <c r="DG87" s="183"/>
      <c r="DH87" s="183"/>
      <c r="DI87" s="183"/>
      <c r="DJ87" s="183"/>
      <c r="DK87" s="183"/>
      <c r="DL87" s="183"/>
      <c r="DM87" s="183"/>
      <c r="DN87" s="183"/>
      <c r="DO87" s="183"/>
      <c r="DP87" s="183"/>
      <c r="DQ87" s="183"/>
      <c r="DR87" s="183"/>
      <c r="DS87" s="183"/>
      <c r="DT87" s="183"/>
      <c r="DU87" s="183"/>
      <c r="DV87" s="183"/>
      <c r="DW87" s="183"/>
      <c r="DX87" s="183"/>
      <c r="DY87" s="183"/>
      <c r="DZ87" s="183"/>
      <c r="EA87" s="183"/>
      <c r="EB87" s="183"/>
      <c r="EC87" s="183"/>
      <c r="ED87" s="183"/>
      <c r="EE87" s="183"/>
      <c r="EF87" s="183"/>
      <c r="EG87" s="183"/>
      <c r="EH87" s="183"/>
      <c r="EI87" s="183"/>
      <c r="EJ87" s="183"/>
      <c r="EK87" s="183"/>
      <c r="EL87" s="183"/>
      <c r="EM87" s="183"/>
      <c r="EN87" s="183"/>
      <c r="EO87" s="183"/>
      <c r="EP87" s="183"/>
      <c r="EQ87" s="183"/>
      <c r="ER87" s="183"/>
      <c r="ES87" s="183"/>
      <c r="ET87" s="183"/>
      <c r="EU87" s="183"/>
      <c r="EV87" s="183"/>
      <c r="EW87" s="183"/>
      <c r="EX87" s="183"/>
      <c r="EY87" s="183"/>
      <c r="EZ87" s="183"/>
      <c r="FA87" s="183"/>
      <c r="FB87" s="183"/>
      <c r="FC87" s="183"/>
      <c r="FD87" s="183"/>
      <c r="FE87" s="183"/>
      <c r="FF87" s="183"/>
      <c r="FG87" s="183"/>
      <c r="FH87" s="183"/>
      <c r="FI87" s="183"/>
    </row>
    <row r="88" spans="2:165" ht="0.2" customHeight="1" outlineLevel="1">
      <c r="B88" s="81"/>
      <c r="C88" s="81"/>
      <c r="D88" s="301"/>
      <c r="E88" s="70"/>
      <c r="F88" s="70"/>
      <c r="G88" s="70"/>
      <c r="H88" s="70"/>
      <c r="I88" s="70"/>
      <c r="J88" s="70"/>
      <c r="K88" s="70"/>
      <c r="L88" s="70"/>
      <c r="M88" s="70"/>
      <c r="N88" s="70"/>
      <c r="O88" s="70"/>
      <c r="P88" s="70"/>
      <c r="Q88" s="70"/>
      <c r="R88" s="70"/>
      <c r="S88" s="70"/>
      <c r="T88" s="82"/>
      <c r="U88" s="83"/>
      <c r="V88" s="84"/>
      <c r="W88" s="183"/>
      <c r="X88" s="186"/>
      <c r="Y88" s="183"/>
      <c r="Z88" s="183"/>
      <c r="AA88" s="183"/>
      <c r="AB88" s="183"/>
      <c r="AC88" s="183"/>
      <c r="AD88" s="183"/>
      <c r="AE88" s="183"/>
      <c r="AF88" s="183"/>
      <c r="AG88" s="183"/>
      <c r="AH88" s="183"/>
      <c r="AI88" s="183"/>
      <c r="AJ88" s="183"/>
      <c r="AK88" s="183"/>
      <c r="AL88" s="183"/>
      <c r="AM88" s="183"/>
      <c r="AN88" s="183"/>
      <c r="AO88" s="183"/>
      <c r="AP88" s="183"/>
      <c r="AQ88" s="183"/>
      <c r="AR88" s="183"/>
      <c r="AS88" s="183"/>
      <c r="AT88" s="183"/>
      <c r="AU88" s="183"/>
      <c r="AV88" s="183"/>
      <c r="AW88" s="183"/>
      <c r="AX88" s="183"/>
      <c r="AY88" s="183"/>
      <c r="AZ88" s="183"/>
      <c r="BA88" s="183"/>
      <c r="BB88" s="183"/>
      <c r="BC88" s="183"/>
      <c r="BD88" s="183"/>
      <c r="BE88" s="183"/>
      <c r="BF88" s="183"/>
      <c r="BG88" s="183"/>
      <c r="BH88" s="183"/>
      <c r="BI88" s="183"/>
      <c r="BJ88" s="183"/>
      <c r="BK88" s="183"/>
      <c r="BL88" s="183"/>
      <c r="BM88" s="183"/>
      <c r="BN88" s="183"/>
      <c r="BO88" s="183"/>
      <c r="BP88" s="183"/>
      <c r="BQ88" s="183"/>
      <c r="BR88" s="183"/>
      <c r="BS88" s="183"/>
      <c r="BT88" s="183"/>
      <c r="BU88" s="183"/>
      <c r="BV88" s="183"/>
      <c r="BW88" s="183"/>
      <c r="BX88" s="183"/>
      <c r="BY88" s="183"/>
      <c r="BZ88" s="183"/>
      <c r="CA88" s="183"/>
      <c r="CB88" s="183"/>
      <c r="CC88" s="183"/>
      <c r="CD88" s="183"/>
      <c r="CE88" s="183"/>
      <c r="CF88" s="183"/>
      <c r="CG88" s="183"/>
      <c r="CH88" s="183"/>
      <c r="CI88" s="183"/>
      <c r="CJ88" s="183"/>
      <c r="CK88" s="183"/>
      <c r="CL88" s="183"/>
      <c r="CM88" s="183"/>
      <c r="CN88" s="183"/>
      <c r="CO88" s="183"/>
      <c r="CP88" s="183"/>
      <c r="CQ88" s="183"/>
      <c r="CR88" s="183"/>
      <c r="CS88" s="183"/>
      <c r="CT88" s="183"/>
      <c r="CU88" s="183"/>
      <c r="CV88" s="183"/>
      <c r="CW88" s="183"/>
      <c r="CX88" s="183"/>
      <c r="CY88" s="183"/>
      <c r="CZ88" s="183"/>
      <c r="DA88" s="183"/>
      <c r="DB88" s="183"/>
      <c r="DC88" s="183"/>
      <c r="DD88" s="183"/>
      <c r="DE88" s="183"/>
      <c r="DF88" s="183"/>
      <c r="DG88" s="183"/>
      <c r="DH88" s="183"/>
      <c r="DI88" s="183"/>
      <c r="DJ88" s="183"/>
      <c r="DK88" s="183"/>
      <c r="DL88" s="183"/>
      <c r="DM88" s="183"/>
      <c r="DN88" s="183"/>
      <c r="DO88" s="183"/>
      <c r="DP88" s="183"/>
      <c r="DQ88" s="183"/>
      <c r="DR88" s="183"/>
      <c r="DS88" s="183"/>
      <c r="DT88" s="183"/>
      <c r="DU88" s="183"/>
      <c r="DV88" s="183"/>
      <c r="DW88" s="183"/>
      <c r="DX88" s="183"/>
      <c r="DY88" s="183"/>
      <c r="DZ88" s="183"/>
      <c r="EA88" s="183"/>
      <c r="EB88" s="183"/>
      <c r="EC88" s="183"/>
      <c r="ED88" s="183"/>
      <c r="EE88" s="183"/>
      <c r="EF88" s="183"/>
      <c r="EG88" s="183"/>
      <c r="EH88" s="183"/>
      <c r="EI88" s="183"/>
      <c r="EJ88" s="183"/>
      <c r="EK88" s="183"/>
      <c r="EL88" s="183"/>
      <c r="EM88" s="183"/>
      <c r="EN88" s="183"/>
      <c r="EO88" s="183"/>
      <c r="EP88" s="183"/>
      <c r="EQ88" s="183"/>
      <c r="ER88" s="183"/>
      <c r="ES88" s="183"/>
      <c r="ET88" s="183"/>
      <c r="EU88" s="183"/>
      <c r="EV88" s="183"/>
      <c r="EW88" s="183"/>
      <c r="EX88" s="183"/>
      <c r="EY88" s="183"/>
      <c r="EZ88" s="183"/>
      <c r="FA88" s="183"/>
      <c r="FB88" s="183"/>
      <c r="FC88" s="183"/>
      <c r="FD88" s="183"/>
      <c r="FE88" s="183"/>
      <c r="FF88" s="183"/>
      <c r="FG88" s="183"/>
      <c r="FH88" s="183"/>
      <c r="FI88" s="183"/>
    </row>
    <row r="89" spans="2:165" ht="0.2" customHeight="1" outlineLevel="1">
      <c r="B89" s="81"/>
      <c r="C89" s="81"/>
      <c r="D89" s="301"/>
      <c r="E89" s="70"/>
      <c r="F89" s="70"/>
      <c r="G89" s="70"/>
      <c r="H89" s="70"/>
      <c r="I89" s="70"/>
      <c r="J89" s="70"/>
      <c r="K89" s="70"/>
      <c r="L89" s="70"/>
      <c r="M89" s="70"/>
      <c r="N89" s="70"/>
      <c r="O89" s="70"/>
      <c r="P89" s="70"/>
      <c r="Q89" s="70"/>
      <c r="R89" s="70"/>
      <c r="S89" s="70"/>
      <c r="T89" s="82"/>
      <c r="U89" s="83"/>
      <c r="V89" s="84"/>
      <c r="W89" s="183"/>
      <c r="X89" s="186"/>
      <c r="Y89" s="183"/>
      <c r="Z89" s="183"/>
      <c r="AA89" s="183"/>
      <c r="AB89" s="183"/>
      <c r="AC89" s="183"/>
      <c r="AD89" s="183"/>
      <c r="AE89" s="183"/>
      <c r="AF89" s="183"/>
      <c r="AG89" s="183"/>
      <c r="AH89" s="183"/>
      <c r="AI89" s="183"/>
      <c r="AJ89" s="183"/>
      <c r="AK89" s="183"/>
      <c r="AL89" s="183"/>
      <c r="AM89" s="183"/>
      <c r="AN89" s="183"/>
      <c r="AO89" s="183"/>
      <c r="AP89" s="183"/>
      <c r="AQ89" s="183"/>
      <c r="AR89" s="183"/>
      <c r="AS89" s="183"/>
      <c r="AT89" s="183"/>
      <c r="AU89" s="183"/>
      <c r="AV89" s="183"/>
      <c r="AW89" s="183"/>
      <c r="AX89" s="183"/>
      <c r="AY89" s="183"/>
      <c r="AZ89" s="183"/>
      <c r="BA89" s="183"/>
      <c r="BB89" s="183"/>
      <c r="BC89" s="183"/>
      <c r="BD89" s="183"/>
      <c r="BE89" s="183"/>
      <c r="BF89" s="183"/>
      <c r="BG89" s="183"/>
      <c r="BH89" s="183"/>
      <c r="BI89" s="183"/>
      <c r="BJ89" s="183"/>
      <c r="BK89" s="183"/>
      <c r="BL89" s="183"/>
      <c r="BM89" s="183"/>
      <c r="BN89" s="183"/>
      <c r="BO89" s="183"/>
      <c r="BP89" s="183"/>
      <c r="BQ89" s="183"/>
      <c r="BR89" s="183"/>
      <c r="BS89" s="183"/>
      <c r="BT89" s="183"/>
      <c r="BU89" s="183"/>
      <c r="BV89" s="183"/>
      <c r="BW89" s="183"/>
      <c r="BX89" s="183"/>
      <c r="BY89" s="183"/>
      <c r="BZ89" s="183"/>
      <c r="CA89" s="183"/>
      <c r="CB89" s="183"/>
      <c r="CC89" s="183"/>
      <c r="CD89" s="183"/>
      <c r="CE89" s="183"/>
      <c r="CF89" s="183"/>
      <c r="CG89" s="183"/>
      <c r="CH89" s="183"/>
      <c r="CI89" s="183"/>
      <c r="CJ89" s="183"/>
      <c r="CK89" s="183"/>
      <c r="CL89" s="183"/>
      <c r="CM89" s="183"/>
      <c r="CN89" s="183"/>
      <c r="CO89" s="183"/>
      <c r="CP89" s="183"/>
      <c r="CQ89" s="183"/>
      <c r="CR89" s="183"/>
      <c r="CS89" s="183"/>
      <c r="CT89" s="183"/>
      <c r="CU89" s="183"/>
      <c r="CV89" s="183"/>
      <c r="CW89" s="183"/>
      <c r="CX89" s="183"/>
      <c r="CY89" s="183"/>
      <c r="CZ89" s="183"/>
      <c r="DA89" s="183"/>
      <c r="DB89" s="183"/>
      <c r="DC89" s="183"/>
      <c r="DD89" s="183"/>
      <c r="DE89" s="183"/>
      <c r="DF89" s="183"/>
      <c r="DG89" s="183"/>
      <c r="DH89" s="183"/>
      <c r="DI89" s="183"/>
      <c r="DJ89" s="183"/>
      <c r="DK89" s="183"/>
      <c r="DL89" s="183"/>
      <c r="DM89" s="183"/>
      <c r="DN89" s="183"/>
      <c r="DO89" s="183"/>
      <c r="DP89" s="183"/>
      <c r="DQ89" s="183"/>
      <c r="DR89" s="183"/>
      <c r="DS89" s="183"/>
      <c r="DT89" s="183"/>
      <c r="DU89" s="183"/>
      <c r="DV89" s="183"/>
      <c r="DW89" s="183"/>
      <c r="DX89" s="183"/>
      <c r="DY89" s="183"/>
      <c r="DZ89" s="183"/>
      <c r="EA89" s="183"/>
      <c r="EB89" s="183"/>
      <c r="EC89" s="183"/>
      <c r="ED89" s="183"/>
      <c r="EE89" s="183"/>
      <c r="EF89" s="183"/>
      <c r="EG89" s="183"/>
      <c r="EH89" s="183"/>
      <c r="EI89" s="183"/>
      <c r="EJ89" s="183"/>
      <c r="EK89" s="183"/>
      <c r="EL89" s="183"/>
      <c r="EM89" s="183"/>
      <c r="EN89" s="183"/>
      <c r="EO89" s="183"/>
      <c r="EP89" s="183"/>
      <c r="EQ89" s="183"/>
      <c r="ER89" s="183"/>
      <c r="ES89" s="183"/>
      <c r="ET89" s="183"/>
      <c r="EU89" s="183"/>
      <c r="EV89" s="183"/>
      <c r="EW89" s="183"/>
      <c r="EX89" s="183"/>
      <c r="EY89" s="183"/>
      <c r="EZ89" s="183"/>
      <c r="FA89" s="183"/>
      <c r="FB89" s="183"/>
      <c r="FC89" s="183"/>
      <c r="FD89" s="183"/>
      <c r="FE89" s="183"/>
      <c r="FF89" s="183"/>
      <c r="FG89" s="183"/>
      <c r="FH89" s="183"/>
      <c r="FI89" s="183"/>
    </row>
    <row r="90" spans="2:165" ht="0.2" customHeight="1" outlineLevel="1">
      <c r="B90" s="81"/>
      <c r="C90" s="81"/>
      <c r="D90" s="301"/>
      <c r="E90" s="70"/>
      <c r="F90" s="70"/>
      <c r="G90" s="70"/>
      <c r="H90" s="70"/>
      <c r="I90" s="70"/>
      <c r="J90" s="70"/>
      <c r="K90" s="70"/>
      <c r="L90" s="70"/>
      <c r="M90" s="70"/>
      <c r="N90" s="70"/>
      <c r="O90" s="70"/>
      <c r="P90" s="70"/>
      <c r="Q90" s="70"/>
      <c r="R90" s="70"/>
      <c r="S90" s="70"/>
      <c r="T90" s="82"/>
      <c r="U90" s="83"/>
      <c r="V90" s="84"/>
      <c r="W90" s="183"/>
      <c r="X90" s="186"/>
      <c r="Y90" s="183"/>
      <c r="Z90" s="183"/>
      <c r="AA90" s="183"/>
      <c r="AB90" s="183"/>
      <c r="AC90" s="183"/>
      <c r="AD90" s="183"/>
      <c r="AE90" s="183"/>
      <c r="AF90" s="183"/>
      <c r="AG90" s="183"/>
      <c r="AH90" s="183"/>
      <c r="AI90" s="183"/>
      <c r="AJ90" s="183"/>
      <c r="AK90" s="183"/>
      <c r="AL90" s="183"/>
      <c r="AM90" s="183"/>
      <c r="AN90" s="183"/>
      <c r="AO90" s="183"/>
      <c r="AP90" s="183"/>
      <c r="AQ90" s="183"/>
      <c r="AR90" s="183"/>
      <c r="AS90" s="183"/>
      <c r="AT90" s="183"/>
      <c r="AU90" s="183"/>
      <c r="AV90" s="183"/>
      <c r="AW90" s="183"/>
      <c r="AX90" s="183"/>
      <c r="AY90" s="183"/>
      <c r="AZ90" s="183"/>
      <c r="BA90" s="183"/>
      <c r="BB90" s="183"/>
      <c r="BC90" s="183"/>
      <c r="BD90" s="183"/>
      <c r="BE90" s="183"/>
      <c r="BF90" s="183"/>
      <c r="BG90" s="183"/>
      <c r="BH90" s="183"/>
      <c r="BI90" s="183"/>
      <c r="BJ90" s="183"/>
      <c r="BK90" s="183"/>
      <c r="BL90" s="183"/>
      <c r="BM90" s="183"/>
      <c r="BN90" s="183"/>
      <c r="BO90" s="183"/>
      <c r="BP90" s="183"/>
      <c r="BQ90" s="183"/>
      <c r="BR90" s="183"/>
      <c r="BS90" s="183"/>
      <c r="BT90" s="183"/>
      <c r="BU90" s="183"/>
      <c r="BV90" s="183"/>
      <c r="BW90" s="183"/>
      <c r="BX90" s="183"/>
      <c r="BY90" s="183"/>
      <c r="BZ90" s="183"/>
      <c r="CA90" s="183"/>
      <c r="CB90" s="183"/>
      <c r="CC90" s="183"/>
      <c r="CD90" s="183"/>
      <c r="CE90" s="183"/>
      <c r="CF90" s="183"/>
      <c r="CG90" s="183"/>
      <c r="CH90" s="183"/>
      <c r="CI90" s="183"/>
      <c r="CJ90" s="183"/>
      <c r="CK90" s="183"/>
      <c r="CL90" s="183"/>
      <c r="CM90" s="183"/>
      <c r="CN90" s="183"/>
      <c r="CO90" s="183"/>
      <c r="CP90" s="183"/>
      <c r="CQ90" s="183"/>
      <c r="CR90" s="183"/>
      <c r="CS90" s="183"/>
      <c r="CT90" s="183"/>
      <c r="CU90" s="183"/>
      <c r="CV90" s="183"/>
      <c r="CW90" s="183"/>
      <c r="CX90" s="183"/>
      <c r="CY90" s="183"/>
      <c r="CZ90" s="183"/>
      <c r="DA90" s="183"/>
      <c r="DB90" s="183"/>
      <c r="DC90" s="183"/>
      <c r="DD90" s="183"/>
      <c r="DE90" s="183"/>
      <c r="DF90" s="183"/>
      <c r="DG90" s="183"/>
      <c r="DH90" s="183"/>
      <c r="DI90" s="183"/>
      <c r="DJ90" s="183"/>
      <c r="DK90" s="183"/>
      <c r="DL90" s="183"/>
      <c r="DM90" s="183"/>
      <c r="DN90" s="183"/>
      <c r="DO90" s="183"/>
      <c r="DP90" s="183"/>
      <c r="DQ90" s="183"/>
      <c r="DR90" s="183"/>
      <c r="DS90" s="183"/>
      <c r="DT90" s="183"/>
      <c r="DU90" s="183"/>
      <c r="DV90" s="183"/>
      <c r="DW90" s="183"/>
      <c r="DX90" s="183"/>
      <c r="DY90" s="183"/>
      <c r="DZ90" s="183"/>
      <c r="EA90" s="183"/>
      <c r="EB90" s="183"/>
      <c r="EC90" s="183"/>
      <c r="ED90" s="183"/>
      <c r="EE90" s="183"/>
      <c r="EF90" s="183"/>
      <c r="EG90" s="183"/>
      <c r="EH90" s="183"/>
      <c r="EI90" s="183"/>
      <c r="EJ90" s="183"/>
      <c r="EK90" s="183"/>
      <c r="EL90" s="183"/>
      <c r="EM90" s="183"/>
      <c r="EN90" s="183"/>
      <c r="EO90" s="183"/>
      <c r="EP90" s="183"/>
      <c r="EQ90" s="183"/>
      <c r="ER90" s="183"/>
      <c r="ES90" s="183"/>
      <c r="ET90" s="183"/>
      <c r="EU90" s="183"/>
      <c r="EV90" s="183"/>
      <c r="EW90" s="183"/>
      <c r="EX90" s="183"/>
      <c r="EY90" s="183"/>
      <c r="EZ90" s="183"/>
      <c r="FA90" s="183"/>
      <c r="FB90" s="183"/>
      <c r="FC90" s="183"/>
      <c r="FD90" s="183"/>
      <c r="FE90" s="183"/>
      <c r="FF90" s="183"/>
      <c r="FG90" s="183"/>
      <c r="FH90" s="183"/>
      <c r="FI90" s="183"/>
    </row>
    <row r="91" spans="2:165" ht="0.2" customHeight="1" outlineLevel="1">
      <c r="B91" s="81"/>
      <c r="C91" s="81"/>
      <c r="D91" s="301"/>
      <c r="E91" s="70"/>
      <c r="F91" s="70"/>
      <c r="G91" s="70"/>
      <c r="H91" s="70"/>
      <c r="I91" s="70"/>
      <c r="J91" s="70"/>
      <c r="K91" s="70"/>
      <c r="L91" s="70"/>
      <c r="M91" s="70"/>
      <c r="N91" s="70"/>
      <c r="O91" s="70"/>
      <c r="P91" s="70"/>
      <c r="Q91" s="70"/>
      <c r="R91" s="70"/>
      <c r="S91" s="70"/>
      <c r="T91" s="82"/>
      <c r="U91" s="83"/>
      <c r="V91" s="84"/>
      <c r="W91" s="183"/>
      <c r="X91" s="186"/>
      <c r="Y91" s="183"/>
      <c r="Z91" s="183"/>
      <c r="AA91" s="183"/>
      <c r="AB91" s="183"/>
      <c r="AC91" s="183"/>
      <c r="AD91" s="183"/>
      <c r="AE91" s="183"/>
      <c r="AF91" s="183"/>
      <c r="AG91" s="183"/>
      <c r="AH91" s="183"/>
      <c r="AI91" s="183"/>
      <c r="AJ91" s="183"/>
      <c r="AK91" s="183"/>
      <c r="AL91" s="183"/>
      <c r="AM91" s="183"/>
      <c r="AN91" s="183"/>
      <c r="AO91" s="183"/>
      <c r="AP91" s="183"/>
      <c r="AQ91" s="183"/>
      <c r="AR91" s="183"/>
      <c r="AS91" s="183"/>
      <c r="AT91" s="183"/>
      <c r="AU91" s="183"/>
      <c r="AV91" s="183"/>
      <c r="AW91" s="183"/>
      <c r="AX91" s="183"/>
      <c r="AY91" s="183"/>
      <c r="AZ91" s="183"/>
      <c r="BA91" s="183"/>
      <c r="BB91" s="183"/>
      <c r="BC91" s="183"/>
      <c r="BD91" s="183"/>
      <c r="BE91" s="183"/>
      <c r="BF91" s="183"/>
      <c r="BG91" s="183"/>
      <c r="BH91" s="183"/>
      <c r="BI91" s="183"/>
      <c r="BJ91" s="183"/>
      <c r="BK91" s="183"/>
      <c r="BL91" s="183"/>
      <c r="BM91" s="183"/>
      <c r="BN91" s="183"/>
      <c r="BO91" s="183"/>
      <c r="BP91" s="183"/>
      <c r="BQ91" s="183"/>
      <c r="BR91" s="183"/>
      <c r="BS91" s="183"/>
      <c r="BT91" s="183"/>
      <c r="BU91" s="183"/>
      <c r="BV91" s="183"/>
      <c r="BW91" s="183"/>
      <c r="BX91" s="183"/>
      <c r="BY91" s="183"/>
      <c r="BZ91" s="183"/>
      <c r="CA91" s="183"/>
      <c r="CB91" s="183"/>
      <c r="CC91" s="183"/>
      <c r="CD91" s="183"/>
      <c r="CE91" s="183"/>
      <c r="CF91" s="183"/>
      <c r="CG91" s="183"/>
      <c r="CH91" s="183"/>
      <c r="CI91" s="183"/>
      <c r="CJ91" s="183"/>
      <c r="CK91" s="183"/>
      <c r="CL91" s="183"/>
      <c r="CM91" s="183"/>
      <c r="CN91" s="183"/>
      <c r="CO91" s="183"/>
      <c r="CP91" s="183"/>
      <c r="CQ91" s="183"/>
      <c r="CR91" s="183"/>
      <c r="CS91" s="183"/>
      <c r="CT91" s="183"/>
      <c r="CU91" s="183"/>
      <c r="CV91" s="183"/>
      <c r="CW91" s="183"/>
      <c r="CX91" s="183"/>
      <c r="CY91" s="183"/>
      <c r="CZ91" s="183"/>
      <c r="DA91" s="183"/>
      <c r="DB91" s="183"/>
      <c r="DC91" s="183"/>
      <c r="DD91" s="183"/>
      <c r="DE91" s="183"/>
      <c r="DF91" s="183"/>
      <c r="DG91" s="183"/>
      <c r="DH91" s="183"/>
      <c r="DI91" s="183"/>
      <c r="DJ91" s="183"/>
      <c r="DK91" s="183"/>
      <c r="DL91" s="183"/>
      <c r="DM91" s="183"/>
      <c r="DN91" s="183"/>
      <c r="DO91" s="183"/>
      <c r="DP91" s="183"/>
      <c r="DQ91" s="183"/>
      <c r="DR91" s="183"/>
      <c r="DS91" s="183"/>
      <c r="DT91" s="183"/>
      <c r="DU91" s="183"/>
      <c r="DV91" s="183"/>
      <c r="DW91" s="183"/>
      <c r="DX91" s="183"/>
      <c r="DY91" s="183"/>
      <c r="DZ91" s="183"/>
      <c r="EA91" s="183"/>
      <c r="EB91" s="183"/>
      <c r="EC91" s="183"/>
      <c r="ED91" s="183"/>
      <c r="EE91" s="183"/>
      <c r="EF91" s="183"/>
      <c r="EG91" s="183"/>
      <c r="EH91" s="183"/>
      <c r="EI91" s="183"/>
      <c r="EJ91" s="183"/>
      <c r="EK91" s="183"/>
      <c r="EL91" s="183"/>
      <c r="EM91" s="183"/>
      <c r="EN91" s="183"/>
      <c r="EO91" s="183"/>
      <c r="EP91" s="183"/>
      <c r="EQ91" s="183"/>
      <c r="ER91" s="183"/>
      <c r="ES91" s="183"/>
      <c r="ET91" s="183"/>
      <c r="EU91" s="183"/>
      <c r="EV91" s="183"/>
      <c r="EW91" s="183"/>
      <c r="EX91" s="183"/>
      <c r="EY91" s="183"/>
      <c r="EZ91" s="183"/>
      <c r="FA91" s="183"/>
      <c r="FB91" s="183"/>
      <c r="FC91" s="183"/>
      <c r="FD91" s="183"/>
      <c r="FE91" s="183"/>
      <c r="FF91" s="183"/>
      <c r="FG91" s="183"/>
      <c r="FH91" s="183"/>
      <c r="FI91" s="183"/>
    </row>
    <row r="92" spans="2:165" ht="0.2" customHeight="1" outlineLevel="1">
      <c r="B92" s="81"/>
      <c r="C92" s="81"/>
      <c r="D92" s="301"/>
      <c r="E92" s="70"/>
      <c r="F92" s="70"/>
      <c r="G92" s="70"/>
      <c r="H92" s="70"/>
      <c r="I92" s="70"/>
      <c r="J92" s="70"/>
      <c r="K92" s="70"/>
      <c r="L92" s="70"/>
      <c r="M92" s="70"/>
      <c r="N92" s="70"/>
      <c r="O92" s="70"/>
      <c r="P92" s="70"/>
      <c r="Q92" s="70"/>
      <c r="R92" s="70"/>
      <c r="S92" s="70"/>
      <c r="T92" s="82"/>
      <c r="U92" s="83"/>
      <c r="V92" s="84"/>
      <c r="W92" s="183"/>
      <c r="X92" s="186"/>
      <c r="Y92" s="183"/>
      <c r="Z92" s="183"/>
      <c r="AA92" s="183"/>
      <c r="AB92" s="183"/>
      <c r="AC92" s="183"/>
      <c r="AD92" s="183"/>
      <c r="AE92" s="183"/>
      <c r="AF92" s="183"/>
      <c r="AG92" s="183"/>
      <c r="AH92" s="183"/>
      <c r="AI92" s="183"/>
      <c r="AJ92" s="183"/>
      <c r="AK92" s="183"/>
      <c r="AL92" s="183"/>
      <c r="AM92" s="183"/>
      <c r="AN92" s="183"/>
      <c r="AO92" s="183"/>
      <c r="AP92" s="183"/>
      <c r="AQ92" s="183"/>
      <c r="AR92" s="183"/>
      <c r="AS92" s="183"/>
      <c r="AT92" s="183"/>
      <c r="AU92" s="183"/>
      <c r="AV92" s="183"/>
      <c r="AW92" s="183"/>
      <c r="AX92" s="183"/>
      <c r="AY92" s="183"/>
      <c r="AZ92" s="183"/>
      <c r="BA92" s="183"/>
      <c r="BB92" s="183"/>
      <c r="BC92" s="183"/>
      <c r="BD92" s="183"/>
      <c r="BE92" s="183"/>
      <c r="BF92" s="183"/>
      <c r="BG92" s="183"/>
      <c r="BH92" s="183"/>
      <c r="BI92" s="183"/>
      <c r="BJ92" s="183"/>
      <c r="BK92" s="183"/>
      <c r="BL92" s="183"/>
      <c r="BM92" s="183"/>
      <c r="BN92" s="183"/>
      <c r="BO92" s="183"/>
      <c r="BP92" s="183"/>
      <c r="BQ92" s="183"/>
      <c r="BR92" s="183"/>
      <c r="BS92" s="183"/>
      <c r="BT92" s="183"/>
      <c r="BU92" s="183"/>
      <c r="BV92" s="183"/>
      <c r="BW92" s="183"/>
      <c r="BX92" s="183"/>
      <c r="BY92" s="183"/>
      <c r="BZ92" s="183"/>
      <c r="CA92" s="183"/>
      <c r="CB92" s="183"/>
      <c r="CC92" s="183"/>
      <c r="CD92" s="183"/>
      <c r="CE92" s="183"/>
      <c r="CF92" s="183"/>
      <c r="CG92" s="183"/>
      <c r="CH92" s="183"/>
      <c r="CI92" s="183"/>
      <c r="CJ92" s="183"/>
      <c r="CK92" s="183"/>
      <c r="CL92" s="183"/>
      <c r="CM92" s="183"/>
      <c r="CN92" s="183"/>
      <c r="CO92" s="183"/>
      <c r="CP92" s="183"/>
      <c r="CQ92" s="183"/>
      <c r="CR92" s="183"/>
      <c r="CS92" s="183"/>
      <c r="CT92" s="183"/>
      <c r="CU92" s="183"/>
      <c r="CV92" s="183"/>
      <c r="CW92" s="183"/>
      <c r="CX92" s="183"/>
      <c r="CY92" s="183"/>
      <c r="CZ92" s="183"/>
      <c r="DA92" s="183"/>
      <c r="DB92" s="183"/>
      <c r="DC92" s="183"/>
      <c r="DD92" s="183"/>
      <c r="DE92" s="183"/>
      <c r="DF92" s="183"/>
      <c r="DG92" s="183"/>
      <c r="DH92" s="183"/>
      <c r="DI92" s="183"/>
      <c r="DJ92" s="183"/>
      <c r="DK92" s="183"/>
      <c r="DL92" s="183"/>
      <c r="DM92" s="183"/>
      <c r="DN92" s="183"/>
      <c r="DO92" s="183"/>
      <c r="DP92" s="183"/>
      <c r="DQ92" s="183"/>
      <c r="DR92" s="183"/>
      <c r="DS92" s="183"/>
      <c r="DT92" s="183"/>
      <c r="DU92" s="183"/>
      <c r="DV92" s="183"/>
      <c r="DW92" s="183"/>
      <c r="DX92" s="183"/>
      <c r="DY92" s="183"/>
      <c r="DZ92" s="183"/>
      <c r="EA92" s="183"/>
      <c r="EB92" s="183"/>
      <c r="EC92" s="183"/>
      <c r="ED92" s="183"/>
      <c r="EE92" s="183"/>
      <c r="EF92" s="183"/>
      <c r="EG92" s="183"/>
      <c r="EH92" s="183"/>
      <c r="EI92" s="183"/>
      <c r="EJ92" s="183"/>
      <c r="EK92" s="183"/>
      <c r="EL92" s="183"/>
      <c r="EM92" s="183"/>
      <c r="EN92" s="183"/>
      <c r="EO92" s="183"/>
      <c r="EP92" s="183"/>
      <c r="EQ92" s="183"/>
      <c r="ER92" s="183"/>
      <c r="ES92" s="183"/>
      <c r="ET92" s="183"/>
      <c r="EU92" s="183"/>
      <c r="EV92" s="183"/>
      <c r="EW92" s="183"/>
      <c r="EX92" s="183"/>
      <c r="EY92" s="183"/>
      <c r="EZ92" s="183"/>
      <c r="FA92" s="183"/>
      <c r="FB92" s="183"/>
      <c r="FC92" s="183"/>
      <c r="FD92" s="183"/>
      <c r="FE92" s="183"/>
      <c r="FF92" s="183"/>
      <c r="FG92" s="183"/>
      <c r="FH92" s="183"/>
      <c r="FI92" s="183"/>
    </row>
    <row r="93" spans="2:165" ht="0.2" customHeight="1" outlineLevel="1">
      <c r="B93" s="81"/>
      <c r="C93" s="81"/>
      <c r="D93" s="301"/>
      <c r="E93" s="70"/>
      <c r="F93" s="70"/>
      <c r="G93" s="70"/>
      <c r="H93" s="70"/>
      <c r="I93" s="70"/>
      <c r="J93" s="70"/>
      <c r="K93" s="70"/>
      <c r="L93" s="70"/>
      <c r="M93" s="70"/>
      <c r="N93" s="70"/>
      <c r="O93" s="70"/>
      <c r="P93" s="70"/>
      <c r="Q93" s="70"/>
      <c r="R93" s="70"/>
      <c r="S93" s="70"/>
      <c r="T93" s="82"/>
      <c r="U93" s="83"/>
      <c r="V93" s="84"/>
      <c r="W93" s="183"/>
      <c r="X93" s="186"/>
      <c r="Y93" s="183"/>
      <c r="Z93" s="183"/>
      <c r="AA93" s="183"/>
      <c r="AB93" s="183"/>
      <c r="AC93" s="183"/>
      <c r="AD93" s="183"/>
      <c r="AE93" s="183"/>
      <c r="AF93" s="183"/>
      <c r="AG93" s="183"/>
      <c r="AH93" s="183"/>
      <c r="AI93" s="183"/>
      <c r="AJ93" s="183"/>
      <c r="AK93" s="183"/>
      <c r="AL93" s="183"/>
      <c r="AM93" s="183"/>
      <c r="AN93" s="183"/>
      <c r="AO93" s="183"/>
      <c r="AP93" s="183"/>
      <c r="AQ93" s="183"/>
      <c r="AR93" s="183"/>
      <c r="AS93" s="183"/>
      <c r="AT93" s="183"/>
      <c r="AU93" s="183"/>
      <c r="AV93" s="183"/>
      <c r="AW93" s="183"/>
      <c r="AX93" s="183"/>
      <c r="AY93" s="183"/>
      <c r="AZ93" s="183"/>
      <c r="BA93" s="183"/>
      <c r="BB93" s="183"/>
      <c r="BC93" s="183"/>
      <c r="BD93" s="183"/>
      <c r="BE93" s="183"/>
      <c r="BF93" s="183"/>
      <c r="BG93" s="183"/>
      <c r="BH93" s="183"/>
      <c r="BI93" s="183"/>
      <c r="BJ93" s="183"/>
      <c r="BK93" s="183"/>
      <c r="BL93" s="183"/>
      <c r="BM93" s="183"/>
      <c r="BN93" s="183"/>
      <c r="BO93" s="183"/>
      <c r="BP93" s="183"/>
      <c r="BQ93" s="183"/>
      <c r="BR93" s="183"/>
      <c r="BS93" s="183"/>
      <c r="BT93" s="183"/>
      <c r="BU93" s="183"/>
      <c r="BV93" s="183"/>
      <c r="BW93" s="183"/>
      <c r="BX93" s="183"/>
      <c r="BY93" s="183"/>
      <c r="BZ93" s="183"/>
      <c r="CA93" s="183"/>
      <c r="CB93" s="183"/>
      <c r="CC93" s="183"/>
      <c r="CD93" s="183"/>
      <c r="CE93" s="183"/>
      <c r="CF93" s="183"/>
      <c r="CG93" s="183"/>
      <c r="CH93" s="183"/>
      <c r="CI93" s="183"/>
      <c r="CJ93" s="183"/>
      <c r="CK93" s="183"/>
      <c r="CL93" s="183"/>
      <c r="CM93" s="183"/>
      <c r="CN93" s="183"/>
      <c r="CO93" s="183"/>
      <c r="CP93" s="183"/>
      <c r="CQ93" s="183"/>
      <c r="CR93" s="183"/>
      <c r="CS93" s="183"/>
      <c r="CT93" s="183"/>
      <c r="CU93" s="183"/>
      <c r="CV93" s="183"/>
      <c r="CW93" s="183"/>
      <c r="CX93" s="183"/>
      <c r="CY93" s="183"/>
      <c r="CZ93" s="183"/>
      <c r="DA93" s="183"/>
      <c r="DB93" s="183"/>
      <c r="DC93" s="183"/>
      <c r="DD93" s="183"/>
      <c r="DE93" s="183"/>
      <c r="DF93" s="183"/>
      <c r="DG93" s="183"/>
      <c r="DH93" s="183"/>
      <c r="DI93" s="183"/>
      <c r="DJ93" s="183"/>
      <c r="DK93" s="183"/>
      <c r="DL93" s="183"/>
      <c r="DM93" s="183"/>
      <c r="DN93" s="183"/>
      <c r="DO93" s="183"/>
      <c r="DP93" s="183"/>
      <c r="DQ93" s="183"/>
      <c r="DR93" s="183"/>
      <c r="DS93" s="183"/>
      <c r="DT93" s="183"/>
      <c r="DU93" s="183"/>
      <c r="DV93" s="183"/>
      <c r="DW93" s="183"/>
      <c r="DX93" s="183"/>
      <c r="DY93" s="183"/>
      <c r="DZ93" s="183"/>
      <c r="EA93" s="183"/>
      <c r="EB93" s="183"/>
      <c r="EC93" s="183"/>
      <c r="ED93" s="183"/>
      <c r="EE93" s="183"/>
      <c r="EF93" s="183"/>
      <c r="EG93" s="183"/>
      <c r="EH93" s="183"/>
      <c r="EI93" s="183"/>
      <c r="EJ93" s="183"/>
      <c r="EK93" s="183"/>
      <c r="EL93" s="183"/>
      <c r="EM93" s="183"/>
      <c r="EN93" s="183"/>
      <c r="EO93" s="183"/>
      <c r="EP93" s="183"/>
      <c r="EQ93" s="183"/>
      <c r="ER93" s="183"/>
      <c r="ES93" s="183"/>
      <c r="ET93" s="183"/>
      <c r="EU93" s="183"/>
      <c r="EV93" s="183"/>
      <c r="EW93" s="183"/>
      <c r="EX93" s="183"/>
      <c r="EY93" s="183"/>
      <c r="EZ93" s="183"/>
      <c r="FA93" s="183"/>
      <c r="FB93" s="183"/>
      <c r="FC93" s="183"/>
      <c r="FD93" s="183"/>
      <c r="FE93" s="183"/>
      <c r="FF93" s="183"/>
      <c r="FG93" s="183"/>
      <c r="FH93" s="183"/>
      <c r="FI93" s="183"/>
    </row>
    <row r="94" spans="2:165" ht="0.2" customHeight="1" outlineLevel="1">
      <c r="B94" s="81"/>
      <c r="C94" s="81"/>
      <c r="D94" s="301"/>
      <c r="E94" s="70"/>
      <c r="F94" s="70"/>
      <c r="G94" s="70"/>
      <c r="H94" s="70"/>
      <c r="I94" s="70"/>
      <c r="J94" s="70"/>
      <c r="K94" s="70"/>
      <c r="L94" s="70"/>
      <c r="M94" s="70"/>
      <c r="N94" s="70"/>
      <c r="O94" s="70"/>
      <c r="P94" s="70"/>
      <c r="Q94" s="70"/>
      <c r="R94" s="70"/>
      <c r="S94" s="70"/>
      <c r="T94" s="82"/>
      <c r="U94" s="83"/>
      <c r="V94" s="84"/>
      <c r="W94" s="183"/>
      <c r="X94" s="186"/>
      <c r="Y94" s="183"/>
      <c r="Z94" s="183"/>
      <c r="AA94" s="183"/>
      <c r="AB94" s="183"/>
      <c r="AC94" s="183"/>
      <c r="AD94" s="183"/>
      <c r="AE94" s="183"/>
      <c r="AF94" s="183"/>
      <c r="AG94" s="183"/>
      <c r="AH94" s="183"/>
      <c r="AI94" s="183"/>
      <c r="AJ94" s="183"/>
      <c r="AK94" s="183"/>
      <c r="AL94" s="183"/>
      <c r="AM94" s="183"/>
      <c r="AN94" s="183"/>
      <c r="AO94" s="183"/>
      <c r="AP94" s="183"/>
      <c r="AQ94" s="183"/>
      <c r="AR94" s="183"/>
      <c r="AS94" s="183"/>
      <c r="AT94" s="183"/>
      <c r="AU94" s="183"/>
      <c r="AV94" s="183"/>
      <c r="AW94" s="183"/>
      <c r="AX94" s="183"/>
      <c r="AY94" s="183"/>
      <c r="AZ94" s="183"/>
      <c r="BA94" s="183"/>
      <c r="BB94" s="183"/>
      <c r="BC94" s="183"/>
      <c r="BD94" s="183"/>
      <c r="BE94" s="183"/>
      <c r="BF94" s="183"/>
      <c r="BG94" s="183"/>
      <c r="BH94" s="183"/>
      <c r="BI94" s="183"/>
      <c r="BJ94" s="183"/>
      <c r="BK94" s="183"/>
      <c r="BL94" s="183"/>
      <c r="BM94" s="183"/>
      <c r="BN94" s="183"/>
      <c r="BO94" s="183"/>
      <c r="BP94" s="183"/>
      <c r="BQ94" s="183"/>
      <c r="BR94" s="183"/>
      <c r="BS94" s="183"/>
      <c r="BT94" s="183"/>
      <c r="BU94" s="183"/>
      <c r="BV94" s="183"/>
      <c r="BW94" s="183"/>
      <c r="BX94" s="183"/>
      <c r="BY94" s="183"/>
      <c r="BZ94" s="183"/>
      <c r="CA94" s="183"/>
      <c r="CB94" s="183"/>
      <c r="CC94" s="183"/>
      <c r="CD94" s="183"/>
      <c r="CE94" s="183"/>
      <c r="CF94" s="183"/>
      <c r="CG94" s="183"/>
      <c r="CH94" s="183"/>
      <c r="CI94" s="183"/>
      <c r="CJ94" s="183"/>
      <c r="CK94" s="183"/>
      <c r="CL94" s="183"/>
      <c r="CM94" s="183"/>
      <c r="CN94" s="183"/>
      <c r="CO94" s="183"/>
      <c r="CP94" s="183"/>
      <c r="CQ94" s="183"/>
      <c r="CR94" s="183"/>
      <c r="CS94" s="183"/>
      <c r="CT94" s="183"/>
      <c r="CU94" s="183"/>
      <c r="CV94" s="183"/>
      <c r="CW94" s="183"/>
      <c r="CX94" s="183"/>
      <c r="CY94" s="183"/>
      <c r="CZ94" s="183"/>
      <c r="DA94" s="183"/>
      <c r="DB94" s="183"/>
      <c r="DC94" s="183"/>
      <c r="DD94" s="183"/>
      <c r="DE94" s="183"/>
      <c r="DF94" s="183"/>
      <c r="DG94" s="183"/>
      <c r="DH94" s="183"/>
      <c r="DI94" s="183"/>
      <c r="DJ94" s="183"/>
      <c r="DK94" s="183"/>
      <c r="DL94" s="183"/>
      <c r="DM94" s="183"/>
      <c r="DN94" s="183"/>
      <c r="DO94" s="183"/>
      <c r="DP94" s="183"/>
      <c r="DQ94" s="183"/>
      <c r="DR94" s="183"/>
      <c r="DS94" s="183"/>
      <c r="DT94" s="183"/>
      <c r="DU94" s="183"/>
      <c r="DV94" s="183"/>
      <c r="DW94" s="183"/>
      <c r="DX94" s="183"/>
      <c r="DY94" s="183"/>
      <c r="DZ94" s="183"/>
      <c r="EA94" s="183"/>
      <c r="EB94" s="183"/>
      <c r="EC94" s="183"/>
      <c r="ED94" s="183"/>
      <c r="EE94" s="183"/>
      <c r="EF94" s="183"/>
      <c r="EG94" s="183"/>
      <c r="EH94" s="183"/>
      <c r="EI94" s="183"/>
      <c r="EJ94" s="183"/>
      <c r="EK94" s="183"/>
      <c r="EL94" s="183"/>
      <c r="EM94" s="183"/>
      <c r="EN94" s="183"/>
      <c r="EO94" s="183"/>
      <c r="EP94" s="183"/>
      <c r="EQ94" s="183"/>
      <c r="ER94" s="183"/>
      <c r="ES94" s="183"/>
      <c r="ET94" s="183"/>
      <c r="EU94" s="183"/>
      <c r="EV94" s="183"/>
      <c r="EW94" s="183"/>
      <c r="EX94" s="183"/>
      <c r="EY94" s="183"/>
      <c r="EZ94" s="183"/>
      <c r="FA94" s="183"/>
      <c r="FB94" s="183"/>
      <c r="FC94" s="183"/>
      <c r="FD94" s="183"/>
      <c r="FE94" s="183"/>
      <c r="FF94" s="183"/>
      <c r="FG94" s="183"/>
      <c r="FH94" s="183"/>
      <c r="FI94" s="183"/>
    </row>
    <row r="95" spans="2:165" ht="0.2" customHeight="1" outlineLevel="1">
      <c r="B95" s="81"/>
      <c r="C95" s="81"/>
      <c r="D95" s="301"/>
      <c r="E95" s="70"/>
      <c r="F95" s="70"/>
      <c r="G95" s="70"/>
      <c r="H95" s="70"/>
      <c r="I95" s="70"/>
      <c r="J95" s="70"/>
      <c r="K95" s="70"/>
      <c r="L95" s="70"/>
      <c r="M95" s="70"/>
      <c r="N95" s="70"/>
      <c r="O95" s="70"/>
      <c r="P95" s="70"/>
      <c r="Q95" s="70"/>
      <c r="R95" s="70"/>
      <c r="S95" s="70"/>
      <c r="T95" s="82"/>
      <c r="U95" s="83"/>
      <c r="V95" s="84"/>
      <c r="W95" s="183"/>
      <c r="X95" s="186"/>
      <c r="Y95" s="183"/>
      <c r="Z95" s="183"/>
      <c r="AA95" s="183"/>
      <c r="AB95" s="183"/>
      <c r="AC95" s="183"/>
      <c r="AD95" s="183"/>
      <c r="AE95" s="183"/>
      <c r="AF95" s="183"/>
      <c r="AG95" s="183"/>
      <c r="AH95" s="183"/>
      <c r="AI95" s="183"/>
      <c r="AJ95" s="183"/>
      <c r="AK95" s="183"/>
      <c r="AL95" s="183"/>
      <c r="AM95" s="183"/>
      <c r="AN95" s="183"/>
      <c r="AO95" s="183"/>
      <c r="AP95" s="183"/>
      <c r="AQ95" s="183"/>
      <c r="AR95" s="183"/>
      <c r="AS95" s="183"/>
      <c r="AT95" s="183"/>
      <c r="AU95" s="183"/>
      <c r="AV95" s="183"/>
      <c r="AW95" s="183"/>
      <c r="AX95" s="183"/>
      <c r="AY95" s="183"/>
      <c r="AZ95" s="183"/>
      <c r="BA95" s="183"/>
      <c r="BB95" s="183"/>
      <c r="BC95" s="183"/>
      <c r="BD95" s="183"/>
      <c r="BE95" s="183"/>
      <c r="BF95" s="183"/>
      <c r="BG95" s="183"/>
      <c r="BH95" s="183"/>
      <c r="BI95" s="183"/>
      <c r="BJ95" s="183"/>
      <c r="BK95" s="183"/>
      <c r="BL95" s="183"/>
      <c r="BM95" s="183"/>
      <c r="BN95" s="183"/>
      <c r="BO95" s="183"/>
      <c r="BP95" s="183"/>
      <c r="BQ95" s="183"/>
      <c r="BR95" s="183"/>
      <c r="BS95" s="183"/>
      <c r="BT95" s="183"/>
      <c r="BU95" s="183"/>
      <c r="BV95" s="183"/>
      <c r="BW95" s="183"/>
      <c r="BX95" s="183"/>
      <c r="BY95" s="183"/>
      <c r="BZ95" s="183"/>
      <c r="CA95" s="183"/>
      <c r="CB95" s="183"/>
      <c r="CC95" s="183"/>
      <c r="CD95" s="183"/>
      <c r="CE95" s="183"/>
      <c r="CF95" s="183"/>
      <c r="CG95" s="183"/>
      <c r="CH95" s="183"/>
      <c r="CI95" s="183"/>
      <c r="CJ95" s="183"/>
      <c r="CK95" s="183"/>
      <c r="CL95" s="183"/>
      <c r="CM95" s="183"/>
      <c r="CN95" s="183"/>
      <c r="CO95" s="183"/>
      <c r="CP95" s="183"/>
      <c r="CQ95" s="183"/>
      <c r="CR95" s="183"/>
      <c r="CS95" s="183"/>
      <c r="CT95" s="183"/>
      <c r="CU95" s="183"/>
      <c r="CV95" s="183"/>
      <c r="CW95" s="183"/>
      <c r="CX95" s="183"/>
      <c r="CY95" s="183"/>
      <c r="CZ95" s="183"/>
      <c r="DA95" s="183"/>
      <c r="DB95" s="183"/>
      <c r="DC95" s="183"/>
      <c r="DD95" s="183"/>
      <c r="DE95" s="183"/>
      <c r="DF95" s="183"/>
      <c r="DG95" s="183"/>
      <c r="DH95" s="183"/>
      <c r="DI95" s="183"/>
      <c r="DJ95" s="183"/>
      <c r="DK95" s="183"/>
      <c r="DL95" s="183"/>
      <c r="DM95" s="183"/>
      <c r="DN95" s="183"/>
      <c r="DO95" s="183"/>
      <c r="DP95" s="183"/>
      <c r="DQ95" s="183"/>
      <c r="DR95" s="183"/>
      <c r="DS95" s="183"/>
      <c r="DT95" s="183"/>
      <c r="DU95" s="183"/>
      <c r="DV95" s="183"/>
      <c r="DW95" s="183"/>
      <c r="DX95" s="183"/>
      <c r="DY95" s="183"/>
      <c r="DZ95" s="183"/>
      <c r="EA95" s="183"/>
      <c r="EB95" s="183"/>
      <c r="EC95" s="183"/>
      <c r="ED95" s="183"/>
      <c r="EE95" s="183"/>
      <c r="EF95" s="183"/>
      <c r="EG95" s="183"/>
      <c r="EH95" s="183"/>
      <c r="EI95" s="183"/>
      <c r="EJ95" s="183"/>
      <c r="EK95" s="183"/>
      <c r="EL95" s="183"/>
      <c r="EM95" s="183"/>
      <c r="EN95" s="183"/>
      <c r="EO95" s="183"/>
      <c r="EP95" s="183"/>
      <c r="EQ95" s="183"/>
      <c r="ER95" s="183"/>
      <c r="ES95" s="183"/>
      <c r="ET95" s="183"/>
      <c r="EU95" s="183"/>
      <c r="EV95" s="183"/>
      <c r="EW95" s="183"/>
      <c r="EX95" s="183"/>
      <c r="EY95" s="183"/>
      <c r="EZ95" s="183"/>
      <c r="FA95" s="183"/>
      <c r="FB95" s="183"/>
      <c r="FC95" s="183"/>
      <c r="FD95" s="183"/>
      <c r="FE95" s="183"/>
      <c r="FF95" s="183"/>
      <c r="FG95" s="183"/>
      <c r="FH95" s="183"/>
      <c r="FI95" s="183"/>
    </row>
    <row r="96" spans="2:165" ht="0.2" customHeight="1" outlineLevel="1">
      <c r="B96" s="81"/>
      <c r="C96" s="81"/>
      <c r="D96" s="301"/>
      <c r="E96" s="70"/>
      <c r="F96" s="70"/>
      <c r="G96" s="70"/>
      <c r="H96" s="70"/>
      <c r="I96" s="70"/>
      <c r="J96" s="70"/>
      <c r="K96" s="70"/>
      <c r="L96" s="70"/>
      <c r="M96" s="70"/>
      <c r="N96" s="70"/>
      <c r="O96" s="70"/>
      <c r="P96" s="70"/>
      <c r="Q96" s="70"/>
      <c r="R96" s="70"/>
      <c r="S96" s="70"/>
      <c r="T96" s="82"/>
      <c r="U96" s="83"/>
      <c r="V96" s="84"/>
      <c r="W96" s="183"/>
      <c r="X96" s="186"/>
      <c r="Y96" s="183"/>
      <c r="Z96" s="183"/>
      <c r="AA96" s="183"/>
      <c r="AB96" s="183"/>
      <c r="AC96" s="183"/>
      <c r="AD96" s="183"/>
      <c r="AE96" s="183"/>
      <c r="AF96" s="183"/>
      <c r="AG96" s="183"/>
      <c r="AH96" s="183"/>
      <c r="AI96" s="183"/>
      <c r="AJ96" s="183"/>
      <c r="AK96" s="183"/>
      <c r="AL96" s="183"/>
      <c r="AM96" s="183"/>
      <c r="AN96" s="183"/>
      <c r="AO96" s="183"/>
      <c r="AP96" s="183"/>
      <c r="AQ96" s="183"/>
      <c r="AR96" s="183"/>
      <c r="AS96" s="183"/>
      <c r="AT96" s="183"/>
      <c r="AU96" s="183"/>
      <c r="AV96" s="183"/>
      <c r="AW96" s="183"/>
      <c r="AX96" s="183"/>
      <c r="AY96" s="183"/>
      <c r="AZ96" s="183"/>
      <c r="BA96" s="183"/>
      <c r="BB96" s="183"/>
      <c r="BC96" s="183"/>
      <c r="BD96" s="183"/>
      <c r="BE96" s="183"/>
      <c r="BF96" s="183"/>
      <c r="BG96" s="183"/>
      <c r="BH96" s="183"/>
      <c r="BI96" s="183"/>
      <c r="BJ96" s="183"/>
      <c r="BK96" s="183"/>
      <c r="BL96" s="183"/>
      <c r="BM96" s="183"/>
      <c r="BN96" s="183"/>
      <c r="BO96" s="183"/>
      <c r="BP96" s="183"/>
      <c r="BQ96" s="183"/>
      <c r="BR96" s="183"/>
      <c r="BS96" s="183"/>
      <c r="BT96" s="183"/>
      <c r="BU96" s="183"/>
      <c r="BV96" s="183"/>
      <c r="BW96" s="183"/>
      <c r="BX96" s="183"/>
      <c r="BY96" s="183"/>
      <c r="BZ96" s="183"/>
      <c r="CA96" s="183"/>
      <c r="CB96" s="183"/>
      <c r="CC96" s="183"/>
      <c r="CD96" s="183"/>
      <c r="CE96" s="183"/>
      <c r="CF96" s="183"/>
      <c r="CG96" s="183"/>
      <c r="CH96" s="183"/>
      <c r="CI96" s="183"/>
      <c r="CJ96" s="183"/>
      <c r="CK96" s="183"/>
      <c r="CL96" s="183"/>
      <c r="CM96" s="183"/>
      <c r="CN96" s="183"/>
      <c r="CO96" s="183"/>
      <c r="CP96" s="183"/>
      <c r="CQ96" s="183"/>
      <c r="CR96" s="183"/>
      <c r="CS96" s="183"/>
      <c r="CT96" s="183"/>
      <c r="CU96" s="183"/>
      <c r="CV96" s="183"/>
      <c r="CW96" s="183"/>
      <c r="CX96" s="183"/>
      <c r="CY96" s="183"/>
      <c r="CZ96" s="183"/>
      <c r="DA96" s="183"/>
      <c r="DB96" s="183"/>
      <c r="DC96" s="183"/>
      <c r="DD96" s="183"/>
      <c r="DE96" s="183"/>
      <c r="DF96" s="183"/>
      <c r="DG96" s="183"/>
      <c r="DH96" s="183"/>
      <c r="DI96" s="183"/>
      <c r="DJ96" s="183"/>
      <c r="DK96" s="183"/>
      <c r="DL96" s="183"/>
      <c r="DM96" s="183"/>
      <c r="DN96" s="183"/>
      <c r="DO96" s="183"/>
      <c r="DP96" s="183"/>
      <c r="DQ96" s="183"/>
      <c r="DR96" s="183"/>
      <c r="DS96" s="183"/>
      <c r="DT96" s="183"/>
      <c r="DU96" s="183"/>
      <c r="DV96" s="183"/>
      <c r="DW96" s="183"/>
      <c r="DX96" s="183"/>
      <c r="DY96" s="183"/>
      <c r="DZ96" s="183"/>
      <c r="EA96" s="183"/>
      <c r="EB96" s="183"/>
      <c r="EC96" s="183"/>
      <c r="ED96" s="183"/>
      <c r="EE96" s="183"/>
      <c r="EF96" s="183"/>
      <c r="EG96" s="183"/>
      <c r="EH96" s="183"/>
      <c r="EI96" s="183"/>
      <c r="EJ96" s="183"/>
      <c r="EK96" s="183"/>
      <c r="EL96" s="183"/>
      <c r="EM96" s="183"/>
      <c r="EN96" s="183"/>
      <c r="EO96" s="183"/>
      <c r="EP96" s="183"/>
      <c r="EQ96" s="183"/>
      <c r="ER96" s="183"/>
      <c r="ES96" s="183"/>
      <c r="ET96" s="183"/>
      <c r="EU96" s="183"/>
      <c r="EV96" s="183"/>
      <c r="EW96" s="183"/>
      <c r="EX96" s="183"/>
      <c r="EY96" s="183"/>
      <c r="EZ96" s="183"/>
      <c r="FA96" s="183"/>
      <c r="FB96" s="183"/>
      <c r="FC96" s="183"/>
      <c r="FD96" s="183"/>
      <c r="FE96" s="183"/>
      <c r="FF96" s="183"/>
      <c r="FG96" s="183"/>
      <c r="FH96" s="183"/>
      <c r="FI96" s="183"/>
    </row>
    <row r="97" spans="2:165" ht="0.2" customHeight="1" outlineLevel="1">
      <c r="B97" s="81"/>
      <c r="C97" s="81"/>
      <c r="D97" s="301"/>
      <c r="E97" s="70"/>
      <c r="F97" s="70"/>
      <c r="G97" s="70"/>
      <c r="H97" s="70"/>
      <c r="I97" s="70"/>
      <c r="J97" s="70"/>
      <c r="K97" s="70"/>
      <c r="L97" s="70"/>
      <c r="M97" s="70"/>
      <c r="N97" s="70"/>
      <c r="O97" s="70"/>
      <c r="P97" s="70"/>
      <c r="Q97" s="70"/>
      <c r="R97" s="70"/>
      <c r="S97" s="70"/>
      <c r="T97" s="82"/>
      <c r="U97" s="83"/>
      <c r="V97" s="84"/>
      <c r="W97" s="183"/>
      <c r="X97" s="186"/>
      <c r="Y97" s="183"/>
      <c r="Z97" s="183"/>
      <c r="AA97" s="183"/>
      <c r="AB97" s="183"/>
      <c r="AC97" s="183"/>
      <c r="AD97" s="183"/>
      <c r="AE97" s="183"/>
      <c r="AF97" s="183"/>
      <c r="AG97" s="183"/>
      <c r="AH97" s="183"/>
      <c r="AI97" s="183"/>
      <c r="AJ97" s="183"/>
      <c r="AK97" s="183"/>
      <c r="AL97" s="183"/>
      <c r="AM97" s="183"/>
      <c r="AN97" s="183"/>
      <c r="AO97" s="183"/>
      <c r="AP97" s="183"/>
      <c r="AQ97" s="183"/>
      <c r="AR97" s="183"/>
      <c r="AS97" s="183"/>
      <c r="AT97" s="183"/>
      <c r="AU97" s="183"/>
      <c r="AV97" s="183"/>
      <c r="AW97" s="183"/>
      <c r="AX97" s="183"/>
      <c r="AY97" s="183"/>
      <c r="AZ97" s="183"/>
      <c r="BA97" s="183"/>
      <c r="BB97" s="183"/>
      <c r="BC97" s="183"/>
      <c r="BD97" s="183"/>
      <c r="BE97" s="183"/>
      <c r="BF97" s="183"/>
      <c r="BG97" s="183"/>
      <c r="BH97" s="183"/>
      <c r="BI97" s="183"/>
      <c r="BJ97" s="183"/>
      <c r="BK97" s="183"/>
      <c r="BL97" s="183"/>
      <c r="BM97" s="183"/>
      <c r="BN97" s="183"/>
      <c r="BO97" s="183"/>
      <c r="BP97" s="183"/>
      <c r="BQ97" s="183"/>
      <c r="BR97" s="183"/>
      <c r="BS97" s="183"/>
      <c r="BT97" s="183"/>
      <c r="BU97" s="183"/>
      <c r="BV97" s="183"/>
      <c r="BW97" s="183"/>
      <c r="BX97" s="183"/>
      <c r="BY97" s="183"/>
      <c r="BZ97" s="183"/>
      <c r="CA97" s="183"/>
      <c r="CB97" s="183"/>
      <c r="CC97" s="183"/>
      <c r="CD97" s="183"/>
      <c r="CE97" s="183"/>
      <c r="CF97" s="183"/>
      <c r="CG97" s="183"/>
      <c r="CH97" s="183"/>
      <c r="CI97" s="183"/>
      <c r="CJ97" s="183"/>
      <c r="CK97" s="183"/>
      <c r="CL97" s="183"/>
      <c r="CM97" s="183"/>
      <c r="CN97" s="183"/>
      <c r="CO97" s="183"/>
      <c r="CP97" s="183"/>
      <c r="CQ97" s="183"/>
      <c r="CR97" s="183"/>
      <c r="CS97" s="183"/>
      <c r="CT97" s="183"/>
      <c r="CU97" s="183"/>
      <c r="CV97" s="183"/>
      <c r="CW97" s="183"/>
      <c r="CX97" s="183"/>
      <c r="CY97" s="183"/>
      <c r="CZ97" s="183"/>
      <c r="DA97" s="183"/>
      <c r="DB97" s="183"/>
      <c r="DC97" s="183"/>
      <c r="DD97" s="183"/>
      <c r="DE97" s="183"/>
      <c r="DF97" s="183"/>
      <c r="DG97" s="183"/>
      <c r="DH97" s="183"/>
      <c r="DI97" s="183"/>
      <c r="DJ97" s="183"/>
      <c r="DK97" s="183"/>
      <c r="DL97" s="183"/>
      <c r="DM97" s="183"/>
      <c r="DN97" s="183"/>
      <c r="DO97" s="183"/>
      <c r="DP97" s="183"/>
      <c r="DQ97" s="183"/>
      <c r="DR97" s="183"/>
      <c r="DS97" s="183"/>
      <c r="DT97" s="183"/>
      <c r="DU97" s="183"/>
      <c r="DV97" s="183"/>
      <c r="DW97" s="183"/>
      <c r="DX97" s="183"/>
      <c r="DY97" s="183"/>
      <c r="DZ97" s="183"/>
      <c r="EA97" s="183"/>
      <c r="EB97" s="183"/>
      <c r="EC97" s="183"/>
      <c r="ED97" s="183"/>
      <c r="EE97" s="183"/>
      <c r="EF97" s="183"/>
      <c r="EG97" s="183"/>
      <c r="EH97" s="183"/>
      <c r="EI97" s="183"/>
      <c r="EJ97" s="183"/>
      <c r="EK97" s="183"/>
      <c r="EL97" s="183"/>
      <c r="EM97" s="183"/>
      <c r="EN97" s="183"/>
      <c r="EO97" s="183"/>
      <c r="EP97" s="183"/>
      <c r="EQ97" s="183"/>
      <c r="ER97" s="183"/>
      <c r="ES97" s="183"/>
      <c r="ET97" s="183"/>
      <c r="EU97" s="183"/>
      <c r="EV97" s="183"/>
      <c r="EW97" s="183"/>
      <c r="EX97" s="183"/>
      <c r="EY97" s="183"/>
      <c r="EZ97" s="183"/>
      <c r="FA97" s="183"/>
      <c r="FB97" s="183"/>
      <c r="FC97" s="183"/>
      <c r="FD97" s="183"/>
      <c r="FE97" s="183"/>
      <c r="FF97" s="183"/>
      <c r="FG97" s="183"/>
      <c r="FH97" s="183"/>
      <c r="FI97" s="183"/>
    </row>
    <row r="98" spans="2:165" ht="0.2" customHeight="1" outlineLevel="1">
      <c r="B98" s="81"/>
      <c r="C98" s="81"/>
      <c r="D98" s="301"/>
      <c r="E98" s="70"/>
      <c r="F98" s="70"/>
      <c r="G98" s="70"/>
      <c r="H98" s="70"/>
      <c r="I98" s="70"/>
      <c r="J98" s="70"/>
      <c r="K98" s="70"/>
      <c r="L98" s="70"/>
      <c r="M98" s="70"/>
      <c r="N98" s="70"/>
      <c r="O98" s="70"/>
      <c r="P98" s="70"/>
      <c r="Q98" s="70"/>
      <c r="R98" s="70"/>
      <c r="S98" s="70"/>
      <c r="T98" s="82"/>
      <c r="U98" s="83"/>
      <c r="V98" s="84"/>
      <c r="W98" s="183"/>
      <c r="X98" s="186"/>
      <c r="Y98" s="183"/>
      <c r="Z98" s="183"/>
      <c r="AA98" s="183"/>
      <c r="AB98" s="183"/>
      <c r="AC98" s="183"/>
      <c r="AD98" s="183"/>
      <c r="AE98" s="183"/>
      <c r="AF98" s="183"/>
      <c r="AG98" s="183"/>
      <c r="AH98" s="183"/>
      <c r="AI98" s="183"/>
      <c r="AJ98" s="183"/>
      <c r="AK98" s="183"/>
      <c r="AL98" s="183"/>
      <c r="AM98" s="183"/>
      <c r="AN98" s="183"/>
      <c r="AO98" s="183"/>
      <c r="AP98" s="183"/>
      <c r="AQ98" s="183"/>
      <c r="AR98" s="183"/>
      <c r="AS98" s="183"/>
      <c r="AT98" s="183"/>
      <c r="AU98" s="183"/>
      <c r="AV98" s="183"/>
      <c r="AW98" s="183"/>
      <c r="AX98" s="183"/>
      <c r="AY98" s="183"/>
      <c r="AZ98" s="183"/>
      <c r="BA98" s="183"/>
      <c r="BB98" s="183"/>
      <c r="BC98" s="183"/>
      <c r="BD98" s="183"/>
      <c r="BE98" s="183"/>
      <c r="BF98" s="183"/>
      <c r="BG98" s="183"/>
      <c r="BH98" s="183"/>
      <c r="BI98" s="183"/>
      <c r="BJ98" s="183"/>
      <c r="BK98" s="183"/>
      <c r="BL98" s="183"/>
      <c r="BM98" s="183"/>
      <c r="BN98" s="183"/>
      <c r="BO98" s="183"/>
      <c r="BP98" s="183"/>
      <c r="BQ98" s="183"/>
      <c r="BR98" s="183"/>
      <c r="BS98" s="183"/>
      <c r="BT98" s="183"/>
      <c r="BU98" s="183"/>
      <c r="BV98" s="183"/>
      <c r="BW98" s="183"/>
      <c r="BX98" s="183"/>
      <c r="BY98" s="183"/>
      <c r="BZ98" s="183"/>
      <c r="CA98" s="183"/>
      <c r="CB98" s="183"/>
      <c r="CC98" s="183"/>
      <c r="CD98" s="183"/>
      <c r="CE98" s="183"/>
      <c r="CF98" s="183"/>
      <c r="CG98" s="183"/>
      <c r="CH98" s="183"/>
      <c r="CI98" s="183"/>
      <c r="CJ98" s="183"/>
      <c r="CK98" s="183"/>
      <c r="CL98" s="183"/>
      <c r="CM98" s="183"/>
      <c r="CN98" s="183"/>
      <c r="CO98" s="183"/>
      <c r="CP98" s="183"/>
      <c r="CQ98" s="183"/>
      <c r="CR98" s="183"/>
      <c r="CS98" s="183"/>
      <c r="CT98" s="183"/>
      <c r="CU98" s="183"/>
      <c r="CV98" s="183"/>
      <c r="CW98" s="183"/>
      <c r="CX98" s="183"/>
      <c r="CY98" s="183"/>
      <c r="CZ98" s="183"/>
      <c r="DA98" s="183"/>
      <c r="DB98" s="183"/>
      <c r="DC98" s="183"/>
      <c r="DD98" s="183"/>
      <c r="DE98" s="183"/>
      <c r="DF98" s="183"/>
      <c r="DG98" s="183"/>
      <c r="DH98" s="183"/>
      <c r="DI98" s="183"/>
      <c r="DJ98" s="183"/>
      <c r="DK98" s="183"/>
      <c r="DL98" s="183"/>
      <c r="DM98" s="183"/>
      <c r="DN98" s="183"/>
      <c r="DO98" s="183"/>
      <c r="DP98" s="183"/>
      <c r="DQ98" s="183"/>
      <c r="DR98" s="183"/>
      <c r="DS98" s="183"/>
      <c r="DT98" s="183"/>
      <c r="DU98" s="183"/>
      <c r="DV98" s="183"/>
      <c r="DW98" s="183"/>
      <c r="DX98" s="183"/>
      <c r="DY98" s="183"/>
      <c r="DZ98" s="183"/>
      <c r="EA98" s="183"/>
      <c r="EB98" s="183"/>
      <c r="EC98" s="183"/>
      <c r="ED98" s="183"/>
      <c r="EE98" s="183"/>
      <c r="EF98" s="183"/>
      <c r="EG98" s="183"/>
      <c r="EH98" s="183"/>
      <c r="EI98" s="183"/>
      <c r="EJ98" s="183"/>
      <c r="EK98" s="183"/>
      <c r="EL98" s="183"/>
      <c r="EM98" s="183"/>
      <c r="EN98" s="183"/>
      <c r="EO98" s="183"/>
      <c r="EP98" s="183"/>
      <c r="EQ98" s="183"/>
      <c r="ER98" s="183"/>
      <c r="ES98" s="183"/>
      <c r="ET98" s="183"/>
      <c r="EU98" s="183"/>
      <c r="EV98" s="183"/>
      <c r="EW98" s="183"/>
      <c r="EX98" s="183"/>
      <c r="EY98" s="183"/>
      <c r="EZ98" s="183"/>
      <c r="FA98" s="183"/>
      <c r="FB98" s="183"/>
      <c r="FC98" s="183"/>
      <c r="FD98" s="183"/>
      <c r="FE98" s="183"/>
      <c r="FF98" s="183"/>
      <c r="FG98" s="183"/>
      <c r="FH98" s="183"/>
      <c r="FI98" s="183"/>
    </row>
    <row r="99" spans="2:165" ht="0.2" customHeight="1" outlineLevel="1">
      <c r="B99" s="81"/>
      <c r="C99" s="81"/>
      <c r="D99" s="301"/>
      <c r="E99" s="70"/>
      <c r="F99" s="70"/>
      <c r="G99" s="70"/>
      <c r="H99" s="70"/>
      <c r="I99" s="70"/>
      <c r="J99" s="70"/>
      <c r="K99" s="70"/>
      <c r="L99" s="70"/>
      <c r="M99" s="70"/>
      <c r="N99" s="70"/>
      <c r="O99" s="70"/>
      <c r="P99" s="70"/>
      <c r="Q99" s="70"/>
      <c r="R99" s="70"/>
      <c r="S99" s="70"/>
      <c r="T99" s="82"/>
      <c r="U99" s="83"/>
      <c r="V99" s="84"/>
      <c r="W99" s="183"/>
      <c r="X99" s="186"/>
      <c r="Y99" s="183"/>
      <c r="Z99" s="183"/>
      <c r="AA99" s="183"/>
      <c r="AB99" s="183"/>
      <c r="AC99" s="183"/>
      <c r="AD99" s="183"/>
      <c r="AE99" s="183"/>
      <c r="AF99" s="183"/>
      <c r="AG99" s="183"/>
      <c r="AH99" s="183"/>
      <c r="AI99" s="183"/>
      <c r="AJ99" s="183"/>
      <c r="AK99" s="183"/>
      <c r="AL99" s="183"/>
      <c r="AM99" s="183"/>
      <c r="AN99" s="183"/>
      <c r="AO99" s="183"/>
      <c r="AP99" s="183"/>
      <c r="AQ99" s="183"/>
      <c r="AR99" s="183"/>
      <c r="AS99" s="183"/>
      <c r="AT99" s="183"/>
      <c r="AU99" s="183"/>
      <c r="AV99" s="183"/>
      <c r="AW99" s="183"/>
      <c r="AX99" s="183"/>
      <c r="AY99" s="183"/>
      <c r="AZ99" s="183"/>
      <c r="BA99" s="183"/>
      <c r="BB99" s="183"/>
      <c r="BC99" s="183"/>
      <c r="BD99" s="183"/>
      <c r="BE99" s="183"/>
      <c r="BF99" s="183"/>
      <c r="BG99" s="183"/>
      <c r="BH99" s="183"/>
      <c r="BI99" s="183"/>
      <c r="BJ99" s="183"/>
      <c r="BK99" s="183"/>
      <c r="BL99" s="183"/>
      <c r="BM99" s="183"/>
      <c r="BN99" s="183"/>
      <c r="BO99" s="183"/>
      <c r="BP99" s="183"/>
      <c r="BQ99" s="183"/>
      <c r="BR99" s="183"/>
      <c r="BS99" s="183"/>
      <c r="BT99" s="183"/>
      <c r="BU99" s="183"/>
      <c r="BV99" s="183"/>
      <c r="BW99" s="183"/>
      <c r="BX99" s="183"/>
      <c r="BY99" s="183"/>
      <c r="BZ99" s="183"/>
      <c r="CA99" s="183"/>
      <c r="CB99" s="183"/>
      <c r="CC99" s="183"/>
      <c r="CD99" s="183"/>
      <c r="CE99" s="183"/>
      <c r="CF99" s="183"/>
      <c r="CG99" s="183"/>
      <c r="CH99" s="183"/>
      <c r="CI99" s="183"/>
      <c r="CJ99" s="183"/>
      <c r="CK99" s="183"/>
      <c r="CL99" s="183"/>
      <c r="CM99" s="183"/>
      <c r="CN99" s="183"/>
      <c r="CO99" s="183"/>
      <c r="CP99" s="183"/>
      <c r="CQ99" s="183"/>
      <c r="CR99" s="183"/>
      <c r="CS99" s="183"/>
      <c r="CT99" s="183"/>
      <c r="CU99" s="183"/>
      <c r="CV99" s="183"/>
      <c r="CW99" s="183"/>
      <c r="CX99" s="183"/>
      <c r="CY99" s="183"/>
      <c r="CZ99" s="183"/>
      <c r="DA99" s="183"/>
      <c r="DB99" s="183"/>
      <c r="DC99" s="183"/>
      <c r="DD99" s="183"/>
      <c r="DE99" s="183"/>
      <c r="DF99" s="183"/>
      <c r="DG99" s="183"/>
      <c r="DH99" s="183"/>
      <c r="DI99" s="183"/>
      <c r="DJ99" s="183"/>
      <c r="DK99" s="183"/>
      <c r="DL99" s="183"/>
      <c r="DM99" s="183"/>
      <c r="DN99" s="183"/>
      <c r="DO99" s="183"/>
      <c r="DP99" s="183"/>
      <c r="DQ99" s="183"/>
      <c r="DR99" s="183"/>
      <c r="DS99" s="183"/>
      <c r="DT99" s="183"/>
      <c r="DU99" s="183"/>
      <c r="DV99" s="183"/>
      <c r="DW99" s="183"/>
      <c r="DX99" s="183"/>
      <c r="DY99" s="183"/>
      <c r="DZ99" s="183"/>
      <c r="EA99" s="183"/>
      <c r="EB99" s="183"/>
      <c r="EC99" s="183"/>
      <c r="ED99" s="183"/>
      <c r="EE99" s="183"/>
      <c r="EF99" s="183"/>
      <c r="EG99" s="183"/>
      <c r="EH99" s="183"/>
      <c r="EI99" s="183"/>
      <c r="EJ99" s="183"/>
      <c r="EK99" s="183"/>
      <c r="EL99" s="183"/>
      <c r="EM99" s="183"/>
      <c r="EN99" s="183"/>
      <c r="EO99" s="183"/>
      <c r="EP99" s="183"/>
      <c r="EQ99" s="183"/>
      <c r="ER99" s="183"/>
      <c r="ES99" s="183"/>
      <c r="ET99" s="183"/>
      <c r="EU99" s="183"/>
      <c r="EV99" s="183"/>
      <c r="EW99" s="183"/>
      <c r="EX99" s="183"/>
      <c r="EY99" s="183"/>
      <c r="EZ99" s="183"/>
      <c r="FA99" s="183"/>
      <c r="FB99" s="183"/>
      <c r="FC99" s="183"/>
      <c r="FD99" s="183"/>
      <c r="FE99" s="183"/>
      <c r="FF99" s="183"/>
      <c r="FG99" s="183"/>
      <c r="FH99" s="183"/>
      <c r="FI99" s="183"/>
    </row>
    <row r="100" spans="2:165" ht="0.2" customHeight="1" outlineLevel="1">
      <c r="B100" s="81"/>
      <c r="C100" s="81"/>
      <c r="D100" s="301"/>
      <c r="E100" s="70"/>
      <c r="F100" s="70"/>
      <c r="G100" s="70"/>
      <c r="H100" s="70"/>
      <c r="I100" s="70"/>
      <c r="J100" s="70"/>
      <c r="K100" s="70"/>
      <c r="L100" s="70"/>
      <c r="M100" s="70"/>
      <c r="N100" s="70"/>
      <c r="O100" s="70"/>
      <c r="P100" s="70"/>
      <c r="Q100" s="70"/>
      <c r="R100" s="70"/>
      <c r="S100" s="70"/>
      <c r="T100" s="82"/>
      <c r="U100" s="83"/>
      <c r="V100" s="84"/>
      <c r="W100" s="183"/>
      <c r="X100" s="186"/>
      <c r="Y100" s="183"/>
      <c r="Z100" s="183"/>
      <c r="AA100" s="183"/>
      <c r="AB100" s="183"/>
      <c r="AC100" s="183"/>
      <c r="AD100" s="183"/>
      <c r="AE100" s="183"/>
      <c r="AF100" s="183"/>
      <c r="AG100" s="183"/>
      <c r="AH100" s="183"/>
      <c r="AI100" s="183"/>
      <c r="AJ100" s="183"/>
      <c r="AK100" s="183"/>
      <c r="AL100" s="183"/>
      <c r="AM100" s="183"/>
      <c r="AN100" s="183"/>
      <c r="AO100" s="183"/>
      <c r="AP100" s="183"/>
      <c r="AQ100" s="183"/>
      <c r="AR100" s="183"/>
      <c r="AS100" s="183"/>
      <c r="AT100" s="183"/>
      <c r="AU100" s="183"/>
      <c r="AV100" s="183"/>
      <c r="AW100" s="183"/>
      <c r="AX100" s="183"/>
      <c r="AY100" s="183"/>
      <c r="AZ100" s="183"/>
      <c r="BA100" s="183"/>
      <c r="BB100" s="183"/>
      <c r="BC100" s="183"/>
      <c r="BD100" s="183"/>
      <c r="BE100" s="183"/>
      <c r="BF100" s="183"/>
      <c r="BG100" s="183"/>
      <c r="BH100" s="183"/>
      <c r="BI100" s="183"/>
      <c r="BJ100" s="183"/>
      <c r="BK100" s="183"/>
      <c r="BL100" s="183"/>
      <c r="BM100" s="183"/>
      <c r="BN100" s="183"/>
      <c r="BO100" s="183"/>
      <c r="BP100" s="183"/>
      <c r="BQ100" s="183"/>
      <c r="BR100" s="183"/>
      <c r="BS100" s="183"/>
      <c r="BT100" s="183"/>
      <c r="BU100" s="183"/>
      <c r="BV100" s="183"/>
      <c r="BW100" s="183"/>
      <c r="BX100" s="183"/>
      <c r="BY100" s="183"/>
      <c r="BZ100" s="183"/>
      <c r="CA100" s="183"/>
      <c r="CB100" s="183"/>
      <c r="CC100" s="183"/>
      <c r="CD100" s="183"/>
      <c r="CE100" s="183"/>
      <c r="CF100" s="183"/>
      <c r="CG100" s="183"/>
      <c r="CH100" s="183"/>
      <c r="CI100" s="183"/>
      <c r="CJ100" s="183"/>
      <c r="CK100" s="183"/>
      <c r="CL100" s="183"/>
      <c r="CM100" s="183"/>
      <c r="CN100" s="183"/>
      <c r="CO100" s="183"/>
      <c r="CP100" s="183"/>
      <c r="CQ100" s="183"/>
      <c r="CR100" s="183"/>
      <c r="CS100" s="183"/>
      <c r="CT100" s="183"/>
      <c r="CU100" s="183"/>
      <c r="CV100" s="183"/>
      <c r="CW100" s="183"/>
      <c r="CX100" s="183"/>
      <c r="CY100" s="183"/>
      <c r="CZ100" s="183"/>
      <c r="DA100" s="183"/>
      <c r="DB100" s="183"/>
      <c r="DC100" s="183"/>
      <c r="DD100" s="183"/>
      <c r="DE100" s="183"/>
      <c r="DF100" s="183"/>
      <c r="DG100" s="183"/>
      <c r="DH100" s="183"/>
      <c r="DI100" s="183"/>
      <c r="DJ100" s="183"/>
      <c r="DK100" s="183"/>
      <c r="DL100" s="183"/>
      <c r="DM100" s="183"/>
      <c r="DN100" s="183"/>
      <c r="DO100" s="183"/>
      <c r="DP100" s="183"/>
      <c r="DQ100" s="183"/>
      <c r="DR100" s="183"/>
      <c r="DS100" s="183"/>
      <c r="DT100" s="183"/>
      <c r="DU100" s="183"/>
      <c r="DV100" s="183"/>
      <c r="DW100" s="183"/>
      <c r="DX100" s="183"/>
      <c r="DY100" s="183"/>
      <c r="DZ100" s="183"/>
      <c r="EA100" s="183"/>
      <c r="EB100" s="183"/>
      <c r="EC100" s="183"/>
      <c r="ED100" s="183"/>
      <c r="EE100" s="183"/>
      <c r="EF100" s="183"/>
      <c r="EG100" s="183"/>
      <c r="EH100" s="183"/>
      <c r="EI100" s="183"/>
      <c r="EJ100" s="183"/>
      <c r="EK100" s="183"/>
      <c r="EL100" s="183"/>
      <c r="EM100" s="183"/>
      <c r="EN100" s="183"/>
      <c r="EO100" s="183"/>
      <c r="EP100" s="183"/>
      <c r="EQ100" s="183"/>
      <c r="ER100" s="183"/>
      <c r="ES100" s="183"/>
      <c r="ET100" s="183"/>
      <c r="EU100" s="183"/>
      <c r="EV100" s="183"/>
      <c r="EW100" s="183"/>
      <c r="EX100" s="183"/>
      <c r="EY100" s="183"/>
      <c r="EZ100" s="183"/>
      <c r="FA100" s="183"/>
      <c r="FB100" s="183"/>
      <c r="FC100" s="183"/>
      <c r="FD100" s="183"/>
      <c r="FE100" s="183"/>
      <c r="FF100" s="183"/>
      <c r="FG100" s="183"/>
      <c r="FH100" s="183"/>
      <c r="FI100" s="183"/>
    </row>
    <row r="101" spans="2:165" ht="15" customHeight="1" collapsed="1">
      <c r="B101" s="400" t="s">
        <v>25</v>
      </c>
      <c r="C101" s="798" t="s">
        <v>25</v>
      </c>
      <c r="D101" s="799"/>
      <c r="E101" s="401">
        <f t="shared" ref="E101:P101" si="11">SUMIFS(E5:E100,$D$5:$D$100,"")</f>
        <v>140.94514000000001</v>
      </c>
      <c r="F101" s="401">
        <f t="shared" si="11"/>
        <v>128.92500000000001</v>
      </c>
      <c r="G101" s="401">
        <f t="shared" si="11"/>
        <v>143.06549999999999</v>
      </c>
      <c r="H101" s="401">
        <f t="shared" si="11"/>
        <v>139.46742</v>
      </c>
      <c r="I101" s="401">
        <f t="shared" si="11"/>
        <v>131.41812000000002</v>
      </c>
      <c r="J101" s="401">
        <f t="shared" si="11"/>
        <v>65.218779999999995</v>
      </c>
      <c r="K101" s="401">
        <f t="shared" si="11"/>
        <v>0</v>
      </c>
      <c r="L101" s="401">
        <f t="shared" si="11"/>
        <v>0</v>
      </c>
      <c r="M101" s="401">
        <f t="shared" si="11"/>
        <v>0</v>
      </c>
      <c r="N101" s="401">
        <f t="shared" si="11"/>
        <v>0</v>
      </c>
      <c r="O101" s="401">
        <f t="shared" si="11"/>
        <v>0</v>
      </c>
      <c r="P101" s="401">
        <f t="shared" si="11"/>
        <v>0</v>
      </c>
      <c r="Q101" s="401">
        <f>Q153+EQ153</f>
        <v>120.357</v>
      </c>
      <c r="R101" s="401">
        <f ca="1">SUMIFS(R5:R100,$D$5:$D$100,"")</f>
        <v>4.8011999999999997</v>
      </c>
      <c r="S101" s="401">
        <f ca="1">SUMIFS(S5:S100,$D$5:$D$100,"")</f>
        <v>65.218779999999995</v>
      </c>
      <c r="T101" s="401">
        <f>SUMIFS(T5:T100,$D$5:$D$100,"")</f>
        <v>749.03995999999995</v>
      </c>
      <c r="U101" s="402">
        <f>IFERROR(T101/$T$101,0)</f>
        <v>1</v>
      </c>
      <c r="V101" s="403">
        <f ca="1">IFERROR(S101/Q101,0)</f>
        <v>0.54187774703590152</v>
      </c>
      <c r="W101" s="401">
        <f>SUMIFS(W5:W100,$D$5:$D$100,"")</f>
        <v>53.94558</v>
      </c>
      <c r="X101" s="403">
        <f>IFERROR(W101/Q101,0)</f>
        <v>0.44821306612826839</v>
      </c>
      <c r="Y101" s="183"/>
      <c r="Z101" s="183"/>
      <c r="AA101" s="183"/>
      <c r="AB101" s="183"/>
      <c r="AC101" s="183"/>
      <c r="AD101" s="183"/>
      <c r="AE101" s="183"/>
      <c r="AF101" s="183"/>
      <c r="AG101" s="183"/>
      <c r="AH101" s="183"/>
      <c r="AI101" s="183"/>
      <c r="AJ101" s="183"/>
      <c r="AK101" s="183"/>
      <c r="AL101" s="183"/>
      <c r="AM101" s="183"/>
      <c r="AN101" s="183"/>
      <c r="AO101" s="183"/>
      <c r="AP101" s="183"/>
      <c r="AQ101" s="183"/>
      <c r="AR101" s="183"/>
      <c r="AS101" s="183"/>
      <c r="AT101" s="183"/>
      <c r="AU101" s="183"/>
      <c r="AV101" s="183"/>
      <c r="AW101" s="183"/>
      <c r="AX101" s="183"/>
      <c r="AY101" s="183"/>
      <c r="AZ101" s="183"/>
      <c r="BA101" s="183"/>
      <c r="BB101" s="183"/>
      <c r="BC101" s="183"/>
      <c r="BD101" s="183"/>
      <c r="BE101" s="183"/>
      <c r="BF101" s="183"/>
      <c r="BG101" s="183"/>
      <c r="BH101" s="183"/>
      <c r="BI101" s="183"/>
      <c r="BJ101" s="183"/>
      <c r="BK101" s="183"/>
      <c r="BL101" s="183"/>
      <c r="BM101" s="183"/>
      <c r="BN101" s="183"/>
      <c r="BO101" s="183"/>
      <c r="BP101" s="183"/>
      <c r="BQ101" s="183"/>
      <c r="BR101" s="183"/>
      <c r="BS101" s="183"/>
      <c r="BT101" s="183"/>
      <c r="BU101" s="183"/>
      <c r="BV101" s="183"/>
      <c r="BW101" s="183"/>
      <c r="BX101" s="183"/>
      <c r="BY101" s="183"/>
      <c r="BZ101" s="183"/>
      <c r="CA101" s="183"/>
      <c r="CB101" s="183"/>
      <c r="CC101" s="183"/>
      <c r="CD101" s="183"/>
      <c r="CE101" s="183"/>
      <c r="CF101" s="183"/>
      <c r="CG101" s="183"/>
      <c r="CH101" s="183"/>
      <c r="CI101" s="183"/>
      <c r="CJ101" s="183"/>
      <c r="CK101" s="183"/>
      <c r="CL101" s="183"/>
      <c r="CM101" s="183"/>
      <c r="CN101" s="183"/>
      <c r="CO101" s="183"/>
      <c r="CP101" s="183"/>
      <c r="CQ101" s="183"/>
      <c r="CR101" s="183"/>
      <c r="CS101" s="183"/>
      <c r="CT101" s="183"/>
      <c r="CU101" s="183"/>
      <c r="CV101" s="183"/>
      <c r="CW101" s="183"/>
      <c r="CX101" s="183"/>
      <c r="CY101" s="183"/>
      <c r="CZ101" s="183"/>
      <c r="DA101" s="183"/>
      <c r="DB101" s="183"/>
      <c r="DC101" s="183"/>
      <c r="DD101" s="183"/>
      <c r="DE101" s="183"/>
      <c r="DF101" s="183"/>
      <c r="DG101" s="183"/>
      <c r="DH101" s="183"/>
      <c r="DI101" s="183"/>
      <c r="DJ101" s="183"/>
      <c r="DK101" s="183"/>
      <c r="DL101" s="183"/>
      <c r="DM101" s="183"/>
      <c r="DN101" s="183"/>
      <c r="DO101" s="183"/>
      <c r="DP101" s="183"/>
      <c r="DQ101" s="183"/>
      <c r="DR101" s="183"/>
      <c r="DS101" s="183"/>
      <c r="DT101" s="183"/>
      <c r="DU101" s="183"/>
      <c r="DV101" s="183"/>
      <c r="DW101" s="183"/>
      <c r="DX101" s="183"/>
      <c r="DY101" s="183"/>
      <c r="DZ101" s="183"/>
      <c r="EA101" s="183"/>
      <c r="EB101" s="183"/>
      <c r="EC101" s="183"/>
      <c r="ED101" s="183"/>
      <c r="EE101" s="183"/>
      <c r="EF101" s="183"/>
      <c r="EG101" s="183"/>
      <c r="EH101" s="183"/>
      <c r="EI101" s="183"/>
      <c r="EJ101" s="183"/>
      <c r="EK101" s="183"/>
      <c r="EL101" s="183"/>
      <c r="EM101" s="183"/>
      <c r="EN101" s="183"/>
      <c r="EO101" s="183"/>
      <c r="EP101" s="183"/>
      <c r="EQ101" s="183"/>
      <c r="ER101" s="183"/>
      <c r="ES101" s="183"/>
      <c r="ET101" s="183"/>
      <c r="EU101" s="183"/>
      <c r="EV101" s="183"/>
      <c r="EW101" s="183"/>
      <c r="EX101" s="183"/>
      <c r="EY101" s="183"/>
      <c r="EZ101" s="183"/>
      <c r="FA101" s="183"/>
      <c r="FB101" s="183"/>
      <c r="FC101" s="183"/>
      <c r="FD101" s="183"/>
      <c r="FE101" s="183"/>
      <c r="FF101" s="183"/>
      <c r="FG101" s="183"/>
      <c r="FH101" s="183"/>
      <c r="FI101" s="183"/>
    </row>
    <row r="102" spans="2:165" hidden="1">
      <c r="B102" s="126" t="s">
        <v>102</v>
      </c>
      <c r="C102" s="131" t="s">
        <v>103</v>
      </c>
      <c r="D102" s="127">
        <f>AB153</f>
        <v>0</v>
      </c>
      <c r="E102" s="127">
        <f>AL153</f>
        <v>0</v>
      </c>
      <c r="F102" s="127">
        <f>AV153</f>
        <v>0</v>
      </c>
      <c r="G102" s="127">
        <f>BF153</f>
        <v>0</v>
      </c>
      <c r="H102" s="127">
        <f>BP153</f>
        <v>0</v>
      </c>
      <c r="I102" s="127">
        <f>BZ153</f>
        <v>0</v>
      </c>
      <c r="J102" s="127">
        <f>CJ153</f>
        <v>0</v>
      </c>
      <c r="K102" s="127">
        <f>CT153</f>
        <v>0</v>
      </c>
      <c r="L102" s="127">
        <f>DD153</f>
        <v>0</v>
      </c>
      <c r="M102" s="127">
        <f>DN153</f>
        <v>0</v>
      </c>
      <c r="N102" s="127">
        <f>DX153</f>
        <v>0</v>
      </c>
      <c r="O102" s="127">
        <f>EH153</f>
        <v>0</v>
      </c>
      <c r="P102" s="127"/>
      <c r="Q102" s="128"/>
      <c r="R102" s="127"/>
      <c r="S102" s="127"/>
      <c r="T102" s="129"/>
      <c r="U102" s="130"/>
      <c r="W102" s="183"/>
      <c r="X102" s="186"/>
      <c r="Y102" s="183"/>
      <c r="Z102" s="183"/>
      <c r="AA102" s="183"/>
      <c r="AB102" s="183"/>
      <c r="AC102" s="183"/>
      <c r="AD102" s="183"/>
      <c r="AE102" s="183"/>
      <c r="AF102" s="183"/>
      <c r="AG102" s="183"/>
      <c r="AH102" s="183"/>
      <c r="AI102" s="183"/>
      <c r="AJ102" s="183"/>
      <c r="AK102" s="183"/>
      <c r="AL102" s="183"/>
      <c r="AM102" s="183"/>
      <c r="AN102" s="183"/>
      <c r="AO102" s="183"/>
      <c r="AP102" s="183"/>
      <c r="AQ102" s="183"/>
      <c r="AR102" s="183"/>
      <c r="AS102" s="183"/>
      <c r="AT102" s="183"/>
      <c r="AU102" s="183"/>
      <c r="AV102" s="183"/>
      <c r="AW102" s="183"/>
      <c r="AX102" s="183"/>
      <c r="AY102" s="183"/>
      <c r="AZ102" s="183"/>
      <c r="BA102" s="183"/>
      <c r="BB102" s="183"/>
      <c r="BC102" s="183"/>
      <c r="BD102" s="183"/>
      <c r="BE102" s="183"/>
      <c r="BF102" s="183"/>
      <c r="BG102" s="183"/>
      <c r="BH102" s="183"/>
      <c r="BI102" s="183"/>
      <c r="BJ102" s="183"/>
      <c r="BK102" s="183"/>
      <c r="BL102" s="183"/>
      <c r="BM102" s="183"/>
      <c r="BN102" s="183"/>
      <c r="BO102" s="183"/>
      <c r="BP102" s="183"/>
      <c r="BQ102" s="183"/>
      <c r="BR102" s="183"/>
      <c r="BS102" s="183"/>
      <c r="BT102" s="183"/>
      <c r="BU102" s="183"/>
      <c r="BV102" s="183"/>
      <c r="BW102" s="183"/>
      <c r="BX102" s="183"/>
      <c r="BY102" s="183"/>
      <c r="BZ102" s="183"/>
      <c r="CA102" s="183"/>
      <c r="CB102" s="183"/>
      <c r="CC102" s="183"/>
      <c r="CD102" s="183"/>
      <c r="CE102" s="183"/>
      <c r="CF102" s="183"/>
      <c r="CG102" s="183"/>
      <c r="CH102" s="183"/>
      <c r="CI102" s="183"/>
      <c r="CJ102" s="183"/>
      <c r="CK102" s="183"/>
      <c r="CL102" s="183"/>
      <c r="CM102" s="183"/>
      <c r="CN102" s="183"/>
      <c r="CO102" s="183"/>
      <c r="CP102" s="183"/>
      <c r="CQ102" s="183"/>
      <c r="CR102" s="183"/>
      <c r="CS102" s="183"/>
      <c r="CT102" s="183"/>
      <c r="CU102" s="183"/>
      <c r="CV102" s="183"/>
      <c r="CW102" s="183"/>
      <c r="CX102" s="183"/>
      <c r="CY102" s="183"/>
      <c r="CZ102" s="183"/>
      <c r="DA102" s="183"/>
      <c r="DB102" s="183"/>
      <c r="DC102" s="183"/>
      <c r="DD102" s="183"/>
      <c r="DE102" s="183"/>
      <c r="DF102" s="183"/>
      <c r="DG102" s="183"/>
      <c r="DH102" s="183"/>
      <c r="DI102" s="183"/>
      <c r="DJ102" s="183"/>
      <c r="DK102" s="183"/>
      <c r="DL102" s="183"/>
      <c r="DM102" s="183"/>
      <c r="DN102" s="183"/>
      <c r="DO102" s="183"/>
      <c r="DP102" s="183"/>
      <c r="DQ102" s="183"/>
      <c r="DR102" s="183"/>
      <c r="DS102" s="183"/>
      <c r="DT102" s="183"/>
      <c r="DU102" s="183"/>
      <c r="DV102" s="183"/>
      <c r="DW102" s="183"/>
      <c r="DX102" s="183"/>
      <c r="DY102" s="183"/>
      <c r="DZ102" s="183"/>
      <c r="EA102" s="183"/>
      <c r="EB102" s="183"/>
      <c r="EC102" s="183"/>
      <c r="ED102" s="183"/>
      <c r="EE102" s="183"/>
      <c r="EF102" s="183"/>
      <c r="EG102" s="183"/>
      <c r="EH102" s="183"/>
      <c r="EI102" s="183"/>
      <c r="EJ102" s="183"/>
      <c r="EK102" s="183"/>
      <c r="EL102" s="183"/>
      <c r="EM102" s="183"/>
      <c r="EN102" s="183"/>
      <c r="EO102" s="183"/>
      <c r="EP102" s="183"/>
      <c r="EQ102" s="183"/>
      <c r="ER102" s="183"/>
      <c r="ES102" s="183"/>
      <c r="ET102" s="183"/>
      <c r="EU102" s="183"/>
      <c r="EV102" s="183"/>
      <c r="EW102" s="183"/>
      <c r="EX102" s="183"/>
      <c r="EY102" s="183"/>
      <c r="EZ102" s="183"/>
      <c r="FA102" s="183"/>
      <c r="FB102" s="183"/>
      <c r="FC102" s="183"/>
      <c r="FD102" s="183"/>
      <c r="FE102" s="183"/>
      <c r="FF102" s="183"/>
      <c r="FG102" s="183"/>
      <c r="FH102" s="183"/>
      <c r="FI102" s="183"/>
    </row>
    <row r="103" spans="2:165">
      <c r="W103" s="183"/>
      <c r="X103" s="186"/>
      <c r="Y103" s="183"/>
      <c r="Z103" s="183"/>
      <c r="AA103" s="183"/>
      <c r="AB103" s="183"/>
      <c r="AC103" s="183"/>
      <c r="AD103" s="183"/>
      <c r="AE103" s="183"/>
      <c r="AF103" s="183"/>
      <c r="AG103" s="183"/>
      <c r="AH103" s="183"/>
      <c r="AI103" s="183"/>
      <c r="AJ103" s="183"/>
      <c r="AK103" s="183"/>
      <c r="AL103" s="183"/>
      <c r="AM103" s="183"/>
      <c r="AN103" s="183"/>
      <c r="AO103" s="183"/>
      <c r="AP103" s="183"/>
      <c r="AQ103" s="183"/>
      <c r="AR103" s="183"/>
      <c r="AS103" s="183"/>
      <c r="AT103" s="183"/>
      <c r="AU103" s="183"/>
      <c r="AV103" s="183"/>
      <c r="AW103" s="183"/>
      <c r="AX103" s="183"/>
      <c r="AY103" s="183"/>
      <c r="AZ103" s="183"/>
      <c r="BA103" s="183"/>
      <c r="BB103" s="183"/>
      <c r="BC103" s="183"/>
      <c r="BD103" s="183"/>
      <c r="BE103" s="183"/>
      <c r="BF103" s="183"/>
      <c r="BG103" s="183"/>
      <c r="BH103" s="183"/>
      <c r="BI103" s="183"/>
      <c r="BJ103" s="183"/>
      <c r="BK103" s="183"/>
      <c r="BL103" s="183"/>
      <c r="BM103" s="183"/>
      <c r="BN103" s="183"/>
      <c r="BO103" s="183"/>
      <c r="BP103" s="183"/>
      <c r="BQ103" s="183"/>
      <c r="BR103" s="183"/>
      <c r="BS103" s="183"/>
      <c r="BT103" s="183"/>
      <c r="BU103" s="183"/>
      <c r="BV103" s="183"/>
      <c r="BW103" s="183"/>
      <c r="BX103" s="183"/>
      <c r="BY103" s="183"/>
      <c r="BZ103" s="183"/>
      <c r="CA103" s="183"/>
      <c r="CB103" s="183"/>
      <c r="CC103" s="183"/>
      <c r="CD103" s="183"/>
      <c r="CE103" s="183"/>
      <c r="CF103" s="183"/>
      <c r="CG103" s="183"/>
      <c r="CH103" s="183"/>
      <c r="CI103" s="183"/>
      <c r="CJ103" s="183"/>
      <c r="CK103" s="183"/>
      <c r="CL103" s="183"/>
      <c r="CM103" s="183"/>
      <c r="CN103" s="183"/>
      <c r="CO103" s="183"/>
      <c r="CP103" s="183"/>
      <c r="CQ103" s="183"/>
      <c r="CR103" s="183"/>
      <c r="CS103" s="183"/>
      <c r="CT103" s="183"/>
      <c r="CU103" s="183"/>
      <c r="CV103" s="183"/>
      <c r="CW103" s="183"/>
      <c r="CX103" s="183"/>
      <c r="CY103" s="183"/>
      <c r="CZ103" s="183"/>
      <c r="DA103" s="183"/>
      <c r="DB103" s="183"/>
      <c r="DC103" s="183"/>
      <c r="DD103" s="183"/>
      <c r="DE103" s="183"/>
      <c r="DF103" s="183"/>
      <c r="DG103" s="183"/>
      <c r="DH103" s="183"/>
      <c r="DI103" s="183"/>
      <c r="DJ103" s="183"/>
      <c r="DK103" s="183"/>
      <c r="DL103" s="183"/>
      <c r="DM103" s="183"/>
      <c r="DN103" s="183"/>
      <c r="DO103" s="183"/>
      <c r="DP103" s="183"/>
      <c r="DQ103" s="183"/>
      <c r="DR103" s="183"/>
      <c r="DS103" s="183"/>
      <c r="DT103" s="183"/>
      <c r="DU103" s="183"/>
      <c r="DV103" s="183"/>
      <c r="DW103" s="183"/>
      <c r="DX103" s="183"/>
      <c r="DY103" s="183"/>
      <c r="DZ103" s="183"/>
      <c r="EA103" s="183"/>
      <c r="EB103" s="183"/>
      <c r="EC103" s="183"/>
      <c r="ED103" s="183"/>
      <c r="EE103" s="183"/>
      <c r="EF103" s="183"/>
      <c r="EG103" s="183"/>
      <c r="EH103" s="183"/>
      <c r="EI103" s="183"/>
      <c r="EJ103" s="183"/>
      <c r="EK103" s="183"/>
      <c r="EL103" s="183"/>
      <c r="EM103" s="183"/>
      <c r="EN103" s="183"/>
      <c r="EO103" s="183"/>
      <c r="EP103" s="183"/>
      <c r="EQ103" s="183"/>
      <c r="ER103" s="183"/>
      <c r="ES103" s="183"/>
      <c r="ET103" s="183"/>
      <c r="EU103" s="183"/>
      <c r="EV103" s="183"/>
      <c r="EW103" s="183"/>
      <c r="EX103" s="183"/>
      <c r="EY103" s="183"/>
      <c r="EZ103" s="183"/>
      <c r="FA103" s="183"/>
      <c r="FB103" s="183"/>
      <c r="FC103" s="183"/>
      <c r="FD103" s="183"/>
      <c r="FE103" s="183"/>
      <c r="FF103" s="183"/>
      <c r="FG103" s="183"/>
      <c r="FH103" s="183"/>
      <c r="FI103" s="183"/>
    </row>
    <row r="104" spans="2:165" ht="16.5" thickBot="1">
      <c r="B104" s="28" t="s">
        <v>110</v>
      </c>
    </row>
    <row r="105" spans="2:165">
      <c r="B105" s="29"/>
      <c r="C105" s="30"/>
      <c r="D105" s="30"/>
      <c r="E105" s="30"/>
      <c r="F105" s="30"/>
      <c r="G105" s="30"/>
      <c r="H105" s="30"/>
      <c r="I105" s="30"/>
      <c r="J105" s="30"/>
      <c r="K105" s="30"/>
      <c r="L105" s="30"/>
      <c r="M105" s="30"/>
      <c r="N105" s="30"/>
      <c r="O105" s="30"/>
      <c r="P105" s="30"/>
      <c r="Q105" s="30"/>
      <c r="R105" s="30"/>
      <c r="S105" s="30"/>
      <c r="T105" s="30"/>
      <c r="U105" s="31"/>
      <c r="V105" s="183"/>
      <c r="W105" s="183"/>
      <c r="X105" s="186"/>
      <c r="Y105" s="183"/>
      <c r="Z105" s="183"/>
      <c r="AA105" s="183"/>
      <c r="AB105" s="183"/>
      <c r="AC105" s="183"/>
      <c r="AD105" s="183"/>
      <c r="AE105" s="183"/>
      <c r="AF105" s="183"/>
      <c r="AG105" s="183"/>
      <c r="AH105" s="183"/>
      <c r="AI105" s="183"/>
      <c r="AJ105" s="183"/>
      <c r="AK105" s="183"/>
      <c r="AL105" s="183"/>
      <c r="AM105" s="183"/>
      <c r="AN105" s="183"/>
      <c r="AO105" s="183"/>
      <c r="AP105" s="183"/>
      <c r="AQ105" s="183"/>
      <c r="AR105" s="183"/>
      <c r="AS105" s="183"/>
      <c r="AT105" s="150"/>
      <c r="AU105" s="150"/>
      <c r="AV105" s="150"/>
      <c r="AW105" s="150"/>
      <c r="AX105" s="150"/>
      <c r="AY105" s="150"/>
      <c r="AZ105" s="150"/>
      <c r="BA105" s="150"/>
      <c r="BB105" s="150"/>
      <c r="BC105" s="150"/>
      <c r="BD105" s="150"/>
      <c r="BE105" s="150"/>
      <c r="BF105" s="150"/>
      <c r="BG105" s="150"/>
      <c r="BH105" s="150"/>
      <c r="BI105" s="150"/>
      <c r="BJ105" s="150"/>
      <c r="BK105" s="150"/>
      <c r="BL105" s="150"/>
      <c r="BM105" s="150"/>
    </row>
    <row r="106" spans="2:165">
      <c r="B106" s="34"/>
      <c r="C106" s="43" t="s">
        <v>265</v>
      </c>
      <c r="D106" s="43"/>
      <c r="H106" s="33" t="s">
        <v>266</v>
      </c>
      <c r="I106" s="33"/>
      <c r="M106" s="33" t="s">
        <v>267</v>
      </c>
      <c r="N106" s="33"/>
      <c r="R106" s="33" t="s">
        <v>268</v>
      </c>
      <c r="S106" s="33"/>
      <c r="T106" s="33"/>
      <c r="U106" s="35"/>
      <c r="V106" s="183"/>
      <c r="W106" s="189" t="s">
        <v>269</v>
      </c>
      <c r="X106" s="189" t="s">
        <v>116</v>
      </c>
      <c r="Y106" s="189" t="s">
        <v>117</v>
      </c>
      <c r="Z106" s="150" t="s">
        <v>80</v>
      </c>
      <c r="AA106" s="150"/>
      <c r="AB106" s="150"/>
      <c r="AC106" s="150"/>
      <c r="AD106" s="150"/>
      <c r="AE106" s="150"/>
      <c r="AF106" s="150"/>
      <c r="AG106" s="150"/>
      <c r="AH106" s="150"/>
      <c r="AI106" s="189" t="s">
        <v>80</v>
      </c>
      <c r="AJ106" s="185"/>
      <c r="AK106" s="185"/>
      <c r="AL106" s="185"/>
      <c r="AM106" s="185"/>
      <c r="AN106" s="185"/>
      <c r="AO106" s="185"/>
      <c r="AP106" s="185"/>
      <c r="AQ106" s="185"/>
      <c r="AR106" s="185"/>
      <c r="AS106" s="185"/>
      <c r="AT106" s="176"/>
      <c r="AU106" s="176"/>
      <c r="AV106" s="176"/>
      <c r="AW106" s="176"/>
      <c r="AX106" s="176"/>
      <c r="AY106" s="176"/>
      <c r="AZ106" s="176"/>
      <c r="BA106" s="176"/>
      <c r="BB106" s="176"/>
      <c r="BC106" s="176"/>
      <c r="BD106" s="176"/>
      <c r="BE106" s="176"/>
      <c r="BF106" s="176"/>
      <c r="BG106" s="176"/>
      <c r="BH106" s="176"/>
      <c r="BI106" s="176"/>
      <c r="BJ106" s="176"/>
      <c r="BK106" s="176"/>
      <c r="BL106" s="176"/>
      <c r="BM106" s="176"/>
      <c r="BN106" s="176"/>
      <c r="BO106" s="176"/>
      <c r="BP106" s="176"/>
      <c r="BQ106" s="176"/>
      <c r="BR106" s="176"/>
      <c r="BS106" s="176"/>
      <c r="BT106" s="176"/>
      <c r="BU106" s="176"/>
      <c r="BV106" s="176"/>
      <c r="BW106" s="176"/>
    </row>
    <row r="107" spans="2:165">
      <c r="B107" s="34"/>
      <c r="C107" s="768" t="s">
        <v>270</v>
      </c>
      <c r="D107" s="805" t="s">
        <v>116</v>
      </c>
      <c r="E107" s="805" t="s">
        <v>117</v>
      </c>
      <c r="F107" s="806" t="s">
        <v>118</v>
      </c>
      <c r="H107" s="768" t="s">
        <v>270</v>
      </c>
      <c r="I107" s="771" t="s">
        <v>116</v>
      </c>
      <c r="J107" s="771" t="s">
        <v>117</v>
      </c>
      <c r="K107" s="767" t="s">
        <v>118</v>
      </c>
      <c r="M107" s="768" t="s">
        <v>119</v>
      </c>
      <c r="N107" s="769" t="s">
        <v>78</v>
      </c>
      <c r="O107" s="800" t="s">
        <v>271</v>
      </c>
      <c r="P107" s="800" t="s">
        <v>272</v>
      </c>
      <c r="R107" s="768" t="s">
        <v>122</v>
      </c>
      <c r="S107" s="769" t="s">
        <v>78</v>
      </c>
      <c r="T107" s="800" t="s">
        <v>271</v>
      </c>
      <c r="U107" s="822" t="s">
        <v>272</v>
      </c>
      <c r="V107" s="183"/>
      <c r="W107" s="189" t="s">
        <v>44</v>
      </c>
      <c r="X107" s="190">
        <v>4.8857600000000003</v>
      </c>
      <c r="Y107" s="190">
        <v>62.644599999999997</v>
      </c>
      <c r="Z107" s="150">
        <v>54.756860000000003</v>
      </c>
      <c r="AA107" s="150"/>
      <c r="AB107" s="150"/>
      <c r="AC107" s="150"/>
      <c r="AD107" s="150"/>
      <c r="AE107" s="150"/>
      <c r="AF107" s="150"/>
      <c r="AG107" s="150"/>
      <c r="AH107" s="150"/>
      <c r="AI107" s="191">
        <f>X107+Y107</f>
        <v>67.530360000000002</v>
      </c>
      <c r="AJ107" s="185"/>
      <c r="AK107" s="185"/>
      <c r="AL107" s="185"/>
      <c r="AM107" s="185"/>
      <c r="AN107" s="185"/>
      <c r="AO107" s="185"/>
      <c r="AP107" s="185"/>
      <c r="AQ107" s="185"/>
      <c r="AR107" s="185"/>
      <c r="AS107" s="185"/>
      <c r="AT107" s="176"/>
      <c r="AU107" s="176"/>
      <c r="AV107" s="176"/>
      <c r="AW107" s="176"/>
      <c r="AX107" s="176"/>
      <c r="AY107" s="176"/>
      <c r="AZ107" s="176"/>
      <c r="BA107" s="176"/>
      <c r="BB107" s="176"/>
      <c r="BC107" s="176"/>
      <c r="BD107" s="176"/>
      <c r="BE107" s="176"/>
      <c r="BF107" s="176"/>
      <c r="BG107" s="176"/>
      <c r="BH107" s="176"/>
      <c r="BI107" s="176"/>
      <c r="BJ107" s="176"/>
      <c r="BK107" s="176"/>
      <c r="BL107" s="176"/>
      <c r="BM107" s="176"/>
      <c r="BN107" s="176"/>
      <c r="BO107" s="176"/>
      <c r="BP107" s="176"/>
      <c r="BQ107" s="176"/>
      <c r="BR107" s="176"/>
      <c r="BS107" s="176"/>
      <c r="BT107" s="176"/>
      <c r="BU107" s="176"/>
      <c r="BV107" s="176"/>
      <c r="BW107" s="176"/>
    </row>
    <row r="108" spans="2:165">
      <c r="B108" s="34"/>
      <c r="C108" s="768"/>
      <c r="D108" s="805"/>
      <c r="E108" s="805"/>
      <c r="F108" s="806"/>
      <c r="H108" s="768"/>
      <c r="I108" s="771"/>
      <c r="J108" s="771"/>
      <c r="K108" s="767"/>
      <c r="M108" s="768"/>
      <c r="N108" s="769"/>
      <c r="O108" s="800"/>
      <c r="P108" s="800"/>
      <c r="R108" s="768"/>
      <c r="S108" s="769"/>
      <c r="T108" s="800"/>
      <c r="U108" s="822"/>
      <c r="V108" s="183"/>
      <c r="W108" s="189" t="s">
        <v>123</v>
      </c>
      <c r="X108" s="190">
        <v>6.1067999999999998</v>
      </c>
      <c r="Y108" s="190">
        <v>38.117780000000003</v>
      </c>
      <c r="Z108" s="150">
        <v>37.238419999999998</v>
      </c>
      <c r="AA108" s="150"/>
      <c r="AB108" s="150"/>
      <c r="AC108" s="150"/>
      <c r="AD108" s="150"/>
      <c r="AE108" s="150"/>
      <c r="AF108" s="150"/>
      <c r="AG108" s="150"/>
      <c r="AH108" s="150"/>
      <c r="AI108" s="191">
        <f>X108+Y108</f>
        <v>44.224580000000003</v>
      </c>
      <c r="AJ108" s="185"/>
      <c r="AK108" s="185"/>
      <c r="AL108" s="185"/>
      <c r="AM108" s="185"/>
      <c r="AN108" s="185"/>
      <c r="AO108" s="185"/>
      <c r="AP108" s="185"/>
      <c r="AQ108" s="185"/>
      <c r="AR108" s="185"/>
      <c r="AS108" s="185"/>
      <c r="AT108" s="176"/>
      <c r="AU108" s="176"/>
      <c r="AV108" s="176"/>
      <c r="AW108" s="176"/>
      <c r="AX108" s="176"/>
      <c r="AY108" s="176"/>
      <c r="AZ108" s="176"/>
      <c r="BA108" s="176"/>
      <c r="BB108" s="176"/>
      <c r="BC108" s="176"/>
      <c r="BD108" s="176"/>
      <c r="BE108" s="176"/>
      <c r="BF108" s="176"/>
      <c r="BG108" s="176"/>
      <c r="BH108" s="176"/>
      <c r="BI108" s="176"/>
      <c r="BJ108" s="176"/>
      <c r="BK108" s="176"/>
      <c r="BL108" s="176"/>
      <c r="BM108" s="176"/>
      <c r="BN108" s="176"/>
      <c r="BO108" s="176"/>
      <c r="BP108" s="176"/>
      <c r="BQ108" s="176"/>
      <c r="BR108" s="176"/>
      <c r="BS108" s="176"/>
      <c r="BT108" s="176"/>
      <c r="BU108" s="176"/>
      <c r="BV108" s="176"/>
      <c r="BW108" s="176"/>
    </row>
    <row r="109" spans="2:165">
      <c r="B109" s="34"/>
      <c r="C109" s="36" t="s">
        <v>44</v>
      </c>
      <c r="D109" s="122">
        <f ca="1">FP134</f>
        <v>5.9689678727487608E-3</v>
      </c>
      <c r="E109" s="122">
        <f>U134</f>
        <v>5.6926023209940821E-2</v>
      </c>
      <c r="F109" s="122">
        <f>U16</f>
        <v>4.688732494325136E-2</v>
      </c>
      <c r="H109" s="36" t="s">
        <v>44</v>
      </c>
      <c r="I109" s="38">
        <f>IFERROR(X115/X107-1,0)</f>
        <v>-0.47397743646843071</v>
      </c>
      <c r="J109" s="122">
        <f t="shared" ref="I109:J112" si="12">IFERROR(Y115/Y107-1,0)</f>
        <v>-0.30258186659344932</v>
      </c>
      <c r="K109" s="122">
        <f>IFERROR(AI115/AI107-1,0)</f>
        <v>-0.31498217986695165</v>
      </c>
      <c r="M109" s="36" t="s">
        <v>124</v>
      </c>
      <c r="N109" s="120">
        <f ca="1">FH159</f>
        <v>36.03</v>
      </c>
      <c r="O109" s="37">
        <f t="shared" ref="O109:O114" ca="1" si="13">IFERROR(N109/$N$114,0)</f>
        <v>0.24416656727422556</v>
      </c>
      <c r="P109" s="38">
        <f>'% Growth'!E5</f>
        <v>-0.18959398698693097</v>
      </c>
      <c r="R109" s="135" t="s">
        <v>125</v>
      </c>
      <c r="S109" s="120">
        <f>T159</f>
        <v>509.90932000000004</v>
      </c>
      <c r="T109" s="122">
        <f t="shared" ref="T109:T115" si="14">IFERROR(S109/$S$115,0)</f>
        <v>0.84776229758237021</v>
      </c>
      <c r="U109" s="142">
        <f>'% Growth'!E22</f>
        <v>3.3485298474478453E-2</v>
      </c>
      <c r="V109" s="183"/>
      <c r="W109" s="189" t="s">
        <v>128</v>
      </c>
      <c r="X109" s="190">
        <v>85.636439999999993</v>
      </c>
      <c r="Y109" s="190">
        <v>201.08099999999999</v>
      </c>
      <c r="Z109" s="150">
        <v>233.72678000000002</v>
      </c>
      <c r="AA109" s="150"/>
      <c r="AB109" s="150"/>
      <c r="AC109" s="150"/>
      <c r="AD109" s="150"/>
      <c r="AE109" s="150"/>
      <c r="AF109" s="150"/>
      <c r="AG109" s="150"/>
      <c r="AH109" s="150"/>
      <c r="AI109" s="191">
        <f>X109+Y109</f>
        <v>286.71744000000001</v>
      </c>
      <c r="AJ109" s="185"/>
      <c r="AK109" s="185"/>
      <c r="AL109" s="185"/>
      <c r="AM109" s="185"/>
      <c r="AN109" s="185"/>
      <c r="AO109" s="185"/>
      <c r="AP109" s="185"/>
      <c r="AQ109" s="185"/>
      <c r="AR109" s="185"/>
      <c r="AS109" s="185"/>
      <c r="AT109" s="176"/>
      <c r="AU109" s="176"/>
      <c r="AV109" s="176"/>
      <c r="AW109" s="176"/>
      <c r="AX109" s="176"/>
      <c r="AY109" s="176"/>
      <c r="AZ109" s="176"/>
      <c r="BA109" s="176"/>
      <c r="BB109" s="176"/>
      <c r="BC109" s="176"/>
      <c r="BD109" s="176"/>
      <c r="BE109" s="176"/>
      <c r="BF109" s="176"/>
      <c r="BG109" s="176"/>
      <c r="BH109" s="176"/>
      <c r="BI109" s="176"/>
      <c r="BJ109" s="176"/>
      <c r="BK109" s="176"/>
      <c r="BL109" s="176"/>
      <c r="BM109" s="176"/>
      <c r="BN109" s="176"/>
      <c r="BO109" s="176"/>
      <c r="BP109" s="176"/>
      <c r="BQ109" s="176"/>
      <c r="BR109" s="176"/>
      <c r="BS109" s="176"/>
      <c r="BT109" s="176"/>
      <c r="BU109" s="176"/>
      <c r="BV109" s="176"/>
      <c r="BW109" s="176"/>
    </row>
    <row r="110" spans="2:165">
      <c r="B110" s="34"/>
      <c r="C110" s="36" t="s">
        <v>123</v>
      </c>
      <c r="D110" s="122">
        <f ca="1">FP137</f>
        <v>2.8475934379303242E-3</v>
      </c>
      <c r="E110" s="122">
        <f>U137</f>
        <v>1.6647492747683221E-2</v>
      </c>
      <c r="F110" s="122">
        <f>U27</f>
        <v>1.3928869696084039E-2</v>
      </c>
      <c r="H110" s="36" t="s">
        <v>123</v>
      </c>
      <c r="I110" s="38">
        <f t="shared" si="12"/>
        <v>-0.4204755354686579</v>
      </c>
      <c r="J110" s="122">
        <f t="shared" si="12"/>
        <v>-0.32722629701939632</v>
      </c>
      <c r="K110" s="122">
        <f>IFERROR(AI116/AI108-1,0)</f>
        <v>-0.34010272115642481</v>
      </c>
      <c r="M110" s="36" t="s">
        <v>126</v>
      </c>
      <c r="N110" s="120">
        <f ca="1">FH165</f>
        <v>47.967999999999996</v>
      </c>
      <c r="O110" s="37">
        <f t="shared" ca="1" si="13"/>
        <v>0.32506749650319322</v>
      </c>
      <c r="P110" s="38">
        <f>'% Growth'!E6</f>
        <v>-9.8815375869448885E-2</v>
      </c>
      <c r="R110" s="136" t="s">
        <v>273</v>
      </c>
      <c r="S110" s="120">
        <f>T165</f>
        <v>18.03</v>
      </c>
      <c r="T110" s="122">
        <f t="shared" si="14"/>
        <v>2.9976220527622704E-2</v>
      </c>
      <c r="U110" s="142">
        <f>'% Growth'!E23</f>
        <v>3.8701354547409084E-2</v>
      </c>
      <c r="V110" s="183"/>
      <c r="W110" s="189" t="s">
        <v>47</v>
      </c>
      <c r="X110" s="190">
        <v>99.860979999999998</v>
      </c>
      <c r="Y110" s="190">
        <v>316.73988000000003</v>
      </c>
      <c r="Z110" s="150">
        <v>337.89048000000003</v>
      </c>
      <c r="AA110" s="150"/>
      <c r="AB110" s="150"/>
      <c r="AC110" s="150"/>
      <c r="AD110" s="150"/>
      <c r="AE110" s="150"/>
      <c r="AF110" s="150"/>
      <c r="AG110" s="150"/>
      <c r="AH110" s="150"/>
      <c r="AI110" s="191">
        <f>X110+Y110</f>
        <v>416.60086000000001</v>
      </c>
      <c r="AJ110" s="185"/>
      <c r="AK110" s="185"/>
      <c r="AL110" s="185"/>
      <c r="AM110" s="185"/>
      <c r="AN110" s="185"/>
      <c r="AO110" s="185"/>
      <c r="AP110" s="185"/>
      <c r="AQ110" s="185"/>
      <c r="AR110" s="185"/>
      <c r="AS110" s="185"/>
      <c r="AT110" s="176"/>
      <c r="AU110" s="176"/>
      <c r="AV110" s="176"/>
      <c r="AW110" s="176"/>
      <c r="AX110" s="176"/>
      <c r="AY110" s="176"/>
      <c r="AZ110" s="176"/>
      <c r="BA110" s="176"/>
      <c r="BB110" s="176"/>
      <c r="BC110" s="176"/>
      <c r="BD110" s="176"/>
      <c r="BE110" s="176"/>
      <c r="BF110" s="176"/>
      <c r="BG110" s="176"/>
      <c r="BH110" s="176"/>
      <c r="BI110" s="176"/>
      <c r="BJ110" s="176"/>
      <c r="BK110" s="176"/>
      <c r="BL110" s="176"/>
      <c r="BM110" s="176"/>
      <c r="BN110" s="176"/>
      <c r="BO110" s="176"/>
      <c r="BP110" s="176"/>
      <c r="BQ110" s="176"/>
      <c r="BR110" s="176"/>
      <c r="BS110" s="176"/>
      <c r="BT110" s="176"/>
      <c r="BU110" s="176"/>
      <c r="BV110" s="176"/>
      <c r="BW110" s="176"/>
    </row>
    <row r="111" spans="2:165">
      <c r="B111" s="34"/>
      <c r="C111" s="36" t="s">
        <v>128</v>
      </c>
      <c r="D111" s="38">
        <f ca="1">FP142</f>
        <v>0.23997717588124953</v>
      </c>
      <c r="E111" s="38">
        <f>U142</f>
        <v>0.23398629732593493</v>
      </c>
      <c r="F111" s="38">
        <f>U38</f>
        <v>0.23516651901989313</v>
      </c>
      <c r="H111" s="36" t="s">
        <v>128</v>
      </c>
      <c r="I111" s="38">
        <f t="shared" si="12"/>
        <v>6.9993568158601693E-2</v>
      </c>
      <c r="J111" s="122">
        <f t="shared" si="12"/>
        <v>-6.7644581039481566E-2</v>
      </c>
      <c r="K111" s="122">
        <f>IFERROR(AI117/AI109-1,0)</f>
        <v>-2.6534974642630771E-2</v>
      </c>
      <c r="M111" s="36" t="s">
        <v>129</v>
      </c>
      <c r="N111" s="120">
        <f ca="1">FH171</f>
        <v>28.6752</v>
      </c>
      <c r="O111" s="37">
        <f t="shared" ca="1" si="13"/>
        <v>0.19432487232589155</v>
      </c>
      <c r="P111" s="38">
        <f>'% Growth'!E7</f>
        <v>6.6082966867230697E-2</v>
      </c>
      <c r="R111" s="136" t="s">
        <v>274</v>
      </c>
      <c r="S111" s="120">
        <f>T171</f>
        <v>23.07</v>
      </c>
      <c r="T111" s="122">
        <f t="shared" si="14"/>
        <v>3.8355596648488949E-2</v>
      </c>
      <c r="U111" s="142">
        <f>'% Growth'!E24</f>
        <v>3.6482574200534801E-2</v>
      </c>
      <c r="V111" s="183"/>
      <c r="W111" s="189" t="s">
        <v>48</v>
      </c>
      <c r="X111" s="189">
        <v>0</v>
      </c>
      <c r="Y111" s="150">
        <v>0</v>
      </c>
      <c r="Z111" s="150">
        <v>0</v>
      </c>
      <c r="AA111" s="150"/>
      <c r="AB111" s="150"/>
      <c r="AC111" s="150"/>
      <c r="AD111" s="150"/>
      <c r="AE111" s="150"/>
      <c r="AF111" s="150"/>
      <c r="AG111" s="150"/>
      <c r="AH111" s="150"/>
      <c r="AI111" s="191">
        <f>X111+Y111</f>
        <v>0</v>
      </c>
      <c r="AJ111" s="185"/>
      <c r="AK111" s="185"/>
      <c r="AL111" s="185"/>
      <c r="AM111" s="185"/>
      <c r="AN111" s="185"/>
      <c r="AO111" s="185"/>
      <c r="AP111" s="185"/>
      <c r="AQ111" s="185"/>
      <c r="AR111" s="185"/>
      <c r="AS111" s="185"/>
      <c r="AT111" s="176"/>
      <c r="AU111" s="176"/>
      <c r="AV111" s="176"/>
      <c r="AW111" s="176"/>
      <c r="AX111" s="176"/>
      <c r="AY111" s="176"/>
      <c r="AZ111" s="176"/>
      <c r="BA111" s="176"/>
      <c r="BB111" s="176"/>
      <c r="BC111" s="176"/>
      <c r="BD111" s="176"/>
      <c r="BE111" s="176"/>
      <c r="BF111" s="176"/>
      <c r="BG111" s="176"/>
      <c r="BH111" s="176"/>
      <c r="BI111" s="176"/>
      <c r="BJ111" s="176"/>
      <c r="BK111" s="176"/>
      <c r="BL111" s="176"/>
      <c r="BM111" s="176"/>
      <c r="BN111" s="176"/>
      <c r="BO111" s="176"/>
      <c r="BP111" s="176"/>
      <c r="BQ111" s="176"/>
      <c r="BR111" s="176"/>
      <c r="BS111" s="176"/>
      <c r="BT111" s="176"/>
      <c r="BU111" s="176"/>
      <c r="BV111" s="176"/>
      <c r="BW111" s="176"/>
    </row>
    <row r="112" spans="2:165">
      <c r="B112" s="34"/>
      <c r="C112" s="36" t="s">
        <v>263</v>
      </c>
      <c r="D112" s="38">
        <f ca="1">FP148</f>
        <v>0.60311242911511809</v>
      </c>
      <c r="E112" s="38">
        <f>U148</f>
        <v>0.52425254136169785</v>
      </c>
      <c r="F112" s="38">
        <f>U49</f>
        <v>0.53978818433131392</v>
      </c>
      <c r="H112" s="36" t="s">
        <v>263</v>
      </c>
      <c r="I112" s="38">
        <f t="shared" si="12"/>
        <v>0.29939722201804964</v>
      </c>
      <c r="J112" s="122">
        <f t="shared" si="12"/>
        <v>0.18061451560820174</v>
      </c>
      <c r="K112" s="122">
        <f>IFERROR(AI118/AI110-1,0)</f>
        <v>0.20908723040082045</v>
      </c>
      <c r="M112" s="36" t="s">
        <v>132</v>
      </c>
      <c r="N112" s="120">
        <f ca="1">FH177</f>
        <v>22.520000000000003</v>
      </c>
      <c r="O112" s="38">
        <f t="shared" ca="1" si="13"/>
        <v>0.15261257549307689</v>
      </c>
      <c r="P112" s="38">
        <f>'% Growth'!E8</f>
        <v>-0.11389068167149941</v>
      </c>
      <c r="R112" s="33" t="s">
        <v>133</v>
      </c>
      <c r="S112" s="94">
        <f>T177</f>
        <v>26.319999999999997</v>
      </c>
      <c r="T112" s="122">
        <f t="shared" si="14"/>
        <v>4.3758964186745943E-2</v>
      </c>
      <c r="U112" s="142">
        <f>'% Growth'!E26</f>
        <v>-2.2400871202793993E-2</v>
      </c>
      <c r="V112" s="183"/>
      <c r="W112" s="189" t="s">
        <v>80</v>
      </c>
      <c r="X112" s="190">
        <f>SUM(X107:X111)</f>
        <v>196.48998</v>
      </c>
      <c r="Y112" s="190">
        <f>SUM(Y107:Y111)</f>
        <v>618.58326000000011</v>
      </c>
      <c r="Z112" s="150">
        <v>663.61254000000008</v>
      </c>
      <c r="AA112" s="150"/>
      <c r="AB112" s="150"/>
      <c r="AC112" s="150"/>
      <c r="AD112" s="150"/>
      <c r="AE112" s="150"/>
      <c r="AF112" s="150"/>
      <c r="AG112" s="150"/>
      <c r="AH112" s="150"/>
      <c r="AI112" s="191">
        <f>SUM(AI107:AI111)</f>
        <v>815.07324000000006</v>
      </c>
      <c r="AJ112" s="185"/>
      <c r="AK112" s="185"/>
      <c r="AL112" s="185"/>
      <c r="AM112" s="185"/>
      <c r="AN112" s="185"/>
      <c r="AO112" s="185"/>
      <c r="AP112" s="185"/>
      <c r="AQ112" s="185"/>
      <c r="AR112" s="185"/>
      <c r="AS112" s="185"/>
      <c r="AT112" s="176"/>
      <c r="AU112" s="176"/>
      <c r="AV112" s="176"/>
      <c r="AW112" s="176"/>
      <c r="AX112" s="176"/>
      <c r="AY112" s="176"/>
      <c r="AZ112" s="176"/>
      <c r="BA112" s="176"/>
      <c r="BB112" s="176"/>
      <c r="BC112" s="176"/>
      <c r="BD112" s="176"/>
      <c r="BE112" s="176"/>
      <c r="BF112" s="176"/>
      <c r="BG112" s="176"/>
      <c r="BH112" s="176"/>
      <c r="BI112" s="176"/>
      <c r="BJ112" s="176"/>
      <c r="BK112" s="176"/>
      <c r="BL112" s="176"/>
      <c r="BM112" s="176"/>
      <c r="BN112" s="176"/>
      <c r="BO112" s="176"/>
      <c r="BP112" s="176"/>
      <c r="BQ112" s="176"/>
      <c r="BR112" s="176"/>
      <c r="BS112" s="176"/>
      <c r="BT112" s="176"/>
      <c r="BU112" s="176"/>
      <c r="BV112" s="176"/>
      <c r="BW112" s="176"/>
    </row>
    <row r="113" spans="2:175">
      <c r="B113" s="34"/>
      <c r="C113" s="36" t="s">
        <v>264</v>
      </c>
      <c r="D113" s="122">
        <f ca="1">FP152</f>
        <v>0.14809383369295326</v>
      </c>
      <c r="E113" s="122">
        <f>U152</f>
        <v>0.16818764535474323</v>
      </c>
      <c r="F113" s="122">
        <f>U60</f>
        <v>0.16422910200945753</v>
      </c>
      <c r="H113" s="36" t="s">
        <v>264</v>
      </c>
      <c r="I113" s="149" t="s">
        <v>275</v>
      </c>
      <c r="J113" s="149" t="s">
        <v>275</v>
      </c>
      <c r="K113" s="149" t="s">
        <v>275</v>
      </c>
      <c r="M113" s="36" t="s">
        <v>134</v>
      </c>
      <c r="N113" s="120">
        <f ca="1">FH183</f>
        <v>12.370000000000001</v>
      </c>
      <c r="O113" s="38">
        <f t="shared" ca="1" si="13"/>
        <v>8.382848840361283E-2</v>
      </c>
      <c r="P113" s="38">
        <f>'% Growth'!E9</f>
        <v>-4.2454854577267054E-2</v>
      </c>
      <c r="R113" s="33" t="s">
        <v>203</v>
      </c>
      <c r="S113" s="94">
        <f>T183</f>
        <v>4.4400000000000004</v>
      </c>
      <c r="T113" s="122">
        <f t="shared" si="14"/>
        <v>7.3818313445726457E-3</v>
      </c>
      <c r="U113" s="142">
        <f>'% Growth'!E27</f>
        <v>3.8125597042020898E-2</v>
      </c>
      <c r="V113" s="183"/>
      <c r="W113" s="150"/>
      <c r="X113" s="189"/>
      <c r="Y113" s="150"/>
      <c r="Z113" s="150"/>
      <c r="AA113" s="150"/>
      <c r="AB113" s="150"/>
      <c r="AC113" s="150"/>
      <c r="AD113" s="150"/>
      <c r="AE113" s="150"/>
      <c r="AF113" s="150"/>
      <c r="AG113" s="150"/>
      <c r="AH113" s="150"/>
      <c r="AI113" s="191"/>
      <c r="AJ113" s="185"/>
      <c r="AK113" s="185"/>
      <c r="AL113" s="185"/>
      <c r="AM113" s="185"/>
      <c r="AN113" s="185"/>
      <c r="AO113" s="185"/>
      <c r="AP113" s="185"/>
      <c r="AQ113" s="185"/>
      <c r="AR113" s="185"/>
      <c r="AS113" s="185"/>
      <c r="AT113" s="176"/>
      <c r="AU113" s="176"/>
      <c r="AV113" s="176"/>
      <c r="AW113" s="176"/>
      <c r="AX113" s="176"/>
      <c r="AY113" s="176"/>
      <c r="AZ113" s="176"/>
      <c r="BA113" s="176"/>
      <c r="BB113" s="176"/>
      <c r="BC113" s="176"/>
      <c r="BD113" s="176"/>
      <c r="BE113" s="176"/>
      <c r="BF113" s="176"/>
      <c r="BG113" s="176"/>
      <c r="BH113" s="176"/>
      <c r="BI113" s="176"/>
      <c r="BJ113" s="176"/>
      <c r="BK113" s="176"/>
      <c r="BL113" s="176"/>
      <c r="BM113" s="176"/>
      <c r="BN113" s="176"/>
      <c r="BO113" s="176"/>
      <c r="BP113" s="176"/>
      <c r="BQ113" s="176"/>
      <c r="BR113" s="176"/>
      <c r="BS113" s="176"/>
      <c r="BT113" s="176"/>
      <c r="BU113" s="176"/>
      <c r="BV113" s="176"/>
      <c r="BW113" s="176"/>
    </row>
    <row r="114" spans="2:175">
      <c r="B114" s="34"/>
      <c r="C114" s="39" t="s">
        <v>25</v>
      </c>
      <c r="D114" s="40">
        <f ca="1">SUM(D109:D113)</f>
        <v>1</v>
      </c>
      <c r="E114" s="40">
        <f>SUM(E109:E113)</f>
        <v>1</v>
      </c>
      <c r="F114" s="40">
        <f>SUM(F109:F113)</f>
        <v>1</v>
      </c>
      <c r="H114" s="39" t="s">
        <v>118</v>
      </c>
      <c r="I114" s="40">
        <f>IFERROR(X120/X112-1,0)</f>
        <v>0.18673155750741066</v>
      </c>
      <c r="J114" s="40">
        <f>IFERROR(Y120/Y112-1,0)</f>
        <v>2.9060146244500595E-2</v>
      </c>
      <c r="K114" s="40">
        <f>IFERROR(AI120/AI112-1,0)</f>
        <v>6.7070046367857517E-2</v>
      </c>
      <c r="M114" s="39" t="s">
        <v>136</v>
      </c>
      <c r="N114" s="170">
        <f ca="1">SUM(N109:N113)</f>
        <v>147.56319999999999</v>
      </c>
      <c r="O114" s="40">
        <f t="shared" ca="1" si="13"/>
        <v>1</v>
      </c>
      <c r="P114" s="40">
        <f>'% Growth'!E10</f>
        <v>-9.6096157941641835E-2</v>
      </c>
      <c r="R114" s="136" t="s">
        <v>135</v>
      </c>
      <c r="S114" s="120">
        <f>T189</f>
        <v>19.707439999999998</v>
      </c>
      <c r="T114" s="122">
        <f t="shared" si="14"/>
        <v>3.2765089710199258E-2</v>
      </c>
      <c r="U114" s="142">
        <f>'% Growth'!E26</f>
        <v>-2.2400871202793993E-2</v>
      </c>
      <c r="V114" s="183"/>
      <c r="W114" s="189" t="s">
        <v>276</v>
      </c>
      <c r="X114" s="189" t="s">
        <v>116</v>
      </c>
      <c r="Y114" s="189" t="s">
        <v>117</v>
      </c>
      <c r="Z114" s="150" t="s">
        <v>80</v>
      </c>
      <c r="AA114" s="150"/>
      <c r="AB114" s="150"/>
      <c r="AC114" s="150"/>
      <c r="AD114" s="150"/>
      <c r="AE114" s="150"/>
      <c r="AF114" s="150"/>
      <c r="AG114" s="150"/>
      <c r="AH114" s="150"/>
      <c r="AI114" s="190" t="s">
        <v>80</v>
      </c>
      <c r="AJ114" s="185"/>
      <c r="AK114" s="185"/>
      <c r="AL114" s="185"/>
      <c r="AM114" s="185"/>
      <c r="AN114" s="185"/>
      <c r="AO114" s="185"/>
      <c r="AP114" s="185"/>
      <c r="AQ114" s="185"/>
      <c r="AR114" s="185"/>
      <c r="AS114" s="185"/>
      <c r="AT114" s="176"/>
      <c r="AU114" s="176"/>
      <c r="AV114" s="176"/>
      <c r="AW114" s="176"/>
      <c r="AX114" s="176"/>
      <c r="AY114" s="176"/>
      <c r="AZ114" s="176"/>
      <c r="BA114" s="176"/>
      <c r="BB114" s="176"/>
      <c r="BC114" s="176"/>
      <c r="BD114" s="176"/>
      <c r="BE114" s="176"/>
      <c r="BF114" s="176"/>
      <c r="BG114" s="176"/>
      <c r="BH114" s="176"/>
      <c r="BI114" s="176"/>
      <c r="BJ114" s="176"/>
      <c r="BK114" s="176"/>
      <c r="BL114" s="176"/>
      <c r="BM114" s="176"/>
      <c r="BN114" s="176"/>
      <c r="BO114" s="176"/>
      <c r="BP114" s="176"/>
      <c r="BQ114" s="176"/>
      <c r="BR114" s="176"/>
      <c r="BS114" s="176"/>
      <c r="BT114" s="176"/>
      <c r="BU114" s="176"/>
      <c r="BV114" s="176"/>
      <c r="BW114" s="176"/>
    </row>
    <row r="115" spans="2:175">
      <c r="B115" s="34"/>
      <c r="D115" s="41"/>
      <c r="E115" s="42"/>
      <c r="N115" s="43"/>
      <c r="O115" s="44"/>
      <c r="R115" s="39" t="s">
        <v>137</v>
      </c>
      <c r="S115" s="121">
        <f>SUM(S109:S114)</f>
        <v>601.47676000000024</v>
      </c>
      <c r="T115" s="40">
        <f t="shared" si="14"/>
        <v>1</v>
      </c>
      <c r="U115" s="177">
        <f>'% Growth'!E27</f>
        <v>3.8125597042020898E-2</v>
      </c>
      <c r="V115" s="183"/>
      <c r="W115" s="189" t="s">
        <v>44</v>
      </c>
      <c r="X115" s="192">
        <v>2.57002</v>
      </c>
      <c r="Y115" s="193">
        <v>43.689480000000003</v>
      </c>
      <c r="Z115" s="150">
        <v>37.290979999999998</v>
      </c>
      <c r="AA115" s="150"/>
      <c r="AB115" s="150"/>
      <c r="AC115" s="150"/>
      <c r="AD115" s="150"/>
      <c r="AE115" s="150"/>
      <c r="AF115" s="150"/>
      <c r="AG115" s="150"/>
      <c r="AH115" s="150"/>
      <c r="AI115" s="191">
        <f>X115+Y115</f>
        <v>46.259500000000003</v>
      </c>
      <c r="AJ115" s="185"/>
      <c r="AK115" s="185"/>
      <c r="AL115" s="185"/>
      <c r="AM115" s="185"/>
      <c r="AN115" s="185"/>
      <c r="AO115" s="185"/>
      <c r="AP115" s="185"/>
      <c r="AQ115" s="185"/>
      <c r="AR115" s="185"/>
      <c r="AS115" s="185"/>
      <c r="AT115" s="176"/>
      <c r="AU115" s="176"/>
      <c r="AV115" s="176"/>
      <c r="AW115" s="176"/>
      <c r="AX115" s="176"/>
      <c r="AY115" s="176"/>
      <c r="AZ115" s="176"/>
      <c r="BA115" s="176"/>
      <c r="BB115" s="176"/>
      <c r="BC115" s="178"/>
      <c r="BD115" s="176"/>
      <c r="BE115" s="176"/>
      <c r="BF115" s="176"/>
      <c r="BG115" s="176"/>
      <c r="BH115" s="176"/>
      <c r="BI115" s="176"/>
      <c r="BJ115" s="176"/>
      <c r="BK115" s="176"/>
      <c r="BL115" s="176"/>
      <c r="BM115" s="178"/>
      <c r="BN115" s="176"/>
      <c r="BO115" s="176"/>
      <c r="BP115" s="176"/>
      <c r="BQ115" s="176"/>
      <c r="BR115" s="176"/>
      <c r="BS115" s="176"/>
      <c r="BT115" s="176"/>
      <c r="BU115" s="176"/>
      <c r="BV115" s="176"/>
      <c r="BW115" s="176"/>
    </row>
    <row r="116" spans="2:175">
      <c r="B116" s="34"/>
      <c r="C116" s="43" t="s">
        <v>277</v>
      </c>
      <c r="H116" s="33" t="s">
        <v>278</v>
      </c>
      <c r="I116" s="33"/>
      <c r="M116" s="33" t="s">
        <v>279</v>
      </c>
      <c r="S116" s="94"/>
      <c r="U116" s="35"/>
      <c r="V116" s="183"/>
      <c r="W116" s="189" t="s">
        <v>123</v>
      </c>
      <c r="X116" s="192">
        <v>3.53904</v>
      </c>
      <c r="Y116" s="193">
        <v>25.644639999999999</v>
      </c>
      <c r="Z116" s="150">
        <v>24.693800000000003</v>
      </c>
      <c r="AA116" s="150"/>
      <c r="AB116" s="150"/>
      <c r="AC116" s="150"/>
      <c r="AD116" s="150"/>
      <c r="AE116" s="150"/>
      <c r="AF116" s="150"/>
      <c r="AG116" s="150"/>
      <c r="AH116" s="150"/>
      <c r="AI116" s="191">
        <f>X116+Y116</f>
        <v>29.183679999999999</v>
      </c>
      <c r="AJ116" s="185"/>
      <c r="AK116" s="185"/>
      <c r="AL116" s="185"/>
      <c r="AM116" s="185"/>
      <c r="AN116" s="185"/>
      <c r="AO116" s="185"/>
      <c r="AP116" s="185"/>
      <c r="AQ116" s="185"/>
      <c r="AR116" s="185"/>
      <c r="AS116" s="185"/>
      <c r="AT116" s="176"/>
      <c r="AU116" s="176"/>
      <c r="AV116" s="176"/>
      <c r="AW116" s="176"/>
      <c r="AX116" s="176"/>
      <c r="AY116" s="176"/>
      <c r="AZ116" s="176"/>
      <c r="BA116" s="176"/>
      <c r="BB116" s="176"/>
      <c r="BC116" s="178"/>
      <c r="BD116" s="176"/>
      <c r="BE116" s="176"/>
      <c r="BF116" s="176"/>
      <c r="BG116" s="176"/>
      <c r="BH116" s="176"/>
      <c r="BI116" s="176"/>
      <c r="BJ116" s="176"/>
      <c r="BK116" s="176"/>
      <c r="BL116" s="176"/>
      <c r="BM116" s="178"/>
      <c r="BN116" s="176"/>
      <c r="BO116" s="176"/>
      <c r="BP116" s="176"/>
      <c r="BQ116" s="176"/>
      <c r="BR116" s="176"/>
      <c r="BS116" s="176"/>
      <c r="BT116" s="176"/>
      <c r="BU116" s="176"/>
      <c r="BV116" s="176"/>
      <c r="BW116" s="176"/>
    </row>
    <row r="117" spans="2:175">
      <c r="B117" s="775" t="s">
        <v>276</v>
      </c>
      <c r="C117" s="768" t="s">
        <v>118</v>
      </c>
      <c r="D117" s="805" t="s">
        <v>116</v>
      </c>
      <c r="E117" s="805" t="s">
        <v>146</v>
      </c>
      <c r="F117" s="806" t="s">
        <v>118</v>
      </c>
      <c r="H117" s="768" t="s">
        <v>148</v>
      </c>
      <c r="I117" s="771" t="s">
        <v>280</v>
      </c>
      <c r="J117" s="771"/>
      <c r="K117" s="771"/>
      <c r="M117" s="768" t="s">
        <v>148</v>
      </c>
      <c r="N117" s="769" t="s">
        <v>78</v>
      </c>
      <c r="O117" s="800" t="s">
        <v>271</v>
      </c>
      <c r="P117" s="800" t="s">
        <v>272</v>
      </c>
      <c r="U117" s="35"/>
      <c r="V117" s="183"/>
      <c r="W117" s="189" t="s">
        <v>128</v>
      </c>
      <c r="X117" s="192">
        <v>91.630439999999993</v>
      </c>
      <c r="Y117" s="193">
        <v>187.47896</v>
      </c>
      <c r="Z117" s="150">
        <v>222.62547999999998</v>
      </c>
      <c r="AA117" s="150"/>
      <c r="AB117" s="150"/>
      <c r="AC117" s="150"/>
      <c r="AD117" s="150"/>
      <c r="AE117" s="150"/>
      <c r="AF117" s="150"/>
      <c r="AG117" s="150"/>
      <c r="AH117" s="150"/>
      <c r="AI117" s="191">
        <f>X117+Y117</f>
        <v>279.10939999999999</v>
      </c>
      <c r="AJ117" s="185"/>
      <c r="AK117" s="185"/>
      <c r="AL117" s="185"/>
      <c r="AM117" s="185"/>
      <c r="AN117" s="185"/>
      <c r="AO117" s="185"/>
      <c r="AP117" s="185"/>
      <c r="AQ117" s="185"/>
      <c r="AR117" s="185"/>
      <c r="AS117" s="185"/>
      <c r="AT117" s="176"/>
      <c r="AU117" s="176"/>
      <c r="AV117" s="176"/>
      <c r="AW117" s="176"/>
      <c r="AX117" s="176"/>
      <c r="AY117" s="176"/>
      <c r="AZ117" s="176"/>
      <c r="BA117" s="176"/>
      <c r="BB117" s="176"/>
      <c r="BC117" s="178"/>
      <c r="BD117" s="176"/>
      <c r="BE117" s="176"/>
      <c r="BF117" s="176"/>
      <c r="BG117" s="176"/>
      <c r="BH117" s="176"/>
      <c r="BI117" s="176"/>
      <c r="BJ117" s="176"/>
      <c r="BK117" s="176"/>
      <c r="BL117" s="176"/>
      <c r="BM117" s="178"/>
      <c r="BN117" s="176"/>
      <c r="BO117" s="176"/>
      <c r="BP117" s="176"/>
      <c r="BQ117" s="176"/>
      <c r="BR117" s="176"/>
      <c r="BS117" s="176"/>
      <c r="BT117" s="176"/>
      <c r="BU117" s="176"/>
      <c r="BV117" s="176"/>
      <c r="BW117" s="176"/>
    </row>
    <row r="118" spans="2:175">
      <c r="B118" s="775"/>
      <c r="C118" s="768"/>
      <c r="D118" s="805"/>
      <c r="E118" s="805"/>
      <c r="F118" s="806"/>
      <c r="H118" s="768"/>
      <c r="I118" s="771"/>
      <c r="J118" s="771"/>
      <c r="K118" s="771"/>
      <c r="M118" s="768"/>
      <c r="N118" s="769"/>
      <c r="O118" s="800"/>
      <c r="P118" s="800"/>
      <c r="U118" s="35"/>
      <c r="V118" s="183"/>
      <c r="W118" s="189" t="s">
        <v>47</v>
      </c>
      <c r="X118" s="192">
        <v>129.75908000000001</v>
      </c>
      <c r="Y118" s="193">
        <v>373.9477</v>
      </c>
      <c r="Z118" s="150">
        <v>413.14857999999998</v>
      </c>
      <c r="AA118" s="150"/>
      <c r="AB118" s="150"/>
      <c r="AC118" s="150"/>
      <c r="AD118" s="150"/>
      <c r="AE118" s="150"/>
      <c r="AF118" s="150"/>
      <c r="AG118" s="150"/>
      <c r="AH118" s="150"/>
      <c r="AI118" s="191">
        <f>X118+Y118</f>
        <v>503.70677999999998</v>
      </c>
      <c r="AJ118" s="185"/>
      <c r="AK118" s="185"/>
      <c r="AL118" s="185"/>
      <c r="AM118" s="185"/>
      <c r="AN118" s="185"/>
      <c r="AO118" s="185"/>
      <c r="AP118" s="185"/>
      <c r="AQ118" s="185"/>
      <c r="AR118" s="185"/>
      <c r="AS118" s="185"/>
      <c r="AT118" s="176"/>
      <c r="AU118" s="176"/>
      <c r="AV118" s="176"/>
      <c r="AW118" s="176"/>
      <c r="AX118" s="176"/>
      <c r="AY118" s="176"/>
      <c r="AZ118" s="176"/>
      <c r="BA118" s="176"/>
      <c r="BB118" s="176"/>
      <c r="BC118" s="178"/>
      <c r="BD118" s="176"/>
      <c r="BE118" s="176"/>
      <c r="BF118" s="176"/>
      <c r="BG118" s="176"/>
      <c r="BH118" s="176"/>
      <c r="BI118" s="176"/>
      <c r="BJ118" s="176"/>
      <c r="BK118" s="176"/>
      <c r="BL118" s="176"/>
      <c r="BM118" s="178"/>
      <c r="BN118" s="176"/>
      <c r="BO118" s="176"/>
      <c r="BP118" s="176"/>
      <c r="BQ118" s="176"/>
      <c r="BR118" s="176"/>
      <c r="BS118" s="176"/>
      <c r="BT118" s="176"/>
      <c r="BU118" s="176"/>
      <c r="BV118" s="176"/>
      <c r="BW118" s="176"/>
    </row>
    <row r="119" spans="2:175" ht="15.75">
      <c r="B119" s="134" t="s">
        <v>149</v>
      </c>
      <c r="C119" s="123">
        <f ca="1">$T$153 + $FH$153</f>
        <v>749.03995999999984</v>
      </c>
      <c r="D119" s="145">
        <f ca="1">IFERROR(FH153/$C$119,0)</f>
        <v>0.19700310781817304</v>
      </c>
      <c r="E119" s="145">
        <f ca="1">IFERROR(T153/$C$119,0)</f>
        <v>0.80299689218182702</v>
      </c>
      <c r="F119" s="146">
        <f ca="1">SUM(D119:E119)</f>
        <v>1</v>
      </c>
      <c r="H119" s="36" t="s">
        <v>146</v>
      </c>
      <c r="I119" s="807">
        <f>IFERROR(Y120/Y112-1,0)</f>
        <v>2.9060146244500595E-2</v>
      </c>
      <c r="J119" s="807"/>
      <c r="K119" s="807"/>
      <c r="M119" s="36" t="s">
        <v>150</v>
      </c>
      <c r="N119" s="120">
        <v>127.32826</v>
      </c>
      <c r="O119" s="124">
        <f>IFERROR(N119/$N$122,0)</f>
        <v>0.58201952427241532</v>
      </c>
      <c r="P119" s="38">
        <f>'% Growth'!E15</f>
        <v>0.42429993275190947</v>
      </c>
      <c r="R119" s="47"/>
      <c r="S119" s="47"/>
      <c r="T119" s="47"/>
      <c r="U119" s="35"/>
      <c r="V119" s="183"/>
      <c r="W119" s="189" t="s">
        <v>48</v>
      </c>
      <c r="X119" s="190">
        <v>5.6822800000000004</v>
      </c>
      <c r="Y119" s="191">
        <v>5.7986000000000004</v>
      </c>
      <c r="Z119" s="150">
        <v>9.9313400000000005</v>
      </c>
      <c r="AA119" s="150"/>
      <c r="AB119" s="150"/>
      <c r="AC119" s="150"/>
      <c r="AD119" s="150"/>
      <c r="AE119" s="150"/>
      <c r="AF119" s="150"/>
      <c r="AG119" s="150"/>
      <c r="AH119" s="150"/>
      <c r="AI119" s="191">
        <f>X119+Y119</f>
        <v>11.480880000000001</v>
      </c>
      <c r="AJ119" s="185"/>
      <c r="AK119" s="185"/>
      <c r="AL119" s="185"/>
      <c r="AM119" s="185"/>
      <c r="AN119" s="185"/>
      <c r="AO119" s="185"/>
      <c r="AP119" s="185"/>
      <c r="AQ119" s="185"/>
      <c r="AR119" s="185"/>
      <c r="AS119" s="185"/>
      <c r="AT119" s="176"/>
      <c r="AU119" s="176"/>
      <c r="AV119" s="176"/>
      <c r="AW119" s="176"/>
      <c r="AX119" s="176"/>
      <c r="AY119" s="176"/>
      <c r="AZ119" s="176"/>
      <c r="BA119" s="176"/>
      <c r="BB119" s="176"/>
      <c r="BC119" s="178"/>
      <c r="BD119" s="176"/>
      <c r="BE119" s="176"/>
      <c r="BF119" s="176"/>
      <c r="BG119" s="176"/>
      <c r="BH119" s="176"/>
      <c r="BI119" s="176"/>
      <c r="BJ119" s="176"/>
      <c r="BK119" s="176"/>
      <c r="BL119" s="176"/>
      <c r="BM119" s="178"/>
      <c r="BN119" s="176"/>
      <c r="BO119" s="176"/>
      <c r="BP119" s="176"/>
      <c r="BQ119" s="176"/>
      <c r="BR119" s="176"/>
      <c r="BS119" s="176"/>
      <c r="BT119" s="176"/>
      <c r="BU119" s="176"/>
      <c r="BV119" s="176"/>
      <c r="BW119" s="176"/>
    </row>
    <row r="120" spans="2:175" ht="15.75">
      <c r="B120" s="34"/>
      <c r="C120" s="45"/>
      <c r="D120" s="78"/>
      <c r="E120" s="46"/>
      <c r="F120" s="46"/>
      <c r="H120" s="36" t="s">
        <v>116</v>
      </c>
      <c r="I120" s="807">
        <f>IFERROR(X120/X112-1,0)</f>
        <v>0.18673155750741066</v>
      </c>
      <c r="J120" s="807"/>
      <c r="K120" s="807"/>
      <c r="M120" s="36" t="s">
        <v>151</v>
      </c>
      <c r="N120" s="120">
        <v>91.441479999999999</v>
      </c>
      <c r="O120" s="124">
        <f>IFERROR(N120/$N$122,0)</f>
        <v>0.41798047572758462</v>
      </c>
      <c r="P120" s="38">
        <f>'% Growth'!E16</f>
        <v>-0.78794478675520485</v>
      </c>
      <c r="Q120" s="47"/>
      <c r="R120" s="47"/>
      <c r="S120" s="47"/>
      <c r="T120" s="47"/>
      <c r="U120" s="35"/>
      <c r="V120" s="183"/>
      <c r="W120" s="189" t="s">
        <v>80</v>
      </c>
      <c r="X120" s="191">
        <f t="shared" ref="X120:AH120" si="15">SUM(X115:X119)</f>
        <v>233.18086</v>
      </c>
      <c r="Y120" s="191">
        <f t="shared" si="15"/>
        <v>636.55938000000003</v>
      </c>
      <c r="Z120" s="191">
        <f t="shared" si="15"/>
        <v>707.69017999999994</v>
      </c>
      <c r="AA120" s="191">
        <f t="shared" si="15"/>
        <v>0</v>
      </c>
      <c r="AB120" s="191">
        <f t="shared" si="15"/>
        <v>0</v>
      </c>
      <c r="AC120" s="191">
        <f t="shared" si="15"/>
        <v>0</v>
      </c>
      <c r="AD120" s="191">
        <f t="shared" si="15"/>
        <v>0</v>
      </c>
      <c r="AE120" s="191">
        <f t="shared" si="15"/>
        <v>0</v>
      </c>
      <c r="AF120" s="191">
        <f t="shared" si="15"/>
        <v>0</v>
      </c>
      <c r="AG120" s="191">
        <f t="shared" si="15"/>
        <v>0</v>
      </c>
      <c r="AH120" s="191">
        <f t="shared" si="15"/>
        <v>0</v>
      </c>
      <c r="AI120" s="191">
        <f>SUM(AI115:AI119)</f>
        <v>869.74023999999997</v>
      </c>
      <c r="AJ120" s="185"/>
      <c r="AK120" s="185"/>
      <c r="AL120" s="185"/>
      <c r="AM120" s="185"/>
      <c r="AN120" s="185"/>
      <c r="AO120" s="185"/>
      <c r="AP120" s="185"/>
      <c r="AQ120" s="185"/>
      <c r="AR120" s="185"/>
      <c r="AS120" s="187"/>
      <c r="AT120" s="176"/>
      <c r="AU120" s="176"/>
      <c r="AV120" s="176"/>
      <c r="AW120" s="176"/>
      <c r="AX120" s="176"/>
      <c r="AY120" s="176"/>
      <c r="AZ120" s="176"/>
      <c r="BA120" s="176"/>
      <c r="BB120" s="176"/>
      <c r="BC120" s="178"/>
      <c r="BD120" s="176"/>
      <c r="BE120" s="176"/>
      <c r="BF120" s="176"/>
      <c r="BG120" s="176"/>
      <c r="BH120" s="176"/>
      <c r="BI120" s="176"/>
      <c r="BJ120" s="176"/>
      <c r="BK120" s="176"/>
      <c r="BL120" s="176"/>
      <c r="BM120" s="178"/>
      <c r="BN120" s="176"/>
      <c r="BO120" s="176"/>
      <c r="BP120" s="176"/>
      <c r="BQ120" s="176"/>
      <c r="BR120" s="176"/>
      <c r="BS120" s="176"/>
      <c r="BT120" s="176"/>
      <c r="BU120" s="176"/>
      <c r="BV120" s="176"/>
      <c r="BW120" s="176"/>
    </row>
    <row r="121" spans="2:175">
      <c r="B121" s="34"/>
      <c r="C121" s="45"/>
      <c r="D121" s="78"/>
      <c r="E121" s="46"/>
      <c r="F121" s="46"/>
      <c r="H121" s="39" t="s">
        <v>118</v>
      </c>
      <c r="I121" s="808">
        <f>IFERROR(AI120/AI112-1,0)</f>
        <v>6.7070046367857517E-2</v>
      </c>
      <c r="J121" s="808"/>
      <c r="K121" s="808"/>
      <c r="M121" s="36" t="s">
        <v>281</v>
      </c>
      <c r="N121" s="120">
        <v>0</v>
      </c>
      <c r="O121" s="141">
        <f>IFERROR(N121/$N$122,0)</f>
        <v>0</v>
      </c>
      <c r="P121" s="38" t="e">
        <f>'% Growth'!#REF!</f>
        <v>#REF!</v>
      </c>
      <c r="Q121" s="48"/>
      <c r="R121" s="48"/>
      <c r="S121" s="48"/>
      <c r="T121" s="48"/>
      <c r="U121" s="35"/>
      <c r="W121" s="185"/>
      <c r="X121" s="184"/>
      <c r="Y121" s="185"/>
      <c r="Z121" s="185"/>
      <c r="AA121" s="185"/>
      <c r="AB121" s="185"/>
      <c r="AC121" s="185"/>
      <c r="AD121" s="185"/>
      <c r="AE121" s="185"/>
      <c r="AF121" s="185"/>
      <c r="AG121" s="185"/>
      <c r="AH121" s="185"/>
      <c r="AI121" s="185"/>
      <c r="AJ121" s="185"/>
      <c r="AK121" s="185"/>
      <c r="AL121" s="185"/>
      <c r="AM121" s="185"/>
      <c r="AN121" s="185"/>
      <c r="AO121" s="185"/>
      <c r="AP121" s="185"/>
      <c r="AQ121" s="185"/>
      <c r="AR121" s="185"/>
      <c r="AS121" s="185"/>
      <c r="AT121" s="176"/>
      <c r="AU121" s="176"/>
      <c r="AV121" s="176"/>
      <c r="AW121" s="176"/>
      <c r="AX121" s="176"/>
      <c r="AY121" s="176"/>
      <c r="AZ121" s="176"/>
      <c r="BA121" s="176"/>
      <c r="BB121" s="176"/>
      <c r="BC121" s="176"/>
      <c r="BD121" s="176"/>
      <c r="BE121" s="176"/>
      <c r="BF121" s="176"/>
      <c r="BG121" s="176"/>
      <c r="BH121" s="176"/>
      <c r="BI121" s="176"/>
      <c r="BJ121" s="176"/>
      <c r="BK121" s="176"/>
      <c r="BL121" s="176"/>
      <c r="BM121" s="176"/>
      <c r="BN121" s="176"/>
      <c r="BO121" s="176"/>
      <c r="BP121" s="176"/>
      <c r="BQ121" s="176"/>
      <c r="BR121" s="176"/>
      <c r="BS121" s="176"/>
      <c r="BT121" s="176"/>
      <c r="BU121" s="176"/>
      <c r="BV121" s="176"/>
      <c r="BW121" s="176"/>
    </row>
    <row r="122" spans="2:175">
      <c r="B122" s="34"/>
      <c r="C122" s="45"/>
      <c r="D122" s="78"/>
      <c r="E122" s="46"/>
      <c r="F122" s="46"/>
      <c r="G122" s="144"/>
      <c r="H122" s="173" t="s">
        <v>282</v>
      </c>
      <c r="M122" s="39" t="s">
        <v>80</v>
      </c>
      <c r="N122" s="170">
        <f>SUM(N119:N121)</f>
        <v>218.76974000000001</v>
      </c>
      <c r="O122" s="40">
        <f>IFERROR(N122/$N$122,0)</f>
        <v>1</v>
      </c>
      <c r="P122" s="40">
        <f>'% Growth'!E17</f>
        <v>-0.1053715107078087</v>
      </c>
      <c r="Q122" s="36"/>
      <c r="R122" s="36"/>
      <c r="S122" s="36"/>
      <c r="T122" s="36"/>
      <c r="U122" s="133"/>
      <c r="AG122" s="176"/>
      <c r="AH122" s="176"/>
      <c r="AI122" s="176"/>
      <c r="AJ122" s="176"/>
      <c r="AK122" s="176"/>
      <c r="AL122" s="176"/>
      <c r="AM122" s="176"/>
      <c r="AN122" s="176"/>
      <c r="AO122" s="176"/>
      <c r="AP122" s="176"/>
      <c r="AQ122" s="176"/>
      <c r="AR122" s="176"/>
      <c r="AS122" s="176"/>
      <c r="AT122" s="176"/>
      <c r="AU122" s="176"/>
      <c r="AV122" s="176"/>
      <c r="AW122" s="176"/>
      <c r="AX122" s="176"/>
      <c r="AY122" s="176"/>
      <c r="AZ122" s="176"/>
      <c r="BA122" s="176"/>
      <c r="BB122" s="176"/>
      <c r="BC122" s="176"/>
      <c r="BD122" s="176"/>
      <c r="BE122" s="176"/>
      <c r="BF122" s="176"/>
      <c r="BG122" s="176"/>
      <c r="BH122" s="176"/>
      <c r="BI122" s="176"/>
      <c r="BJ122" s="176"/>
      <c r="BK122" s="176"/>
      <c r="BL122" s="176"/>
      <c r="BM122" s="176"/>
      <c r="BN122" s="176"/>
      <c r="BO122" s="176"/>
      <c r="BP122" s="176"/>
      <c r="BQ122" s="176"/>
      <c r="BR122" s="176"/>
      <c r="BS122" s="176"/>
      <c r="BT122" s="176"/>
      <c r="BU122" s="176"/>
      <c r="BV122" s="176"/>
      <c r="BW122" s="176"/>
    </row>
    <row r="123" spans="2:175" ht="15.75">
      <c r="B123" s="34"/>
      <c r="C123" s="45"/>
      <c r="D123" s="78"/>
      <c r="E123" s="46"/>
      <c r="F123" s="46"/>
      <c r="M123" s="144" t="s">
        <v>283</v>
      </c>
      <c r="P123" s="36"/>
      <c r="R123" s="32"/>
      <c r="S123" s="32"/>
      <c r="T123" s="32"/>
      <c r="U123" s="175"/>
    </row>
    <row r="124" spans="2:175" ht="15.75" thickBot="1">
      <c r="B124" s="49"/>
      <c r="C124" s="50"/>
      <c r="D124" s="50"/>
      <c r="E124" s="50"/>
      <c r="F124" s="50"/>
      <c r="G124" s="50"/>
      <c r="H124" s="50"/>
      <c r="I124" s="50"/>
      <c r="J124" s="50"/>
      <c r="K124" s="50"/>
      <c r="L124" s="50"/>
      <c r="M124" s="174" t="s">
        <v>142</v>
      </c>
      <c r="N124" s="50"/>
      <c r="O124" s="50"/>
      <c r="P124" s="50"/>
      <c r="Q124" s="50"/>
      <c r="R124" s="50"/>
      <c r="S124" s="50"/>
      <c r="T124" s="50"/>
      <c r="U124" s="51"/>
    </row>
    <row r="125" spans="2:175">
      <c r="ER125" s="15" t="s">
        <v>75</v>
      </c>
      <c r="EZ125" s="15" t="s">
        <v>76</v>
      </c>
      <c r="FR125" s="15" t="s">
        <v>284</v>
      </c>
    </row>
    <row r="126" spans="2:175" ht="18.75" customHeight="1">
      <c r="B126" s="784" t="s">
        <v>146</v>
      </c>
      <c r="C126" s="830"/>
      <c r="D126" s="830"/>
      <c r="E126" s="830"/>
      <c r="F126" s="830"/>
      <c r="G126" s="830"/>
      <c r="H126" s="830"/>
      <c r="I126" s="830"/>
      <c r="J126" s="830"/>
      <c r="K126" s="830"/>
      <c r="L126" s="830"/>
      <c r="M126" s="830"/>
      <c r="N126" s="830"/>
      <c r="O126" s="830"/>
      <c r="P126" s="830"/>
      <c r="Q126" s="830"/>
      <c r="R126" s="830"/>
      <c r="S126" s="830"/>
      <c r="T126" s="830"/>
      <c r="U126" s="830"/>
      <c r="V126" s="569"/>
      <c r="X126" s="784" t="s">
        <v>178</v>
      </c>
      <c r="Y126" s="830"/>
      <c r="Z126" s="830"/>
      <c r="AA126" s="830"/>
      <c r="AB126" s="830"/>
      <c r="AC126" s="830"/>
      <c r="AD126" s="830"/>
      <c r="AE126" s="830"/>
      <c r="AF126" s="830"/>
      <c r="AG126" s="830"/>
      <c r="AH126" s="830"/>
      <c r="AI126" s="830"/>
      <c r="AJ126" s="830"/>
      <c r="AK126" s="830"/>
      <c r="AL126" s="830"/>
      <c r="AM126" s="830"/>
      <c r="AN126" s="830"/>
      <c r="AO126" s="830"/>
      <c r="AP126" s="830"/>
      <c r="AQ126" s="830"/>
      <c r="AR126" s="830"/>
      <c r="AS126" s="830"/>
      <c r="AT126" s="830"/>
      <c r="AU126" s="830"/>
      <c r="AV126" s="830"/>
      <c r="AW126" s="830"/>
      <c r="AX126" s="830"/>
      <c r="AY126" s="830"/>
      <c r="AZ126" s="830"/>
      <c r="BA126" s="830"/>
      <c r="BB126" s="830"/>
      <c r="BC126" s="830"/>
      <c r="BD126" s="830"/>
      <c r="BE126" s="830"/>
      <c r="BF126" s="830"/>
      <c r="BG126" s="830"/>
      <c r="BH126" s="830"/>
      <c r="BI126" s="830"/>
      <c r="BJ126" s="830"/>
      <c r="BK126" s="830"/>
      <c r="BL126" s="830"/>
      <c r="BM126" s="830"/>
      <c r="BN126" s="830"/>
      <c r="BO126" s="830"/>
      <c r="BP126" s="830"/>
      <c r="BQ126" s="830"/>
      <c r="BR126" s="830"/>
      <c r="BS126" s="830"/>
      <c r="BT126" s="830"/>
      <c r="BU126" s="830"/>
      <c r="BV126" s="830"/>
      <c r="BW126" s="830"/>
      <c r="BX126" s="830"/>
      <c r="BY126" s="830"/>
      <c r="BZ126" s="830"/>
      <c r="CA126" s="830"/>
      <c r="CB126" s="830"/>
      <c r="CC126" s="830"/>
      <c r="CD126" s="830"/>
      <c r="CE126" s="830"/>
      <c r="CF126" s="830"/>
      <c r="CG126" s="830"/>
      <c r="CH126" s="830"/>
      <c r="CI126" s="830"/>
      <c r="CJ126" s="830"/>
      <c r="CK126" s="830"/>
      <c r="CL126" s="830"/>
      <c r="CM126" s="830"/>
      <c r="CN126" s="830"/>
      <c r="CO126" s="830"/>
      <c r="CP126" s="830"/>
      <c r="CQ126" s="830"/>
      <c r="CR126" s="830"/>
      <c r="CS126" s="830"/>
      <c r="CT126" s="830"/>
      <c r="CU126" s="830"/>
      <c r="CV126" s="830"/>
      <c r="CW126" s="830"/>
      <c r="CX126" s="830"/>
      <c r="CY126" s="830"/>
      <c r="CZ126" s="830"/>
      <c r="DA126" s="830"/>
      <c r="DB126" s="830"/>
      <c r="DC126" s="830"/>
      <c r="DD126" s="830"/>
      <c r="DE126" s="830"/>
      <c r="DF126" s="830"/>
      <c r="DG126" s="830"/>
      <c r="DH126" s="830"/>
      <c r="DI126" s="830"/>
      <c r="DJ126" s="830"/>
      <c r="DK126" s="830"/>
      <c r="DL126" s="830"/>
      <c r="DM126" s="830"/>
      <c r="DN126" s="830"/>
      <c r="DO126" s="830"/>
      <c r="DP126" s="830"/>
      <c r="DQ126" s="830"/>
      <c r="DR126" s="830"/>
      <c r="DS126" s="830"/>
      <c r="DT126" s="830"/>
      <c r="DU126" s="830"/>
      <c r="DV126" s="830"/>
      <c r="DW126" s="830"/>
      <c r="DX126" s="830"/>
      <c r="DY126" s="830"/>
      <c r="DZ126" s="830"/>
      <c r="EA126" s="830"/>
      <c r="EB126" s="830"/>
      <c r="EC126" s="830"/>
      <c r="ED126" s="830"/>
      <c r="EE126" s="830"/>
      <c r="EF126" s="830"/>
      <c r="EG126" s="830"/>
      <c r="EH126" s="830"/>
      <c r="EI126" s="830"/>
      <c r="EJ126" s="830"/>
      <c r="EK126" s="830"/>
      <c r="EL126" s="830"/>
      <c r="EM126" s="830"/>
      <c r="EN126" s="830"/>
      <c r="EO126" s="830"/>
      <c r="EP126" s="830"/>
      <c r="EQ126" s="830"/>
      <c r="ER126" s="830"/>
      <c r="ES126" s="830"/>
      <c r="ET126" s="830"/>
      <c r="EU126" s="830"/>
      <c r="EV126" s="830"/>
      <c r="EW126" s="830"/>
      <c r="EX126" s="830"/>
      <c r="EY126" s="830"/>
      <c r="EZ126" s="830"/>
      <c r="FA126" s="830"/>
      <c r="FB126" s="830"/>
      <c r="FC126" s="830"/>
      <c r="FD126" s="830"/>
      <c r="FE126" s="830"/>
      <c r="FF126" s="830"/>
      <c r="FG126" s="830"/>
      <c r="FH126" s="830"/>
      <c r="FI126" s="830"/>
      <c r="FJ126" s="830"/>
      <c r="FK126" s="830"/>
      <c r="FL126" s="830"/>
      <c r="FM126" s="830"/>
      <c r="FN126" s="830"/>
      <c r="FO126" s="830"/>
      <c r="FP126" s="830"/>
    </row>
    <row r="127" spans="2:175" s="16" customFormat="1">
      <c r="B127" s="75" t="str">
        <f>LEFT(TEXT( DATE(Cover!$C$7,Cover!$C$8,1),"mmmm"),3)</f>
        <v>Jun</v>
      </c>
      <c r="C127" s="188">
        <f>Cover!C7</f>
        <v>2025</v>
      </c>
      <c r="D127" s="188"/>
      <c r="G127" s="17"/>
      <c r="H127" s="17"/>
      <c r="I127" s="17"/>
      <c r="J127" s="17"/>
      <c r="L127" s="52"/>
      <c r="M127" s="52"/>
      <c r="N127" s="52"/>
      <c r="O127" s="52"/>
      <c r="P127" s="52"/>
      <c r="Q127" s="52">
        <v>0.45</v>
      </c>
      <c r="R127" s="18">
        <v>0.68420000000000003</v>
      </c>
      <c r="U127" s="17" t="s">
        <v>244</v>
      </c>
      <c r="V127" s="19" t="str">
        <f>V2</f>
        <v>14/6/2025</v>
      </c>
      <c r="X127" s="75" t="str">
        <f>LEFT(TEXT( DATE(Cover!$C$7,Cover!$C$8,1),"mmmm"),3)</f>
        <v>Jun</v>
      </c>
      <c r="Y127" s="188">
        <f>Cover!C7</f>
        <v>2025</v>
      </c>
      <c r="Z127" s="188"/>
      <c r="ER127" s="833" t="s">
        <v>67</v>
      </c>
      <c r="ES127" s="833"/>
      <c r="ET127" s="833"/>
      <c r="EU127" s="833"/>
      <c r="EV127" s="833"/>
      <c r="EW127" s="833"/>
      <c r="EX127" s="833"/>
      <c r="EY127" s="833"/>
      <c r="EZ127" s="833"/>
      <c r="FA127" s="833"/>
      <c r="FB127" s="833"/>
      <c r="FC127" s="18">
        <v>0.33333299999999999</v>
      </c>
      <c r="FD127" s="17"/>
      <c r="FE127" s="18">
        <f>R2</f>
        <v>0.45</v>
      </c>
      <c r="FF127" s="18"/>
      <c r="FH127" s="18"/>
      <c r="FI127" s="17"/>
      <c r="FJ127" s="17"/>
      <c r="FK127" s="17" t="s">
        <v>244</v>
      </c>
      <c r="FL127" s="17"/>
      <c r="FM127" s="17"/>
      <c r="FN127" s="17"/>
      <c r="FO127" s="17"/>
      <c r="FP127" s="809" t="str">
        <f>V2</f>
        <v>14/6/2025</v>
      </c>
      <c r="FQ127" s="809"/>
    </row>
    <row r="128" spans="2:175" s="53" customFormat="1" ht="45.75" customHeight="1">
      <c r="B128" s="782" t="s">
        <v>181</v>
      </c>
      <c r="C128" s="766" t="s">
        <v>27</v>
      </c>
      <c r="D128" s="766" t="s">
        <v>69</v>
      </c>
      <c r="E128" s="761" t="s">
        <v>245</v>
      </c>
      <c r="F128" s="761" t="s">
        <v>246</v>
      </c>
      <c r="G128" s="761" t="s">
        <v>247</v>
      </c>
      <c r="H128" s="761" t="s">
        <v>248</v>
      </c>
      <c r="I128" s="761" t="s">
        <v>249</v>
      </c>
      <c r="J128" s="761" t="s">
        <v>250</v>
      </c>
      <c r="K128" s="761" t="s">
        <v>251</v>
      </c>
      <c r="L128" s="761" t="s">
        <v>252</v>
      </c>
      <c r="M128" s="761" t="s">
        <v>253</v>
      </c>
      <c r="N128" s="761" t="s">
        <v>254</v>
      </c>
      <c r="O128" s="761" t="s">
        <v>255</v>
      </c>
      <c r="P128" s="761" t="s">
        <v>256</v>
      </c>
      <c r="Q128" s="828" t="str">
        <f>"Target "     &amp;      $X$127</f>
        <v>Target Jun</v>
      </c>
      <c r="R128" s="782" t="s">
        <v>257</v>
      </c>
      <c r="S128" s="816" t="s">
        <v>258</v>
      </c>
      <c r="T128" s="831" t="s">
        <v>78</v>
      </c>
      <c r="U128" s="812" t="s">
        <v>259</v>
      </c>
      <c r="V128" s="709" t="s">
        <v>260</v>
      </c>
      <c r="X128" s="766" t="s">
        <v>119</v>
      </c>
      <c r="Y128" s="766" t="s">
        <v>27</v>
      </c>
      <c r="Z128" s="766" t="s">
        <v>69</v>
      </c>
      <c r="AA128" s="761" t="s">
        <v>245</v>
      </c>
      <c r="AB128" s="761" t="s">
        <v>102</v>
      </c>
      <c r="AC128" s="801" t="s">
        <v>258</v>
      </c>
      <c r="AD128" s="802"/>
      <c r="AE128" s="802"/>
      <c r="AF128" s="802"/>
      <c r="AG128" s="803" t="s">
        <v>285</v>
      </c>
      <c r="AH128" s="804"/>
      <c r="AI128" s="804"/>
      <c r="AJ128" s="804"/>
      <c r="AK128" s="761" t="s">
        <v>246</v>
      </c>
      <c r="AL128" s="761" t="s">
        <v>102</v>
      </c>
      <c r="AM128" s="801" t="s">
        <v>258</v>
      </c>
      <c r="AN128" s="802"/>
      <c r="AO128" s="802"/>
      <c r="AP128" s="802"/>
      <c r="AQ128" s="803" t="s">
        <v>285</v>
      </c>
      <c r="AR128" s="804"/>
      <c r="AS128" s="804"/>
      <c r="AT128" s="804"/>
      <c r="AU128" s="761" t="s">
        <v>247</v>
      </c>
      <c r="AV128" s="761" t="s">
        <v>102</v>
      </c>
      <c r="AW128" s="801" t="s">
        <v>258</v>
      </c>
      <c r="AX128" s="802"/>
      <c r="AY128" s="802"/>
      <c r="AZ128" s="802"/>
      <c r="BA128" s="803" t="s">
        <v>285</v>
      </c>
      <c r="BB128" s="804"/>
      <c r="BC128" s="804"/>
      <c r="BD128" s="804"/>
      <c r="BE128" s="761" t="s">
        <v>248</v>
      </c>
      <c r="BF128" s="761" t="s">
        <v>102</v>
      </c>
      <c r="BG128" s="801" t="s">
        <v>258</v>
      </c>
      <c r="BH128" s="802"/>
      <c r="BI128" s="802"/>
      <c r="BJ128" s="802"/>
      <c r="BK128" s="803" t="s">
        <v>285</v>
      </c>
      <c r="BL128" s="804"/>
      <c r="BM128" s="804"/>
      <c r="BN128" s="804"/>
      <c r="BO128" s="761" t="s">
        <v>249</v>
      </c>
      <c r="BP128" s="761" t="s">
        <v>102</v>
      </c>
      <c r="BQ128" s="801" t="s">
        <v>258</v>
      </c>
      <c r="BR128" s="802"/>
      <c r="BS128" s="802"/>
      <c r="BT128" s="802"/>
      <c r="BU128" s="803" t="s">
        <v>285</v>
      </c>
      <c r="BV128" s="804"/>
      <c r="BW128" s="804"/>
      <c r="BX128" s="804"/>
      <c r="BY128" s="761" t="s">
        <v>250</v>
      </c>
      <c r="BZ128" s="761" t="s">
        <v>102</v>
      </c>
      <c r="CA128" s="801" t="s">
        <v>258</v>
      </c>
      <c r="CB128" s="802"/>
      <c r="CC128" s="802"/>
      <c r="CD128" s="802"/>
      <c r="CE128" s="803" t="s">
        <v>285</v>
      </c>
      <c r="CF128" s="804"/>
      <c r="CG128" s="804"/>
      <c r="CH128" s="804"/>
      <c r="CI128" s="761" t="s">
        <v>251</v>
      </c>
      <c r="CJ128" s="761" t="s">
        <v>102</v>
      </c>
      <c r="CK128" s="801" t="s">
        <v>258</v>
      </c>
      <c r="CL128" s="802"/>
      <c r="CM128" s="802"/>
      <c r="CN128" s="802"/>
      <c r="CO128" s="803" t="s">
        <v>285</v>
      </c>
      <c r="CP128" s="804"/>
      <c r="CQ128" s="804"/>
      <c r="CR128" s="804"/>
      <c r="CS128" s="761" t="s">
        <v>252</v>
      </c>
      <c r="CT128" s="761" t="s">
        <v>102</v>
      </c>
      <c r="CU128" s="801" t="s">
        <v>258</v>
      </c>
      <c r="CV128" s="802"/>
      <c r="CW128" s="802"/>
      <c r="CX128" s="802"/>
      <c r="CY128" s="803" t="s">
        <v>285</v>
      </c>
      <c r="CZ128" s="804"/>
      <c r="DA128" s="804"/>
      <c r="DB128" s="804"/>
      <c r="DC128" s="761" t="s">
        <v>253</v>
      </c>
      <c r="DD128" s="761" t="s">
        <v>102</v>
      </c>
      <c r="DE128" s="801" t="s">
        <v>258</v>
      </c>
      <c r="DF128" s="802"/>
      <c r="DG128" s="802"/>
      <c r="DH128" s="802"/>
      <c r="DI128" s="803" t="s">
        <v>285</v>
      </c>
      <c r="DJ128" s="804"/>
      <c r="DK128" s="804"/>
      <c r="DL128" s="804"/>
      <c r="DM128" s="761" t="s">
        <v>254</v>
      </c>
      <c r="DN128" s="761" t="s">
        <v>102</v>
      </c>
      <c r="DO128" s="801" t="s">
        <v>258</v>
      </c>
      <c r="DP128" s="802"/>
      <c r="DQ128" s="802"/>
      <c r="DR128" s="802"/>
      <c r="DS128" s="803" t="s">
        <v>285</v>
      </c>
      <c r="DT128" s="804"/>
      <c r="DU128" s="804"/>
      <c r="DV128" s="804"/>
      <c r="DW128" s="761" t="s">
        <v>255</v>
      </c>
      <c r="DX128" s="761" t="s">
        <v>102</v>
      </c>
      <c r="DY128" s="801" t="s">
        <v>258</v>
      </c>
      <c r="DZ128" s="802"/>
      <c r="EA128" s="802"/>
      <c r="EB128" s="802"/>
      <c r="EC128" s="803" t="s">
        <v>285</v>
      </c>
      <c r="ED128" s="804"/>
      <c r="EE128" s="804"/>
      <c r="EF128" s="804"/>
      <c r="EG128" s="761" t="s">
        <v>256</v>
      </c>
      <c r="EH128" s="761" t="s">
        <v>102</v>
      </c>
      <c r="EI128" s="801" t="s">
        <v>258</v>
      </c>
      <c r="EJ128" s="802"/>
      <c r="EK128" s="802"/>
      <c r="EL128" s="802"/>
      <c r="EM128" s="803" t="s">
        <v>285</v>
      </c>
      <c r="EN128" s="804"/>
      <c r="EO128" s="804"/>
      <c r="EP128" s="804"/>
      <c r="EQ128" s="828" t="str">
        <f>"Target "  &amp;    $X$127</f>
        <v>Target Jun</v>
      </c>
      <c r="ER128" s="826" t="s">
        <v>257</v>
      </c>
      <c r="ES128" s="827"/>
      <c r="ET128" s="827"/>
      <c r="EU128" s="827"/>
      <c r="EV128" s="837" t="s">
        <v>286</v>
      </c>
      <c r="EW128" s="838"/>
      <c r="EX128" s="838"/>
      <c r="EY128" s="838"/>
      <c r="EZ128" s="801" t="s">
        <v>258</v>
      </c>
      <c r="FA128" s="802"/>
      <c r="FB128" s="802"/>
      <c r="FC128" s="802"/>
      <c r="FD128" s="814" t="s">
        <v>285</v>
      </c>
      <c r="FE128" s="815"/>
      <c r="FF128" s="815"/>
      <c r="FG128" s="815"/>
      <c r="FH128" s="834" t="s">
        <v>78</v>
      </c>
      <c r="FI128" s="835"/>
      <c r="FJ128" s="835"/>
      <c r="FK128" s="836"/>
      <c r="FL128" s="823" t="s">
        <v>287</v>
      </c>
      <c r="FM128" s="824"/>
      <c r="FN128" s="824"/>
      <c r="FO128" s="825"/>
      <c r="FP128" s="812" t="s">
        <v>259</v>
      </c>
      <c r="FQ128" s="709" t="s">
        <v>260</v>
      </c>
      <c r="FR128" s="793" t="s">
        <v>288</v>
      </c>
      <c r="FS128" s="795" t="s">
        <v>262</v>
      </c>
    </row>
    <row r="129" spans="2:177" s="53" customFormat="1" ht="45.75" customHeight="1">
      <c r="B129" s="783"/>
      <c r="C129" s="748"/>
      <c r="D129" s="748"/>
      <c r="E129" s="732"/>
      <c r="F129" s="732"/>
      <c r="G129" s="732"/>
      <c r="H129" s="732"/>
      <c r="I129" s="732"/>
      <c r="J129" s="732"/>
      <c r="K129" s="732"/>
      <c r="L129" s="732"/>
      <c r="M129" s="732"/>
      <c r="N129" s="732"/>
      <c r="O129" s="732"/>
      <c r="P129" s="732"/>
      <c r="Q129" s="829"/>
      <c r="R129" s="783"/>
      <c r="S129" s="817"/>
      <c r="T129" s="832"/>
      <c r="U129" s="813"/>
      <c r="V129" s="710"/>
      <c r="X129" s="748"/>
      <c r="Y129" s="748"/>
      <c r="Z129" s="748"/>
      <c r="AA129" s="732"/>
      <c r="AB129" s="732"/>
      <c r="AC129" s="54" t="s">
        <v>136</v>
      </c>
      <c r="AD129" s="54" t="s">
        <v>151</v>
      </c>
      <c r="AE129" s="54" t="s">
        <v>150</v>
      </c>
      <c r="AF129" s="54" t="s">
        <v>281</v>
      </c>
      <c r="AG129" s="69" t="s">
        <v>289</v>
      </c>
      <c r="AH129" s="69" t="s">
        <v>290</v>
      </c>
      <c r="AI129" s="69" t="s">
        <v>291</v>
      </c>
      <c r="AJ129" s="69" t="s">
        <v>292</v>
      </c>
      <c r="AK129" s="732"/>
      <c r="AL129" s="732"/>
      <c r="AM129" s="54" t="s">
        <v>136</v>
      </c>
      <c r="AN129" s="54" t="s">
        <v>151</v>
      </c>
      <c r="AO129" s="54" t="s">
        <v>150</v>
      </c>
      <c r="AP129" s="54" t="s">
        <v>281</v>
      </c>
      <c r="AQ129" s="69" t="s">
        <v>289</v>
      </c>
      <c r="AR129" s="69" t="s">
        <v>290</v>
      </c>
      <c r="AS129" s="69" t="s">
        <v>291</v>
      </c>
      <c r="AT129" s="69" t="s">
        <v>292</v>
      </c>
      <c r="AU129" s="732"/>
      <c r="AV129" s="732"/>
      <c r="AW129" s="54" t="s">
        <v>136</v>
      </c>
      <c r="AX129" s="54" t="s">
        <v>151</v>
      </c>
      <c r="AY129" s="54" t="s">
        <v>150</v>
      </c>
      <c r="AZ129" s="54" t="s">
        <v>281</v>
      </c>
      <c r="BA129" s="69" t="s">
        <v>289</v>
      </c>
      <c r="BB129" s="69" t="s">
        <v>290</v>
      </c>
      <c r="BC129" s="69" t="s">
        <v>291</v>
      </c>
      <c r="BD129" s="69" t="s">
        <v>292</v>
      </c>
      <c r="BE129" s="732"/>
      <c r="BF129" s="732"/>
      <c r="BG129" s="54" t="s">
        <v>136</v>
      </c>
      <c r="BH129" s="54" t="s">
        <v>151</v>
      </c>
      <c r="BI129" s="54" t="s">
        <v>150</v>
      </c>
      <c r="BJ129" s="54" t="s">
        <v>281</v>
      </c>
      <c r="BK129" s="69" t="s">
        <v>289</v>
      </c>
      <c r="BL129" s="69" t="s">
        <v>290</v>
      </c>
      <c r="BM129" s="69" t="s">
        <v>291</v>
      </c>
      <c r="BN129" s="69" t="s">
        <v>292</v>
      </c>
      <c r="BO129" s="732"/>
      <c r="BP129" s="732"/>
      <c r="BQ129" s="54" t="s">
        <v>136</v>
      </c>
      <c r="BR129" s="54" t="s">
        <v>151</v>
      </c>
      <c r="BS129" s="54" t="s">
        <v>150</v>
      </c>
      <c r="BT129" s="54" t="s">
        <v>281</v>
      </c>
      <c r="BU129" s="69" t="s">
        <v>289</v>
      </c>
      <c r="BV129" s="69" t="s">
        <v>290</v>
      </c>
      <c r="BW129" s="69" t="s">
        <v>291</v>
      </c>
      <c r="BX129" s="69" t="s">
        <v>292</v>
      </c>
      <c r="BY129" s="732"/>
      <c r="BZ129" s="732"/>
      <c r="CA129" s="54" t="s">
        <v>136</v>
      </c>
      <c r="CB129" s="54" t="s">
        <v>151</v>
      </c>
      <c r="CC129" s="54" t="s">
        <v>150</v>
      </c>
      <c r="CD129" s="54" t="s">
        <v>281</v>
      </c>
      <c r="CE129" s="69" t="s">
        <v>289</v>
      </c>
      <c r="CF129" s="69" t="s">
        <v>290</v>
      </c>
      <c r="CG129" s="69" t="s">
        <v>291</v>
      </c>
      <c r="CH129" s="69" t="s">
        <v>292</v>
      </c>
      <c r="CI129" s="732"/>
      <c r="CJ129" s="732"/>
      <c r="CK129" s="54" t="s">
        <v>136</v>
      </c>
      <c r="CL129" s="54" t="s">
        <v>151</v>
      </c>
      <c r="CM129" s="54" t="s">
        <v>150</v>
      </c>
      <c r="CN129" s="54" t="s">
        <v>281</v>
      </c>
      <c r="CO129" s="69" t="s">
        <v>289</v>
      </c>
      <c r="CP129" s="69" t="s">
        <v>290</v>
      </c>
      <c r="CQ129" s="69" t="s">
        <v>291</v>
      </c>
      <c r="CR129" s="69" t="s">
        <v>292</v>
      </c>
      <c r="CS129" s="732"/>
      <c r="CT129" s="732"/>
      <c r="CU129" s="54" t="s">
        <v>136</v>
      </c>
      <c r="CV129" s="54" t="s">
        <v>151</v>
      </c>
      <c r="CW129" s="54" t="s">
        <v>150</v>
      </c>
      <c r="CX129" s="54" t="s">
        <v>281</v>
      </c>
      <c r="CY129" s="69" t="s">
        <v>289</v>
      </c>
      <c r="CZ129" s="69" t="s">
        <v>290</v>
      </c>
      <c r="DA129" s="69" t="s">
        <v>291</v>
      </c>
      <c r="DB129" s="69" t="s">
        <v>292</v>
      </c>
      <c r="DC129" s="732"/>
      <c r="DD129" s="732"/>
      <c r="DE129" s="54" t="s">
        <v>136</v>
      </c>
      <c r="DF129" s="54" t="s">
        <v>151</v>
      </c>
      <c r="DG129" s="54" t="s">
        <v>150</v>
      </c>
      <c r="DH129" s="54" t="s">
        <v>281</v>
      </c>
      <c r="DI129" s="69" t="s">
        <v>289</v>
      </c>
      <c r="DJ129" s="69" t="s">
        <v>290</v>
      </c>
      <c r="DK129" s="69" t="s">
        <v>291</v>
      </c>
      <c r="DL129" s="69" t="s">
        <v>292</v>
      </c>
      <c r="DM129" s="732"/>
      <c r="DN129" s="732"/>
      <c r="DO129" s="54" t="s">
        <v>136</v>
      </c>
      <c r="DP129" s="54" t="s">
        <v>151</v>
      </c>
      <c r="DQ129" s="54" t="s">
        <v>150</v>
      </c>
      <c r="DR129" s="54" t="s">
        <v>281</v>
      </c>
      <c r="DS129" s="69" t="s">
        <v>289</v>
      </c>
      <c r="DT129" s="69" t="s">
        <v>290</v>
      </c>
      <c r="DU129" s="69" t="s">
        <v>291</v>
      </c>
      <c r="DV129" s="69" t="s">
        <v>292</v>
      </c>
      <c r="DW129" s="732"/>
      <c r="DX129" s="732"/>
      <c r="DY129" s="54" t="s">
        <v>136</v>
      </c>
      <c r="DZ129" s="54" t="s">
        <v>151</v>
      </c>
      <c r="EA129" s="54" t="s">
        <v>150</v>
      </c>
      <c r="EB129" s="54" t="s">
        <v>281</v>
      </c>
      <c r="EC129" s="69" t="s">
        <v>289</v>
      </c>
      <c r="ED129" s="69" t="s">
        <v>290</v>
      </c>
      <c r="EE129" s="69" t="s">
        <v>291</v>
      </c>
      <c r="EF129" s="69" t="s">
        <v>292</v>
      </c>
      <c r="EG129" s="732"/>
      <c r="EH129" s="732"/>
      <c r="EI129" s="54" t="s">
        <v>136</v>
      </c>
      <c r="EJ129" s="54" t="s">
        <v>151</v>
      </c>
      <c r="EK129" s="54" t="s">
        <v>150</v>
      </c>
      <c r="EL129" s="54" t="s">
        <v>281</v>
      </c>
      <c r="EM129" s="69" t="s">
        <v>289</v>
      </c>
      <c r="EN129" s="69" t="s">
        <v>290</v>
      </c>
      <c r="EO129" s="69" t="s">
        <v>291</v>
      </c>
      <c r="EP129" s="69" t="s">
        <v>292</v>
      </c>
      <c r="EQ129" s="829"/>
      <c r="ER129" s="71" t="s">
        <v>136</v>
      </c>
      <c r="ES129" s="71" t="s">
        <v>151</v>
      </c>
      <c r="ET129" s="71" t="s">
        <v>150</v>
      </c>
      <c r="EU129" s="71" t="s">
        <v>281</v>
      </c>
      <c r="EV129" s="55" t="s">
        <v>289</v>
      </c>
      <c r="EW129" s="55" t="s">
        <v>290</v>
      </c>
      <c r="EX129" s="55" t="s">
        <v>291</v>
      </c>
      <c r="EY129" s="55" t="s">
        <v>292</v>
      </c>
      <c r="EZ129" s="54" t="s">
        <v>136</v>
      </c>
      <c r="FA129" s="54" t="s">
        <v>151</v>
      </c>
      <c r="FB129" s="54" t="s">
        <v>150</v>
      </c>
      <c r="FC129" s="54" t="s">
        <v>281</v>
      </c>
      <c r="FD129" s="68" t="s">
        <v>289</v>
      </c>
      <c r="FE129" s="68" t="s">
        <v>290</v>
      </c>
      <c r="FF129" s="68" t="s">
        <v>291</v>
      </c>
      <c r="FG129" s="68" t="s">
        <v>292</v>
      </c>
      <c r="FH129" s="56" t="s">
        <v>136</v>
      </c>
      <c r="FI129" s="56" t="s">
        <v>151</v>
      </c>
      <c r="FJ129" s="56" t="s">
        <v>150</v>
      </c>
      <c r="FK129" s="56" t="s">
        <v>281</v>
      </c>
      <c r="FL129" s="80" t="s">
        <v>289</v>
      </c>
      <c r="FM129" s="80" t="s">
        <v>290</v>
      </c>
      <c r="FN129" s="80" t="s">
        <v>291</v>
      </c>
      <c r="FO129" s="80" t="s">
        <v>292</v>
      </c>
      <c r="FP129" s="813"/>
      <c r="FQ129" s="710"/>
      <c r="FR129" s="794"/>
      <c r="FS129" s="796"/>
    </row>
    <row r="130" spans="2:177" ht="15" customHeight="1" outlineLevel="1">
      <c r="B130" s="20" t="s">
        <v>137</v>
      </c>
      <c r="C130" s="74" t="s">
        <v>44</v>
      </c>
      <c r="D130" s="576" t="s">
        <v>83</v>
      </c>
      <c r="E130" s="582">
        <v>2.0580799999999999</v>
      </c>
      <c r="F130" s="582">
        <v>1.8151999999999999</v>
      </c>
      <c r="G130" s="582">
        <v>1.9505999999999999</v>
      </c>
      <c r="H130" s="582">
        <v>1.9933399999999999</v>
      </c>
      <c r="I130" s="582">
        <v>1.6952</v>
      </c>
      <c r="J130" s="582">
        <v>1.02878</v>
      </c>
      <c r="K130" s="582"/>
      <c r="L130" s="582"/>
      <c r="M130" s="582"/>
      <c r="N130" s="582"/>
      <c r="O130" s="582"/>
      <c r="P130" s="582"/>
      <c r="Q130" s="582"/>
      <c r="R130" s="582">
        <f>IFERROR(SUMIFS(Daily_Vol_yesterday[Order Quantity],Daily_Vol_yesterday[Cust_Cat.Customer category],  "Key Account",Daily_Vol_yesterday[Map_Product.TME_SKU],master_Daily!D130)/50000,0)</f>
        <v>2.3199999999999998E-2</v>
      </c>
      <c r="S130" s="582">
        <f>IFERROR(SUM(SUMIFS(Weekly_Vol[Quantity],Weekly_Vol[Cust_Cat.Customer category],  "Key Account",Weekly_Vol[Map_Product.TME_SKU],master_Daily!D130))/50000,0)</f>
        <v>1.02878</v>
      </c>
      <c r="T130" s="583">
        <f t="shared" ref="T130" si="16">SUM(E130:P130)</f>
        <v>10.5412</v>
      </c>
      <c r="U130" s="584">
        <f>IFERROR(T130/$T$134,0)</f>
        <v>0.30786502677595118</v>
      </c>
      <c r="V130" s="280">
        <f>IFERROR(S130/Q130,0)</f>
        <v>0</v>
      </c>
      <c r="X130" s="20" t="s">
        <v>136</v>
      </c>
      <c r="Y130" s="74" t="s">
        <v>44</v>
      </c>
      <c r="Z130" s="576" t="s">
        <v>83</v>
      </c>
      <c r="AA130" s="582"/>
      <c r="AB130" s="582"/>
      <c r="AC130" s="582">
        <v>5.74E-2</v>
      </c>
      <c r="AD130" s="582"/>
      <c r="AE130" s="582"/>
      <c r="AF130" s="582"/>
      <c r="AG130" s="582"/>
      <c r="AH130" s="582"/>
      <c r="AI130" s="582"/>
      <c r="AJ130" s="582"/>
      <c r="AK130" s="582"/>
      <c r="AL130" s="582"/>
      <c r="AM130" s="582">
        <v>3.9E-2</v>
      </c>
      <c r="AN130" s="582"/>
      <c r="AO130" s="582"/>
      <c r="AP130" s="582"/>
      <c r="AQ130" s="582"/>
      <c r="AR130" s="582"/>
      <c r="AS130" s="582"/>
      <c r="AT130" s="582"/>
      <c r="AU130" s="582"/>
      <c r="AV130" s="582"/>
      <c r="AW130" s="582">
        <v>4.2000000000000003E-2</v>
      </c>
      <c r="AX130" s="582"/>
      <c r="AY130" s="582"/>
      <c r="AZ130" s="582"/>
      <c r="BA130" s="582"/>
      <c r="BB130" s="582"/>
      <c r="BC130" s="582"/>
      <c r="BD130" s="582"/>
      <c r="BE130" s="582"/>
      <c r="BF130" s="582"/>
      <c r="BG130" s="582">
        <v>4.5400000000000003E-2</v>
      </c>
      <c r="BH130" s="582"/>
      <c r="BI130" s="582"/>
      <c r="BJ130" s="582"/>
      <c r="BK130" s="582"/>
      <c r="BL130" s="582"/>
      <c r="BM130" s="582"/>
      <c r="BN130" s="582"/>
      <c r="BO130" s="582"/>
      <c r="BP130" s="582"/>
      <c r="BQ130" s="582">
        <v>4.3400000000000001E-2</v>
      </c>
      <c r="BR130" s="582"/>
      <c r="BS130" s="582"/>
      <c r="BT130" s="582"/>
      <c r="BU130" s="582"/>
      <c r="BV130" s="582"/>
      <c r="BW130" s="582"/>
      <c r="BX130" s="582"/>
      <c r="BY130" s="582"/>
      <c r="BZ130" s="582"/>
      <c r="CA130" s="582">
        <v>2.4E-2</v>
      </c>
      <c r="CB130" s="582"/>
      <c r="CC130" s="582"/>
      <c r="CD130" s="582"/>
      <c r="CE130" s="582"/>
      <c r="CF130" s="582"/>
      <c r="CG130" s="582"/>
      <c r="CH130" s="582"/>
      <c r="CI130" s="582"/>
      <c r="CJ130" s="582"/>
      <c r="CK130" s="582"/>
      <c r="CL130" s="582"/>
      <c r="CM130" s="582"/>
      <c r="CN130" s="582"/>
      <c r="CO130" s="582"/>
      <c r="CP130" s="582"/>
      <c r="CQ130" s="582"/>
      <c r="CR130" s="582"/>
      <c r="CS130" s="582"/>
      <c r="CT130" s="582"/>
      <c r="CU130" s="582"/>
      <c r="CV130" s="582"/>
      <c r="CW130" s="582"/>
      <c r="CX130" s="582"/>
      <c r="CY130" s="582"/>
      <c r="CZ130" s="582"/>
      <c r="DA130" s="582"/>
      <c r="DB130" s="582"/>
      <c r="DC130" s="582"/>
      <c r="DD130" s="582"/>
      <c r="DE130" s="582"/>
      <c r="DF130" s="582"/>
      <c r="DG130" s="582"/>
      <c r="DH130" s="582"/>
      <c r="DI130" s="582"/>
      <c r="DJ130" s="582"/>
      <c r="DK130" s="582"/>
      <c r="DL130" s="582"/>
      <c r="DM130" s="582"/>
      <c r="DN130" s="582"/>
      <c r="DO130" s="582"/>
      <c r="DP130" s="582"/>
      <c r="DQ130" s="582"/>
      <c r="DR130" s="582"/>
      <c r="DS130" s="582"/>
      <c r="DT130" s="582"/>
      <c r="DU130" s="582"/>
      <c r="DV130" s="582"/>
      <c r="DW130" s="582"/>
      <c r="DX130" s="582"/>
      <c r="DY130" s="582"/>
      <c r="DZ130" s="582"/>
      <c r="EA130" s="582"/>
      <c r="EB130" s="582"/>
      <c r="EC130" s="582"/>
      <c r="ED130" s="582"/>
      <c r="EE130" s="582"/>
      <c r="EF130" s="582"/>
      <c r="EG130" s="582"/>
      <c r="EH130" s="582"/>
      <c r="EI130" s="582"/>
      <c r="EJ130" s="582"/>
      <c r="EK130" s="582"/>
      <c r="EL130" s="582"/>
      <c r="EM130" s="582"/>
      <c r="EN130" s="582"/>
      <c r="EO130" s="582"/>
      <c r="EP130" s="582"/>
      <c r="EQ130" s="591"/>
      <c r="ER130" s="582">
        <f>IFERROR(SUMIFS(Daily_Vol_yesterday[Order Quantity],Daily_Vol_yesterday[Cust_Cat.Customer category],  "&lt;&gt;Key Account",Daily_Vol_yesterday[Map_Product.TME_SKU],Z130)/50000,0)</f>
        <v>0</v>
      </c>
      <c r="ES130" s="582"/>
      <c r="ET130" s="582"/>
      <c r="EU130" s="582"/>
      <c r="EV130" s="582"/>
      <c r="EW130" s="582"/>
      <c r="EX130" s="582"/>
      <c r="EY130" s="582"/>
      <c r="EZ130" s="582">
        <f>IFERROR(SUM(SUMIFS(Weekly_Vol[Quantity],Weekly_Vol[Cust_Cat.Customer category],  "&lt;&gt;Key Account",Weekly_Vol[Map_Product.TME_SKU],Z130))/50000,0)</f>
        <v>2.4E-2</v>
      </c>
      <c r="FA130" s="582"/>
      <c r="FB130" s="582"/>
      <c r="FC130" s="582"/>
      <c r="FD130" s="582"/>
      <c r="FE130" s="582"/>
      <c r="FF130" s="582"/>
      <c r="FG130" s="582"/>
      <c r="FH130" s="582"/>
      <c r="FI130" s="582"/>
      <c r="FJ130" s="582"/>
      <c r="FK130" s="582"/>
      <c r="FL130" s="582"/>
      <c r="FM130" s="582"/>
      <c r="FN130" s="582"/>
      <c r="FO130" s="582"/>
      <c r="FP130" s="587"/>
      <c r="FQ130" s="280"/>
      <c r="FR130" s="582"/>
      <c r="FS130" s="280"/>
      <c r="FT130" s="469"/>
      <c r="FU130" s="289"/>
    </row>
    <row r="131" spans="2:177" ht="15" customHeight="1" outlineLevel="1">
      <c r="B131" s="20" t="s">
        <v>137</v>
      </c>
      <c r="C131" s="74" t="s">
        <v>44</v>
      </c>
      <c r="D131" s="576" t="s">
        <v>84</v>
      </c>
      <c r="E131" s="582">
        <v>1.1625799999999999</v>
      </c>
      <c r="F131" s="582">
        <v>0.99080000000000001</v>
      </c>
      <c r="G131" s="582">
        <v>1.3382000000000001</v>
      </c>
      <c r="H131" s="582">
        <v>1.4369799999999999</v>
      </c>
      <c r="I131" s="582">
        <v>1.4055599999999999</v>
      </c>
      <c r="J131" s="582">
        <v>0.66034000000000004</v>
      </c>
      <c r="K131" s="582"/>
      <c r="L131" s="582"/>
      <c r="M131" s="582"/>
      <c r="N131" s="582"/>
      <c r="O131" s="582"/>
      <c r="P131" s="582"/>
      <c r="Q131" s="582"/>
      <c r="R131" s="582">
        <f>IFERROR(SUMIFS(Daily_Vol_yesterday[Order Quantity],Daily_Vol_yesterday[Cust_Cat.Customer category],  "Key Account",Daily_Vol_yesterday[Map_Product.TME_SKU],master_Daily!D131)/50000,0)</f>
        <v>2.06E-2</v>
      </c>
      <c r="S131" s="582">
        <f>IFERROR(SUM(SUMIFS(Weekly_Vol[Quantity],Weekly_Vol[Cust_Cat.Customer category],  "Key Account",Weekly_Vol[Map_Product.TME_SKU],master_Daily!D131))/50000,0)</f>
        <v>0.66034000000000004</v>
      </c>
      <c r="T131" s="583">
        <f t="shared" ref="T131:T132" si="17">SUM(E131:P131)</f>
        <v>6.9944600000000001</v>
      </c>
      <c r="U131" s="584">
        <f>IFERROR(T131/$T$134,0)</f>
        <v>0.2042793624239479</v>
      </c>
      <c r="V131" s="280">
        <f t="shared" ref="V131:V132" si="18">IFERROR(S131/Q131,0)</f>
        <v>0</v>
      </c>
      <c r="X131" s="20" t="s">
        <v>136</v>
      </c>
      <c r="Y131" s="74" t="s">
        <v>44</v>
      </c>
      <c r="Z131" s="576" t="s">
        <v>84</v>
      </c>
      <c r="AA131" s="582"/>
      <c r="AB131" s="582"/>
      <c r="AC131" s="582">
        <v>2.24E-2</v>
      </c>
      <c r="AD131" s="582"/>
      <c r="AE131" s="582"/>
      <c r="AF131" s="582"/>
      <c r="AG131" s="582"/>
      <c r="AH131" s="582"/>
      <c r="AI131" s="582"/>
      <c r="AJ131" s="582"/>
      <c r="AK131" s="582"/>
      <c r="AL131" s="582"/>
      <c r="AM131" s="582">
        <v>1.4999999999999999E-2</v>
      </c>
      <c r="AN131" s="582"/>
      <c r="AO131" s="582"/>
      <c r="AP131" s="582"/>
      <c r="AQ131" s="582"/>
      <c r="AR131" s="582"/>
      <c r="AS131" s="582"/>
      <c r="AT131" s="582"/>
      <c r="AU131" s="582"/>
      <c r="AV131" s="582"/>
      <c r="AW131" s="582">
        <v>1.4999999999999999E-2</v>
      </c>
      <c r="AX131" s="582"/>
      <c r="AY131" s="582"/>
      <c r="AZ131" s="582"/>
      <c r="BA131" s="582"/>
      <c r="BB131" s="582"/>
      <c r="BC131" s="582"/>
      <c r="BD131" s="582"/>
      <c r="BE131" s="582"/>
      <c r="BF131" s="582"/>
      <c r="BG131" s="582">
        <v>1.5599999999999999E-2</v>
      </c>
      <c r="BH131" s="582"/>
      <c r="BI131" s="582"/>
      <c r="BJ131" s="582"/>
      <c r="BK131" s="582"/>
      <c r="BL131" s="582"/>
      <c r="BM131" s="582"/>
      <c r="BN131" s="582"/>
      <c r="BO131" s="582"/>
      <c r="BP131" s="582"/>
      <c r="BQ131" s="582">
        <v>9.4000000000000004E-3</v>
      </c>
      <c r="BR131" s="582"/>
      <c r="BS131" s="582"/>
      <c r="BT131" s="582"/>
      <c r="BU131" s="582"/>
      <c r="BV131" s="582"/>
      <c r="BW131" s="582"/>
      <c r="BX131" s="582"/>
      <c r="BY131" s="582"/>
      <c r="BZ131" s="582"/>
      <c r="CA131" s="582">
        <v>1.7000000000000001E-2</v>
      </c>
      <c r="CB131" s="582"/>
      <c r="CC131" s="582"/>
      <c r="CD131" s="582"/>
      <c r="CE131" s="582"/>
      <c r="CF131" s="582"/>
      <c r="CG131" s="582"/>
      <c r="CH131" s="582"/>
      <c r="CI131" s="582"/>
      <c r="CJ131" s="582"/>
      <c r="CK131" s="582"/>
      <c r="CL131" s="582"/>
      <c r="CM131" s="582"/>
      <c r="CN131" s="582"/>
      <c r="CO131" s="582"/>
      <c r="CP131" s="582"/>
      <c r="CQ131" s="582"/>
      <c r="CR131" s="582"/>
      <c r="CS131" s="582"/>
      <c r="CT131" s="582"/>
      <c r="CU131" s="582"/>
      <c r="CV131" s="582"/>
      <c r="CW131" s="582"/>
      <c r="CX131" s="582"/>
      <c r="CY131" s="582"/>
      <c r="CZ131" s="582"/>
      <c r="DA131" s="582"/>
      <c r="DB131" s="582"/>
      <c r="DC131" s="582"/>
      <c r="DD131" s="582"/>
      <c r="DE131" s="582"/>
      <c r="DF131" s="582"/>
      <c r="DG131" s="582"/>
      <c r="DH131" s="582"/>
      <c r="DI131" s="582"/>
      <c r="DJ131" s="582"/>
      <c r="DK131" s="582"/>
      <c r="DL131" s="582"/>
      <c r="DM131" s="582"/>
      <c r="DN131" s="582"/>
      <c r="DO131" s="582"/>
      <c r="DP131" s="582"/>
      <c r="DQ131" s="582"/>
      <c r="DR131" s="582"/>
      <c r="DS131" s="582"/>
      <c r="DT131" s="582"/>
      <c r="DU131" s="582"/>
      <c r="DV131" s="582"/>
      <c r="DW131" s="582"/>
      <c r="DX131" s="582"/>
      <c r="DY131" s="582"/>
      <c r="DZ131" s="582"/>
      <c r="EA131" s="582"/>
      <c r="EB131" s="582"/>
      <c r="EC131" s="582"/>
      <c r="ED131" s="582"/>
      <c r="EE131" s="582"/>
      <c r="EF131" s="582"/>
      <c r="EG131" s="582"/>
      <c r="EH131" s="582"/>
      <c r="EI131" s="582"/>
      <c r="EJ131" s="582"/>
      <c r="EK131" s="582"/>
      <c r="EL131" s="582"/>
      <c r="EM131" s="582"/>
      <c r="EN131" s="582"/>
      <c r="EO131" s="582"/>
      <c r="EP131" s="582"/>
      <c r="EQ131" s="591"/>
      <c r="ER131" s="582">
        <f>IFERROR(SUMIFS(Daily_Vol_yesterday[Order Quantity],Daily_Vol_yesterday[Cust_Cat.Customer category],  "&lt;&gt;Key Account",Daily_Vol_yesterday[Map_Product.TME_SKU],Z131)/50000,0)</f>
        <v>0</v>
      </c>
      <c r="ES131" s="582"/>
      <c r="ET131" s="582"/>
      <c r="EU131" s="582"/>
      <c r="EV131" s="582"/>
      <c r="EW131" s="582"/>
      <c r="EX131" s="582"/>
      <c r="EY131" s="582"/>
      <c r="EZ131" s="582">
        <f>IFERROR(SUM(SUMIFS(Weekly_Vol[Quantity],Weekly_Vol[Cust_Cat.Customer category],  "&lt;&gt;Key Account",Weekly_Vol[Map_Product.TME_SKU],Z131))/50000,0)</f>
        <v>1.7000000000000001E-2</v>
      </c>
      <c r="FA131" s="582"/>
      <c r="FB131" s="582"/>
      <c r="FC131" s="582"/>
      <c r="FD131" s="582"/>
      <c r="FE131" s="582"/>
      <c r="FF131" s="582"/>
      <c r="FG131" s="582"/>
      <c r="FH131" s="582"/>
      <c r="FI131" s="582"/>
      <c r="FJ131" s="582"/>
      <c r="FK131" s="582"/>
      <c r="FL131" s="582"/>
      <c r="FM131" s="582"/>
      <c r="FN131" s="582"/>
      <c r="FO131" s="582"/>
      <c r="FP131" s="587"/>
      <c r="FQ131" s="280"/>
      <c r="FR131" s="582"/>
      <c r="FS131" s="280"/>
      <c r="FT131" s="469"/>
      <c r="FU131" s="289"/>
    </row>
    <row r="132" spans="2:177" ht="15" customHeight="1" outlineLevel="1">
      <c r="B132" s="20" t="s">
        <v>137</v>
      </c>
      <c r="C132" s="74" t="s">
        <v>44</v>
      </c>
      <c r="D132" s="576" t="s">
        <v>85</v>
      </c>
      <c r="E132" s="582">
        <v>3.4063400000000001</v>
      </c>
      <c r="F132" s="582">
        <v>2.93058</v>
      </c>
      <c r="G132" s="582">
        <v>3.0202</v>
      </c>
      <c r="H132" s="582">
        <v>2.7899799999999999</v>
      </c>
      <c r="I132" s="582">
        <v>3.0521600000000002</v>
      </c>
      <c r="J132" s="582">
        <v>1.5047600000000001</v>
      </c>
      <c r="K132" s="582"/>
      <c r="L132" s="582"/>
      <c r="M132" s="582"/>
      <c r="N132" s="582"/>
      <c r="O132" s="582"/>
      <c r="P132" s="582"/>
      <c r="Q132" s="582"/>
      <c r="R132" s="582">
        <f>IFERROR(SUMIFS(Daily_Vol_yesterday[Order Quantity],Daily_Vol_yesterday[Cust_Cat.Customer category],  "Key Account",Daily_Vol_yesterday[Map_Product.TME_SKU],master_Daily!D132)/50000,0)</f>
        <v>4.7800000000000002E-2</v>
      </c>
      <c r="S132" s="582">
        <f>IFERROR(SUM(SUMIFS(Weekly_Vol[Quantity],Weekly_Vol[Cust_Cat.Customer category],  "Key Account",Weekly_Vol[Map_Product.TME_SKU],master_Daily!D132))/50000,0)</f>
        <v>1.5047600000000001</v>
      </c>
      <c r="T132" s="583">
        <f t="shared" si="17"/>
        <v>16.70402</v>
      </c>
      <c r="U132" s="584">
        <f>IFERROR(T132/$T$134,0)</f>
        <v>0.48785561080010093</v>
      </c>
      <c r="V132" s="280">
        <f t="shared" si="18"/>
        <v>0</v>
      </c>
      <c r="X132" s="20" t="s">
        <v>136</v>
      </c>
      <c r="Y132" s="74" t="s">
        <v>44</v>
      </c>
      <c r="Z132" s="576" t="s">
        <v>85</v>
      </c>
      <c r="AA132" s="582"/>
      <c r="AB132" s="582"/>
      <c r="AC132" s="582">
        <v>0.10879999999999999</v>
      </c>
      <c r="AD132" s="582"/>
      <c r="AE132" s="582"/>
      <c r="AF132" s="582"/>
      <c r="AG132" s="582"/>
      <c r="AH132" s="582"/>
      <c r="AI132" s="582"/>
      <c r="AJ132" s="582"/>
      <c r="AK132" s="582"/>
      <c r="AL132" s="582"/>
      <c r="AM132" s="582">
        <v>9.5399999999999999E-2</v>
      </c>
      <c r="AN132" s="582"/>
      <c r="AO132" s="582"/>
      <c r="AP132" s="582"/>
      <c r="AQ132" s="582"/>
      <c r="AR132" s="582"/>
      <c r="AS132" s="582"/>
      <c r="AT132" s="582"/>
      <c r="AU132" s="582"/>
      <c r="AV132" s="582"/>
      <c r="AW132" s="582">
        <v>9.9199999999999997E-2</v>
      </c>
      <c r="AX132" s="582"/>
      <c r="AY132" s="582"/>
      <c r="AZ132" s="582"/>
      <c r="BA132" s="582"/>
      <c r="BB132" s="582"/>
      <c r="BC132" s="582"/>
      <c r="BD132" s="582"/>
      <c r="BE132" s="582"/>
      <c r="BF132" s="582"/>
      <c r="BG132" s="582">
        <v>8.3199999999999996E-2</v>
      </c>
      <c r="BH132" s="582"/>
      <c r="BI132" s="582"/>
      <c r="BJ132" s="582"/>
      <c r="BK132" s="582"/>
      <c r="BL132" s="582"/>
      <c r="BM132" s="582"/>
      <c r="BN132" s="582"/>
      <c r="BO132" s="582"/>
      <c r="BP132" s="582"/>
      <c r="BQ132" s="582">
        <v>8.1600000000000006E-2</v>
      </c>
      <c r="BR132" s="582"/>
      <c r="BS132" s="582"/>
      <c r="BT132" s="582"/>
      <c r="BU132" s="582"/>
      <c r="BV132" s="582"/>
      <c r="BW132" s="582"/>
      <c r="BX132" s="582"/>
      <c r="BY132" s="582"/>
      <c r="BZ132" s="582"/>
      <c r="CA132" s="582">
        <v>6.7000000000000004E-2</v>
      </c>
      <c r="CB132" s="582"/>
      <c r="CC132" s="582"/>
      <c r="CD132" s="582"/>
      <c r="CE132" s="582"/>
      <c r="CF132" s="582"/>
      <c r="CG132" s="582"/>
      <c r="CH132" s="582"/>
      <c r="CI132" s="582"/>
      <c r="CJ132" s="582"/>
      <c r="CK132" s="582"/>
      <c r="CL132" s="582"/>
      <c r="CM132" s="582"/>
      <c r="CN132" s="582"/>
      <c r="CO132" s="582"/>
      <c r="CP132" s="582"/>
      <c r="CQ132" s="582"/>
      <c r="CR132" s="582"/>
      <c r="CS132" s="582"/>
      <c r="CT132" s="582"/>
      <c r="CU132" s="582"/>
      <c r="CV132" s="582"/>
      <c r="CW132" s="582"/>
      <c r="CX132" s="582"/>
      <c r="CY132" s="582"/>
      <c r="CZ132" s="582"/>
      <c r="DA132" s="582"/>
      <c r="DB132" s="582"/>
      <c r="DC132" s="582"/>
      <c r="DD132" s="582"/>
      <c r="DE132" s="582"/>
      <c r="DF132" s="582"/>
      <c r="DG132" s="582"/>
      <c r="DH132" s="582"/>
      <c r="DI132" s="582"/>
      <c r="DJ132" s="582"/>
      <c r="DK132" s="582"/>
      <c r="DL132" s="582"/>
      <c r="DM132" s="582"/>
      <c r="DN132" s="582"/>
      <c r="DO132" s="582"/>
      <c r="DP132" s="582"/>
      <c r="DQ132" s="582"/>
      <c r="DR132" s="582"/>
      <c r="DS132" s="582"/>
      <c r="DT132" s="582"/>
      <c r="DU132" s="582"/>
      <c r="DV132" s="582"/>
      <c r="DW132" s="582"/>
      <c r="DX132" s="582"/>
      <c r="DY132" s="582"/>
      <c r="DZ132" s="582"/>
      <c r="EA132" s="582"/>
      <c r="EB132" s="582"/>
      <c r="EC132" s="582"/>
      <c r="ED132" s="582"/>
      <c r="EE132" s="582"/>
      <c r="EF132" s="582"/>
      <c r="EG132" s="582"/>
      <c r="EH132" s="582"/>
      <c r="EI132" s="582"/>
      <c r="EJ132" s="582"/>
      <c r="EK132" s="582"/>
      <c r="EL132" s="582"/>
      <c r="EM132" s="582"/>
      <c r="EN132" s="582"/>
      <c r="EO132" s="582"/>
      <c r="EP132" s="582"/>
      <c r="EQ132" s="591"/>
      <c r="ER132" s="582">
        <f>IFERROR(SUMIFS(Daily_Vol_yesterday[Order Quantity],Daily_Vol_yesterday[Cust_Cat.Customer category],  "&lt;&gt;Key Account",Daily_Vol_yesterday[Map_Product.TME_SKU],Z132)/50000,0)</f>
        <v>1.2E-2</v>
      </c>
      <c r="ES132" s="582"/>
      <c r="ET132" s="582"/>
      <c r="EU132" s="582"/>
      <c r="EV132" s="582"/>
      <c r="EW132" s="582"/>
      <c r="EX132" s="582"/>
      <c r="EY132" s="582"/>
      <c r="EZ132" s="582">
        <f>IFERROR(SUM(SUMIFS(Weekly_Vol[Quantity],Weekly_Vol[Cust_Cat.Customer category],  "&lt;&gt;Key Account",Weekly_Vol[Map_Product.TME_SKU],Z132))/50000,0)</f>
        <v>6.7000000000000004E-2</v>
      </c>
      <c r="FA132" s="582"/>
      <c r="FB132" s="582"/>
      <c r="FC132" s="582"/>
      <c r="FD132" s="582"/>
      <c r="FE132" s="582"/>
      <c r="FF132" s="582"/>
      <c r="FG132" s="582"/>
      <c r="FH132" s="582"/>
      <c r="FI132" s="582"/>
      <c r="FJ132" s="582"/>
      <c r="FK132" s="582"/>
      <c r="FL132" s="582"/>
      <c r="FM132" s="582"/>
      <c r="FN132" s="582"/>
      <c r="FO132" s="582"/>
      <c r="FP132" s="587"/>
      <c r="FQ132" s="280"/>
      <c r="FR132" s="582"/>
      <c r="FS132" s="280"/>
      <c r="FT132" s="469"/>
      <c r="FU132" s="289"/>
    </row>
    <row r="133" spans="2:177" ht="15" customHeight="1" outlineLevel="1">
      <c r="B133" s="20" t="s">
        <v>137</v>
      </c>
      <c r="C133" s="74" t="s">
        <v>44</v>
      </c>
      <c r="D133" s="581"/>
      <c r="E133" s="582"/>
      <c r="F133" s="582"/>
      <c r="G133" s="582"/>
      <c r="H133" s="582"/>
      <c r="I133" s="582"/>
      <c r="J133" s="582"/>
      <c r="K133" s="582"/>
      <c r="L133" s="582"/>
      <c r="M133" s="582"/>
      <c r="N133" s="582"/>
      <c r="O133" s="582"/>
      <c r="P133" s="582"/>
      <c r="Q133" s="582"/>
      <c r="R133" s="582"/>
      <c r="S133" s="582"/>
      <c r="T133" s="583"/>
      <c r="U133" s="584"/>
      <c r="V133" s="280"/>
      <c r="X133" s="20" t="s">
        <v>136</v>
      </c>
      <c r="Y133" s="74" t="s">
        <v>44</v>
      </c>
      <c r="Z133" s="592"/>
      <c r="AA133" s="582"/>
      <c r="AB133" s="582"/>
      <c r="AC133" s="582"/>
      <c r="AD133" s="582"/>
      <c r="AE133" s="582"/>
      <c r="AF133" s="582"/>
      <c r="AG133" s="582"/>
      <c r="AH133" s="582"/>
      <c r="AI133" s="582"/>
      <c r="AJ133" s="582"/>
      <c r="AK133" s="582"/>
      <c r="AL133" s="582"/>
      <c r="AM133" s="582"/>
      <c r="AN133" s="582"/>
      <c r="AO133" s="582"/>
      <c r="AP133" s="582"/>
      <c r="AQ133" s="582"/>
      <c r="AR133" s="582"/>
      <c r="AS133" s="582"/>
      <c r="AT133" s="582"/>
      <c r="AU133" s="582"/>
      <c r="AV133" s="582"/>
      <c r="AW133" s="582"/>
      <c r="AX133" s="582"/>
      <c r="AY133" s="582"/>
      <c r="AZ133" s="582"/>
      <c r="BA133" s="582"/>
      <c r="BB133" s="582"/>
      <c r="BC133" s="582"/>
      <c r="BD133" s="582"/>
      <c r="BE133" s="582"/>
      <c r="BF133" s="582"/>
      <c r="BG133" s="582"/>
      <c r="BH133" s="582"/>
      <c r="BI133" s="582"/>
      <c r="BJ133" s="582"/>
      <c r="BK133" s="582"/>
      <c r="BL133" s="582"/>
      <c r="BM133" s="582"/>
      <c r="BN133" s="582"/>
      <c r="BO133" s="582"/>
      <c r="BP133" s="582"/>
      <c r="BQ133" s="582"/>
      <c r="BR133" s="582"/>
      <c r="BS133" s="582"/>
      <c r="BT133" s="582"/>
      <c r="BU133" s="582"/>
      <c r="BV133" s="582"/>
      <c r="BW133" s="582"/>
      <c r="BX133" s="582"/>
      <c r="BY133" s="582"/>
      <c r="BZ133" s="582"/>
      <c r="CA133" s="582"/>
      <c r="CB133" s="582"/>
      <c r="CC133" s="582"/>
      <c r="CD133" s="582"/>
      <c r="CE133" s="582"/>
      <c r="CF133" s="582"/>
      <c r="CG133" s="582"/>
      <c r="CH133" s="582"/>
      <c r="CI133" s="582"/>
      <c r="CJ133" s="582"/>
      <c r="CK133" s="582"/>
      <c r="CL133" s="582"/>
      <c r="CM133" s="582"/>
      <c r="CN133" s="582"/>
      <c r="CO133" s="582"/>
      <c r="CP133" s="582"/>
      <c r="CQ133" s="582"/>
      <c r="CR133" s="582"/>
      <c r="CS133" s="582"/>
      <c r="CT133" s="582"/>
      <c r="CU133" s="582"/>
      <c r="CV133" s="582"/>
      <c r="CW133" s="582"/>
      <c r="CX133" s="582"/>
      <c r="CY133" s="582"/>
      <c r="CZ133" s="582"/>
      <c r="DA133" s="582"/>
      <c r="DB133" s="582"/>
      <c r="DC133" s="582"/>
      <c r="DD133" s="582"/>
      <c r="DE133" s="582"/>
      <c r="DF133" s="582"/>
      <c r="DG133" s="582"/>
      <c r="DH133" s="582"/>
      <c r="DI133" s="582"/>
      <c r="DJ133" s="582"/>
      <c r="DK133" s="582"/>
      <c r="DL133" s="582"/>
      <c r="DM133" s="582"/>
      <c r="DN133" s="582"/>
      <c r="DO133" s="582"/>
      <c r="DP133" s="582"/>
      <c r="DQ133" s="582"/>
      <c r="DR133" s="582"/>
      <c r="DS133" s="582"/>
      <c r="DT133" s="582"/>
      <c r="DU133" s="582"/>
      <c r="DV133" s="582"/>
      <c r="DW133" s="582"/>
      <c r="DX133" s="582"/>
      <c r="DY133" s="582"/>
      <c r="DZ133" s="582"/>
      <c r="EA133" s="582"/>
      <c r="EB133" s="582"/>
      <c r="EC133" s="582"/>
      <c r="ED133" s="582"/>
      <c r="EE133" s="582"/>
      <c r="EF133" s="582"/>
      <c r="EG133" s="582"/>
      <c r="EH133" s="582"/>
      <c r="EI133" s="582"/>
      <c r="EJ133" s="582"/>
      <c r="EK133" s="582"/>
      <c r="EL133" s="582"/>
      <c r="EM133" s="582"/>
      <c r="EN133" s="582"/>
      <c r="EO133" s="582"/>
      <c r="EP133" s="582"/>
      <c r="EQ133" s="591"/>
      <c r="ER133" s="582"/>
      <c r="ES133" s="582"/>
      <c r="ET133" s="582"/>
      <c r="EU133" s="582"/>
      <c r="EV133" s="582"/>
      <c r="EW133" s="582"/>
      <c r="EX133" s="582"/>
      <c r="EY133" s="582"/>
      <c r="EZ133" s="582"/>
      <c r="FA133" s="582"/>
      <c r="FB133" s="582"/>
      <c r="FC133" s="582"/>
      <c r="FD133" s="582"/>
      <c r="FE133" s="582"/>
      <c r="FF133" s="582"/>
      <c r="FG133" s="582"/>
      <c r="FH133" s="582"/>
      <c r="FI133" s="582"/>
      <c r="FJ133" s="582"/>
      <c r="FK133" s="582"/>
      <c r="FL133" s="582"/>
      <c r="FM133" s="582"/>
      <c r="FN133" s="582"/>
      <c r="FO133" s="582"/>
      <c r="FP133" s="587"/>
      <c r="FQ133" s="280"/>
      <c r="FR133" s="582"/>
      <c r="FS133" s="280"/>
      <c r="FT133" s="469"/>
      <c r="FU133" s="289"/>
    </row>
    <row r="134" spans="2:177" ht="15" customHeight="1">
      <c r="B134" s="570" t="s">
        <v>137</v>
      </c>
      <c r="C134" s="571" t="s">
        <v>44</v>
      </c>
      <c r="D134" s="571"/>
      <c r="E134" s="422">
        <v>6.6270000000000007</v>
      </c>
      <c r="F134" s="422">
        <v>5.73658</v>
      </c>
      <c r="G134" s="422">
        <v>6.3090000000000002</v>
      </c>
      <c r="H134" s="422">
        <v>6.2202999999999999</v>
      </c>
      <c r="I134" s="422">
        <v>6.1529199999999999</v>
      </c>
      <c r="J134" s="422">
        <v>3.1938800000000001</v>
      </c>
      <c r="K134" s="422"/>
      <c r="L134" s="422"/>
      <c r="M134" s="422"/>
      <c r="N134" s="422"/>
      <c r="O134" s="422"/>
      <c r="P134" s="422"/>
      <c r="Q134" s="422">
        <f>SUMIFS(Q$154:Q$189,$C$154:$C$189,$C134)</f>
        <v>5.2395704970298054</v>
      </c>
      <c r="R134" s="422">
        <f t="shared" ref="R134:S134" si="19">SUMIFS(R$154:R$189,$C$154:$C$189,$C134)</f>
        <v>9.1600000000000001E-2</v>
      </c>
      <c r="S134" s="422">
        <f t="shared" si="19"/>
        <v>3.1938800000000001</v>
      </c>
      <c r="T134" s="572">
        <f t="shared" ref="T134:T153" si="20">SUM(E134:P134)</f>
        <v>34.23968</v>
      </c>
      <c r="U134" s="573">
        <f>IFERROR(T134/$T$153,0)</f>
        <v>5.6926023209940821E-2</v>
      </c>
      <c r="V134" s="574">
        <f>IFERROR(S134/Q134,0)</f>
        <v>0.60956904803753265</v>
      </c>
      <c r="X134" s="570" t="s">
        <v>136</v>
      </c>
      <c r="Y134" s="571" t="s">
        <v>44</v>
      </c>
      <c r="Z134" s="571"/>
      <c r="AA134" s="593">
        <f t="shared" ref="AA134:BP134" si="21">SUMIFS(AA$154:AA$183,$Y$154:$Y$183,$Y134)</f>
        <v>0.18859999999999996</v>
      </c>
      <c r="AB134" s="593">
        <f t="shared" si="21"/>
        <v>0</v>
      </c>
      <c r="AC134" s="593">
        <v>0.18859999999999996</v>
      </c>
      <c r="AD134" s="593">
        <v>0.18859999999999996</v>
      </c>
      <c r="AE134" s="593">
        <v>0</v>
      </c>
      <c r="AF134" s="593">
        <v>0</v>
      </c>
      <c r="AG134" s="593">
        <v>0</v>
      </c>
      <c r="AH134" s="593">
        <v>0</v>
      </c>
      <c r="AI134" s="593">
        <v>0</v>
      </c>
      <c r="AJ134" s="593">
        <v>0</v>
      </c>
      <c r="AK134" s="593">
        <f t="shared" si="21"/>
        <v>0.14940000000000003</v>
      </c>
      <c r="AL134" s="593">
        <f t="shared" si="21"/>
        <v>0</v>
      </c>
      <c r="AM134" s="593">
        <v>0.14940000000000003</v>
      </c>
      <c r="AN134" s="593">
        <v>0.14940000000000003</v>
      </c>
      <c r="AO134" s="593">
        <v>0</v>
      </c>
      <c r="AP134" s="593">
        <v>0</v>
      </c>
      <c r="AQ134" s="593">
        <v>0</v>
      </c>
      <c r="AR134" s="593">
        <v>0</v>
      </c>
      <c r="AS134" s="593">
        <v>0</v>
      </c>
      <c r="AT134" s="593">
        <v>0</v>
      </c>
      <c r="AU134" s="593">
        <f t="shared" si="21"/>
        <v>0.15620000000000001</v>
      </c>
      <c r="AV134" s="593">
        <f t="shared" si="21"/>
        <v>0</v>
      </c>
      <c r="AW134" s="593">
        <v>0.15620000000000001</v>
      </c>
      <c r="AX134" s="593">
        <v>0.15620000000000001</v>
      </c>
      <c r="AY134" s="593">
        <v>0</v>
      </c>
      <c r="AZ134" s="593">
        <v>0</v>
      </c>
      <c r="BA134" s="593">
        <v>0</v>
      </c>
      <c r="BB134" s="593">
        <v>0</v>
      </c>
      <c r="BC134" s="593">
        <v>0</v>
      </c>
      <c r="BD134" s="593">
        <v>0</v>
      </c>
      <c r="BE134" s="593">
        <f t="shared" si="21"/>
        <v>0.14420000000000002</v>
      </c>
      <c r="BF134" s="593">
        <f t="shared" si="21"/>
        <v>0</v>
      </c>
      <c r="BG134" s="593">
        <v>0.14420000000000002</v>
      </c>
      <c r="BH134" s="593">
        <v>0.14420000000000002</v>
      </c>
      <c r="BI134" s="593">
        <v>0</v>
      </c>
      <c r="BJ134" s="593">
        <v>0</v>
      </c>
      <c r="BK134" s="593">
        <v>0</v>
      </c>
      <c r="BL134" s="593">
        <v>0</v>
      </c>
      <c r="BM134" s="593">
        <v>0</v>
      </c>
      <c r="BN134" s="593">
        <v>0</v>
      </c>
      <c r="BO134" s="593">
        <f t="shared" si="21"/>
        <v>0.13440000000000002</v>
      </c>
      <c r="BP134" s="593">
        <f t="shared" si="21"/>
        <v>0</v>
      </c>
      <c r="BQ134" s="593">
        <v>0.13440000000000002</v>
      </c>
      <c r="BR134" s="593">
        <v>0.13440000000000002</v>
      </c>
      <c r="BS134" s="593">
        <v>0</v>
      </c>
      <c r="BT134" s="593">
        <v>0</v>
      </c>
      <c r="BU134" s="593">
        <v>0</v>
      </c>
      <c r="BV134" s="593">
        <v>0</v>
      </c>
      <c r="BW134" s="593">
        <v>0</v>
      </c>
      <c r="BX134" s="593">
        <v>0</v>
      </c>
      <c r="BY134" s="593">
        <f t="shared" ref="BY134:DD134" si="22">SUMIFS(BY$154:BY$183,$Y$154:$Y$183,$Y134)</f>
        <v>0.10800000000000001</v>
      </c>
      <c r="BZ134" s="593">
        <f t="shared" si="22"/>
        <v>0</v>
      </c>
      <c r="CA134" s="593">
        <v>0.10800000000000001</v>
      </c>
      <c r="CB134" s="593">
        <v>0.10800000000000001</v>
      </c>
      <c r="CC134" s="593">
        <v>0</v>
      </c>
      <c r="CD134" s="593">
        <v>0</v>
      </c>
      <c r="CE134" s="593">
        <v>0</v>
      </c>
      <c r="CF134" s="593">
        <v>0</v>
      </c>
      <c r="CG134" s="593">
        <v>0</v>
      </c>
      <c r="CH134" s="593">
        <v>0</v>
      </c>
      <c r="CI134" s="593">
        <f t="shared" si="22"/>
        <v>0</v>
      </c>
      <c r="CJ134" s="593">
        <f t="shared" si="22"/>
        <v>0</v>
      </c>
      <c r="CK134" s="593"/>
      <c r="CL134" s="593"/>
      <c r="CM134" s="593"/>
      <c r="CN134" s="593"/>
      <c r="CO134" s="593">
        <v>0</v>
      </c>
      <c r="CP134" s="593">
        <v>0</v>
      </c>
      <c r="CQ134" s="593">
        <v>0</v>
      </c>
      <c r="CR134" s="593">
        <v>0</v>
      </c>
      <c r="CS134" s="593">
        <f t="shared" si="22"/>
        <v>0</v>
      </c>
      <c r="CT134" s="593">
        <f t="shared" si="22"/>
        <v>0</v>
      </c>
      <c r="CU134" s="593"/>
      <c r="CV134" s="593"/>
      <c r="CW134" s="593"/>
      <c r="CX134" s="593"/>
      <c r="CY134" s="593">
        <v>0</v>
      </c>
      <c r="CZ134" s="593">
        <v>0</v>
      </c>
      <c r="DA134" s="593">
        <v>0</v>
      </c>
      <c r="DB134" s="593">
        <v>0</v>
      </c>
      <c r="DC134" s="593">
        <f t="shared" si="22"/>
        <v>0</v>
      </c>
      <c r="DD134" s="593">
        <f t="shared" si="22"/>
        <v>0</v>
      </c>
      <c r="DE134" s="593"/>
      <c r="DF134" s="593"/>
      <c r="DG134" s="593"/>
      <c r="DH134" s="593"/>
      <c r="DI134" s="593">
        <v>0</v>
      </c>
      <c r="DJ134" s="593">
        <v>0</v>
      </c>
      <c r="DK134" s="593">
        <v>0</v>
      </c>
      <c r="DL134" s="593">
        <v>0</v>
      </c>
      <c r="DM134" s="593">
        <f t="shared" ref="DM134:EH134" si="23">SUMIFS(DM$154:DM$183,$Y$154:$Y$183,$Y134)</f>
        <v>0</v>
      </c>
      <c r="DN134" s="593">
        <f t="shared" si="23"/>
        <v>0</v>
      </c>
      <c r="DO134" s="593"/>
      <c r="DP134" s="593"/>
      <c r="DQ134" s="593"/>
      <c r="DR134" s="593"/>
      <c r="DS134" s="593">
        <v>0</v>
      </c>
      <c r="DT134" s="593">
        <v>0</v>
      </c>
      <c r="DU134" s="593">
        <v>0</v>
      </c>
      <c r="DV134" s="593">
        <v>0</v>
      </c>
      <c r="DW134" s="593">
        <f t="shared" si="23"/>
        <v>0</v>
      </c>
      <c r="DX134" s="593">
        <f t="shared" si="23"/>
        <v>0</v>
      </c>
      <c r="DY134" s="593"/>
      <c r="DZ134" s="593"/>
      <c r="EA134" s="593"/>
      <c r="EB134" s="593"/>
      <c r="EC134" s="593">
        <v>0</v>
      </c>
      <c r="ED134" s="593">
        <v>0</v>
      </c>
      <c r="EE134" s="593">
        <v>0</v>
      </c>
      <c r="EF134" s="593">
        <v>0</v>
      </c>
      <c r="EG134" s="593">
        <f t="shared" si="23"/>
        <v>0</v>
      </c>
      <c r="EH134" s="422">
        <f t="shared" si="23"/>
        <v>0</v>
      </c>
      <c r="EI134" s="422"/>
      <c r="EJ134" s="422"/>
      <c r="EK134" s="422"/>
      <c r="EL134" s="422"/>
      <c r="EM134" s="422">
        <v>0</v>
      </c>
      <c r="EN134" s="422">
        <v>0</v>
      </c>
      <c r="EO134" s="422">
        <v>0</v>
      </c>
      <c r="EP134" s="422">
        <v>0</v>
      </c>
      <c r="EQ134" s="594">
        <f>SUM(EQ154,EQ160,EQ166,EQ172,EQ178)</f>
        <v>0.17179761188140005</v>
      </c>
      <c r="ER134" s="422">
        <f ca="1">SUMIFS(ER$154:ER$183,$Y$154:$Y$183,$Y134)</f>
        <v>1.2E-2</v>
      </c>
      <c r="ES134" s="422">
        <f t="shared" ref="ES134:FG134" ca="1" si="24">SUMIFS(ES$154:ES$183,$Y$154:$Y$183,$Y134)</f>
        <v>1.2E-2</v>
      </c>
      <c r="ET134" s="422">
        <f t="shared" ca="1" si="24"/>
        <v>0</v>
      </c>
      <c r="EU134" s="422">
        <f t="shared" ca="1" si="24"/>
        <v>0</v>
      </c>
      <c r="EV134" s="422">
        <f t="shared" ca="1" si="24"/>
        <v>0</v>
      </c>
      <c r="EW134" s="422">
        <f t="shared" ca="1" si="24"/>
        <v>0</v>
      </c>
      <c r="EX134" s="422">
        <f t="shared" ca="1" si="24"/>
        <v>0</v>
      </c>
      <c r="EY134" s="422">
        <f t="shared" ca="1" si="24"/>
        <v>0</v>
      </c>
      <c r="EZ134" s="422">
        <f ca="1">SUMIFS(EZ$154:EZ$183,$Y$154:$Y$183,$Y134)</f>
        <v>0.10800000000000001</v>
      </c>
      <c r="FA134" s="422">
        <f t="shared" ca="1" si="24"/>
        <v>0.10800000000000001</v>
      </c>
      <c r="FB134" s="422">
        <f t="shared" ca="1" si="24"/>
        <v>0</v>
      </c>
      <c r="FC134" s="422">
        <f t="shared" ca="1" si="24"/>
        <v>0</v>
      </c>
      <c r="FD134" s="422">
        <f t="shared" ca="1" si="24"/>
        <v>0</v>
      </c>
      <c r="FE134" s="422">
        <f t="shared" ca="1" si="24"/>
        <v>0</v>
      </c>
      <c r="FF134" s="422">
        <f t="shared" ca="1" si="24"/>
        <v>0</v>
      </c>
      <c r="FG134" s="422">
        <f t="shared" ca="1" si="24"/>
        <v>0</v>
      </c>
      <c r="FH134" s="422">
        <f t="shared" ref="FH134:FO142" ca="1" si="25">SUMIFS($AA134:$EP134,$AA$129:$EP$129,INDIRECT(ADDRESS(129,COLUMN())))</f>
        <v>0.88079999999999992</v>
      </c>
      <c r="FI134" s="422">
        <f t="shared" ca="1" si="25"/>
        <v>0.88079999999999992</v>
      </c>
      <c r="FJ134" s="422">
        <f t="shared" ca="1" si="25"/>
        <v>0</v>
      </c>
      <c r="FK134" s="422">
        <f t="shared" ca="1" si="25"/>
        <v>0</v>
      </c>
      <c r="FL134" s="422">
        <f t="shared" ca="1" si="25"/>
        <v>0</v>
      </c>
      <c r="FM134" s="422">
        <f t="shared" ca="1" si="25"/>
        <v>0</v>
      </c>
      <c r="FN134" s="422">
        <f t="shared" ca="1" si="25"/>
        <v>0</v>
      </c>
      <c r="FO134" s="422">
        <f t="shared" ca="1" si="25"/>
        <v>0</v>
      </c>
      <c r="FP134" s="595">
        <f ca="1">IFERROR(FH134/$FH$153,0)</f>
        <v>5.9689678727487608E-3</v>
      </c>
      <c r="FQ134" s="574">
        <f t="shared" ref="FQ134:FQ153" ca="1" si="26">IFERROR(EZ134/EQ134,0)</f>
        <v>0.62864668965571813</v>
      </c>
      <c r="FR134" s="422">
        <f>SUMIFS(FR$154:FR$183,$Y$154:$Y$183,$Y134)</f>
        <v>0</v>
      </c>
      <c r="FS134" s="574">
        <f>IFERROR(FR134/EQ134,0)</f>
        <v>0</v>
      </c>
      <c r="FT134" s="469">
        <v>7.6297159506409024E-3</v>
      </c>
      <c r="FU134" s="289">
        <f>FT134*$FU$153</f>
        <v>0.25460200056274318</v>
      </c>
    </row>
    <row r="135" spans="2:177" ht="15" customHeight="1" outlineLevel="1">
      <c r="B135" s="20" t="s">
        <v>137</v>
      </c>
      <c r="C135" s="74" t="s">
        <v>45</v>
      </c>
      <c r="D135" s="576" t="s">
        <v>88</v>
      </c>
      <c r="E135" s="582">
        <v>2.00928</v>
      </c>
      <c r="F135" s="582">
        <v>1.9700800000000001</v>
      </c>
      <c r="G135" s="582">
        <v>2.02406</v>
      </c>
      <c r="H135" s="582">
        <v>1.7360800000000001</v>
      </c>
      <c r="I135" s="582">
        <v>1.5406200000000001</v>
      </c>
      <c r="J135" s="582">
        <v>0.73295999999999994</v>
      </c>
      <c r="K135" s="582"/>
      <c r="L135" s="582"/>
      <c r="M135" s="582"/>
      <c r="N135" s="582"/>
      <c r="O135" s="582"/>
      <c r="P135" s="582"/>
      <c r="Q135" s="582"/>
      <c r="R135" s="582">
        <f>IFERROR(SUMIFS(Daily_Vol_yesterday[Order Quantity],Daily_Vol_yesterday[Cust_Cat.Customer category],  "Key Account",Daily_Vol_yesterday[Map_Product.TME_SKU],master_Daily!D135)/50000,0)</f>
        <v>2.6200000000000001E-2</v>
      </c>
      <c r="S135" s="582">
        <f>IFERROR(SUM(SUMIFS(Weekly_Vol[Quantity],Weekly_Vol[Cust_Cat.Customer category],  "Key Account",Weekly_Vol[Map_Product.TME_SKU],master_Daily!D135))/50000,0)</f>
        <v>0.73295999999999994</v>
      </c>
      <c r="T135" s="583">
        <f t="shared" si="20"/>
        <v>10.01308</v>
      </c>
      <c r="U135" s="584">
        <f>IFERROR(T135/$T$137,0)</f>
        <v>1</v>
      </c>
      <c r="V135" s="280">
        <f>IFERROR(S135/Q135,0)</f>
        <v>0</v>
      </c>
      <c r="X135" s="20" t="s">
        <v>136</v>
      </c>
      <c r="Y135" s="74" t="s">
        <v>45</v>
      </c>
      <c r="Z135" s="576" t="s">
        <v>88</v>
      </c>
      <c r="AA135" s="582"/>
      <c r="AB135" s="582"/>
      <c r="AC135" s="582">
        <v>0.1244</v>
      </c>
      <c r="AD135" s="582"/>
      <c r="AE135" s="582"/>
      <c r="AF135" s="582"/>
      <c r="AG135" s="582"/>
      <c r="AH135" s="582"/>
      <c r="AI135" s="582"/>
      <c r="AJ135" s="582"/>
      <c r="AK135" s="582"/>
      <c r="AL135" s="582"/>
      <c r="AM135" s="582">
        <v>7.8799999999999995E-2</v>
      </c>
      <c r="AN135" s="582"/>
      <c r="AO135" s="582"/>
      <c r="AP135" s="582"/>
      <c r="AQ135" s="582"/>
      <c r="AR135" s="582"/>
      <c r="AS135" s="582"/>
      <c r="AT135" s="582"/>
      <c r="AU135" s="582"/>
      <c r="AV135" s="582"/>
      <c r="AW135" s="582">
        <v>0.105</v>
      </c>
      <c r="AX135" s="582"/>
      <c r="AY135" s="582"/>
      <c r="AZ135" s="582"/>
      <c r="BA135" s="582"/>
      <c r="BB135" s="582"/>
      <c r="BC135" s="582"/>
      <c r="BD135" s="582"/>
      <c r="BE135" s="582"/>
      <c r="BF135" s="582"/>
      <c r="BG135" s="582">
        <v>5.96E-2</v>
      </c>
      <c r="BH135" s="582"/>
      <c r="BI135" s="582"/>
      <c r="BJ135" s="582"/>
      <c r="BK135" s="582"/>
      <c r="BL135" s="582"/>
      <c r="BM135" s="582"/>
      <c r="BN135" s="582"/>
      <c r="BO135" s="582"/>
      <c r="BP135" s="582"/>
      <c r="BQ135" s="582">
        <v>3.5400000000000001E-2</v>
      </c>
      <c r="BR135" s="582"/>
      <c r="BS135" s="582"/>
      <c r="BT135" s="582"/>
      <c r="BU135" s="582"/>
      <c r="BV135" s="582"/>
      <c r="BW135" s="582"/>
      <c r="BX135" s="582"/>
      <c r="BY135" s="582"/>
      <c r="BZ135" s="582"/>
      <c r="CA135" s="582">
        <v>1.7000000000000001E-2</v>
      </c>
      <c r="CB135" s="582"/>
      <c r="CC135" s="582"/>
      <c r="CD135" s="582"/>
      <c r="CE135" s="582"/>
      <c r="CF135" s="582"/>
      <c r="CG135" s="582"/>
      <c r="CH135" s="582"/>
      <c r="CI135" s="582"/>
      <c r="CJ135" s="582"/>
      <c r="CK135" s="582"/>
      <c r="CL135" s="582"/>
      <c r="CM135" s="582"/>
      <c r="CN135" s="582"/>
      <c r="CO135" s="582"/>
      <c r="CP135" s="582"/>
      <c r="CQ135" s="582"/>
      <c r="CR135" s="582"/>
      <c r="CS135" s="582"/>
      <c r="CT135" s="582"/>
      <c r="CU135" s="582"/>
      <c r="CV135" s="582"/>
      <c r="CW135" s="582"/>
      <c r="CX135" s="582"/>
      <c r="CY135" s="582"/>
      <c r="CZ135" s="582"/>
      <c r="DA135" s="582"/>
      <c r="DB135" s="582"/>
      <c r="DC135" s="582"/>
      <c r="DD135" s="582"/>
      <c r="DE135" s="582"/>
      <c r="DF135" s="582"/>
      <c r="DG135" s="582"/>
      <c r="DH135" s="582"/>
      <c r="DI135" s="582"/>
      <c r="DJ135" s="582"/>
      <c r="DK135" s="582"/>
      <c r="DL135" s="582"/>
      <c r="DM135" s="582"/>
      <c r="DN135" s="582"/>
      <c r="DO135" s="582"/>
      <c r="DP135" s="582"/>
      <c r="DQ135" s="582"/>
      <c r="DR135" s="582"/>
      <c r="DS135" s="582"/>
      <c r="DT135" s="582"/>
      <c r="DU135" s="582"/>
      <c r="DV135" s="582"/>
      <c r="DW135" s="582"/>
      <c r="DX135" s="582"/>
      <c r="DY135" s="582"/>
      <c r="DZ135" s="582"/>
      <c r="EA135" s="582"/>
      <c r="EB135" s="582"/>
      <c r="EC135" s="582"/>
      <c r="ED135" s="582"/>
      <c r="EE135" s="582"/>
      <c r="EF135" s="582"/>
      <c r="EG135" s="582"/>
      <c r="EH135" s="582"/>
      <c r="EI135" s="582"/>
      <c r="EJ135" s="582"/>
      <c r="EK135" s="582"/>
      <c r="EL135" s="582"/>
      <c r="EM135" s="582"/>
      <c r="EN135" s="582"/>
      <c r="EO135" s="582"/>
      <c r="EP135" s="582"/>
      <c r="EQ135" s="591"/>
      <c r="ER135" s="582">
        <f>IFERROR(SUMIFS(Daily_Vol_yesterday[Order Quantity],Daily_Vol_yesterday[Cust_Cat.Customer category],  "&lt;&gt;Key Account",Daily_Vol_yesterday[Map_Product.TME_SKU],Z135)/50000,0)</f>
        <v>0</v>
      </c>
      <c r="ES135" s="582"/>
      <c r="ET135" s="582"/>
      <c r="EU135" s="582"/>
      <c r="EV135" s="582"/>
      <c r="EW135" s="582"/>
      <c r="EX135" s="582"/>
      <c r="EY135" s="582"/>
      <c r="EZ135" s="582">
        <f>IFERROR(SUM(SUMIFS(Weekly_Vol[Quantity],Weekly_Vol[Cust_Cat.Customer category],  "&lt;&gt;Key Account",Weekly_Vol[Map_Product.TME_SKU],Z135))/50000,0)</f>
        <v>1.7000000000000001E-2</v>
      </c>
      <c r="FA135" s="582"/>
      <c r="FB135" s="582"/>
      <c r="FC135" s="577"/>
      <c r="FD135" s="577"/>
      <c r="FE135" s="577"/>
      <c r="FF135" s="577"/>
      <c r="FG135" s="577"/>
      <c r="FH135" s="577"/>
      <c r="FI135" s="577"/>
      <c r="FJ135" s="577"/>
      <c r="FK135" s="577"/>
      <c r="FL135" s="577"/>
      <c r="FM135" s="577"/>
      <c r="FN135" s="577"/>
      <c r="FO135" s="577"/>
      <c r="FP135" s="589"/>
      <c r="FQ135" s="580"/>
      <c r="FR135" s="577"/>
      <c r="FS135" s="580"/>
      <c r="FT135" s="469"/>
      <c r="FU135" s="289"/>
    </row>
    <row r="136" spans="2:177" ht="15" customHeight="1" outlineLevel="1">
      <c r="B136" s="20" t="s">
        <v>137</v>
      </c>
      <c r="C136" s="74" t="s">
        <v>45</v>
      </c>
      <c r="D136" s="74"/>
      <c r="E136" s="577"/>
      <c r="F136" s="577"/>
      <c r="G136" s="577"/>
      <c r="H136" s="577"/>
      <c r="I136" s="577"/>
      <c r="J136" s="577"/>
      <c r="K136" s="577"/>
      <c r="L136" s="577"/>
      <c r="M136" s="577"/>
      <c r="N136" s="577"/>
      <c r="O136" s="577"/>
      <c r="P136" s="577"/>
      <c r="Q136" s="577"/>
      <c r="R136" s="577"/>
      <c r="S136" s="577"/>
      <c r="T136" s="578"/>
      <c r="U136" s="579"/>
      <c r="V136" s="580"/>
      <c r="X136" s="20" t="s">
        <v>136</v>
      </c>
      <c r="Y136" s="74" t="s">
        <v>45</v>
      </c>
      <c r="Z136" s="592"/>
      <c r="AA136" s="582"/>
      <c r="AB136" s="582"/>
      <c r="AC136" s="582"/>
      <c r="AD136" s="582"/>
      <c r="AE136" s="582"/>
      <c r="AF136" s="582"/>
      <c r="AG136" s="582"/>
      <c r="AH136" s="582"/>
      <c r="AI136" s="582"/>
      <c r="AJ136" s="582"/>
      <c r="AK136" s="582"/>
      <c r="AL136" s="582"/>
      <c r="AM136" s="582"/>
      <c r="AN136" s="582"/>
      <c r="AO136" s="582"/>
      <c r="AP136" s="582"/>
      <c r="AQ136" s="582"/>
      <c r="AR136" s="582"/>
      <c r="AS136" s="582"/>
      <c r="AT136" s="582"/>
      <c r="AU136" s="582"/>
      <c r="AV136" s="582"/>
      <c r="AW136" s="582"/>
      <c r="AX136" s="582"/>
      <c r="AY136" s="582"/>
      <c r="AZ136" s="582"/>
      <c r="BA136" s="582"/>
      <c r="BB136" s="582"/>
      <c r="BC136" s="582"/>
      <c r="BD136" s="582"/>
      <c r="BE136" s="582"/>
      <c r="BF136" s="582"/>
      <c r="BG136" s="582"/>
      <c r="BH136" s="582"/>
      <c r="BI136" s="582"/>
      <c r="BJ136" s="582"/>
      <c r="BK136" s="582"/>
      <c r="BL136" s="582"/>
      <c r="BM136" s="582"/>
      <c r="BN136" s="582"/>
      <c r="BO136" s="582"/>
      <c r="BP136" s="582"/>
      <c r="BQ136" s="582"/>
      <c r="BR136" s="582"/>
      <c r="BS136" s="582"/>
      <c r="BT136" s="582"/>
      <c r="BU136" s="582"/>
      <c r="BV136" s="582"/>
      <c r="BW136" s="582"/>
      <c r="BX136" s="582"/>
      <c r="BY136" s="582"/>
      <c r="BZ136" s="582"/>
      <c r="CA136" s="582"/>
      <c r="CB136" s="582"/>
      <c r="CC136" s="582"/>
      <c r="CD136" s="582"/>
      <c r="CE136" s="582"/>
      <c r="CF136" s="582"/>
      <c r="CG136" s="582"/>
      <c r="CH136" s="582"/>
      <c r="CI136" s="582"/>
      <c r="CJ136" s="582"/>
      <c r="CK136" s="582"/>
      <c r="CL136" s="582"/>
      <c r="CM136" s="582"/>
      <c r="CN136" s="582"/>
      <c r="CO136" s="582"/>
      <c r="CP136" s="582"/>
      <c r="CQ136" s="582"/>
      <c r="CR136" s="582"/>
      <c r="CS136" s="582"/>
      <c r="CT136" s="582"/>
      <c r="CU136" s="582"/>
      <c r="CV136" s="582"/>
      <c r="CW136" s="582"/>
      <c r="CX136" s="582"/>
      <c r="CY136" s="582"/>
      <c r="CZ136" s="582"/>
      <c r="DA136" s="582"/>
      <c r="DB136" s="582"/>
      <c r="DC136" s="582"/>
      <c r="DD136" s="582"/>
      <c r="DE136" s="582"/>
      <c r="DF136" s="582"/>
      <c r="DG136" s="582"/>
      <c r="DH136" s="582"/>
      <c r="DI136" s="582"/>
      <c r="DJ136" s="582"/>
      <c r="DK136" s="582"/>
      <c r="DL136" s="582"/>
      <c r="DM136" s="582"/>
      <c r="DN136" s="582"/>
      <c r="DO136" s="582"/>
      <c r="DP136" s="582"/>
      <c r="DQ136" s="582"/>
      <c r="DR136" s="582"/>
      <c r="DS136" s="582"/>
      <c r="DT136" s="582"/>
      <c r="DU136" s="582"/>
      <c r="DV136" s="582"/>
      <c r="DW136" s="582"/>
      <c r="DX136" s="582"/>
      <c r="DY136" s="582"/>
      <c r="DZ136" s="582"/>
      <c r="EA136" s="582"/>
      <c r="EB136" s="582"/>
      <c r="EC136" s="582"/>
      <c r="ED136" s="582"/>
      <c r="EE136" s="582"/>
      <c r="EF136" s="582"/>
      <c r="EG136" s="582"/>
      <c r="EH136" s="582"/>
      <c r="EI136" s="582"/>
      <c r="EJ136" s="582"/>
      <c r="EK136" s="582"/>
      <c r="EL136" s="582"/>
      <c r="EM136" s="582"/>
      <c r="EN136" s="582"/>
      <c r="EO136" s="582"/>
      <c r="EP136" s="582"/>
      <c r="EQ136" s="591"/>
      <c r="ER136" s="582"/>
      <c r="ES136" s="582"/>
      <c r="ET136" s="582"/>
      <c r="EU136" s="582"/>
      <c r="EV136" s="582"/>
      <c r="EW136" s="582"/>
      <c r="EX136" s="582"/>
      <c r="EY136" s="582"/>
      <c r="EZ136" s="582"/>
      <c r="FA136" s="582"/>
      <c r="FB136" s="582"/>
      <c r="FC136" s="577"/>
      <c r="FD136" s="577"/>
      <c r="FE136" s="577"/>
      <c r="FF136" s="577"/>
      <c r="FG136" s="577"/>
      <c r="FH136" s="577"/>
      <c r="FI136" s="577"/>
      <c r="FJ136" s="577"/>
      <c r="FK136" s="577"/>
      <c r="FL136" s="577"/>
      <c r="FM136" s="577"/>
      <c r="FN136" s="577"/>
      <c r="FO136" s="577"/>
      <c r="FP136" s="589"/>
      <c r="FQ136" s="580"/>
      <c r="FR136" s="577"/>
      <c r="FS136" s="580"/>
      <c r="FT136" s="469"/>
      <c r="FU136" s="289"/>
    </row>
    <row r="137" spans="2:177">
      <c r="B137" s="570" t="s">
        <v>137</v>
      </c>
      <c r="C137" s="571" t="s">
        <v>45</v>
      </c>
      <c r="D137" s="571"/>
      <c r="E137" s="422">
        <v>2.00928</v>
      </c>
      <c r="F137" s="422">
        <v>1.9700799999999998</v>
      </c>
      <c r="G137" s="422">
        <v>2.02406</v>
      </c>
      <c r="H137" s="422">
        <v>1.7360800000000001</v>
      </c>
      <c r="I137" s="422">
        <v>1.5406200000000001</v>
      </c>
      <c r="J137" s="422">
        <v>0.73296000000000006</v>
      </c>
      <c r="K137" s="422"/>
      <c r="L137" s="422"/>
      <c r="M137" s="422"/>
      <c r="N137" s="422"/>
      <c r="O137" s="422"/>
      <c r="P137" s="422"/>
      <c r="Q137" s="422">
        <f>SUMIFS(Q$154:Q$189,$C$154:$C$189,$C137)</f>
        <v>1.4863357130960624</v>
      </c>
      <c r="R137" s="422">
        <f t="shared" ref="R137:S137" si="27">SUMIFS(R$154:R$189,$C$154:$C$189,$C137)</f>
        <v>2.6200000000000001E-2</v>
      </c>
      <c r="S137" s="422">
        <f t="shared" si="27"/>
        <v>0.73296000000000006</v>
      </c>
      <c r="T137" s="572">
        <f t="shared" si="20"/>
        <v>10.01308</v>
      </c>
      <c r="U137" s="573">
        <f>IFERROR(T137/$T$153,0)</f>
        <v>1.6647492747683221E-2</v>
      </c>
      <c r="V137" s="574">
        <f t="shared" ref="V137:V175" si="28">IFERROR(S137/Q137,0)</f>
        <v>0.49313219990740315</v>
      </c>
      <c r="X137" s="570" t="s">
        <v>136</v>
      </c>
      <c r="Y137" s="571" t="s">
        <v>45</v>
      </c>
      <c r="Z137" s="571"/>
      <c r="AA137" s="593">
        <f t="shared" ref="AA137:BP137" si="29">SUMIFS(AA$154:AA$183,$Y$154:$Y$183,$Y137)</f>
        <v>0.1244</v>
      </c>
      <c r="AB137" s="593">
        <f t="shared" si="29"/>
        <v>0</v>
      </c>
      <c r="AC137" s="593">
        <v>0.1244</v>
      </c>
      <c r="AD137" s="593">
        <v>0.1244</v>
      </c>
      <c r="AE137" s="593">
        <v>0</v>
      </c>
      <c r="AF137" s="593">
        <v>0</v>
      </c>
      <c r="AG137" s="593">
        <v>0</v>
      </c>
      <c r="AH137" s="593">
        <v>0</v>
      </c>
      <c r="AI137" s="593">
        <v>0</v>
      </c>
      <c r="AJ137" s="593">
        <v>0</v>
      </c>
      <c r="AK137" s="593">
        <f t="shared" si="29"/>
        <v>7.8800000000000009E-2</v>
      </c>
      <c r="AL137" s="593">
        <f t="shared" si="29"/>
        <v>0</v>
      </c>
      <c r="AM137" s="593">
        <v>7.8800000000000009E-2</v>
      </c>
      <c r="AN137" s="593">
        <v>7.8800000000000009E-2</v>
      </c>
      <c r="AO137" s="593">
        <v>0</v>
      </c>
      <c r="AP137" s="593">
        <v>0</v>
      </c>
      <c r="AQ137" s="593">
        <v>0</v>
      </c>
      <c r="AR137" s="593">
        <v>0</v>
      </c>
      <c r="AS137" s="593">
        <v>0</v>
      </c>
      <c r="AT137" s="593">
        <v>0</v>
      </c>
      <c r="AU137" s="593">
        <f t="shared" si="29"/>
        <v>0.10500000000000001</v>
      </c>
      <c r="AV137" s="593">
        <f t="shared" si="29"/>
        <v>0</v>
      </c>
      <c r="AW137" s="593">
        <v>0.10500000000000001</v>
      </c>
      <c r="AX137" s="593">
        <v>0.10500000000000001</v>
      </c>
      <c r="AY137" s="593">
        <v>0</v>
      </c>
      <c r="AZ137" s="593">
        <v>0</v>
      </c>
      <c r="BA137" s="593">
        <v>0</v>
      </c>
      <c r="BB137" s="593">
        <v>0</v>
      </c>
      <c r="BC137" s="593">
        <v>0</v>
      </c>
      <c r="BD137" s="593">
        <v>0</v>
      </c>
      <c r="BE137" s="593">
        <f t="shared" si="29"/>
        <v>5.96E-2</v>
      </c>
      <c r="BF137" s="593">
        <f t="shared" si="29"/>
        <v>0</v>
      </c>
      <c r="BG137" s="593">
        <v>5.96E-2</v>
      </c>
      <c r="BH137" s="593">
        <v>5.96E-2</v>
      </c>
      <c r="BI137" s="593">
        <v>0</v>
      </c>
      <c r="BJ137" s="593">
        <v>0</v>
      </c>
      <c r="BK137" s="593">
        <v>0</v>
      </c>
      <c r="BL137" s="593">
        <v>0</v>
      </c>
      <c r="BM137" s="593">
        <v>0</v>
      </c>
      <c r="BN137" s="593">
        <v>0</v>
      </c>
      <c r="BO137" s="593">
        <f t="shared" si="29"/>
        <v>3.5400000000000001E-2</v>
      </c>
      <c r="BP137" s="593">
        <f t="shared" si="29"/>
        <v>0</v>
      </c>
      <c r="BQ137" s="593">
        <v>3.5400000000000001E-2</v>
      </c>
      <c r="BR137" s="593">
        <v>3.5400000000000001E-2</v>
      </c>
      <c r="BS137" s="593">
        <v>0</v>
      </c>
      <c r="BT137" s="593">
        <v>0</v>
      </c>
      <c r="BU137" s="593">
        <v>0</v>
      </c>
      <c r="BV137" s="593">
        <v>0</v>
      </c>
      <c r="BW137" s="593">
        <v>0</v>
      </c>
      <c r="BX137" s="593">
        <v>0</v>
      </c>
      <c r="BY137" s="593">
        <f t="shared" ref="BY137:DD137" si="30">SUMIFS(BY$154:BY$183,$Y$154:$Y$183,$Y137)</f>
        <v>1.7000000000000001E-2</v>
      </c>
      <c r="BZ137" s="593">
        <f t="shared" si="30"/>
        <v>0</v>
      </c>
      <c r="CA137" s="593">
        <v>1.7000000000000001E-2</v>
      </c>
      <c r="CB137" s="593">
        <v>1.7000000000000001E-2</v>
      </c>
      <c r="CC137" s="593">
        <v>0</v>
      </c>
      <c r="CD137" s="593">
        <v>0</v>
      </c>
      <c r="CE137" s="593">
        <v>0</v>
      </c>
      <c r="CF137" s="593">
        <v>0</v>
      </c>
      <c r="CG137" s="593">
        <v>0</v>
      </c>
      <c r="CH137" s="593">
        <v>0</v>
      </c>
      <c r="CI137" s="593">
        <f t="shared" si="30"/>
        <v>0</v>
      </c>
      <c r="CJ137" s="593">
        <f t="shared" si="30"/>
        <v>0</v>
      </c>
      <c r="CK137" s="593"/>
      <c r="CL137" s="593"/>
      <c r="CM137" s="593"/>
      <c r="CN137" s="593"/>
      <c r="CO137" s="593">
        <v>0</v>
      </c>
      <c r="CP137" s="593">
        <v>0</v>
      </c>
      <c r="CQ137" s="593">
        <v>0</v>
      </c>
      <c r="CR137" s="593">
        <v>0</v>
      </c>
      <c r="CS137" s="593">
        <f t="shared" si="30"/>
        <v>0</v>
      </c>
      <c r="CT137" s="593">
        <f t="shared" si="30"/>
        <v>0</v>
      </c>
      <c r="CU137" s="593"/>
      <c r="CV137" s="593"/>
      <c r="CW137" s="593"/>
      <c r="CX137" s="593"/>
      <c r="CY137" s="593">
        <v>0</v>
      </c>
      <c r="CZ137" s="593">
        <v>0</v>
      </c>
      <c r="DA137" s="593">
        <v>0</v>
      </c>
      <c r="DB137" s="593">
        <v>0</v>
      </c>
      <c r="DC137" s="593">
        <f t="shared" si="30"/>
        <v>0</v>
      </c>
      <c r="DD137" s="593">
        <f t="shared" si="30"/>
        <v>0</v>
      </c>
      <c r="DE137" s="593"/>
      <c r="DF137" s="593"/>
      <c r="DG137" s="593"/>
      <c r="DH137" s="593"/>
      <c r="DI137" s="593">
        <v>0</v>
      </c>
      <c r="DJ137" s="593">
        <v>0</v>
      </c>
      <c r="DK137" s="593">
        <v>0</v>
      </c>
      <c r="DL137" s="593">
        <v>0</v>
      </c>
      <c r="DM137" s="593">
        <f t="shared" ref="DM137:EH137" si="31">SUMIFS(DM$154:DM$183,$Y$154:$Y$183,$Y137)</f>
        <v>0</v>
      </c>
      <c r="DN137" s="593">
        <f t="shared" si="31"/>
        <v>0</v>
      </c>
      <c r="DO137" s="593"/>
      <c r="DP137" s="593"/>
      <c r="DQ137" s="593"/>
      <c r="DR137" s="593"/>
      <c r="DS137" s="593">
        <v>0</v>
      </c>
      <c r="DT137" s="593">
        <v>0</v>
      </c>
      <c r="DU137" s="593">
        <v>0</v>
      </c>
      <c r="DV137" s="593">
        <v>0</v>
      </c>
      <c r="DW137" s="593">
        <f t="shared" si="31"/>
        <v>0</v>
      </c>
      <c r="DX137" s="593">
        <f t="shared" si="31"/>
        <v>0</v>
      </c>
      <c r="DY137" s="593"/>
      <c r="DZ137" s="593"/>
      <c r="EA137" s="593"/>
      <c r="EB137" s="593"/>
      <c r="EC137" s="593">
        <v>0</v>
      </c>
      <c r="ED137" s="593">
        <v>0</v>
      </c>
      <c r="EE137" s="593">
        <v>0</v>
      </c>
      <c r="EF137" s="593">
        <v>0</v>
      </c>
      <c r="EG137" s="593">
        <f t="shared" si="31"/>
        <v>0</v>
      </c>
      <c r="EH137" s="422">
        <f t="shared" si="31"/>
        <v>0</v>
      </c>
      <c r="EI137" s="422"/>
      <c r="EJ137" s="422"/>
      <c r="EK137" s="422"/>
      <c r="EL137" s="422"/>
      <c r="EM137" s="422">
        <v>0</v>
      </c>
      <c r="EN137" s="422">
        <v>0</v>
      </c>
      <c r="EO137" s="422">
        <v>0</v>
      </c>
      <c r="EP137" s="422">
        <v>0</v>
      </c>
      <c r="EQ137" s="594">
        <f>SUM(EQ155,EQ161,EQ167,EQ173,EQ179)</f>
        <v>8.0063784126652701E-2</v>
      </c>
      <c r="ER137" s="422">
        <f t="shared" ref="ER137:FG137" ca="1" si="32">SUMIFS(ER$154:ER$183,$Y$154:$Y$183,$Y137)</f>
        <v>0</v>
      </c>
      <c r="ES137" s="422">
        <f t="shared" ca="1" si="32"/>
        <v>0</v>
      </c>
      <c r="ET137" s="422">
        <f t="shared" ca="1" si="32"/>
        <v>0</v>
      </c>
      <c r="EU137" s="422">
        <f t="shared" ca="1" si="32"/>
        <v>0</v>
      </c>
      <c r="EV137" s="422">
        <f t="shared" ca="1" si="32"/>
        <v>0</v>
      </c>
      <c r="EW137" s="422">
        <f t="shared" ca="1" si="32"/>
        <v>0</v>
      </c>
      <c r="EX137" s="422">
        <f t="shared" ca="1" si="32"/>
        <v>0</v>
      </c>
      <c r="EY137" s="422">
        <f t="shared" ca="1" si="32"/>
        <v>0</v>
      </c>
      <c r="EZ137" s="422">
        <f t="shared" ca="1" si="32"/>
        <v>1.7000000000000001E-2</v>
      </c>
      <c r="FA137" s="422">
        <f t="shared" ca="1" si="32"/>
        <v>1.7000000000000001E-2</v>
      </c>
      <c r="FB137" s="422">
        <f t="shared" ca="1" si="32"/>
        <v>0</v>
      </c>
      <c r="FC137" s="422">
        <f t="shared" ca="1" si="32"/>
        <v>0</v>
      </c>
      <c r="FD137" s="422">
        <f t="shared" ca="1" si="32"/>
        <v>0</v>
      </c>
      <c r="FE137" s="422">
        <f t="shared" ca="1" si="32"/>
        <v>0</v>
      </c>
      <c r="FF137" s="422">
        <f t="shared" ca="1" si="32"/>
        <v>0</v>
      </c>
      <c r="FG137" s="422">
        <f t="shared" ca="1" si="32"/>
        <v>0</v>
      </c>
      <c r="FH137" s="422">
        <f t="shared" ca="1" si="25"/>
        <v>0.42020000000000002</v>
      </c>
      <c r="FI137" s="422">
        <f t="shared" ca="1" si="25"/>
        <v>0.42020000000000002</v>
      </c>
      <c r="FJ137" s="422">
        <f t="shared" ca="1" si="25"/>
        <v>0</v>
      </c>
      <c r="FK137" s="422">
        <f t="shared" ca="1" si="25"/>
        <v>0</v>
      </c>
      <c r="FL137" s="422">
        <f t="shared" ca="1" si="25"/>
        <v>0</v>
      </c>
      <c r="FM137" s="422">
        <f t="shared" ca="1" si="25"/>
        <v>0</v>
      </c>
      <c r="FN137" s="422">
        <f t="shared" ca="1" si="25"/>
        <v>0</v>
      </c>
      <c r="FO137" s="422">
        <f t="shared" ca="1" si="25"/>
        <v>0</v>
      </c>
      <c r="FP137" s="595">
        <f ca="1">IFERROR(FH137/$FH$153,0)</f>
        <v>2.8475934379303242E-3</v>
      </c>
      <c r="FQ137" s="574">
        <f t="shared" ca="1" si="26"/>
        <v>0.21233070839004742</v>
      </c>
      <c r="FR137" s="422">
        <f>SUMIFS(FR$154:FR$183,$Y$154:$Y$183,$Y137)</f>
        <v>0</v>
      </c>
      <c r="FS137" s="574">
        <f t="shared" ref="FS137:FS183" si="33">IFERROR(FR137/EQ137,0)</f>
        <v>0</v>
      </c>
      <c r="FT137" s="469">
        <v>1.9834243217263722E-3</v>
      </c>
      <c r="FU137" s="289">
        <f>FT137*$FU$153</f>
        <v>6.6186448295485659E-2</v>
      </c>
    </row>
    <row r="138" spans="2:177" outlineLevel="1">
      <c r="B138" s="20" t="s">
        <v>137</v>
      </c>
      <c r="C138" s="74" t="s">
        <v>46</v>
      </c>
      <c r="D138" s="576" t="s">
        <v>92</v>
      </c>
      <c r="E138" s="585">
        <v>12.078139999999999</v>
      </c>
      <c r="F138" s="585">
        <v>14.302960000000001</v>
      </c>
      <c r="G138" s="585">
        <v>11.703939999999999</v>
      </c>
      <c r="H138" s="585">
        <v>11.096640000000001</v>
      </c>
      <c r="I138" s="585">
        <v>10.461819999999999</v>
      </c>
      <c r="J138" s="585">
        <v>5.4909400000000002</v>
      </c>
      <c r="K138" s="585"/>
      <c r="L138" s="585"/>
      <c r="M138" s="585"/>
      <c r="N138" s="585"/>
      <c r="O138" s="585"/>
      <c r="P138" s="585"/>
      <c r="Q138" s="585"/>
      <c r="R138" s="582">
        <f>IFERROR(SUMIFS(Daily_Vol_yesterday[Order Quantity],Daily_Vol_yesterday[Cust_Cat.Customer category],  "Key Account",Daily_Vol_yesterday[Map_Product.TME_SKU],master_Daily!D138)/50000,0)</f>
        <v>0.4264</v>
      </c>
      <c r="S138" s="582">
        <f>IFERROR(SUM(SUMIFS(Weekly_Vol[Quantity],Weekly_Vol[Cust_Cat.Customer category],  "Key Account",Weekly_Vol[Map_Product.TME_SKU],master_Daily!D138))/50000,0)</f>
        <v>5.4909400000000002</v>
      </c>
      <c r="T138" s="583">
        <f t="shared" ref="T138:T140" si="34">SUM(E138:P138)</f>
        <v>65.134439999999998</v>
      </c>
      <c r="U138" s="584">
        <f>IFERROR(T138/$T$142,0)</f>
        <v>0.46280858552656828</v>
      </c>
      <c r="V138" s="280">
        <f>IFERROR(S138/Q138,0)</f>
        <v>0</v>
      </c>
      <c r="X138" s="20" t="s">
        <v>136</v>
      </c>
      <c r="Y138" s="74" t="s">
        <v>46</v>
      </c>
      <c r="Z138" s="576" t="s">
        <v>92</v>
      </c>
      <c r="AA138" s="582"/>
      <c r="AB138" s="582"/>
      <c r="AC138" s="582">
        <v>1.6966000000000001</v>
      </c>
      <c r="AD138" s="582"/>
      <c r="AE138" s="582"/>
      <c r="AF138" s="582"/>
      <c r="AG138" s="582"/>
      <c r="AH138" s="582"/>
      <c r="AI138" s="582"/>
      <c r="AJ138" s="582"/>
      <c r="AK138" s="582"/>
      <c r="AL138" s="582"/>
      <c r="AM138" s="582">
        <v>3.173</v>
      </c>
      <c r="AN138" s="582"/>
      <c r="AO138" s="582"/>
      <c r="AP138" s="582"/>
      <c r="AQ138" s="582"/>
      <c r="AR138" s="582"/>
      <c r="AS138" s="582"/>
      <c r="AT138" s="582"/>
      <c r="AU138" s="582"/>
      <c r="AV138" s="582"/>
      <c r="AW138" s="582">
        <v>1.3149999999999999</v>
      </c>
      <c r="AX138" s="582"/>
      <c r="AY138" s="582"/>
      <c r="AZ138" s="582"/>
      <c r="BA138" s="582"/>
      <c r="BB138" s="582"/>
      <c r="BC138" s="582"/>
      <c r="BD138" s="582"/>
      <c r="BE138" s="582"/>
      <c r="BF138" s="582"/>
      <c r="BG138" s="582">
        <v>1.595</v>
      </c>
      <c r="BH138" s="582"/>
      <c r="BI138" s="582"/>
      <c r="BJ138" s="582"/>
      <c r="BK138" s="582"/>
      <c r="BL138" s="582"/>
      <c r="BM138" s="582"/>
      <c r="BN138" s="582"/>
      <c r="BO138" s="582"/>
      <c r="BP138" s="582"/>
      <c r="BQ138" s="582">
        <v>1.879</v>
      </c>
      <c r="BR138" s="582"/>
      <c r="BS138" s="582"/>
      <c r="BT138" s="582"/>
      <c r="BU138" s="582"/>
      <c r="BV138" s="582"/>
      <c r="BW138" s="582"/>
      <c r="BX138" s="582"/>
      <c r="BY138" s="582"/>
      <c r="BZ138" s="582"/>
      <c r="CA138" s="582">
        <v>0.76</v>
      </c>
      <c r="CB138" s="582"/>
      <c r="CC138" s="582"/>
      <c r="CD138" s="582"/>
      <c r="CE138" s="582"/>
      <c r="CF138" s="582"/>
      <c r="CG138" s="582"/>
      <c r="CH138" s="582"/>
      <c r="CI138" s="582"/>
      <c r="CJ138" s="582"/>
      <c r="CK138" s="582"/>
      <c r="CL138" s="582"/>
      <c r="CM138" s="582"/>
      <c r="CN138" s="582"/>
      <c r="CO138" s="582"/>
      <c r="CP138" s="582"/>
      <c r="CQ138" s="582"/>
      <c r="CR138" s="582"/>
      <c r="CS138" s="582"/>
      <c r="CT138" s="582"/>
      <c r="CU138" s="582"/>
      <c r="CV138" s="582"/>
      <c r="CW138" s="582"/>
      <c r="CX138" s="582"/>
      <c r="CY138" s="582"/>
      <c r="CZ138" s="582"/>
      <c r="DA138" s="582"/>
      <c r="DB138" s="582"/>
      <c r="DC138" s="582"/>
      <c r="DD138" s="582"/>
      <c r="DE138" s="582"/>
      <c r="DF138" s="582"/>
      <c r="DG138" s="582"/>
      <c r="DH138" s="582"/>
      <c r="DI138" s="582"/>
      <c r="DJ138" s="582"/>
      <c r="DK138" s="582"/>
      <c r="DL138" s="582"/>
      <c r="DM138" s="582"/>
      <c r="DN138" s="582"/>
      <c r="DO138" s="582"/>
      <c r="DP138" s="582"/>
      <c r="DQ138" s="582"/>
      <c r="DR138" s="582"/>
      <c r="DS138" s="582"/>
      <c r="DT138" s="582"/>
      <c r="DU138" s="582"/>
      <c r="DV138" s="582"/>
      <c r="DW138" s="582"/>
      <c r="DX138" s="582"/>
      <c r="DY138" s="582"/>
      <c r="DZ138" s="582"/>
      <c r="EA138" s="582"/>
      <c r="EB138" s="582"/>
      <c r="EC138" s="582"/>
      <c r="ED138" s="582"/>
      <c r="EE138" s="582"/>
      <c r="EF138" s="582"/>
      <c r="EG138" s="582"/>
      <c r="EH138" s="582"/>
      <c r="EI138" s="582"/>
      <c r="EJ138" s="582"/>
      <c r="EK138" s="582"/>
      <c r="EL138" s="582"/>
      <c r="EM138" s="582"/>
      <c r="EN138" s="582"/>
      <c r="EO138" s="582"/>
      <c r="EP138" s="582"/>
      <c r="EQ138" s="591"/>
      <c r="ER138" s="582">
        <f>IFERROR(SUMIFS(Daily_Vol_yesterday[Order Quantity],Daily_Vol_yesterday[Cust_Cat.Customer category],  "&lt;&gt;Key Account",Daily_Vol_yesterday[Map_Product.TME_SKU],Z138)/50000,0)</f>
        <v>0.1</v>
      </c>
      <c r="ES138" s="582"/>
      <c r="ET138" s="582"/>
      <c r="EU138" s="582"/>
      <c r="EV138" s="582"/>
      <c r="EW138" s="582"/>
      <c r="EX138" s="582"/>
      <c r="EY138" s="582"/>
      <c r="EZ138" s="582">
        <f>IFERROR(SUM(SUMIFS(Weekly_Vol[Quantity],Weekly_Vol[Cust_Cat.Customer category],  "&lt;&gt;Key Account",Weekly_Vol[Map_Product.TME_SKU],Z138))/50000,0)</f>
        <v>0.76</v>
      </c>
      <c r="FA138" s="582"/>
      <c r="FB138" s="577"/>
      <c r="FC138" s="577"/>
      <c r="FD138" s="577"/>
      <c r="FE138" s="577"/>
      <c r="FF138" s="577"/>
      <c r="FG138" s="577"/>
      <c r="FH138" s="577"/>
      <c r="FI138" s="577"/>
      <c r="FJ138" s="577"/>
      <c r="FK138" s="577"/>
      <c r="FL138" s="577"/>
      <c r="FM138" s="577"/>
      <c r="FN138" s="577"/>
      <c r="FO138" s="577"/>
      <c r="FP138" s="589"/>
      <c r="FQ138" s="580"/>
      <c r="FR138" s="577"/>
      <c r="FS138" s="580"/>
      <c r="FT138" s="469"/>
      <c r="FU138" s="289"/>
    </row>
    <row r="139" spans="2:177" outlineLevel="1">
      <c r="B139" s="20" t="s">
        <v>137</v>
      </c>
      <c r="C139" s="74" t="s">
        <v>46</v>
      </c>
      <c r="D139" s="576" t="s">
        <v>93</v>
      </c>
      <c r="E139" s="585">
        <v>7.9779400000000003</v>
      </c>
      <c r="F139" s="585">
        <v>5.8003200000000001</v>
      </c>
      <c r="G139" s="585">
        <v>6.7150800000000004</v>
      </c>
      <c r="H139" s="585">
        <v>6.6505200000000002</v>
      </c>
      <c r="I139" s="585">
        <v>6.3141999999999996</v>
      </c>
      <c r="J139" s="585">
        <v>3.3073999999999999</v>
      </c>
      <c r="K139" s="585"/>
      <c r="L139" s="585"/>
      <c r="M139" s="585"/>
      <c r="N139" s="585"/>
      <c r="O139" s="585"/>
      <c r="P139" s="585"/>
      <c r="Q139" s="585"/>
      <c r="R139" s="582">
        <f>IFERROR(SUMIFS(Daily_Vol_yesterday[Order Quantity],Daily_Vol_yesterday[Cust_Cat.Customer category],  "Key Account",Daily_Vol_yesterday[Map_Product.TME_SKU],master_Daily!D139)/50000,0)</f>
        <v>0.21179999999999999</v>
      </c>
      <c r="S139" s="582">
        <f>IFERROR(SUM(SUMIFS(Weekly_Vol[Quantity],Weekly_Vol[Cust_Cat.Customer category],  "Key Account",Weekly_Vol[Map_Product.TME_SKU],master_Daily!D139))/50000,0)</f>
        <v>3.3073999999999999</v>
      </c>
      <c r="T139" s="583">
        <f t="shared" si="34"/>
        <v>36.765460000000004</v>
      </c>
      <c r="U139" s="584">
        <f t="shared" ref="U139:U140" si="35">IFERROR(T139/$T$142,0)</f>
        <v>0.26123461779718421</v>
      </c>
      <c r="V139" s="280">
        <f>IFERROR(S139/Q139,0)</f>
        <v>0</v>
      </c>
      <c r="X139" s="20" t="s">
        <v>136</v>
      </c>
      <c r="Y139" s="74" t="s">
        <v>46</v>
      </c>
      <c r="Z139" s="576" t="s">
        <v>93</v>
      </c>
      <c r="AA139" s="582"/>
      <c r="AB139" s="582"/>
      <c r="AC139" s="582">
        <v>2.5251999999999999</v>
      </c>
      <c r="AD139" s="582"/>
      <c r="AE139" s="582"/>
      <c r="AF139" s="582"/>
      <c r="AG139" s="582"/>
      <c r="AH139" s="582"/>
      <c r="AI139" s="582"/>
      <c r="AJ139" s="582"/>
      <c r="AK139" s="582"/>
      <c r="AL139" s="582"/>
      <c r="AM139" s="582">
        <v>2.008</v>
      </c>
      <c r="AN139" s="582"/>
      <c r="AO139" s="582"/>
      <c r="AP139" s="582"/>
      <c r="AQ139" s="582"/>
      <c r="AR139" s="582"/>
      <c r="AS139" s="582"/>
      <c r="AT139" s="582"/>
      <c r="AU139" s="582"/>
      <c r="AV139" s="582"/>
      <c r="AW139" s="582">
        <v>1.72</v>
      </c>
      <c r="AX139" s="582"/>
      <c r="AY139" s="582"/>
      <c r="AZ139" s="582"/>
      <c r="BA139" s="582"/>
      <c r="BB139" s="582"/>
      <c r="BC139" s="582"/>
      <c r="BD139" s="582"/>
      <c r="BE139" s="582"/>
      <c r="BF139" s="582"/>
      <c r="BG139" s="582">
        <v>1.875</v>
      </c>
      <c r="BH139" s="582"/>
      <c r="BI139" s="582"/>
      <c r="BJ139" s="582"/>
      <c r="BK139" s="582"/>
      <c r="BL139" s="582"/>
      <c r="BM139" s="582"/>
      <c r="BN139" s="582"/>
      <c r="BO139" s="582"/>
      <c r="BP139" s="582"/>
      <c r="BQ139" s="582">
        <v>2.1440000000000001</v>
      </c>
      <c r="BR139" s="582"/>
      <c r="BS139" s="582"/>
      <c r="BT139" s="582"/>
      <c r="BU139" s="582"/>
      <c r="BV139" s="582"/>
      <c r="BW139" s="582"/>
      <c r="BX139" s="582"/>
      <c r="BY139" s="582"/>
      <c r="BZ139" s="582"/>
      <c r="CA139" s="582">
        <v>0.67500000000000004</v>
      </c>
      <c r="CB139" s="582"/>
      <c r="CC139" s="582"/>
      <c r="CD139" s="582"/>
      <c r="CE139" s="582"/>
      <c r="CF139" s="582"/>
      <c r="CG139" s="582"/>
      <c r="CH139" s="582"/>
      <c r="CI139" s="582"/>
      <c r="CJ139" s="582"/>
      <c r="CK139" s="582"/>
      <c r="CL139" s="582"/>
      <c r="CM139" s="582"/>
      <c r="CN139" s="582"/>
      <c r="CO139" s="582"/>
      <c r="CP139" s="582"/>
      <c r="CQ139" s="582"/>
      <c r="CR139" s="582"/>
      <c r="CS139" s="582"/>
      <c r="CT139" s="582"/>
      <c r="CU139" s="582"/>
      <c r="CV139" s="582"/>
      <c r="CW139" s="582"/>
      <c r="CX139" s="582"/>
      <c r="CY139" s="582"/>
      <c r="CZ139" s="582"/>
      <c r="DA139" s="582"/>
      <c r="DB139" s="582"/>
      <c r="DC139" s="582"/>
      <c r="DD139" s="582"/>
      <c r="DE139" s="582"/>
      <c r="DF139" s="582"/>
      <c r="DG139" s="582"/>
      <c r="DH139" s="582"/>
      <c r="DI139" s="582"/>
      <c r="DJ139" s="582"/>
      <c r="DK139" s="582"/>
      <c r="DL139" s="582"/>
      <c r="DM139" s="582"/>
      <c r="DN139" s="582"/>
      <c r="DO139" s="582"/>
      <c r="DP139" s="582"/>
      <c r="DQ139" s="582"/>
      <c r="DR139" s="582"/>
      <c r="DS139" s="582"/>
      <c r="DT139" s="582"/>
      <c r="DU139" s="582"/>
      <c r="DV139" s="582"/>
      <c r="DW139" s="582"/>
      <c r="DX139" s="582"/>
      <c r="DY139" s="582"/>
      <c r="DZ139" s="582"/>
      <c r="EA139" s="582"/>
      <c r="EB139" s="582"/>
      <c r="EC139" s="582"/>
      <c r="ED139" s="582"/>
      <c r="EE139" s="582"/>
      <c r="EF139" s="582"/>
      <c r="EG139" s="582"/>
      <c r="EH139" s="582"/>
      <c r="EI139" s="582"/>
      <c r="EJ139" s="582"/>
      <c r="EK139" s="582"/>
      <c r="EL139" s="582"/>
      <c r="EM139" s="582"/>
      <c r="EN139" s="582"/>
      <c r="EO139" s="582"/>
      <c r="EP139" s="582"/>
      <c r="EQ139" s="591"/>
      <c r="ER139" s="582">
        <f>IFERROR(SUMIFS(Daily_Vol_yesterday[Order Quantity],Daily_Vol_yesterday[Cust_Cat.Customer category],  "&lt;&gt;Key Account",Daily_Vol_yesterday[Map_Product.TME_SKU],Z139)/50000,0)</f>
        <v>0.1</v>
      </c>
      <c r="ES139" s="582"/>
      <c r="ET139" s="582"/>
      <c r="EU139" s="582"/>
      <c r="EV139" s="582"/>
      <c r="EW139" s="582"/>
      <c r="EX139" s="582"/>
      <c r="EY139" s="582"/>
      <c r="EZ139" s="582">
        <f>IFERROR(SUM(SUMIFS(Weekly_Vol[Quantity],Weekly_Vol[Cust_Cat.Customer category],  "&lt;&gt;Key Account",Weekly_Vol[Map_Product.TME_SKU],Z139))/50000,0)</f>
        <v>0.67500000000000004</v>
      </c>
      <c r="FA139" s="582"/>
      <c r="FB139" s="577"/>
      <c r="FC139" s="577"/>
      <c r="FD139" s="577"/>
      <c r="FE139" s="577"/>
      <c r="FF139" s="577"/>
      <c r="FG139" s="577"/>
      <c r="FH139" s="577"/>
      <c r="FI139" s="577"/>
      <c r="FJ139" s="577"/>
      <c r="FK139" s="577"/>
      <c r="FL139" s="577"/>
      <c r="FM139" s="577"/>
      <c r="FN139" s="577"/>
      <c r="FO139" s="577"/>
      <c r="FP139" s="589"/>
      <c r="FQ139" s="580"/>
      <c r="FR139" s="577"/>
      <c r="FS139" s="580"/>
      <c r="FT139" s="469"/>
      <c r="FU139" s="289"/>
    </row>
    <row r="140" spans="2:177" outlineLevel="1">
      <c r="B140" s="20" t="s">
        <v>137</v>
      </c>
      <c r="C140" s="74" t="s">
        <v>46</v>
      </c>
      <c r="D140" s="576" t="s">
        <v>94</v>
      </c>
      <c r="E140" s="585">
        <v>8.3347800000000003</v>
      </c>
      <c r="F140" s="585">
        <v>3.3383600000000002</v>
      </c>
      <c r="G140" s="585">
        <v>7.9961200000000003</v>
      </c>
      <c r="H140" s="585">
        <v>7.9303800000000004</v>
      </c>
      <c r="I140" s="585">
        <v>7.2545999999999999</v>
      </c>
      <c r="J140" s="585">
        <v>3.9831799999999999</v>
      </c>
      <c r="K140" s="585"/>
      <c r="L140" s="585"/>
      <c r="M140" s="585"/>
      <c r="N140" s="585"/>
      <c r="O140" s="585"/>
      <c r="P140" s="585"/>
      <c r="Q140" s="585"/>
      <c r="R140" s="582">
        <f>IFERROR(SUMIFS(Daily_Vol_yesterday[Order Quantity],Daily_Vol_yesterday[Cust_Cat.Customer category],  "Key Account",Daily_Vol_yesterday[Map_Product.TME_SKU],master_Daily!D140)/50000,0)</f>
        <v>0.25</v>
      </c>
      <c r="S140" s="582">
        <f>IFERROR(SUM(SUMIFS(Weekly_Vol[Quantity],Weekly_Vol[Cust_Cat.Customer category],  "Key Account",Weekly_Vol[Map_Product.TME_SKU],master_Daily!D140))/50000,0)</f>
        <v>3.9831799999999999</v>
      </c>
      <c r="T140" s="583">
        <f t="shared" si="34"/>
        <v>38.837420000000002</v>
      </c>
      <c r="U140" s="584">
        <f t="shared" si="35"/>
        <v>0.27595679667624767</v>
      </c>
      <c r="V140" s="280">
        <f>IFERROR(S140/Q140,0)</f>
        <v>0</v>
      </c>
      <c r="X140" s="20" t="s">
        <v>136</v>
      </c>
      <c r="Y140" s="74" t="s">
        <v>46</v>
      </c>
      <c r="Z140" s="576" t="s">
        <v>94</v>
      </c>
      <c r="AA140" s="582"/>
      <c r="AB140" s="582"/>
      <c r="AC140" s="582">
        <v>3.0472000000000001</v>
      </c>
      <c r="AD140" s="582"/>
      <c r="AE140" s="582"/>
      <c r="AF140" s="582"/>
      <c r="AG140" s="582"/>
      <c r="AH140" s="582"/>
      <c r="AI140" s="582"/>
      <c r="AJ140" s="582"/>
      <c r="AK140" s="582"/>
      <c r="AL140" s="582"/>
      <c r="AM140" s="582">
        <v>1.9712000000000001</v>
      </c>
      <c r="AN140" s="582"/>
      <c r="AO140" s="582"/>
      <c r="AP140" s="582"/>
      <c r="AQ140" s="582"/>
      <c r="AR140" s="582"/>
      <c r="AS140" s="582"/>
      <c r="AT140" s="582"/>
      <c r="AU140" s="582"/>
      <c r="AV140" s="582"/>
      <c r="AW140" s="582">
        <v>2.4700000000000002</v>
      </c>
      <c r="AX140" s="582"/>
      <c r="AY140" s="582"/>
      <c r="AZ140" s="582"/>
      <c r="BA140" s="582"/>
      <c r="BB140" s="582"/>
      <c r="BC140" s="582"/>
      <c r="BD140" s="582"/>
      <c r="BE140" s="582"/>
      <c r="BF140" s="582"/>
      <c r="BG140" s="582">
        <v>2.5609999999999999</v>
      </c>
      <c r="BH140" s="582"/>
      <c r="BI140" s="582"/>
      <c r="BJ140" s="582"/>
      <c r="BK140" s="582"/>
      <c r="BL140" s="582"/>
      <c r="BM140" s="582"/>
      <c r="BN140" s="582"/>
      <c r="BO140" s="582"/>
      <c r="BP140" s="582"/>
      <c r="BQ140" s="582">
        <v>2.9216000000000002</v>
      </c>
      <c r="BR140" s="582"/>
      <c r="BS140" s="582"/>
      <c r="BT140" s="582"/>
      <c r="BU140" s="582"/>
      <c r="BV140" s="582"/>
      <c r="BW140" s="582"/>
      <c r="BX140" s="582"/>
      <c r="BY140" s="582"/>
      <c r="BZ140" s="582"/>
      <c r="CA140" s="582">
        <v>1.075</v>
      </c>
      <c r="CB140" s="582"/>
      <c r="CC140" s="582"/>
      <c r="CD140" s="582"/>
      <c r="CE140" s="582"/>
      <c r="CF140" s="582"/>
      <c r="CG140" s="582"/>
      <c r="CH140" s="582"/>
      <c r="CI140" s="582"/>
      <c r="CJ140" s="582"/>
      <c r="CK140" s="582"/>
      <c r="CL140" s="582"/>
      <c r="CM140" s="582"/>
      <c r="CN140" s="582"/>
      <c r="CO140" s="582"/>
      <c r="CP140" s="582"/>
      <c r="CQ140" s="582"/>
      <c r="CR140" s="582"/>
      <c r="CS140" s="582"/>
      <c r="CT140" s="582"/>
      <c r="CU140" s="582"/>
      <c r="CV140" s="582"/>
      <c r="CW140" s="582"/>
      <c r="CX140" s="582"/>
      <c r="CY140" s="582"/>
      <c r="CZ140" s="582"/>
      <c r="DA140" s="582"/>
      <c r="DB140" s="582"/>
      <c r="DC140" s="582"/>
      <c r="DD140" s="582"/>
      <c r="DE140" s="582"/>
      <c r="DF140" s="582"/>
      <c r="DG140" s="582"/>
      <c r="DH140" s="582"/>
      <c r="DI140" s="582"/>
      <c r="DJ140" s="582"/>
      <c r="DK140" s="582"/>
      <c r="DL140" s="582"/>
      <c r="DM140" s="582"/>
      <c r="DN140" s="582"/>
      <c r="DO140" s="582"/>
      <c r="DP140" s="582"/>
      <c r="DQ140" s="582"/>
      <c r="DR140" s="582"/>
      <c r="DS140" s="582"/>
      <c r="DT140" s="582"/>
      <c r="DU140" s="582"/>
      <c r="DV140" s="582"/>
      <c r="DW140" s="582"/>
      <c r="DX140" s="582"/>
      <c r="DY140" s="582"/>
      <c r="DZ140" s="582"/>
      <c r="EA140" s="582"/>
      <c r="EB140" s="582"/>
      <c r="EC140" s="582"/>
      <c r="ED140" s="582"/>
      <c r="EE140" s="582"/>
      <c r="EF140" s="582"/>
      <c r="EG140" s="582"/>
      <c r="EH140" s="582"/>
      <c r="EI140" s="582"/>
      <c r="EJ140" s="582"/>
      <c r="EK140" s="582"/>
      <c r="EL140" s="582"/>
      <c r="EM140" s="582"/>
      <c r="EN140" s="582"/>
      <c r="EO140" s="582"/>
      <c r="EP140" s="582"/>
      <c r="EQ140" s="591"/>
      <c r="ER140" s="582">
        <f>IFERROR(SUMIFS(Daily_Vol_yesterday[Order Quantity],Daily_Vol_yesterday[Cust_Cat.Customer category],  "&lt;&gt;Key Account",Daily_Vol_yesterday[Map_Product.TME_SKU],Z140)/50000,0)</f>
        <v>0.12</v>
      </c>
      <c r="ES140" s="582"/>
      <c r="ET140" s="582"/>
      <c r="EU140" s="582"/>
      <c r="EV140" s="582"/>
      <c r="EW140" s="582"/>
      <c r="EX140" s="582"/>
      <c r="EY140" s="582"/>
      <c r="EZ140" s="582">
        <f>IFERROR(SUM(SUMIFS(Weekly_Vol[Quantity],Weekly_Vol[Cust_Cat.Customer category],  "&lt;&gt;Key Account",Weekly_Vol[Map_Product.TME_SKU],Z140))/50000,0)</f>
        <v>1.075</v>
      </c>
      <c r="FA140" s="582"/>
      <c r="FB140" s="577"/>
      <c r="FC140" s="577"/>
      <c r="FD140" s="577"/>
      <c r="FE140" s="577"/>
      <c r="FF140" s="577"/>
      <c r="FG140" s="577"/>
      <c r="FH140" s="577"/>
      <c r="FI140" s="577"/>
      <c r="FJ140" s="577"/>
      <c r="FK140" s="577"/>
      <c r="FL140" s="577"/>
      <c r="FM140" s="577"/>
      <c r="FN140" s="577"/>
      <c r="FO140" s="577"/>
      <c r="FP140" s="589"/>
      <c r="FQ140" s="580"/>
      <c r="FR140" s="577"/>
      <c r="FS140" s="580"/>
      <c r="FT140" s="469"/>
      <c r="FU140" s="289"/>
    </row>
    <row r="141" spans="2:177" outlineLevel="1">
      <c r="B141" s="20" t="s">
        <v>137</v>
      </c>
      <c r="C141" s="74" t="s">
        <v>46</v>
      </c>
      <c r="D141" s="576"/>
      <c r="E141" s="585"/>
      <c r="F141" s="585"/>
      <c r="G141" s="585"/>
      <c r="H141" s="585"/>
      <c r="I141" s="585"/>
      <c r="J141" s="585"/>
      <c r="K141" s="585"/>
      <c r="L141" s="585"/>
      <c r="M141" s="585"/>
      <c r="N141" s="585"/>
      <c r="O141" s="585"/>
      <c r="P141" s="585"/>
      <c r="Q141" s="585"/>
      <c r="R141" s="582"/>
      <c r="S141" s="582"/>
      <c r="T141" s="583"/>
      <c r="U141" s="584"/>
      <c r="V141" s="280"/>
      <c r="X141" s="20" t="s">
        <v>136</v>
      </c>
      <c r="Y141" s="74" t="s">
        <v>46</v>
      </c>
      <c r="Z141" s="576"/>
      <c r="AA141" s="582"/>
      <c r="AB141" s="582"/>
      <c r="AC141" s="582"/>
      <c r="AD141" s="582"/>
      <c r="AE141" s="582"/>
      <c r="AF141" s="582"/>
      <c r="AG141" s="582"/>
      <c r="AH141" s="582"/>
      <c r="AI141" s="582"/>
      <c r="AJ141" s="582"/>
      <c r="AK141" s="582"/>
      <c r="AL141" s="582"/>
      <c r="AM141" s="582"/>
      <c r="AN141" s="582"/>
      <c r="AO141" s="582"/>
      <c r="AP141" s="582"/>
      <c r="AQ141" s="582"/>
      <c r="AR141" s="582"/>
      <c r="AS141" s="582"/>
      <c r="AT141" s="582"/>
      <c r="AU141" s="582"/>
      <c r="AV141" s="582"/>
      <c r="AW141" s="582"/>
      <c r="AX141" s="582"/>
      <c r="AY141" s="582"/>
      <c r="AZ141" s="582"/>
      <c r="BA141" s="582"/>
      <c r="BB141" s="582"/>
      <c r="BC141" s="582"/>
      <c r="BD141" s="582"/>
      <c r="BE141" s="582"/>
      <c r="BF141" s="582"/>
      <c r="BG141" s="582"/>
      <c r="BH141" s="582"/>
      <c r="BI141" s="582"/>
      <c r="BJ141" s="582"/>
      <c r="BK141" s="582"/>
      <c r="BL141" s="582"/>
      <c r="BM141" s="582"/>
      <c r="BN141" s="582"/>
      <c r="BO141" s="582"/>
      <c r="BP141" s="582"/>
      <c r="BQ141" s="582"/>
      <c r="BR141" s="582"/>
      <c r="BS141" s="582"/>
      <c r="BT141" s="582"/>
      <c r="BU141" s="582"/>
      <c r="BV141" s="582"/>
      <c r="BW141" s="582"/>
      <c r="BX141" s="582"/>
      <c r="BY141" s="582"/>
      <c r="BZ141" s="582"/>
      <c r="CA141" s="582"/>
      <c r="CB141" s="582"/>
      <c r="CC141" s="582"/>
      <c r="CD141" s="582"/>
      <c r="CE141" s="582"/>
      <c r="CF141" s="582"/>
      <c r="CG141" s="582"/>
      <c r="CH141" s="582"/>
      <c r="CI141" s="582"/>
      <c r="CJ141" s="582"/>
      <c r="CK141" s="582"/>
      <c r="CL141" s="582"/>
      <c r="CM141" s="582"/>
      <c r="CN141" s="582"/>
      <c r="CO141" s="582"/>
      <c r="CP141" s="582"/>
      <c r="CQ141" s="582"/>
      <c r="CR141" s="582"/>
      <c r="CS141" s="582"/>
      <c r="CT141" s="582"/>
      <c r="CU141" s="582"/>
      <c r="CV141" s="582"/>
      <c r="CW141" s="582"/>
      <c r="CX141" s="582"/>
      <c r="CY141" s="582"/>
      <c r="CZ141" s="582"/>
      <c r="DA141" s="582"/>
      <c r="DB141" s="582"/>
      <c r="DC141" s="582"/>
      <c r="DD141" s="582"/>
      <c r="DE141" s="582"/>
      <c r="DF141" s="582"/>
      <c r="DG141" s="582"/>
      <c r="DH141" s="582"/>
      <c r="DI141" s="582"/>
      <c r="DJ141" s="582"/>
      <c r="DK141" s="582"/>
      <c r="DL141" s="582"/>
      <c r="DM141" s="582"/>
      <c r="DN141" s="582"/>
      <c r="DO141" s="582"/>
      <c r="DP141" s="582"/>
      <c r="DQ141" s="582"/>
      <c r="DR141" s="582"/>
      <c r="DS141" s="582"/>
      <c r="DT141" s="582"/>
      <c r="DU141" s="582"/>
      <c r="DV141" s="582"/>
      <c r="DW141" s="582"/>
      <c r="DX141" s="582"/>
      <c r="DY141" s="582"/>
      <c r="DZ141" s="582"/>
      <c r="EA141" s="582"/>
      <c r="EB141" s="582"/>
      <c r="EC141" s="582"/>
      <c r="ED141" s="582"/>
      <c r="EE141" s="582"/>
      <c r="EF141" s="582"/>
      <c r="EG141" s="582"/>
      <c r="EH141" s="582"/>
      <c r="EI141" s="582"/>
      <c r="EJ141" s="582"/>
      <c r="EK141" s="582"/>
      <c r="EL141" s="582"/>
      <c r="EM141" s="582"/>
      <c r="EN141" s="582"/>
      <c r="EO141" s="582"/>
      <c r="EP141" s="582"/>
      <c r="EQ141" s="591"/>
      <c r="ER141" s="582"/>
      <c r="ES141" s="582"/>
      <c r="ET141" s="582"/>
      <c r="EU141" s="582"/>
      <c r="EV141" s="582"/>
      <c r="EW141" s="582"/>
      <c r="EX141" s="582"/>
      <c r="EY141" s="582"/>
      <c r="EZ141" s="582"/>
      <c r="FA141" s="582"/>
      <c r="FB141" s="577"/>
      <c r="FC141" s="577"/>
      <c r="FD141" s="577"/>
      <c r="FE141" s="577"/>
      <c r="FF141" s="577"/>
      <c r="FG141" s="577"/>
      <c r="FH141" s="577"/>
      <c r="FI141" s="577"/>
      <c r="FJ141" s="577"/>
      <c r="FK141" s="577"/>
      <c r="FL141" s="577"/>
      <c r="FM141" s="577"/>
      <c r="FN141" s="577"/>
      <c r="FO141" s="577"/>
      <c r="FP141" s="589"/>
      <c r="FQ141" s="580"/>
      <c r="FR141" s="577"/>
      <c r="FS141" s="580"/>
      <c r="FT141" s="469"/>
      <c r="FU141" s="289"/>
    </row>
    <row r="142" spans="2:177">
      <c r="B142" s="570" t="s">
        <v>137</v>
      </c>
      <c r="C142" s="571" t="s">
        <v>46</v>
      </c>
      <c r="D142" s="571"/>
      <c r="E142" s="422">
        <v>28.390860000000004</v>
      </c>
      <c r="F142" s="422">
        <v>23.44164</v>
      </c>
      <c r="G142" s="422">
        <v>26.415139999999994</v>
      </c>
      <c r="H142" s="422">
        <v>25.677539999999997</v>
      </c>
      <c r="I142" s="422">
        <v>24.030619999999999</v>
      </c>
      <c r="J142" s="422">
        <v>12.78152</v>
      </c>
      <c r="K142" s="422"/>
      <c r="L142" s="422"/>
      <c r="M142" s="422"/>
      <c r="N142" s="422"/>
      <c r="O142" s="422"/>
      <c r="P142" s="422"/>
      <c r="Q142" s="422">
        <f t="shared" ref="Q142:S142" si="36">SUMIFS(Q$154:Q$189,$C$154:$C$189,$C142)</f>
        <v>21.241710445652608</v>
      </c>
      <c r="R142" s="422">
        <f t="shared" si="36"/>
        <v>0.8882000000000001</v>
      </c>
      <c r="S142" s="422">
        <f t="shared" si="36"/>
        <v>12.78152</v>
      </c>
      <c r="T142" s="572">
        <f t="shared" si="20"/>
        <v>140.73731999999998</v>
      </c>
      <c r="U142" s="573">
        <f>IFERROR(T142/$T$153,0)</f>
        <v>0.23398629732593493</v>
      </c>
      <c r="V142" s="574">
        <f t="shared" si="28"/>
        <v>0.6017180223175439</v>
      </c>
      <c r="X142" s="570" t="s">
        <v>136</v>
      </c>
      <c r="Y142" s="571" t="s">
        <v>46</v>
      </c>
      <c r="Z142" s="571"/>
      <c r="AA142" s="593">
        <f t="shared" ref="AA142:BP142" si="37">SUMIFS(AA$154:AA$183,$Y$154:$Y$183,$Y142)</f>
        <v>7.2690000000000001</v>
      </c>
      <c r="AB142" s="593">
        <f t="shared" si="37"/>
        <v>0</v>
      </c>
      <c r="AC142" s="593">
        <v>7.2690000000000001</v>
      </c>
      <c r="AD142" s="593">
        <v>7.2690000000000001</v>
      </c>
      <c r="AE142" s="593">
        <v>0</v>
      </c>
      <c r="AF142" s="593">
        <v>0</v>
      </c>
      <c r="AG142" s="593">
        <v>0</v>
      </c>
      <c r="AH142" s="593">
        <v>0</v>
      </c>
      <c r="AI142" s="593">
        <v>0</v>
      </c>
      <c r="AJ142" s="593">
        <v>0</v>
      </c>
      <c r="AK142" s="593">
        <f t="shared" si="37"/>
        <v>7.1522000000000006</v>
      </c>
      <c r="AL142" s="593">
        <f t="shared" si="37"/>
        <v>0</v>
      </c>
      <c r="AM142" s="593">
        <v>7.1522000000000006</v>
      </c>
      <c r="AN142" s="593">
        <v>7.1522000000000006</v>
      </c>
      <c r="AO142" s="593">
        <v>0</v>
      </c>
      <c r="AP142" s="593">
        <v>0</v>
      </c>
      <c r="AQ142" s="593">
        <v>0</v>
      </c>
      <c r="AR142" s="593">
        <v>0</v>
      </c>
      <c r="AS142" s="593">
        <v>0</v>
      </c>
      <c r="AT142" s="593">
        <v>0</v>
      </c>
      <c r="AU142" s="593">
        <f t="shared" si="37"/>
        <v>5.5049999999999999</v>
      </c>
      <c r="AV142" s="593">
        <f t="shared" si="37"/>
        <v>0</v>
      </c>
      <c r="AW142" s="593">
        <v>5.5049999999999999</v>
      </c>
      <c r="AX142" s="593">
        <v>5.5049999999999999</v>
      </c>
      <c r="AY142" s="593">
        <v>0</v>
      </c>
      <c r="AZ142" s="593">
        <v>0</v>
      </c>
      <c r="BA142" s="593">
        <v>0</v>
      </c>
      <c r="BB142" s="593">
        <v>0</v>
      </c>
      <c r="BC142" s="593">
        <v>0</v>
      </c>
      <c r="BD142" s="593">
        <v>0</v>
      </c>
      <c r="BE142" s="593">
        <f t="shared" si="37"/>
        <v>6.0309999999999988</v>
      </c>
      <c r="BF142" s="593">
        <f t="shared" si="37"/>
        <v>0</v>
      </c>
      <c r="BG142" s="593">
        <v>6.0309999999999988</v>
      </c>
      <c r="BH142" s="593">
        <v>6.0309999999999988</v>
      </c>
      <c r="BI142" s="593">
        <v>0</v>
      </c>
      <c r="BJ142" s="593">
        <v>0</v>
      </c>
      <c r="BK142" s="593">
        <v>0</v>
      </c>
      <c r="BL142" s="593">
        <v>0</v>
      </c>
      <c r="BM142" s="593">
        <v>0</v>
      </c>
      <c r="BN142" s="593">
        <v>0</v>
      </c>
      <c r="BO142" s="593">
        <f t="shared" si="37"/>
        <v>6.9445999999999994</v>
      </c>
      <c r="BP142" s="593">
        <f t="shared" si="37"/>
        <v>0</v>
      </c>
      <c r="BQ142" s="593">
        <v>6.9445999999999994</v>
      </c>
      <c r="BR142" s="593">
        <v>6.9445999999999994</v>
      </c>
      <c r="BS142" s="593">
        <v>0</v>
      </c>
      <c r="BT142" s="593">
        <v>0</v>
      </c>
      <c r="BU142" s="593">
        <v>0</v>
      </c>
      <c r="BV142" s="593">
        <v>0</v>
      </c>
      <c r="BW142" s="593">
        <v>0</v>
      </c>
      <c r="BX142" s="593">
        <v>0</v>
      </c>
      <c r="BY142" s="593">
        <f t="shared" ref="BY142:DD142" si="38">SUMIFS(BY$154:BY$183,$Y$154:$Y$183,$Y142)</f>
        <v>2.5099999999999998</v>
      </c>
      <c r="BZ142" s="593">
        <f t="shared" si="38"/>
        <v>0</v>
      </c>
      <c r="CA142" s="593">
        <v>2.5099999999999998</v>
      </c>
      <c r="CB142" s="593">
        <v>2.5099999999999998</v>
      </c>
      <c r="CC142" s="593">
        <v>0</v>
      </c>
      <c r="CD142" s="593">
        <v>0</v>
      </c>
      <c r="CE142" s="593">
        <v>0</v>
      </c>
      <c r="CF142" s="593">
        <v>0</v>
      </c>
      <c r="CG142" s="593">
        <v>0</v>
      </c>
      <c r="CH142" s="593">
        <v>0</v>
      </c>
      <c r="CI142" s="593">
        <f t="shared" si="38"/>
        <v>0</v>
      </c>
      <c r="CJ142" s="593">
        <f t="shared" si="38"/>
        <v>0</v>
      </c>
      <c r="CK142" s="593"/>
      <c r="CL142" s="593"/>
      <c r="CM142" s="593"/>
      <c r="CN142" s="593"/>
      <c r="CO142" s="593">
        <v>0</v>
      </c>
      <c r="CP142" s="593">
        <v>0</v>
      </c>
      <c r="CQ142" s="593">
        <v>0</v>
      </c>
      <c r="CR142" s="593">
        <v>0</v>
      </c>
      <c r="CS142" s="593">
        <f t="shared" si="38"/>
        <v>0</v>
      </c>
      <c r="CT142" s="593">
        <f t="shared" si="38"/>
        <v>0</v>
      </c>
      <c r="CU142" s="593"/>
      <c r="CV142" s="593"/>
      <c r="CW142" s="593"/>
      <c r="CX142" s="593"/>
      <c r="CY142" s="593">
        <v>0</v>
      </c>
      <c r="CZ142" s="593">
        <v>0</v>
      </c>
      <c r="DA142" s="593">
        <v>0</v>
      </c>
      <c r="DB142" s="593">
        <v>0</v>
      </c>
      <c r="DC142" s="593">
        <f t="shared" si="38"/>
        <v>0</v>
      </c>
      <c r="DD142" s="593">
        <f t="shared" si="38"/>
        <v>0</v>
      </c>
      <c r="DE142" s="593"/>
      <c r="DF142" s="593"/>
      <c r="DG142" s="593"/>
      <c r="DH142" s="593"/>
      <c r="DI142" s="593">
        <v>0</v>
      </c>
      <c r="DJ142" s="593">
        <v>0</v>
      </c>
      <c r="DK142" s="593">
        <v>0</v>
      </c>
      <c r="DL142" s="593">
        <v>0</v>
      </c>
      <c r="DM142" s="593">
        <f t="shared" ref="DM142:EH142" si="39">SUMIFS(DM$154:DM$183,$Y$154:$Y$183,$Y142)</f>
        <v>0</v>
      </c>
      <c r="DN142" s="593">
        <f t="shared" si="39"/>
        <v>0</v>
      </c>
      <c r="DO142" s="593"/>
      <c r="DP142" s="593"/>
      <c r="DQ142" s="593"/>
      <c r="DR142" s="593"/>
      <c r="DS142" s="593">
        <v>0</v>
      </c>
      <c r="DT142" s="593">
        <v>0</v>
      </c>
      <c r="DU142" s="593">
        <v>0</v>
      </c>
      <c r="DV142" s="593">
        <v>0</v>
      </c>
      <c r="DW142" s="593">
        <f t="shared" si="39"/>
        <v>0</v>
      </c>
      <c r="DX142" s="593">
        <f t="shared" si="39"/>
        <v>0</v>
      </c>
      <c r="DY142" s="593"/>
      <c r="DZ142" s="593"/>
      <c r="EA142" s="593"/>
      <c r="EB142" s="593"/>
      <c r="EC142" s="593">
        <v>0</v>
      </c>
      <c r="ED142" s="593">
        <v>0</v>
      </c>
      <c r="EE142" s="593">
        <v>0</v>
      </c>
      <c r="EF142" s="593">
        <v>0</v>
      </c>
      <c r="EG142" s="593">
        <f t="shared" si="39"/>
        <v>0</v>
      </c>
      <c r="EH142" s="422">
        <f t="shared" si="39"/>
        <v>0</v>
      </c>
      <c r="EI142" s="422"/>
      <c r="EJ142" s="422"/>
      <c r="EK142" s="422"/>
      <c r="EL142" s="422"/>
      <c r="EM142" s="422">
        <v>0</v>
      </c>
      <c r="EN142" s="422">
        <v>0</v>
      </c>
      <c r="EO142" s="422">
        <v>0</v>
      </c>
      <c r="EP142" s="422">
        <v>0</v>
      </c>
      <c r="EQ142" s="594">
        <f>SUM(EQ156,EQ162,EQ168,EQ174,EQ180)</f>
        <v>6.4787183944392428</v>
      </c>
      <c r="ER142" s="422">
        <f t="shared" ref="ER142:FG142" ca="1" si="40">SUMIFS(ER$154:ER$183,$Y$154:$Y$183,$Y142)</f>
        <v>0.32</v>
      </c>
      <c r="ES142" s="422">
        <f t="shared" ca="1" si="40"/>
        <v>0.32</v>
      </c>
      <c r="ET142" s="422">
        <f t="shared" ca="1" si="40"/>
        <v>0</v>
      </c>
      <c r="EU142" s="422">
        <f t="shared" ca="1" si="40"/>
        <v>0</v>
      </c>
      <c r="EV142" s="422">
        <f t="shared" ca="1" si="40"/>
        <v>0</v>
      </c>
      <c r="EW142" s="422">
        <f t="shared" ca="1" si="40"/>
        <v>0</v>
      </c>
      <c r="EX142" s="422">
        <f t="shared" ca="1" si="40"/>
        <v>0</v>
      </c>
      <c r="EY142" s="422">
        <f t="shared" ca="1" si="40"/>
        <v>0</v>
      </c>
      <c r="EZ142" s="422">
        <f t="shared" ca="1" si="40"/>
        <v>2.5099999999999998</v>
      </c>
      <c r="FA142" s="422">
        <f t="shared" ca="1" si="40"/>
        <v>2.5099999999999998</v>
      </c>
      <c r="FB142" s="422">
        <f t="shared" ca="1" si="40"/>
        <v>0</v>
      </c>
      <c r="FC142" s="422">
        <f t="shared" ca="1" si="40"/>
        <v>0</v>
      </c>
      <c r="FD142" s="422">
        <f t="shared" ca="1" si="40"/>
        <v>0</v>
      </c>
      <c r="FE142" s="422">
        <f t="shared" ca="1" si="40"/>
        <v>0</v>
      </c>
      <c r="FF142" s="422">
        <f t="shared" ca="1" si="40"/>
        <v>0</v>
      </c>
      <c r="FG142" s="422">
        <f t="shared" ca="1" si="40"/>
        <v>0</v>
      </c>
      <c r="FH142" s="422">
        <f t="shared" ca="1" si="25"/>
        <v>35.411799999999999</v>
      </c>
      <c r="FI142" s="422">
        <f t="shared" ca="1" si="25"/>
        <v>35.411799999999999</v>
      </c>
      <c r="FJ142" s="422">
        <f t="shared" ca="1" si="25"/>
        <v>0</v>
      </c>
      <c r="FK142" s="422">
        <f t="shared" ca="1" si="25"/>
        <v>0</v>
      </c>
      <c r="FL142" s="422">
        <f t="shared" ca="1" si="25"/>
        <v>0</v>
      </c>
      <c r="FM142" s="422">
        <f t="shared" ca="1" si="25"/>
        <v>0</v>
      </c>
      <c r="FN142" s="422">
        <f t="shared" ca="1" si="25"/>
        <v>0</v>
      </c>
      <c r="FO142" s="422">
        <f t="shared" ca="1" si="25"/>
        <v>0</v>
      </c>
      <c r="FP142" s="595">
        <f ca="1">IFERROR(FH142/$FH$153,0)</f>
        <v>0.23997717588124953</v>
      </c>
      <c r="FQ142" s="574">
        <f t="shared" ca="1" si="26"/>
        <v>0.38742230286693141</v>
      </c>
      <c r="FR142" s="422">
        <f>SUMIFS(FR$154:FR$183,$Y$154:$Y$183,$Y142)</f>
        <v>0</v>
      </c>
      <c r="FS142" s="574">
        <f t="shared" si="33"/>
        <v>0</v>
      </c>
      <c r="FT142" s="469">
        <v>0.29099134422127881</v>
      </c>
      <c r="FU142" s="289">
        <f>FT142*$FU$153</f>
        <v>9.7103193440584192</v>
      </c>
    </row>
    <row r="143" spans="2:177" outlineLevel="1">
      <c r="B143" s="20" t="s">
        <v>137</v>
      </c>
      <c r="C143" s="74" t="s">
        <v>263</v>
      </c>
      <c r="D143" s="303" t="s">
        <v>184</v>
      </c>
      <c r="E143" s="585">
        <v>17.545200000000001</v>
      </c>
      <c r="F143" s="585">
        <v>15.844139999999999</v>
      </c>
      <c r="G143" s="585">
        <v>17.329540000000001</v>
      </c>
      <c r="H143" s="585">
        <v>15.20614</v>
      </c>
      <c r="I143" s="585">
        <v>14.036519999999999</v>
      </c>
      <c r="J143" s="585">
        <v>6.7892999999999999</v>
      </c>
      <c r="K143" s="585"/>
      <c r="L143" s="585"/>
      <c r="M143" s="585"/>
      <c r="N143" s="585"/>
      <c r="O143" s="585"/>
      <c r="P143" s="585"/>
      <c r="Q143" s="585"/>
      <c r="R143" s="582">
        <f>IFERROR(SUMIFS(Daily_Vol_yesterday[Order Quantity],Daily_Vol_yesterday[Cust_Cat.Customer category],  "Key Account",Daily_Vol_yesterday[Map_Product.TME_SKU],master_Daily!D143)/50000,0)</f>
        <v>0.46139999999999998</v>
      </c>
      <c r="S143" s="582">
        <f>IFERROR(SUM(SUMIFS(Weekly_Vol[Quantity],Weekly_Vol[Cust_Cat.Customer category],  "Key Account",Weekly_Vol[Map_Product.TME_SKU],master_Daily!D143))/50000,0)</f>
        <v>6.7892999999999999</v>
      </c>
      <c r="T143" s="583">
        <f t="shared" si="20"/>
        <v>86.750839999999997</v>
      </c>
      <c r="U143" s="584">
        <f>IFERROR(T143/$T$148,0)</f>
        <v>0.27511501440478753</v>
      </c>
      <c r="V143" s="280">
        <f>IFERROR(S143/Q143,0)</f>
        <v>0</v>
      </c>
      <c r="X143" s="20" t="s">
        <v>136</v>
      </c>
      <c r="Y143" s="74" t="s">
        <v>263</v>
      </c>
      <c r="Z143" s="576" t="s">
        <v>184</v>
      </c>
      <c r="AA143" s="582"/>
      <c r="AB143" s="582"/>
      <c r="AC143" s="582">
        <v>4.1369999999999996</v>
      </c>
      <c r="AD143" s="582"/>
      <c r="AE143" s="582"/>
      <c r="AF143" s="582"/>
      <c r="AG143" s="582"/>
      <c r="AH143" s="582"/>
      <c r="AI143" s="582"/>
      <c r="AJ143" s="582"/>
      <c r="AK143" s="582"/>
      <c r="AL143" s="582"/>
      <c r="AM143" s="582">
        <v>4.3310000000000004</v>
      </c>
      <c r="AN143" s="582"/>
      <c r="AO143" s="582"/>
      <c r="AP143" s="582"/>
      <c r="AQ143" s="582"/>
      <c r="AR143" s="582"/>
      <c r="AS143" s="582"/>
      <c r="AT143" s="582"/>
      <c r="AU143" s="582"/>
      <c r="AV143" s="582"/>
      <c r="AW143" s="582">
        <v>4.0460000000000003</v>
      </c>
      <c r="AX143" s="582"/>
      <c r="AY143" s="582"/>
      <c r="AZ143" s="582"/>
      <c r="BA143" s="582"/>
      <c r="BB143" s="582"/>
      <c r="BC143" s="582"/>
      <c r="BD143" s="582"/>
      <c r="BE143" s="582"/>
      <c r="BF143" s="582"/>
      <c r="BG143" s="582">
        <v>3.9689999999999999</v>
      </c>
      <c r="BH143" s="582"/>
      <c r="BI143" s="582"/>
      <c r="BJ143" s="582"/>
      <c r="BK143" s="582"/>
      <c r="BL143" s="582"/>
      <c r="BM143" s="582"/>
      <c r="BN143" s="582"/>
      <c r="BO143" s="582"/>
      <c r="BP143" s="582"/>
      <c r="BQ143" s="582">
        <v>3.1819999999999999</v>
      </c>
      <c r="BR143" s="582"/>
      <c r="BS143" s="582"/>
      <c r="BT143" s="582"/>
      <c r="BU143" s="582"/>
      <c r="BV143" s="582"/>
      <c r="BW143" s="582"/>
      <c r="BX143" s="582"/>
      <c r="BY143" s="582"/>
      <c r="BZ143" s="582"/>
      <c r="CA143" s="582">
        <v>0.95920000000000005</v>
      </c>
      <c r="CB143" s="582"/>
      <c r="CC143" s="582"/>
      <c r="CD143" s="582"/>
      <c r="CE143" s="582"/>
      <c r="CF143" s="582"/>
      <c r="CG143" s="582"/>
      <c r="CH143" s="582"/>
      <c r="CI143" s="582"/>
      <c r="CJ143" s="582"/>
      <c r="CK143" s="582"/>
      <c r="CL143" s="582"/>
      <c r="CM143" s="582"/>
      <c r="CN143" s="582"/>
      <c r="CO143" s="582"/>
      <c r="CP143" s="582"/>
      <c r="CQ143" s="582"/>
      <c r="CR143" s="582"/>
      <c r="CS143" s="582"/>
      <c r="CT143" s="582"/>
      <c r="CU143" s="582"/>
      <c r="CV143" s="582"/>
      <c r="CW143" s="582"/>
      <c r="CX143" s="582"/>
      <c r="CY143" s="582"/>
      <c r="CZ143" s="582"/>
      <c r="DA143" s="582"/>
      <c r="DB143" s="582"/>
      <c r="DC143" s="582"/>
      <c r="DD143" s="582"/>
      <c r="DE143" s="582"/>
      <c r="DF143" s="582"/>
      <c r="DG143" s="582"/>
      <c r="DH143" s="582"/>
      <c r="DI143" s="582"/>
      <c r="DJ143" s="582"/>
      <c r="DK143" s="582"/>
      <c r="DL143" s="582"/>
      <c r="DM143" s="582"/>
      <c r="DN143" s="582"/>
      <c r="DO143" s="582"/>
      <c r="DP143" s="582"/>
      <c r="DQ143" s="582"/>
      <c r="DR143" s="582"/>
      <c r="DS143" s="582"/>
      <c r="DT143" s="582"/>
      <c r="DU143" s="582"/>
      <c r="DV143" s="582"/>
      <c r="DW143" s="582"/>
      <c r="DX143" s="582"/>
      <c r="DY143" s="582"/>
      <c r="DZ143" s="582"/>
      <c r="EA143" s="582"/>
      <c r="EB143" s="582"/>
      <c r="EC143" s="582"/>
      <c r="ED143" s="582"/>
      <c r="EE143" s="582"/>
      <c r="EF143" s="582"/>
      <c r="EG143" s="582"/>
      <c r="EH143" s="582"/>
      <c r="EI143" s="582"/>
      <c r="EJ143" s="582"/>
      <c r="EK143" s="582"/>
      <c r="EL143" s="582"/>
      <c r="EM143" s="582"/>
      <c r="EN143" s="582"/>
      <c r="EO143" s="582"/>
      <c r="EP143" s="582"/>
      <c r="EQ143" s="591"/>
      <c r="ER143" s="582">
        <f>IFERROR(SUMIFS(Daily_Vol_yesterday[Order Quantity],Daily_Vol_yesterday[Cust_Cat.Customer category],  "&lt;&gt;Key Account",Daily_Vol_yesterday[Map_Product.TME_SKU],Z143)/50000,0)</f>
        <v>0.15</v>
      </c>
      <c r="ES143" s="582"/>
      <c r="ET143" s="582"/>
      <c r="EU143" s="582"/>
      <c r="EV143" s="582"/>
      <c r="EW143" s="582"/>
      <c r="EX143" s="582"/>
      <c r="EY143" s="582"/>
      <c r="EZ143" s="582">
        <f>IFERROR(SUM(SUMIFS(Weekly_Vol[Quantity],Weekly_Vol[Cust_Cat.Customer category],  "&lt;&gt;Key Account",Weekly_Vol[Map_Product.TME_SKU],Z143))/50000,0)</f>
        <v>0.95920000000000005</v>
      </c>
      <c r="FA143" s="577"/>
      <c r="FB143" s="577"/>
      <c r="FC143" s="577"/>
      <c r="FD143" s="577"/>
      <c r="FE143" s="577"/>
      <c r="FF143" s="577"/>
      <c r="FG143" s="577"/>
      <c r="FH143" s="577"/>
      <c r="FI143" s="577"/>
      <c r="FJ143" s="577"/>
      <c r="FK143" s="577"/>
      <c r="FL143" s="577"/>
      <c r="FM143" s="577"/>
      <c r="FN143" s="577"/>
      <c r="FO143" s="577"/>
      <c r="FP143" s="589"/>
      <c r="FQ143" s="580"/>
      <c r="FR143" s="577"/>
      <c r="FS143" s="580"/>
      <c r="FT143" s="469"/>
      <c r="FU143" s="289"/>
    </row>
    <row r="144" spans="2:177" outlineLevel="1">
      <c r="B144" s="20" t="s">
        <v>137</v>
      </c>
      <c r="C144" s="74" t="s">
        <v>263</v>
      </c>
      <c r="D144" s="303" t="s">
        <v>185</v>
      </c>
      <c r="E144" s="585">
        <v>0</v>
      </c>
      <c r="F144" s="585">
        <v>0</v>
      </c>
      <c r="G144" s="585">
        <v>0</v>
      </c>
      <c r="H144" s="585">
        <v>0</v>
      </c>
      <c r="I144" s="585">
        <v>0</v>
      </c>
      <c r="J144" s="585">
        <v>0</v>
      </c>
      <c r="K144" s="585"/>
      <c r="L144" s="585"/>
      <c r="M144" s="585"/>
      <c r="N144" s="585"/>
      <c r="O144" s="585"/>
      <c r="P144" s="585"/>
      <c r="Q144" s="585"/>
      <c r="R144" s="582">
        <f>IFERROR(SUMIFS(Daily_Vol_yesterday[Order Quantity],Daily_Vol_yesterday[Cust_Cat.Customer category],  "Key Account",Daily_Vol_yesterday[Map_Product.TME_SKU],master_Daily!D144)/50000,0)</f>
        <v>0</v>
      </c>
      <c r="S144" s="582">
        <f>IFERROR(SUM(SUMIFS(Weekly_Vol[Quantity],Weekly_Vol[Cust_Cat.Customer category],  "Key Account",Weekly_Vol[Map_Product.TME_SKU],master_Daily!D144))/50000,0)</f>
        <v>0</v>
      </c>
      <c r="T144" s="583">
        <f t="shared" ref="T144:T146" si="41">SUM(E144:P144)</f>
        <v>0</v>
      </c>
      <c r="U144" s="584">
        <f t="shared" ref="U144:U146" si="42">IFERROR(T144/$T$148,0)</f>
        <v>0</v>
      </c>
      <c r="V144" s="280">
        <f t="shared" ref="V144:V146" si="43">IFERROR(S144/Q144,0)</f>
        <v>0</v>
      </c>
      <c r="X144" s="20" t="s">
        <v>136</v>
      </c>
      <c r="Y144" s="74" t="s">
        <v>263</v>
      </c>
      <c r="Z144" s="576" t="s">
        <v>185</v>
      </c>
      <c r="AA144" s="582"/>
      <c r="AB144" s="582"/>
      <c r="AC144" s="582">
        <v>0</v>
      </c>
      <c r="AD144" s="582"/>
      <c r="AE144" s="582"/>
      <c r="AF144" s="582"/>
      <c r="AG144" s="582"/>
      <c r="AH144" s="582"/>
      <c r="AI144" s="582"/>
      <c r="AJ144" s="582"/>
      <c r="AK144" s="582"/>
      <c r="AL144" s="582"/>
      <c r="AM144" s="582">
        <v>0</v>
      </c>
      <c r="AN144" s="582"/>
      <c r="AO144" s="582"/>
      <c r="AP144" s="582"/>
      <c r="AQ144" s="582"/>
      <c r="AR144" s="582"/>
      <c r="AS144" s="582"/>
      <c r="AT144" s="582"/>
      <c r="AU144" s="582"/>
      <c r="AV144" s="582"/>
      <c r="AW144" s="582">
        <v>0</v>
      </c>
      <c r="AX144" s="582"/>
      <c r="AY144" s="582"/>
      <c r="AZ144" s="582"/>
      <c r="BA144" s="582"/>
      <c r="BB144" s="582"/>
      <c r="BC144" s="582"/>
      <c r="BD144" s="582"/>
      <c r="BE144" s="582"/>
      <c r="BF144" s="582"/>
      <c r="BG144" s="582">
        <v>0</v>
      </c>
      <c r="BH144" s="582"/>
      <c r="BI144" s="582"/>
      <c r="BJ144" s="582"/>
      <c r="BK144" s="582"/>
      <c r="BL144" s="582"/>
      <c r="BM144" s="582"/>
      <c r="BN144" s="582"/>
      <c r="BO144" s="582"/>
      <c r="BP144" s="582"/>
      <c r="BQ144" s="582">
        <v>0</v>
      </c>
      <c r="BR144" s="582"/>
      <c r="BS144" s="582"/>
      <c r="BT144" s="582"/>
      <c r="BU144" s="582"/>
      <c r="BV144" s="582"/>
      <c r="BW144" s="582"/>
      <c r="BX144" s="582"/>
      <c r="BY144" s="582"/>
      <c r="BZ144" s="582"/>
      <c r="CA144" s="582">
        <v>0</v>
      </c>
      <c r="CB144" s="582"/>
      <c r="CC144" s="582"/>
      <c r="CD144" s="582"/>
      <c r="CE144" s="582"/>
      <c r="CF144" s="582"/>
      <c r="CG144" s="582"/>
      <c r="CH144" s="582"/>
      <c r="CI144" s="582"/>
      <c r="CJ144" s="582"/>
      <c r="CK144" s="582"/>
      <c r="CL144" s="582"/>
      <c r="CM144" s="582"/>
      <c r="CN144" s="582"/>
      <c r="CO144" s="582"/>
      <c r="CP144" s="582"/>
      <c r="CQ144" s="582"/>
      <c r="CR144" s="582"/>
      <c r="CS144" s="582"/>
      <c r="CT144" s="582"/>
      <c r="CU144" s="582"/>
      <c r="CV144" s="582"/>
      <c r="CW144" s="582"/>
      <c r="CX144" s="582"/>
      <c r="CY144" s="582"/>
      <c r="CZ144" s="582"/>
      <c r="DA144" s="582"/>
      <c r="DB144" s="582"/>
      <c r="DC144" s="582"/>
      <c r="DD144" s="582"/>
      <c r="DE144" s="582"/>
      <c r="DF144" s="582"/>
      <c r="DG144" s="582"/>
      <c r="DH144" s="582"/>
      <c r="DI144" s="582"/>
      <c r="DJ144" s="582"/>
      <c r="DK144" s="582"/>
      <c r="DL144" s="582"/>
      <c r="DM144" s="582"/>
      <c r="DN144" s="582"/>
      <c r="DO144" s="582"/>
      <c r="DP144" s="582"/>
      <c r="DQ144" s="582"/>
      <c r="DR144" s="582"/>
      <c r="DS144" s="582"/>
      <c r="DT144" s="582"/>
      <c r="DU144" s="582"/>
      <c r="DV144" s="582"/>
      <c r="DW144" s="582"/>
      <c r="DX144" s="582"/>
      <c r="DY144" s="582"/>
      <c r="DZ144" s="582"/>
      <c r="EA144" s="582"/>
      <c r="EB144" s="582"/>
      <c r="EC144" s="582"/>
      <c r="ED144" s="582"/>
      <c r="EE144" s="582"/>
      <c r="EF144" s="582"/>
      <c r="EG144" s="582"/>
      <c r="EH144" s="582"/>
      <c r="EI144" s="582"/>
      <c r="EJ144" s="582"/>
      <c r="EK144" s="582"/>
      <c r="EL144" s="582"/>
      <c r="EM144" s="582"/>
      <c r="EN144" s="582"/>
      <c r="EO144" s="582"/>
      <c r="EP144" s="582"/>
      <c r="EQ144" s="591"/>
      <c r="ER144" s="582">
        <f>IFERROR(SUMIFS(Daily_Vol_yesterday[Order Quantity],Daily_Vol_yesterday[Cust_Cat.Customer category],  "&lt;&gt;Key Account",Daily_Vol_yesterday[Map_Product.TME_SKU],Z144)/50000,0)</f>
        <v>0</v>
      </c>
      <c r="ES144" s="582"/>
      <c r="ET144" s="582"/>
      <c r="EU144" s="582"/>
      <c r="EV144" s="582"/>
      <c r="EW144" s="582"/>
      <c r="EX144" s="582"/>
      <c r="EY144" s="582"/>
      <c r="EZ144" s="582">
        <f>IFERROR(SUM(SUMIFS(Weekly_Vol[Quantity],Weekly_Vol[Cust_Cat.Customer category],  "&lt;&gt;Key Account",Weekly_Vol[Map_Product.TME_SKU],Z144))/50000,0)</f>
        <v>0</v>
      </c>
      <c r="FA144" s="577"/>
      <c r="FB144" s="577"/>
      <c r="FC144" s="577"/>
      <c r="FD144" s="577"/>
      <c r="FE144" s="577"/>
      <c r="FF144" s="577"/>
      <c r="FG144" s="577"/>
      <c r="FH144" s="577"/>
      <c r="FI144" s="577"/>
      <c r="FJ144" s="577"/>
      <c r="FK144" s="577"/>
      <c r="FL144" s="577"/>
      <c r="FM144" s="577"/>
      <c r="FN144" s="577"/>
      <c r="FO144" s="577"/>
      <c r="FP144" s="589"/>
      <c r="FQ144" s="580"/>
      <c r="FR144" s="577"/>
      <c r="FS144" s="580"/>
      <c r="FT144" s="469"/>
      <c r="FU144" s="289"/>
    </row>
    <row r="145" spans="2:178" outlineLevel="1">
      <c r="B145" s="20" t="s">
        <v>137</v>
      </c>
      <c r="C145" s="74" t="s">
        <v>263</v>
      </c>
      <c r="D145" s="303" t="s">
        <v>186</v>
      </c>
      <c r="E145" s="585">
        <v>34.891199999999998</v>
      </c>
      <c r="F145" s="585">
        <v>32.715000000000003</v>
      </c>
      <c r="G145" s="585">
        <v>37.422600000000003</v>
      </c>
      <c r="H145" s="585">
        <v>35.809600000000003</v>
      </c>
      <c r="I145" s="585">
        <v>32.090600000000002</v>
      </c>
      <c r="J145" s="585">
        <v>16.671399999999998</v>
      </c>
      <c r="K145" s="585"/>
      <c r="L145" s="585"/>
      <c r="M145" s="585"/>
      <c r="N145" s="585"/>
      <c r="O145" s="585"/>
      <c r="P145" s="585"/>
      <c r="Q145" s="585"/>
      <c r="R145" s="582">
        <f>IFERROR(SUMIFS(Daily_Vol_yesterday[Order Quantity],Daily_Vol_yesterday[Cust_Cat.Customer category],  "Key Account",Daily_Vol_yesterday[Map_Product.TME_SKU],master_Daily!D145)/50000,0)</f>
        <v>0.97640000000000005</v>
      </c>
      <c r="S145" s="582">
        <f>IFERROR(SUM(SUMIFS(Weekly_Vol[Quantity],Weekly_Vol[Cust_Cat.Customer category],  "Key Account",Weekly_Vol[Map_Product.TME_SKU],master_Daily!D145))/50000,0)</f>
        <v>16.671399999999998</v>
      </c>
      <c r="T145" s="583">
        <f t="shared" si="41"/>
        <v>189.60040000000001</v>
      </c>
      <c r="U145" s="584">
        <f t="shared" si="42"/>
        <v>0.60128428470725448</v>
      </c>
      <c r="V145" s="280">
        <f t="shared" si="43"/>
        <v>0</v>
      </c>
      <c r="X145" s="20" t="s">
        <v>136</v>
      </c>
      <c r="Y145" s="74" t="s">
        <v>263</v>
      </c>
      <c r="Z145" s="576" t="s">
        <v>186</v>
      </c>
      <c r="AA145" s="582"/>
      <c r="AB145" s="582"/>
      <c r="AC145" s="582">
        <v>11.364599999999999</v>
      </c>
      <c r="AD145" s="582"/>
      <c r="AE145" s="582"/>
      <c r="AF145" s="582"/>
      <c r="AG145" s="582"/>
      <c r="AH145" s="582"/>
      <c r="AI145" s="582"/>
      <c r="AJ145" s="582"/>
      <c r="AK145" s="582"/>
      <c r="AL145" s="582"/>
      <c r="AM145" s="582">
        <v>10.765599999999999</v>
      </c>
      <c r="AN145" s="582"/>
      <c r="AO145" s="582"/>
      <c r="AP145" s="582"/>
      <c r="AQ145" s="582"/>
      <c r="AR145" s="582"/>
      <c r="AS145" s="582"/>
      <c r="AT145" s="582"/>
      <c r="AU145" s="582"/>
      <c r="AV145" s="582"/>
      <c r="AW145" s="582">
        <v>11.680999999999999</v>
      </c>
      <c r="AX145" s="582"/>
      <c r="AY145" s="582"/>
      <c r="AZ145" s="582"/>
      <c r="BA145" s="582"/>
      <c r="BB145" s="582"/>
      <c r="BC145" s="582"/>
      <c r="BD145" s="582"/>
      <c r="BE145" s="582"/>
      <c r="BF145" s="582"/>
      <c r="BG145" s="582">
        <v>10.588800000000001</v>
      </c>
      <c r="BH145" s="582"/>
      <c r="BI145" s="582"/>
      <c r="BJ145" s="582"/>
      <c r="BK145" s="582"/>
      <c r="BL145" s="582"/>
      <c r="BM145" s="582"/>
      <c r="BN145" s="582"/>
      <c r="BO145" s="582"/>
      <c r="BP145" s="582"/>
      <c r="BQ145" s="582">
        <v>10.518000000000001</v>
      </c>
      <c r="BR145" s="582"/>
      <c r="BS145" s="582"/>
      <c r="BT145" s="582"/>
      <c r="BU145" s="582"/>
      <c r="BV145" s="582"/>
      <c r="BW145" s="582"/>
      <c r="BX145" s="582"/>
      <c r="BY145" s="582"/>
      <c r="BZ145" s="582"/>
      <c r="CA145" s="582">
        <v>4.7370000000000001</v>
      </c>
      <c r="CB145" s="582"/>
      <c r="CC145" s="582"/>
      <c r="CD145" s="582"/>
      <c r="CE145" s="582"/>
      <c r="CF145" s="582"/>
      <c r="CG145" s="582"/>
      <c r="CH145" s="582"/>
      <c r="CI145" s="582"/>
      <c r="CJ145" s="582"/>
      <c r="CK145" s="582"/>
      <c r="CL145" s="582"/>
      <c r="CM145" s="582"/>
      <c r="CN145" s="582"/>
      <c r="CO145" s="582"/>
      <c r="CP145" s="582"/>
      <c r="CQ145" s="582"/>
      <c r="CR145" s="582"/>
      <c r="CS145" s="582"/>
      <c r="CT145" s="582"/>
      <c r="CU145" s="582"/>
      <c r="CV145" s="582"/>
      <c r="CW145" s="582"/>
      <c r="CX145" s="582"/>
      <c r="CY145" s="582"/>
      <c r="CZ145" s="582"/>
      <c r="DA145" s="582"/>
      <c r="DB145" s="582"/>
      <c r="DC145" s="582"/>
      <c r="DD145" s="582"/>
      <c r="DE145" s="582"/>
      <c r="DF145" s="582"/>
      <c r="DG145" s="582"/>
      <c r="DH145" s="582"/>
      <c r="DI145" s="582"/>
      <c r="DJ145" s="582"/>
      <c r="DK145" s="582"/>
      <c r="DL145" s="582"/>
      <c r="DM145" s="582"/>
      <c r="DN145" s="582"/>
      <c r="DO145" s="582"/>
      <c r="DP145" s="582"/>
      <c r="DQ145" s="582"/>
      <c r="DR145" s="582"/>
      <c r="DS145" s="582"/>
      <c r="DT145" s="582"/>
      <c r="DU145" s="582"/>
      <c r="DV145" s="582"/>
      <c r="DW145" s="582"/>
      <c r="DX145" s="582"/>
      <c r="DY145" s="582"/>
      <c r="DZ145" s="582"/>
      <c r="EA145" s="582"/>
      <c r="EB145" s="582"/>
      <c r="EC145" s="582"/>
      <c r="ED145" s="582"/>
      <c r="EE145" s="582"/>
      <c r="EF145" s="582"/>
      <c r="EG145" s="582"/>
      <c r="EH145" s="582"/>
      <c r="EI145" s="582"/>
      <c r="EJ145" s="582"/>
      <c r="EK145" s="582"/>
      <c r="EL145" s="582"/>
      <c r="EM145" s="582"/>
      <c r="EN145" s="582"/>
      <c r="EO145" s="582"/>
      <c r="EP145" s="582"/>
      <c r="EQ145" s="591"/>
      <c r="ER145" s="582">
        <f>IFERROR(SUMIFS(Daily_Vol_yesterday[Order Quantity],Daily_Vol_yesterday[Cust_Cat.Customer category],  "&lt;&gt;Key Account",Daily_Vol_yesterday[Map_Product.TME_SKU],Z145)/50000,0)</f>
        <v>0.81</v>
      </c>
      <c r="ES145" s="582"/>
      <c r="ET145" s="582"/>
      <c r="EU145" s="582"/>
      <c r="EV145" s="582"/>
      <c r="EW145" s="582"/>
      <c r="EX145" s="582"/>
      <c r="EY145" s="582"/>
      <c r="EZ145" s="582">
        <f>IFERROR(SUM(SUMIFS(Weekly_Vol[Quantity],Weekly_Vol[Cust_Cat.Customer category],  "&lt;&gt;Key Account",Weekly_Vol[Map_Product.TME_SKU],Z145))/50000,0)</f>
        <v>4.7370000000000001</v>
      </c>
      <c r="FA145" s="577"/>
      <c r="FB145" s="577"/>
      <c r="FC145" s="577"/>
      <c r="FD145" s="577"/>
      <c r="FE145" s="577"/>
      <c r="FF145" s="577"/>
      <c r="FG145" s="577"/>
      <c r="FH145" s="577"/>
      <c r="FI145" s="577"/>
      <c r="FJ145" s="577"/>
      <c r="FK145" s="577"/>
      <c r="FL145" s="577"/>
      <c r="FM145" s="577"/>
      <c r="FN145" s="577"/>
      <c r="FO145" s="577"/>
      <c r="FP145" s="589"/>
      <c r="FQ145" s="580"/>
      <c r="FR145" s="577"/>
      <c r="FS145" s="580"/>
      <c r="FT145" s="469"/>
      <c r="FU145" s="289"/>
    </row>
    <row r="146" spans="2:178" outlineLevel="1">
      <c r="B146" s="20" t="s">
        <v>137</v>
      </c>
      <c r="C146" s="74" t="s">
        <v>263</v>
      </c>
      <c r="D146" s="303" t="s">
        <v>187</v>
      </c>
      <c r="E146" s="585">
        <v>6.8992599999999999</v>
      </c>
      <c r="F146" s="585">
        <v>6.6025799999999997</v>
      </c>
      <c r="G146" s="585">
        <v>7.5281200000000004</v>
      </c>
      <c r="H146" s="585">
        <v>7.5104600000000001</v>
      </c>
      <c r="I146" s="585">
        <v>6.9756999999999998</v>
      </c>
      <c r="J146" s="585">
        <v>3.4583599999999999</v>
      </c>
      <c r="K146" s="585"/>
      <c r="L146" s="585"/>
      <c r="M146" s="585"/>
      <c r="N146" s="585"/>
      <c r="O146" s="585"/>
      <c r="P146" s="585"/>
      <c r="Q146" s="585"/>
      <c r="R146" s="582">
        <f>IFERROR(SUMIFS(Daily_Vol_yesterday[Order Quantity],Daily_Vol_yesterday[Cust_Cat.Customer category],  "Key Account",Daily_Vol_yesterday[Map_Product.TME_SKU],master_Daily!D146)/50000,0)</f>
        <v>0.18179999999999999</v>
      </c>
      <c r="S146" s="582">
        <f>IFERROR(SUM(SUMIFS(Weekly_Vol[Quantity],Weekly_Vol[Cust_Cat.Customer category],  "Key Account",Weekly_Vol[Map_Product.TME_SKU],master_Daily!D146))/50000,0)</f>
        <v>3.4583599999999999</v>
      </c>
      <c r="T146" s="583">
        <f t="shared" si="41"/>
        <v>38.97448</v>
      </c>
      <c r="U146" s="584">
        <f t="shared" si="42"/>
        <v>0.12360070088795802</v>
      </c>
      <c r="V146" s="280">
        <f t="shared" si="43"/>
        <v>0</v>
      </c>
      <c r="X146" s="20" t="s">
        <v>136</v>
      </c>
      <c r="Y146" s="74" t="s">
        <v>263</v>
      </c>
      <c r="Z146" s="576" t="s">
        <v>187</v>
      </c>
      <c r="AA146" s="582"/>
      <c r="AB146" s="582"/>
      <c r="AC146" s="582">
        <v>1.7462</v>
      </c>
      <c r="AD146" s="582"/>
      <c r="AE146" s="582"/>
      <c r="AF146" s="582"/>
      <c r="AG146" s="582"/>
      <c r="AH146" s="582"/>
      <c r="AI146" s="582"/>
      <c r="AJ146" s="582"/>
      <c r="AK146" s="582"/>
      <c r="AL146" s="582"/>
      <c r="AM146" s="582">
        <v>1.4379999999999999</v>
      </c>
      <c r="AN146" s="582"/>
      <c r="AO146" s="582"/>
      <c r="AP146" s="582"/>
      <c r="AQ146" s="582"/>
      <c r="AR146" s="582"/>
      <c r="AS146" s="582"/>
      <c r="AT146" s="582"/>
      <c r="AU146" s="582"/>
      <c r="AV146" s="582"/>
      <c r="AW146" s="582">
        <v>1.732</v>
      </c>
      <c r="AX146" s="582"/>
      <c r="AY146" s="582"/>
      <c r="AZ146" s="582"/>
      <c r="BA146" s="582"/>
      <c r="BB146" s="582"/>
      <c r="BC146" s="582"/>
      <c r="BD146" s="582"/>
      <c r="BE146" s="582"/>
      <c r="BF146" s="582"/>
      <c r="BG146" s="582">
        <v>1.4141999999999999</v>
      </c>
      <c r="BH146" s="582"/>
      <c r="BI146" s="582"/>
      <c r="BJ146" s="582"/>
      <c r="BK146" s="582"/>
      <c r="BL146" s="582"/>
      <c r="BM146" s="582"/>
      <c r="BN146" s="582"/>
      <c r="BO146" s="582"/>
      <c r="BP146" s="582"/>
      <c r="BQ146" s="582">
        <v>1.7976000000000001</v>
      </c>
      <c r="BR146" s="582"/>
      <c r="BS146" s="582"/>
      <c r="BT146" s="582"/>
      <c r="BU146" s="582"/>
      <c r="BV146" s="582"/>
      <c r="BW146" s="582"/>
      <c r="BX146" s="582"/>
      <c r="BY146" s="582"/>
      <c r="BZ146" s="582"/>
      <c r="CA146" s="582">
        <v>0.59</v>
      </c>
      <c r="CB146" s="582"/>
      <c r="CC146" s="582"/>
      <c r="CD146" s="582"/>
      <c r="CE146" s="582"/>
      <c r="CF146" s="582"/>
      <c r="CG146" s="582"/>
      <c r="CH146" s="582"/>
      <c r="CI146" s="582"/>
      <c r="CJ146" s="582"/>
      <c r="CK146" s="582"/>
      <c r="CL146" s="582"/>
      <c r="CM146" s="582"/>
      <c r="CN146" s="582"/>
      <c r="CO146" s="582"/>
      <c r="CP146" s="582"/>
      <c r="CQ146" s="582"/>
      <c r="CR146" s="582"/>
      <c r="CS146" s="582"/>
      <c r="CT146" s="582"/>
      <c r="CU146" s="582"/>
      <c r="CV146" s="582"/>
      <c r="CW146" s="582"/>
      <c r="CX146" s="582"/>
      <c r="CY146" s="582"/>
      <c r="CZ146" s="582"/>
      <c r="DA146" s="582"/>
      <c r="DB146" s="582"/>
      <c r="DC146" s="582"/>
      <c r="DD146" s="582"/>
      <c r="DE146" s="582"/>
      <c r="DF146" s="582"/>
      <c r="DG146" s="582"/>
      <c r="DH146" s="582"/>
      <c r="DI146" s="582"/>
      <c r="DJ146" s="582"/>
      <c r="DK146" s="582"/>
      <c r="DL146" s="582"/>
      <c r="DM146" s="582"/>
      <c r="DN146" s="582"/>
      <c r="DO146" s="582"/>
      <c r="DP146" s="582"/>
      <c r="DQ146" s="582"/>
      <c r="DR146" s="582"/>
      <c r="DS146" s="582"/>
      <c r="DT146" s="582"/>
      <c r="DU146" s="582"/>
      <c r="DV146" s="582"/>
      <c r="DW146" s="582"/>
      <c r="DX146" s="582"/>
      <c r="DY146" s="582"/>
      <c r="DZ146" s="582"/>
      <c r="EA146" s="582"/>
      <c r="EB146" s="582"/>
      <c r="EC146" s="582"/>
      <c r="ED146" s="582"/>
      <c r="EE146" s="582"/>
      <c r="EF146" s="582"/>
      <c r="EG146" s="582"/>
      <c r="EH146" s="582"/>
      <c r="EI146" s="582"/>
      <c r="EJ146" s="582"/>
      <c r="EK146" s="582"/>
      <c r="EL146" s="582"/>
      <c r="EM146" s="582"/>
      <c r="EN146" s="582"/>
      <c r="EO146" s="582"/>
      <c r="EP146" s="582"/>
      <c r="EQ146" s="591"/>
      <c r="ER146" s="582">
        <f>IFERROR(SUMIFS(Daily_Vol_yesterday[Order Quantity],Daily_Vol_yesterday[Cust_Cat.Customer category],  "&lt;&gt;Key Account",Daily_Vol_yesterday[Map_Product.TME_SKU],Z146)/50000,0)</f>
        <v>0.09</v>
      </c>
      <c r="ES146" s="582"/>
      <c r="ET146" s="582"/>
      <c r="EU146" s="582"/>
      <c r="EV146" s="582"/>
      <c r="EW146" s="582"/>
      <c r="EX146" s="582"/>
      <c r="EY146" s="582"/>
      <c r="EZ146" s="582">
        <f>IFERROR(SUM(SUMIFS(Weekly_Vol[Quantity],Weekly_Vol[Cust_Cat.Customer category],  "&lt;&gt;Key Account",Weekly_Vol[Map_Product.TME_SKU],Z146))/50000,0)</f>
        <v>0.59</v>
      </c>
      <c r="FA146" s="577"/>
      <c r="FB146" s="577"/>
      <c r="FC146" s="577"/>
      <c r="FD146" s="577"/>
      <c r="FE146" s="577"/>
      <c r="FF146" s="577"/>
      <c r="FG146" s="577"/>
      <c r="FH146" s="577"/>
      <c r="FI146" s="577"/>
      <c r="FJ146" s="577"/>
      <c r="FK146" s="577"/>
      <c r="FL146" s="577"/>
      <c r="FM146" s="577"/>
      <c r="FN146" s="577"/>
      <c r="FO146" s="577"/>
      <c r="FP146" s="589"/>
      <c r="FQ146" s="580"/>
      <c r="FR146" s="577"/>
      <c r="FS146" s="580"/>
      <c r="FT146" s="469"/>
      <c r="FU146" s="289"/>
    </row>
    <row r="147" spans="2:178" outlineLevel="1">
      <c r="B147" s="20" t="s">
        <v>137</v>
      </c>
      <c r="C147" s="74" t="s">
        <v>263</v>
      </c>
      <c r="D147" s="74"/>
      <c r="E147" s="585"/>
      <c r="F147" s="585"/>
      <c r="G147" s="585"/>
      <c r="H147" s="585"/>
      <c r="I147" s="585"/>
      <c r="J147" s="585"/>
      <c r="K147" s="585"/>
      <c r="L147" s="585"/>
      <c r="M147" s="585"/>
      <c r="N147" s="585"/>
      <c r="O147" s="585"/>
      <c r="P147" s="585"/>
      <c r="Q147" s="585"/>
      <c r="R147" s="585"/>
      <c r="S147" s="585"/>
      <c r="T147" s="586"/>
      <c r="U147" s="587"/>
      <c r="V147" s="588"/>
      <c r="X147" s="20" t="s">
        <v>136</v>
      </c>
      <c r="Y147" s="74" t="s">
        <v>263</v>
      </c>
      <c r="Z147" s="581"/>
      <c r="AA147" s="577"/>
      <c r="AB147" s="577"/>
      <c r="AC147" s="577"/>
      <c r="AD147" s="577"/>
      <c r="AE147" s="577"/>
      <c r="AF147" s="577"/>
      <c r="AG147" s="577"/>
      <c r="AH147" s="577"/>
      <c r="AI147" s="577"/>
      <c r="AJ147" s="577"/>
      <c r="AK147" s="577"/>
      <c r="AL147" s="577"/>
      <c r="AM147" s="577"/>
      <c r="AN147" s="577"/>
      <c r="AO147" s="577"/>
      <c r="AP147" s="577"/>
      <c r="AQ147" s="577"/>
      <c r="AR147" s="577"/>
      <c r="AS147" s="577"/>
      <c r="AT147" s="577"/>
      <c r="AU147" s="577"/>
      <c r="AV147" s="577"/>
      <c r="AW147" s="577"/>
      <c r="AX147" s="577"/>
      <c r="AY147" s="577"/>
      <c r="AZ147" s="577"/>
      <c r="BA147" s="577"/>
      <c r="BB147" s="577"/>
      <c r="BC147" s="577"/>
      <c r="BD147" s="577"/>
      <c r="BE147" s="577"/>
      <c r="BF147" s="577"/>
      <c r="BG147" s="577"/>
      <c r="BH147" s="577"/>
      <c r="BI147" s="577"/>
      <c r="BJ147" s="577"/>
      <c r="BK147" s="577"/>
      <c r="BL147" s="577"/>
      <c r="BM147" s="577"/>
      <c r="BN147" s="577"/>
      <c r="BO147" s="577"/>
      <c r="BP147" s="577"/>
      <c r="BQ147" s="577"/>
      <c r="BR147" s="577"/>
      <c r="BS147" s="577"/>
      <c r="BT147" s="577"/>
      <c r="BU147" s="577"/>
      <c r="BV147" s="577"/>
      <c r="BW147" s="577"/>
      <c r="BX147" s="577"/>
      <c r="BY147" s="577"/>
      <c r="BZ147" s="577"/>
      <c r="CA147" s="577"/>
      <c r="CB147" s="577"/>
      <c r="CC147" s="577"/>
      <c r="CD147" s="577"/>
      <c r="CE147" s="577"/>
      <c r="CF147" s="577"/>
      <c r="CG147" s="577"/>
      <c r="CH147" s="577"/>
      <c r="CI147" s="577"/>
      <c r="CJ147" s="577"/>
      <c r="CK147" s="577"/>
      <c r="CL147" s="577"/>
      <c r="CM147" s="577"/>
      <c r="CN147" s="577"/>
      <c r="CO147" s="577"/>
      <c r="CP147" s="577"/>
      <c r="CQ147" s="577"/>
      <c r="CR147" s="577"/>
      <c r="CS147" s="577"/>
      <c r="CT147" s="577"/>
      <c r="CU147" s="577"/>
      <c r="CV147" s="577"/>
      <c r="CW147" s="577"/>
      <c r="CX147" s="577"/>
      <c r="CY147" s="577"/>
      <c r="CZ147" s="577"/>
      <c r="DA147" s="577"/>
      <c r="DB147" s="577"/>
      <c r="DC147" s="577"/>
      <c r="DD147" s="577"/>
      <c r="DE147" s="577"/>
      <c r="DF147" s="577"/>
      <c r="DG147" s="577"/>
      <c r="DH147" s="577"/>
      <c r="DI147" s="577"/>
      <c r="DJ147" s="577"/>
      <c r="DK147" s="577"/>
      <c r="DL147" s="577"/>
      <c r="DM147" s="577"/>
      <c r="DN147" s="577"/>
      <c r="DO147" s="577"/>
      <c r="DP147" s="577"/>
      <c r="DQ147" s="577"/>
      <c r="DR147" s="577"/>
      <c r="DS147" s="577"/>
      <c r="DT147" s="577"/>
      <c r="DU147" s="577"/>
      <c r="DV147" s="577"/>
      <c r="DW147" s="577"/>
      <c r="DX147" s="577"/>
      <c r="DY147" s="577"/>
      <c r="DZ147" s="577"/>
      <c r="EA147" s="577"/>
      <c r="EB147" s="577"/>
      <c r="EC147" s="577"/>
      <c r="ED147" s="577"/>
      <c r="EE147" s="577"/>
      <c r="EF147" s="577"/>
      <c r="EG147" s="577"/>
      <c r="EH147" s="577"/>
      <c r="EI147" s="577"/>
      <c r="EJ147" s="577"/>
      <c r="EK147" s="577"/>
      <c r="EL147" s="577"/>
      <c r="EM147" s="577"/>
      <c r="EN147" s="577"/>
      <c r="EO147" s="577"/>
      <c r="EP147" s="577"/>
      <c r="EQ147" s="381"/>
      <c r="ER147" s="577"/>
      <c r="ES147" s="577"/>
      <c r="ET147" s="577"/>
      <c r="EU147" s="577"/>
      <c r="EV147" s="577"/>
      <c r="EW147" s="577"/>
      <c r="EX147" s="577"/>
      <c r="EY147" s="577"/>
      <c r="EZ147" s="577"/>
      <c r="FA147" s="577"/>
      <c r="FB147" s="577"/>
      <c r="FC147" s="577"/>
      <c r="FD147" s="577"/>
      <c r="FE147" s="577"/>
      <c r="FF147" s="577"/>
      <c r="FG147" s="577"/>
      <c r="FH147" s="577"/>
      <c r="FI147" s="577"/>
      <c r="FJ147" s="577"/>
      <c r="FK147" s="577"/>
      <c r="FL147" s="577"/>
      <c r="FM147" s="577"/>
      <c r="FN147" s="577"/>
      <c r="FO147" s="577"/>
      <c r="FP147" s="589"/>
      <c r="FQ147" s="580"/>
      <c r="FR147" s="577"/>
      <c r="FS147" s="580"/>
      <c r="FT147" s="469"/>
      <c r="FU147" s="289"/>
    </row>
    <row r="148" spans="2:178">
      <c r="B148" s="570" t="s">
        <v>137</v>
      </c>
      <c r="C148" s="571" t="s">
        <v>263</v>
      </c>
      <c r="D148" s="571"/>
      <c r="E148" s="422">
        <v>59.335659999999997</v>
      </c>
      <c r="F148" s="422">
        <v>55.161720000000003</v>
      </c>
      <c r="G148" s="422">
        <v>62.280259999999998</v>
      </c>
      <c r="H148" s="422">
        <v>58.526199999999996</v>
      </c>
      <c r="I148" s="422">
        <v>53.102820000000008</v>
      </c>
      <c r="J148" s="422">
        <v>26.919060000000002</v>
      </c>
      <c r="K148" s="422"/>
      <c r="L148" s="422"/>
      <c r="M148" s="422"/>
      <c r="N148" s="422"/>
      <c r="O148" s="422"/>
      <c r="P148" s="422"/>
      <c r="Q148" s="422">
        <f t="shared" ref="Q148:S148" si="44">SUMIFS(Q$154:Q$189,$C$154:$C$189,$C148)</f>
        <v>48.542371946521918</v>
      </c>
      <c r="R148" s="422">
        <f t="shared" si="44"/>
        <v>1.6195999999999999</v>
      </c>
      <c r="S148" s="422">
        <f t="shared" si="44"/>
        <v>26.919060000000002</v>
      </c>
      <c r="T148" s="572">
        <f t="shared" si="20"/>
        <v>315.32571999999999</v>
      </c>
      <c r="U148" s="573">
        <f>IFERROR(T148/$T$153,0)</f>
        <v>0.52425254136169785</v>
      </c>
      <c r="V148" s="574">
        <f t="shared" si="28"/>
        <v>0.55454768526054199</v>
      </c>
      <c r="X148" s="570" t="s">
        <v>136</v>
      </c>
      <c r="Y148" s="571" t="s">
        <v>263</v>
      </c>
      <c r="Z148" s="571"/>
      <c r="AA148" s="593">
        <f t="shared" ref="AA148:BP148" si="45">SUMIFS(AA$154:AA$183,$Y$154:$Y$183,$Y148)</f>
        <v>17.247799999999998</v>
      </c>
      <c r="AB148" s="593">
        <f t="shared" si="45"/>
        <v>0</v>
      </c>
      <c r="AC148" s="593">
        <v>17.247799999999998</v>
      </c>
      <c r="AD148" s="593">
        <v>17.247799999999998</v>
      </c>
      <c r="AE148" s="593">
        <v>0</v>
      </c>
      <c r="AF148" s="593">
        <v>0</v>
      </c>
      <c r="AG148" s="593">
        <v>0</v>
      </c>
      <c r="AH148" s="593">
        <v>0</v>
      </c>
      <c r="AI148" s="593">
        <v>0</v>
      </c>
      <c r="AJ148" s="593">
        <v>0</v>
      </c>
      <c r="AK148" s="593">
        <f t="shared" si="45"/>
        <v>16.534599999999998</v>
      </c>
      <c r="AL148" s="593">
        <f t="shared" si="45"/>
        <v>0</v>
      </c>
      <c r="AM148" s="593">
        <v>16.534599999999998</v>
      </c>
      <c r="AN148" s="593">
        <v>16.534599999999998</v>
      </c>
      <c r="AO148" s="593">
        <v>0</v>
      </c>
      <c r="AP148" s="593">
        <v>0</v>
      </c>
      <c r="AQ148" s="593">
        <v>0</v>
      </c>
      <c r="AR148" s="593">
        <v>0</v>
      </c>
      <c r="AS148" s="593">
        <v>0</v>
      </c>
      <c r="AT148" s="593">
        <v>0</v>
      </c>
      <c r="AU148" s="593">
        <f t="shared" si="45"/>
        <v>17.459</v>
      </c>
      <c r="AV148" s="593">
        <f t="shared" si="45"/>
        <v>0</v>
      </c>
      <c r="AW148" s="593">
        <v>17.459</v>
      </c>
      <c r="AX148" s="593">
        <v>17.459</v>
      </c>
      <c r="AY148" s="593">
        <v>0</v>
      </c>
      <c r="AZ148" s="593">
        <v>0</v>
      </c>
      <c r="BA148" s="593">
        <v>0</v>
      </c>
      <c r="BB148" s="593">
        <v>0</v>
      </c>
      <c r="BC148" s="593">
        <v>0</v>
      </c>
      <c r="BD148" s="593">
        <v>0</v>
      </c>
      <c r="BE148" s="593">
        <f t="shared" si="45"/>
        <v>15.972</v>
      </c>
      <c r="BF148" s="593">
        <f t="shared" si="45"/>
        <v>0</v>
      </c>
      <c r="BG148" s="593">
        <v>15.972</v>
      </c>
      <c r="BH148" s="593">
        <v>15.972</v>
      </c>
      <c r="BI148" s="593">
        <v>0</v>
      </c>
      <c r="BJ148" s="593">
        <v>0</v>
      </c>
      <c r="BK148" s="593">
        <v>0</v>
      </c>
      <c r="BL148" s="593">
        <v>0</v>
      </c>
      <c r="BM148" s="593">
        <v>0</v>
      </c>
      <c r="BN148" s="593">
        <v>0</v>
      </c>
      <c r="BO148" s="593">
        <f t="shared" si="45"/>
        <v>15.4976</v>
      </c>
      <c r="BP148" s="593">
        <f t="shared" si="45"/>
        <v>0</v>
      </c>
      <c r="BQ148" s="593">
        <v>15.4976</v>
      </c>
      <c r="BR148" s="593">
        <v>15.4976</v>
      </c>
      <c r="BS148" s="593">
        <v>0</v>
      </c>
      <c r="BT148" s="593">
        <v>0</v>
      </c>
      <c r="BU148" s="593">
        <v>0</v>
      </c>
      <c r="BV148" s="593">
        <v>0</v>
      </c>
      <c r="BW148" s="593">
        <v>0</v>
      </c>
      <c r="BX148" s="593">
        <v>0</v>
      </c>
      <c r="BY148" s="593">
        <f t="shared" ref="BY148:DD148" si="46">SUMIFS(BY$154:BY$183,$Y$154:$Y$183,$Y148)</f>
        <v>6.2862</v>
      </c>
      <c r="BZ148" s="593">
        <f t="shared" si="46"/>
        <v>0</v>
      </c>
      <c r="CA148" s="593">
        <v>6.2862</v>
      </c>
      <c r="CB148" s="593">
        <v>6.2862</v>
      </c>
      <c r="CC148" s="593">
        <v>0</v>
      </c>
      <c r="CD148" s="593">
        <v>0</v>
      </c>
      <c r="CE148" s="593">
        <v>0</v>
      </c>
      <c r="CF148" s="593">
        <v>0</v>
      </c>
      <c r="CG148" s="593">
        <v>0</v>
      </c>
      <c r="CH148" s="593">
        <v>0</v>
      </c>
      <c r="CI148" s="593">
        <f t="shared" si="46"/>
        <v>0</v>
      </c>
      <c r="CJ148" s="593">
        <f t="shared" si="46"/>
        <v>0</v>
      </c>
      <c r="CK148" s="593"/>
      <c r="CL148" s="593"/>
      <c r="CM148" s="593"/>
      <c r="CN148" s="593"/>
      <c r="CO148" s="593">
        <v>0</v>
      </c>
      <c r="CP148" s="593">
        <v>0</v>
      </c>
      <c r="CQ148" s="593">
        <v>0</v>
      </c>
      <c r="CR148" s="593">
        <v>0</v>
      </c>
      <c r="CS148" s="593">
        <f t="shared" si="46"/>
        <v>0</v>
      </c>
      <c r="CT148" s="593">
        <f t="shared" si="46"/>
        <v>0</v>
      </c>
      <c r="CU148" s="593"/>
      <c r="CV148" s="593"/>
      <c r="CW148" s="593"/>
      <c r="CX148" s="593"/>
      <c r="CY148" s="593">
        <v>0</v>
      </c>
      <c r="CZ148" s="593">
        <v>0</v>
      </c>
      <c r="DA148" s="593">
        <v>0</v>
      </c>
      <c r="DB148" s="593">
        <v>0</v>
      </c>
      <c r="DC148" s="593">
        <f t="shared" si="46"/>
        <v>0</v>
      </c>
      <c r="DD148" s="593">
        <f t="shared" si="46"/>
        <v>0</v>
      </c>
      <c r="DE148" s="593"/>
      <c r="DF148" s="593"/>
      <c r="DG148" s="593"/>
      <c r="DH148" s="593"/>
      <c r="DI148" s="593">
        <v>0</v>
      </c>
      <c r="DJ148" s="593">
        <v>0</v>
      </c>
      <c r="DK148" s="593">
        <v>0</v>
      </c>
      <c r="DL148" s="593">
        <v>0</v>
      </c>
      <c r="DM148" s="593">
        <f t="shared" ref="DM148:EH148" si="47">SUMIFS(DM$154:DM$183,$Y$154:$Y$183,$Y148)</f>
        <v>0</v>
      </c>
      <c r="DN148" s="593">
        <f t="shared" si="47"/>
        <v>0</v>
      </c>
      <c r="DO148" s="593"/>
      <c r="DP148" s="593"/>
      <c r="DQ148" s="593"/>
      <c r="DR148" s="593"/>
      <c r="DS148" s="593">
        <v>0</v>
      </c>
      <c r="DT148" s="593">
        <v>0</v>
      </c>
      <c r="DU148" s="593">
        <v>0</v>
      </c>
      <c r="DV148" s="593">
        <v>0</v>
      </c>
      <c r="DW148" s="593">
        <f t="shared" si="47"/>
        <v>0</v>
      </c>
      <c r="DX148" s="422">
        <f t="shared" si="47"/>
        <v>0</v>
      </c>
      <c r="DY148" s="422"/>
      <c r="DZ148" s="422"/>
      <c r="EA148" s="422"/>
      <c r="EB148" s="422"/>
      <c r="EC148" s="422">
        <v>0</v>
      </c>
      <c r="ED148" s="422">
        <v>0</v>
      </c>
      <c r="EE148" s="422">
        <v>0</v>
      </c>
      <c r="EF148" s="422">
        <v>0</v>
      </c>
      <c r="EG148" s="422">
        <f t="shared" si="47"/>
        <v>0</v>
      </c>
      <c r="EH148" s="422">
        <f t="shared" si="47"/>
        <v>0</v>
      </c>
      <c r="EI148" s="422"/>
      <c r="EJ148" s="422"/>
      <c r="EK148" s="422"/>
      <c r="EL148" s="422"/>
      <c r="EM148" s="422">
        <v>0</v>
      </c>
      <c r="EN148" s="422">
        <v>0</v>
      </c>
      <c r="EO148" s="422">
        <v>0</v>
      </c>
      <c r="EP148" s="422">
        <v>0</v>
      </c>
      <c r="EQ148" s="594">
        <f>SUM(EQ157,EQ163,EQ169,EQ175,EQ181)</f>
        <v>16.905030642276621</v>
      </c>
      <c r="ER148" s="422">
        <f t="shared" ref="ER148:FG148" ca="1" si="48">SUMIFS(ER$154:ER$183,$Y$154:$Y$183,$Y148)</f>
        <v>1.05</v>
      </c>
      <c r="ES148" s="422">
        <f t="shared" ca="1" si="48"/>
        <v>1.05</v>
      </c>
      <c r="ET148" s="422">
        <f t="shared" ca="1" si="48"/>
        <v>0</v>
      </c>
      <c r="EU148" s="422">
        <f t="shared" ca="1" si="48"/>
        <v>0</v>
      </c>
      <c r="EV148" s="422">
        <f t="shared" ca="1" si="48"/>
        <v>0</v>
      </c>
      <c r="EW148" s="422">
        <f t="shared" ca="1" si="48"/>
        <v>0</v>
      </c>
      <c r="EX148" s="422">
        <f t="shared" ca="1" si="48"/>
        <v>0</v>
      </c>
      <c r="EY148" s="422">
        <f t="shared" ca="1" si="48"/>
        <v>0</v>
      </c>
      <c r="EZ148" s="422">
        <f t="shared" ca="1" si="48"/>
        <v>6.2862</v>
      </c>
      <c r="FA148" s="422">
        <f t="shared" ca="1" si="48"/>
        <v>6.2862</v>
      </c>
      <c r="FB148" s="422">
        <f t="shared" ca="1" si="48"/>
        <v>0</v>
      </c>
      <c r="FC148" s="422">
        <f t="shared" ca="1" si="48"/>
        <v>0</v>
      </c>
      <c r="FD148" s="422">
        <f t="shared" ca="1" si="48"/>
        <v>0</v>
      </c>
      <c r="FE148" s="422">
        <f t="shared" ca="1" si="48"/>
        <v>0</v>
      </c>
      <c r="FF148" s="422">
        <f t="shared" ca="1" si="48"/>
        <v>0</v>
      </c>
      <c r="FG148" s="422">
        <f t="shared" ca="1" si="48"/>
        <v>0</v>
      </c>
      <c r="FH148" s="422">
        <f t="shared" ref="FH148:FK152" ca="1" si="49">SUMIFS($AA148:$EP148,$AA$129:$EP$129,INDIRECT(ADDRESS(129,COLUMN())))</f>
        <v>88.997199999999992</v>
      </c>
      <c r="FI148" s="422">
        <f t="shared" ca="1" si="49"/>
        <v>88.997199999999992</v>
      </c>
      <c r="FJ148" s="422">
        <f t="shared" ca="1" si="49"/>
        <v>0</v>
      </c>
      <c r="FK148" s="422">
        <f t="shared" ca="1" si="49"/>
        <v>0</v>
      </c>
      <c r="FL148" s="422">
        <f t="shared" ref="FL148:FO152" si="50">SUMIFS(AE148:ET148,$AA$129:$EP$129,$FH$129)</f>
        <v>0</v>
      </c>
      <c r="FM148" s="422">
        <f t="shared" si="50"/>
        <v>0</v>
      </c>
      <c r="FN148" s="422">
        <f t="shared" si="50"/>
        <v>0</v>
      </c>
      <c r="FO148" s="422">
        <f t="shared" si="50"/>
        <v>0</v>
      </c>
      <c r="FP148" s="595">
        <f ca="1">IFERROR(FH148/$FH$153,0)</f>
        <v>0.60311242911511809</v>
      </c>
      <c r="FQ148" s="574">
        <f t="shared" ca="1" si="26"/>
        <v>0.37185380689457476</v>
      </c>
      <c r="FR148" s="422">
        <f>SUMIFS(FR$154:FR$183,$Y$154:$Y$183,$Y148)</f>
        <v>0</v>
      </c>
      <c r="FS148" s="574">
        <f t="shared" si="33"/>
        <v>0</v>
      </c>
      <c r="FT148" s="469">
        <v>0.62589462497757864</v>
      </c>
      <c r="FU148" s="289">
        <f>FT148*$FU$153</f>
        <v>20.88597068248308</v>
      </c>
    </row>
    <row r="149" spans="2:178" outlineLevel="1">
      <c r="B149" s="20" t="s">
        <v>137</v>
      </c>
      <c r="C149" s="148" t="s">
        <v>264</v>
      </c>
      <c r="D149" s="303" t="s">
        <v>188</v>
      </c>
      <c r="E149" s="585">
        <v>13.22292</v>
      </c>
      <c r="F149" s="585">
        <v>12.479979999999999</v>
      </c>
      <c r="G149" s="585">
        <v>15.03884</v>
      </c>
      <c r="H149" s="585">
        <v>16.847259999999999</v>
      </c>
      <c r="I149" s="585">
        <v>15.70884</v>
      </c>
      <c r="J149" s="585">
        <v>8.2581799999999994</v>
      </c>
      <c r="K149" s="585"/>
      <c r="L149" s="585"/>
      <c r="M149" s="585"/>
      <c r="N149" s="585"/>
      <c r="O149" s="585"/>
      <c r="P149" s="585"/>
      <c r="Q149" s="585"/>
      <c r="R149" s="582">
        <f>IFERROR(SUMIFS(Daily_Vol_yesterday[Order Quantity],Daily_Vol_yesterday[Cust_Cat.Customer category],  "Key Account",Daily_Vol_yesterday[Map_Product.TME_SKU],master_Daily!D149)/50000,0)</f>
        <v>0.3836</v>
      </c>
      <c r="S149" s="582">
        <f>IFERROR(SUM(SUMIFS(Weekly_Vol[Quantity],Weekly_Vol[Cust_Cat.Customer category],  "Key Account",Weekly_Vol[Map_Product.TME_SKU],master_Daily!D149))/50000,0)</f>
        <v>8.2581799999999994</v>
      </c>
      <c r="T149" s="583">
        <f t="shared" ref="T149" si="51">SUM(E149:P149)</f>
        <v>81.55601999999999</v>
      </c>
      <c r="U149" s="584">
        <f>IFERROR(T149/$T$152,0)</f>
        <v>0.8062005342772548</v>
      </c>
      <c r="V149" s="280">
        <f>IFERROR(S149/Q149,0)</f>
        <v>0</v>
      </c>
      <c r="X149" s="20" t="s">
        <v>136</v>
      </c>
      <c r="Y149" s="148" t="s">
        <v>264</v>
      </c>
      <c r="Z149" s="576" t="s">
        <v>188</v>
      </c>
      <c r="AA149" s="582"/>
      <c r="AB149" s="582"/>
      <c r="AC149" s="582">
        <v>2.7627999999999999</v>
      </c>
      <c r="AD149" s="582"/>
      <c r="AE149" s="582"/>
      <c r="AF149" s="582"/>
      <c r="AG149" s="582"/>
      <c r="AH149" s="582"/>
      <c r="AI149" s="582"/>
      <c r="AJ149" s="582"/>
      <c r="AK149" s="582"/>
      <c r="AL149" s="582"/>
      <c r="AM149" s="582">
        <v>2.7679999999999998</v>
      </c>
      <c r="AN149" s="582"/>
      <c r="AO149" s="582"/>
      <c r="AP149" s="582"/>
      <c r="AQ149" s="582"/>
      <c r="AR149" s="582"/>
      <c r="AS149" s="582"/>
      <c r="AT149" s="582"/>
      <c r="AU149" s="582"/>
      <c r="AV149" s="582"/>
      <c r="AW149" s="582">
        <v>3.5129999999999999</v>
      </c>
      <c r="AX149" s="582"/>
      <c r="AY149" s="582"/>
      <c r="AZ149" s="582"/>
      <c r="BA149" s="582"/>
      <c r="BB149" s="582"/>
      <c r="BC149" s="582"/>
      <c r="BD149" s="582"/>
      <c r="BE149" s="582"/>
      <c r="BF149" s="582"/>
      <c r="BG149" s="582">
        <v>3.82</v>
      </c>
      <c r="BH149" s="582"/>
      <c r="BI149" s="582"/>
      <c r="BJ149" s="582"/>
      <c r="BK149" s="582"/>
      <c r="BL149" s="582"/>
      <c r="BM149" s="582"/>
      <c r="BN149" s="582"/>
      <c r="BO149" s="582"/>
      <c r="BP149" s="582"/>
      <c r="BQ149" s="582">
        <v>3.6469999999999998</v>
      </c>
      <c r="BR149" s="582"/>
      <c r="BS149" s="582"/>
      <c r="BT149" s="582"/>
      <c r="BU149" s="582"/>
      <c r="BV149" s="582"/>
      <c r="BW149" s="582"/>
      <c r="BX149" s="582"/>
      <c r="BY149" s="582"/>
      <c r="BZ149" s="582"/>
      <c r="CA149" s="582">
        <v>1.9670000000000001</v>
      </c>
      <c r="CB149" s="582"/>
      <c r="CC149" s="582"/>
      <c r="CD149" s="582"/>
      <c r="CE149" s="582"/>
      <c r="CF149" s="582"/>
      <c r="CG149" s="582"/>
      <c r="CH149" s="582"/>
      <c r="CI149" s="582"/>
      <c r="CJ149" s="582"/>
      <c r="CK149" s="582"/>
      <c r="CL149" s="582"/>
      <c r="CM149" s="582"/>
      <c r="CN149" s="582"/>
      <c r="CO149" s="582"/>
      <c r="CP149" s="582"/>
      <c r="CQ149" s="582"/>
      <c r="CR149" s="582"/>
      <c r="CS149" s="582"/>
      <c r="CT149" s="582"/>
      <c r="CU149" s="582"/>
      <c r="CV149" s="582"/>
      <c r="CW149" s="582"/>
      <c r="CX149" s="582"/>
      <c r="CY149" s="582"/>
      <c r="CZ149" s="582"/>
      <c r="DA149" s="582"/>
      <c r="DB149" s="582"/>
      <c r="DC149" s="582"/>
      <c r="DD149" s="582"/>
      <c r="DE149" s="582"/>
      <c r="DF149" s="582"/>
      <c r="DG149" s="582"/>
      <c r="DH149" s="582"/>
      <c r="DI149" s="582"/>
      <c r="DJ149" s="582"/>
      <c r="DK149" s="582"/>
      <c r="DL149" s="582"/>
      <c r="DM149" s="582"/>
      <c r="DN149" s="582"/>
      <c r="DO149" s="582"/>
      <c r="DP149" s="582"/>
      <c r="DQ149" s="582"/>
      <c r="DR149" s="582"/>
      <c r="DS149" s="582"/>
      <c r="DT149" s="582"/>
      <c r="DU149" s="582"/>
      <c r="DV149" s="582"/>
      <c r="DW149" s="582"/>
      <c r="DX149" s="582"/>
      <c r="DY149" s="582"/>
      <c r="DZ149" s="582"/>
      <c r="EA149" s="582"/>
      <c r="EB149" s="582"/>
      <c r="EC149" s="582"/>
      <c r="ED149" s="582"/>
      <c r="EE149" s="582"/>
      <c r="EF149" s="582"/>
      <c r="EG149" s="582"/>
      <c r="EH149" s="582"/>
      <c r="EI149" s="582"/>
      <c r="EJ149" s="582"/>
      <c r="EK149" s="582"/>
      <c r="EL149" s="582"/>
      <c r="EM149" s="582"/>
      <c r="EN149" s="582"/>
      <c r="EO149" s="582"/>
      <c r="EP149" s="582"/>
      <c r="EQ149" s="591"/>
      <c r="ER149" s="582">
        <f>IFERROR(SUMIFS(Daily_Vol_yesterday[Order Quantity],Daily_Vol_yesterday[Cust_Cat.Customer category],  "&lt;&gt;Key Account",Daily_Vol_yesterday[Map_Product.TME_SKU],Z149)/50000,0)</f>
        <v>0.32</v>
      </c>
      <c r="ES149" s="582"/>
      <c r="ET149" s="582"/>
      <c r="EU149" s="582"/>
      <c r="EV149" s="582"/>
      <c r="EW149" s="582"/>
      <c r="EX149" s="582"/>
      <c r="EY149" s="582"/>
      <c r="EZ149" s="582">
        <f>IFERROR(SUM(SUMIFS(Weekly_Vol[Quantity],Weekly_Vol[Cust_Cat.Customer category],  "&lt;&gt;Key Account",Weekly_Vol[Map_Product.TME_SKU],Z149))/50000,0)</f>
        <v>1.9670000000000001</v>
      </c>
      <c r="FA149" s="582"/>
      <c r="FB149" s="577"/>
      <c r="FC149" s="577"/>
      <c r="FD149" s="577"/>
      <c r="FE149" s="577"/>
      <c r="FF149" s="577"/>
      <c r="FG149" s="577"/>
      <c r="FH149" s="577"/>
      <c r="FI149" s="577"/>
      <c r="FJ149" s="577"/>
      <c r="FK149" s="577"/>
      <c r="FL149" s="577"/>
      <c r="FM149" s="577"/>
      <c r="FN149" s="577"/>
      <c r="FO149" s="577"/>
      <c r="FP149" s="589"/>
      <c r="FQ149" s="580"/>
      <c r="FR149" s="577"/>
      <c r="FS149" s="580"/>
      <c r="FT149" s="469"/>
      <c r="FU149" s="289"/>
    </row>
    <row r="150" spans="2:178" outlineLevel="1">
      <c r="B150" s="20" t="s">
        <v>137</v>
      </c>
      <c r="C150" s="148" t="s">
        <v>264</v>
      </c>
      <c r="D150" s="303" t="s">
        <v>189</v>
      </c>
      <c r="E150" s="585">
        <v>3.31582</v>
      </c>
      <c r="F150" s="585">
        <v>2.93</v>
      </c>
      <c r="G150" s="585">
        <v>3.51</v>
      </c>
      <c r="H150" s="585">
        <v>3.8792399999999998</v>
      </c>
      <c r="I150" s="585">
        <v>3.9098999999999999</v>
      </c>
      <c r="J150" s="585">
        <v>2.0599799999999999</v>
      </c>
      <c r="K150" s="585"/>
      <c r="L150" s="585"/>
      <c r="M150" s="585"/>
      <c r="N150" s="585"/>
      <c r="O150" s="585"/>
      <c r="P150" s="585"/>
      <c r="Q150" s="585"/>
      <c r="R150" s="585">
        <f>IFERROR(SUMIFS(Daily_Vol_yesterday[Order Quantity],Daily_Vol_yesterday[Cust_Cat.Customer category],  "Key Account",Daily_Vol_yesterday[Map_Product.TME_SKU],master_Daily!D150)/50000,0)</f>
        <v>0.04</v>
      </c>
      <c r="S150" s="585">
        <f>IFERROR(SUM(SUMIFS(Weekly_Vol[Quantity],Weekly_Vol[Cust_Cat.Customer category],  "Key Account",Weekly_Vol[Map_Product.TME_SKU],master_Daily!D150))/50000,0)</f>
        <v>2.0599799999999999</v>
      </c>
      <c r="T150" s="583">
        <f t="shared" ref="T150:T151" si="52">SUM(E150:P150)</f>
        <v>19.604939999999999</v>
      </c>
      <c r="U150" s="584">
        <f>IFERROR(T150/$T$152,0)</f>
        <v>0.19379946572274523</v>
      </c>
      <c r="V150" s="280">
        <f>IFERROR(S150/Q150,0)</f>
        <v>0</v>
      </c>
      <c r="X150" s="20" t="s">
        <v>136</v>
      </c>
      <c r="Y150" s="148" t="s">
        <v>264</v>
      </c>
      <c r="Z150" s="576" t="s">
        <v>189</v>
      </c>
      <c r="AA150" s="582"/>
      <c r="AB150" s="582"/>
      <c r="AC150" s="582">
        <v>0.45100000000000001</v>
      </c>
      <c r="AD150" s="582"/>
      <c r="AE150" s="582"/>
      <c r="AF150" s="582"/>
      <c r="AG150" s="582"/>
      <c r="AH150" s="582"/>
      <c r="AI150" s="582"/>
      <c r="AJ150" s="582"/>
      <c r="AK150" s="582"/>
      <c r="AL150" s="582"/>
      <c r="AM150" s="582">
        <v>0.52200000000000002</v>
      </c>
      <c r="AN150" s="582"/>
      <c r="AO150" s="582"/>
      <c r="AP150" s="582"/>
      <c r="AQ150" s="582"/>
      <c r="AR150" s="582"/>
      <c r="AS150" s="582"/>
      <c r="AT150" s="582"/>
      <c r="AU150" s="582"/>
      <c r="AV150" s="582"/>
      <c r="AW150" s="582">
        <v>0.75</v>
      </c>
      <c r="AX150" s="582"/>
      <c r="AY150" s="582"/>
      <c r="AZ150" s="582"/>
      <c r="BA150" s="582"/>
      <c r="BB150" s="582"/>
      <c r="BC150" s="582"/>
      <c r="BD150" s="582"/>
      <c r="BE150" s="582"/>
      <c r="BF150" s="582"/>
      <c r="BG150" s="582">
        <v>0.55400000000000005</v>
      </c>
      <c r="BH150" s="582"/>
      <c r="BI150" s="582"/>
      <c r="BJ150" s="582"/>
      <c r="BK150" s="582"/>
      <c r="BL150" s="582"/>
      <c r="BM150" s="582"/>
      <c r="BN150" s="582"/>
      <c r="BO150" s="582"/>
      <c r="BP150" s="582"/>
      <c r="BQ150" s="582">
        <v>0.71340000000000003</v>
      </c>
      <c r="BR150" s="582"/>
      <c r="BS150" s="582"/>
      <c r="BT150" s="582"/>
      <c r="BU150" s="582"/>
      <c r="BV150" s="582"/>
      <c r="BW150" s="582"/>
      <c r="BX150" s="582"/>
      <c r="BY150" s="33"/>
      <c r="BZ150" s="582"/>
      <c r="CA150" s="582">
        <v>0.38500000000000001</v>
      </c>
      <c r="CB150" s="582"/>
      <c r="CC150" s="582"/>
      <c r="CD150" s="582"/>
      <c r="CE150" s="582"/>
      <c r="CF150" s="582"/>
      <c r="CG150" s="582"/>
      <c r="CH150" s="582"/>
      <c r="CI150" s="582"/>
      <c r="CJ150" s="582"/>
      <c r="CK150" s="582"/>
      <c r="CL150" s="582"/>
      <c r="CM150" s="582"/>
      <c r="CN150" s="582"/>
      <c r="CO150" s="582"/>
      <c r="CP150" s="582"/>
      <c r="CQ150" s="582"/>
      <c r="CR150" s="582"/>
      <c r="CS150" s="582"/>
      <c r="CT150" s="582"/>
      <c r="CU150" s="582"/>
      <c r="CV150" s="582"/>
      <c r="CW150" s="582"/>
      <c r="CX150" s="582"/>
      <c r="CY150" s="582"/>
      <c r="CZ150" s="582"/>
      <c r="DA150" s="582"/>
      <c r="DB150" s="582"/>
      <c r="DC150" s="582"/>
      <c r="DD150" s="582"/>
      <c r="DE150" s="582"/>
      <c r="DF150" s="582"/>
      <c r="DG150" s="582"/>
      <c r="DH150" s="582"/>
      <c r="DI150" s="582"/>
      <c r="DJ150" s="582"/>
      <c r="DK150" s="582"/>
      <c r="DL150" s="582"/>
      <c r="DM150" s="582"/>
      <c r="DN150" s="582"/>
      <c r="DO150" s="582"/>
      <c r="DP150" s="582"/>
      <c r="DQ150" s="582"/>
      <c r="DR150" s="582"/>
      <c r="DS150" s="582"/>
      <c r="DT150" s="582"/>
      <c r="DU150" s="582"/>
      <c r="DV150" s="582"/>
      <c r="DW150" s="582"/>
      <c r="DX150" s="582"/>
      <c r="DY150" s="582"/>
      <c r="DZ150" s="582"/>
      <c r="EA150" s="582"/>
      <c r="EB150" s="582"/>
      <c r="EC150" s="582"/>
      <c r="ED150" s="582"/>
      <c r="EE150" s="582"/>
      <c r="EF150" s="582"/>
      <c r="EG150" s="582"/>
      <c r="EH150" s="582"/>
      <c r="EI150" s="582"/>
      <c r="EJ150" s="582"/>
      <c r="EK150" s="582"/>
      <c r="EL150" s="582"/>
      <c r="EM150" s="582"/>
      <c r="EN150" s="582"/>
      <c r="EO150" s="582"/>
      <c r="EP150" s="582"/>
      <c r="EQ150" s="591"/>
      <c r="ER150" s="582">
        <f>IFERROR(SUMIFS(Daily_Vol_yesterday[Order Quantity],Daily_Vol_yesterday[Cust_Cat.Customer category],  "&lt;&gt;Key Account",Daily_Vol_yesterday[Map_Product.TME_SKU],Z150)/50000,0)</f>
        <v>0.05</v>
      </c>
      <c r="ES150" s="582"/>
      <c r="ET150" s="582"/>
      <c r="EU150" s="582"/>
      <c r="EV150" s="582"/>
      <c r="EW150" s="582"/>
      <c r="EX150" s="582"/>
      <c r="EY150" s="582"/>
      <c r="EZ150" s="582">
        <f>IFERROR(SUM(SUMIFS(Weekly_Vol[Quantity],Weekly_Vol[Cust_Cat.Customer category],  "&lt;&gt;Key Account",Weekly_Vol[Map_Product.TME_SKU],Z150))/50000,0)</f>
        <v>0.38500000000000001</v>
      </c>
      <c r="FA150" s="582"/>
      <c r="FB150" s="577"/>
      <c r="FC150" s="577"/>
      <c r="FD150" s="577"/>
      <c r="FE150" s="577"/>
      <c r="FF150" s="577"/>
      <c r="FG150" s="577"/>
      <c r="FH150" s="577"/>
      <c r="FI150" s="577"/>
      <c r="FJ150" s="577"/>
      <c r="FK150" s="577"/>
      <c r="FL150" s="577"/>
      <c r="FM150" s="577"/>
      <c r="FN150" s="577"/>
      <c r="FO150" s="577"/>
      <c r="FP150" s="589"/>
      <c r="FQ150" s="580"/>
      <c r="FR150" s="577"/>
      <c r="FS150" s="580"/>
      <c r="FT150" s="469"/>
      <c r="FU150" s="289"/>
    </row>
    <row r="151" spans="2:178" outlineLevel="1">
      <c r="B151" s="20" t="s">
        <v>137</v>
      </c>
      <c r="C151" s="148" t="s">
        <v>264</v>
      </c>
      <c r="D151" s="303" t="s">
        <v>190</v>
      </c>
      <c r="E151" s="585">
        <v>0</v>
      </c>
      <c r="F151" s="585">
        <v>0</v>
      </c>
      <c r="G151" s="585">
        <v>0</v>
      </c>
      <c r="H151" s="585">
        <v>0</v>
      </c>
      <c r="I151" s="585">
        <v>0</v>
      </c>
      <c r="J151" s="585">
        <v>0</v>
      </c>
      <c r="K151" s="585"/>
      <c r="L151" s="585"/>
      <c r="M151" s="585"/>
      <c r="N151" s="585"/>
      <c r="O151" s="585"/>
      <c r="P151" s="585"/>
      <c r="Q151" s="585"/>
      <c r="R151" s="585">
        <f>IFERROR(SUMIFS(Daily_Vol_yesterday[Order Quantity],Daily_Vol_yesterday[Cust_Cat.Customer category],  "Key Account",Daily_Vol_yesterday[Map_Product.TME_SKU],master_Daily!D151)/50000,0)</f>
        <v>0</v>
      </c>
      <c r="S151" s="585">
        <f>IFERROR(SUM(SUMIFS(Weekly_Vol[Quantity],Weekly_Vol[Cust_Cat.Customer category],  "Key Account",Weekly_Vol[Map_Product.TME_SKU],master_Daily!D151))/50000,0)</f>
        <v>0</v>
      </c>
      <c r="T151" s="583">
        <f t="shared" si="52"/>
        <v>0</v>
      </c>
      <c r="U151" s="584">
        <f>IFERROR(T151/$T$152,0)</f>
        <v>0</v>
      </c>
      <c r="V151" s="280">
        <f>IFERROR(S151/Q151,0)</f>
        <v>0</v>
      </c>
      <c r="X151" s="20" t="s">
        <v>136</v>
      </c>
      <c r="Y151" s="148" t="s">
        <v>264</v>
      </c>
      <c r="Z151" s="576" t="s">
        <v>190</v>
      </c>
      <c r="AA151" s="582"/>
      <c r="AB151" s="582"/>
      <c r="AC151" s="582">
        <v>0</v>
      </c>
      <c r="AD151" s="582"/>
      <c r="AE151" s="582"/>
      <c r="AF151" s="582"/>
      <c r="AG151" s="582"/>
      <c r="AH151" s="582"/>
      <c r="AI151" s="582"/>
      <c r="AJ151" s="582"/>
      <c r="AK151" s="582"/>
      <c r="AL151" s="582"/>
      <c r="AM151" s="582">
        <v>0</v>
      </c>
      <c r="AN151" s="582"/>
      <c r="AO151" s="582"/>
      <c r="AP151" s="582"/>
      <c r="AQ151" s="582"/>
      <c r="AR151" s="582"/>
      <c r="AS151" s="582"/>
      <c r="AT151" s="582"/>
      <c r="AU151" s="582"/>
      <c r="AV151" s="582"/>
      <c r="AW151" s="582">
        <v>0</v>
      </c>
      <c r="AX151" s="582"/>
      <c r="AY151" s="582"/>
      <c r="AZ151" s="582"/>
      <c r="BA151" s="582"/>
      <c r="BB151" s="582"/>
      <c r="BC151" s="582"/>
      <c r="BD151" s="582"/>
      <c r="BE151" s="582"/>
      <c r="BF151" s="582"/>
      <c r="BG151" s="582">
        <v>0</v>
      </c>
      <c r="BH151" s="582"/>
      <c r="BI151" s="582"/>
      <c r="BJ151" s="582"/>
      <c r="BK151" s="582"/>
      <c r="BL151" s="582"/>
      <c r="BM151" s="582"/>
      <c r="BN151" s="582"/>
      <c r="BO151" s="582"/>
      <c r="BP151" s="582"/>
      <c r="BQ151" s="582">
        <v>0</v>
      </c>
      <c r="BR151" s="582"/>
      <c r="BS151" s="582"/>
      <c r="BT151" s="582"/>
      <c r="BU151" s="582"/>
      <c r="BV151" s="582"/>
      <c r="BW151" s="582"/>
      <c r="BX151" s="582"/>
      <c r="BY151" s="582"/>
      <c r="BZ151" s="582"/>
      <c r="CA151" s="582">
        <v>0</v>
      </c>
      <c r="CB151" s="582"/>
      <c r="CC151" s="582"/>
      <c r="CD151" s="582"/>
      <c r="CE151" s="582"/>
      <c r="CF151" s="582"/>
      <c r="CG151" s="582"/>
      <c r="CH151" s="582"/>
      <c r="CI151" s="582"/>
      <c r="CJ151" s="582"/>
      <c r="CK151" s="582"/>
      <c r="CL151" s="582"/>
      <c r="CM151" s="582"/>
      <c r="CN151" s="582"/>
      <c r="CO151" s="582"/>
      <c r="CP151" s="582"/>
      <c r="CQ151" s="582"/>
      <c r="CR151" s="582"/>
      <c r="CS151" s="582"/>
      <c r="CT151" s="582"/>
      <c r="CU151" s="582"/>
      <c r="CV151" s="582"/>
      <c r="CW151" s="582"/>
      <c r="CX151" s="582"/>
      <c r="CY151" s="582"/>
      <c r="CZ151" s="582"/>
      <c r="DA151" s="582"/>
      <c r="DB151" s="582"/>
      <c r="DC151" s="582"/>
      <c r="DD151" s="582"/>
      <c r="DE151" s="582"/>
      <c r="DF151" s="582"/>
      <c r="DG151" s="582"/>
      <c r="DH151" s="582"/>
      <c r="DI151" s="582"/>
      <c r="DJ151" s="582"/>
      <c r="DK151" s="582"/>
      <c r="DL151" s="582"/>
      <c r="DM151" s="582"/>
      <c r="DN151" s="582"/>
      <c r="DO151" s="582"/>
      <c r="DP151" s="582"/>
      <c r="DQ151" s="582"/>
      <c r="DR151" s="582"/>
      <c r="DS151" s="582"/>
      <c r="DT151" s="582"/>
      <c r="DU151" s="582"/>
      <c r="DV151" s="582"/>
      <c r="DW151" s="582"/>
      <c r="DX151" s="582"/>
      <c r="DY151" s="582"/>
      <c r="DZ151" s="582"/>
      <c r="EA151" s="582"/>
      <c r="EB151" s="582"/>
      <c r="EC151" s="582"/>
      <c r="ED151" s="582"/>
      <c r="EE151" s="582"/>
      <c r="EF151" s="582"/>
      <c r="EG151" s="582"/>
      <c r="EH151" s="582"/>
      <c r="EI151" s="582"/>
      <c r="EJ151" s="582"/>
      <c r="EK151" s="582"/>
      <c r="EL151" s="582"/>
      <c r="EM151" s="582"/>
      <c r="EN151" s="582"/>
      <c r="EO151" s="582"/>
      <c r="EP151" s="582"/>
      <c r="EQ151" s="591"/>
      <c r="ER151" s="582">
        <f>IFERROR(SUMIFS(Daily_Vol_yesterday[Order Quantity],Daily_Vol_yesterday[Cust_Cat.Customer category],  "&lt;&gt;Key Account",Daily_Vol_yesterday[Map_Product.TME_SKU],Z151)/50000,0)</f>
        <v>0</v>
      </c>
      <c r="ES151" s="582"/>
      <c r="ET151" s="582"/>
      <c r="EU151" s="582"/>
      <c r="EV151" s="582"/>
      <c r="EW151" s="582"/>
      <c r="EX151" s="582"/>
      <c r="EY151" s="582"/>
      <c r="EZ151" s="582">
        <f>IFERROR(SUM(SUMIFS(Weekly_Vol[Quantity],Weekly_Vol[Cust_Cat.Customer category],  "&lt;&gt;Key Account",Weekly_Vol[Map_Product.TME_SKU],Z151))/50000,0)</f>
        <v>0</v>
      </c>
      <c r="FA151" s="582"/>
      <c r="FB151" s="577"/>
      <c r="FC151" s="577"/>
      <c r="FD151" s="577"/>
      <c r="FE151" s="577"/>
      <c r="FF151" s="577"/>
      <c r="FG151" s="577"/>
      <c r="FH151" s="577"/>
      <c r="FI151" s="577"/>
      <c r="FJ151" s="577"/>
      <c r="FK151" s="577"/>
      <c r="FL151" s="577"/>
      <c r="FM151" s="577"/>
      <c r="FN151" s="577"/>
      <c r="FO151" s="577"/>
      <c r="FP151" s="589"/>
      <c r="FQ151" s="580"/>
      <c r="FR151" s="577"/>
      <c r="FS151" s="580"/>
      <c r="FT151" s="469"/>
      <c r="FU151" s="289"/>
    </row>
    <row r="152" spans="2:178">
      <c r="B152" s="570" t="s">
        <v>137</v>
      </c>
      <c r="C152" s="575" t="s">
        <v>264</v>
      </c>
      <c r="D152" s="575"/>
      <c r="E152" s="422">
        <v>16.538740000000001</v>
      </c>
      <c r="F152" s="422">
        <v>15.409980000000001</v>
      </c>
      <c r="G152" s="422">
        <v>18.548839999999995</v>
      </c>
      <c r="H152" s="422">
        <v>20.726499999999998</v>
      </c>
      <c r="I152" s="422">
        <v>19.618739999999999</v>
      </c>
      <c r="J152" s="422">
        <v>10.318159999999999</v>
      </c>
      <c r="K152" s="422"/>
      <c r="L152" s="422"/>
      <c r="M152" s="422"/>
      <c r="N152" s="422"/>
      <c r="O152" s="422"/>
      <c r="P152" s="422"/>
      <c r="Q152" s="422">
        <f t="shared" ref="Q152:S152" si="53">SUMIFS(Q$154:Q$189,$C$154:$C$189,$C152)</f>
        <v>16.354011397699612</v>
      </c>
      <c r="R152" s="422">
        <f t="shared" si="53"/>
        <v>0.42360000000000003</v>
      </c>
      <c r="S152" s="422">
        <f t="shared" si="53"/>
        <v>10.318159999999999</v>
      </c>
      <c r="T152" s="572">
        <f t="shared" si="20"/>
        <v>101.16095999999999</v>
      </c>
      <c r="U152" s="573">
        <f>IFERROR(T152/$T$153,0)</f>
        <v>0.16818764535474323</v>
      </c>
      <c r="V152" s="574">
        <f>IFERROR(S152/Q152,0)</f>
        <v>0.63092532768146248</v>
      </c>
      <c r="X152" s="570" t="s">
        <v>136</v>
      </c>
      <c r="Y152" s="575" t="s">
        <v>264</v>
      </c>
      <c r="Z152" s="575"/>
      <c r="AA152" s="593">
        <f t="shared" ref="AA152:BP152" si="54">SUMIFS(AA$154:AA$183,$Y$154:$Y$183,$Y152)</f>
        <v>3.2138</v>
      </c>
      <c r="AB152" s="593">
        <f t="shared" si="54"/>
        <v>0</v>
      </c>
      <c r="AC152" s="593">
        <v>3.2138</v>
      </c>
      <c r="AD152" s="593">
        <v>3.2138</v>
      </c>
      <c r="AE152" s="593">
        <v>0</v>
      </c>
      <c r="AF152" s="593">
        <v>0</v>
      </c>
      <c r="AG152" s="593">
        <v>0</v>
      </c>
      <c r="AH152" s="593">
        <v>0</v>
      </c>
      <c r="AI152" s="593">
        <v>0</v>
      </c>
      <c r="AJ152" s="593">
        <v>0</v>
      </c>
      <c r="AK152" s="593">
        <f t="shared" si="54"/>
        <v>3.29</v>
      </c>
      <c r="AL152" s="593">
        <f t="shared" si="54"/>
        <v>0</v>
      </c>
      <c r="AM152" s="593">
        <v>3.29</v>
      </c>
      <c r="AN152" s="593">
        <v>3.29</v>
      </c>
      <c r="AO152" s="593">
        <v>0</v>
      </c>
      <c r="AP152" s="593">
        <v>0</v>
      </c>
      <c r="AQ152" s="593">
        <v>0</v>
      </c>
      <c r="AR152" s="593">
        <v>0</v>
      </c>
      <c r="AS152" s="593">
        <v>0</v>
      </c>
      <c r="AT152" s="593">
        <v>0</v>
      </c>
      <c r="AU152" s="593">
        <f t="shared" si="54"/>
        <v>4.2629999999999999</v>
      </c>
      <c r="AV152" s="593">
        <f t="shared" si="54"/>
        <v>0</v>
      </c>
      <c r="AW152" s="593">
        <v>4.2629999999999999</v>
      </c>
      <c r="AX152" s="593">
        <v>4.2629999999999999</v>
      </c>
      <c r="AY152" s="593">
        <v>0</v>
      </c>
      <c r="AZ152" s="593">
        <v>0</v>
      </c>
      <c r="BA152" s="593">
        <v>0</v>
      </c>
      <c r="BB152" s="593">
        <v>0</v>
      </c>
      <c r="BC152" s="593">
        <v>0</v>
      </c>
      <c r="BD152" s="593">
        <v>0</v>
      </c>
      <c r="BE152" s="593">
        <f t="shared" si="54"/>
        <v>4.3739999999999997</v>
      </c>
      <c r="BF152" s="593">
        <f t="shared" si="54"/>
        <v>0</v>
      </c>
      <c r="BG152" s="593">
        <v>4.3739999999999997</v>
      </c>
      <c r="BH152" s="593">
        <v>4.3739999999999997</v>
      </c>
      <c r="BI152" s="593">
        <v>0</v>
      </c>
      <c r="BJ152" s="593">
        <v>0</v>
      </c>
      <c r="BK152" s="593">
        <v>0</v>
      </c>
      <c r="BL152" s="593">
        <v>0</v>
      </c>
      <c r="BM152" s="593">
        <v>0</v>
      </c>
      <c r="BN152" s="593">
        <v>0</v>
      </c>
      <c r="BO152" s="593">
        <f t="shared" si="54"/>
        <v>4.3604000000000003</v>
      </c>
      <c r="BP152" s="593">
        <f t="shared" si="54"/>
        <v>0</v>
      </c>
      <c r="BQ152" s="593">
        <v>4.3604000000000003</v>
      </c>
      <c r="BR152" s="593">
        <v>4.3604000000000003</v>
      </c>
      <c r="BS152" s="593">
        <v>0</v>
      </c>
      <c r="BT152" s="593">
        <v>0</v>
      </c>
      <c r="BU152" s="593">
        <v>0</v>
      </c>
      <c r="BV152" s="593">
        <v>0</v>
      </c>
      <c r="BW152" s="593">
        <v>0</v>
      </c>
      <c r="BX152" s="593">
        <v>0</v>
      </c>
      <c r="BY152" s="593">
        <f t="shared" ref="BY152:DD152" si="55">SUMIFS(BY$154:BY$183,$Y$154:$Y$183,$Y152)</f>
        <v>2.3520000000000003</v>
      </c>
      <c r="BZ152" s="593">
        <f t="shared" si="55"/>
        <v>0</v>
      </c>
      <c r="CA152" s="593">
        <v>2.3520000000000003</v>
      </c>
      <c r="CB152" s="593">
        <v>2.3520000000000003</v>
      </c>
      <c r="CC152" s="593">
        <v>0</v>
      </c>
      <c r="CD152" s="593">
        <v>0</v>
      </c>
      <c r="CE152" s="593">
        <v>0</v>
      </c>
      <c r="CF152" s="593">
        <v>0</v>
      </c>
      <c r="CG152" s="593">
        <v>0</v>
      </c>
      <c r="CH152" s="593">
        <v>0</v>
      </c>
      <c r="CI152" s="593">
        <f t="shared" si="55"/>
        <v>0</v>
      </c>
      <c r="CJ152" s="593">
        <f t="shared" si="55"/>
        <v>0</v>
      </c>
      <c r="CK152" s="593"/>
      <c r="CL152" s="593"/>
      <c r="CM152" s="593"/>
      <c r="CN152" s="593"/>
      <c r="CO152" s="593">
        <v>0</v>
      </c>
      <c r="CP152" s="593">
        <v>0</v>
      </c>
      <c r="CQ152" s="593">
        <v>0</v>
      </c>
      <c r="CR152" s="593">
        <v>0</v>
      </c>
      <c r="CS152" s="593">
        <f t="shared" si="55"/>
        <v>0</v>
      </c>
      <c r="CT152" s="593">
        <f t="shared" si="55"/>
        <v>0</v>
      </c>
      <c r="CU152" s="593"/>
      <c r="CV152" s="593"/>
      <c r="CW152" s="593"/>
      <c r="CX152" s="593"/>
      <c r="CY152" s="593">
        <v>0</v>
      </c>
      <c r="CZ152" s="593">
        <v>0</v>
      </c>
      <c r="DA152" s="593">
        <v>0</v>
      </c>
      <c r="DB152" s="593">
        <v>0</v>
      </c>
      <c r="DC152" s="593">
        <f t="shared" si="55"/>
        <v>0</v>
      </c>
      <c r="DD152" s="593">
        <f t="shared" si="55"/>
        <v>0</v>
      </c>
      <c r="DE152" s="593"/>
      <c r="DF152" s="593"/>
      <c r="DG152" s="593"/>
      <c r="DH152" s="593"/>
      <c r="DI152" s="593">
        <v>0</v>
      </c>
      <c r="DJ152" s="593">
        <v>0</v>
      </c>
      <c r="DK152" s="593">
        <v>0</v>
      </c>
      <c r="DL152" s="593">
        <v>0</v>
      </c>
      <c r="DM152" s="593">
        <f t="shared" ref="DM152:DN152" si="56">SUMIFS(DM$154:DM$183,$Y$154:$Y$183,$Y152)</f>
        <v>0</v>
      </c>
      <c r="DN152" s="593">
        <f t="shared" si="56"/>
        <v>0</v>
      </c>
      <c r="DO152" s="593"/>
      <c r="DP152" s="593"/>
      <c r="DQ152" s="593"/>
      <c r="DR152" s="593"/>
      <c r="DS152" s="593">
        <v>0</v>
      </c>
      <c r="DT152" s="593">
        <v>0</v>
      </c>
      <c r="DU152" s="593">
        <v>0</v>
      </c>
      <c r="DV152" s="593">
        <v>0</v>
      </c>
      <c r="DW152" s="593">
        <f t="shared" ref="DW152:EH152" si="57">SUMIFS(DW$154:DW$183,$Y$154:$Y$183,$Y152)</f>
        <v>0</v>
      </c>
      <c r="DX152" s="422">
        <f t="shared" si="57"/>
        <v>0</v>
      </c>
      <c r="DY152" s="422"/>
      <c r="DZ152" s="422"/>
      <c r="EA152" s="422"/>
      <c r="EB152" s="422"/>
      <c r="EC152" s="422">
        <v>0</v>
      </c>
      <c r="ED152" s="422">
        <v>0</v>
      </c>
      <c r="EE152" s="422">
        <v>0</v>
      </c>
      <c r="EF152" s="422">
        <v>0</v>
      </c>
      <c r="EG152" s="422">
        <f t="shared" si="57"/>
        <v>0</v>
      </c>
      <c r="EH152" s="422">
        <f t="shared" si="57"/>
        <v>0</v>
      </c>
      <c r="EI152" s="422"/>
      <c r="EJ152" s="422"/>
      <c r="EK152" s="422"/>
      <c r="EL152" s="422"/>
      <c r="EM152" s="422">
        <v>0</v>
      </c>
      <c r="EN152" s="422">
        <v>0</v>
      </c>
      <c r="EO152" s="422">
        <v>0</v>
      </c>
      <c r="EP152" s="422">
        <v>0</v>
      </c>
      <c r="EQ152" s="594">
        <f t="shared" ref="EQ152" si="58">SUM(EQ158,EQ164,EQ170,EQ176,EQ182)</f>
        <v>3.8573895672760816</v>
      </c>
      <c r="ER152" s="422">
        <f t="shared" ref="ER152:FG152" ca="1" si="59">SUMIFS(ER$154:ER$183,$Y$154:$Y$183,$Y152)</f>
        <v>0.37</v>
      </c>
      <c r="ES152" s="422">
        <f t="shared" ca="1" si="59"/>
        <v>0.37</v>
      </c>
      <c r="ET152" s="422">
        <f t="shared" ca="1" si="59"/>
        <v>0</v>
      </c>
      <c r="EU152" s="422">
        <f t="shared" ca="1" si="59"/>
        <v>0</v>
      </c>
      <c r="EV152" s="422">
        <f t="shared" ca="1" si="59"/>
        <v>0</v>
      </c>
      <c r="EW152" s="422">
        <f t="shared" ca="1" si="59"/>
        <v>0</v>
      </c>
      <c r="EX152" s="422">
        <f t="shared" ca="1" si="59"/>
        <v>0</v>
      </c>
      <c r="EY152" s="422">
        <f t="shared" ca="1" si="59"/>
        <v>0</v>
      </c>
      <c r="EZ152" s="422">
        <f t="shared" ca="1" si="59"/>
        <v>2.3520000000000003</v>
      </c>
      <c r="FA152" s="422">
        <f t="shared" ca="1" si="59"/>
        <v>2.3520000000000003</v>
      </c>
      <c r="FB152" s="422">
        <f t="shared" ca="1" si="59"/>
        <v>0</v>
      </c>
      <c r="FC152" s="422">
        <f t="shared" ca="1" si="59"/>
        <v>0</v>
      </c>
      <c r="FD152" s="422">
        <f t="shared" ca="1" si="59"/>
        <v>0</v>
      </c>
      <c r="FE152" s="422">
        <f t="shared" ca="1" si="59"/>
        <v>0</v>
      </c>
      <c r="FF152" s="422">
        <f t="shared" ca="1" si="59"/>
        <v>0</v>
      </c>
      <c r="FG152" s="422">
        <f t="shared" ca="1" si="59"/>
        <v>0</v>
      </c>
      <c r="FH152" s="422">
        <f t="shared" ca="1" si="49"/>
        <v>21.853199999999998</v>
      </c>
      <c r="FI152" s="422">
        <f t="shared" ca="1" si="49"/>
        <v>21.853199999999998</v>
      </c>
      <c r="FJ152" s="422">
        <f t="shared" ca="1" si="49"/>
        <v>0</v>
      </c>
      <c r="FK152" s="422">
        <f t="shared" ca="1" si="49"/>
        <v>0</v>
      </c>
      <c r="FL152" s="422">
        <f t="shared" si="50"/>
        <v>0</v>
      </c>
      <c r="FM152" s="422">
        <f t="shared" si="50"/>
        <v>0</v>
      </c>
      <c r="FN152" s="422">
        <f t="shared" si="50"/>
        <v>0</v>
      </c>
      <c r="FO152" s="422">
        <f t="shared" si="50"/>
        <v>0</v>
      </c>
      <c r="FP152" s="595">
        <f ca="1">IFERROR(FH152/$FH$153,0)</f>
        <v>0.14809383369295326</v>
      </c>
      <c r="FQ152" s="574">
        <f t="shared" ca="1" si="26"/>
        <v>0.60973877773534779</v>
      </c>
      <c r="FR152" s="422">
        <f>SUMIFS(FR$154:FR$183,$Y$154:$Y$183,$Y152)</f>
        <v>0</v>
      </c>
      <c r="FS152" s="574">
        <f t="shared" si="33"/>
        <v>0</v>
      </c>
      <c r="FT152" s="469">
        <v>7.3500890528775176E-2</v>
      </c>
      <c r="FU152" s="289">
        <f>FT152*$FU$153</f>
        <v>2.452709103829402</v>
      </c>
    </row>
    <row r="153" spans="2:178">
      <c r="B153" s="780" t="s">
        <v>137</v>
      </c>
      <c r="C153" s="781"/>
      <c r="D153" s="424"/>
      <c r="E153" s="25">
        <v>112.90154</v>
      </c>
      <c r="F153" s="25">
        <v>101.72</v>
      </c>
      <c r="G153" s="25">
        <v>115.57729999999999</v>
      </c>
      <c r="H153" s="25">
        <v>112.88661999999998</v>
      </c>
      <c r="I153" s="25">
        <v>104.44572000000001</v>
      </c>
      <c r="J153" s="25">
        <v>53.94558</v>
      </c>
      <c r="K153" s="25"/>
      <c r="L153" s="25"/>
      <c r="M153" s="25"/>
      <c r="N153" s="25"/>
      <c r="O153" s="25"/>
      <c r="P153" s="25"/>
      <c r="Q153" s="25">
        <f>SUM(Q134:Q152)</f>
        <v>92.864000000000004</v>
      </c>
      <c r="R153" s="25">
        <f>SUM(R152,R148,R142,R137,R134)</f>
        <v>3.0492000000000004</v>
      </c>
      <c r="S153" s="25">
        <f>SUM(S152,S148,S142,S137,S134)</f>
        <v>53.94558</v>
      </c>
      <c r="T153" s="25">
        <f t="shared" si="20"/>
        <v>601.4767599999999</v>
      </c>
      <c r="U153" s="26">
        <f>IFERROR(T153/$T$153,0)</f>
        <v>1</v>
      </c>
      <c r="V153" s="27">
        <f>IFERROR(S153/Q153,0)</f>
        <v>0.58090950206753955</v>
      </c>
      <c r="X153" s="780" t="s">
        <v>136</v>
      </c>
      <c r="Y153" s="781"/>
      <c r="Z153" s="424"/>
      <c r="AA153" s="25">
        <f>SUM(AA152,AA148,AA142,AA137,AA134)</f>
        <v>28.043599999999998</v>
      </c>
      <c r="AB153" s="25">
        <f>SUM(AB134:AB152,AB197,AB203,AB209,AB215,AB221)</f>
        <v>0</v>
      </c>
      <c r="AC153" s="25">
        <v>28.043599999999998</v>
      </c>
      <c r="AD153" s="25">
        <v>28.043599999999998</v>
      </c>
      <c r="AE153" s="25">
        <v>0</v>
      </c>
      <c r="AF153" s="25">
        <v>0</v>
      </c>
      <c r="AG153" s="25">
        <v>0</v>
      </c>
      <c r="AH153" s="25">
        <v>0</v>
      </c>
      <c r="AI153" s="25">
        <v>0</v>
      </c>
      <c r="AJ153" s="25">
        <v>0</v>
      </c>
      <c r="AK153" s="25">
        <f>SUM(AK152,AK148,AK142,AK137,AK134)</f>
        <v>27.204999999999998</v>
      </c>
      <c r="AL153" s="25">
        <f>SUM(AL134:AL152,AL197,AL203,AL209,AL215,AL221)</f>
        <v>0</v>
      </c>
      <c r="AM153" s="25">
        <v>27.204999999999998</v>
      </c>
      <c r="AN153" s="25">
        <v>27.204999999999998</v>
      </c>
      <c r="AO153" s="25">
        <v>0</v>
      </c>
      <c r="AP153" s="25">
        <v>0</v>
      </c>
      <c r="AQ153" s="25">
        <v>0</v>
      </c>
      <c r="AR153" s="25">
        <v>0</v>
      </c>
      <c r="AS153" s="25">
        <v>0</v>
      </c>
      <c r="AT153" s="25">
        <v>0</v>
      </c>
      <c r="AU153" s="25">
        <f>SUM(AU152,AU148,AU142,AU137,AU134)</f>
        <v>27.488199999999999</v>
      </c>
      <c r="AV153" s="25">
        <f>SUM(AV134:AV152,AV197,AV203,AV209,AV215,AV221)</f>
        <v>0</v>
      </c>
      <c r="AW153" s="25">
        <v>27.488199999999999</v>
      </c>
      <c r="AX153" s="25">
        <v>27.488199999999999</v>
      </c>
      <c r="AY153" s="25">
        <v>0</v>
      </c>
      <c r="AZ153" s="25">
        <v>0</v>
      </c>
      <c r="BA153" s="25">
        <v>0</v>
      </c>
      <c r="BB153" s="25">
        <v>0</v>
      </c>
      <c r="BC153" s="25">
        <v>0</v>
      </c>
      <c r="BD153" s="25">
        <v>0</v>
      </c>
      <c r="BE153" s="25">
        <f>SUM(BE152,BE148,BE142,BE137,BE134)</f>
        <v>26.5808</v>
      </c>
      <c r="BF153" s="25">
        <f>SUM(BF134:BF152,BF197,BF203,BF209,BF215,BF221)</f>
        <v>0</v>
      </c>
      <c r="BG153" s="25">
        <v>26.5808</v>
      </c>
      <c r="BH153" s="25">
        <v>26.5808</v>
      </c>
      <c r="BI153" s="25">
        <v>0</v>
      </c>
      <c r="BJ153" s="25">
        <v>0</v>
      </c>
      <c r="BK153" s="25">
        <v>0</v>
      </c>
      <c r="BL153" s="25">
        <v>0</v>
      </c>
      <c r="BM153" s="25">
        <v>0</v>
      </c>
      <c r="BN153" s="25">
        <v>0</v>
      </c>
      <c r="BO153" s="25">
        <f>SUM(BO152,BO148,BO142,BO137,BO134)</f>
        <v>26.972399999999997</v>
      </c>
      <c r="BP153" s="25">
        <f t="shared" ref="BP153:BY153" si="60">SUM(BP152,BP148,BP142,BP137,BP134)</f>
        <v>0</v>
      </c>
      <c r="BQ153" s="25">
        <v>26.972399999999997</v>
      </c>
      <c r="BR153" s="25">
        <v>26.972399999999997</v>
      </c>
      <c r="BS153" s="25">
        <v>0</v>
      </c>
      <c r="BT153" s="25">
        <v>0</v>
      </c>
      <c r="BU153" s="25">
        <v>0</v>
      </c>
      <c r="BV153" s="25">
        <v>0</v>
      </c>
      <c r="BW153" s="25">
        <v>0</v>
      </c>
      <c r="BX153" s="25">
        <v>0</v>
      </c>
      <c r="BY153" s="25">
        <f t="shared" si="60"/>
        <v>11.273200000000001</v>
      </c>
      <c r="BZ153" s="25">
        <f t="shared" ref="BZ153" si="61">SUM(BZ152,BZ148,BZ142,BZ137,BZ134)</f>
        <v>0</v>
      </c>
      <c r="CA153" s="25">
        <v>11.273200000000001</v>
      </c>
      <c r="CB153" s="25">
        <v>11.273200000000001</v>
      </c>
      <c r="CC153" s="25">
        <v>0</v>
      </c>
      <c r="CD153" s="25">
        <v>0</v>
      </c>
      <c r="CE153" s="25">
        <v>0</v>
      </c>
      <c r="CF153" s="25">
        <v>0</v>
      </c>
      <c r="CG153" s="25">
        <v>0</v>
      </c>
      <c r="CH153" s="25">
        <v>0</v>
      </c>
      <c r="CI153" s="25">
        <f t="shared" ref="CI153" si="62">SUM(CI152,CI148,CI142,CI137,CI134)</f>
        <v>0</v>
      </c>
      <c r="CJ153" s="25">
        <f t="shared" ref="CJ153" si="63">SUM(CJ152,CJ148,CJ142,CJ137,CJ134)</f>
        <v>0</v>
      </c>
      <c r="CK153" s="25"/>
      <c r="CL153" s="25"/>
      <c r="CM153" s="25"/>
      <c r="CN153" s="25"/>
      <c r="CO153" s="25">
        <v>0</v>
      </c>
      <c r="CP153" s="25">
        <v>0</v>
      </c>
      <c r="CQ153" s="25">
        <v>0</v>
      </c>
      <c r="CR153" s="25">
        <v>0</v>
      </c>
      <c r="CS153" s="25">
        <f t="shared" ref="CS153" si="64">SUM(CS152,CS148,CS142,CS137,CS134)</f>
        <v>0</v>
      </c>
      <c r="CT153" s="25">
        <f t="shared" ref="CT153" si="65">SUM(CT152,CT148,CT142,CT137,CT134)</f>
        <v>0</v>
      </c>
      <c r="CU153" s="25"/>
      <c r="CV153" s="25"/>
      <c r="CW153" s="25"/>
      <c r="CX153" s="25"/>
      <c r="CY153" s="25">
        <v>0</v>
      </c>
      <c r="CZ153" s="25">
        <v>0</v>
      </c>
      <c r="DA153" s="25">
        <v>0</v>
      </c>
      <c r="DB153" s="25">
        <v>0</v>
      </c>
      <c r="DC153" s="25">
        <f t="shared" ref="DC153" si="66">SUM(DC152,DC148,DC142,DC137,DC134)</f>
        <v>0</v>
      </c>
      <c r="DD153" s="25">
        <f t="shared" ref="DD153" si="67">SUM(DD152,DD148,DD142,DD137,DD134)</f>
        <v>0</v>
      </c>
      <c r="DE153" s="25"/>
      <c r="DF153" s="25"/>
      <c r="DG153" s="25"/>
      <c r="DH153" s="25"/>
      <c r="DI153" s="25">
        <v>0</v>
      </c>
      <c r="DJ153" s="25">
        <v>0</v>
      </c>
      <c r="DK153" s="25">
        <v>0</v>
      </c>
      <c r="DL153" s="25">
        <v>0</v>
      </c>
      <c r="DM153" s="25">
        <f t="shared" ref="DM153" si="68">SUM(DM152,DM148,DM142,DM137,DM134)</f>
        <v>0</v>
      </c>
      <c r="DN153" s="25">
        <f t="shared" ref="DN153" si="69">SUM(DN152,DN148,DN142,DN137,DN134)</f>
        <v>0</v>
      </c>
      <c r="DO153" s="25"/>
      <c r="DP153" s="25"/>
      <c r="DQ153" s="25"/>
      <c r="DR153" s="25"/>
      <c r="DS153" s="25">
        <v>0</v>
      </c>
      <c r="DT153" s="25">
        <v>0</v>
      </c>
      <c r="DU153" s="25">
        <v>0</v>
      </c>
      <c r="DV153" s="25">
        <v>0</v>
      </c>
      <c r="DW153" s="25">
        <f t="shared" ref="DW153" si="70">SUM(DW152,DW148,DW142,DW137,DW134)</f>
        <v>0</v>
      </c>
      <c r="DX153" s="25">
        <f t="shared" ref="DX153" si="71">SUM(DX152,DX148,DX142,DX137,DX134)</f>
        <v>0</v>
      </c>
      <c r="DY153" s="25"/>
      <c r="DZ153" s="25"/>
      <c r="EA153" s="25"/>
      <c r="EB153" s="25"/>
      <c r="EC153" s="25">
        <v>0</v>
      </c>
      <c r="ED153" s="25">
        <v>0</v>
      </c>
      <c r="EE153" s="25">
        <v>0</v>
      </c>
      <c r="EF153" s="25">
        <v>0</v>
      </c>
      <c r="EG153" s="25">
        <f t="shared" ref="EG153" si="72">SUM(EG152,EG148,EG142,EG137,EG134)</f>
        <v>0</v>
      </c>
      <c r="EH153" s="25">
        <f>SUM(EH134:EH152)</f>
        <v>0</v>
      </c>
      <c r="EI153" s="25"/>
      <c r="EJ153" s="25"/>
      <c r="EK153" s="25"/>
      <c r="EL153" s="25"/>
      <c r="EM153" s="25">
        <v>0</v>
      </c>
      <c r="EN153" s="25">
        <v>0</v>
      </c>
      <c r="EO153" s="25">
        <v>0</v>
      </c>
      <c r="EP153" s="25">
        <v>0</v>
      </c>
      <c r="EQ153" s="515">
        <f>SUM(EQ134:EQ152)</f>
        <v>27.492999999999995</v>
      </c>
      <c r="ER153" s="25">
        <f ca="1">SUM(ER152,ER148,ER142,ER137,ER134)</f>
        <v>1.752</v>
      </c>
      <c r="ES153" s="25">
        <f ca="1">SUM(ES152,ES148,ES142,ES137,ES134)</f>
        <v>1.752</v>
      </c>
      <c r="ET153" s="25">
        <f ca="1">SUM(ET134:ET152)</f>
        <v>0</v>
      </c>
      <c r="EU153" s="25">
        <f t="shared" ref="EU153:FG153" ca="1" si="73">SUM(EU134:EU152)</f>
        <v>0</v>
      </c>
      <c r="EV153" s="25">
        <f t="shared" ca="1" si="73"/>
        <v>0</v>
      </c>
      <c r="EW153" s="25">
        <f t="shared" ca="1" si="73"/>
        <v>0</v>
      </c>
      <c r="EX153" s="25">
        <f t="shared" ca="1" si="73"/>
        <v>0</v>
      </c>
      <c r="EY153" s="25">
        <f t="shared" ca="1" si="73"/>
        <v>0</v>
      </c>
      <c r="EZ153" s="25">
        <f ca="1">SUM(EZ152,EZ148,EZ142,EZ137,EZ134)</f>
        <v>11.273200000000001</v>
      </c>
      <c r="FA153" s="25">
        <f ca="1">SUM(FA152,FA148,FA142,FA137,FA134)</f>
        <v>11.273200000000001</v>
      </c>
      <c r="FB153" s="25">
        <f ca="1">SUM(FB152,FB148,FB142,FB137,FB134)</f>
        <v>0</v>
      </c>
      <c r="FC153" s="25">
        <f t="shared" ca="1" si="73"/>
        <v>0</v>
      </c>
      <c r="FD153" s="25">
        <f t="shared" ca="1" si="73"/>
        <v>0</v>
      </c>
      <c r="FE153" s="25">
        <f t="shared" ca="1" si="73"/>
        <v>0</v>
      </c>
      <c r="FF153" s="25">
        <f t="shared" ca="1" si="73"/>
        <v>0</v>
      </c>
      <c r="FG153" s="25">
        <f t="shared" ca="1" si="73"/>
        <v>0</v>
      </c>
      <c r="FH153" s="25">
        <f ca="1">SUM(FH152,FH148,FH142,FH137,FH134)</f>
        <v>147.56319999999999</v>
      </c>
      <c r="FI153" s="25">
        <f ca="1">SUM(FI152,FI148,FI142,FI137,FI134)</f>
        <v>147.56319999999999</v>
      </c>
      <c r="FJ153" s="25">
        <f ca="1">SUM(FJ152,FJ148,FJ142,FJ137,FJ134)</f>
        <v>0</v>
      </c>
      <c r="FK153" s="25">
        <f ca="1">SUM(FK134:FK152)</f>
        <v>0</v>
      </c>
      <c r="FL153" s="25">
        <f ca="1">SUM(FL134:FL148)</f>
        <v>0</v>
      </c>
      <c r="FM153" s="25">
        <f ca="1">SUM(FM134:FM152)</f>
        <v>0</v>
      </c>
      <c r="FN153" s="25">
        <f ca="1">SUM(FN134:FN152)</f>
        <v>0</v>
      </c>
      <c r="FO153" s="25">
        <f ca="1">SUM(FO134:FO152)</f>
        <v>0</v>
      </c>
      <c r="FP153" s="26">
        <f ca="1">IFERROR(FH153/FH153,0)</f>
        <v>1</v>
      </c>
      <c r="FQ153" s="59">
        <f t="shared" ca="1" si="26"/>
        <v>0.41003891899756312</v>
      </c>
      <c r="FR153" s="25">
        <f>SUM(FR152,FR148,FR142,FR137,FR134)</f>
        <v>0</v>
      </c>
      <c r="FS153" s="59">
        <f t="shared" si="33"/>
        <v>0</v>
      </c>
      <c r="FT153" s="15">
        <v>1</v>
      </c>
      <c r="FU153" s="472">
        <v>33.369787579229133</v>
      </c>
      <c r="FV153" s="15" t="str">
        <f>IF(FU153=FU184," macth")</f>
        <v xml:space="preserve"> macth</v>
      </c>
    </row>
    <row r="154" spans="2:178" outlineLevel="1">
      <c r="B154" s="73" t="s">
        <v>191</v>
      </c>
      <c r="C154" s="74" t="s">
        <v>44</v>
      </c>
      <c r="D154" s="74"/>
      <c r="E154" s="60">
        <v>6.3696000000000002</v>
      </c>
      <c r="F154" s="60">
        <v>5.15998</v>
      </c>
      <c r="G154" s="60">
        <v>5.82</v>
      </c>
      <c r="H154" s="60">
        <v>5.7797000000000001</v>
      </c>
      <c r="I154" s="60">
        <v>5.7597199999999997</v>
      </c>
      <c r="J154" s="60">
        <v>3.0496799999999999</v>
      </c>
      <c r="K154" s="60"/>
      <c r="L154" s="60"/>
      <c r="M154" s="60"/>
      <c r="N154" s="60"/>
      <c r="O154" s="60"/>
      <c r="P154" s="60"/>
      <c r="Q154" s="422">
        <v>4.8521313541661399</v>
      </c>
      <c r="R154" s="72">
        <f>IFERROR(SUMIFS(Daily_Vol_yesterday[Order Quantity],Daily_Vol_yesterday[Cust_Cat.cust_channel],master_Daily!B154,Daily_Vol_yesterday[Map_Product.TME_Brand],master_Daily!C154)/50000,0)</f>
        <v>0.08</v>
      </c>
      <c r="S154" s="60">
        <f>IFERROR(SUM(SUMIFS(Weekly_Vol[Quantity],Weekly_Vol[Cust_Cat.cust_channel],master_Daily!B154,Weekly_Vol[Map_Product.TME_Brand],master_Daily!C154),SUMIFS(Daily_Vol[Order Quantity],Daily_Vol[Cust_Cat.cust_channel],master_Daily!B154,Daily_Vol[Map_Product.TME_Brand],master_Daily!C154))/50000,0)</f>
        <v>3.0496799999999999</v>
      </c>
      <c r="T154" s="57">
        <f t="shared" ref="T154:T175" si="74">SUM(E154:P154)</f>
        <v>31.938680000000002</v>
      </c>
      <c r="U154" s="61">
        <f>IFERROR(T154/$T$159,0)</f>
        <v>6.2635999671471002E-2</v>
      </c>
      <c r="V154" s="62">
        <f t="shared" si="28"/>
        <v>0.62852379241165468</v>
      </c>
      <c r="X154" s="20" t="s">
        <v>124</v>
      </c>
      <c r="Y154" s="20" t="s">
        <v>44</v>
      </c>
      <c r="Z154" s="20"/>
      <c r="AA154" s="179">
        <f>SUM(AD154:AF154)</f>
        <v>6.6599999999999993E-2</v>
      </c>
      <c r="AB154" s="179">
        <f>SUM(AH154:AJ154)</f>
        <v>0</v>
      </c>
      <c r="AC154" s="179">
        <v>6.6599999999999993E-2</v>
      </c>
      <c r="AD154" s="179">
        <v>6.6599999999999993E-2</v>
      </c>
      <c r="AE154" s="180">
        <v>0</v>
      </c>
      <c r="AF154" s="180">
        <v>0</v>
      </c>
      <c r="AG154" s="179">
        <v>0</v>
      </c>
      <c r="AH154" s="180">
        <v>0</v>
      </c>
      <c r="AI154" s="180">
        <v>0</v>
      </c>
      <c r="AJ154" s="180">
        <v>0</v>
      </c>
      <c r="AK154" s="179">
        <f>SUM(AN154:AP154)</f>
        <v>0.05</v>
      </c>
      <c r="AL154" s="179">
        <f>SUM(AR154:AT154)</f>
        <v>0</v>
      </c>
      <c r="AM154" s="179">
        <v>0.05</v>
      </c>
      <c r="AN154" s="179">
        <v>0.05</v>
      </c>
      <c r="AO154" s="180">
        <v>0</v>
      </c>
      <c r="AP154" s="180">
        <v>0</v>
      </c>
      <c r="AQ154" s="179">
        <v>0</v>
      </c>
      <c r="AR154" s="180">
        <v>0</v>
      </c>
      <c r="AS154" s="180">
        <v>0</v>
      </c>
      <c r="AT154" s="180">
        <v>0</v>
      </c>
      <c r="AU154" s="179">
        <f>SUM(AX154:AZ154)</f>
        <v>5.7000000000000009E-2</v>
      </c>
      <c r="AV154" s="179">
        <f t="shared" ref="AV154:AV183" si="75">SUM(BB154:BD154)</f>
        <v>0</v>
      </c>
      <c r="AW154" s="179">
        <v>5.7000000000000009E-2</v>
      </c>
      <c r="AX154" s="179">
        <v>5.7000000000000009E-2</v>
      </c>
      <c r="AY154" s="180">
        <v>0</v>
      </c>
      <c r="AZ154" s="180">
        <v>0</v>
      </c>
      <c r="BA154" s="179">
        <v>0</v>
      </c>
      <c r="BB154" s="180">
        <v>0</v>
      </c>
      <c r="BC154" s="180">
        <v>0</v>
      </c>
      <c r="BD154" s="180">
        <v>0</v>
      </c>
      <c r="BE154" s="179">
        <f>SUM(BH154:BJ154)</f>
        <v>4.0399999999999998E-2</v>
      </c>
      <c r="BF154" s="179">
        <f t="shared" ref="BF154:BF183" si="76">SUM(BL154:BN154)</f>
        <v>0</v>
      </c>
      <c r="BG154" s="179">
        <v>4.0399999999999998E-2</v>
      </c>
      <c r="BH154" s="179">
        <v>4.0399999999999998E-2</v>
      </c>
      <c r="BI154" s="180">
        <v>0</v>
      </c>
      <c r="BJ154" s="180">
        <v>0</v>
      </c>
      <c r="BK154" s="179">
        <v>0</v>
      </c>
      <c r="BL154" s="180">
        <v>0</v>
      </c>
      <c r="BM154" s="180">
        <v>0</v>
      </c>
      <c r="BN154" s="180">
        <v>0</v>
      </c>
      <c r="BO154" s="179">
        <f>SUM(BR154:BT154)</f>
        <v>5.4999999999999993E-2</v>
      </c>
      <c r="BP154" s="179">
        <f t="shared" ref="BP154:BP183" si="77">SUM(BV154:BX154)</f>
        <v>0</v>
      </c>
      <c r="BQ154" s="179">
        <v>5.4999999999999993E-2</v>
      </c>
      <c r="BR154" s="179">
        <v>5.4999999999999993E-2</v>
      </c>
      <c r="BS154" s="180">
        <v>0</v>
      </c>
      <c r="BT154" s="180">
        <v>0</v>
      </c>
      <c r="BU154" s="179">
        <v>0</v>
      </c>
      <c r="BV154" s="180">
        <v>0</v>
      </c>
      <c r="BW154" s="180">
        <v>0</v>
      </c>
      <c r="BX154" s="180">
        <v>0</v>
      </c>
      <c r="BY154" s="179">
        <f>SUM(CB154:CD154)</f>
        <v>1.6E-2</v>
      </c>
      <c r="BZ154" s="179">
        <f t="shared" ref="BZ154:BZ183" si="78">SUM(CF154:CH154)</f>
        <v>0</v>
      </c>
      <c r="CA154" s="179">
        <v>1.6E-2</v>
      </c>
      <c r="CB154" s="179">
        <v>1.6E-2</v>
      </c>
      <c r="CC154" s="180">
        <v>0</v>
      </c>
      <c r="CD154" s="180">
        <v>0</v>
      </c>
      <c r="CE154" s="179">
        <v>0</v>
      </c>
      <c r="CF154" s="180">
        <v>0</v>
      </c>
      <c r="CG154" s="180">
        <v>0</v>
      </c>
      <c r="CH154" s="180">
        <v>0</v>
      </c>
      <c r="CI154" s="179">
        <f t="shared" ref="CI154:CI159" si="79">SUM(CL154:CN154)</f>
        <v>0</v>
      </c>
      <c r="CJ154" s="179">
        <f t="shared" ref="CJ154:CJ183" si="80">SUM(CP154:CR154)</f>
        <v>0</v>
      </c>
      <c r="CK154" s="179"/>
      <c r="CL154" s="179"/>
      <c r="CM154" s="180"/>
      <c r="CN154" s="180"/>
      <c r="CO154" s="179">
        <v>0</v>
      </c>
      <c r="CP154" s="180">
        <v>0</v>
      </c>
      <c r="CQ154" s="180">
        <v>0</v>
      </c>
      <c r="CR154" s="180">
        <v>0</v>
      </c>
      <c r="CS154" s="179">
        <f>SUM(CV154:CX154)</f>
        <v>0</v>
      </c>
      <c r="CT154" s="179">
        <f t="shared" ref="CT154:CT183" si="81">SUM(CZ154:DB154)</f>
        <v>0</v>
      </c>
      <c r="CU154" s="179"/>
      <c r="CV154" s="179"/>
      <c r="CW154" s="180"/>
      <c r="CX154" s="180"/>
      <c r="CY154" s="179">
        <v>0</v>
      </c>
      <c r="CZ154" s="180">
        <v>0</v>
      </c>
      <c r="DA154" s="180">
        <v>0</v>
      </c>
      <c r="DB154" s="180">
        <v>0</v>
      </c>
      <c r="DC154" s="179">
        <f>SUM(DF154:DH154)</f>
        <v>0</v>
      </c>
      <c r="DD154" s="179">
        <f t="shared" ref="DD154:DD183" si="82">SUM(DJ154:DL154)</f>
        <v>0</v>
      </c>
      <c r="DE154" s="179"/>
      <c r="DF154" s="179"/>
      <c r="DG154" s="180"/>
      <c r="DH154" s="180"/>
      <c r="DI154" s="179">
        <v>0</v>
      </c>
      <c r="DJ154" s="180">
        <v>0</v>
      </c>
      <c r="DK154" s="180">
        <v>0</v>
      </c>
      <c r="DL154" s="180">
        <v>0</v>
      </c>
      <c r="DM154" s="179">
        <f>SUM(DP154:DR154)</f>
        <v>0</v>
      </c>
      <c r="DN154" s="179">
        <f t="shared" ref="DN154:DN183" si="83">SUM(DT154:DV154)</f>
        <v>0</v>
      </c>
      <c r="DO154" s="179"/>
      <c r="DP154" s="179"/>
      <c r="DQ154" s="180"/>
      <c r="DR154" s="180"/>
      <c r="DS154" s="179">
        <v>0</v>
      </c>
      <c r="DT154" s="180">
        <v>0</v>
      </c>
      <c r="DU154" s="180">
        <v>0</v>
      </c>
      <c r="DV154" s="180">
        <v>0</v>
      </c>
      <c r="DW154" s="179">
        <f>SUM(DZ154:EB154)</f>
        <v>0</v>
      </c>
      <c r="DX154" s="179">
        <f t="shared" ref="DX154:DX183" si="84">SUM(ED154:EF154)</f>
        <v>0</v>
      </c>
      <c r="DY154" s="179"/>
      <c r="DZ154" s="179"/>
      <c r="EA154" s="180"/>
      <c r="EB154" s="180"/>
      <c r="EC154" s="179">
        <v>0</v>
      </c>
      <c r="ED154" s="180">
        <v>0</v>
      </c>
      <c r="EE154" s="180">
        <v>0</v>
      </c>
      <c r="EF154" s="180">
        <v>0</v>
      </c>
      <c r="EG154" s="179">
        <f>SUM(EJ154:EL154)</f>
        <v>0</v>
      </c>
      <c r="EH154" s="21">
        <f t="shared" ref="EH154:EH183" si="85">SUM(EN154:EP154)</f>
        <v>0</v>
      </c>
      <c r="EI154" s="70"/>
      <c r="EJ154" s="21"/>
      <c r="EK154" s="60"/>
      <c r="EL154" s="60"/>
      <c r="EM154" s="70">
        <v>0</v>
      </c>
      <c r="EN154" s="60">
        <v>0</v>
      </c>
      <c r="EO154" s="60">
        <v>0</v>
      </c>
      <c r="EP154" s="60">
        <v>0</v>
      </c>
      <c r="EQ154" s="181">
        <v>6.030506282839216E-2</v>
      </c>
      <c r="ER154" s="21">
        <f ca="1">SUM(ES154:EU154)</f>
        <v>2E-3</v>
      </c>
      <c r="ES154" s="60">
        <f ca="1">SUMIFS(TME_Yesterday[Sell_WHS_QTY],TME_Yesterday[Region],master_Daily!$X154,TME_Yesterday[Brand],master_Daily!$Y154)/50000+$ES$222+$ES$228+$ES$234+$ES$240+$ES$216</f>
        <v>2E-3</v>
      </c>
      <c r="ET154" s="60">
        <f ca="1">(SUMIFS(TME_Yesterday[Sell_RTL_QTY],TME_Yesterday[Region],master_Daily!$X154,TME_Yesterday[Brand],master_Daily!$Y154)/50000)
+SUMIFS($ET$192:$ET$215,$X$192:$X$215,"Local MT",$Y$192:$Y$215,Y154)</f>
        <v>0</v>
      </c>
      <c r="EU154" s="60">
        <f ca="1">SUMIFS(TME_Yesterday[Sell_NEO_QTY],TME_Yesterday[Region],master_Daily!$X154,TME_Yesterday[Brand],master_Daily!$Y154)/50000</f>
        <v>0</v>
      </c>
      <c r="EV154" s="21">
        <f ca="1">SUM(EW154:EY154)</f>
        <v>0</v>
      </c>
      <c r="EW154" s="60">
        <f ca="1">SUMIFS(TME_Yesterday[FOC_WHS_QTY],TME_Yesterday[Region],master_Daily!$X154,TME_Yesterday[Brand],master_Daily!$Y154)/50000</f>
        <v>0</v>
      </c>
      <c r="EX154" s="60">
        <f ca="1">SUMIFS(TME_Yesterday[FOC_RTL_QTY],TME_Yesterday[Region],master_Daily!$X154,TME_Yesterday[Brand],master_Daily!$Y154)/50000</f>
        <v>0</v>
      </c>
      <c r="EY154" s="60">
        <f ca="1">SUMIFS(TME_Yesterday[FOC_NEO_QTY],TME_Yesterday[Region],master_Daily!$X154,TME_Yesterday[Brand],master_Daily!$Y154)/50000</f>
        <v>0</v>
      </c>
      <c r="EZ154" s="60">
        <f ca="1">SUM(FA154:FC154)</f>
        <v>1.6E-2</v>
      </c>
      <c r="FA154" s="60">
        <f ca="1">SUMIFS(TME_MTD[Sell_WHS_QTY],TME_MTD[Region],master_Daily!$X154,TME_MTD[Brand],master_Daily!$Y154)/50000+$FA$222+$FA$228+$FA$234+$FA$240+$FA$216</f>
        <v>1.6E-2</v>
      </c>
      <c r="FB154" s="60">
        <f ca="1">SUMIFS(TME_MTD[Sell_RTL_QTY],TME_MTD[Region],master_Daily!$X154,TME_MTD[Brand],master_Daily!$Y154)/50000+$FB$198</f>
        <v>0</v>
      </c>
      <c r="FC154" s="60">
        <f ca="1">SUMIFS(TME_MTD[Sell_NEO_QTY],TME_MTD[Region],master_Daily!$X154,TME_MTD[Brand],master_Daily!$Y154)/50000</f>
        <v>0</v>
      </c>
      <c r="FD154" s="60">
        <f ca="1">SUM(FE154:FG154)</f>
        <v>0</v>
      </c>
      <c r="FE154" s="60">
        <f ca="1">SUMIFS(TME_MTD[FOC_WHS_QTY],TME_MTD[Region],master_Daily!$X154,TME_MTD[Brand],master_Daily!$Y154)/50000</f>
        <v>0</v>
      </c>
      <c r="FF154" s="60">
        <f ca="1">SUMIFS(TME_MTD[FOC_RTL_QTY],TME_MTD[Region],master_Daily!$X154,TME_MTD[Brand],master_Daily!$Y154)/50000</f>
        <v>0</v>
      </c>
      <c r="FG154" s="60">
        <f ca="1">SUMIFS(TME_MTD[FOC_NEO_QTY],TME_MTD[Region],master_Daily!$X154,TME_MTD[Brand],master_Daily!$Y154)/50000</f>
        <v>0</v>
      </c>
      <c r="FH154" s="21">
        <f t="shared" ref="FH154:FO156" ca="1" si="86">SUMIFS($AA154:$EP154,$AA$129:$EP$129,INDIRECT(ADDRESS(129,COLUMN())))</f>
        <v>0.28500000000000003</v>
      </c>
      <c r="FI154" s="21">
        <f ca="1">SUMIFS($AA154:$EP154,$AA$129:$EP$129,INDIRECT(ADDRESS(129,COLUMN())))</f>
        <v>0.28500000000000003</v>
      </c>
      <c r="FJ154" s="21">
        <f t="shared" ca="1" si="86"/>
        <v>0</v>
      </c>
      <c r="FK154" s="21">
        <f t="shared" ca="1" si="86"/>
        <v>0</v>
      </c>
      <c r="FL154" s="21">
        <f t="shared" ca="1" si="86"/>
        <v>0</v>
      </c>
      <c r="FM154" s="21">
        <f t="shared" ca="1" si="86"/>
        <v>0</v>
      </c>
      <c r="FN154" s="21">
        <f t="shared" ca="1" si="86"/>
        <v>0</v>
      </c>
      <c r="FO154" s="21">
        <f t="shared" ca="1" si="86"/>
        <v>0</v>
      </c>
      <c r="FP154" s="58">
        <f ca="1">IFERROR(FH154/$FH$159,0)</f>
        <v>7.9100749375520408E-3</v>
      </c>
      <c r="FQ154" s="23">
        <f ca="1">IFERROR(EZ154/EQ154,0)</f>
        <v>0.26531769058147897</v>
      </c>
      <c r="FR154" s="60">
        <f>SUMIFS(TME_MTD_Dist[Sell_WHS_QTY],TME_MTD_Dist[Region],master_Daily!$X154,TME_MTD_Dist[Brand],master_Daily!$Y154)/50000
 + SUMIFS(TME_MTD_Dist[Sell_RTL_QTY],TME_MTD_Dist[Region],master_Daily!$X154,TME_MTD_Dist[Brand],master_Daily!$Y154)/50000</f>
        <v>0</v>
      </c>
      <c r="FS154" s="23">
        <f t="shared" si="33"/>
        <v>0</v>
      </c>
      <c r="FT154" s="469">
        <v>1.1260858258718219E-2</v>
      </c>
      <c r="FU154" s="289">
        <f>FT154*$FU$159</f>
        <v>9.9429822363979126E-2</v>
      </c>
    </row>
    <row r="155" spans="2:178" outlineLevel="1">
      <c r="B155" s="73" t="s">
        <v>191</v>
      </c>
      <c r="C155" s="74" t="s">
        <v>45</v>
      </c>
      <c r="D155" s="74"/>
      <c r="E155" s="60">
        <v>1.76908</v>
      </c>
      <c r="F155" s="60">
        <v>1.78948</v>
      </c>
      <c r="G155" s="60">
        <v>1.8088599999999999</v>
      </c>
      <c r="H155" s="60">
        <v>1.57948</v>
      </c>
      <c r="I155" s="60">
        <v>1.44998</v>
      </c>
      <c r="J155" s="60">
        <v>0.71996000000000004</v>
      </c>
      <c r="K155" s="60"/>
      <c r="L155" s="60"/>
      <c r="M155" s="60"/>
      <c r="N155" s="60"/>
      <c r="O155" s="60"/>
      <c r="P155" s="60"/>
      <c r="Q155" s="422">
        <v>1.3523587869576936</v>
      </c>
      <c r="R155" s="72">
        <f>IFERROR(SUMIFS(Daily_Vol_yesterday[Order Quantity],Daily_Vol_yesterday[Cust_Cat.cust_channel],master_Daily!B155,Daily_Vol_yesterday[Map_Product.TME_Brand],master_Daily!C155)/50000,0)</f>
        <v>0.02</v>
      </c>
      <c r="S155" s="60">
        <f>IFERROR(SUM(SUMIFS(Weekly_Vol[Quantity],Weekly_Vol[Cust_Cat.cust_channel],master_Daily!B155,Weekly_Vol[Map_Product.TME_Brand],master_Daily!C155),SUMIFS(Daily_Vol[Order Quantity],Daily_Vol[Cust_Cat.cust_channel],master_Daily!B155,Daily_Vol[Map_Product.TME_Brand],master_Daily!C155))/50000,0)</f>
        <v>0.71996000000000004</v>
      </c>
      <c r="T155" s="57">
        <f t="shared" si="74"/>
        <v>9.1168399999999998</v>
      </c>
      <c r="U155" s="61">
        <f>IFERROR(T155/$T$159,0)</f>
        <v>1.7879335878779386E-2</v>
      </c>
      <c r="V155" s="62">
        <f t="shared" si="28"/>
        <v>0.53237351429471125</v>
      </c>
      <c r="X155" s="20" t="s">
        <v>124</v>
      </c>
      <c r="Y155" s="20" t="s">
        <v>45</v>
      </c>
      <c r="Z155" s="20"/>
      <c r="AA155" s="179">
        <f>SUM(AD155:AF155)</f>
        <v>5.0000000000000001E-3</v>
      </c>
      <c r="AB155" s="179">
        <f>SUM(AH155:AJ155)</f>
        <v>0</v>
      </c>
      <c r="AC155" s="15">
        <v>5.0000000000000001E-3</v>
      </c>
      <c r="AD155" s="179">
        <v>5.0000000000000001E-3</v>
      </c>
      <c r="AE155" s="180">
        <v>0</v>
      </c>
      <c r="AF155" s="180">
        <v>0</v>
      </c>
      <c r="AG155" s="179">
        <v>0</v>
      </c>
      <c r="AH155" s="180">
        <v>0</v>
      </c>
      <c r="AI155" s="180">
        <v>0</v>
      </c>
      <c r="AJ155" s="180">
        <v>0</v>
      </c>
      <c r="AK155" s="179">
        <f>SUM(AN155:AP155)</f>
        <v>5.7999999999999996E-3</v>
      </c>
      <c r="AL155" s="179">
        <f>SUM(AR155:AT155)</f>
        <v>0</v>
      </c>
      <c r="AM155" s="179">
        <v>5.7999999999999996E-3</v>
      </c>
      <c r="AN155" s="179">
        <v>5.7999999999999996E-3</v>
      </c>
      <c r="AO155" s="180">
        <v>0</v>
      </c>
      <c r="AP155" s="180">
        <v>0</v>
      </c>
      <c r="AQ155" s="179">
        <v>0</v>
      </c>
      <c r="AR155" s="180">
        <v>0</v>
      </c>
      <c r="AS155" s="180">
        <v>0</v>
      </c>
      <c r="AT155" s="180">
        <v>0</v>
      </c>
      <c r="AU155" s="179">
        <f>SUM(AX155:AZ155)</f>
        <v>7.0000000000000001E-3</v>
      </c>
      <c r="AV155" s="179">
        <f t="shared" si="75"/>
        <v>0</v>
      </c>
      <c r="AW155" s="179">
        <v>7.0000000000000001E-3</v>
      </c>
      <c r="AX155" s="179">
        <v>7.0000000000000001E-3</v>
      </c>
      <c r="AY155" s="180">
        <v>0</v>
      </c>
      <c r="AZ155" s="180">
        <v>0</v>
      </c>
      <c r="BA155" s="179">
        <v>0</v>
      </c>
      <c r="BB155" s="180">
        <v>0</v>
      </c>
      <c r="BC155" s="180">
        <v>0</v>
      </c>
      <c r="BD155" s="180">
        <v>0</v>
      </c>
      <c r="BE155" s="179">
        <f>SUM(BH155:BJ155)</f>
        <v>5.9999999999999995E-4</v>
      </c>
      <c r="BF155" s="179">
        <f t="shared" si="76"/>
        <v>0</v>
      </c>
      <c r="BG155" s="179">
        <v>5.9999999999999995E-4</v>
      </c>
      <c r="BH155" s="179">
        <v>5.9999999999999995E-4</v>
      </c>
      <c r="BI155" s="180">
        <v>0</v>
      </c>
      <c r="BJ155" s="180">
        <v>0</v>
      </c>
      <c r="BK155" s="179">
        <v>0</v>
      </c>
      <c r="BL155" s="180">
        <v>0</v>
      </c>
      <c r="BM155" s="180">
        <v>0</v>
      </c>
      <c r="BN155" s="180">
        <v>0</v>
      </c>
      <c r="BO155" s="179">
        <f>SUM(BR155:BT155)</f>
        <v>5.0000000000000001E-3</v>
      </c>
      <c r="BP155" s="179">
        <f t="shared" si="77"/>
        <v>0</v>
      </c>
      <c r="BQ155" s="179">
        <v>5.0000000000000001E-3</v>
      </c>
      <c r="BR155" s="179">
        <v>5.0000000000000001E-3</v>
      </c>
      <c r="BS155" s="180">
        <v>0</v>
      </c>
      <c r="BT155" s="180">
        <v>0</v>
      </c>
      <c r="BU155" s="179">
        <v>0</v>
      </c>
      <c r="BV155" s="180">
        <v>0</v>
      </c>
      <c r="BW155" s="180">
        <v>0</v>
      </c>
      <c r="BX155" s="180">
        <v>0</v>
      </c>
      <c r="BY155" s="179">
        <f>SUM(CB155:CD155)</f>
        <v>1E-3</v>
      </c>
      <c r="BZ155" s="179">
        <f t="shared" si="78"/>
        <v>0</v>
      </c>
      <c r="CA155" s="179">
        <v>1E-3</v>
      </c>
      <c r="CB155" s="179">
        <v>1E-3</v>
      </c>
      <c r="CC155" s="180">
        <v>0</v>
      </c>
      <c r="CD155" s="180">
        <v>0</v>
      </c>
      <c r="CE155" s="179">
        <v>0</v>
      </c>
      <c r="CF155" s="180">
        <v>0</v>
      </c>
      <c r="CG155" s="180">
        <v>0</v>
      </c>
      <c r="CH155" s="180">
        <v>0</v>
      </c>
      <c r="CI155" s="179">
        <f t="shared" si="79"/>
        <v>0</v>
      </c>
      <c r="CJ155" s="179">
        <f t="shared" si="80"/>
        <v>0</v>
      </c>
      <c r="CK155" s="179"/>
      <c r="CL155" s="179"/>
      <c r="CM155" s="180"/>
      <c r="CN155" s="180"/>
      <c r="CO155" s="179">
        <v>0</v>
      </c>
      <c r="CP155" s="180">
        <v>0</v>
      </c>
      <c r="CQ155" s="180">
        <v>0</v>
      </c>
      <c r="CR155" s="180">
        <v>0</v>
      </c>
      <c r="CS155" s="179">
        <f>SUM(CV155:CX155)</f>
        <v>0</v>
      </c>
      <c r="CT155" s="179">
        <f t="shared" si="81"/>
        <v>0</v>
      </c>
      <c r="CU155" s="179"/>
      <c r="CV155" s="179"/>
      <c r="CW155" s="180"/>
      <c r="CX155" s="180"/>
      <c r="CY155" s="179">
        <v>0</v>
      </c>
      <c r="CZ155" s="180">
        <v>0</v>
      </c>
      <c r="DA155" s="180">
        <v>0</v>
      </c>
      <c r="DB155" s="180">
        <v>0</v>
      </c>
      <c r="DC155" s="179">
        <f>SUM(DF155:DH155)</f>
        <v>0</v>
      </c>
      <c r="DD155" s="179">
        <f t="shared" si="82"/>
        <v>0</v>
      </c>
      <c r="DE155" s="179"/>
      <c r="DF155" s="179"/>
      <c r="DG155" s="180"/>
      <c r="DH155" s="180"/>
      <c r="DI155" s="179">
        <v>0</v>
      </c>
      <c r="DJ155" s="180">
        <v>0</v>
      </c>
      <c r="DK155" s="180">
        <v>0</v>
      </c>
      <c r="DL155" s="180">
        <v>0</v>
      </c>
      <c r="DM155" s="179">
        <f>SUM(DP155:DR155)</f>
        <v>0</v>
      </c>
      <c r="DN155" s="179">
        <f t="shared" si="83"/>
        <v>0</v>
      </c>
      <c r="DO155" s="179"/>
      <c r="DP155" s="179"/>
      <c r="DQ155" s="180"/>
      <c r="DR155" s="180"/>
      <c r="DS155" s="179">
        <v>0</v>
      </c>
      <c r="DT155" s="180">
        <v>0</v>
      </c>
      <c r="DU155" s="180">
        <v>0</v>
      </c>
      <c r="DV155" s="180">
        <v>0</v>
      </c>
      <c r="DW155" s="179">
        <f>SUM(DZ155:EB155)</f>
        <v>0</v>
      </c>
      <c r="DX155" s="179">
        <f t="shared" si="84"/>
        <v>0</v>
      </c>
      <c r="DY155" s="179"/>
      <c r="DZ155" s="179"/>
      <c r="EA155" s="180"/>
      <c r="EB155" s="180"/>
      <c r="EC155" s="179">
        <v>0</v>
      </c>
      <c r="ED155" s="180">
        <v>0</v>
      </c>
      <c r="EE155" s="180">
        <v>0</v>
      </c>
      <c r="EF155" s="180">
        <v>0</v>
      </c>
      <c r="EG155" s="179">
        <f>SUM(EJ155:EL155)</f>
        <v>0</v>
      </c>
      <c r="EH155" s="21">
        <f t="shared" si="85"/>
        <v>0</v>
      </c>
      <c r="EI155" s="70"/>
      <c r="EJ155" s="21"/>
      <c r="EK155" s="60"/>
      <c r="EL155" s="60"/>
      <c r="EM155" s="70">
        <v>0</v>
      </c>
      <c r="EN155" s="60">
        <v>0</v>
      </c>
      <c r="EO155" s="60">
        <v>0</v>
      </c>
      <c r="EP155" s="60">
        <v>0</v>
      </c>
      <c r="EQ155" s="181">
        <v>6.8690328608662287E-3</v>
      </c>
      <c r="ER155" s="21">
        <f ca="1">SUM(ES155:EU155)</f>
        <v>0</v>
      </c>
      <c r="ES155" s="60">
        <f ca="1">SUMIFS(TME_Yesterday[Sell_WHS_QTY],TME_Yesterday[Region],master_Daily!$X155,TME_Yesterday[Brand],master_Daily!$Y155)/50000+$ES$223+$ES$229+$ES$235+$ES$241+$ES$217</f>
        <v>0</v>
      </c>
      <c r="ET155" s="60">
        <f ca="1">(SUMIFS(TME_Yesterday[Sell_RTL_QTY],TME_Yesterday[Region],master_Daily!$X155,TME_Yesterday[Brand],master_Daily!$Y155)/50000)
+SUMIFS($ET$192:$ET$215,$X$192:$X$215,"Local MT",$Y$192:$Y$215,Y154)</f>
        <v>0</v>
      </c>
      <c r="EU155" s="60">
        <f ca="1">SUMIFS(TME_Yesterday[Sell_NEO_QTY],TME_Yesterday[Region],master_Daily!$X155,TME_Yesterday[Brand],master_Daily!$Y155)/50000</f>
        <v>0</v>
      </c>
      <c r="EV155" s="21">
        <f ca="1">SUM(EW155:EY155)</f>
        <v>0</v>
      </c>
      <c r="EW155" s="60">
        <f ca="1">SUMIFS(TME_Yesterday[FOC_WHS_QTY],TME_Yesterday[Region],master_Daily!$X155,TME_Yesterday[Brand],master_Daily!$Y155)/50000</f>
        <v>0</v>
      </c>
      <c r="EX155" s="60">
        <f ca="1">SUMIFS(TME_Yesterday[FOC_RTL_QTY],TME_Yesterday[Region],master_Daily!$X155,TME_Yesterday[Brand],master_Daily!$Y155)/50000</f>
        <v>0</v>
      </c>
      <c r="EY155" s="60">
        <f ca="1">SUMIFS(TME_Yesterday[FOC_NEO_QTY],TME_Yesterday[Region],master_Daily!$X155,TME_Yesterday[Brand],master_Daily!$Y155)/50000</f>
        <v>0</v>
      </c>
      <c r="EZ155" s="60">
        <f ca="1">SUM(FA155:FC155)</f>
        <v>1E-3</v>
      </c>
      <c r="FA155" s="60">
        <f ca="1">SUMIFS(TME_MTD[Sell_WHS_QTY],TME_MTD[Region],master_Daily!$X155,TME_MTD[Brand],master_Daily!$Y155)/50000+$FA$223+$FA$229+$FA$235+$FA$241+$FA$217</f>
        <v>1E-3</v>
      </c>
      <c r="FB155" s="60">
        <f ca="1">SUMIFS(TME_MTD[Sell_RTL_QTY],TME_MTD[Region],master_Daily!$X155,TME_MTD[Brand],master_Daily!$Y155)/50000+$FB$199</f>
        <v>0</v>
      </c>
      <c r="FC155" s="60">
        <f ca="1">SUMIFS(TME_MTD[Sell_NEO_QTY],TME_MTD[Region],master_Daily!$X155,TME_MTD[Brand],master_Daily!$Y155)/50000</f>
        <v>0</v>
      </c>
      <c r="FD155" s="60">
        <f ca="1">SUM(FE155:FG155)</f>
        <v>0</v>
      </c>
      <c r="FE155" s="60">
        <f ca="1">SUMIFS(TME_MTD[FOC_WHS_QTY],TME_MTD[Region],master_Daily!$X155,TME_MTD[Brand],master_Daily!$Y155)/50000</f>
        <v>0</v>
      </c>
      <c r="FF155" s="60">
        <f ca="1">SUMIFS(TME_MTD[FOC_RTL_QTY],TME_MTD[Region],master_Daily!$X155,TME_MTD[Brand],master_Daily!$Y155)/50000</f>
        <v>0</v>
      </c>
      <c r="FG155" s="60">
        <f ca="1">SUMIFS(TME_MTD[FOC_NEO_QTY],TME_MTD[Region],master_Daily!$X155,TME_MTD[Brand],master_Daily!$Y155)/50000</f>
        <v>0</v>
      </c>
      <c r="FH155" s="21">
        <f t="shared" ca="1" si="86"/>
        <v>2.4400000000000002E-2</v>
      </c>
      <c r="FI155" s="21">
        <f t="shared" ca="1" si="86"/>
        <v>2.4400000000000002E-2</v>
      </c>
      <c r="FJ155" s="21">
        <f t="shared" ca="1" si="86"/>
        <v>0</v>
      </c>
      <c r="FK155" s="21">
        <f t="shared" ca="1" si="86"/>
        <v>0</v>
      </c>
      <c r="FL155" s="21">
        <f t="shared" ca="1" si="86"/>
        <v>0</v>
      </c>
      <c r="FM155" s="21">
        <f t="shared" ca="1" si="86"/>
        <v>0</v>
      </c>
      <c r="FN155" s="21">
        <f t="shared" ca="1" si="86"/>
        <v>0</v>
      </c>
      <c r="FO155" s="21">
        <f t="shared" ca="1" si="86"/>
        <v>0</v>
      </c>
      <c r="FP155" s="58">
        <f ca="1">IFERROR(FH155/$FH$159,0)</f>
        <v>6.7721343325006936E-4</v>
      </c>
      <c r="FQ155" s="23">
        <f t="shared" ref="FQ155:FQ181" ca="1" si="87">IFERROR(EZ155/EQ155,0)</f>
        <v>0.14558090203602456</v>
      </c>
      <c r="FR155" s="60">
        <f>SUMIFS(TME_MTD_Dist[Sell_WHS_QTY],TME_MTD_Dist[Region],master_Daily!$X155,TME_MTD_Dist[Brand],master_Daily!$Y155)/50000
 + SUMIFS(TME_MTD_Dist[Sell_RTL_QTY],TME_MTD_Dist[Region],master_Daily!$X155,TME_MTD_Dist[Brand],master_Daily!$Y155)/50000</f>
        <v>0</v>
      </c>
      <c r="FS155" s="23">
        <f t="shared" si="33"/>
        <v>0</v>
      </c>
      <c r="FT155" s="469">
        <v>9.0659452082900909E-4</v>
      </c>
      <c r="FU155" s="289">
        <f>FT155*$FU$159</f>
        <v>8.0049433259135726E-3</v>
      </c>
    </row>
    <row r="156" spans="2:178" ht="15.75" customHeight="1" outlineLevel="1">
      <c r="B156" s="73" t="s">
        <v>191</v>
      </c>
      <c r="C156" s="74" t="s">
        <v>46</v>
      </c>
      <c r="D156" s="74"/>
      <c r="E156" s="60">
        <v>24.368459999999999</v>
      </c>
      <c r="F156" s="60">
        <v>20.55904</v>
      </c>
      <c r="G156" s="60">
        <v>21.349139999999998</v>
      </c>
      <c r="H156" s="60">
        <v>20.848939999999999</v>
      </c>
      <c r="I156" s="60">
        <v>20.419619999999998</v>
      </c>
      <c r="J156" s="60">
        <v>11.38992</v>
      </c>
      <c r="K156" s="60"/>
      <c r="L156" s="60"/>
      <c r="M156" s="60"/>
      <c r="N156" s="60"/>
      <c r="O156" s="60"/>
      <c r="P156" s="60"/>
      <c r="Q156" s="422">
        <v>17.502272857950842</v>
      </c>
      <c r="R156" s="72">
        <f>IFERROR(SUMIFS(Daily_Vol_yesterday[Order Quantity],Daily_Vol_yesterday[Cust_Cat.cust_channel],master_Daily!B156,Daily_Vol_yesterday[Map_Product.TME_Brand],master_Daily!C156)/50000,0)</f>
        <v>0.34</v>
      </c>
      <c r="S156" s="60">
        <f>IFERROR(SUM(SUMIFS(Weekly_Vol[Quantity],Weekly_Vol[Cust_Cat.cust_channel],master_Daily!B156,Weekly_Vol[Map_Product.TME_Brand],master_Daily!C156),SUMIFS(Daily_Vol[Order Quantity],Daily_Vol[Cust_Cat.cust_channel],master_Daily!B156,Daily_Vol[Map_Product.TME_Brand],master_Daily!C156))/50000,0)</f>
        <v>11.38992</v>
      </c>
      <c r="T156" s="57">
        <f>SUM(E156:P156)</f>
        <v>118.93511999999998</v>
      </c>
      <c r="U156" s="61">
        <f>IFERROR(T156/$T$159,0)</f>
        <v>0.23324758998325423</v>
      </c>
      <c r="V156" s="62">
        <f t="shared" si="28"/>
        <v>0.65076805123774806</v>
      </c>
      <c r="X156" s="20" t="s">
        <v>124</v>
      </c>
      <c r="Y156" s="20" t="s">
        <v>46</v>
      </c>
      <c r="Z156" s="20"/>
      <c r="AA156" s="179">
        <f>SUM(AD156:AF156)</f>
        <v>1.4687999999999999</v>
      </c>
      <c r="AB156" s="179">
        <f>SUM(AH156:AJ156)</f>
        <v>0</v>
      </c>
      <c r="AC156" s="179">
        <v>1.4687999999999999</v>
      </c>
      <c r="AD156" s="179">
        <v>1.4687999999999999</v>
      </c>
      <c r="AE156" s="180">
        <v>0</v>
      </c>
      <c r="AF156" s="180">
        <v>0</v>
      </c>
      <c r="AG156" s="179">
        <v>0</v>
      </c>
      <c r="AH156" s="180">
        <v>0</v>
      </c>
      <c r="AI156" s="180">
        <v>0</v>
      </c>
      <c r="AJ156" s="180">
        <v>0</v>
      </c>
      <c r="AK156" s="179">
        <f>SUM(AN156:AP156)</f>
        <v>1.0661999999999998</v>
      </c>
      <c r="AL156" s="179">
        <f>SUM(AR156:AT156)</f>
        <v>0</v>
      </c>
      <c r="AM156" s="179">
        <v>1.0661999999999998</v>
      </c>
      <c r="AN156" s="179">
        <v>1.0661999999999998</v>
      </c>
      <c r="AO156" s="180">
        <v>0</v>
      </c>
      <c r="AP156" s="180">
        <v>0</v>
      </c>
      <c r="AQ156" s="179">
        <v>0</v>
      </c>
      <c r="AR156" s="180">
        <v>0</v>
      </c>
      <c r="AS156" s="180">
        <v>0</v>
      </c>
      <c r="AT156" s="180">
        <v>0</v>
      </c>
      <c r="AU156" s="179">
        <f>SUM(AX156:AZ156)</f>
        <v>1.19</v>
      </c>
      <c r="AV156" s="179">
        <f t="shared" si="75"/>
        <v>0</v>
      </c>
      <c r="AW156" s="179">
        <v>1.19</v>
      </c>
      <c r="AX156" s="179">
        <v>1.19</v>
      </c>
      <c r="AY156" s="180">
        <v>0</v>
      </c>
      <c r="AZ156" s="180">
        <v>0</v>
      </c>
      <c r="BA156" s="179">
        <v>0</v>
      </c>
      <c r="BB156" s="180">
        <v>0</v>
      </c>
      <c r="BC156" s="180">
        <v>0</v>
      </c>
      <c r="BD156" s="180">
        <v>0</v>
      </c>
      <c r="BE156" s="179">
        <f>SUM(BH156:BJ156)</f>
        <v>0.82400000000000007</v>
      </c>
      <c r="BF156" s="179">
        <f t="shared" si="76"/>
        <v>0</v>
      </c>
      <c r="BG156" s="179">
        <v>0.82400000000000007</v>
      </c>
      <c r="BH156" s="179">
        <v>0.82400000000000007</v>
      </c>
      <c r="BI156" s="180">
        <v>0</v>
      </c>
      <c r="BJ156" s="180">
        <v>0</v>
      </c>
      <c r="BK156" s="179">
        <v>0</v>
      </c>
      <c r="BL156" s="180">
        <v>0</v>
      </c>
      <c r="BM156" s="180">
        <v>0</v>
      </c>
      <c r="BN156" s="180">
        <v>0</v>
      </c>
      <c r="BO156" s="179">
        <f>SUM(BR156:BT156)</f>
        <v>1.395</v>
      </c>
      <c r="BP156" s="179">
        <f t="shared" si="77"/>
        <v>0</v>
      </c>
      <c r="BQ156" s="179">
        <v>1.395</v>
      </c>
      <c r="BR156" s="179">
        <v>1.395</v>
      </c>
      <c r="BS156" s="180">
        <v>0</v>
      </c>
      <c r="BT156" s="180">
        <v>0</v>
      </c>
      <c r="BU156" s="179">
        <v>0</v>
      </c>
      <c r="BV156" s="180">
        <v>0</v>
      </c>
      <c r="BW156" s="180">
        <v>0</v>
      </c>
      <c r="BX156" s="180">
        <v>0</v>
      </c>
      <c r="BY156" s="179">
        <f>SUM(CB156:CD156)</f>
        <v>0.23</v>
      </c>
      <c r="BZ156" s="179">
        <f t="shared" si="78"/>
        <v>0</v>
      </c>
      <c r="CA156" s="179">
        <v>0.23</v>
      </c>
      <c r="CB156" s="179">
        <v>0.23</v>
      </c>
      <c r="CC156" s="180">
        <v>0</v>
      </c>
      <c r="CD156" s="180">
        <v>0</v>
      </c>
      <c r="CE156" s="179">
        <v>0</v>
      </c>
      <c r="CF156" s="180">
        <v>0</v>
      </c>
      <c r="CG156" s="180">
        <v>0</v>
      </c>
      <c r="CH156" s="180">
        <v>0</v>
      </c>
      <c r="CI156" s="179">
        <f t="shared" si="79"/>
        <v>0</v>
      </c>
      <c r="CJ156" s="179">
        <f t="shared" si="80"/>
        <v>0</v>
      </c>
      <c r="CK156" s="179"/>
      <c r="CL156" s="179"/>
      <c r="CM156" s="180"/>
      <c r="CN156" s="180"/>
      <c r="CO156" s="179">
        <v>0</v>
      </c>
      <c r="CP156" s="180">
        <v>0</v>
      </c>
      <c r="CQ156" s="180">
        <v>0</v>
      </c>
      <c r="CR156" s="180">
        <v>0</v>
      </c>
      <c r="CS156" s="179">
        <f>SUM(CV156:CX156)</f>
        <v>0</v>
      </c>
      <c r="CT156" s="179">
        <f t="shared" si="81"/>
        <v>0</v>
      </c>
      <c r="CU156" s="179"/>
      <c r="CV156" s="179"/>
      <c r="CW156" s="180"/>
      <c r="CX156" s="180"/>
      <c r="CY156" s="179">
        <v>0</v>
      </c>
      <c r="CZ156" s="180">
        <v>0</v>
      </c>
      <c r="DA156" s="180">
        <v>0</v>
      </c>
      <c r="DB156" s="180">
        <v>0</v>
      </c>
      <c r="DC156" s="179">
        <f>SUM(DF156:DH156)</f>
        <v>0</v>
      </c>
      <c r="DD156" s="179">
        <f t="shared" si="82"/>
        <v>0</v>
      </c>
      <c r="DE156" s="179"/>
      <c r="DF156" s="179"/>
      <c r="DG156" s="180"/>
      <c r="DH156" s="180"/>
      <c r="DI156" s="179">
        <v>0</v>
      </c>
      <c r="DJ156" s="180">
        <v>0</v>
      </c>
      <c r="DK156" s="180">
        <v>0</v>
      </c>
      <c r="DL156" s="180">
        <v>0</v>
      </c>
      <c r="DM156" s="179">
        <f>SUM(DP156:DR156)</f>
        <v>0</v>
      </c>
      <c r="DN156" s="179">
        <f t="shared" si="83"/>
        <v>0</v>
      </c>
      <c r="DO156" s="179"/>
      <c r="DP156" s="179"/>
      <c r="DQ156" s="180"/>
      <c r="DR156" s="180"/>
      <c r="DS156" s="179">
        <v>0</v>
      </c>
      <c r="DT156" s="180">
        <v>0</v>
      </c>
      <c r="DU156" s="180">
        <v>0</v>
      </c>
      <c r="DV156" s="180">
        <v>0</v>
      </c>
      <c r="DW156" s="179">
        <f>SUM(DZ156:EB156)</f>
        <v>0</v>
      </c>
      <c r="DX156" s="179">
        <f t="shared" si="84"/>
        <v>0</v>
      </c>
      <c r="DY156" s="179"/>
      <c r="DZ156" s="179"/>
      <c r="EA156" s="180"/>
      <c r="EB156" s="180"/>
      <c r="EC156" s="179">
        <v>0</v>
      </c>
      <c r="ED156" s="180">
        <v>0</v>
      </c>
      <c r="EE156" s="180">
        <v>0</v>
      </c>
      <c r="EF156" s="180">
        <v>0</v>
      </c>
      <c r="EG156" s="179">
        <f>SUM(EJ156:EL156)</f>
        <v>0</v>
      </c>
      <c r="EH156" s="21">
        <f t="shared" si="85"/>
        <v>0</v>
      </c>
      <c r="EI156" s="70"/>
      <c r="EJ156" s="21"/>
      <c r="EK156" s="60"/>
      <c r="EL156" s="60"/>
      <c r="EM156" s="70">
        <v>0</v>
      </c>
      <c r="EN156" s="60">
        <v>0</v>
      </c>
      <c r="EO156" s="60">
        <v>0</v>
      </c>
      <c r="EP156" s="60">
        <v>0</v>
      </c>
      <c r="EQ156" s="181">
        <v>1.1554011543478864</v>
      </c>
      <c r="ER156" s="21">
        <f ca="1">SUM(ES156:EU156)</f>
        <v>0.08</v>
      </c>
      <c r="ES156" s="60">
        <f ca="1">SUMIFS(TME_Yesterday[Sell_WHS_QTY],TME_Yesterday[Region],master_Daily!$X156,TME_Yesterday[Brand],master_Daily!$Y156)/50000+$ES$224+$ES$230+$ES$236+$ES$242+$ES$218</f>
        <v>0.08</v>
      </c>
      <c r="ET156" s="60">
        <f ca="1">(SUMIFS(TME_Yesterday[Sell_RTL_QTY],TME_Yesterday[Region],master_Daily!$X156,TME_Yesterday[Brand],master_Daily!$Y156)/50000)
+SUMIFS($ET$192:$ET$215,$X$192:$X$215,"Local MT",$Y$192:$Y$215,Y154)</f>
        <v>0</v>
      </c>
      <c r="EU156" s="60">
        <f ca="1">SUMIFS(TME_Yesterday[Sell_NEO_QTY],TME_Yesterday[Region],master_Daily!$X156,TME_Yesterday[Brand],master_Daily!$Y156)/50000</f>
        <v>0</v>
      </c>
      <c r="EV156" s="21">
        <f ca="1">SUM(EW156:EY156)</f>
        <v>0</v>
      </c>
      <c r="EW156" s="60">
        <f ca="1">SUMIFS(TME_Yesterday[FOC_WHS_QTY],TME_Yesterday[Region],master_Daily!$X156,TME_Yesterday[Brand],master_Daily!$Y156)/50000</f>
        <v>0</v>
      </c>
      <c r="EX156" s="60">
        <f ca="1">SUMIFS(TME_Yesterday[FOC_RTL_QTY],TME_Yesterday[Region],master_Daily!$X156,TME_Yesterday[Brand],master_Daily!$Y156)/50000</f>
        <v>0</v>
      </c>
      <c r="EY156" s="60">
        <f ca="1">SUMIFS(TME_Yesterday[FOC_NEO_QTY],TME_Yesterday[Region],master_Daily!$X156,TME_Yesterday[Brand],master_Daily!$Y156)/50000</f>
        <v>0</v>
      </c>
      <c r="EZ156" s="60">
        <f ca="1">SUM(FA156:FC156)</f>
        <v>0.23</v>
      </c>
      <c r="FA156" s="60">
        <f ca="1">SUMIFS(TME_MTD[Sell_WHS_QTY],TME_MTD[Region],master_Daily!$X156,TME_MTD[Brand],master_Daily!$Y156)/50000+$FA$224+$FA$230+$FA$236+$FA$242+$FA$218</f>
        <v>0.23</v>
      </c>
      <c r="FB156" s="60">
        <f ca="1">SUMIFS(TME_MTD[Sell_RTL_QTY],TME_MTD[Region],master_Daily!$X156,TME_MTD[Brand],master_Daily!$Y156)/50000+$FB$200</f>
        <v>0</v>
      </c>
      <c r="FC156" s="60">
        <f ca="1">SUMIFS(TME_MTD[Sell_NEO_QTY],TME_MTD[Region],master_Daily!$X156,TME_MTD[Brand],master_Daily!$Y156)/50000</f>
        <v>0</v>
      </c>
      <c r="FD156" s="60">
        <f ca="1">SUM(FE156:FG156)</f>
        <v>0</v>
      </c>
      <c r="FE156" s="60">
        <f ca="1">SUMIFS(TME_MTD[FOC_WHS_QTY],TME_MTD[Region],master_Daily!$X156,TME_MTD[Brand],master_Daily!$Y156)/50000</f>
        <v>0</v>
      </c>
      <c r="FF156" s="60">
        <f ca="1">SUMIFS(TME_MTD[FOC_RTL_QTY],TME_MTD[Region],master_Daily!$X156,TME_MTD[Brand],master_Daily!$Y156)/50000</f>
        <v>0</v>
      </c>
      <c r="FG156" s="60">
        <f ca="1">SUMIFS(TME_MTD[FOC_NEO_QTY],TME_MTD[Region],master_Daily!$X156,TME_MTD[Brand],master_Daily!$Y156)/50000</f>
        <v>0</v>
      </c>
      <c r="FH156" s="21">
        <f t="shared" ca="1" si="86"/>
        <v>6.1739999999999995</v>
      </c>
      <c r="FI156" s="21">
        <f t="shared" ca="1" si="86"/>
        <v>6.1739999999999995</v>
      </c>
      <c r="FJ156" s="21">
        <f t="shared" ca="1" si="86"/>
        <v>0</v>
      </c>
      <c r="FK156" s="21">
        <f t="shared" ca="1" si="86"/>
        <v>0</v>
      </c>
      <c r="FL156" s="21">
        <f t="shared" ca="1" si="86"/>
        <v>0</v>
      </c>
      <c r="FM156" s="21">
        <f t="shared" ca="1" si="86"/>
        <v>0</v>
      </c>
      <c r="FN156" s="21">
        <f t="shared" ca="1" si="86"/>
        <v>0</v>
      </c>
      <c r="FO156" s="21">
        <f t="shared" ca="1" si="86"/>
        <v>0</v>
      </c>
      <c r="FP156" s="58">
        <f ca="1">IFERROR(FH156/$FH$159,0)</f>
        <v>0.17135720233139048</v>
      </c>
      <c r="FQ156" s="23">
        <f t="shared" ca="1" si="87"/>
        <v>0.19906505990104628</v>
      </c>
      <c r="FR156" s="60">
        <f>SUMIFS(TME_MTD_Dist[Sell_WHS_QTY],TME_MTD_Dist[Region],master_Daily!$X156,TME_MTD_Dist[Brand],master_Daily!$Y156)/50000
 + SUMIFS(TME_MTD_Dist[Sell_RTL_QTY],TME_MTD_Dist[Region],master_Daily!$X156,TME_MTD_Dist[Brand],master_Daily!$Y156)/50000</f>
        <v>0</v>
      </c>
      <c r="FS156" s="23">
        <f t="shared" si="33"/>
        <v>0</v>
      </c>
      <c r="FT156" s="469">
        <v>0.20994820482356</v>
      </c>
      <c r="FU156" s="289">
        <f>FT156*$FU$159</f>
        <v>1.8537763491589327</v>
      </c>
    </row>
    <row r="157" spans="2:178" ht="15" customHeight="1" outlineLevel="1">
      <c r="B157" s="73" t="s">
        <v>191</v>
      </c>
      <c r="C157" s="74" t="s">
        <v>263</v>
      </c>
      <c r="D157" s="74"/>
      <c r="E157" s="60">
        <v>51.236060000000002</v>
      </c>
      <c r="F157" s="60">
        <v>45.39772</v>
      </c>
      <c r="G157" s="60">
        <v>49.978659999999998</v>
      </c>
      <c r="H157" s="60">
        <v>46.987400000000001</v>
      </c>
      <c r="I157" s="60">
        <v>43.898820000000001</v>
      </c>
      <c r="J157" s="60">
        <v>23.45966</v>
      </c>
      <c r="K157" s="60"/>
      <c r="L157" s="60"/>
      <c r="M157" s="60"/>
      <c r="N157" s="60"/>
      <c r="O157" s="60"/>
      <c r="P157" s="60"/>
      <c r="Q157" s="422">
        <v>39.373141553626269</v>
      </c>
      <c r="R157" s="72">
        <f>IFERROR(SUMIFS(Daily_Vol_yesterday[Order Quantity],Daily_Vol_yesterday[Cust_Cat.cust_channel],master_Daily!B157,Daily_Vol_yesterday[Map_Product.TME_Brand],"CM")/50000,0)</f>
        <v>0.66</v>
      </c>
      <c r="S157" s="60">
        <f>IFERROR(SUM(SUMIFS(Weekly_Vol[Quantity],Weekly_Vol[Cust_Cat.cust_channel],master_Daily!B157,Weekly_Vol[Map_Product.TME_Brand],"CM"),SUMIFS(Daily_Vol[Order Quantity],Daily_Vol[Cust_Cat.cust_channel],master_Daily!B157,Daily_Vol[Map_Product.TME_Brand],"CM"))/50000,0)</f>
        <v>23.45966</v>
      </c>
      <c r="T157" s="57">
        <f t="shared" si="74"/>
        <v>260.95832000000001</v>
      </c>
      <c r="U157" s="61">
        <f>IFERROR(T157/$T$159,0)</f>
        <v>0.511773975812013</v>
      </c>
      <c r="V157" s="62">
        <f t="shared" si="28"/>
        <v>0.59582901120673626</v>
      </c>
      <c r="X157" s="20" t="s">
        <v>124</v>
      </c>
      <c r="Y157" s="20" t="s">
        <v>263</v>
      </c>
      <c r="Z157" s="20"/>
      <c r="AA157" s="179">
        <f>SUM(AD157:AF157)</f>
        <v>5.1135999999999999</v>
      </c>
      <c r="AB157" s="179">
        <f>SUM(AH157:AJ157)</f>
        <v>0</v>
      </c>
      <c r="AC157" s="179">
        <v>5.1135999999999999</v>
      </c>
      <c r="AD157" s="179">
        <v>5.1135999999999999</v>
      </c>
      <c r="AE157" s="180">
        <v>0</v>
      </c>
      <c r="AF157" s="180">
        <v>0</v>
      </c>
      <c r="AG157" s="179">
        <v>0</v>
      </c>
      <c r="AH157" s="180">
        <v>0</v>
      </c>
      <c r="AI157" s="180">
        <v>0</v>
      </c>
      <c r="AJ157" s="180">
        <v>0</v>
      </c>
      <c r="AK157" s="179">
        <f>SUM(AN157:AP157)</f>
        <v>4.3179999999999996</v>
      </c>
      <c r="AL157" s="179">
        <f>SUM(AR157:AT157)</f>
        <v>0</v>
      </c>
      <c r="AM157" s="179">
        <v>4.3179999999999996</v>
      </c>
      <c r="AN157" s="179">
        <v>4.3179999999999996</v>
      </c>
      <c r="AO157" s="180">
        <v>0</v>
      </c>
      <c r="AP157" s="180">
        <v>0</v>
      </c>
      <c r="AQ157" s="179">
        <v>0</v>
      </c>
      <c r="AR157" s="180">
        <v>0</v>
      </c>
      <c r="AS157" s="180">
        <v>0</v>
      </c>
      <c r="AT157" s="180">
        <v>0</v>
      </c>
      <c r="AU157" s="179">
        <f>SUM(AX157:AZ157)</f>
        <v>5.2730000000000006</v>
      </c>
      <c r="AV157" s="179">
        <f t="shared" si="75"/>
        <v>0</v>
      </c>
      <c r="AW157" s="179">
        <v>5.2730000000000006</v>
      </c>
      <c r="AX157" s="179">
        <v>5.2730000000000006</v>
      </c>
      <c r="AY157" s="180">
        <v>0</v>
      </c>
      <c r="AZ157" s="180">
        <v>0</v>
      </c>
      <c r="BA157" s="179">
        <v>0</v>
      </c>
      <c r="BB157" s="180">
        <v>0</v>
      </c>
      <c r="BC157" s="180">
        <v>0</v>
      </c>
      <c r="BD157" s="180">
        <v>0</v>
      </c>
      <c r="BE157" s="179">
        <f>SUM(BH157:BJ157)</f>
        <v>3.5680000000000001</v>
      </c>
      <c r="BF157" s="179">
        <f t="shared" si="76"/>
        <v>0</v>
      </c>
      <c r="BG157" s="179">
        <v>3.5680000000000001</v>
      </c>
      <c r="BH157" s="179">
        <v>3.5680000000000001</v>
      </c>
      <c r="BI157" s="180">
        <v>0</v>
      </c>
      <c r="BJ157" s="180">
        <v>0</v>
      </c>
      <c r="BK157" s="179">
        <v>0</v>
      </c>
      <c r="BL157" s="180">
        <v>0</v>
      </c>
      <c r="BM157" s="180">
        <v>0</v>
      </c>
      <c r="BN157" s="180">
        <v>0</v>
      </c>
      <c r="BO157" s="179">
        <f>SUM(BR157:BT157)</f>
        <v>4.9000000000000004</v>
      </c>
      <c r="BP157" s="179">
        <f t="shared" si="77"/>
        <v>0</v>
      </c>
      <c r="BQ157" s="179">
        <v>4.9000000000000004</v>
      </c>
      <c r="BR157" s="179">
        <v>4.9000000000000004</v>
      </c>
      <c r="BS157" s="180">
        <v>0</v>
      </c>
      <c r="BT157" s="180">
        <v>0</v>
      </c>
      <c r="BU157" s="179">
        <v>0</v>
      </c>
      <c r="BV157" s="180">
        <v>0</v>
      </c>
      <c r="BW157" s="180">
        <v>0</v>
      </c>
      <c r="BX157" s="180">
        <v>0</v>
      </c>
      <c r="BY157" s="179">
        <f>SUM(CB157:CD157)</f>
        <v>1.2229999999999999</v>
      </c>
      <c r="BZ157" s="179">
        <f t="shared" si="78"/>
        <v>0</v>
      </c>
      <c r="CA157" s="179">
        <v>1.2229999999999999</v>
      </c>
      <c r="CB157" s="179">
        <v>1.2229999999999999</v>
      </c>
      <c r="CC157" s="180">
        <v>0</v>
      </c>
      <c r="CD157" s="180">
        <v>0</v>
      </c>
      <c r="CE157" s="179">
        <v>0</v>
      </c>
      <c r="CF157" s="180">
        <v>0</v>
      </c>
      <c r="CG157" s="180">
        <v>0</v>
      </c>
      <c r="CH157" s="180">
        <v>0</v>
      </c>
      <c r="CI157" s="179">
        <f t="shared" si="79"/>
        <v>0</v>
      </c>
      <c r="CJ157" s="179">
        <f t="shared" si="80"/>
        <v>0</v>
      </c>
      <c r="CK157" s="179"/>
      <c r="CL157" s="179"/>
      <c r="CM157" s="180"/>
      <c r="CN157" s="180"/>
      <c r="CO157" s="179">
        <v>0</v>
      </c>
      <c r="CP157" s="180">
        <v>0</v>
      </c>
      <c r="CQ157" s="180">
        <v>0</v>
      </c>
      <c r="CR157" s="180">
        <v>0</v>
      </c>
      <c r="CS157" s="179">
        <f>SUM(CV157:CX157)</f>
        <v>0</v>
      </c>
      <c r="CT157" s="179">
        <f t="shared" si="81"/>
        <v>0</v>
      </c>
      <c r="CU157" s="179"/>
      <c r="CV157" s="179"/>
      <c r="CW157" s="180"/>
      <c r="CX157" s="180"/>
      <c r="CY157" s="179">
        <v>0</v>
      </c>
      <c r="CZ157" s="180">
        <v>0</v>
      </c>
      <c r="DA157" s="180">
        <v>0</v>
      </c>
      <c r="DB157" s="180">
        <v>0</v>
      </c>
      <c r="DC157" s="179">
        <f>SUM(DF157:DH157)</f>
        <v>0</v>
      </c>
      <c r="DD157" s="179">
        <f t="shared" si="82"/>
        <v>0</v>
      </c>
      <c r="DE157" s="179"/>
      <c r="DF157" s="179"/>
      <c r="DG157" s="180"/>
      <c r="DH157" s="180"/>
      <c r="DI157" s="179">
        <v>0</v>
      </c>
      <c r="DJ157" s="180">
        <v>0</v>
      </c>
      <c r="DK157" s="180">
        <v>0</v>
      </c>
      <c r="DL157" s="180">
        <v>0</v>
      </c>
      <c r="DM157" s="179">
        <f>SUM(DP157:DR157)</f>
        <v>0</v>
      </c>
      <c r="DN157" s="179">
        <f t="shared" si="83"/>
        <v>0</v>
      </c>
      <c r="DO157" s="179"/>
      <c r="DP157" s="179"/>
      <c r="DQ157" s="180"/>
      <c r="DR157" s="180"/>
      <c r="DS157" s="179">
        <v>0</v>
      </c>
      <c r="DT157" s="180">
        <v>0</v>
      </c>
      <c r="DU157" s="180">
        <v>0</v>
      </c>
      <c r="DV157" s="180">
        <v>0</v>
      </c>
      <c r="DW157" s="179">
        <f>SUM(DZ157:EB157)</f>
        <v>0</v>
      </c>
      <c r="DX157" s="179">
        <f t="shared" si="84"/>
        <v>0</v>
      </c>
      <c r="DY157" s="179"/>
      <c r="DZ157" s="179"/>
      <c r="EA157" s="180"/>
      <c r="EB157" s="180"/>
      <c r="EC157" s="179">
        <v>0</v>
      </c>
      <c r="ED157" s="180">
        <v>0</v>
      </c>
      <c r="EE157" s="180">
        <v>0</v>
      </c>
      <c r="EF157" s="180">
        <v>0</v>
      </c>
      <c r="EG157" s="179">
        <f>SUM(EJ157:EL157)</f>
        <v>0</v>
      </c>
      <c r="EH157" s="21">
        <f t="shared" si="85"/>
        <v>0</v>
      </c>
      <c r="EI157" s="70"/>
      <c r="EJ157" s="21"/>
      <c r="EK157" s="60"/>
      <c r="EL157" s="60"/>
      <c r="EM157" s="70">
        <v>0</v>
      </c>
      <c r="EN157" s="60">
        <v>0</v>
      </c>
      <c r="EO157" s="60">
        <v>0</v>
      </c>
      <c r="EP157" s="60">
        <v>0</v>
      </c>
      <c r="EQ157" s="181">
        <v>5.0333248381982179</v>
      </c>
      <c r="ER157" s="21">
        <f ca="1">SUM(ES157:EU157)</f>
        <v>0.28000000000000003</v>
      </c>
      <c r="ES157" s="60">
        <f ca="1">SUMIFS(TME_Yesterday[Sell_WHS_QTY],TME_Yesterday[Region],master_Daily!$X157,TME_Yesterday[Brand],"CM")/50000+$ES$225+$ES$231+$ES$237+$ES$243+$ES$219</f>
        <v>0.28000000000000003</v>
      </c>
      <c r="ET157" s="60">
        <f ca="1">(SUMIFS(TME_Yesterday[Sell_RTL_QTY],TME_Yesterday[Region],master_Daily!$X157,TME_Yesterday[Brand],"CM")/50000)
+SUMIFS($ET$192:$ET$215,$X$192:$X$215,"Local MT",$Y$192:$Y$215,Y154)</f>
        <v>0</v>
      </c>
      <c r="EU157" s="60">
        <f ca="1">SUMIFS(TME_Yesterday[Sell_NEO_QTY],TME_Yesterday[Region],master_Daily!$X157,TME_Yesterday[Brand],"CM")/50000</f>
        <v>0</v>
      </c>
      <c r="EV157" s="21">
        <f ca="1">SUM(EW157:EY157)</f>
        <v>0</v>
      </c>
      <c r="EW157" s="60">
        <f ca="1">SUMIFS(TME_Yesterday[FOC_WHS_QTY],TME_Yesterday[Region],master_Daily!$X157,TME_Yesterday[Brand],"CM")/50000</f>
        <v>0</v>
      </c>
      <c r="EX157" s="60">
        <f ca="1">SUMIFS(TME_Yesterday[FOC_RTL_QTY],TME_Yesterday[Region],master_Daily!$X157,TME_Yesterday[Brand],"CM")/50000</f>
        <v>0</v>
      </c>
      <c r="EY157" s="60">
        <f ca="1">SUMIFS(TME_Yesterday[FOC_NEO_QTY],TME_Yesterday[Region],master_Daily!$X157,TME_Yesterday[Brand],"CM")/50000</f>
        <v>0</v>
      </c>
      <c r="EZ157" s="60">
        <f ca="1">SUM(FA157:FC157)</f>
        <v>1.2229999999999999</v>
      </c>
      <c r="FA157" s="60">
        <f ca="1">SUMIFS(TME_MTD[Sell_WHS_QTY],TME_MTD[Region],master_Daily!$X157,TME_MTD[Brand],"CM")/50000+$FA$225+$FA$231+$FA$237+$FA$243+$FA$219</f>
        <v>1.2229999999999999</v>
      </c>
      <c r="FB157" s="60">
        <f ca="1">SUMIFS(TME_MTD[Sell_RTL_QTY],TME_MTD[Region],master_Daily!$X157,TME_MTD[Brand],"CM")/50000+$FB$201</f>
        <v>0</v>
      </c>
      <c r="FC157" s="60">
        <f ca="1">SUMIFS(TME_MTD[Sell_NEO_QTY],TME_MTD[Region],master_Daily!$X157,TME_MTD[Brand],"CM")/50000</f>
        <v>0</v>
      </c>
      <c r="FD157" s="60">
        <f ca="1">SUM(FE157:FG157)</f>
        <v>0</v>
      </c>
      <c r="FE157" s="60">
        <f ca="1">SUMIFS(TME_MTD[FOC_WHS_QTY],TME_MTD[Region],master_Daily!$X157,TME_MTD[Brand],"CM")/50000</f>
        <v>0</v>
      </c>
      <c r="FF157" s="60">
        <f ca="1">SUMIFS(TME_MTD[FOC_RTL_QTY],TME_MTD[Region],master_Daily!$X157,TME_MTD[Brand],"CM")/50000</f>
        <v>0</v>
      </c>
      <c r="FG157" s="60">
        <f ca="1">SUMIFS(TME_MTD[FOC_NEO_QTY],TME_MTD[Region],master_Daily!$X157,TME_MTD[Brand],"CM")/50000</f>
        <v>0</v>
      </c>
      <c r="FH157" s="21">
        <f t="shared" ref="FH157:FK158" ca="1" si="88">SUMIFS($AA157:$EP157,$AA$129:$EP$129,INDIRECT(ADDRESS(129,COLUMN())))</f>
        <v>24.395600000000002</v>
      </c>
      <c r="FI157" s="21">
        <f t="shared" ca="1" si="88"/>
        <v>24.395600000000002</v>
      </c>
      <c r="FJ157" s="21">
        <f t="shared" ca="1" si="88"/>
        <v>0</v>
      </c>
      <c r="FK157" s="21">
        <f t="shared" ca="1" si="88"/>
        <v>0</v>
      </c>
      <c r="FL157" s="21">
        <f t="shared" ref="FL157:FO158" si="89">SUMIFS(AE157:ET157,$AA$129:$EP$129,$FH$129)</f>
        <v>0</v>
      </c>
      <c r="FM157" s="21">
        <f t="shared" si="89"/>
        <v>0</v>
      </c>
      <c r="FN157" s="21">
        <f t="shared" si="89"/>
        <v>0</v>
      </c>
      <c r="FO157" s="21">
        <f t="shared" si="89"/>
        <v>0</v>
      </c>
      <c r="FP157" s="58">
        <f ca="1">IFERROR(FH157/$FH$159,0)</f>
        <v>0.67709131279489321</v>
      </c>
      <c r="FQ157" s="23">
        <f t="shared" ca="1" si="87"/>
        <v>0.2429805425468621</v>
      </c>
      <c r="FR157" s="60">
        <f>SUMIFS(TME_MTD_Dist[Sell_WHS_QTY],TME_MTD_Dist[Region],master_Daily!$X157,TME_MTD_Dist[Brand],master_Daily!$Y157)/50000
 + SUMIFS(TME_MTD_Dist[Sell_RTL_QTY],TME_MTD_Dist[Region],master_Daily!$X157,TME_MTD_Dist[Brand],master_Daily!$Y157)/50000</f>
        <v>0</v>
      </c>
      <c r="FS157" s="23">
        <f t="shared" si="33"/>
        <v>0</v>
      </c>
      <c r="FT157" s="469">
        <v>0.67744559836431273</v>
      </c>
      <c r="FU157" s="289">
        <f>FT157*$FU$159</f>
        <v>5.9816307033679248</v>
      </c>
      <c r="FV157" s="289">
        <f>FU157+FU158</f>
        <v>6.8684730956774924</v>
      </c>
    </row>
    <row r="158" spans="2:178" ht="15" customHeight="1" outlineLevel="1">
      <c r="B158" s="73" t="s">
        <v>191</v>
      </c>
      <c r="C158" s="148" t="s">
        <v>264</v>
      </c>
      <c r="D158" s="148"/>
      <c r="E158" s="60">
        <v>14.843540000000001</v>
      </c>
      <c r="F158" s="60">
        <v>13.52998</v>
      </c>
      <c r="G158" s="60">
        <v>15.966839999999999</v>
      </c>
      <c r="H158" s="60">
        <v>17.837900000000001</v>
      </c>
      <c r="I158" s="60">
        <v>17.392340000000001</v>
      </c>
      <c r="J158" s="60">
        <v>9.3897600000000008</v>
      </c>
      <c r="K158" s="60"/>
      <c r="L158" s="60"/>
      <c r="M158" s="60"/>
      <c r="N158" s="60"/>
      <c r="O158" s="60"/>
      <c r="P158" s="60"/>
      <c r="Q158" s="422">
        <v>14.310095447299059</v>
      </c>
      <c r="R158" s="72">
        <f>IFERROR(SUMIFS(Daily_Vol_yesterday[Order Quantity],Daily_Vol_yesterday[Cust_Cat.cust_channel],master_Daily!B158,Daily_Vol_yesterday[Map_Product.TME_Brand],"CMHD")/50000,0)</f>
        <v>0.2</v>
      </c>
      <c r="S158" s="60">
        <f>IFERROR(SUM(SUMIFS(Weekly_Vol[Quantity],Weekly_Vol[Cust_Cat.cust_channel],master_Daily!B158,Weekly_Vol[Map_Product.TME_Brand],"CMHD"),SUMIFS(Daily_Vol[Order Quantity],Daily_Vol[Cust_Cat.cust_channel],master_Daily!B158,Daily_Vol[Map_Product.TME_Brand],"CMHD"))/50000,0)</f>
        <v>9.3897600000000008</v>
      </c>
      <c r="T158" s="57">
        <f>SUM(E158:P158)</f>
        <v>88.960359999999994</v>
      </c>
      <c r="U158" s="61">
        <f>IFERROR(T158/$T$159,0)</f>
        <v>0.17446309865448231</v>
      </c>
      <c r="V158" s="62">
        <f>IFERROR(S158/Q158,0)</f>
        <v>0.65616333829361417</v>
      </c>
      <c r="X158" s="20" t="s">
        <v>124</v>
      </c>
      <c r="Y158" s="151" t="s">
        <v>264</v>
      </c>
      <c r="Z158" s="151"/>
      <c r="AA158" s="179">
        <f>SUM(AD158:AF158)</f>
        <v>0.90600000000000014</v>
      </c>
      <c r="AB158" s="179">
        <f>SUM(AH158:AJ158)</f>
        <v>0</v>
      </c>
      <c r="AC158" s="179">
        <v>0.90600000000000014</v>
      </c>
      <c r="AD158" s="179">
        <v>0.90600000000000014</v>
      </c>
      <c r="AE158" s="180">
        <v>0</v>
      </c>
      <c r="AF158" s="180">
        <v>0</v>
      </c>
      <c r="AG158" s="179">
        <v>0</v>
      </c>
      <c r="AH158" s="180">
        <v>0</v>
      </c>
      <c r="AI158" s="180">
        <v>0</v>
      </c>
      <c r="AJ158" s="180">
        <v>0</v>
      </c>
      <c r="AK158" s="179">
        <f>SUM(AN158:AP158)</f>
        <v>1.01</v>
      </c>
      <c r="AL158" s="179">
        <f>SUM(AR158:AT158)</f>
        <v>0</v>
      </c>
      <c r="AM158" s="179">
        <v>1.01</v>
      </c>
      <c r="AN158" s="179">
        <v>1.01</v>
      </c>
      <c r="AO158" s="180">
        <v>0</v>
      </c>
      <c r="AP158" s="180">
        <v>0</v>
      </c>
      <c r="AQ158" s="179">
        <v>0</v>
      </c>
      <c r="AR158" s="180">
        <v>0</v>
      </c>
      <c r="AS158" s="180">
        <v>0</v>
      </c>
      <c r="AT158" s="180">
        <v>0</v>
      </c>
      <c r="AU158" s="179">
        <f>SUM(AX158:AZ158)</f>
        <v>0.9830000000000001</v>
      </c>
      <c r="AV158" s="179">
        <f t="shared" si="75"/>
        <v>0</v>
      </c>
      <c r="AW158" s="179">
        <v>0.9830000000000001</v>
      </c>
      <c r="AX158" s="179">
        <v>0.9830000000000001</v>
      </c>
      <c r="AY158" s="180">
        <v>0</v>
      </c>
      <c r="AZ158" s="180">
        <v>0</v>
      </c>
      <c r="BA158" s="179">
        <v>0</v>
      </c>
      <c r="BB158" s="180">
        <v>0</v>
      </c>
      <c r="BC158" s="180">
        <v>0</v>
      </c>
      <c r="BD158" s="180">
        <v>0</v>
      </c>
      <c r="BE158" s="179">
        <f>SUM(BH158:BJ158)</f>
        <v>0.96699999999999986</v>
      </c>
      <c r="BF158" s="179">
        <f t="shared" si="76"/>
        <v>0</v>
      </c>
      <c r="BG158" s="179">
        <v>0.96699999999999986</v>
      </c>
      <c r="BH158" s="179">
        <v>0.96699999999999986</v>
      </c>
      <c r="BI158" s="180">
        <v>0</v>
      </c>
      <c r="BJ158" s="180">
        <v>0</v>
      </c>
      <c r="BK158" s="179">
        <v>0</v>
      </c>
      <c r="BL158" s="180">
        <v>0</v>
      </c>
      <c r="BM158" s="180">
        <v>0</v>
      </c>
      <c r="BN158" s="180">
        <v>0</v>
      </c>
      <c r="BO158" s="179">
        <f>SUM(BR158:BT158)</f>
        <v>0.99500000000000011</v>
      </c>
      <c r="BP158" s="179">
        <f t="shared" si="77"/>
        <v>0</v>
      </c>
      <c r="BQ158" s="179">
        <v>0.99500000000000011</v>
      </c>
      <c r="BR158" s="179">
        <v>0.99500000000000011</v>
      </c>
      <c r="BS158" s="180">
        <v>0</v>
      </c>
      <c r="BT158" s="180">
        <v>0</v>
      </c>
      <c r="BU158" s="179">
        <v>0</v>
      </c>
      <c r="BV158" s="180">
        <v>0</v>
      </c>
      <c r="BW158" s="180">
        <v>0</v>
      </c>
      <c r="BX158" s="180">
        <v>0</v>
      </c>
      <c r="BY158" s="179">
        <f>SUM(CB158:CD158)</f>
        <v>0.29000000000000004</v>
      </c>
      <c r="BZ158" s="179">
        <f t="shared" si="78"/>
        <v>0</v>
      </c>
      <c r="CA158" s="179">
        <v>0.29000000000000004</v>
      </c>
      <c r="CB158" s="179">
        <v>0.29000000000000004</v>
      </c>
      <c r="CC158" s="180">
        <v>0</v>
      </c>
      <c r="CD158" s="180">
        <v>0</v>
      </c>
      <c r="CE158" s="179">
        <v>0</v>
      </c>
      <c r="CF158" s="180">
        <v>0</v>
      </c>
      <c r="CG158" s="180">
        <v>0</v>
      </c>
      <c r="CH158" s="180">
        <v>0</v>
      </c>
      <c r="CI158" s="179">
        <f t="shared" si="79"/>
        <v>0</v>
      </c>
      <c r="CJ158" s="179">
        <f t="shared" si="80"/>
        <v>0</v>
      </c>
      <c r="CK158" s="179"/>
      <c r="CL158" s="179"/>
      <c r="CM158" s="180"/>
      <c r="CN158" s="180"/>
      <c r="CO158" s="179">
        <v>0</v>
      </c>
      <c r="CP158" s="180">
        <v>0</v>
      </c>
      <c r="CQ158" s="180">
        <v>0</v>
      </c>
      <c r="CR158" s="180">
        <v>0</v>
      </c>
      <c r="CS158" s="179">
        <f>SUM(CV158:CX158)</f>
        <v>0</v>
      </c>
      <c r="CT158" s="179">
        <f t="shared" si="81"/>
        <v>0</v>
      </c>
      <c r="CU158" s="179"/>
      <c r="CV158" s="179"/>
      <c r="CW158" s="180"/>
      <c r="CX158" s="180"/>
      <c r="CY158" s="179">
        <v>0</v>
      </c>
      <c r="CZ158" s="180">
        <v>0</v>
      </c>
      <c r="DA158" s="180">
        <v>0</v>
      </c>
      <c r="DB158" s="180">
        <v>0</v>
      </c>
      <c r="DC158" s="179">
        <f>SUM(DF158:DH158)</f>
        <v>0</v>
      </c>
      <c r="DD158" s="179">
        <f t="shared" si="82"/>
        <v>0</v>
      </c>
      <c r="DE158" s="179"/>
      <c r="DF158" s="179"/>
      <c r="DG158" s="180"/>
      <c r="DH158" s="180"/>
      <c r="DI158" s="179">
        <v>0</v>
      </c>
      <c r="DJ158" s="180">
        <v>0</v>
      </c>
      <c r="DK158" s="180">
        <v>0</v>
      </c>
      <c r="DL158" s="180">
        <v>0</v>
      </c>
      <c r="DM158" s="179">
        <f>SUM(DP158:DR158)</f>
        <v>0</v>
      </c>
      <c r="DN158" s="179">
        <f t="shared" si="83"/>
        <v>0</v>
      </c>
      <c r="DO158" s="179"/>
      <c r="DP158" s="179"/>
      <c r="DQ158" s="180"/>
      <c r="DR158" s="180"/>
      <c r="DS158" s="179">
        <v>0</v>
      </c>
      <c r="DT158" s="180">
        <v>0</v>
      </c>
      <c r="DU158" s="180">
        <v>0</v>
      </c>
      <c r="DV158" s="180">
        <v>0</v>
      </c>
      <c r="DW158" s="179">
        <f>SUM(DZ158:EB158)</f>
        <v>0</v>
      </c>
      <c r="DX158" s="179">
        <f t="shared" si="84"/>
        <v>0</v>
      </c>
      <c r="DY158" s="179"/>
      <c r="DZ158" s="179"/>
      <c r="EA158" s="180"/>
      <c r="EB158" s="180"/>
      <c r="EC158" s="179">
        <v>0</v>
      </c>
      <c r="ED158" s="180">
        <v>0</v>
      </c>
      <c r="EE158" s="180">
        <v>0</v>
      </c>
      <c r="EF158" s="180">
        <v>0</v>
      </c>
      <c r="EG158" s="179">
        <f>SUM(EJ158:EL158)</f>
        <v>0</v>
      </c>
      <c r="EH158" s="21">
        <f t="shared" si="85"/>
        <v>0</v>
      </c>
      <c r="EI158" s="70"/>
      <c r="EJ158" s="21"/>
      <c r="EK158" s="60"/>
      <c r="EL158" s="60"/>
      <c r="EM158" s="70">
        <v>0</v>
      </c>
      <c r="EN158" s="60">
        <v>0</v>
      </c>
      <c r="EO158" s="60">
        <v>0</v>
      </c>
      <c r="EP158" s="60">
        <v>0</v>
      </c>
      <c r="EQ158" s="181">
        <v>1.0440999117646381</v>
      </c>
      <c r="ER158" s="21">
        <f ca="1">SUM(ES158:EU158)</f>
        <v>0.09</v>
      </c>
      <c r="ES158" s="60">
        <f ca="1">SUMIFS(TME_Yesterday[Sell_WHS_QTY],TME_Yesterday[Region],master_Daily!$X158,TME_Yesterday[Brand],"CMHD")/50000+$ES$226+$ES$232+$ES$238+$ES$220</f>
        <v>0.09</v>
      </c>
      <c r="ET158" s="60">
        <f ca="1">(SUMIFS(TME_Yesterday[Sell_RTL_QTY],TME_Yesterday[Region],master_Daily!$X158,TME_Yesterday[Brand],"CMHD")/50000)
+SUMIFS($ET$192:$ET$215,$X$192:$X$215,"Local MT",$Y$192:$Y$215,Y154)</f>
        <v>0</v>
      </c>
      <c r="EU158" s="60">
        <f ca="1">SUMIFS(TME_Yesterday[Sell_NEO_QTY],TME_Yesterday[Region],master_Daily!$X158,TME_Yesterday[Brand],"CMHD")/50000</f>
        <v>0</v>
      </c>
      <c r="EV158" s="21">
        <f ca="1">SUM(EW158:EY158)</f>
        <v>0</v>
      </c>
      <c r="EW158" s="60">
        <f ca="1">SUMIFS(TME_Yesterday[FOC_WHS_QTY],TME_Yesterday[Region],master_Daily!$X158,TME_Yesterday[Brand],"CMHD")/50000</f>
        <v>0</v>
      </c>
      <c r="EX158" s="60">
        <f ca="1">SUMIFS(TME_Yesterday[FOC_RTL_QTY],TME_Yesterday[Region],master_Daily!$X158,TME_Yesterday[Brand],"CMHD")/50000</f>
        <v>0</v>
      </c>
      <c r="EY158" s="60">
        <f ca="1">SUMIFS(TME_Yesterday[FOC_NEO_QTY],TME_Yesterday[Region],master_Daily!$X158,TME_Yesterday[Brand],"CMHD")/50000</f>
        <v>0</v>
      </c>
      <c r="EZ158" s="60">
        <f ca="1">SUM(FA158:FC158)</f>
        <v>0.29000000000000004</v>
      </c>
      <c r="FA158" s="60">
        <f ca="1">SUMIFS(TME_MTD[Sell_WHS_QTY],TME_MTD[Region],master_Daily!$X158,TME_MTD[Brand],"CMHD")/50000+$FA$226+$FA$232+$FA$238+$FA$244+$FA$220</f>
        <v>0.29000000000000004</v>
      </c>
      <c r="FB158" s="60">
        <f ca="1">SUMIFS(TME_MTD[Sell_RTL_QTY],TME_MTD[Region],master_Daily!$X158,TME_MTD[Brand],"CMHD")/50000+$FB$202</f>
        <v>0</v>
      </c>
      <c r="FC158" s="60">
        <f ca="1">SUMIFS(TME_MTD[Sell_NEO_QTY],TME_MTD[Region],master_Daily!$X158,TME_MTD[Brand],"CMHD")/50000</f>
        <v>0</v>
      </c>
      <c r="FD158" s="60">
        <f ca="1">SUM(FE158:FG158)</f>
        <v>0</v>
      </c>
      <c r="FE158" s="60">
        <f ca="1">SUMIFS(TME_MTD[FOC_WHS_QTY],TME_MTD[Region],master_Daily!$X158,TME_MTD[Brand],"CMHD")/50000</f>
        <v>0</v>
      </c>
      <c r="FF158" s="60">
        <f ca="1">SUMIFS(TME_MTD[FOC_RTL_QTY],TME_MTD[Region],master_Daily!$X158,TME_MTD[Brand],"CMHD")/50000</f>
        <v>0</v>
      </c>
      <c r="FG158" s="60">
        <f ca="1">SUMIFS(TME_MTD[FOC_NEO_QTY],TME_MTD[Region],master_Daily!$X158,TME_MTD[Brand],"CMHD")/50000</f>
        <v>0</v>
      </c>
      <c r="FH158" s="21">
        <f t="shared" ca="1" si="88"/>
        <v>5.1509999999999998</v>
      </c>
      <c r="FI158" s="21">
        <f t="shared" ca="1" si="88"/>
        <v>5.1509999999999998</v>
      </c>
      <c r="FJ158" s="21">
        <f t="shared" ca="1" si="88"/>
        <v>0</v>
      </c>
      <c r="FK158" s="21">
        <f t="shared" ca="1" si="88"/>
        <v>0</v>
      </c>
      <c r="FL158" s="21">
        <f t="shared" si="89"/>
        <v>0</v>
      </c>
      <c r="FM158" s="21">
        <f t="shared" si="89"/>
        <v>0</v>
      </c>
      <c r="FN158" s="21">
        <f t="shared" si="89"/>
        <v>0</v>
      </c>
      <c r="FO158" s="21">
        <f t="shared" si="89"/>
        <v>0</v>
      </c>
      <c r="FP158" s="58">
        <f ca="1">IFERROR(FH158/$FH$159,0)</f>
        <v>0.14296419650291423</v>
      </c>
      <c r="FQ158" s="23">
        <f ca="1">IFERROR(EZ158/EQ158,0)</f>
        <v>0.27775119673161325</v>
      </c>
      <c r="FR158" s="60">
        <f>SUMIFS(TME_MTD_Dist[Sell_WHS_QTY],TME_MTD_Dist[Region],master_Daily!$X158,TME_MTD_Dist[Brand],master_Daily!$Y158)/50000
 + SUMIFS(TME_MTD_Dist[Sell_RTL_QTY],TME_MTD_Dist[Region],master_Daily!$X158,TME_MTD_Dist[Brand],master_Daily!$Y158)/50000</f>
        <v>0</v>
      </c>
      <c r="FS158" s="23">
        <f t="shared" si="33"/>
        <v>0</v>
      </c>
      <c r="FT158" s="469">
        <v>0.10043874403258014</v>
      </c>
      <c r="FU158" s="289">
        <f>FT158*$FU$159</f>
        <v>0.88684239230956718</v>
      </c>
    </row>
    <row r="159" spans="2:178">
      <c r="B159" s="776" t="s">
        <v>192</v>
      </c>
      <c r="C159" s="777"/>
      <c r="D159" s="426"/>
      <c r="E159" s="63">
        <v>98.586740000000006</v>
      </c>
      <c r="F159" s="63">
        <v>86.436199999999985</v>
      </c>
      <c r="G159" s="63">
        <v>94.923500000000004</v>
      </c>
      <c r="H159" s="63">
        <v>93.033420000000007</v>
      </c>
      <c r="I159" s="63">
        <v>88.920480000000012</v>
      </c>
      <c r="J159" s="63">
        <v>48.008980000000001</v>
      </c>
      <c r="K159" s="63"/>
      <c r="L159" s="63"/>
      <c r="M159" s="63"/>
      <c r="N159" s="63"/>
      <c r="O159" s="63"/>
      <c r="P159" s="63"/>
      <c r="Q159" s="63">
        <f>SUM(Q154:Q158)</f>
        <v>77.39</v>
      </c>
      <c r="R159" s="63">
        <f>SUM(R154:R158)</f>
        <v>1.3</v>
      </c>
      <c r="S159" s="63">
        <f>SUM(S154:S158)</f>
        <v>48.008980000000001</v>
      </c>
      <c r="T159" s="63">
        <f>SUM(E159:P159)</f>
        <v>509.90932000000004</v>
      </c>
      <c r="U159" s="64">
        <f>IFERROR(T159/$T153,0)</f>
        <v>0.84776229758237065</v>
      </c>
      <c r="V159" s="65">
        <f>IFERROR(S159/Q159,0)</f>
        <v>0.62035120816642975</v>
      </c>
      <c r="X159" s="776" t="s">
        <v>193</v>
      </c>
      <c r="Y159" s="777"/>
      <c r="Z159" s="426"/>
      <c r="AA159" s="63">
        <f>SUM(AA154:AA158)</f>
        <v>7.5600000000000005</v>
      </c>
      <c r="AB159" s="63">
        <f t="shared" ref="AB159:AB183" si="90">SUM(AH159:AJ159)</f>
        <v>0</v>
      </c>
      <c r="AC159" s="63">
        <v>7.5600000000000005</v>
      </c>
      <c r="AD159" s="63">
        <v>7.5600000000000005</v>
      </c>
      <c r="AE159" s="63">
        <v>0</v>
      </c>
      <c r="AF159" s="63">
        <v>0</v>
      </c>
      <c r="AG159" s="63">
        <v>0</v>
      </c>
      <c r="AH159" s="63">
        <v>0</v>
      </c>
      <c r="AI159" s="63">
        <v>0</v>
      </c>
      <c r="AJ159" s="63">
        <v>0</v>
      </c>
      <c r="AK159" s="63">
        <f>SUM(AK154:AK158)</f>
        <v>6.4499999999999993</v>
      </c>
      <c r="AL159" s="63">
        <f t="shared" ref="AL159:AL183" si="91">SUM(AR159:AT159)</f>
        <v>0</v>
      </c>
      <c r="AM159" s="63">
        <v>6.4499999999999993</v>
      </c>
      <c r="AN159" s="63">
        <v>6.4499999999999993</v>
      </c>
      <c r="AO159" s="63">
        <v>0</v>
      </c>
      <c r="AP159" s="63">
        <v>0</v>
      </c>
      <c r="AQ159" s="63">
        <v>0</v>
      </c>
      <c r="AR159" s="63">
        <v>0</v>
      </c>
      <c r="AS159" s="63">
        <v>0</v>
      </c>
      <c r="AT159" s="63">
        <v>0</v>
      </c>
      <c r="AU159" s="63">
        <f t="shared" ref="AU159:AU183" si="92">SUM(AX159:AZ159)</f>
        <v>7.5100000000000016</v>
      </c>
      <c r="AV159" s="63">
        <f t="shared" si="75"/>
        <v>0</v>
      </c>
      <c r="AW159" s="63">
        <v>7.5100000000000016</v>
      </c>
      <c r="AX159" s="63">
        <v>7.5100000000000016</v>
      </c>
      <c r="AY159" s="63">
        <v>0</v>
      </c>
      <c r="AZ159" s="63">
        <v>0</v>
      </c>
      <c r="BA159" s="63">
        <v>0</v>
      </c>
      <c r="BB159" s="63">
        <v>0</v>
      </c>
      <c r="BC159" s="63">
        <v>0</v>
      </c>
      <c r="BD159" s="63">
        <v>0</v>
      </c>
      <c r="BE159" s="63">
        <f t="shared" ref="BE159:BE183" si="93">SUM(BH159:BJ159)</f>
        <v>5.3999999999999995</v>
      </c>
      <c r="BF159" s="63">
        <f t="shared" si="76"/>
        <v>0</v>
      </c>
      <c r="BG159" s="63">
        <v>5.3999999999999995</v>
      </c>
      <c r="BH159" s="63">
        <v>5.3999999999999995</v>
      </c>
      <c r="BI159" s="63">
        <v>0</v>
      </c>
      <c r="BJ159" s="63">
        <v>0</v>
      </c>
      <c r="BK159" s="63">
        <v>0</v>
      </c>
      <c r="BL159" s="63">
        <v>0</v>
      </c>
      <c r="BM159" s="63">
        <v>0</v>
      </c>
      <c r="BN159" s="63">
        <v>0</v>
      </c>
      <c r="BO159" s="63">
        <f t="shared" ref="BO159:BO183" si="94">SUM(BR159:BT159)</f>
        <v>7.3500000000000005</v>
      </c>
      <c r="BP159" s="63">
        <f t="shared" si="77"/>
        <v>0</v>
      </c>
      <c r="BQ159" s="63">
        <v>7.3500000000000005</v>
      </c>
      <c r="BR159" s="63">
        <v>7.3500000000000005</v>
      </c>
      <c r="BS159" s="63">
        <v>0</v>
      </c>
      <c r="BT159" s="63">
        <v>0</v>
      </c>
      <c r="BU159" s="63">
        <v>0</v>
      </c>
      <c r="BV159" s="63">
        <v>0</v>
      </c>
      <c r="BW159" s="63">
        <v>0</v>
      </c>
      <c r="BX159" s="63">
        <v>0</v>
      </c>
      <c r="BY159" s="63">
        <f t="shared" ref="BY159:BY183" si="95">SUM(CB159:CD159)</f>
        <v>1.7599999999999998</v>
      </c>
      <c r="BZ159" s="63">
        <f t="shared" si="78"/>
        <v>0</v>
      </c>
      <c r="CA159" s="63">
        <v>1.7599999999999998</v>
      </c>
      <c r="CB159" s="63">
        <v>1.7599999999999998</v>
      </c>
      <c r="CC159" s="63">
        <v>0</v>
      </c>
      <c r="CD159" s="63">
        <v>0</v>
      </c>
      <c r="CE159" s="63">
        <v>0</v>
      </c>
      <c r="CF159" s="63">
        <v>0</v>
      </c>
      <c r="CG159" s="63">
        <v>0</v>
      </c>
      <c r="CH159" s="63">
        <v>0</v>
      </c>
      <c r="CI159" s="63">
        <f t="shared" si="79"/>
        <v>0</v>
      </c>
      <c r="CJ159" s="63">
        <f t="shared" si="80"/>
        <v>0</v>
      </c>
      <c r="CK159" s="63"/>
      <c r="CL159" s="63"/>
      <c r="CM159" s="63"/>
      <c r="CN159" s="63"/>
      <c r="CO159" s="63">
        <v>0</v>
      </c>
      <c r="CP159" s="63">
        <v>0</v>
      </c>
      <c r="CQ159" s="63">
        <v>0</v>
      </c>
      <c r="CR159" s="63">
        <v>0</v>
      </c>
      <c r="CS159" s="63">
        <f t="shared" ref="CS159:CS183" si="96">SUM(CV159:CX159)</f>
        <v>0</v>
      </c>
      <c r="CT159" s="63">
        <f t="shared" si="81"/>
        <v>0</v>
      </c>
      <c r="CU159" s="63"/>
      <c r="CV159" s="63"/>
      <c r="CW159" s="63"/>
      <c r="CX159" s="63"/>
      <c r="CY159" s="63">
        <v>0</v>
      </c>
      <c r="CZ159" s="63">
        <v>0</v>
      </c>
      <c r="DA159" s="63">
        <v>0</v>
      </c>
      <c r="DB159" s="63">
        <v>0</v>
      </c>
      <c r="DC159" s="63">
        <f t="shared" ref="DC159:DC183" si="97">SUM(DF159:DH159)</f>
        <v>0</v>
      </c>
      <c r="DD159" s="63">
        <f t="shared" si="82"/>
        <v>0</v>
      </c>
      <c r="DE159" s="63"/>
      <c r="DF159" s="63"/>
      <c r="DG159" s="63"/>
      <c r="DH159" s="63"/>
      <c r="DI159" s="63">
        <v>0</v>
      </c>
      <c r="DJ159" s="63">
        <v>0</v>
      </c>
      <c r="DK159" s="63">
        <v>0</v>
      </c>
      <c r="DL159" s="63">
        <v>0</v>
      </c>
      <c r="DM159" s="63">
        <f t="shared" ref="DM159:DM183" si="98">SUM(DP159:DR159)</f>
        <v>0</v>
      </c>
      <c r="DN159" s="63">
        <f t="shared" si="83"/>
        <v>0</v>
      </c>
      <c r="DO159" s="63"/>
      <c r="DP159" s="63"/>
      <c r="DQ159" s="63"/>
      <c r="DR159" s="63"/>
      <c r="DS159" s="63">
        <v>0</v>
      </c>
      <c r="DT159" s="63">
        <v>0</v>
      </c>
      <c r="DU159" s="63">
        <v>0</v>
      </c>
      <c r="DV159" s="63">
        <v>0</v>
      </c>
      <c r="DW159" s="63">
        <f t="shared" ref="DW159:DW183" si="99">SUM(DZ159:EB159)</f>
        <v>0</v>
      </c>
      <c r="DX159" s="63">
        <f t="shared" si="84"/>
        <v>0</v>
      </c>
      <c r="DY159" s="63"/>
      <c r="DZ159" s="63"/>
      <c r="EA159" s="63"/>
      <c r="EB159" s="63"/>
      <c r="EC159" s="63">
        <v>0</v>
      </c>
      <c r="ED159" s="63">
        <v>0</v>
      </c>
      <c r="EE159" s="63">
        <v>0</v>
      </c>
      <c r="EF159" s="63">
        <v>0</v>
      </c>
      <c r="EG159" s="63">
        <f t="shared" ref="EG159:EG183" si="100">SUM(EJ159:EL159)</f>
        <v>0</v>
      </c>
      <c r="EH159" s="63">
        <f t="shared" si="85"/>
        <v>0</v>
      </c>
      <c r="EI159" s="63"/>
      <c r="EJ159" s="63"/>
      <c r="EK159" s="63"/>
      <c r="EL159" s="63"/>
      <c r="EM159" s="63">
        <v>0</v>
      </c>
      <c r="EN159" s="63">
        <v>0</v>
      </c>
      <c r="EO159" s="63">
        <v>0</v>
      </c>
      <c r="EP159" s="63">
        <v>0</v>
      </c>
      <c r="EQ159" s="516">
        <f>SUM(EQ154:EQ158)</f>
        <v>7.3000000000000007</v>
      </c>
      <c r="ER159" s="63">
        <f ca="1">SUM(ER154:ER158)</f>
        <v>0.45200000000000007</v>
      </c>
      <c r="ES159" s="63">
        <f ca="1">SUM(ES154:ES158)</f>
        <v>0.45200000000000007</v>
      </c>
      <c r="ET159" s="63">
        <f ca="1">SUM(ET154:ET158)</f>
        <v>0</v>
      </c>
      <c r="EU159" s="63">
        <f ca="1">SUM(EU154:EU158)</f>
        <v>0</v>
      </c>
      <c r="EV159" s="63">
        <f ca="1">SUM(EV154:EV157)</f>
        <v>0</v>
      </c>
      <c r="EW159" s="63">
        <f t="shared" ref="EW159:FC159" ca="1" si="101">SUM(EW154:EW158)</f>
        <v>0</v>
      </c>
      <c r="EX159" s="63">
        <f t="shared" ca="1" si="101"/>
        <v>0</v>
      </c>
      <c r="EY159" s="63">
        <f t="shared" ca="1" si="101"/>
        <v>0</v>
      </c>
      <c r="EZ159" s="63">
        <f t="shared" ca="1" si="101"/>
        <v>1.7599999999999998</v>
      </c>
      <c r="FA159" s="63">
        <f t="shared" ca="1" si="101"/>
        <v>1.7599999999999998</v>
      </c>
      <c r="FB159" s="63">
        <f t="shared" ca="1" si="101"/>
        <v>0</v>
      </c>
      <c r="FC159" s="63">
        <f t="shared" ca="1" si="101"/>
        <v>0</v>
      </c>
      <c r="FD159" s="63">
        <f ca="1">SUM(FD154:FD157)</f>
        <v>0</v>
      </c>
      <c r="FE159" s="63">
        <f t="shared" ref="FE159:FK159" ca="1" si="102">SUM(FE154:FE158)</f>
        <v>0</v>
      </c>
      <c r="FF159" s="63">
        <f t="shared" ca="1" si="102"/>
        <v>0</v>
      </c>
      <c r="FG159" s="63">
        <f t="shared" ca="1" si="102"/>
        <v>0</v>
      </c>
      <c r="FH159" s="63">
        <f t="shared" ca="1" si="102"/>
        <v>36.03</v>
      </c>
      <c r="FI159" s="63">
        <f t="shared" ca="1" si="102"/>
        <v>36.03</v>
      </c>
      <c r="FJ159" s="63">
        <f t="shared" ca="1" si="102"/>
        <v>0</v>
      </c>
      <c r="FK159" s="63">
        <f t="shared" ca="1" si="102"/>
        <v>0</v>
      </c>
      <c r="FL159" s="63">
        <f ca="1">SUM(FL154:FL157)</f>
        <v>0</v>
      </c>
      <c r="FM159" s="25">
        <f ca="1">SUM(FM154:FM158)</f>
        <v>0</v>
      </c>
      <c r="FN159" s="25">
        <f ca="1">SUM(FN154:FN158)</f>
        <v>0</v>
      </c>
      <c r="FO159" s="25">
        <f ca="1">SUM(FO154:FO158)</f>
        <v>0</v>
      </c>
      <c r="FP159" s="64">
        <f ca="1">IFERROR(FH159/$FH$153,0)</f>
        <v>0.24416656727422556</v>
      </c>
      <c r="FQ159" s="66">
        <f ca="1">IFERROR(EZ159/EQ159,0)</f>
        <v>0.24109589041095886</v>
      </c>
      <c r="FR159" s="63">
        <f>SUM(FR154:FR158)</f>
        <v>0</v>
      </c>
      <c r="FS159" s="66">
        <f t="shared" si="33"/>
        <v>0</v>
      </c>
      <c r="FT159" s="471">
        <v>3.0121532169417778E-2</v>
      </c>
      <c r="FU159" s="473">
        <v>8.8296842105263167</v>
      </c>
    </row>
    <row r="160" spans="2:178" outlineLevel="1">
      <c r="B160" s="631" t="s">
        <v>130</v>
      </c>
      <c r="C160" s="74" t="s">
        <v>44</v>
      </c>
      <c r="D160" s="74"/>
      <c r="E160" s="21">
        <v>7.0000000000000007E-2</v>
      </c>
      <c r="F160" s="21">
        <v>0.38</v>
      </c>
      <c r="G160" s="21">
        <v>0.18</v>
      </c>
      <c r="H160" s="21">
        <v>0.24199999999999999</v>
      </c>
      <c r="I160" s="21">
        <v>0.16800000000000001</v>
      </c>
      <c r="J160" s="21">
        <v>0.04</v>
      </c>
      <c r="K160" s="21"/>
      <c r="L160" s="21"/>
      <c r="M160" s="21"/>
      <c r="N160" s="21"/>
      <c r="O160" s="21"/>
      <c r="P160" s="21"/>
      <c r="Q160" s="422">
        <v>0.16610252237591538</v>
      </c>
      <c r="R160" s="72">
        <f>IFERROR(SUMIFS(Daily_Vol_yesterday[Order Quantity],Daily_Vol_yesterday[Cust_Cat.cust_channel],master_Daily!B160,Daily_Vol_yesterday[Map_Product.TME_Brand],master_Daily!C160)/50000,0)</f>
        <v>0</v>
      </c>
      <c r="S160" s="60">
        <f>IFERROR(SUM(SUMIFS(Weekly_Vol[Quantity],Weekly_Vol[Cust_Cat.cust_channel],master_Daily!B160,Weekly_Vol[Map_Product.TME_Brand],master_Daily!C160),SUMIFS(Daily_Vol[Order Quantity],Daily_Vol[Cust_Cat.cust_channel],master_Daily!B160,Daily_Vol[Map_Product.TME_Brand],master_Daily!C160))/50000,0)</f>
        <v>0.04</v>
      </c>
      <c r="T160" s="57">
        <f t="shared" si="74"/>
        <v>1.08</v>
      </c>
      <c r="U160" s="22">
        <f>IFERROR(T160/$T$165,0)</f>
        <v>5.9900166389351084E-2</v>
      </c>
      <c r="V160" s="23">
        <f t="shared" si="28"/>
        <v>0.24081512687371412</v>
      </c>
      <c r="X160" s="20" t="s">
        <v>194</v>
      </c>
      <c r="Y160" s="20" t="s">
        <v>44</v>
      </c>
      <c r="Z160" s="20"/>
      <c r="AA160" s="179">
        <f t="shared" ref="AA160:AA176" si="103">SUM(AD160:AF160)</f>
        <v>5.1999999999999998E-2</v>
      </c>
      <c r="AB160" s="179">
        <f t="shared" si="90"/>
        <v>0</v>
      </c>
      <c r="AC160" s="179">
        <v>5.1999999999999998E-2</v>
      </c>
      <c r="AD160" s="179">
        <v>5.1999999999999998E-2</v>
      </c>
      <c r="AE160" s="179">
        <v>0</v>
      </c>
      <c r="AF160" s="179">
        <v>0</v>
      </c>
      <c r="AG160" s="179">
        <v>0</v>
      </c>
      <c r="AH160" s="179">
        <v>0</v>
      </c>
      <c r="AI160" s="179">
        <v>0</v>
      </c>
      <c r="AJ160" s="179">
        <v>0</v>
      </c>
      <c r="AK160" s="179">
        <f>SUM(AN160:AP160)</f>
        <v>0.05</v>
      </c>
      <c r="AL160" s="179">
        <f t="shared" si="91"/>
        <v>0</v>
      </c>
      <c r="AM160" s="179">
        <v>0.05</v>
      </c>
      <c r="AN160" s="179">
        <v>0.05</v>
      </c>
      <c r="AO160" s="179">
        <v>0</v>
      </c>
      <c r="AP160" s="179">
        <v>0</v>
      </c>
      <c r="AQ160" s="179">
        <v>0</v>
      </c>
      <c r="AR160" s="179">
        <v>0</v>
      </c>
      <c r="AS160" s="179">
        <v>0</v>
      </c>
      <c r="AT160" s="179">
        <v>0</v>
      </c>
      <c r="AU160" s="179">
        <f t="shared" si="92"/>
        <v>4.5199999999999997E-2</v>
      </c>
      <c r="AV160" s="179">
        <f t="shared" si="75"/>
        <v>0</v>
      </c>
      <c r="AW160" s="179">
        <v>4.5199999999999997E-2</v>
      </c>
      <c r="AX160" s="179">
        <v>4.5199999999999997E-2</v>
      </c>
      <c r="AY160" s="179">
        <v>0</v>
      </c>
      <c r="AZ160" s="179">
        <v>0</v>
      </c>
      <c r="BA160" s="179">
        <v>0</v>
      </c>
      <c r="BB160" s="179">
        <v>0</v>
      </c>
      <c r="BC160" s="179">
        <v>0</v>
      </c>
      <c r="BD160" s="179">
        <v>0</v>
      </c>
      <c r="BE160" s="179">
        <f t="shared" si="93"/>
        <v>3.1800000000000002E-2</v>
      </c>
      <c r="BF160" s="179">
        <f t="shared" si="76"/>
        <v>0</v>
      </c>
      <c r="BG160" s="179">
        <v>3.1800000000000002E-2</v>
      </c>
      <c r="BH160" s="179">
        <v>3.1800000000000002E-2</v>
      </c>
      <c r="BI160" s="179">
        <v>0</v>
      </c>
      <c r="BJ160" s="179">
        <v>0</v>
      </c>
      <c r="BK160" s="179">
        <v>0</v>
      </c>
      <c r="BL160" s="179">
        <v>0</v>
      </c>
      <c r="BM160" s="179">
        <v>0</v>
      </c>
      <c r="BN160" s="179">
        <v>0</v>
      </c>
      <c r="BO160" s="179">
        <f t="shared" si="94"/>
        <v>2.9400000000000003E-2</v>
      </c>
      <c r="BP160" s="179">
        <f t="shared" si="77"/>
        <v>0</v>
      </c>
      <c r="BQ160" s="179">
        <v>2.9400000000000003E-2</v>
      </c>
      <c r="BR160" s="179">
        <v>2.9400000000000003E-2</v>
      </c>
      <c r="BS160" s="179">
        <v>0</v>
      </c>
      <c r="BT160" s="179">
        <v>0</v>
      </c>
      <c r="BU160" s="179">
        <v>0</v>
      </c>
      <c r="BV160" s="179">
        <v>0</v>
      </c>
      <c r="BW160" s="179">
        <v>0</v>
      </c>
      <c r="BX160" s="179">
        <v>0</v>
      </c>
      <c r="BY160" s="179">
        <f t="shared" si="95"/>
        <v>3.5600000000000007E-2</v>
      </c>
      <c r="BZ160" s="179">
        <f t="shared" si="78"/>
        <v>0</v>
      </c>
      <c r="CA160" s="179">
        <v>3.5600000000000007E-2</v>
      </c>
      <c r="CB160" s="179">
        <v>3.5600000000000007E-2</v>
      </c>
      <c r="CC160" s="179">
        <v>0</v>
      </c>
      <c r="CD160" s="179">
        <v>0</v>
      </c>
      <c r="CE160" s="179">
        <v>0</v>
      </c>
      <c r="CF160" s="179">
        <v>0</v>
      </c>
      <c r="CG160" s="179">
        <v>0</v>
      </c>
      <c r="CH160" s="179">
        <v>0</v>
      </c>
      <c r="CI160" s="179">
        <f t="shared" ref="CI160:CI183" si="104">SUM(CL160:CN160)</f>
        <v>0</v>
      </c>
      <c r="CJ160" s="179">
        <f t="shared" si="80"/>
        <v>0</v>
      </c>
      <c r="CK160" s="179"/>
      <c r="CL160" s="179"/>
      <c r="CM160" s="179"/>
      <c r="CN160" s="179"/>
      <c r="CO160" s="179">
        <v>0</v>
      </c>
      <c r="CP160" s="179">
        <v>0</v>
      </c>
      <c r="CQ160" s="179">
        <v>0</v>
      </c>
      <c r="CR160" s="179">
        <v>0</v>
      </c>
      <c r="CS160" s="179">
        <f t="shared" si="96"/>
        <v>0</v>
      </c>
      <c r="CT160" s="179">
        <f t="shared" si="81"/>
        <v>0</v>
      </c>
      <c r="CU160" s="179"/>
      <c r="CV160" s="179"/>
      <c r="CW160" s="179"/>
      <c r="CX160" s="179"/>
      <c r="CY160" s="179">
        <v>0</v>
      </c>
      <c r="CZ160" s="179">
        <v>0</v>
      </c>
      <c r="DA160" s="179">
        <v>0</v>
      </c>
      <c r="DB160" s="179">
        <v>0</v>
      </c>
      <c r="DC160" s="179">
        <f t="shared" si="97"/>
        <v>0</v>
      </c>
      <c r="DD160" s="179">
        <f t="shared" si="82"/>
        <v>0</v>
      </c>
      <c r="DE160" s="179"/>
      <c r="DF160" s="179"/>
      <c r="DG160" s="179"/>
      <c r="DH160" s="179"/>
      <c r="DI160" s="179">
        <v>0</v>
      </c>
      <c r="DJ160" s="179">
        <v>0</v>
      </c>
      <c r="DK160" s="179">
        <v>0</v>
      </c>
      <c r="DL160" s="179">
        <v>0</v>
      </c>
      <c r="DM160" s="179">
        <f t="shared" si="98"/>
        <v>0</v>
      </c>
      <c r="DN160" s="179">
        <f t="shared" si="83"/>
        <v>0</v>
      </c>
      <c r="DO160" s="179"/>
      <c r="DP160" s="179"/>
      <c r="DQ160" s="179"/>
      <c r="DR160" s="179"/>
      <c r="DS160" s="179">
        <v>0</v>
      </c>
      <c r="DT160" s="179">
        <v>0</v>
      </c>
      <c r="DU160" s="179">
        <v>0</v>
      </c>
      <c r="DV160" s="179">
        <v>0</v>
      </c>
      <c r="DW160" s="179">
        <f t="shared" si="99"/>
        <v>0</v>
      </c>
      <c r="DX160" s="179">
        <f t="shared" si="84"/>
        <v>0</v>
      </c>
      <c r="DY160" s="179"/>
      <c r="DZ160" s="179"/>
      <c r="EA160" s="179"/>
      <c r="EB160" s="179"/>
      <c r="EC160" s="179">
        <v>0</v>
      </c>
      <c r="ED160" s="179">
        <v>0</v>
      </c>
      <c r="EE160" s="179">
        <v>0</v>
      </c>
      <c r="EF160" s="179">
        <v>0</v>
      </c>
      <c r="EG160" s="179">
        <f t="shared" si="100"/>
        <v>0</v>
      </c>
      <c r="EH160" s="21">
        <f t="shared" si="85"/>
        <v>0</v>
      </c>
      <c r="EI160" s="70"/>
      <c r="EJ160" s="21"/>
      <c r="EK160" s="21"/>
      <c r="EL160" s="21"/>
      <c r="EM160" s="70">
        <v>0</v>
      </c>
      <c r="EN160" s="21">
        <v>0</v>
      </c>
      <c r="EO160" s="21">
        <v>0</v>
      </c>
      <c r="EP160" s="21">
        <v>0</v>
      </c>
      <c r="EQ160" s="181">
        <v>4.9367503062860064E-2</v>
      </c>
      <c r="ER160" s="21">
        <f ca="1">SUM(ES160:EU160)</f>
        <v>0.01</v>
      </c>
      <c r="ES160" s="60">
        <f ca="1">SUMIFS(TME_Yesterday[Sell_WHS_QTY],TME_Yesterday[Region],master_Daily!$X160,TME_Yesterday[Brand],master_Daily!$Y160)/50000+$ES$246+$ES$252+$ES$258+$ES$264</f>
        <v>0.01</v>
      </c>
      <c r="ET160" s="60">
        <f ca="1">SUMIFS(TME_Yesterday[Sell_RTL_QTY],TME_Yesterday[Region],master_Daily!$X160,TME_Yesterday[Brand],master_Daily!$Y160)/50000</f>
        <v>0</v>
      </c>
      <c r="EU160" s="60">
        <f ca="1">SUMIFS(TME_Yesterday[Sell_NEO_QTY],TME_Yesterday[Region],master_Daily!$X160,TME_Yesterday[Brand],master_Daily!$Y160)/50000</f>
        <v>0</v>
      </c>
      <c r="EV160" s="21">
        <f ca="1">SUM(EW160:EY160)</f>
        <v>0</v>
      </c>
      <c r="EW160" s="60">
        <f ca="1">SUMIFS(TME_Yesterday[FOC_WHS_QTY],TME_Yesterday[Region],master_Daily!$X160,TME_Yesterday[Brand],master_Daily!$Y160)/50000</f>
        <v>0</v>
      </c>
      <c r="EX160" s="60">
        <f ca="1">SUMIFS(TME_Yesterday[FOC_RTL_QTY],TME_Yesterday[Region],master_Daily!$X160,TME_Yesterday[Brand],master_Daily!$Y160)/50000</f>
        <v>0</v>
      </c>
      <c r="EY160" s="60">
        <f ca="1">SUMIFS(TME_Yesterday[FOC_NEO_QTY],TME_Yesterday[Region],master_Daily!$X160,TME_Yesterday[Brand],master_Daily!$Y160)/50000</f>
        <v>0</v>
      </c>
      <c r="EZ160" s="60">
        <f ca="1">SUM(FA160:FC160)</f>
        <v>3.5600000000000007E-2</v>
      </c>
      <c r="FA160" s="60">
        <f ca="1">SUMIFS(TME_MTD[Sell_WHS_QTY],TME_MTD[Region],master_Daily!$X160,TME_MTD[Brand],master_Daily!$Y160)/50000+$FA$246+$FA$252+$FA$258+$FA$264</f>
        <v>3.5600000000000007E-2</v>
      </c>
      <c r="FB160" s="60">
        <f ca="1">SUMIFS(TME_MTD[Sell_RTL_QTY],TME_MTD[Region],master_Daily!$X160,TME_MTD[Brand],master_Daily!$Y160)/50000</f>
        <v>0</v>
      </c>
      <c r="FC160" s="60">
        <f ca="1">SUMIFS(TME_MTD[Sell_NEO_QTY],TME_MTD[Region],master_Daily!$X160,TME_MTD[Brand],master_Daily!$Y160)/50000</f>
        <v>0</v>
      </c>
      <c r="FD160" s="60">
        <f ca="1">SUM(FE160:FG160)</f>
        <v>0</v>
      </c>
      <c r="FE160" s="60">
        <f ca="1">SUMIFS(TME_MTD[FOC_WHS_QTY],TME_MTD[Region],master_Daily!$X160,TME_MTD[Brand],master_Daily!$Y160)/50000</f>
        <v>0</v>
      </c>
      <c r="FF160" s="60">
        <f ca="1">SUMIFS(TME_MTD[FOC_RTL_QTY],TME_MTD[Region],master_Daily!$X160,TME_MTD[Brand],master_Daily!$Y160)/50000</f>
        <v>0</v>
      </c>
      <c r="FG160" s="60">
        <f ca="1">SUMIFS(TME_MTD[FOC_NEO_QTY],TME_MTD[Region],master_Daily!$X160,TME_MTD[Brand],master_Daily!$Y160)/50000</f>
        <v>0</v>
      </c>
      <c r="FH160" s="21">
        <f t="shared" ref="FH160:FO162" ca="1" si="105">SUMIFS($AA160:$EP160,$AA$129:$EP$129,INDIRECT(ADDRESS(129,COLUMN())))</f>
        <v>0.24399999999999999</v>
      </c>
      <c r="FI160" s="21">
        <f t="shared" ca="1" si="105"/>
        <v>0.24399999999999999</v>
      </c>
      <c r="FJ160" s="21">
        <f t="shared" ca="1" si="105"/>
        <v>0</v>
      </c>
      <c r="FK160" s="21">
        <f t="shared" ca="1" si="105"/>
        <v>0</v>
      </c>
      <c r="FL160" s="21">
        <f t="shared" ca="1" si="105"/>
        <v>0</v>
      </c>
      <c r="FM160" s="21">
        <f t="shared" ca="1" si="105"/>
        <v>0</v>
      </c>
      <c r="FN160" s="21">
        <f t="shared" ca="1" si="105"/>
        <v>0</v>
      </c>
      <c r="FO160" s="21">
        <f t="shared" ca="1" si="105"/>
        <v>0</v>
      </c>
      <c r="FP160" s="58">
        <f ca="1">IFERROR(FH160/$FH$165,0)</f>
        <v>5.0867244829886594E-3</v>
      </c>
      <c r="FQ160" s="23">
        <f t="shared" ca="1" si="87"/>
        <v>0.72112215103668953</v>
      </c>
      <c r="FR160" s="60">
        <f>SUMIFS(TME_MTD_Dist[Sell_WHS_QTY],TME_MTD_Dist[Region],master_Daily!$X160,TME_MTD_Dist[Brand],master_Daily!$Y160)/50000
 + SUMIFS(TME_MTD_Dist[Sell_RTL_QTY],TME_MTD_Dist[Region],master_Daily!$X160,TME_MTD_Dist[Brand],master_Daily!$Y160)/50000</f>
        <v>0</v>
      </c>
      <c r="FS160" s="23">
        <f t="shared" si="33"/>
        <v>0</v>
      </c>
      <c r="FT160" s="469">
        <v>6.5624799435209553E-3</v>
      </c>
      <c r="FU160" s="289">
        <f>FT160*$FU$165</f>
        <v>7.0679981353808111E-2</v>
      </c>
    </row>
    <row r="161" spans="2:178" outlineLevel="1">
      <c r="B161" s="631" t="s">
        <v>130</v>
      </c>
      <c r="C161" s="74" t="s">
        <v>45</v>
      </c>
      <c r="D161" s="74"/>
      <c r="E161" s="21">
        <v>0.18</v>
      </c>
      <c r="F161" s="21">
        <v>0.12</v>
      </c>
      <c r="G161" s="21">
        <v>0.15</v>
      </c>
      <c r="H161" s="21">
        <v>0.10100000000000001</v>
      </c>
      <c r="I161" s="21">
        <v>3.9E-2</v>
      </c>
      <c r="J161" s="21">
        <v>0</v>
      </c>
      <c r="K161" s="21"/>
      <c r="L161" s="21"/>
      <c r="M161" s="21"/>
      <c r="N161" s="21"/>
      <c r="O161" s="21"/>
      <c r="P161" s="21"/>
      <c r="Q161" s="422">
        <v>8.1643612693246534E-2</v>
      </c>
      <c r="R161" s="72">
        <f>IFERROR(SUMIFS(Daily_Vol_yesterday[Order Quantity],Daily_Vol_yesterday[Cust_Cat.cust_channel],master_Daily!B161,Daily_Vol_yesterday[Map_Product.TME_Brand],master_Daily!C161)/50000,0)</f>
        <v>0</v>
      </c>
      <c r="S161" s="60">
        <f>IFERROR(SUM(SUMIFS(Weekly_Vol[Quantity],Weekly_Vol[Cust_Cat.cust_channel],master_Daily!B161,Weekly_Vol[Map_Product.TME_Brand],master_Daily!C161),SUMIFS(Daily_Vol[Order Quantity],Daily_Vol[Cust_Cat.cust_channel],master_Daily!B161,Daily_Vol[Map_Product.TME_Brand],master_Daily!C161))/50000,0)</f>
        <v>0</v>
      </c>
      <c r="T161" s="57">
        <f t="shared" si="74"/>
        <v>0.59</v>
      </c>
      <c r="U161" s="22">
        <f>IFERROR(T161/$T$165,0)</f>
        <v>3.2723239046034386E-2</v>
      </c>
      <c r="V161" s="23">
        <f t="shared" si="28"/>
        <v>0</v>
      </c>
      <c r="X161" s="20" t="s">
        <v>194</v>
      </c>
      <c r="Y161" s="20" t="s">
        <v>45</v>
      </c>
      <c r="Z161" s="20"/>
      <c r="AA161" s="179">
        <f t="shared" si="103"/>
        <v>5.1999999999999998E-2</v>
      </c>
      <c r="AB161" s="179">
        <f t="shared" si="90"/>
        <v>0</v>
      </c>
      <c r="AC161" s="179">
        <v>5.1999999999999998E-2</v>
      </c>
      <c r="AD161" s="179">
        <v>5.1999999999999998E-2</v>
      </c>
      <c r="AE161" s="179">
        <v>0</v>
      </c>
      <c r="AF161" s="179">
        <v>0</v>
      </c>
      <c r="AG161" s="179">
        <v>0</v>
      </c>
      <c r="AH161" s="179">
        <v>0</v>
      </c>
      <c r="AI161" s="179">
        <v>0</v>
      </c>
      <c r="AJ161" s="179">
        <v>0</v>
      </c>
      <c r="AK161" s="179">
        <f>SUM(AN161:AP161)</f>
        <v>1.4E-2</v>
      </c>
      <c r="AL161" s="179">
        <f t="shared" si="91"/>
        <v>0</v>
      </c>
      <c r="AM161" s="179">
        <v>1.4E-2</v>
      </c>
      <c r="AN161" s="179">
        <v>1.4E-2</v>
      </c>
      <c r="AO161" s="179">
        <v>0</v>
      </c>
      <c r="AP161" s="179">
        <v>0</v>
      </c>
      <c r="AQ161" s="179">
        <v>0</v>
      </c>
      <c r="AR161" s="179">
        <v>0</v>
      </c>
      <c r="AS161" s="179">
        <v>0</v>
      </c>
      <c r="AT161" s="179">
        <v>0</v>
      </c>
      <c r="AU161" s="179">
        <f t="shared" si="92"/>
        <v>1.4999999999999999E-2</v>
      </c>
      <c r="AV161" s="179">
        <f t="shared" si="75"/>
        <v>0</v>
      </c>
      <c r="AW161" s="179">
        <v>1.4999999999999999E-2</v>
      </c>
      <c r="AX161" s="179">
        <v>1.4999999999999999E-2</v>
      </c>
      <c r="AY161" s="179">
        <v>0</v>
      </c>
      <c r="AZ161" s="179">
        <v>0</v>
      </c>
      <c r="BA161" s="179">
        <v>0</v>
      </c>
      <c r="BB161" s="179">
        <v>0</v>
      </c>
      <c r="BC161" s="179">
        <v>0</v>
      </c>
      <c r="BD161" s="179">
        <v>0</v>
      </c>
      <c r="BE161" s="179">
        <f t="shared" si="93"/>
        <v>2E-3</v>
      </c>
      <c r="BF161" s="179">
        <f t="shared" si="76"/>
        <v>0</v>
      </c>
      <c r="BG161" s="179">
        <v>2E-3</v>
      </c>
      <c r="BH161" s="179">
        <v>2E-3</v>
      </c>
      <c r="BI161" s="179">
        <v>0</v>
      </c>
      <c r="BJ161" s="179">
        <v>0</v>
      </c>
      <c r="BK161" s="179">
        <v>0</v>
      </c>
      <c r="BL161" s="179">
        <v>0</v>
      </c>
      <c r="BM161" s="179">
        <v>0</v>
      </c>
      <c r="BN161" s="179">
        <v>0</v>
      </c>
      <c r="BO161" s="179">
        <f t="shared" si="94"/>
        <v>1.7400000000000002E-2</v>
      </c>
      <c r="BP161" s="179">
        <f t="shared" si="77"/>
        <v>0</v>
      </c>
      <c r="BQ161" s="179">
        <v>1.7400000000000002E-2</v>
      </c>
      <c r="BR161" s="179">
        <v>1.7400000000000002E-2</v>
      </c>
      <c r="BS161" s="179">
        <v>0</v>
      </c>
      <c r="BT161" s="179">
        <v>0</v>
      </c>
      <c r="BU161" s="179">
        <v>0</v>
      </c>
      <c r="BV161" s="179">
        <v>0</v>
      </c>
      <c r="BW161" s="179">
        <v>0</v>
      </c>
      <c r="BX161" s="179">
        <v>0</v>
      </c>
      <c r="BY161" s="179">
        <f t="shared" si="95"/>
        <v>1.0999999999999999E-2</v>
      </c>
      <c r="BZ161" s="179">
        <f t="shared" si="78"/>
        <v>0</v>
      </c>
      <c r="CA161" s="179">
        <v>1.0999999999999999E-2</v>
      </c>
      <c r="CB161" s="179">
        <v>1.0999999999999999E-2</v>
      </c>
      <c r="CC161" s="179">
        <v>0</v>
      </c>
      <c r="CD161" s="179">
        <v>0</v>
      </c>
      <c r="CE161" s="179">
        <v>0</v>
      </c>
      <c r="CF161" s="179">
        <v>0</v>
      </c>
      <c r="CG161" s="179">
        <v>0</v>
      </c>
      <c r="CH161" s="179">
        <v>0</v>
      </c>
      <c r="CI161" s="179">
        <f t="shared" si="104"/>
        <v>0</v>
      </c>
      <c r="CJ161" s="179">
        <f t="shared" si="80"/>
        <v>0</v>
      </c>
      <c r="CK161" s="179"/>
      <c r="CL161" s="179"/>
      <c r="CM161" s="179"/>
      <c r="CN161" s="179"/>
      <c r="CO161" s="179">
        <v>0</v>
      </c>
      <c r="CP161" s="179">
        <v>0</v>
      </c>
      <c r="CQ161" s="179">
        <v>0</v>
      </c>
      <c r="CR161" s="179">
        <v>0</v>
      </c>
      <c r="CS161" s="179">
        <f t="shared" si="96"/>
        <v>0</v>
      </c>
      <c r="CT161" s="179">
        <f t="shared" si="81"/>
        <v>0</v>
      </c>
      <c r="CU161" s="179"/>
      <c r="CV161" s="179"/>
      <c r="CW161" s="179"/>
      <c r="CX161" s="179"/>
      <c r="CY161" s="179">
        <v>0</v>
      </c>
      <c r="CZ161" s="179">
        <v>0</v>
      </c>
      <c r="DA161" s="179">
        <v>0</v>
      </c>
      <c r="DB161" s="179">
        <v>0</v>
      </c>
      <c r="DC161" s="179">
        <f t="shared" si="97"/>
        <v>0</v>
      </c>
      <c r="DD161" s="179">
        <f t="shared" si="82"/>
        <v>0</v>
      </c>
      <c r="DE161" s="179"/>
      <c r="DF161" s="179"/>
      <c r="DG161" s="179"/>
      <c r="DH161" s="179"/>
      <c r="DI161" s="179">
        <v>0</v>
      </c>
      <c r="DJ161" s="179">
        <v>0</v>
      </c>
      <c r="DK161" s="179">
        <v>0</v>
      </c>
      <c r="DL161" s="179">
        <v>0</v>
      </c>
      <c r="DM161" s="179">
        <f t="shared" si="98"/>
        <v>0</v>
      </c>
      <c r="DN161" s="179">
        <f t="shared" si="83"/>
        <v>0</v>
      </c>
      <c r="DO161" s="179"/>
      <c r="DP161" s="179"/>
      <c r="DQ161" s="179"/>
      <c r="DR161" s="179"/>
      <c r="DS161" s="179">
        <v>0</v>
      </c>
      <c r="DT161" s="179">
        <v>0</v>
      </c>
      <c r="DU161" s="179">
        <v>0</v>
      </c>
      <c r="DV161" s="179">
        <v>0</v>
      </c>
      <c r="DW161" s="179">
        <f t="shared" si="99"/>
        <v>0</v>
      </c>
      <c r="DX161" s="179">
        <f t="shared" si="84"/>
        <v>0</v>
      </c>
      <c r="DY161" s="179"/>
      <c r="DZ161" s="179"/>
      <c r="EA161" s="179"/>
      <c r="EB161" s="179"/>
      <c r="EC161" s="179">
        <v>0</v>
      </c>
      <c r="ED161" s="179">
        <v>0</v>
      </c>
      <c r="EE161" s="179">
        <v>0</v>
      </c>
      <c r="EF161" s="179">
        <v>0</v>
      </c>
      <c r="EG161" s="179">
        <f t="shared" si="100"/>
        <v>0</v>
      </c>
      <c r="EH161" s="21">
        <f t="shared" si="85"/>
        <v>0</v>
      </c>
      <c r="EI161" s="70"/>
      <c r="EJ161" s="21"/>
      <c r="EK161" s="21"/>
      <c r="EL161" s="21"/>
      <c r="EM161" s="70">
        <v>0</v>
      </c>
      <c r="EN161" s="21">
        <v>0</v>
      </c>
      <c r="EO161" s="21">
        <v>0</v>
      </c>
      <c r="EP161" s="21">
        <v>0</v>
      </c>
      <c r="EQ161" s="181">
        <v>2.4581344612320456E-2</v>
      </c>
      <c r="ER161" s="21">
        <f ca="1">SUM(ES161:EU161)</f>
        <v>0</v>
      </c>
      <c r="ES161" s="60">
        <f ca="1">SUMIFS(TME_Yesterday[Sell_WHS_QTY],TME_Yesterday[Region],master_Daily!$X161,TME_Yesterday[Brand],master_Daily!$Y161)/50000+$ES$247+$ES$253+$ES$259+$ES$265</f>
        <v>0</v>
      </c>
      <c r="ET161" s="60">
        <f ca="1">SUMIFS(TME_Yesterday[Sell_RTL_QTY],TME_Yesterday[Region],master_Daily!$X161,TME_Yesterday[Brand],master_Daily!$Y161)/50000</f>
        <v>0</v>
      </c>
      <c r="EU161" s="60">
        <f ca="1">SUMIFS(TME_Yesterday[Sell_NEO_QTY],TME_Yesterday[Region],master_Daily!$X161,TME_Yesterday[Brand],master_Daily!$Y161)/50000</f>
        <v>0</v>
      </c>
      <c r="EV161" s="21">
        <f ca="1">SUM(EW161:EY161)</f>
        <v>0</v>
      </c>
      <c r="EW161" s="60">
        <f ca="1">SUMIFS(TME_Yesterday[FOC_WHS_QTY],TME_Yesterday[Region],master_Daily!$X161,TME_Yesterday[Brand],master_Daily!$Y161)/50000</f>
        <v>0</v>
      </c>
      <c r="EX161" s="60">
        <f ca="1">SUMIFS(TME_Yesterday[FOC_RTL_QTY],TME_Yesterday[Region],master_Daily!$X161,TME_Yesterday[Brand],master_Daily!$Y161)/50000</f>
        <v>0</v>
      </c>
      <c r="EY161" s="60">
        <f ca="1">SUMIFS(TME_Yesterday[FOC_NEO_QTY],TME_Yesterday[Region],master_Daily!$X161,TME_Yesterday[Brand],master_Daily!$Y161)/50000</f>
        <v>0</v>
      </c>
      <c r="EZ161" s="60">
        <f ca="1">SUM(FA161:FC161)</f>
        <v>1.0999999999999999E-2</v>
      </c>
      <c r="FA161" s="60">
        <f ca="1">SUMIFS(TME_MTD[Sell_WHS_QTY],TME_MTD[Region],master_Daily!$X161,TME_MTD[Brand],master_Daily!$Y161)/50000+$FA$247+$FA$253+$FA$259+$FA$265</f>
        <v>1.0999999999999999E-2</v>
      </c>
      <c r="FB161" s="60">
        <f ca="1">SUMIFS(TME_MTD[Sell_RTL_QTY],TME_MTD[Region],master_Daily!$X161,TME_MTD[Brand],master_Daily!$Y161)/50000</f>
        <v>0</v>
      </c>
      <c r="FC161" s="60">
        <f ca="1">SUMIFS(TME_MTD[Sell_NEO_QTY],TME_MTD[Region],master_Daily!$X161,TME_MTD[Brand],master_Daily!$Y161)/50000</f>
        <v>0</v>
      </c>
      <c r="FD161" s="60">
        <f ca="1">SUM(FE161:FG161)</f>
        <v>0</v>
      </c>
      <c r="FE161" s="60">
        <f ca="1">SUMIFS(TME_MTD[FOC_WHS_QTY],TME_MTD[Region],master_Daily!$X161,TME_MTD[Brand],master_Daily!$Y161)/50000</f>
        <v>0</v>
      </c>
      <c r="FF161" s="60">
        <f ca="1">SUMIFS(TME_MTD[FOC_RTL_QTY],TME_MTD[Region],master_Daily!$X161,TME_MTD[Brand],master_Daily!$Y161)/50000</f>
        <v>0</v>
      </c>
      <c r="FG161" s="60">
        <f ca="1">SUMIFS(TME_MTD[FOC_NEO_QTY],TME_MTD[Region],master_Daily!$X161,TME_MTD[Brand],master_Daily!$Y161)/50000</f>
        <v>0</v>
      </c>
      <c r="FH161" s="21">
        <f t="shared" ca="1" si="105"/>
        <v>0.1114</v>
      </c>
      <c r="FI161" s="21">
        <f t="shared" ca="1" si="105"/>
        <v>0.1114</v>
      </c>
      <c r="FJ161" s="21">
        <f t="shared" ca="1" si="105"/>
        <v>0</v>
      </c>
      <c r="FK161" s="21">
        <f t="shared" ca="1" si="105"/>
        <v>0</v>
      </c>
      <c r="FL161" s="21">
        <f t="shared" ca="1" si="105"/>
        <v>0</v>
      </c>
      <c r="FM161" s="21">
        <f t="shared" ca="1" si="105"/>
        <v>0</v>
      </c>
      <c r="FN161" s="21">
        <f t="shared" ca="1" si="105"/>
        <v>0</v>
      </c>
      <c r="FO161" s="21">
        <f t="shared" ca="1" si="105"/>
        <v>0</v>
      </c>
      <c r="FP161" s="58">
        <f ca="1">IFERROR(FH161/$FH$165,0)</f>
        <v>2.3223815877251503E-3</v>
      </c>
      <c r="FQ161" s="23">
        <f t="shared" ca="1" si="87"/>
        <v>0.44749382808321525</v>
      </c>
      <c r="FR161" s="60">
        <f>SUMIFS(TME_MTD_Dist[Sell_WHS_QTY],TME_MTD_Dist[Region],master_Daily!$X161,TME_MTD_Dist[Brand],master_Daily!$Y161)/50000
 + SUMIFS(TME_MTD_Dist[Sell_RTL_QTY],TME_MTD_Dist[Region],master_Daily!$X161,TME_MTD_Dist[Brand],master_Daily!$Y161)/50000</f>
        <v>0</v>
      </c>
      <c r="FS161" s="23">
        <f t="shared" si="33"/>
        <v>0</v>
      </c>
      <c r="FT161" s="469">
        <v>2.1981901033309797E-3</v>
      </c>
      <c r="FU161" s="289">
        <f>FT161*$FU$165</f>
        <v>2.3675201578170438E-2</v>
      </c>
    </row>
    <row r="162" spans="2:178" outlineLevel="1">
      <c r="B162" s="631" t="s">
        <v>130</v>
      </c>
      <c r="C162" s="74" t="s">
        <v>46</v>
      </c>
      <c r="D162" s="74"/>
      <c r="E162" s="21">
        <v>0.85</v>
      </c>
      <c r="F162" s="21">
        <v>0.25</v>
      </c>
      <c r="G162" s="21">
        <v>1.06</v>
      </c>
      <c r="H162" s="21">
        <v>1.3720000000000001</v>
      </c>
      <c r="I162" s="21">
        <v>0.628</v>
      </c>
      <c r="J162" s="21">
        <v>0.04</v>
      </c>
      <c r="K162" s="21"/>
      <c r="L162" s="21"/>
      <c r="M162" s="21"/>
      <c r="N162" s="21"/>
      <c r="O162" s="21"/>
      <c r="P162" s="21"/>
      <c r="Q162" s="422">
        <v>0.86148087876322221</v>
      </c>
      <c r="R162" s="72">
        <f>IFERROR(SUMIFS(Daily_Vol_yesterday[Order Quantity],Daily_Vol_yesterday[Cust_Cat.cust_channel],master_Daily!B162,Daily_Vol_yesterday[Map_Product.TME_Brand],master_Daily!C162)/50000,0)</f>
        <v>0</v>
      </c>
      <c r="S162" s="60">
        <f>IFERROR(SUM(SUMIFS(Weekly_Vol[Quantity],Weekly_Vol[Cust_Cat.cust_channel],master_Daily!B162,Weekly_Vol[Map_Product.TME_Brand],master_Daily!C162),SUMIFS(Daily_Vol[Order Quantity],Daily_Vol[Cust_Cat.cust_channel],master_Daily!B162,Daily_Vol[Map_Product.TME_Brand],master_Daily!C162))/50000,0)</f>
        <v>0.04</v>
      </c>
      <c r="T162" s="57">
        <f>SUM(E162:P162)</f>
        <v>4.2</v>
      </c>
      <c r="U162" s="22">
        <f>IFERROR(T162/$T$165,0)</f>
        <v>0.23294509151414308</v>
      </c>
      <c r="V162" s="23">
        <f t="shared" si="28"/>
        <v>4.6431674789376251E-2</v>
      </c>
      <c r="X162" s="20" t="s">
        <v>194</v>
      </c>
      <c r="Y162" s="20" t="s">
        <v>46</v>
      </c>
      <c r="Z162" s="20"/>
      <c r="AA162" s="179">
        <f t="shared" si="103"/>
        <v>2.1718000000000002</v>
      </c>
      <c r="AB162" s="179">
        <f t="shared" si="90"/>
        <v>0</v>
      </c>
      <c r="AC162" s="179">
        <v>2.1718000000000002</v>
      </c>
      <c r="AD162" s="179">
        <v>2.1718000000000002</v>
      </c>
      <c r="AE162" s="179">
        <v>0</v>
      </c>
      <c r="AF162" s="179">
        <v>0</v>
      </c>
      <c r="AG162" s="179">
        <v>0</v>
      </c>
      <c r="AH162" s="179">
        <v>0</v>
      </c>
      <c r="AI162" s="179">
        <v>0</v>
      </c>
      <c r="AJ162" s="179">
        <v>0</v>
      </c>
      <c r="AK162" s="179">
        <f>SUM(AN162:AP162)</f>
        <v>2.117</v>
      </c>
      <c r="AL162" s="179">
        <f t="shared" si="91"/>
        <v>0</v>
      </c>
      <c r="AM162" s="179">
        <v>2.117</v>
      </c>
      <c r="AN162" s="179">
        <v>2.117</v>
      </c>
      <c r="AO162" s="179">
        <v>0</v>
      </c>
      <c r="AP162" s="179">
        <v>0</v>
      </c>
      <c r="AQ162" s="179">
        <v>0</v>
      </c>
      <c r="AR162" s="179">
        <v>0</v>
      </c>
      <c r="AS162" s="179">
        <v>0</v>
      </c>
      <c r="AT162" s="179">
        <v>0</v>
      </c>
      <c r="AU162" s="179">
        <f t="shared" si="92"/>
        <v>1.58</v>
      </c>
      <c r="AV162" s="179">
        <f t="shared" si="75"/>
        <v>0</v>
      </c>
      <c r="AW162" s="179">
        <v>1.58</v>
      </c>
      <c r="AX162" s="179">
        <v>1.58</v>
      </c>
      <c r="AY162" s="179">
        <v>0</v>
      </c>
      <c r="AZ162" s="179">
        <v>0</v>
      </c>
      <c r="BA162" s="179">
        <v>0</v>
      </c>
      <c r="BB162" s="179">
        <v>0</v>
      </c>
      <c r="BC162" s="179">
        <v>0</v>
      </c>
      <c r="BD162" s="179">
        <v>0</v>
      </c>
      <c r="BE162" s="179">
        <f t="shared" si="93"/>
        <v>1.7589999999999999</v>
      </c>
      <c r="BF162" s="179">
        <f t="shared" si="76"/>
        <v>0</v>
      </c>
      <c r="BG162" s="179">
        <v>1.7589999999999999</v>
      </c>
      <c r="BH162" s="179">
        <v>1.7589999999999999</v>
      </c>
      <c r="BI162" s="179">
        <v>0</v>
      </c>
      <c r="BJ162" s="179">
        <v>0</v>
      </c>
      <c r="BK162" s="179">
        <v>0</v>
      </c>
      <c r="BL162" s="179">
        <v>0</v>
      </c>
      <c r="BM162" s="179">
        <v>0</v>
      </c>
      <c r="BN162" s="179">
        <v>0</v>
      </c>
      <c r="BO162" s="179">
        <f t="shared" si="94"/>
        <v>1.988</v>
      </c>
      <c r="BP162" s="179">
        <f t="shared" si="77"/>
        <v>0</v>
      </c>
      <c r="BQ162" s="179">
        <v>1.988</v>
      </c>
      <c r="BR162" s="179">
        <v>1.988</v>
      </c>
      <c r="BS162" s="179">
        <v>0</v>
      </c>
      <c r="BT162" s="179">
        <v>0</v>
      </c>
      <c r="BU162" s="179">
        <v>0</v>
      </c>
      <c r="BV162" s="179">
        <v>0</v>
      </c>
      <c r="BW162" s="179">
        <v>0</v>
      </c>
      <c r="BX162" s="179">
        <v>0</v>
      </c>
      <c r="BY162" s="179">
        <f t="shared" si="95"/>
        <v>1.19</v>
      </c>
      <c r="BZ162" s="179">
        <f t="shared" si="78"/>
        <v>0</v>
      </c>
      <c r="CA162" s="179">
        <v>1.19</v>
      </c>
      <c r="CB162" s="179">
        <v>1.19</v>
      </c>
      <c r="CC162" s="179">
        <v>0</v>
      </c>
      <c r="CD162" s="179">
        <v>0</v>
      </c>
      <c r="CE162" s="179">
        <v>0</v>
      </c>
      <c r="CF162" s="179">
        <v>0</v>
      </c>
      <c r="CG162" s="179">
        <v>0</v>
      </c>
      <c r="CH162" s="179">
        <v>0</v>
      </c>
      <c r="CI162" s="179">
        <f t="shared" si="104"/>
        <v>0</v>
      </c>
      <c r="CJ162" s="179">
        <f t="shared" si="80"/>
        <v>0</v>
      </c>
      <c r="CK162" s="179"/>
      <c r="CL162" s="179"/>
      <c r="CM162" s="179"/>
      <c r="CN162" s="179"/>
      <c r="CO162" s="179">
        <v>0</v>
      </c>
      <c r="CP162" s="179">
        <v>0</v>
      </c>
      <c r="CQ162" s="179">
        <v>0</v>
      </c>
      <c r="CR162" s="179">
        <v>0</v>
      </c>
      <c r="CS162" s="179">
        <f t="shared" si="96"/>
        <v>0</v>
      </c>
      <c r="CT162" s="179">
        <f t="shared" si="81"/>
        <v>0</v>
      </c>
      <c r="CU162" s="179"/>
      <c r="CV162" s="179"/>
      <c r="CW162" s="179"/>
      <c r="CX162" s="179"/>
      <c r="CY162" s="179">
        <v>0</v>
      </c>
      <c r="CZ162" s="179">
        <v>0</v>
      </c>
      <c r="DA162" s="179">
        <v>0</v>
      </c>
      <c r="DB162" s="179">
        <v>0</v>
      </c>
      <c r="DC162" s="179">
        <f t="shared" si="97"/>
        <v>0</v>
      </c>
      <c r="DD162" s="179">
        <f t="shared" si="82"/>
        <v>0</v>
      </c>
      <c r="DE162" s="179"/>
      <c r="DF162" s="179"/>
      <c r="DG162" s="179"/>
      <c r="DH162" s="179"/>
      <c r="DI162" s="179">
        <v>0</v>
      </c>
      <c r="DJ162" s="179">
        <v>0</v>
      </c>
      <c r="DK162" s="179">
        <v>0</v>
      </c>
      <c r="DL162" s="179">
        <v>0</v>
      </c>
      <c r="DM162" s="179">
        <f t="shared" si="98"/>
        <v>0</v>
      </c>
      <c r="DN162" s="179">
        <f t="shared" si="83"/>
        <v>0</v>
      </c>
      <c r="DO162" s="179"/>
      <c r="DP162" s="179"/>
      <c r="DQ162" s="179"/>
      <c r="DR162" s="179"/>
      <c r="DS162" s="179">
        <v>0</v>
      </c>
      <c r="DT162" s="179">
        <v>0</v>
      </c>
      <c r="DU162" s="179">
        <v>0</v>
      </c>
      <c r="DV162" s="179">
        <v>0</v>
      </c>
      <c r="DW162" s="179">
        <f t="shared" si="99"/>
        <v>0</v>
      </c>
      <c r="DX162" s="179">
        <f t="shared" si="84"/>
        <v>0</v>
      </c>
      <c r="DY162" s="179"/>
      <c r="DZ162" s="179"/>
      <c r="EA162" s="179"/>
      <c r="EB162" s="179"/>
      <c r="EC162" s="179">
        <v>0</v>
      </c>
      <c r="ED162" s="179">
        <v>0</v>
      </c>
      <c r="EE162" s="179">
        <v>0</v>
      </c>
      <c r="EF162" s="179">
        <v>0</v>
      </c>
      <c r="EG162" s="179">
        <f t="shared" si="100"/>
        <v>0</v>
      </c>
      <c r="EH162" s="21">
        <f t="shared" si="85"/>
        <v>0</v>
      </c>
      <c r="EI162" s="70"/>
      <c r="EJ162" s="21"/>
      <c r="EK162" s="21"/>
      <c r="EL162" s="21"/>
      <c r="EM162" s="70">
        <v>0</v>
      </c>
      <c r="EN162" s="21">
        <v>0</v>
      </c>
      <c r="EO162" s="21">
        <v>0</v>
      </c>
      <c r="EP162" s="21">
        <v>0</v>
      </c>
      <c r="EQ162" s="181">
        <v>2.121636843768635</v>
      </c>
      <c r="ER162" s="21">
        <f ca="1">SUM(ES162:EU162)</f>
        <v>0.24</v>
      </c>
      <c r="ES162" s="60">
        <f ca="1">SUMIFS(TME_Yesterday[Sell_WHS_QTY],TME_Yesterday[Region],master_Daily!$X162,TME_Yesterday[Brand],master_Daily!$Y162)/50000+$ES$248+$ES$254+$ES$260+$ES$266</f>
        <v>0.24</v>
      </c>
      <c r="ET162" s="60">
        <f ca="1">SUMIFS(TME_Yesterday[Sell_RTL_QTY],TME_Yesterday[Region],master_Daily!$X162,TME_Yesterday[Brand],master_Daily!$Y162)/50000</f>
        <v>0</v>
      </c>
      <c r="EU162" s="60">
        <f ca="1">SUMIFS(TME_Yesterday[Sell_NEO_QTY],TME_Yesterday[Region],master_Daily!$X162,TME_Yesterday[Brand],master_Daily!$Y162)/50000</f>
        <v>0</v>
      </c>
      <c r="EV162" s="21">
        <f ca="1">SUM(EW162:EY162)</f>
        <v>0</v>
      </c>
      <c r="EW162" s="60">
        <f ca="1">SUMIFS(TME_Yesterday[FOC_WHS_QTY],TME_Yesterday[Region],master_Daily!$X162,TME_Yesterday[Brand],master_Daily!$Y162)/50000</f>
        <v>0</v>
      </c>
      <c r="EX162" s="60">
        <f ca="1">SUMIFS(TME_Yesterday[FOC_RTL_QTY],TME_Yesterday[Region],master_Daily!$X162,TME_Yesterday[Brand],master_Daily!$Y162)/50000</f>
        <v>0</v>
      </c>
      <c r="EY162" s="60">
        <f ca="1">SUMIFS(TME_Yesterday[FOC_NEO_QTY],TME_Yesterday[Region],master_Daily!$X162,TME_Yesterday[Brand],master_Daily!$Y162)/50000</f>
        <v>0</v>
      </c>
      <c r="EZ162" s="60">
        <f ca="1">SUM(FA162:FC162)</f>
        <v>1.19</v>
      </c>
      <c r="FA162" s="60">
        <f ca="1">SUMIFS(TME_MTD[Sell_WHS_QTY],TME_MTD[Region],master_Daily!$X162,TME_MTD[Brand],master_Daily!$Y162)/50000+$FA$248+$FA$254+$FA$260+$FA$266</f>
        <v>1.19</v>
      </c>
      <c r="FB162" s="60">
        <f ca="1">SUMIFS(TME_MTD[Sell_RTL_QTY],TME_MTD[Region],master_Daily!$X162,TME_MTD[Brand],master_Daily!$Y162)/50000</f>
        <v>0</v>
      </c>
      <c r="FC162" s="60">
        <f ca="1">SUMIFS(TME_MTD[Sell_NEO_QTY],TME_MTD[Region],master_Daily!$X162,TME_MTD[Brand],master_Daily!$Y162)/50000</f>
        <v>0</v>
      </c>
      <c r="FD162" s="60">
        <f ca="1">SUM(FE162:FG162)</f>
        <v>0</v>
      </c>
      <c r="FE162" s="60">
        <f ca="1">SUMIFS(TME_MTD[FOC_WHS_QTY],TME_MTD[Region],master_Daily!$X162,TME_MTD[Brand],master_Daily!$Y162)/50000</f>
        <v>0</v>
      </c>
      <c r="FF162" s="60">
        <f ca="1">SUMIFS(TME_MTD[FOC_RTL_QTY],TME_MTD[Region],master_Daily!$X162,TME_MTD[Brand],master_Daily!$Y162)/50000</f>
        <v>0</v>
      </c>
      <c r="FG162" s="60">
        <f ca="1">SUMIFS(TME_MTD[FOC_NEO_QTY],TME_MTD[Region],master_Daily!$X162,TME_MTD[Brand],master_Daily!$Y162)/50000</f>
        <v>0</v>
      </c>
      <c r="FH162" s="21">
        <f t="shared" ca="1" si="105"/>
        <v>10.8058</v>
      </c>
      <c r="FI162" s="21">
        <f t="shared" ca="1" si="105"/>
        <v>10.8058</v>
      </c>
      <c r="FJ162" s="21">
        <f t="shared" ca="1" si="105"/>
        <v>0</v>
      </c>
      <c r="FK162" s="21">
        <f t="shared" ca="1" si="105"/>
        <v>0</v>
      </c>
      <c r="FL162" s="21">
        <f t="shared" ca="1" si="105"/>
        <v>0</v>
      </c>
      <c r="FM162" s="21">
        <f t="shared" ca="1" si="105"/>
        <v>0</v>
      </c>
      <c r="FN162" s="21">
        <f t="shared" ca="1" si="105"/>
        <v>0</v>
      </c>
      <c r="FO162" s="21">
        <f t="shared" ca="1" si="105"/>
        <v>0</v>
      </c>
      <c r="FP162" s="58">
        <f ca="1">IFERROR(FH162/$FH$165,0)</f>
        <v>0.22527101400933958</v>
      </c>
      <c r="FQ162" s="23">
        <f t="shared" ca="1" si="87"/>
        <v>0.56088769550505113</v>
      </c>
      <c r="FR162" s="60">
        <f>SUMIFS(TME_MTD_Dist[Sell_WHS_QTY],TME_MTD_Dist[Region],master_Daily!$X162,TME_MTD_Dist[Brand],master_Daily!$Y162)/50000
 + SUMIFS(TME_MTD_Dist[Sell_RTL_QTY],TME_MTD_Dist[Region],master_Daily!$X162,TME_MTD_Dist[Brand],master_Daily!$Y162)/50000</f>
        <v>0</v>
      </c>
      <c r="FS162" s="23">
        <f t="shared" si="33"/>
        <v>0</v>
      </c>
      <c r="FT162" s="469">
        <v>0.26434439381297731</v>
      </c>
      <c r="FU162" s="289">
        <f>FT162*$FU$165</f>
        <v>2.8470725985427587</v>
      </c>
    </row>
    <row r="163" spans="2:178" outlineLevel="1">
      <c r="B163" s="631" t="s">
        <v>130</v>
      </c>
      <c r="C163" s="74" t="s">
        <v>263</v>
      </c>
      <c r="D163" s="74"/>
      <c r="E163" s="21">
        <v>0.35</v>
      </c>
      <c r="F163" s="21">
        <v>2.57</v>
      </c>
      <c r="G163" s="21">
        <v>3.13</v>
      </c>
      <c r="H163" s="21">
        <v>2.3199999999999998</v>
      </c>
      <c r="I163" s="21">
        <v>1.81</v>
      </c>
      <c r="J163" s="21">
        <v>0.27</v>
      </c>
      <c r="K163" s="21"/>
      <c r="L163" s="21"/>
      <c r="M163" s="21"/>
      <c r="N163" s="21"/>
      <c r="O163" s="21"/>
      <c r="P163" s="21"/>
      <c r="Q163" s="422">
        <v>2.043905614320586</v>
      </c>
      <c r="R163" s="72">
        <f>IFERROR(SUMIFS(Daily_Vol_yesterday[Order Quantity],Daily_Vol_yesterday[Cust_Cat.cust_channel],master_Daily!B163,Daily_Vol_yesterday[Map_Product.TME_Brand],"CM")/50000,0)</f>
        <v>0</v>
      </c>
      <c r="S163" s="60">
        <f>IFERROR(SUM(SUMIFS(Weekly_Vol[Quantity],Weekly_Vol[Cust_Cat.cust_channel],master_Daily!B163,Weekly_Vol[Map_Product.TME_Brand],"CM"),SUMIFS(Daily_Vol[Order Quantity],Daily_Vol[Cust_Cat.cust_channel],master_Daily!B163,Daily_Vol[Map_Product.TME_Brand],"CM"))/50000,0)</f>
        <v>0.27</v>
      </c>
      <c r="T163" s="57">
        <f t="shared" si="74"/>
        <v>10.45</v>
      </c>
      <c r="U163" s="22">
        <f>IFERROR(T163/$T$165,0)</f>
        <v>0.57958957293399882</v>
      </c>
      <c r="V163" s="23">
        <f t="shared" si="28"/>
        <v>0.13210003344002291</v>
      </c>
      <c r="X163" s="20" t="s">
        <v>194</v>
      </c>
      <c r="Y163" s="20" t="s">
        <v>263</v>
      </c>
      <c r="Z163" s="20"/>
      <c r="AA163" s="179">
        <f t="shared" si="103"/>
        <v>5.3710000000000004</v>
      </c>
      <c r="AB163" s="179">
        <f t="shared" si="90"/>
        <v>0</v>
      </c>
      <c r="AC163" s="179">
        <v>5.3710000000000004</v>
      </c>
      <c r="AD163" s="179">
        <v>5.3710000000000004</v>
      </c>
      <c r="AE163" s="179">
        <v>0</v>
      </c>
      <c r="AF163" s="179">
        <v>0</v>
      </c>
      <c r="AG163" s="179">
        <v>0</v>
      </c>
      <c r="AH163" s="179">
        <v>0</v>
      </c>
      <c r="AI163" s="179">
        <v>0</v>
      </c>
      <c r="AJ163" s="179">
        <v>0</v>
      </c>
      <c r="AK163" s="179">
        <f>SUM(AN163:AP163)</f>
        <v>5.4269999999999996</v>
      </c>
      <c r="AL163" s="179">
        <f t="shared" si="91"/>
        <v>0</v>
      </c>
      <c r="AM163" s="179">
        <v>5.4269999999999996</v>
      </c>
      <c r="AN163" s="179">
        <v>5.4269999999999996</v>
      </c>
      <c r="AO163" s="179">
        <v>0</v>
      </c>
      <c r="AP163" s="179">
        <v>0</v>
      </c>
      <c r="AQ163" s="179">
        <v>0</v>
      </c>
      <c r="AR163" s="179">
        <v>0</v>
      </c>
      <c r="AS163" s="179">
        <v>0</v>
      </c>
      <c r="AT163" s="179">
        <v>0</v>
      </c>
      <c r="AU163" s="179">
        <f t="shared" si="92"/>
        <v>5.056</v>
      </c>
      <c r="AV163" s="179">
        <f t="shared" si="75"/>
        <v>0</v>
      </c>
      <c r="AW163" s="179">
        <v>5.056</v>
      </c>
      <c r="AX163" s="179">
        <v>5.056</v>
      </c>
      <c r="AY163" s="179">
        <v>0</v>
      </c>
      <c r="AZ163" s="179">
        <v>0</v>
      </c>
      <c r="BA163" s="179">
        <v>0</v>
      </c>
      <c r="BB163" s="179">
        <v>0</v>
      </c>
      <c r="BC163" s="179">
        <v>0</v>
      </c>
      <c r="BD163" s="179">
        <v>0</v>
      </c>
      <c r="BE163" s="179">
        <f t="shared" si="93"/>
        <v>5.9820000000000002</v>
      </c>
      <c r="BF163" s="179">
        <f t="shared" si="76"/>
        <v>0</v>
      </c>
      <c r="BG163" s="179">
        <v>5.9820000000000002</v>
      </c>
      <c r="BH163" s="179">
        <v>5.9820000000000002</v>
      </c>
      <c r="BI163" s="179">
        <v>0</v>
      </c>
      <c r="BJ163" s="179">
        <v>0</v>
      </c>
      <c r="BK163" s="179">
        <v>0</v>
      </c>
      <c r="BL163" s="179">
        <v>0</v>
      </c>
      <c r="BM163" s="179">
        <v>0</v>
      </c>
      <c r="BN163" s="179">
        <v>0</v>
      </c>
      <c r="BO163" s="179">
        <f t="shared" si="94"/>
        <v>5.4729999999999999</v>
      </c>
      <c r="BP163" s="179">
        <f t="shared" si="77"/>
        <v>0</v>
      </c>
      <c r="BQ163" s="179">
        <v>5.4729999999999999</v>
      </c>
      <c r="BR163" s="179">
        <v>5.4729999999999999</v>
      </c>
      <c r="BS163" s="179">
        <v>0</v>
      </c>
      <c r="BT163" s="179">
        <v>0</v>
      </c>
      <c r="BU163" s="179">
        <v>0</v>
      </c>
      <c r="BV163" s="179">
        <v>0</v>
      </c>
      <c r="BW163" s="179">
        <v>0</v>
      </c>
      <c r="BX163" s="179">
        <v>0</v>
      </c>
      <c r="BY163" s="179">
        <f t="shared" si="95"/>
        <v>2.1440000000000001</v>
      </c>
      <c r="BZ163" s="179">
        <f t="shared" si="78"/>
        <v>0</v>
      </c>
      <c r="CA163" s="179">
        <v>2.1440000000000001</v>
      </c>
      <c r="CB163" s="179">
        <v>2.1440000000000001</v>
      </c>
      <c r="CC163" s="179">
        <v>0</v>
      </c>
      <c r="CD163" s="179">
        <v>0</v>
      </c>
      <c r="CE163" s="179">
        <v>0</v>
      </c>
      <c r="CF163" s="179">
        <v>0</v>
      </c>
      <c r="CG163" s="179">
        <v>0</v>
      </c>
      <c r="CH163" s="179">
        <v>0</v>
      </c>
      <c r="CI163" s="179">
        <f t="shared" si="104"/>
        <v>0</v>
      </c>
      <c r="CJ163" s="179">
        <f t="shared" si="80"/>
        <v>0</v>
      </c>
      <c r="CK163" s="179"/>
      <c r="CL163" s="179"/>
      <c r="CM163" s="179"/>
      <c r="CN163" s="179"/>
      <c r="CO163" s="179">
        <v>0</v>
      </c>
      <c r="CP163" s="179">
        <v>0</v>
      </c>
      <c r="CQ163" s="179">
        <v>0</v>
      </c>
      <c r="CR163" s="179">
        <v>0</v>
      </c>
      <c r="CS163" s="179">
        <f t="shared" si="96"/>
        <v>0</v>
      </c>
      <c r="CT163" s="179">
        <f t="shared" si="81"/>
        <v>0</v>
      </c>
      <c r="CU163" s="179"/>
      <c r="CV163" s="179"/>
      <c r="CW163" s="179"/>
      <c r="CX163" s="179"/>
      <c r="CY163" s="179">
        <v>0</v>
      </c>
      <c r="CZ163" s="179">
        <v>0</v>
      </c>
      <c r="DA163" s="179">
        <v>0</v>
      </c>
      <c r="DB163" s="179">
        <v>0</v>
      </c>
      <c r="DC163" s="179">
        <f t="shared" si="97"/>
        <v>0</v>
      </c>
      <c r="DD163" s="179">
        <f t="shared" si="82"/>
        <v>0</v>
      </c>
      <c r="DE163" s="179"/>
      <c r="DF163" s="179"/>
      <c r="DG163" s="179"/>
      <c r="DH163" s="179"/>
      <c r="DI163" s="179">
        <v>0</v>
      </c>
      <c r="DJ163" s="179">
        <v>0</v>
      </c>
      <c r="DK163" s="179">
        <v>0</v>
      </c>
      <c r="DL163" s="179">
        <v>0</v>
      </c>
      <c r="DM163" s="179">
        <f t="shared" si="98"/>
        <v>0</v>
      </c>
      <c r="DN163" s="179">
        <f t="shared" si="83"/>
        <v>0</v>
      </c>
      <c r="DO163" s="179"/>
      <c r="DP163" s="179"/>
      <c r="DQ163" s="179"/>
      <c r="DR163" s="179"/>
      <c r="DS163" s="179">
        <v>0</v>
      </c>
      <c r="DT163" s="179">
        <v>0</v>
      </c>
      <c r="DU163" s="179">
        <v>0</v>
      </c>
      <c r="DV163" s="179">
        <v>0</v>
      </c>
      <c r="DW163" s="179">
        <f t="shared" si="99"/>
        <v>0</v>
      </c>
      <c r="DX163" s="179">
        <f t="shared" si="84"/>
        <v>0</v>
      </c>
      <c r="DY163" s="179"/>
      <c r="DZ163" s="179"/>
      <c r="EA163" s="179"/>
      <c r="EB163" s="179"/>
      <c r="EC163" s="179">
        <v>0</v>
      </c>
      <c r="ED163" s="179">
        <v>0</v>
      </c>
      <c r="EE163" s="179">
        <v>0</v>
      </c>
      <c r="EF163" s="179">
        <v>0</v>
      </c>
      <c r="EG163" s="179">
        <f t="shared" si="100"/>
        <v>0</v>
      </c>
      <c r="EH163" s="21">
        <f t="shared" si="85"/>
        <v>0</v>
      </c>
      <c r="EI163" s="70"/>
      <c r="EJ163" s="21"/>
      <c r="EK163" s="21"/>
      <c r="EL163" s="21"/>
      <c r="EM163" s="70">
        <v>0</v>
      </c>
      <c r="EN163" s="21">
        <v>0</v>
      </c>
      <c r="EO163" s="21">
        <v>0</v>
      </c>
      <c r="EP163" s="21">
        <v>0</v>
      </c>
      <c r="EQ163" s="181">
        <v>5.59590434884002</v>
      </c>
      <c r="ER163" s="21">
        <f ca="1">SUM(ES163:EU163)</f>
        <v>0.77</v>
      </c>
      <c r="ES163" s="60">
        <f ca="1">SUMIFS(TME_Yesterday[Sell_WHS_QTY],TME_Yesterday[Region],master_Daily!$X163,TME_Yesterday[Brand],"CM")/50000+$ES$249+$ES$255+$ES$261+$ES$267</f>
        <v>0.77</v>
      </c>
      <c r="ET163" s="60">
        <f ca="1">SUMIFS(TME_Yesterday[Sell_RTL_QTY],TME_Yesterday[Region],master_Daily!$X163,TME_Yesterday[Brand],"CM")/50000</f>
        <v>0</v>
      </c>
      <c r="EU163" s="60">
        <f ca="1">SUMIFS(TME_Yesterday[Sell_NEO_QTY],TME_Yesterday[Region],master_Daily!$X163,TME_Yesterday[Brand],"CM")/50000</f>
        <v>0</v>
      </c>
      <c r="EV163" s="21">
        <f ca="1">SUM(EW163:EY163)</f>
        <v>0</v>
      </c>
      <c r="EW163" s="60">
        <f ca="1">SUMIFS(TME_Yesterday[FOC_WHS_QTY],TME_Yesterday[Region],master_Daily!$X163,TME_Yesterday[Brand],"CM")/50000</f>
        <v>0</v>
      </c>
      <c r="EX163" s="60">
        <f ca="1">SUMIFS(TME_Yesterday[FOC_RTL_QTY],TME_Yesterday[Region],master_Daily!$X163,TME_Yesterday[Brand],"CM")/50000</f>
        <v>0</v>
      </c>
      <c r="EY163" s="60">
        <f ca="1">SUMIFS(TME_Yesterday[FOC_NEO_QTY],TME_Yesterday[Region],master_Daily!$X163,TME_Yesterday[Brand],"CM")/50000</f>
        <v>0</v>
      </c>
      <c r="EZ163" s="60">
        <f ca="1">SUM(FA163:FC163)</f>
        <v>2.1440000000000001</v>
      </c>
      <c r="FA163" s="60">
        <f ca="1">SUMIFS(TME_MTD[Sell_WHS_QTY],TME_MTD[Region],master_Daily!$X163,TME_MTD[Brand],"CM")/50000+$FA$249+$FA$255+$FA$261+$FA$267</f>
        <v>2.1440000000000001</v>
      </c>
      <c r="FB163" s="60">
        <f ca="1">SUMIFS(TME_MTD[Sell_RTL_QTY],TME_MTD[Region],master_Daily!$X163,TME_MTD[Brand],"CM")/50000</f>
        <v>0</v>
      </c>
      <c r="FC163" s="60">
        <f ca="1">SUMIFS(TME_MTD[Sell_NEO_QTY],TME_MTD[Region],master_Daily!$X163,TME_MTD[Brand],"CM")/50000</f>
        <v>0</v>
      </c>
      <c r="FD163" s="60">
        <f ca="1">SUM(FE163:FG163)</f>
        <v>0</v>
      </c>
      <c r="FE163" s="60">
        <f ca="1">SUMIFS(TME_MTD[FOC_WHS_QTY],TME_MTD[Region],master_Daily!$X163,TME_MTD[Brand],"CM")/50000</f>
        <v>0</v>
      </c>
      <c r="FF163" s="60">
        <f ca="1">SUMIFS(TME_MTD[FOC_RTL_QTY],TME_MTD[Region],master_Daily!$X163,TME_MTD[Brand],"CM")/50000</f>
        <v>0</v>
      </c>
      <c r="FG163" s="60">
        <f ca="1">SUMIFS(TME_MTD[FOC_NEO_QTY],TME_MTD[Region],master_Daily!$X163,TME_MTD[Brand],"CM")/50000</f>
        <v>0</v>
      </c>
      <c r="FH163" s="21">
        <f t="shared" ref="FH163:FK164" ca="1" si="106">SUMIFS($AA163:$EP163,$AA$129:$EP$129,INDIRECT(ADDRESS(129,COLUMN())))</f>
        <v>29.452999999999996</v>
      </c>
      <c r="FI163" s="21">
        <f t="shared" ca="1" si="106"/>
        <v>29.452999999999996</v>
      </c>
      <c r="FJ163" s="21">
        <f t="shared" ca="1" si="106"/>
        <v>0</v>
      </c>
      <c r="FK163" s="21">
        <f t="shared" ca="1" si="106"/>
        <v>0</v>
      </c>
      <c r="FL163" s="21">
        <f t="shared" ref="FL163:FO164" si="107">SUMIFS(AE163:ET163,$AA$129:$EP$129,$FH$129)</f>
        <v>0</v>
      </c>
      <c r="FM163" s="21">
        <f t="shared" si="107"/>
        <v>0</v>
      </c>
      <c r="FN163" s="21">
        <f t="shared" si="107"/>
        <v>0</v>
      </c>
      <c r="FO163" s="21">
        <f t="shared" si="107"/>
        <v>0</v>
      </c>
      <c r="FP163" s="58">
        <f ca="1">IFERROR(FH163/$FH$165,0)</f>
        <v>0.61401350900600393</v>
      </c>
      <c r="FQ163" s="23">
        <f t="shared" ca="1" si="87"/>
        <v>0.38313735659981962</v>
      </c>
      <c r="FR163" s="60">
        <f>SUMIFS(TME_MTD_Dist[Sell_WHS_QTY],TME_MTD_Dist[Region],master_Daily!$X163,TME_MTD_Dist[Brand],master_Daily!$Y163)/50000
 + SUMIFS(TME_MTD_Dist[Sell_RTL_QTY],TME_MTD_Dist[Region],master_Daily!$X163,TME_MTD_Dist[Brand],master_Daily!$Y163)/50000</f>
        <v>0</v>
      </c>
      <c r="FS163" s="23">
        <f t="shared" si="33"/>
        <v>0</v>
      </c>
      <c r="FT163" s="469">
        <v>0.64386111289390924</v>
      </c>
      <c r="FU163" s="289">
        <f>FT163*$FU$165</f>
        <v>6.9345875104293686</v>
      </c>
    </row>
    <row r="164" spans="2:178" outlineLevel="1">
      <c r="B164" s="631" t="s">
        <v>130</v>
      </c>
      <c r="C164" s="148" t="s">
        <v>264</v>
      </c>
      <c r="D164" s="148"/>
      <c r="E164" s="21">
        <v>0</v>
      </c>
      <c r="F164" s="21">
        <v>0.36</v>
      </c>
      <c r="G164" s="21">
        <v>0.41</v>
      </c>
      <c r="H164" s="21">
        <v>0.56999999999999995</v>
      </c>
      <c r="I164" s="21">
        <v>0.33</v>
      </c>
      <c r="J164" s="21">
        <v>0.04</v>
      </c>
      <c r="K164" s="21"/>
      <c r="L164" s="21"/>
      <c r="M164" s="21"/>
      <c r="N164" s="21"/>
      <c r="O164" s="21"/>
      <c r="P164" s="21"/>
      <c r="Q164" s="422">
        <v>0.30686737184703011</v>
      </c>
      <c r="R164" s="72">
        <f>IFERROR(SUMIFS(Daily_Vol_yesterday[Order Quantity],Daily_Vol_yesterday[Cust_Cat.cust_channel],master_Daily!B164,Daily_Vol_yesterday[Map_Product.TME_Brand],"CMHD")/50000,0)</f>
        <v>0</v>
      </c>
      <c r="S164" s="60">
        <f>IFERROR(SUM(SUMIFS(Weekly_Vol[Quantity],Weekly_Vol[Cust_Cat.cust_channel],master_Daily!B164,Weekly_Vol[Map_Product.TME_Brand],"CMHD"),SUMIFS(Daily_Vol[Order Quantity],Daily_Vol[Cust_Cat.cust_channel],master_Daily!B164,Daily_Vol[Map_Product.TME_Brand],"CMHD"))/50000,0)</f>
        <v>0.04</v>
      </c>
      <c r="T164" s="57">
        <f>SUM(E164:P164)</f>
        <v>1.71</v>
      </c>
      <c r="U164" s="22">
        <f>IFERROR(T164/$T$165,0)</f>
        <v>9.4841930116472531E-2</v>
      </c>
      <c r="V164" s="23">
        <f>IFERROR(S164/Q164,0)</f>
        <v>0.13034947234448746</v>
      </c>
      <c r="X164" s="20" t="s">
        <v>194</v>
      </c>
      <c r="Y164" s="151" t="s">
        <v>264</v>
      </c>
      <c r="Z164" s="151"/>
      <c r="AA164" s="179">
        <f t="shared" si="103"/>
        <v>0.94479999999999997</v>
      </c>
      <c r="AB164" s="179">
        <f t="shared" si="90"/>
        <v>0</v>
      </c>
      <c r="AC164" s="179">
        <v>0.94479999999999997</v>
      </c>
      <c r="AD164" s="179">
        <v>0.94479999999999997</v>
      </c>
      <c r="AE164" s="179">
        <v>0</v>
      </c>
      <c r="AF164" s="179">
        <v>0</v>
      </c>
      <c r="AG164" s="179">
        <v>0</v>
      </c>
      <c r="AH164" s="179">
        <v>0</v>
      </c>
      <c r="AI164" s="179">
        <v>0</v>
      </c>
      <c r="AJ164" s="179">
        <v>0</v>
      </c>
      <c r="AK164" s="179">
        <f>SUM(AN164:AP164)</f>
        <v>1.173</v>
      </c>
      <c r="AL164" s="179">
        <f t="shared" si="91"/>
        <v>0</v>
      </c>
      <c r="AM164" s="179">
        <v>1.173</v>
      </c>
      <c r="AN164" s="179">
        <v>1.173</v>
      </c>
      <c r="AO164" s="179">
        <v>0</v>
      </c>
      <c r="AP164" s="179">
        <v>0</v>
      </c>
      <c r="AQ164" s="179">
        <v>0</v>
      </c>
      <c r="AR164" s="179">
        <v>0</v>
      </c>
      <c r="AS164" s="179">
        <v>0</v>
      </c>
      <c r="AT164" s="179">
        <v>0</v>
      </c>
      <c r="AU164" s="179">
        <f t="shared" si="92"/>
        <v>1.377</v>
      </c>
      <c r="AV164" s="179">
        <f t="shared" si="75"/>
        <v>0</v>
      </c>
      <c r="AW164" s="179">
        <v>1.377</v>
      </c>
      <c r="AX164" s="179">
        <v>1.377</v>
      </c>
      <c r="AY164" s="179">
        <v>0</v>
      </c>
      <c r="AZ164" s="179">
        <v>0</v>
      </c>
      <c r="BA164" s="179">
        <v>0</v>
      </c>
      <c r="BB164" s="179">
        <v>0</v>
      </c>
      <c r="BC164" s="179">
        <v>0</v>
      </c>
      <c r="BD164" s="179">
        <v>0</v>
      </c>
      <c r="BE164" s="179">
        <f t="shared" si="93"/>
        <v>1.454</v>
      </c>
      <c r="BF164" s="179">
        <f t="shared" si="76"/>
        <v>0</v>
      </c>
      <c r="BG164" s="179">
        <v>1.454</v>
      </c>
      <c r="BH164" s="179">
        <v>1.454</v>
      </c>
      <c r="BI164" s="179">
        <v>0</v>
      </c>
      <c r="BJ164" s="179">
        <v>0</v>
      </c>
      <c r="BK164" s="179">
        <v>0</v>
      </c>
      <c r="BL164" s="179">
        <v>0</v>
      </c>
      <c r="BM164" s="179">
        <v>0</v>
      </c>
      <c r="BN164" s="179">
        <v>0</v>
      </c>
      <c r="BO164" s="179">
        <f t="shared" si="94"/>
        <v>1.5029999999999999</v>
      </c>
      <c r="BP164" s="179">
        <f t="shared" si="77"/>
        <v>0</v>
      </c>
      <c r="BQ164" s="179">
        <v>1.5029999999999999</v>
      </c>
      <c r="BR164" s="179">
        <v>1.5029999999999999</v>
      </c>
      <c r="BS164" s="179">
        <v>0</v>
      </c>
      <c r="BT164" s="179">
        <v>0</v>
      </c>
      <c r="BU164" s="179">
        <v>0</v>
      </c>
      <c r="BV164" s="179">
        <v>0</v>
      </c>
      <c r="BW164" s="179">
        <v>0</v>
      </c>
      <c r="BX164" s="179">
        <v>0</v>
      </c>
      <c r="BY164" s="179">
        <f t="shared" si="95"/>
        <v>0.90199999999999991</v>
      </c>
      <c r="BZ164" s="179">
        <f t="shared" si="78"/>
        <v>0</v>
      </c>
      <c r="CA164" s="179">
        <v>0.90199999999999991</v>
      </c>
      <c r="CB164" s="179">
        <v>0.90199999999999991</v>
      </c>
      <c r="CC164" s="179">
        <v>0</v>
      </c>
      <c r="CD164" s="179">
        <v>0</v>
      </c>
      <c r="CE164" s="179">
        <v>0</v>
      </c>
      <c r="CF164" s="179">
        <v>0</v>
      </c>
      <c r="CG164" s="179">
        <v>0</v>
      </c>
      <c r="CH164" s="179">
        <v>0</v>
      </c>
      <c r="CI164" s="179">
        <f t="shared" si="104"/>
        <v>0</v>
      </c>
      <c r="CJ164" s="179">
        <f t="shared" si="80"/>
        <v>0</v>
      </c>
      <c r="CK164" s="179"/>
      <c r="CL164" s="179"/>
      <c r="CM164" s="179"/>
      <c r="CN164" s="179"/>
      <c r="CO164" s="179">
        <v>0</v>
      </c>
      <c r="CP164" s="179">
        <v>0</v>
      </c>
      <c r="CQ164" s="179">
        <v>0</v>
      </c>
      <c r="CR164" s="179">
        <v>0</v>
      </c>
      <c r="CS164" s="179">
        <f t="shared" si="96"/>
        <v>0</v>
      </c>
      <c r="CT164" s="179">
        <f t="shared" si="81"/>
        <v>0</v>
      </c>
      <c r="CU164" s="179"/>
      <c r="CV164" s="179"/>
      <c r="CW164" s="179"/>
      <c r="CX164" s="179"/>
      <c r="CY164" s="179">
        <v>0</v>
      </c>
      <c r="CZ164" s="179">
        <v>0</v>
      </c>
      <c r="DA164" s="179">
        <v>0</v>
      </c>
      <c r="DB164" s="179">
        <v>0</v>
      </c>
      <c r="DC164" s="179">
        <f t="shared" si="97"/>
        <v>0</v>
      </c>
      <c r="DD164" s="179">
        <f t="shared" si="82"/>
        <v>0</v>
      </c>
      <c r="DE164" s="179"/>
      <c r="DF164" s="179"/>
      <c r="DG164" s="179"/>
      <c r="DH164" s="179"/>
      <c r="DI164" s="179">
        <v>0</v>
      </c>
      <c r="DJ164" s="179">
        <v>0</v>
      </c>
      <c r="DK164" s="179">
        <v>0</v>
      </c>
      <c r="DL164" s="179">
        <v>0</v>
      </c>
      <c r="DM164" s="179">
        <f t="shared" si="98"/>
        <v>0</v>
      </c>
      <c r="DN164" s="179">
        <f t="shared" si="83"/>
        <v>0</v>
      </c>
      <c r="DO164" s="179"/>
      <c r="DP164" s="179"/>
      <c r="DQ164" s="179"/>
      <c r="DR164" s="179"/>
      <c r="DS164" s="179">
        <v>0</v>
      </c>
      <c r="DT164" s="179">
        <v>0</v>
      </c>
      <c r="DU164" s="179">
        <v>0</v>
      </c>
      <c r="DV164" s="179">
        <v>0</v>
      </c>
      <c r="DW164" s="179">
        <f t="shared" si="99"/>
        <v>0</v>
      </c>
      <c r="DX164" s="179">
        <f t="shared" si="84"/>
        <v>0</v>
      </c>
      <c r="DY164" s="179"/>
      <c r="DZ164" s="179"/>
      <c r="EA164" s="179"/>
      <c r="EB164" s="179"/>
      <c r="EC164" s="179">
        <v>0</v>
      </c>
      <c r="ED164" s="179">
        <v>0</v>
      </c>
      <c r="EE164" s="179">
        <v>0</v>
      </c>
      <c r="EF164" s="179">
        <v>0</v>
      </c>
      <c r="EG164" s="179">
        <f t="shared" si="100"/>
        <v>0</v>
      </c>
      <c r="EH164" s="21">
        <f t="shared" si="85"/>
        <v>0</v>
      </c>
      <c r="EI164" s="70"/>
      <c r="EJ164" s="21"/>
      <c r="EK164" s="21"/>
      <c r="EL164" s="21"/>
      <c r="EM164" s="70">
        <v>0</v>
      </c>
      <c r="EN164" s="21">
        <v>0</v>
      </c>
      <c r="EO164" s="21">
        <v>0</v>
      </c>
      <c r="EP164" s="21">
        <v>0</v>
      </c>
      <c r="EQ164" s="181">
        <v>1.2615099597161632</v>
      </c>
      <c r="ER164" s="21">
        <f ca="1">SUM(ES164:EU164)</f>
        <v>0.28000000000000003</v>
      </c>
      <c r="ES164" s="60">
        <f ca="1">SUMIFS(TME_Yesterday[Sell_WHS_QTY],TME_Yesterday[Region],master_Daily!$X164,TME_Yesterday[Brand],"CMHD")/50000+$ES$250+$ES$256+$ES$262+$ES$268</f>
        <v>0.28000000000000003</v>
      </c>
      <c r="ET164" s="60">
        <f ca="1">SUMIFS(TME_Yesterday[Sell_RTL_QTY],TME_Yesterday[Region],master_Daily!$X164,TME_Yesterday[Brand],"CMHD")/50000</f>
        <v>0</v>
      </c>
      <c r="EU164" s="60">
        <f ca="1">SUMIFS(TME_Yesterday[Sell_NEO_QTY],TME_Yesterday[Region],master_Daily!$X164,TME_Yesterday[Brand],"CMHD")/50000</f>
        <v>0</v>
      </c>
      <c r="EV164" s="21">
        <f ca="1">SUM(EW164:EY164)</f>
        <v>0</v>
      </c>
      <c r="EW164" s="60">
        <f ca="1">SUMIFS(TME_Yesterday[FOC_WHS_QTY],TME_Yesterday[Region],master_Daily!$X164,TME_Yesterday[Brand],"CMHD")/50000</f>
        <v>0</v>
      </c>
      <c r="EX164" s="60">
        <f ca="1">SUMIFS(TME_Yesterday[FOC_RTL_QTY],TME_Yesterday[Region],master_Daily!$X164,TME_Yesterday[Brand],"CMHD")/50000</f>
        <v>0</v>
      </c>
      <c r="EY164" s="60">
        <f ca="1">SUMIFS(TME_Yesterday[FOC_NEO_QTY],TME_Yesterday[Region],master_Daily!$X164,TME_Yesterday[Brand],"CMHD")/50000</f>
        <v>0</v>
      </c>
      <c r="EZ164" s="60">
        <f ca="1">SUM(FA164:FC164)</f>
        <v>0.90199999999999991</v>
      </c>
      <c r="FA164" s="60">
        <f ca="1">SUMIFS(TME_MTD[Sell_WHS_QTY],TME_MTD[Region],master_Daily!$X164,TME_MTD[Brand],"CMHD")/50000+$FA$250+$FA$256+$FA$262+$FA$268</f>
        <v>0.90199999999999991</v>
      </c>
      <c r="FB164" s="60">
        <f ca="1">SUMIFS(TME_MTD[Sell_RTL_QTY],TME_MTD[Region],master_Daily!$X164,TME_MTD[Brand],"CMHD")/50000</f>
        <v>0</v>
      </c>
      <c r="FC164" s="60">
        <f ca="1">SUMIFS(TME_MTD[Sell_NEO_QTY],TME_MTD[Region],master_Daily!$X164,TME_MTD[Brand],"CMHD")/50000</f>
        <v>0</v>
      </c>
      <c r="FD164" s="60">
        <f ca="1">SUM(FE164:FG164)</f>
        <v>0</v>
      </c>
      <c r="FE164" s="60">
        <f ca="1">SUMIFS(TME_MTD[FOC_WHS_QTY],TME_MTD[Region],master_Daily!$X164,TME_MTD[Brand],"CMHD")/50000</f>
        <v>0</v>
      </c>
      <c r="FF164" s="60">
        <f ca="1">SUMIFS(TME_MTD[FOC_RTL_QTY],TME_MTD[Region],master_Daily!$X164,TME_MTD[Brand],"CMHD")/50000</f>
        <v>0</v>
      </c>
      <c r="FG164" s="60">
        <f ca="1">SUMIFS(TME_MTD[FOC_NEO_QTY],TME_MTD[Region],master_Daily!$X164,TME_MTD[Brand],"CMHD")/50000</f>
        <v>0</v>
      </c>
      <c r="FH164" s="21">
        <f t="shared" ca="1" si="106"/>
        <v>7.3537999999999997</v>
      </c>
      <c r="FI164" s="21">
        <f t="shared" ca="1" si="106"/>
        <v>7.3537999999999997</v>
      </c>
      <c r="FJ164" s="21">
        <f t="shared" ca="1" si="106"/>
        <v>0</v>
      </c>
      <c r="FK164" s="21">
        <f t="shared" ca="1" si="106"/>
        <v>0</v>
      </c>
      <c r="FL164" s="21">
        <f t="shared" si="107"/>
        <v>0</v>
      </c>
      <c r="FM164" s="21">
        <f t="shared" si="107"/>
        <v>0</v>
      </c>
      <c r="FN164" s="21">
        <f t="shared" si="107"/>
        <v>0</v>
      </c>
      <c r="FO164" s="21">
        <f t="shared" si="107"/>
        <v>0</v>
      </c>
      <c r="FP164" s="58">
        <f ca="1">IFERROR(FH164/$FH$165,0)</f>
        <v>0.15330637091394264</v>
      </c>
      <c r="FQ164" s="23">
        <f ca="1">IFERROR(EZ164/EQ164,0)</f>
        <v>0.71501615429413479</v>
      </c>
      <c r="FR164" s="60">
        <f>SUMIFS(TME_MTD_Dist[Sell_WHS_QTY],TME_MTD_Dist[Region],master_Daily!$X164,TME_MTD_Dist[Brand],master_Daily!$Y164)/50000
 + SUMIFS(TME_MTD_Dist[Sell_RTL_QTY],TME_MTD_Dist[Region],master_Daily!$X164,TME_MTD_Dist[Brand],master_Daily!$Y164)/50000</f>
        <v>0</v>
      </c>
      <c r="FS164" s="23">
        <f t="shared" si="33"/>
        <v>0</v>
      </c>
      <c r="FT164" s="469">
        <v>8.3033823246261476E-2</v>
      </c>
      <c r="FU164" s="289">
        <f>FT164*$FU$165</f>
        <v>0.89430049756957697</v>
      </c>
      <c r="FV164" s="289">
        <f>FU163+FU164</f>
        <v>7.8288880079989456</v>
      </c>
    </row>
    <row r="165" spans="2:178">
      <c r="B165" s="810" t="s">
        <v>198</v>
      </c>
      <c r="C165" s="811"/>
      <c r="D165" s="426"/>
      <c r="E165" s="63">
        <v>1.4500000000000002</v>
      </c>
      <c r="F165" s="63">
        <v>3.6799999999999997</v>
      </c>
      <c r="G165" s="63">
        <v>4.93</v>
      </c>
      <c r="H165" s="63">
        <v>4.6050000000000004</v>
      </c>
      <c r="I165" s="63">
        <v>2.9750000000000001</v>
      </c>
      <c r="J165" s="63">
        <v>0.39</v>
      </c>
      <c r="K165" s="63"/>
      <c r="L165" s="63"/>
      <c r="M165" s="63"/>
      <c r="N165" s="63"/>
      <c r="O165" s="63"/>
      <c r="P165" s="63"/>
      <c r="Q165" s="63">
        <f>SUM(Q160:Q164)</f>
        <v>3.46</v>
      </c>
      <c r="R165" s="63">
        <f>SUM(R160:R164)</f>
        <v>0</v>
      </c>
      <c r="S165" s="63">
        <f>SUM(S160:S164)</f>
        <v>0.39</v>
      </c>
      <c r="T165" s="63">
        <f>SUM(E165:P165)</f>
        <v>18.03</v>
      </c>
      <c r="U165" s="64">
        <f>IFERROR(T165/$T153,0)</f>
        <v>2.9976220527622721E-2</v>
      </c>
      <c r="V165" s="65">
        <f t="shared" si="28"/>
        <v>0.11271676300578035</v>
      </c>
      <c r="X165" s="776" t="s">
        <v>196</v>
      </c>
      <c r="Y165" s="777"/>
      <c r="Z165" s="426"/>
      <c r="AA165" s="63">
        <f>SUM(AA160:AA164)</f>
        <v>8.5916000000000015</v>
      </c>
      <c r="AB165" s="63">
        <f>SUM(AH165:AJ165)</f>
        <v>0</v>
      </c>
      <c r="AC165" s="63">
        <v>8.5916000000000015</v>
      </c>
      <c r="AD165" s="63">
        <v>8.5916000000000015</v>
      </c>
      <c r="AE165" s="63">
        <v>0</v>
      </c>
      <c r="AF165" s="63">
        <v>0</v>
      </c>
      <c r="AG165" s="63">
        <v>0</v>
      </c>
      <c r="AH165" s="63">
        <v>0</v>
      </c>
      <c r="AI165" s="63">
        <v>0</v>
      </c>
      <c r="AJ165" s="63">
        <v>0</v>
      </c>
      <c r="AK165" s="63">
        <f t="shared" ref="AK165:AK172" si="108">SUM(AN165:AP165)</f>
        <v>8.7809999999999988</v>
      </c>
      <c r="AL165" s="63">
        <f t="shared" si="91"/>
        <v>0</v>
      </c>
      <c r="AM165" s="63">
        <v>8.7809999999999988</v>
      </c>
      <c r="AN165" s="63">
        <v>8.7809999999999988</v>
      </c>
      <c r="AO165" s="63">
        <v>0</v>
      </c>
      <c r="AP165" s="63">
        <v>0</v>
      </c>
      <c r="AQ165" s="63">
        <v>0</v>
      </c>
      <c r="AR165" s="63">
        <v>0</v>
      </c>
      <c r="AS165" s="63">
        <v>0</v>
      </c>
      <c r="AT165" s="63">
        <v>0</v>
      </c>
      <c r="AU165" s="63">
        <f t="shared" si="92"/>
        <v>8.0731999999999999</v>
      </c>
      <c r="AV165" s="63">
        <f t="shared" si="75"/>
        <v>0</v>
      </c>
      <c r="AW165" s="63">
        <v>8.0731999999999999</v>
      </c>
      <c r="AX165" s="63">
        <v>8.0731999999999999</v>
      </c>
      <c r="AY165" s="63">
        <v>0</v>
      </c>
      <c r="AZ165" s="63">
        <v>0</v>
      </c>
      <c r="BA165" s="63">
        <v>0</v>
      </c>
      <c r="BB165" s="63">
        <v>0</v>
      </c>
      <c r="BC165" s="63">
        <v>0</v>
      </c>
      <c r="BD165" s="63">
        <v>0</v>
      </c>
      <c r="BE165" s="63">
        <f t="shared" si="93"/>
        <v>9.2287999999999997</v>
      </c>
      <c r="BF165" s="63">
        <f t="shared" si="76"/>
        <v>0</v>
      </c>
      <c r="BG165" s="63">
        <v>9.2287999999999997</v>
      </c>
      <c r="BH165" s="63">
        <v>9.2287999999999997</v>
      </c>
      <c r="BI165" s="63">
        <v>0</v>
      </c>
      <c r="BJ165" s="63">
        <v>0</v>
      </c>
      <c r="BK165" s="63">
        <v>0</v>
      </c>
      <c r="BL165" s="63">
        <v>0</v>
      </c>
      <c r="BM165" s="63">
        <v>0</v>
      </c>
      <c r="BN165" s="63">
        <v>0</v>
      </c>
      <c r="BO165" s="63">
        <f t="shared" si="94"/>
        <v>9.0107999999999997</v>
      </c>
      <c r="BP165" s="63">
        <f t="shared" si="77"/>
        <v>0</v>
      </c>
      <c r="BQ165" s="63">
        <v>9.0107999999999997</v>
      </c>
      <c r="BR165" s="63">
        <v>9.0107999999999997</v>
      </c>
      <c r="BS165" s="63">
        <v>0</v>
      </c>
      <c r="BT165" s="63">
        <v>0</v>
      </c>
      <c r="BU165" s="63">
        <v>0</v>
      </c>
      <c r="BV165" s="63">
        <v>0</v>
      </c>
      <c r="BW165" s="63">
        <v>0</v>
      </c>
      <c r="BX165" s="63">
        <v>0</v>
      </c>
      <c r="BY165" s="63">
        <f t="shared" si="95"/>
        <v>4.2826000000000004</v>
      </c>
      <c r="BZ165" s="63">
        <f t="shared" si="78"/>
        <v>0</v>
      </c>
      <c r="CA165" s="63">
        <v>4.2826000000000004</v>
      </c>
      <c r="CB165" s="63">
        <v>4.2826000000000004</v>
      </c>
      <c r="CC165" s="63">
        <v>0</v>
      </c>
      <c r="CD165" s="63">
        <v>0</v>
      </c>
      <c r="CE165" s="63">
        <v>0</v>
      </c>
      <c r="CF165" s="63">
        <v>0</v>
      </c>
      <c r="CG165" s="63">
        <v>0</v>
      </c>
      <c r="CH165" s="63">
        <v>0</v>
      </c>
      <c r="CI165" s="63">
        <f t="shared" si="104"/>
        <v>0</v>
      </c>
      <c r="CJ165" s="63">
        <f t="shared" si="80"/>
        <v>0</v>
      </c>
      <c r="CK165" s="63"/>
      <c r="CL165" s="63"/>
      <c r="CM165" s="63"/>
      <c r="CN165" s="63"/>
      <c r="CO165" s="63">
        <v>0</v>
      </c>
      <c r="CP165" s="63">
        <v>0</v>
      </c>
      <c r="CQ165" s="63">
        <v>0</v>
      </c>
      <c r="CR165" s="63">
        <v>0</v>
      </c>
      <c r="CS165" s="63">
        <f t="shared" si="96"/>
        <v>0</v>
      </c>
      <c r="CT165" s="63">
        <f t="shared" si="81"/>
        <v>0</v>
      </c>
      <c r="CU165" s="63"/>
      <c r="CV165" s="63"/>
      <c r="CW165" s="63"/>
      <c r="CX165" s="63"/>
      <c r="CY165" s="63">
        <v>0</v>
      </c>
      <c r="CZ165" s="63">
        <v>0</v>
      </c>
      <c r="DA165" s="63">
        <v>0</v>
      </c>
      <c r="DB165" s="63">
        <v>0</v>
      </c>
      <c r="DC165" s="63">
        <f t="shared" si="97"/>
        <v>0</v>
      </c>
      <c r="DD165" s="63">
        <f t="shared" si="82"/>
        <v>0</v>
      </c>
      <c r="DE165" s="63"/>
      <c r="DF165" s="63"/>
      <c r="DG165" s="63"/>
      <c r="DH165" s="63"/>
      <c r="DI165" s="63">
        <v>0</v>
      </c>
      <c r="DJ165" s="63">
        <v>0</v>
      </c>
      <c r="DK165" s="63">
        <v>0</v>
      </c>
      <c r="DL165" s="63">
        <v>0</v>
      </c>
      <c r="DM165" s="63">
        <f t="shared" si="98"/>
        <v>0</v>
      </c>
      <c r="DN165" s="63">
        <f t="shared" si="83"/>
        <v>0</v>
      </c>
      <c r="DO165" s="63"/>
      <c r="DP165" s="63"/>
      <c r="DQ165" s="63"/>
      <c r="DR165" s="63"/>
      <c r="DS165" s="63">
        <v>0</v>
      </c>
      <c r="DT165" s="63">
        <v>0</v>
      </c>
      <c r="DU165" s="63">
        <v>0</v>
      </c>
      <c r="DV165" s="63">
        <v>0</v>
      </c>
      <c r="DW165" s="63">
        <f t="shared" si="99"/>
        <v>0</v>
      </c>
      <c r="DX165" s="63">
        <f t="shared" si="84"/>
        <v>0</v>
      </c>
      <c r="DY165" s="63"/>
      <c r="DZ165" s="63"/>
      <c r="EA165" s="63"/>
      <c r="EB165" s="63"/>
      <c r="EC165" s="63">
        <v>0</v>
      </c>
      <c r="ED165" s="63">
        <v>0</v>
      </c>
      <c r="EE165" s="63">
        <v>0</v>
      </c>
      <c r="EF165" s="63">
        <v>0</v>
      </c>
      <c r="EG165" s="63">
        <f t="shared" si="100"/>
        <v>0</v>
      </c>
      <c r="EH165" s="63">
        <f t="shared" si="85"/>
        <v>0</v>
      </c>
      <c r="EI165" s="63"/>
      <c r="EJ165" s="63"/>
      <c r="EK165" s="63"/>
      <c r="EL165" s="63"/>
      <c r="EM165" s="63">
        <v>0</v>
      </c>
      <c r="EN165" s="63">
        <v>0</v>
      </c>
      <c r="EO165" s="63">
        <v>0</v>
      </c>
      <c r="EP165" s="63">
        <v>0</v>
      </c>
      <c r="EQ165" s="516">
        <f>SUM(EQ160:EQ164)</f>
        <v>9.052999999999999</v>
      </c>
      <c r="ER165" s="63">
        <f ca="1">SUM(ER160:ER164)</f>
        <v>1.3</v>
      </c>
      <c r="ES165" s="63">
        <f ca="1">SUM(ES160:ES164)</f>
        <v>1.3</v>
      </c>
      <c r="ET165" s="63">
        <f ca="1">SUM(ET160:ET164)</f>
        <v>0</v>
      </c>
      <c r="EU165" s="63">
        <f ca="1">SUM(EU160:EU164)</f>
        <v>0</v>
      </c>
      <c r="EV165" s="63">
        <f ca="1">SUM(EV160:EV163)</f>
        <v>0</v>
      </c>
      <c r="EW165" s="63">
        <f t="shared" ref="EW165:FC165" ca="1" si="109">SUM(EW160:EW164)</f>
        <v>0</v>
      </c>
      <c r="EX165" s="63">
        <f t="shared" ca="1" si="109"/>
        <v>0</v>
      </c>
      <c r="EY165" s="63">
        <f t="shared" ca="1" si="109"/>
        <v>0</v>
      </c>
      <c r="EZ165" s="63">
        <f t="shared" ca="1" si="109"/>
        <v>4.2826000000000004</v>
      </c>
      <c r="FA165" s="63">
        <f ca="1">SUM(FA160:FA164)</f>
        <v>4.2826000000000004</v>
      </c>
      <c r="FB165" s="63">
        <f t="shared" ca="1" si="109"/>
        <v>0</v>
      </c>
      <c r="FC165" s="63">
        <f t="shared" ca="1" si="109"/>
        <v>0</v>
      </c>
      <c r="FD165" s="63">
        <f ca="1">SUM(FD160:FD163)</f>
        <v>0</v>
      </c>
      <c r="FE165" s="63">
        <f t="shared" ref="FE165:FK165" ca="1" si="110">SUM(FE160:FE164)</f>
        <v>0</v>
      </c>
      <c r="FF165" s="63">
        <f t="shared" ca="1" si="110"/>
        <v>0</v>
      </c>
      <c r="FG165" s="63">
        <f t="shared" ca="1" si="110"/>
        <v>0</v>
      </c>
      <c r="FH165" s="63">
        <f ca="1">SUM(FH160:FH164)</f>
        <v>47.967999999999996</v>
      </c>
      <c r="FI165" s="63">
        <f t="shared" ca="1" si="110"/>
        <v>47.967999999999996</v>
      </c>
      <c r="FJ165" s="63">
        <f t="shared" ca="1" si="110"/>
        <v>0</v>
      </c>
      <c r="FK165" s="63">
        <f t="shared" ca="1" si="110"/>
        <v>0</v>
      </c>
      <c r="FL165" s="63">
        <f ca="1">SUM(FL160:FL163)</f>
        <v>0</v>
      </c>
      <c r="FM165" s="25">
        <f ca="1">SUM(FM160:FM164)</f>
        <v>0</v>
      </c>
      <c r="FN165" s="25">
        <f ca="1">SUM(FN160:FN164)</f>
        <v>0</v>
      </c>
      <c r="FO165" s="25">
        <f ca="1">SUM(FO160:FO164)</f>
        <v>0</v>
      </c>
      <c r="FP165" s="64">
        <f ca="1">IFERROR(FH165/$FH$153,0)</f>
        <v>0.32506749650319322</v>
      </c>
      <c r="FQ165" s="66">
        <f t="shared" ca="1" si="87"/>
        <v>0.47305865458963892</v>
      </c>
      <c r="FR165" s="63">
        <f>SUM(FR160:FR164)</f>
        <v>0</v>
      </c>
      <c r="FS165" s="66">
        <f t="shared" si="33"/>
        <v>0</v>
      </c>
      <c r="FT165" s="471">
        <v>4.4788020806983485E-2</v>
      </c>
      <c r="FU165" s="472">
        <v>10.770315789473683</v>
      </c>
    </row>
    <row r="166" spans="2:178" outlineLevel="1">
      <c r="B166" s="20" t="s">
        <v>274</v>
      </c>
      <c r="C166" s="74" t="s">
        <v>44</v>
      </c>
      <c r="D166" s="74"/>
      <c r="E166" s="60">
        <v>0</v>
      </c>
      <c r="F166" s="60">
        <v>0</v>
      </c>
      <c r="G166" s="60">
        <v>0</v>
      </c>
      <c r="H166" s="60">
        <v>0</v>
      </c>
      <c r="I166" s="60">
        <v>0</v>
      </c>
      <c r="J166" s="60">
        <v>0</v>
      </c>
      <c r="K166" s="60"/>
      <c r="L166" s="60"/>
      <c r="M166" s="60"/>
      <c r="N166" s="60"/>
      <c r="O166" s="60"/>
      <c r="P166" s="60"/>
      <c r="Q166" s="422">
        <v>0</v>
      </c>
      <c r="R166" s="72">
        <f>IFERROR(SUMIFS(Daily_Vol_yesterday[Order Quantity],Daily_Vol_yesterday[Cust_Cat.cust_channel],master_Daily!B166,Daily_Vol_yesterday[Map_Product.TME_Brand],master_Daily!C166)/50000,0)</f>
        <v>0</v>
      </c>
      <c r="S166" s="60">
        <f>IFERROR(SUM(SUMIFS(Weekly_Vol[Quantity],Weekly_Vol[Cust_Cat.cust_channel],master_Daily!B166,Weekly_Vol[Map_Product.TME_Brand],master_Daily!C166),SUMIFS(Daily_Vol[Order Quantity],Daily_Vol[Cust_Cat.cust_channel],master_Daily!B166,Daily_Vol[Map_Product.TME_Brand],master_Daily!C166))/50000,0)</f>
        <v>0</v>
      </c>
      <c r="T166" s="57">
        <f t="shared" si="74"/>
        <v>0</v>
      </c>
      <c r="U166" s="61">
        <f>IFERROR(T166/$T$171,0)</f>
        <v>0</v>
      </c>
      <c r="V166" s="62">
        <f t="shared" si="28"/>
        <v>0</v>
      </c>
      <c r="X166" s="20" t="s">
        <v>197</v>
      </c>
      <c r="Y166" s="20" t="s">
        <v>44</v>
      </c>
      <c r="Z166" s="20"/>
      <c r="AA166" s="179">
        <f t="shared" si="103"/>
        <v>4.0999999999999995E-2</v>
      </c>
      <c r="AB166" s="179">
        <f t="shared" si="90"/>
        <v>0</v>
      </c>
      <c r="AC166" s="179">
        <v>4.0999999999999995E-2</v>
      </c>
      <c r="AD166" s="180">
        <v>4.0999999999999995E-2</v>
      </c>
      <c r="AE166" s="180">
        <v>0</v>
      </c>
      <c r="AF166" s="180">
        <v>0</v>
      </c>
      <c r="AG166" s="179">
        <v>0</v>
      </c>
      <c r="AH166" s="180">
        <v>0</v>
      </c>
      <c r="AI166" s="180">
        <v>0</v>
      </c>
      <c r="AJ166" s="180">
        <v>0</v>
      </c>
      <c r="AK166" s="179">
        <f t="shared" si="108"/>
        <v>1.4999999999999999E-2</v>
      </c>
      <c r="AL166" s="179">
        <f t="shared" si="91"/>
        <v>0</v>
      </c>
      <c r="AM166" s="179">
        <v>1.4999999999999999E-2</v>
      </c>
      <c r="AN166" s="180">
        <v>1.4999999999999999E-2</v>
      </c>
      <c r="AO166" s="180">
        <v>0</v>
      </c>
      <c r="AP166" s="180">
        <v>0</v>
      </c>
      <c r="AQ166" s="179">
        <v>0</v>
      </c>
      <c r="AR166" s="180">
        <v>0</v>
      </c>
      <c r="AS166" s="180">
        <v>0</v>
      </c>
      <c r="AT166" s="180">
        <v>0</v>
      </c>
      <c r="AU166" s="179">
        <f t="shared" si="92"/>
        <v>2.4E-2</v>
      </c>
      <c r="AV166" s="179">
        <f t="shared" si="75"/>
        <v>0</v>
      </c>
      <c r="AW166" s="179">
        <v>2.4E-2</v>
      </c>
      <c r="AX166" s="180">
        <v>2.4E-2</v>
      </c>
      <c r="AY166" s="180">
        <v>0</v>
      </c>
      <c r="AZ166" s="180">
        <v>0</v>
      </c>
      <c r="BA166" s="179">
        <v>0</v>
      </c>
      <c r="BB166" s="180">
        <v>0</v>
      </c>
      <c r="BC166" s="180">
        <v>0</v>
      </c>
      <c r="BD166" s="180">
        <v>0</v>
      </c>
      <c r="BE166" s="179">
        <f t="shared" si="93"/>
        <v>3.3000000000000002E-2</v>
      </c>
      <c r="BF166" s="179">
        <f t="shared" si="76"/>
        <v>0</v>
      </c>
      <c r="BG166" s="179">
        <v>3.3000000000000002E-2</v>
      </c>
      <c r="BH166" s="180">
        <v>3.3000000000000002E-2</v>
      </c>
      <c r="BI166" s="180">
        <v>0</v>
      </c>
      <c r="BJ166" s="180">
        <v>0</v>
      </c>
      <c r="BK166" s="179">
        <v>0</v>
      </c>
      <c r="BL166" s="180">
        <v>0</v>
      </c>
      <c r="BM166" s="180">
        <v>0</v>
      </c>
      <c r="BN166" s="180">
        <v>0</v>
      </c>
      <c r="BO166" s="179">
        <f t="shared" si="94"/>
        <v>2.1600000000000001E-2</v>
      </c>
      <c r="BP166" s="179">
        <f t="shared" si="77"/>
        <v>0</v>
      </c>
      <c r="BQ166" s="179">
        <v>2.1600000000000001E-2</v>
      </c>
      <c r="BR166" s="180">
        <v>2.1600000000000001E-2</v>
      </c>
      <c r="BS166" s="180">
        <v>0</v>
      </c>
      <c r="BT166" s="180">
        <v>0</v>
      </c>
      <c r="BU166" s="179">
        <v>0</v>
      </c>
      <c r="BV166" s="180">
        <v>0</v>
      </c>
      <c r="BW166" s="180">
        <v>0</v>
      </c>
      <c r="BX166" s="180">
        <v>0</v>
      </c>
      <c r="BY166" s="179">
        <f t="shared" si="95"/>
        <v>3.0600000000000002E-2</v>
      </c>
      <c r="BZ166" s="179">
        <f t="shared" si="78"/>
        <v>0</v>
      </c>
      <c r="CA166" s="179">
        <v>3.0600000000000002E-2</v>
      </c>
      <c r="CB166" s="180">
        <v>3.0600000000000002E-2</v>
      </c>
      <c r="CC166" s="180">
        <v>0</v>
      </c>
      <c r="CD166" s="180">
        <v>0</v>
      </c>
      <c r="CE166" s="179">
        <v>0</v>
      </c>
      <c r="CF166" s="180">
        <v>0</v>
      </c>
      <c r="CG166" s="180">
        <v>0</v>
      </c>
      <c r="CH166" s="180">
        <v>0</v>
      </c>
      <c r="CI166" s="179">
        <f t="shared" si="104"/>
        <v>0</v>
      </c>
      <c r="CJ166" s="179">
        <f t="shared" si="80"/>
        <v>0</v>
      </c>
      <c r="CK166" s="179"/>
      <c r="CL166" s="180"/>
      <c r="CM166" s="180"/>
      <c r="CN166" s="180"/>
      <c r="CO166" s="179">
        <v>0</v>
      </c>
      <c r="CP166" s="180">
        <v>0</v>
      </c>
      <c r="CQ166" s="180">
        <v>0</v>
      </c>
      <c r="CR166" s="180">
        <v>0</v>
      </c>
      <c r="CS166" s="179">
        <f t="shared" si="96"/>
        <v>0</v>
      </c>
      <c r="CT166" s="179">
        <f t="shared" si="81"/>
        <v>0</v>
      </c>
      <c r="CU166" s="179"/>
      <c r="CV166" s="180"/>
      <c r="CW166" s="180"/>
      <c r="CX166" s="180"/>
      <c r="CY166" s="179">
        <v>0</v>
      </c>
      <c r="CZ166" s="180">
        <v>0</v>
      </c>
      <c r="DA166" s="180">
        <v>0</v>
      </c>
      <c r="DB166" s="180">
        <v>0</v>
      </c>
      <c r="DC166" s="179">
        <f t="shared" si="97"/>
        <v>0</v>
      </c>
      <c r="DD166" s="179">
        <f t="shared" si="82"/>
        <v>0</v>
      </c>
      <c r="DE166" s="179"/>
      <c r="DF166" s="180"/>
      <c r="DG166" s="180"/>
      <c r="DH166" s="180"/>
      <c r="DI166" s="179">
        <v>0</v>
      </c>
      <c r="DJ166" s="180">
        <v>0</v>
      </c>
      <c r="DK166" s="180">
        <v>0</v>
      </c>
      <c r="DL166" s="180">
        <v>0</v>
      </c>
      <c r="DM166" s="179">
        <f t="shared" si="98"/>
        <v>0</v>
      </c>
      <c r="DN166" s="179">
        <f t="shared" si="83"/>
        <v>0</v>
      </c>
      <c r="DO166" s="179"/>
      <c r="DP166" s="180"/>
      <c r="DQ166" s="180"/>
      <c r="DR166" s="180"/>
      <c r="DS166" s="179">
        <v>0</v>
      </c>
      <c r="DT166" s="180">
        <v>0</v>
      </c>
      <c r="DU166" s="180">
        <v>0</v>
      </c>
      <c r="DV166" s="180">
        <v>0</v>
      </c>
      <c r="DW166" s="179">
        <f t="shared" si="99"/>
        <v>0</v>
      </c>
      <c r="DX166" s="179">
        <f t="shared" si="84"/>
        <v>0</v>
      </c>
      <c r="DY166" s="179"/>
      <c r="DZ166" s="180"/>
      <c r="EA166" s="180"/>
      <c r="EB166" s="180"/>
      <c r="EC166" s="179">
        <v>0</v>
      </c>
      <c r="ED166" s="180">
        <v>0</v>
      </c>
      <c r="EE166" s="180">
        <v>0</v>
      </c>
      <c r="EF166" s="180">
        <v>0</v>
      </c>
      <c r="EG166" s="179">
        <f t="shared" si="100"/>
        <v>0</v>
      </c>
      <c r="EH166" s="21">
        <f t="shared" si="85"/>
        <v>0</v>
      </c>
      <c r="EI166" s="70"/>
      <c r="EJ166" s="60"/>
      <c r="EK166" s="60"/>
      <c r="EL166" s="60"/>
      <c r="EM166" s="70">
        <v>0</v>
      </c>
      <c r="EN166" s="60">
        <v>0</v>
      </c>
      <c r="EO166" s="60">
        <v>0</v>
      </c>
      <c r="EP166" s="60">
        <v>0</v>
      </c>
      <c r="EQ166" s="181">
        <v>3.2873466705794434E-2</v>
      </c>
      <c r="ER166" s="21">
        <f ca="1">SUM(ES166:EU166)</f>
        <v>0</v>
      </c>
      <c r="ES166" s="60">
        <f ca="1">SUMIFS(TME_Yesterday[Sell_WHS_QTY],TME_Yesterday[Region],master_Daily!$X166,TME_Yesterday[Brand],master_Daily!$Y166)/50000+$ES$270+$ES$276</f>
        <v>0</v>
      </c>
      <c r="ET166" s="60">
        <f ca="1">(SUMIFS(TME_Yesterday[Sell_RTL_QTY],TME_Yesterday[Region],master_Daily!$X166,TME_Yesterday[Brand],master_Daily!$Y166)/50000)
+SUMIFS($ET$204:$ET$209,$X$204:$X$209,"Supercheap",$Y$204:$Y$209,Y166)</f>
        <v>0</v>
      </c>
      <c r="EU166" s="60">
        <f ca="1">SUMIFS(TME_Yesterday[Sell_NEO_QTY],TME_Yesterday[Region],master_Daily!$X166,TME_Yesterday[Brand],master_Daily!$Y166)/50000</f>
        <v>0</v>
      </c>
      <c r="EV166" s="21">
        <f ca="1">SUM(EW166:EY166)</f>
        <v>0</v>
      </c>
      <c r="EW166" s="60">
        <f ca="1">SUMIFS(TME_Yesterday[FOC_WHS_QTY],TME_Yesterday[Region],master_Daily!$X166,TME_Yesterday[Brand],master_Daily!$Y166)/50000</f>
        <v>0</v>
      </c>
      <c r="EX166" s="60">
        <f ca="1">SUMIFS(TME_Yesterday[FOC_RTL_QTY],TME_Yesterday[Region],master_Daily!$X166,TME_Yesterday[Brand],master_Daily!$Y166)/50000</f>
        <v>0</v>
      </c>
      <c r="EY166" s="60">
        <f ca="1">SUMIFS(TME_Yesterday[FOC_NEO_QTY],TME_Yesterday[Region],master_Daily!$X166,TME_Yesterday[Brand],master_Daily!$Y166)/50000</f>
        <v>0</v>
      </c>
      <c r="EZ166" s="60">
        <f ca="1">SUM(FA166:FC166)</f>
        <v>3.0600000000000002E-2</v>
      </c>
      <c r="FA166" s="60">
        <f ca="1">SUMIFS(TME_MTD[Sell_WHS_QTY],TME_MTD[Region],master_Daily!$X166,TME_MTD[Brand],master_Daily!$Y166)/50000+$FA$270+$FA$276</f>
        <v>3.0600000000000002E-2</v>
      </c>
      <c r="FB166" s="60">
        <f ca="1">SUMIFS(TME_MTD[Sell_RTL_QTY],TME_MTD[Region],master_Daily!$X166,TME_MTD[Brand],master_Daily!$Y166)/50000+$FB$204</f>
        <v>0</v>
      </c>
      <c r="FC166" s="60">
        <f ca="1">SUMIFS(TME_MTD[Sell_NEO_QTY],TME_MTD[Region],master_Daily!$X166,TME_MTD[Brand],master_Daily!$Y166)/50000</f>
        <v>0</v>
      </c>
      <c r="FD166" s="60">
        <f ca="1">SUM(FE166:FG166)</f>
        <v>0</v>
      </c>
      <c r="FE166" s="60">
        <f ca="1">SUMIFS(TME_MTD[FOC_WHS_QTY],TME_MTD[Region],master_Daily!$X166,TME_MTD[Brand],master_Daily!$Y166)/50000</f>
        <v>0</v>
      </c>
      <c r="FF166" s="60">
        <f ca="1">SUMIFS(TME_MTD[FOC_RTL_QTY],TME_MTD[Region],master_Daily!$X166,TME_MTD[Brand],master_Daily!$Y166)/50000</f>
        <v>0</v>
      </c>
      <c r="FG166" s="60">
        <f ca="1">SUMIFS(TME_MTD[FOC_NEO_QTY],TME_MTD[Region],master_Daily!$X166,TME_MTD[Brand],master_Daily!$Y166)/50000</f>
        <v>0</v>
      </c>
      <c r="FH166" s="21">
        <f t="shared" ref="FH166:FO168" ca="1" si="111">SUMIFS($AA166:$EP166,$AA$129:$EP$129,INDIRECT(ADDRESS(129,COLUMN())))</f>
        <v>0.16520000000000001</v>
      </c>
      <c r="FI166" s="21">
        <f t="shared" ca="1" si="111"/>
        <v>0.16520000000000001</v>
      </c>
      <c r="FJ166" s="21">
        <f t="shared" ca="1" si="111"/>
        <v>0</v>
      </c>
      <c r="FK166" s="21">
        <f t="shared" ca="1" si="111"/>
        <v>0</v>
      </c>
      <c r="FL166" s="21">
        <f t="shared" ca="1" si="111"/>
        <v>0</v>
      </c>
      <c r="FM166" s="21">
        <f t="shared" ca="1" si="111"/>
        <v>0</v>
      </c>
      <c r="FN166" s="21">
        <f t="shared" ca="1" si="111"/>
        <v>0</v>
      </c>
      <c r="FO166" s="21">
        <f t="shared" ca="1" si="111"/>
        <v>0</v>
      </c>
      <c r="FP166" s="58">
        <f ca="1">IFERROR(FH166/$FH$171,0)</f>
        <v>5.7610757727932158E-3</v>
      </c>
      <c r="FQ166" s="23">
        <f ca="1">IFERROR(EZ166/EQ166,0)</f>
        <v>0.93084189367245229</v>
      </c>
      <c r="FR166" s="60">
        <f>SUMIFS(TME_MTD_Dist[Sell_WHS_QTY],TME_MTD_Dist[Region],master_Daily!$X166,TME_MTD_Dist[Brand],master_Daily!$Y166)/50000
 + SUMIFS(TME_MTD_Dist[Sell_RTL_QTY],TME_MTD_Dist[Region],master_Daily!$X166,TME_MTD_Dist[Brand],master_Daily!$Y166)/50000
+ SUMIFS($FR$204:$FR$209,$X$204:$X$209,"Supercheap",$Y$204:$Y$209,Y166)</f>
        <v>0</v>
      </c>
      <c r="FS166" s="23">
        <f>IFERROR(FR166/EQ166,0)</f>
        <v>0</v>
      </c>
      <c r="FT166" s="469">
        <v>1.0606728956971571E-2</v>
      </c>
      <c r="FU166" s="289">
        <f>FT166*$FU$171</f>
        <v>7.1790807571923354E-2</v>
      </c>
    </row>
    <row r="167" spans="2:178" outlineLevel="1">
      <c r="B167" s="20" t="s">
        <v>274</v>
      </c>
      <c r="C167" s="74" t="s">
        <v>45</v>
      </c>
      <c r="D167" s="74"/>
      <c r="E167" s="60">
        <v>0</v>
      </c>
      <c r="F167" s="60">
        <v>0</v>
      </c>
      <c r="G167" s="60">
        <v>0</v>
      </c>
      <c r="H167" s="60">
        <v>0</v>
      </c>
      <c r="I167" s="60">
        <v>0</v>
      </c>
      <c r="J167" s="60">
        <v>0</v>
      </c>
      <c r="K167" s="60"/>
      <c r="L167" s="60"/>
      <c r="M167" s="60"/>
      <c r="N167" s="60"/>
      <c r="O167" s="60"/>
      <c r="P167" s="60"/>
      <c r="Q167" s="422">
        <v>0</v>
      </c>
      <c r="R167" s="72">
        <f>IFERROR(SUMIFS(Daily_Vol_yesterday[Order Quantity],Daily_Vol_yesterday[Cust_Cat.cust_channel],master_Daily!B167,Daily_Vol_yesterday[Map_Product.TME_Brand],master_Daily!C167)/50000,0)</f>
        <v>0</v>
      </c>
      <c r="S167" s="60">
        <f>IFERROR(SUM(SUMIFS(Weekly_Vol[Quantity],Weekly_Vol[Cust_Cat.cust_channel],master_Daily!B167,Weekly_Vol[Map_Product.TME_Brand],master_Daily!C167),SUMIFS(Daily_Vol[Order Quantity],Daily_Vol[Cust_Cat.cust_channel],master_Daily!B167,Daily_Vol[Map_Product.TME_Brand],master_Daily!C167))/50000,0)</f>
        <v>0</v>
      </c>
      <c r="T167" s="57">
        <f t="shared" si="74"/>
        <v>0</v>
      </c>
      <c r="U167" s="61">
        <f>IFERROR(T167/$T$171,0)</f>
        <v>0</v>
      </c>
      <c r="V167" s="62">
        <f t="shared" si="28"/>
        <v>0</v>
      </c>
      <c r="X167" s="20" t="s">
        <v>197</v>
      </c>
      <c r="Y167" s="20" t="s">
        <v>45</v>
      </c>
      <c r="Z167" s="20"/>
      <c r="AA167" s="179">
        <f t="shared" si="103"/>
        <v>6.1199999999999997E-2</v>
      </c>
      <c r="AB167" s="179">
        <f t="shared" si="90"/>
        <v>0</v>
      </c>
      <c r="AC167" s="179">
        <v>6.1199999999999997E-2</v>
      </c>
      <c r="AD167" s="180">
        <v>6.1199999999999997E-2</v>
      </c>
      <c r="AE167" s="180">
        <v>0</v>
      </c>
      <c r="AF167" s="180">
        <v>0</v>
      </c>
      <c r="AG167" s="179">
        <v>0</v>
      </c>
      <c r="AH167" s="180">
        <v>0</v>
      </c>
      <c r="AI167" s="180">
        <v>0</v>
      </c>
      <c r="AJ167" s="180">
        <v>0</v>
      </c>
      <c r="AK167" s="179">
        <f t="shared" si="108"/>
        <v>5.5E-2</v>
      </c>
      <c r="AL167" s="179">
        <f t="shared" si="91"/>
        <v>0</v>
      </c>
      <c r="AM167" s="179">
        <v>5.5E-2</v>
      </c>
      <c r="AN167" s="180">
        <v>5.5E-2</v>
      </c>
      <c r="AO167" s="180">
        <v>0</v>
      </c>
      <c r="AP167" s="180">
        <v>0</v>
      </c>
      <c r="AQ167" s="179">
        <v>0</v>
      </c>
      <c r="AR167" s="180">
        <v>0</v>
      </c>
      <c r="AS167" s="180">
        <v>0</v>
      </c>
      <c r="AT167" s="180">
        <v>0</v>
      </c>
      <c r="AU167" s="179">
        <f t="shared" si="92"/>
        <v>7.5999999999999998E-2</v>
      </c>
      <c r="AV167" s="179">
        <f t="shared" si="75"/>
        <v>0</v>
      </c>
      <c r="AW167" s="179">
        <v>7.5999999999999998E-2</v>
      </c>
      <c r="AX167" s="180">
        <v>7.5999999999999998E-2</v>
      </c>
      <c r="AY167" s="180">
        <v>0</v>
      </c>
      <c r="AZ167" s="180">
        <v>0</v>
      </c>
      <c r="BA167" s="179">
        <v>0</v>
      </c>
      <c r="BB167" s="180">
        <v>0</v>
      </c>
      <c r="BC167" s="180">
        <v>0</v>
      </c>
      <c r="BD167" s="180">
        <v>0</v>
      </c>
      <c r="BE167" s="179">
        <f t="shared" si="93"/>
        <v>5.2999999999999999E-2</v>
      </c>
      <c r="BF167" s="179">
        <f t="shared" si="76"/>
        <v>0</v>
      </c>
      <c r="BG167" s="179">
        <v>5.2999999999999999E-2</v>
      </c>
      <c r="BH167" s="180">
        <v>5.2999999999999999E-2</v>
      </c>
      <c r="BI167" s="180">
        <v>0</v>
      </c>
      <c r="BJ167" s="180">
        <v>0</v>
      </c>
      <c r="BK167" s="179">
        <v>0</v>
      </c>
      <c r="BL167" s="180">
        <v>0</v>
      </c>
      <c r="BM167" s="180">
        <v>0</v>
      </c>
      <c r="BN167" s="180">
        <v>0</v>
      </c>
      <c r="BO167" s="179">
        <f t="shared" si="94"/>
        <v>8.0000000000000002E-3</v>
      </c>
      <c r="BP167" s="179">
        <f t="shared" si="77"/>
        <v>0</v>
      </c>
      <c r="BQ167" s="179">
        <v>8.0000000000000002E-3</v>
      </c>
      <c r="BR167" s="180">
        <v>8.0000000000000002E-3</v>
      </c>
      <c r="BS167" s="180">
        <v>0</v>
      </c>
      <c r="BT167" s="180">
        <v>0</v>
      </c>
      <c r="BU167" s="179">
        <v>0</v>
      </c>
      <c r="BV167" s="180">
        <v>0</v>
      </c>
      <c r="BW167" s="180">
        <v>0</v>
      </c>
      <c r="BX167" s="180">
        <v>0</v>
      </c>
      <c r="BY167" s="179">
        <f t="shared" si="95"/>
        <v>5.0000000000000001E-3</v>
      </c>
      <c r="BZ167" s="179">
        <f t="shared" si="78"/>
        <v>0</v>
      </c>
      <c r="CA167" s="179">
        <v>5.0000000000000001E-3</v>
      </c>
      <c r="CB167" s="180">
        <v>5.0000000000000001E-3</v>
      </c>
      <c r="CC167" s="180">
        <v>0</v>
      </c>
      <c r="CD167" s="180">
        <v>0</v>
      </c>
      <c r="CE167" s="179">
        <v>0</v>
      </c>
      <c r="CF167" s="180">
        <v>0</v>
      </c>
      <c r="CG167" s="180">
        <v>0</v>
      </c>
      <c r="CH167" s="180">
        <v>0</v>
      </c>
      <c r="CI167" s="179">
        <f t="shared" si="104"/>
        <v>0</v>
      </c>
      <c r="CJ167" s="179">
        <f t="shared" si="80"/>
        <v>0</v>
      </c>
      <c r="CK167" s="179"/>
      <c r="CL167" s="180"/>
      <c r="CM167" s="180"/>
      <c r="CN167" s="180"/>
      <c r="CO167" s="179">
        <v>0</v>
      </c>
      <c r="CP167" s="180">
        <v>0</v>
      </c>
      <c r="CQ167" s="180">
        <v>0</v>
      </c>
      <c r="CR167" s="180">
        <v>0</v>
      </c>
      <c r="CS167" s="179">
        <f t="shared" si="96"/>
        <v>0</v>
      </c>
      <c r="CT167" s="179">
        <f t="shared" si="81"/>
        <v>0</v>
      </c>
      <c r="CU167" s="179"/>
      <c r="CV167" s="180"/>
      <c r="CW167" s="180"/>
      <c r="CX167" s="180"/>
      <c r="CY167" s="179">
        <v>0</v>
      </c>
      <c r="CZ167" s="180">
        <v>0</v>
      </c>
      <c r="DA167" s="180">
        <v>0</v>
      </c>
      <c r="DB167" s="180">
        <v>0</v>
      </c>
      <c r="DC167" s="179">
        <f t="shared" si="97"/>
        <v>0</v>
      </c>
      <c r="DD167" s="179">
        <f t="shared" si="82"/>
        <v>0</v>
      </c>
      <c r="DE167" s="179"/>
      <c r="DF167" s="180"/>
      <c r="DG167" s="180"/>
      <c r="DH167" s="180"/>
      <c r="DI167" s="179">
        <v>0</v>
      </c>
      <c r="DJ167" s="180">
        <v>0</v>
      </c>
      <c r="DK167" s="180">
        <v>0</v>
      </c>
      <c r="DL167" s="180">
        <v>0</v>
      </c>
      <c r="DM167" s="179">
        <f t="shared" si="98"/>
        <v>0</v>
      </c>
      <c r="DN167" s="179">
        <f t="shared" si="83"/>
        <v>0</v>
      </c>
      <c r="DO167" s="179"/>
      <c r="DP167" s="180"/>
      <c r="DQ167" s="180"/>
      <c r="DR167" s="180"/>
      <c r="DS167" s="179">
        <v>0</v>
      </c>
      <c r="DT167" s="180">
        <v>0</v>
      </c>
      <c r="DU167" s="180">
        <v>0</v>
      </c>
      <c r="DV167" s="180">
        <v>0</v>
      </c>
      <c r="DW167" s="179">
        <f t="shared" si="99"/>
        <v>0</v>
      </c>
      <c r="DX167" s="179">
        <f t="shared" si="84"/>
        <v>0</v>
      </c>
      <c r="DY167" s="179"/>
      <c r="DZ167" s="180"/>
      <c r="EA167" s="180"/>
      <c r="EB167" s="180"/>
      <c r="EC167" s="179">
        <v>0</v>
      </c>
      <c r="ED167" s="180">
        <v>0</v>
      </c>
      <c r="EE167" s="180">
        <v>0</v>
      </c>
      <c r="EF167" s="180">
        <v>0</v>
      </c>
      <c r="EG167" s="179">
        <f t="shared" si="100"/>
        <v>0</v>
      </c>
      <c r="EH167" s="21">
        <f t="shared" si="85"/>
        <v>0</v>
      </c>
      <c r="EI167" s="70"/>
      <c r="EJ167" s="60"/>
      <c r="EK167" s="60"/>
      <c r="EL167" s="60"/>
      <c r="EM167" s="70">
        <v>0</v>
      </c>
      <c r="EN167" s="60">
        <v>0</v>
      </c>
      <c r="EO167" s="60">
        <v>0</v>
      </c>
      <c r="EP167" s="60">
        <v>0</v>
      </c>
      <c r="EQ167" s="181">
        <v>4.4249876426168414E-2</v>
      </c>
      <c r="ER167" s="21">
        <f ca="1">SUM(ES167:EU167)</f>
        <v>0</v>
      </c>
      <c r="ES167" s="60">
        <f ca="1">SUMIFS(TME_Yesterday[Sell_WHS_QTY],TME_Yesterday[Region],master_Daily!$X167,TME_Yesterday[Brand],master_Daily!$Y167)/50000+$ES$271+$ES$277</f>
        <v>0</v>
      </c>
      <c r="ET167" s="60">
        <f ca="1">(SUMIFS(TME_Yesterday[Sell_RTL_QTY],TME_Yesterday[Region],master_Daily!$X167,TME_Yesterday[Brand],master_Daily!$Y167)/50000)
+SUMIFS($ET$204:$ET$209,$X$204:$X$209,"Supercheap",$Y$204:$Y$209,Y167)</f>
        <v>0</v>
      </c>
      <c r="EU167" s="60">
        <f ca="1">SUMIFS(TME_Yesterday[Sell_NEO_QTY],TME_Yesterday[Region],master_Daily!$X167,TME_Yesterday[Brand],master_Daily!$Y167)/50000</f>
        <v>0</v>
      </c>
      <c r="EV167" s="21">
        <f ca="1">SUM(EW167:EY167)</f>
        <v>0</v>
      </c>
      <c r="EW167" s="60">
        <f ca="1">SUMIFS(TME_Yesterday[FOC_WHS_QTY],TME_Yesterday[Region],master_Daily!$X167,TME_Yesterday[Brand],master_Daily!$Y167)/50000</f>
        <v>0</v>
      </c>
      <c r="EX167" s="60">
        <f ca="1">SUMIFS(TME_Yesterday[FOC_RTL_QTY],TME_Yesterday[Region],master_Daily!$X167,TME_Yesterday[Brand],master_Daily!$Y167)/50000</f>
        <v>0</v>
      </c>
      <c r="EY167" s="60">
        <f ca="1">SUMIFS(TME_Yesterday[FOC_NEO_QTY],TME_Yesterday[Region],master_Daily!$X167,TME_Yesterday[Brand],master_Daily!$Y167)/50000</f>
        <v>0</v>
      </c>
      <c r="EZ167" s="60">
        <f ca="1">SUM(FA167:FC167)</f>
        <v>5.0000000000000001E-3</v>
      </c>
      <c r="FA167" s="60">
        <f ca="1">SUMIFS(TME_MTD[Sell_WHS_QTY],TME_MTD[Region],master_Daily!$X167,TME_MTD[Brand],master_Daily!$Y167)/50000+$FA$271+$FA$277</f>
        <v>5.0000000000000001E-3</v>
      </c>
      <c r="FB167" s="60">
        <f ca="1">SUMIFS(TME_MTD[Sell_RTL_QTY],TME_MTD[Region],master_Daily!$X167,TME_MTD[Brand],master_Daily!$Y167)/50000+$FB$205</f>
        <v>0</v>
      </c>
      <c r="FC167" s="60">
        <f ca="1">SUMIFS(TME_MTD[Sell_NEO_QTY],TME_MTD[Region],master_Daily!$X167,TME_MTD[Brand],master_Daily!$Y167)/50000</f>
        <v>0</v>
      </c>
      <c r="FD167" s="60">
        <f ca="1">SUM(FE167:FG167)</f>
        <v>0</v>
      </c>
      <c r="FE167" s="60">
        <f ca="1">SUMIFS(TME_MTD[FOC_WHS_QTY],TME_MTD[Region],master_Daily!$X167,TME_MTD[Brand],master_Daily!$Y167)/50000</f>
        <v>0</v>
      </c>
      <c r="FF167" s="60">
        <f ca="1">SUMIFS(TME_MTD[FOC_RTL_QTY],TME_MTD[Region],master_Daily!$X167,TME_MTD[Brand],master_Daily!$Y167)/50000</f>
        <v>0</v>
      </c>
      <c r="FG167" s="60">
        <f ca="1">SUMIFS(TME_MTD[FOC_NEO_QTY],TME_MTD[Region],master_Daily!$X167,TME_MTD[Brand],master_Daily!$Y167)/50000</f>
        <v>0</v>
      </c>
      <c r="FH167" s="21">
        <f t="shared" ca="1" si="111"/>
        <v>0.25819999999999999</v>
      </c>
      <c r="FI167" s="21">
        <f t="shared" ca="1" si="111"/>
        <v>0.25819999999999999</v>
      </c>
      <c r="FJ167" s="21">
        <f t="shared" ca="1" si="111"/>
        <v>0</v>
      </c>
      <c r="FK167" s="21">
        <f t="shared" ca="1" si="111"/>
        <v>0</v>
      </c>
      <c r="FL167" s="21">
        <f t="shared" ca="1" si="111"/>
        <v>0</v>
      </c>
      <c r="FM167" s="21">
        <f t="shared" ca="1" si="111"/>
        <v>0</v>
      </c>
      <c r="FN167" s="21">
        <f t="shared" ca="1" si="111"/>
        <v>0</v>
      </c>
      <c r="FO167" s="21">
        <f t="shared" ca="1" si="111"/>
        <v>0</v>
      </c>
      <c r="FP167" s="58">
        <f ca="1">IFERROR(FH167/$FH$171,0)</f>
        <v>9.0042963954915737E-3</v>
      </c>
      <c r="FQ167" s="23">
        <f ca="1">IFERROR(EZ167/EQ167,0)</f>
        <v>0.11299466583466229</v>
      </c>
      <c r="FR167" s="60">
        <f>SUMIFS(TME_MTD_Dist[Sell_WHS_QTY],TME_MTD_Dist[Region],master_Daily!$X167,TME_MTD_Dist[Brand],master_Daily!$Y167)/50000
 + SUMIFS(TME_MTD_Dist[Sell_RTL_QTY],TME_MTD_Dist[Region],master_Daily!$X167,TME_MTD_Dist[Brand],master_Daily!$Y167)/50000
+ SUMIFS($FR$204:$FR$209,$X$204:$X$209,"Supercheap",$Y$204:$Y$209,Y167)</f>
        <v>0</v>
      </c>
      <c r="FS167" s="23">
        <f>IFERROR(FR167/EQ167,0)</f>
        <v>0</v>
      </c>
      <c r="FT167" s="469">
        <v>4.3108633757067815E-3</v>
      </c>
      <c r="FU167" s="289">
        <f>FT167*$FU$171</f>
        <v>2.9177738427152211E-2</v>
      </c>
    </row>
    <row r="168" spans="2:178" outlineLevel="1">
      <c r="B168" s="20" t="s">
        <v>274</v>
      </c>
      <c r="C168" s="74" t="s">
        <v>46</v>
      </c>
      <c r="D168" s="74"/>
      <c r="E168" s="60">
        <v>0.79</v>
      </c>
      <c r="F168" s="60">
        <v>0.68</v>
      </c>
      <c r="G168" s="60">
        <v>1.1499999999999999</v>
      </c>
      <c r="H168" s="60">
        <v>1.03</v>
      </c>
      <c r="I168" s="60">
        <v>0.8</v>
      </c>
      <c r="J168" s="60">
        <v>0.38</v>
      </c>
      <c r="K168" s="60"/>
      <c r="L168" s="60"/>
      <c r="M168" s="60"/>
      <c r="N168" s="60"/>
      <c r="O168" s="60"/>
      <c r="P168" s="60"/>
      <c r="Q168" s="422">
        <v>0.77091304347826106</v>
      </c>
      <c r="R168" s="72">
        <f>IFERROR(SUMIFS(Daily_Vol_yesterday[Order Quantity],Daily_Vol_yesterday[Cust_Cat.cust_channel],master_Daily!B168,Daily_Vol_yesterday[Map_Product.TME_Brand],master_Daily!C168)/50000,0)</f>
        <v>0</v>
      </c>
      <c r="S168" s="60">
        <f>IFERROR(SUM(SUMIFS(Weekly_Vol[Quantity],Weekly_Vol[Cust_Cat.cust_channel],master_Daily!B168,Weekly_Vol[Map_Product.TME_Brand],master_Daily!C168),SUMIFS(Daily_Vol[Order Quantity],Daily_Vol[Cust_Cat.cust_channel],master_Daily!B168,Daily_Vol[Map_Product.TME_Brand],master_Daily!C168))/50000,0)</f>
        <v>0.38</v>
      </c>
      <c r="T168" s="57">
        <f>SUM(E168:P168)</f>
        <v>4.83</v>
      </c>
      <c r="U168" s="61">
        <f>IFERROR(T168/$T$171,0)</f>
        <v>0.20936280884265279</v>
      </c>
      <c r="V168" s="62">
        <f t="shared" si="28"/>
        <v>0.49292200101517103</v>
      </c>
      <c r="X168" s="20" t="s">
        <v>197</v>
      </c>
      <c r="Y168" s="20" t="s">
        <v>46</v>
      </c>
      <c r="Z168" s="20"/>
      <c r="AA168" s="179">
        <f t="shared" si="103"/>
        <v>1.2884</v>
      </c>
      <c r="AB168" s="179">
        <f t="shared" si="90"/>
        <v>0</v>
      </c>
      <c r="AC168" s="179">
        <v>1.2884</v>
      </c>
      <c r="AD168" s="180">
        <v>1.2884</v>
      </c>
      <c r="AE168" s="180">
        <v>0</v>
      </c>
      <c r="AF168" s="180">
        <v>0</v>
      </c>
      <c r="AG168" s="179">
        <v>0</v>
      </c>
      <c r="AH168" s="180">
        <v>0</v>
      </c>
      <c r="AI168" s="180">
        <v>0</v>
      </c>
      <c r="AJ168" s="180">
        <v>0</v>
      </c>
      <c r="AK168" s="179">
        <f t="shared" si="108"/>
        <v>1.534</v>
      </c>
      <c r="AL168" s="179">
        <f t="shared" si="91"/>
        <v>0</v>
      </c>
      <c r="AM168" s="179">
        <v>1.534</v>
      </c>
      <c r="AN168" s="180">
        <v>1.534</v>
      </c>
      <c r="AO168" s="180">
        <v>0</v>
      </c>
      <c r="AP168" s="180">
        <v>0</v>
      </c>
      <c r="AQ168" s="179">
        <v>0</v>
      </c>
      <c r="AR168" s="180">
        <v>0</v>
      </c>
      <c r="AS168" s="180">
        <v>0</v>
      </c>
      <c r="AT168" s="180">
        <v>0</v>
      </c>
      <c r="AU168" s="179">
        <f t="shared" si="92"/>
        <v>0.88</v>
      </c>
      <c r="AV168" s="179">
        <f t="shared" si="75"/>
        <v>0</v>
      </c>
      <c r="AW168" s="179">
        <v>0.88</v>
      </c>
      <c r="AX168" s="180">
        <v>0.88</v>
      </c>
      <c r="AY168" s="180">
        <v>0</v>
      </c>
      <c r="AZ168" s="180">
        <v>0</v>
      </c>
      <c r="BA168" s="179">
        <v>0</v>
      </c>
      <c r="BB168" s="180">
        <v>0</v>
      </c>
      <c r="BC168" s="180">
        <v>0</v>
      </c>
      <c r="BD168" s="180">
        <v>0</v>
      </c>
      <c r="BE168" s="179">
        <f t="shared" si="93"/>
        <v>1.44</v>
      </c>
      <c r="BF168" s="179">
        <f t="shared" si="76"/>
        <v>0</v>
      </c>
      <c r="BG168" s="179">
        <v>1.44</v>
      </c>
      <c r="BH168" s="180">
        <v>1.44</v>
      </c>
      <c r="BI168" s="180">
        <v>0</v>
      </c>
      <c r="BJ168" s="180">
        <v>0</v>
      </c>
      <c r="BK168" s="179">
        <v>0</v>
      </c>
      <c r="BL168" s="180">
        <v>0</v>
      </c>
      <c r="BM168" s="180">
        <v>0</v>
      </c>
      <c r="BN168" s="180">
        <v>0</v>
      </c>
      <c r="BO168" s="179">
        <f t="shared" si="94"/>
        <v>1.51</v>
      </c>
      <c r="BP168" s="179">
        <f t="shared" si="77"/>
        <v>0</v>
      </c>
      <c r="BQ168" s="179">
        <v>1.51</v>
      </c>
      <c r="BR168" s="180">
        <v>1.51</v>
      </c>
      <c r="BS168" s="180">
        <v>0</v>
      </c>
      <c r="BT168" s="180">
        <v>0</v>
      </c>
      <c r="BU168" s="179">
        <v>0</v>
      </c>
      <c r="BV168" s="180">
        <v>0</v>
      </c>
      <c r="BW168" s="180">
        <v>0</v>
      </c>
      <c r="BX168" s="180">
        <v>0</v>
      </c>
      <c r="BY168" s="179">
        <f t="shared" si="95"/>
        <v>0.48</v>
      </c>
      <c r="BZ168" s="179">
        <f t="shared" si="78"/>
        <v>0</v>
      </c>
      <c r="CA168" s="179">
        <v>0.48</v>
      </c>
      <c r="CB168" s="180">
        <v>0.48</v>
      </c>
      <c r="CC168" s="180">
        <v>0</v>
      </c>
      <c r="CD168" s="180">
        <v>0</v>
      </c>
      <c r="CE168" s="179">
        <v>0</v>
      </c>
      <c r="CF168" s="180">
        <v>0</v>
      </c>
      <c r="CG168" s="180">
        <v>0</v>
      </c>
      <c r="CH168" s="180">
        <v>0</v>
      </c>
      <c r="CI168" s="179">
        <f t="shared" si="104"/>
        <v>0</v>
      </c>
      <c r="CJ168" s="179">
        <f t="shared" si="80"/>
        <v>0</v>
      </c>
      <c r="CK168" s="179"/>
      <c r="CL168" s="180"/>
      <c r="CM168" s="180"/>
      <c r="CN168" s="180"/>
      <c r="CO168" s="179">
        <v>0</v>
      </c>
      <c r="CP168" s="180">
        <v>0</v>
      </c>
      <c r="CQ168" s="180">
        <v>0</v>
      </c>
      <c r="CR168" s="180">
        <v>0</v>
      </c>
      <c r="CS168" s="179">
        <f t="shared" si="96"/>
        <v>0</v>
      </c>
      <c r="CT168" s="179">
        <f t="shared" si="81"/>
        <v>0</v>
      </c>
      <c r="CU168" s="179"/>
      <c r="CV168" s="180"/>
      <c r="CW168" s="180"/>
      <c r="CX168" s="180"/>
      <c r="CY168" s="179">
        <v>0</v>
      </c>
      <c r="CZ168" s="180">
        <v>0</v>
      </c>
      <c r="DA168" s="180">
        <v>0</v>
      </c>
      <c r="DB168" s="180">
        <v>0</v>
      </c>
      <c r="DC168" s="179">
        <f t="shared" si="97"/>
        <v>0</v>
      </c>
      <c r="DD168" s="179">
        <f t="shared" si="82"/>
        <v>0</v>
      </c>
      <c r="DE168" s="179"/>
      <c r="DF168" s="180"/>
      <c r="DG168" s="180"/>
      <c r="DH168" s="180"/>
      <c r="DI168" s="179">
        <v>0</v>
      </c>
      <c r="DJ168" s="180">
        <v>0</v>
      </c>
      <c r="DK168" s="180">
        <v>0</v>
      </c>
      <c r="DL168" s="180">
        <v>0</v>
      </c>
      <c r="DM168" s="179">
        <f t="shared" si="98"/>
        <v>0</v>
      </c>
      <c r="DN168" s="179">
        <f t="shared" si="83"/>
        <v>0</v>
      </c>
      <c r="DO168" s="179"/>
      <c r="DP168" s="180"/>
      <c r="DQ168" s="180"/>
      <c r="DR168" s="180"/>
      <c r="DS168" s="179">
        <v>0</v>
      </c>
      <c r="DT168" s="180">
        <v>0</v>
      </c>
      <c r="DU168" s="180">
        <v>0</v>
      </c>
      <c r="DV168" s="180">
        <v>0</v>
      </c>
      <c r="DW168" s="179">
        <f t="shared" si="99"/>
        <v>0</v>
      </c>
      <c r="DX168" s="179">
        <f t="shared" si="84"/>
        <v>0</v>
      </c>
      <c r="DY168" s="179"/>
      <c r="DZ168" s="180"/>
      <c r="EA168" s="180"/>
      <c r="EB168" s="180"/>
      <c r="EC168" s="179">
        <v>0</v>
      </c>
      <c r="ED168" s="180">
        <v>0</v>
      </c>
      <c r="EE168" s="180">
        <v>0</v>
      </c>
      <c r="EF168" s="180">
        <v>0</v>
      </c>
      <c r="EG168" s="179">
        <f t="shared" si="100"/>
        <v>0</v>
      </c>
      <c r="EH168" s="21">
        <f t="shared" si="85"/>
        <v>0</v>
      </c>
      <c r="EI168" s="70"/>
      <c r="EJ168" s="60"/>
      <c r="EK168" s="60"/>
      <c r="EL168" s="60"/>
      <c r="EM168" s="70">
        <v>0</v>
      </c>
      <c r="EN168" s="60">
        <v>0</v>
      </c>
      <c r="EO168" s="60">
        <v>0</v>
      </c>
      <c r="EP168" s="60">
        <v>0</v>
      </c>
      <c r="EQ168" s="181">
        <v>1.1791645696976116</v>
      </c>
      <c r="ER168" s="21">
        <f ca="1">SUM(ES168:EU168)</f>
        <v>0</v>
      </c>
      <c r="ES168" s="60">
        <f ca="1">SUMIFS(TME_Yesterday[Sell_WHS_QTY],TME_Yesterday[Region],master_Daily!$X168,TME_Yesterday[Brand],master_Daily!$Y168)/50000+$ES$272+$ES$278</f>
        <v>0</v>
      </c>
      <c r="ET168" s="60">
        <f ca="1">(SUMIFS(TME_Yesterday[Sell_RTL_QTY],TME_Yesterday[Region],master_Daily!$X168,TME_Yesterday[Brand],master_Daily!$Y168)/50000)
+SUMIFS($ET$204:$ET$209,$X$204:$X$209,"Supercheap",$Y$204:$Y$209,Y168)</f>
        <v>0</v>
      </c>
      <c r="EU168" s="60">
        <f ca="1">SUMIFS(TME_Yesterday[Sell_NEO_QTY],TME_Yesterday[Region],master_Daily!$X168,TME_Yesterday[Brand],master_Daily!$Y168)/50000</f>
        <v>0</v>
      </c>
      <c r="EV168" s="21">
        <f ca="1">SUM(EW168:EY168)</f>
        <v>0</v>
      </c>
      <c r="EW168" s="60">
        <f ca="1">SUMIFS(TME_Yesterday[FOC_WHS_QTY],TME_Yesterday[Region],master_Daily!$X168,TME_Yesterday[Brand],master_Daily!$Y168)/50000</f>
        <v>0</v>
      </c>
      <c r="EX168" s="60">
        <f ca="1">SUMIFS(TME_Yesterday[FOC_RTL_QTY],TME_Yesterday[Region],master_Daily!$X168,TME_Yesterday[Brand],master_Daily!$Y168)/50000</f>
        <v>0</v>
      </c>
      <c r="EY168" s="60">
        <f ca="1">SUMIFS(TME_Yesterday[FOC_NEO_QTY],TME_Yesterday[Region],master_Daily!$X168,TME_Yesterday[Brand],master_Daily!$Y168)/50000</f>
        <v>0</v>
      </c>
      <c r="EZ168" s="60">
        <f ca="1">SUM(FA168:FC168)</f>
        <v>0.48</v>
      </c>
      <c r="FA168" s="60">
        <f ca="1">SUMIFS(TME_MTD[Sell_WHS_QTY],TME_MTD[Region],master_Daily!$X168,TME_MTD[Brand],master_Daily!$Y168)/50000+$FA$272+$FA$278</f>
        <v>0.48</v>
      </c>
      <c r="FB168" s="60">
        <f ca="1">SUMIFS(TME_MTD[Sell_RTL_QTY],TME_MTD[Region],master_Daily!$X168,TME_MTD[Brand],master_Daily!$Y168)/50000+$FB$206</f>
        <v>0</v>
      </c>
      <c r="FC168" s="60">
        <f ca="1">SUMIFS(TME_MTD[Sell_NEO_QTY],TME_MTD[Region],master_Daily!$X168,TME_MTD[Brand],master_Daily!$Y168)/50000</f>
        <v>0</v>
      </c>
      <c r="FD168" s="60">
        <f ca="1">SUM(FE168:FG168)</f>
        <v>0</v>
      </c>
      <c r="FE168" s="60">
        <f ca="1">SUMIFS(TME_MTD[FOC_WHS_QTY],TME_MTD[Region],master_Daily!$X168,TME_MTD[Brand],master_Daily!$Y168)/50000</f>
        <v>0</v>
      </c>
      <c r="FF168" s="60">
        <f ca="1">SUMIFS(TME_MTD[FOC_RTL_QTY],TME_MTD[Region],master_Daily!$X168,TME_MTD[Brand],master_Daily!$Y168)/50000</f>
        <v>0</v>
      </c>
      <c r="FG168" s="60">
        <f ca="1">SUMIFS(TME_MTD[FOC_NEO_QTY],TME_MTD[Region],master_Daily!$X168,TME_MTD[Brand],master_Daily!$Y168)/50000</f>
        <v>0</v>
      </c>
      <c r="FH168" s="21">
        <f t="shared" ca="1" si="111"/>
        <v>7.1324000000000005</v>
      </c>
      <c r="FI168" s="21">
        <f t="shared" ca="1" si="111"/>
        <v>7.1324000000000005</v>
      </c>
      <c r="FJ168" s="21">
        <f t="shared" ca="1" si="111"/>
        <v>0</v>
      </c>
      <c r="FK168" s="21">
        <f t="shared" ca="1" si="111"/>
        <v>0</v>
      </c>
      <c r="FL168" s="21">
        <f t="shared" ca="1" si="111"/>
        <v>0</v>
      </c>
      <c r="FM168" s="21">
        <f t="shared" ca="1" si="111"/>
        <v>0</v>
      </c>
      <c r="FN168" s="21">
        <f t="shared" ca="1" si="111"/>
        <v>0</v>
      </c>
      <c r="FO168" s="21">
        <f t="shared" ca="1" si="111"/>
        <v>0</v>
      </c>
      <c r="FP168" s="58">
        <f ca="1">IFERROR(FH168/$FH$171,0)</f>
        <v>0.24873061042294389</v>
      </c>
      <c r="FQ168" s="23">
        <f t="shared" ca="1" si="87"/>
        <v>0.40706786171763332</v>
      </c>
      <c r="FR168" s="60">
        <f>SUMIFS(TME_MTD_Dist[Sell_WHS_QTY],TME_MTD_Dist[Region],master_Daily!$X168,TME_MTD_Dist[Brand],master_Daily!$Y168)/50000
 + SUMIFS(TME_MTD_Dist[Sell_RTL_QTY],TME_MTD_Dist[Region],master_Daily!$X168,TME_MTD_Dist[Brand],master_Daily!$Y168)/50000
+ SUMIFS($FR$204:$FR$209,$X$204:$X$209,"Supercheap",$Y$204:$Y$209,Y168)</f>
        <v>0</v>
      </c>
      <c r="FS168" s="23">
        <f t="shared" si="33"/>
        <v>0</v>
      </c>
      <c r="FT168" s="469">
        <v>0.24461643341219877</v>
      </c>
      <c r="FU168" s="289">
        <f>FT168*$FU$171</f>
        <v>1.6556670177267767</v>
      </c>
    </row>
    <row r="169" spans="2:178" outlineLevel="1">
      <c r="B169" s="20" t="s">
        <v>274</v>
      </c>
      <c r="C169" s="74" t="s">
        <v>263</v>
      </c>
      <c r="D169" s="74"/>
      <c r="E169" s="60">
        <v>2.25</v>
      </c>
      <c r="F169" s="60">
        <v>2.23</v>
      </c>
      <c r="G169" s="60">
        <v>2.94</v>
      </c>
      <c r="H169" s="60">
        <v>3.08</v>
      </c>
      <c r="I169" s="60">
        <v>2.36</v>
      </c>
      <c r="J169" s="60">
        <v>1.26</v>
      </c>
      <c r="K169" s="60"/>
      <c r="L169" s="60"/>
      <c r="M169" s="60"/>
      <c r="N169" s="60"/>
      <c r="O169" s="60"/>
      <c r="P169" s="60"/>
      <c r="Q169" s="422">
        <v>2.1678695652173916</v>
      </c>
      <c r="R169" s="72">
        <f>IFERROR(SUMIFS(Daily_Vol_yesterday[Order Quantity],Daily_Vol_yesterday[Cust_Cat.cust_channel],master_Daily!B169,Daily_Vol_yesterday[Map_Product.TME_Brand],"CM")/50000,0)</f>
        <v>0</v>
      </c>
      <c r="S169" s="60">
        <f>IFERROR(SUM(SUMIFS(Weekly_Vol[Quantity],Weekly_Vol[Cust_Cat.cust_channel],master_Daily!B169,Weekly_Vol[Map_Product.TME_Brand],"CM"),SUMIFS(Daily_Vol[Order Quantity],Daily_Vol[Cust_Cat.cust_channel],master_Daily!B169,Daily_Vol[Map_Product.TME_Brand],"CM"))/50000,0)</f>
        <v>1.26</v>
      </c>
      <c r="T169" s="57">
        <f t="shared" si="74"/>
        <v>14.12</v>
      </c>
      <c r="U169" s="61">
        <f>IFERROR(T169/$T$171,0)</f>
        <v>0.61205028175119203</v>
      </c>
      <c r="V169" s="62">
        <f t="shared" si="28"/>
        <v>0.58121577986803308</v>
      </c>
      <c r="X169" s="20" t="s">
        <v>197</v>
      </c>
      <c r="Y169" s="20" t="s">
        <v>263</v>
      </c>
      <c r="Z169" s="20"/>
      <c r="AA169" s="179">
        <f t="shared" si="103"/>
        <v>3.9314</v>
      </c>
      <c r="AB169" s="179">
        <f t="shared" si="90"/>
        <v>0</v>
      </c>
      <c r="AC169" s="179">
        <v>3.9314</v>
      </c>
      <c r="AD169" s="180">
        <v>3.9314</v>
      </c>
      <c r="AE169" s="180">
        <v>0</v>
      </c>
      <c r="AF169" s="180">
        <v>0</v>
      </c>
      <c r="AG169" s="179">
        <v>0</v>
      </c>
      <c r="AH169" s="180">
        <v>0</v>
      </c>
      <c r="AI169" s="180">
        <v>0</v>
      </c>
      <c r="AJ169" s="180">
        <v>0</v>
      </c>
      <c r="AK169" s="179">
        <f t="shared" si="108"/>
        <v>4.18</v>
      </c>
      <c r="AL169" s="179">
        <f t="shared" si="91"/>
        <v>0</v>
      </c>
      <c r="AM169" s="179">
        <v>4.18</v>
      </c>
      <c r="AN169" s="180">
        <v>4.18</v>
      </c>
      <c r="AO169" s="180">
        <v>0</v>
      </c>
      <c r="AP169" s="180">
        <v>0</v>
      </c>
      <c r="AQ169" s="179">
        <v>0</v>
      </c>
      <c r="AR169" s="180">
        <v>0</v>
      </c>
      <c r="AS169" s="180">
        <v>0</v>
      </c>
      <c r="AT169" s="180">
        <v>0</v>
      </c>
      <c r="AU169" s="179">
        <f t="shared" si="92"/>
        <v>4.4169999999999998</v>
      </c>
      <c r="AV169" s="179">
        <f t="shared" si="75"/>
        <v>0</v>
      </c>
      <c r="AW169" s="179">
        <v>4.4169999999999998</v>
      </c>
      <c r="AX169" s="180">
        <v>4.4169999999999998</v>
      </c>
      <c r="AY169" s="180">
        <v>0</v>
      </c>
      <c r="AZ169" s="180">
        <v>0</v>
      </c>
      <c r="BA169" s="179">
        <v>0</v>
      </c>
      <c r="BB169" s="180">
        <v>0</v>
      </c>
      <c r="BC169" s="180">
        <v>0</v>
      </c>
      <c r="BD169" s="180">
        <v>0</v>
      </c>
      <c r="BE169" s="179">
        <f t="shared" si="93"/>
        <v>3.8360000000000003</v>
      </c>
      <c r="BF169" s="179">
        <f t="shared" si="76"/>
        <v>0</v>
      </c>
      <c r="BG169" s="179">
        <v>3.8360000000000003</v>
      </c>
      <c r="BH169" s="180">
        <v>3.8360000000000003</v>
      </c>
      <c r="BI169" s="180">
        <v>0</v>
      </c>
      <c r="BJ169" s="180">
        <v>0</v>
      </c>
      <c r="BK169" s="179">
        <v>0</v>
      </c>
      <c r="BL169" s="180">
        <v>0</v>
      </c>
      <c r="BM169" s="180">
        <v>0</v>
      </c>
      <c r="BN169" s="180">
        <v>0</v>
      </c>
      <c r="BO169" s="179">
        <f t="shared" si="94"/>
        <v>2.3079999999999998</v>
      </c>
      <c r="BP169" s="179">
        <f t="shared" si="77"/>
        <v>0</v>
      </c>
      <c r="BQ169" s="179">
        <v>2.3079999999999998</v>
      </c>
      <c r="BR169" s="180">
        <v>2.3079999999999998</v>
      </c>
      <c r="BS169" s="180">
        <v>0</v>
      </c>
      <c r="BT169" s="180">
        <v>0</v>
      </c>
      <c r="BU169" s="179">
        <v>0</v>
      </c>
      <c r="BV169" s="180">
        <v>0</v>
      </c>
      <c r="BW169" s="180">
        <v>0</v>
      </c>
      <c r="BX169" s="180">
        <v>0</v>
      </c>
      <c r="BY169" s="179">
        <f t="shared" si="95"/>
        <v>1.54</v>
      </c>
      <c r="BZ169" s="179">
        <f t="shared" si="78"/>
        <v>0</v>
      </c>
      <c r="CA169" s="179">
        <v>1.54</v>
      </c>
      <c r="CB169" s="180">
        <v>1.54</v>
      </c>
      <c r="CC169" s="180">
        <v>0</v>
      </c>
      <c r="CD169" s="180">
        <v>0</v>
      </c>
      <c r="CE169" s="179">
        <v>0</v>
      </c>
      <c r="CF169" s="180">
        <v>0</v>
      </c>
      <c r="CG169" s="180">
        <v>0</v>
      </c>
      <c r="CH169" s="180">
        <v>0</v>
      </c>
      <c r="CI169" s="179">
        <f t="shared" si="104"/>
        <v>0</v>
      </c>
      <c r="CJ169" s="179">
        <f t="shared" si="80"/>
        <v>0</v>
      </c>
      <c r="CK169" s="179"/>
      <c r="CL169" s="180"/>
      <c r="CM169" s="180"/>
      <c r="CN169" s="180"/>
      <c r="CO169" s="179">
        <v>0</v>
      </c>
      <c r="CP169" s="180">
        <v>0</v>
      </c>
      <c r="CQ169" s="180">
        <v>0</v>
      </c>
      <c r="CR169" s="180">
        <v>0</v>
      </c>
      <c r="CS169" s="179">
        <f t="shared" si="96"/>
        <v>0</v>
      </c>
      <c r="CT169" s="179">
        <f t="shared" si="81"/>
        <v>0</v>
      </c>
      <c r="CU169" s="179"/>
      <c r="CV169" s="180"/>
      <c r="CW169" s="180"/>
      <c r="CX169" s="180"/>
      <c r="CY169" s="179">
        <v>0</v>
      </c>
      <c r="CZ169" s="180">
        <v>0</v>
      </c>
      <c r="DA169" s="180">
        <v>0</v>
      </c>
      <c r="DB169" s="180">
        <v>0</v>
      </c>
      <c r="DC169" s="179">
        <f t="shared" si="97"/>
        <v>0</v>
      </c>
      <c r="DD169" s="179">
        <f t="shared" si="82"/>
        <v>0</v>
      </c>
      <c r="DE169" s="179"/>
      <c r="DF169" s="180"/>
      <c r="DG169" s="180"/>
      <c r="DH169" s="180"/>
      <c r="DI169" s="179">
        <v>0</v>
      </c>
      <c r="DJ169" s="180">
        <v>0</v>
      </c>
      <c r="DK169" s="180">
        <v>0</v>
      </c>
      <c r="DL169" s="180">
        <v>0</v>
      </c>
      <c r="DM169" s="179">
        <f t="shared" si="98"/>
        <v>0</v>
      </c>
      <c r="DN169" s="179">
        <f t="shared" si="83"/>
        <v>0</v>
      </c>
      <c r="DO169" s="179"/>
      <c r="DP169" s="180"/>
      <c r="DQ169" s="180"/>
      <c r="DR169" s="180"/>
      <c r="DS169" s="179">
        <v>0</v>
      </c>
      <c r="DT169" s="180">
        <v>0</v>
      </c>
      <c r="DU169" s="180">
        <v>0</v>
      </c>
      <c r="DV169" s="180">
        <v>0</v>
      </c>
      <c r="DW169" s="179">
        <f t="shared" si="99"/>
        <v>0</v>
      </c>
      <c r="DX169" s="179">
        <f t="shared" si="84"/>
        <v>0</v>
      </c>
      <c r="DY169" s="179"/>
      <c r="DZ169" s="180"/>
      <c r="EA169" s="180"/>
      <c r="EB169" s="180"/>
      <c r="EC169" s="179">
        <v>0</v>
      </c>
      <c r="ED169" s="180">
        <v>0</v>
      </c>
      <c r="EE169" s="180">
        <v>0</v>
      </c>
      <c r="EF169" s="180">
        <v>0</v>
      </c>
      <c r="EG169" s="179">
        <f t="shared" si="100"/>
        <v>0</v>
      </c>
      <c r="EH169" s="21">
        <f t="shared" si="85"/>
        <v>0</v>
      </c>
      <c r="EI169" s="70"/>
      <c r="EJ169" s="60"/>
      <c r="EK169" s="60"/>
      <c r="EL169" s="60"/>
      <c r="EM169" s="70">
        <v>0</v>
      </c>
      <c r="EN169" s="60">
        <v>0</v>
      </c>
      <c r="EO169" s="60">
        <v>0</v>
      </c>
      <c r="EP169" s="60">
        <v>0</v>
      </c>
      <c r="EQ169" s="181">
        <v>3.3680535810175223</v>
      </c>
      <c r="ER169" s="21">
        <f ca="1">SUM(ES169:EU169)</f>
        <v>0</v>
      </c>
      <c r="ES169" s="60">
        <f ca="1">SUMIFS(TME_Yesterday[Sell_WHS_QTY],TME_Yesterday[Region],master_Daily!$X169,TME_Yesterday[Brand],"CM")/50000+$ES$273+$ES$279</f>
        <v>0</v>
      </c>
      <c r="ET169" s="60">
        <f ca="1">(SUMIFS(TME_Yesterday[Sell_RTL_QTY],TME_Yesterday[Region],master_Daily!$X169,TME_Yesterday[Brand],"CM")/50000)
+SUMIFS($ET$204:$ET$209,$X$204:$X$209,"Supercheap",$Y$204:$Y$209,Y169)</f>
        <v>0</v>
      </c>
      <c r="EU169" s="60">
        <f ca="1">SUMIFS(TME_Yesterday[Sell_NEO_QTY],TME_Yesterday[Region],master_Daily!$X169,TME_Yesterday[Brand],"CM")/50000</f>
        <v>0</v>
      </c>
      <c r="EV169" s="21">
        <f ca="1">SUM(EW169:EY169)</f>
        <v>0</v>
      </c>
      <c r="EW169" s="60">
        <f ca="1">SUMIFS(TME_Yesterday[FOC_WHS_QTY],TME_Yesterday[Region],master_Daily!$X169,TME_Yesterday[Brand],"CM")/50000</f>
        <v>0</v>
      </c>
      <c r="EX169" s="60">
        <f ca="1">SUMIFS(TME_Yesterday[FOC_RTL_QTY],TME_Yesterday[Region],master_Daily!$X169,TME_Yesterday[Brand],"CM")/50000</f>
        <v>0</v>
      </c>
      <c r="EY169" s="60">
        <f ca="1">SUMIFS(TME_Yesterday[FOC_NEO_QTY],TME_Yesterday[Region],master_Daily!$X169,TME_Yesterday[Brand],"CM")/50000</f>
        <v>0</v>
      </c>
      <c r="EZ169" s="60">
        <f ca="1">SUM(FA169:FC169)</f>
        <v>1.54</v>
      </c>
      <c r="FA169" s="60">
        <f ca="1">SUMIFS(TME_MTD[Sell_WHS_QTY],TME_MTD[Region],master_Daily!$X169,TME_MTD[Brand],"CM")/50000+$FA$273+$FA$279</f>
        <v>1.54</v>
      </c>
      <c r="FB169" s="60">
        <f ca="1">SUMIFS(TME_MTD[Sell_RTL_QTY],TME_MTD[Region],master_Daily!$X169,TME_MTD[Brand],"CM")/50000+$FB$207</f>
        <v>0</v>
      </c>
      <c r="FC169" s="60">
        <f ca="1">SUMIFS(TME_MTD[Sell_NEO_QTY],TME_MTD[Region],master_Daily!$X169,TME_MTD[Brand],"CM")/50000</f>
        <v>0</v>
      </c>
      <c r="FD169" s="60">
        <f ca="1">SUM(FE169:FG169)</f>
        <v>0</v>
      </c>
      <c r="FE169" s="60">
        <f ca="1">SUMIFS(TME_MTD[FOC_WHS_QTY],TME_MTD[Region],master_Daily!$X169,TME_MTD[Brand],"CM")/50000</f>
        <v>0</v>
      </c>
      <c r="FF169" s="60">
        <f ca="1">SUMIFS(TME_MTD[FOC_RTL_QTY],TME_MTD[Region],master_Daily!$X169,TME_MTD[Brand],"CM")/50000</f>
        <v>0</v>
      </c>
      <c r="FG169" s="60">
        <f ca="1">SUMIFS(TME_MTD[FOC_NEO_QTY],TME_MTD[Region],master_Daily!$X169,TME_MTD[Brand],"CM")/50000</f>
        <v>0</v>
      </c>
      <c r="FH169" s="21">
        <f t="shared" ref="FH169:FK170" ca="1" si="112">SUMIFS($AA169:$EP169,$AA$129:$EP$129,INDIRECT(ADDRESS(129,COLUMN())))</f>
        <v>20.212399999999999</v>
      </c>
      <c r="FI169" s="21">
        <f t="shared" ca="1" si="112"/>
        <v>20.212399999999999</v>
      </c>
      <c r="FJ169" s="21">
        <f t="shared" ca="1" si="112"/>
        <v>0</v>
      </c>
      <c r="FK169" s="21">
        <f t="shared" ca="1" si="112"/>
        <v>0</v>
      </c>
      <c r="FL169" s="21">
        <f t="shared" ref="FL169:FO170" si="113">SUMIFS(AE169:ET169,$AA$129:$EP$129,$FH$129)</f>
        <v>0</v>
      </c>
      <c r="FM169" s="21">
        <f t="shared" si="113"/>
        <v>0</v>
      </c>
      <c r="FN169" s="21">
        <f t="shared" si="113"/>
        <v>0</v>
      </c>
      <c r="FO169" s="21">
        <f t="shared" si="113"/>
        <v>0</v>
      </c>
      <c r="FP169" s="58">
        <f ca="1">IFERROR(FH169/$FH$171,0)</f>
        <v>0.70487389800245503</v>
      </c>
      <c r="FQ169" s="23">
        <f t="shared" ca="1" si="87"/>
        <v>0.4572373814595761</v>
      </c>
      <c r="FR169" s="60">
        <f>SUMIFS(TME_MTD_Dist[Sell_WHS_QTY],TME_MTD_Dist[Region],master_Daily!$X169,TME_MTD_Dist[Brand],master_Daily!$Y169)/50000
 + SUMIFS(TME_MTD_Dist[Sell_RTL_QTY],TME_MTD_Dist[Region],master_Daily!$X169,TME_MTD_Dist[Brand],master_Daily!$Y169)/50000
+ SUMIFS($FR$204:$FR$209,$X$204:$X$209,"Supercheap",$Y$204:$Y$209,Y169)</f>
        <v>0</v>
      </c>
      <c r="FS169" s="23">
        <f t="shared" si="33"/>
        <v>0</v>
      </c>
      <c r="FT169" s="469">
        <v>0.71399927818101627</v>
      </c>
      <c r="FU169" s="289">
        <f>FT169*$FU$171</f>
        <v>4.8326477460041408</v>
      </c>
      <c r="FV169" s="289">
        <f>FU169+FU170</f>
        <v>5.0117854889057263</v>
      </c>
    </row>
    <row r="170" spans="2:178" outlineLevel="1">
      <c r="B170" s="20" t="s">
        <v>274</v>
      </c>
      <c r="C170" s="148" t="s">
        <v>264</v>
      </c>
      <c r="D170" s="148"/>
      <c r="E170" s="60">
        <v>0.6</v>
      </c>
      <c r="F170" s="60">
        <v>0.74</v>
      </c>
      <c r="G170" s="60">
        <v>0.79</v>
      </c>
      <c r="H170" s="60">
        <v>0.97</v>
      </c>
      <c r="I170" s="60">
        <v>0.68</v>
      </c>
      <c r="J170" s="60">
        <v>0.34</v>
      </c>
      <c r="K170" s="60"/>
      <c r="L170" s="60"/>
      <c r="M170" s="60"/>
      <c r="N170" s="60"/>
      <c r="O170" s="60"/>
      <c r="P170" s="60"/>
      <c r="Q170" s="422">
        <v>0.63121739130434784</v>
      </c>
      <c r="R170" s="72">
        <f>IFERROR(SUMIFS(Daily_Vol_yesterday[Order Quantity],Daily_Vol_yesterday[Cust_Cat.cust_channel],master_Daily!B170,Daily_Vol_yesterday[Map_Product.TME_Brand],"CMHD")/50000,0)</f>
        <v>0</v>
      </c>
      <c r="S170" s="60">
        <f>IFERROR(SUM(SUMIFS(Weekly_Vol[Quantity],Weekly_Vol[Cust_Cat.cust_channel],master_Daily!B170,Weekly_Vol[Map_Product.TME_Brand],"CMHD"),SUMIFS(Daily_Vol[Order Quantity],Daily_Vol[Cust_Cat.cust_channel],master_Daily!B170,Daily_Vol[Map_Product.TME_Brand],"CMHD"))/50000,0)</f>
        <v>0.34</v>
      </c>
      <c r="T170" s="57">
        <f>SUM(E170:P170)</f>
        <v>4.12</v>
      </c>
      <c r="U170" s="61">
        <f>IFERROR(T170/$T$171,0)</f>
        <v>0.17858690940615518</v>
      </c>
      <c r="V170" s="62">
        <f>IFERROR(S170/Q170,0)</f>
        <v>0.53864168618266983</v>
      </c>
      <c r="X170" s="20" t="s">
        <v>197</v>
      </c>
      <c r="Y170" s="151" t="s">
        <v>264</v>
      </c>
      <c r="Z170" s="151"/>
      <c r="AA170" s="179">
        <f t="shared" si="103"/>
        <v>7.0000000000000007E-2</v>
      </c>
      <c r="AB170" s="179">
        <f t="shared" si="90"/>
        <v>0</v>
      </c>
      <c r="AC170" s="179">
        <v>7.0000000000000007E-2</v>
      </c>
      <c r="AD170" s="180">
        <v>7.0000000000000007E-2</v>
      </c>
      <c r="AE170" s="180">
        <v>0</v>
      </c>
      <c r="AF170" s="180">
        <v>0</v>
      </c>
      <c r="AG170" s="179">
        <v>0</v>
      </c>
      <c r="AH170" s="180">
        <v>0</v>
      </c>
      <c r="AI170" s="180">
        <v>0</v>
      </c>
      <c r="AJ170" s="180">
        <v>0</v>
      </c>
      <c r="AK170" s="179">
        <f>SUM(AN170:AP170)</f>
        <v>0.12</v>
      </c>
      <c r="AL170" s="179">
        <f t="shared" si="91"/>
        <v>0</v>
      </c>
      <c r="AM170" s="179">
        <v>0.12</v>
      </c>
      <c r="AN170" s="180">
        <v>0.12</v>
      </c>
      <c r="AO170" s="180">
        <v>0</v>
      </c>
      <c r="AP170" s="180">
        <v>0</v>
      </c>
      <c r="AQ170" s="179">
        <v>0</v>
      </c>
      <c r="AR170" s="180">
        <v>0</v>
      </c>
      <c r="AS170" s="180">
        <v>0</v>
      </c>
      <c r="AT170" s="180">
        <v>0</v>
      </c>
      <c r="AU170" s="179">
        <f t="shared" si="92"/>
        <v>0.26300000000000001</v>
      </c>
      <c r="AV170" s="179">
        <f t="shared" si="75"/>
        <v>0</v>
      </c>
      <c r="AW170" s="179">
        <v>0.26300000000000001</v>
      </c>
      <c r="AX170" s="180">
        <v>0.26300000000000001</v>
      </c>
      <c r="AY170" s="180">
        <v>0</v>
      </c>
      <c r="AZ170" s="180">
        <v>0</v>
      </c>
      <c r="BA170" s="179">
        <v>0</v>
      </c>
      <c r="BB170" s="180">
        <v>0</v>
      </c>
      <c r="BC170" s="180">
        <v>0</v>
      </c>
      <c r="BD170" s="180">
        <v>0</v>
      </c>
      <c r="BE170" s="179">
        <f t="shared" si="93"/>
        <v>0.18</v>
      </c>
      <c r="BF170" s="179">
        <f t="shared" si="76"/>
        <v>0</v>
      </c>
      <c r="BG170" s="179">
        <v>0.18</v>
      </c>
      <c r="BH170" s="180">
        <v>0.18</v>
      </c>
      <c r="BI170" s="180">
        <v>0</v>
      </c>
      <c r="BJ170" s="180">
        <v>0</v>
      </c>
      <c r="BK170" s="179">
        <v>0</v>
      </c>
      <c r="BL170" s="180">
        <v>0</v>
      </c>
      <c r="BM170" s="180">
        <v>0</v>
      </c>
      <c r="BN170" s="180">
        <v>0</v>
      </c>
      <c r="BO170" s="179">
        <f t="shared" si="94"/>
        <v>0.16400000000000001</v>
      </c>
      <c r="BP170" s="179">
        <f t="shared" si="77"/>
        <v>0</v>
      </c>
      <c r="BQ170" s="179">
        <v>0.16400000000000001</v>
      </c>
      <c r="BR170" s="180">
        <v>0.16400000000000001</v>
      </c>
      <c r="BS170" s="180">
        <v>0</v>
      </c>
      <c r="BT170" s="180">
        <v>0</v>
      </c>
      <c r="BU170" s="179">
        <v>0</v>
      </c>
      <c r="BV170" s="180">
        <v>0</v>
      </c>
      <c r="BW170" s="180">
        <v>0</v>
      </c>
      <c r="BX170" s="180">
        <v>0</v>
      </c>
      <c r="BY170" s="179">
        <f t="shared" si="95"/>
        <v>0.11</v>
      </c>
      <c r="BZ170" s="179">
        <f t="shared" si="78"/>
        <v>0</v>
      </c>
      <c r="CA170" s="179">
        <v>0.11</v>
      </c>
      <c r="CB170" s="180">
        <v>0.11</v>
      </c>
      <c r="CC170" s="180">
        <v>0</v>
      </c>
      <c r="CD170" s="180">
        <v>0</v>
      </c>
      <c r="CE170" s="179">
        <v>0</v>
      </c>
      <c r="CF170" s="180">
        <v>0</v>
      </c>
      <c r="CG170" s="180">
        <v>0</v>
      </c>
      <c r="CH170" s="180">
        <v>0</v>
      </c>
      <c r="CI170" s="179">
        <f t="shared" si="104"/>
        <v>0</v>
      </c>
      <c r="CJ170" s="179">
        <f t="shared" si="80"/>
        <v>0</v>
      </c>
      <c r="CK170" s="179"/>
      <c r="CL170" s="180"/>
      <c r="CM170" s="180"/>
      <c r="CN170" s="180"/>
      <c r="CO170" s="179">
        <v>0</v>
      </c>
      <c r="CP170" s="180">
        <v>0</v>
      </c>
      <c r="CQ170" s="180">
        <v>0</v>
      </c>
      <c r="CR170" s="180">
        <v>0</v>
      </c>
      <c r="CS170" s="179">
        <f t="shared" si="96"/>
        <v>0</v>
      </c>
      <c r="CT170" s="179">
        <f t="shared" si="81"/>
        <v>0</v>
      </c>
      <c r="CU170" s="179"/>
      <c r="CV170" s="180"/>
      <c r="CW170" s="180"/>
      <c r="CX170" s="180"/>
      <c r="CY170" s="179">
        <v>0</v>
      </c>
      <c r="CZ170" s="180">
        <v>0</v>
      </c>
      <c r="DA170" s="180">
        <v>0</v>
      </c>
      <c r="DB170" s="180">
        <v>0</v>
      </c>
      <c r="DC170" s="179">
        <f t="shared" si="97"/>
        <v>0</v>
      </c>
      <c r="DD170" s="179">
        <f t="shared" si="82"/>
        <v>0</v>
      </c>
      <c r="DE170" s="179"/>
      <c r="DF170" s="180"/>
      <c r="DG170" s="180"/>
      <c r="DH170" s="180"/>
      <c r="DI170" s="179">
        <v>0</v>
      </c>
      <c r="DJ170" s="180">
        <v>0</v>
      </c>
      <c r="DK170" s="180">
        <v>0</v>
      </c>
      <c r="DL170" s="180">
        <v>0</v>
      </c>
      <c r="DM170" s="179">
        <f t="shared" si="98"/>
        <v>0</v>
      </c>
      <c r="DN170" s="179">
        <f t="shared" si="83"/>
        <v>0</v>
      </c>
      <c r="DO170" s="179"/>
      <c r="DP170" s="180"/>
      <c r="DQ170" s="180"/>
      <c r="DR170" s="180"/>
      <c r="DS170" s="179">
        <v>0</v>
      </c>
      <c r="DT170" s="180">
        <v>0</v>
      </c>
      <c r="DU170" s="180">
        <v>0</v>
      </c>
      <c r="DV170" s="180">
        <v>0</v>
      </c>
      <c r="DW170" s="179">
        <f t="shared" si="99"/>
        <v>0</v>
      </c>
      <c r="DX170" s="179">
        <f t="shared" si="84"/>
        <v>0</v>
      </c>
      <c r="DY170" s="179"/>
      <c r="DZ170" s="180"/>
      <c r="EA170" s="180"/>
      <c r="EB170" s="180"/>
      <c r="EC170" s="179">
        <v>0</v>
      </c>
      <c r="ED170" s="180">
        <v>0</v>
      </c>
      <c r="EE170" s="180">
        <v>0</v>
      </c>
      <c r="EF170" s="180">
        <v>0</v>
      </c>
      <c r="EG170" s="179">
        <f t="shared" si="100"/>
        <v>0</v>
      </c>
      <c r="EH170" s="21">
        <f t="shared" si="85"/>
        <v>0</v>
      </c>
      <c r="EI170" s="70"/>
      <c r="EJ170" s="60"/>
      <c r="EK170" s="60"/>
      <c r="EL170" s="60"/>
      <c r="EM170" s="70">
        <v>0</v>
      </c>
      <c r="EN170" s="60">
        <v>0</v>
      </c>
      <c r="EO170" s="60">
        <v>0</v>
      </c>
      <c r="EP170" s="60">
        <v>0</v>
      </c>
      <c r="EQ170" s="181">
        <v>0.13565850615290359</v>
      </c>
      <c r="ER170" s="21">
        <f ca="1">SUM(ES170:EU170)</f>
        <v>0</v>
      </c>
      <c r="ES170" s="60">
        <f ca="1">SUMIFS(TME_Yesterday[Sell_WHS_QTY],TME_Yesterday[Region],master_Daily!$X170,TME_Yesterday[Brand],"CMHD")/50000+$ES$274+$ES$280</f>
        <v>0</v>
      </c>
      <c r="ET170" s="60">
        <f ca="1">(SUMIFS(TME_Yesterday[Sell_RTL_QTY],TME_Yesterday[Region],master_Daily!$X170,TME_Yesterday[Brand],"CMHD")/50000)
+SUMIFS($ET$204:$ET$209,$X$204:$X$209,"Supercheap",$Y$204:$Y$209,Y170)</f>
        <v>0</v>
      </c>
      <c r="EU170" s="60">
        <f ca="1">SUMIFS(TME_Yesterday[Sell_NEO_QTY],TME_Yesterday[Region],master_Daily!$X170,TME_Yesterday[Brand],"CMHD")/50000</f>
        <v>0</v>
      </c>
      <c r="EV170" s="21">
        <f ca="1">SUM(EW170:EY170)</f>
        <v>0</v>
      </c>
      <c r="EW170" s="60">
        <f ca="1">SUMIFS(TME_Yesterday[FOC_WHS_QTY],TME_Yesterday[Region],master_Daily!$X170,TME_Yesterday[Brand],"CMHD")/50000</f>
        <v>0</v>
      </c>
      <c r="EX170" s="60">
        <f ca="1">SUMIFS(TME_Yesterday[FOC_RTL_QTY],TME_Yesterday[Region],master_Daily!$X170,TME_Yesterday[Brand],"CMHD")/50000</f>
        <v>0</v>
      </c>
      <c r="EY170" s="60">
        <f ca="1">SUMIFS(TME_Yesterday[FOC_NEO_QTY],TME_Yesterday[Region],master_Daily!$X170,TME_Yesterday[Brand],"CMHD")/50000</f>
        <v>0</v>
      </c>
      <c r="EZ170" s="60">
        <f ca="1">SUM(FA170:FC170)</f>
        <v>0.11</v>
      </c>
      <c r="FA170" s="60">
        <f ca="1">SUMIFS(TME_MTD[Sell_WHS_QTY],TME_MTD[Region],master_Daily!$X170,TME_MTD[Brand],"CMHD")/50000+$FA$274+$FA$280</f>
        <v>0.11</v>
      </c>
      <c r="FB170" s="60">
        <f ca="1">SUMIFS(TME_MTD[Sell_RTL_QTY],TME_MTD[Region],master_Daily!$X170,TME_MTD[Brand],"CMHD")/50000+$FB$208</f>
        <v>0</v>
      </c>
      <c r="FC170" s="60">
        <f ca="1">SUMIFS(TME_MTD[Sell_NEO_QTY],TME_MTD[Region],master_Daily!$X170,TME_MTD[Brand],"CMHD")/50000</f>
        <v>0</v>
      </c>
      <c r="FD170" s="60">
        <f ca="1">SUM(FE170:FG170)</f>
        <v>0</v>
      </c>
      <c r="FE170" s="60">
        <f ca="1">SUMIFS(TME_MTD[FOC_WHS_QTY],TME_MTD[Region],master_Daily!$X170,TME_MTD[Brand],"CMHD")/50000</f>
        <v>0</v>
      </c>
      <c r="FF170" s="60">
        <f ca="1">SUMIFS(TME_MTD[FOC_RTL_QTY],TME_MTD[Region],master_Daily!$X170,TME_MTD[Brand],"CMHD")/50000</f>
        <v>0</v>
      </c>
      <c r="FG170" s="60">
        <f ca="1">SUMIFS(TME_MTD[FOC_NEO_QTY],TME_MTD[Region],master_Daily!$X170,TME_MTD[Brand],"CMHD")/50000</f>
        <v>0</v>
      </c>
      <c r="FH170" s="21">
        <f t="shared" ca="1" si="112"/>
        <v>0.90700000000000003</v>
      </c>
      <c r="FI170" s="21">
        <f t="shared" ca="1" si="112"/>
        <v>0.90700000000000003</v>
      </c>
      <c r="FJ170" s="21">
        <f t="shared" ca="1" si="112"/>
        <v>0</v>
      </c>
      <c r="FK170" s="21">
        <f t="shared" ca="1" si="112"/>
        <v>0</v>
      </c>
      <c r="FL170" s="21">
        <f t="shared" si="113"/>
        <v>0</v>
      </c>
      <c r="FM170" s="21">
        <f t="shared" si="113"/>
        <v>0</v>
      </c>
      <c r="FN170" s="21">
        <f t="shared" si="113"/>
        <v>0</v>
      </c>
      <c r="FO170" s="21">
        <f t="shared" si="113"/>
        <v>0</v>
      </c>
      <c r="FP170" s="58">
        <f ca="1">IFERROR(FH170/$FH$171,0)</f>
        <v>3.1630119406316257E-2</v>
      </c>
      <c r="FQ170" s="23">
        <f ca="1">IFERROR(EZ170/EQ170,0)</f>
        <v>0.81085958499363586</v>
      </c>
      <c r="FR170" s="60">
        <f>SUMIFS(TME_MTD_Dist[Sell_WHS_QTY],TME_MTD_Dist[Region],master_Daily!$X170,TME_MTD_Dist[Brand],master_Daily!$Y170)/50000
 + SUMIFS(TME_MTD_Dist[Sell_RTL_QTY],TME_MTD_Dist[Region],master_Daily!$X170,TME_MTD_Dist[Brand],master_Daily!$Y170)/50000
+ SUMIFS($FR$204:$FR$209,$X$204:$X$209,"Supercheap",$Y$204:$Y$209,Y170)</f>
        <v>0</v>
      </c>
      <c r="FS170" s="23">
        <f t="shared" si="33"/>
        <v>0</v>
      </c>
      <c r="FT170" s="469">
        <v>2.6466696074106753E-2</v>
      </c>
      <c r="FU170" s="289">
        <f>FT170*$FU$171</f>
        <v>0.17913774290158568</v>
      </c>
    </row>
    <row r="171" spans="2:178">
      <c r="B171" s="776" t="s">
        <v>293</v>
      </c>
      <c r="C171" s="777"/>
      <c r="D171" s="426"/>
      <c r="E171" s="63">
        <v>3.64</v>
      </c>
      <c r="F171" s="63">
        <v>3.6500000000000004</v>
      </c>
      <c r="G171" s="63">
        <v>4.88</v>
      </c>
      <c r="H171" s="63">
        <v>5.08</v>
      </c>
      <c r="I171" s="63">
        <v>3.8400000000000003</v>
      </c>
      <c r="J171" s="63">
        <v>1.9800000000000002</v>
      </c>
      <c r="K171" s="63"/>
      <c r="L171" s="63"/>
      <c r="M171" s="63"/>
      <c r="N171" s="63"/>
      <c r="O171" s="63"/>
      <c r="P171" s="63"/>
      <c r="Q171" s="63">
        <f>SUM(Q166:Q170)</f>
        <v>3.5700000000000007</v>
      </c>
      <c r="R171" s="63">
        <f>SUM(R166:R170)</f>
        <v>0</v>
      </c>
      <c r="S171" s="63">
        <f>SUM(S166:S170)</f>
        <v>1.9800000000000002</v>
      </c>
      <c r="T171" s="63">
        <f>SUM(E171:P171)</f>
        <v>23.07</v>
      </c>
      <c r="U171" s="64">
        <f>IFERROR(T171/$T153,0)</f>
        <v>3.835559664848897E-2</v>
      </c>
      <c r="V171" s="65">
        <f t="shared" si="28"/>
        <v>0.55462184873949572</v>
      </c>
      <c r="X171" s="776" t="s">
        <v>199</v>
      </c>
      <c r="Y171" s="777"/>
      <c r="Z171" s="426"/>
      <c r="AA171" s="63">
        <f>SUM(AA166:AA170)</f>
        <v>5.3920000000000003</v>
      </c>
      <c r="AB171" s="63">
        <f t="shared" si="90"/>
        <v>0</v>
      </c>
      <c r="AC171" s="63">
        <v>5.3920000000000003</v>
      </c>
      <c r="AD171" s="63">
        <v>5.3920000000000003</v>
      </c>
      <c r="AE171" s="63">
        <v>0</v>
      </c>
      <c r="AF171" s="63">
        <v>0</v>
      </c>
      <c r="AG171" s="63">
        <v>0</v>
      </c>
      <c r="AH171" s="63">
        <v>0</v>
      </c>
      <c r="AI171" s="63">
        <v>0</v>
      </c>
      <c r="AJ171" s="63">
        <v>0</v>
      </c>
      <c r="AK171" s="63">
        <f t="shared" si="108"/>
        <v>5.9039999999999999</v>
      </c>
      <c r="AL171" s="63">
        <f t="shared" si="91"/>
        <v>0</v>
      </c>
      <c r="AM171" s="63">
        <v>5.9039999999999999</v>
      </c>
      <c r="AN171" s="63">
        <v>5.9039999999999999</v>
      </c>
      <c r="AO171" s="63">
        <v>0</v>
      </c>
      <c r="AP171" s="63">
        <v>0</v>
      </c>
      <c r="AQ171" s="63">
        <v>0</v>
      </c>
      <c r="AR171" s="63">
        <v>0</v>
      </c>
      <c r="AS171" s="63">
        <v>0</v>
      </c>
      <c r="AT171" s="63">
        <v>0</v>
      </c>
      <c r="AU171" s="63">
        <f t="shared" si="92"/>
        <v>5.66</v>
      </c>
      <c r="AV171" s="63">
        <f t="shared" si="75"/>
        <v>0</v>
      </c>
      <c r="AW171" s="63">
        <v>5.66</v>
      </c>
      <c r="AX171" s="63">
        <v>5.66</v>
      </c>
      <c r="AY171" s="63">
        <v>0</v>
      </c>
      <c r="AZ171" s="63">
        <v>0</v>
      </c>
      <c r="BA171" s="63">
        <v>0</v>
      </c>
      <c r="BB171" s="63">
        <v>0</v>
      </c>
      <c r="BC171" s="63">
        <v>0</v>
      </c>
      <c r="BD171" s="63">
        <v>0</v>
      </c>
      <c r="BE171" s="63">
        <f t="shared" si="93"/>
        <v>5.5419999999999998</v>
      </c>
      <c r="BF171" s="63">
        <f t="shared" si="76"/>
        <v>0</v>
      </c>
      <c r="BG171" s="63">
        <v>5.5419999999999998</v>
      </c>
      <c r="BH171" s="63">
        <v>5.5419999999999998</v>
      </c>
      <c r="BI171" s="63">
        <v>0</v>
      </c>
      <c r="BJ171" s="63">
        <v>0</v>
      </c>
      <c r="BK171" s="63">
        <v>0</v>
      </c>
      <c r="BL171" s="63">
        <v>0</v>
      </c>
      <c r="BM171" s="63">
        <v>0</v>
      </c>
      <c r="BN171" s="63">
        <v>0</v>
      </c>
      <c r="BO171" s="63">
        <f t="shared" si="94"/>
        <v>4.0115999999999996</v>
      </c>
      <c r="BP171" s="63">
        <f t="shared" si="77"/>
        <v>0</v>
      </c>
      <c r="BQ171" s="63">
        <v>4.0115999999999996</v>
      </c>
      <c r="BR171" s="63">
        <v>4.0115999999999996</v>
      </c>
      <c r="BS171" s="63">
        <v>0</v>
      </c>
      <c r="BT171" s="63">
        <v>0</v>
      </c>
      <c r="BU171" s="63">
        <v>0</v>
      </c>
      <c r="BV171" s="63">
        <v>0</v>
      </c>
      <c r="BW171" s="63">
        <v>0</v>
      </c>
      <c r="BX171" s="63">
        <v>0</v>
      </c>
      <c r="BY171" s="63">
        <f t="shared" si="95"/>
        <v>2.1656</v>
      </c>
      <c r="BZ171" s="63">
        <f t="shared" si="78"/>
        <v>0</v>
      </c>
      <c r="CA171" s="63">
        <v>2.1656</v>
      </c>
      <c r="CB171" s="63">
        <v>2.1656</v>
      </c>
      <c r="CC171" s="63">
        <v>0</v>
      </c>
      <c r="CD171" s="63">
        <v>0</v>
      </c>
      <c r="CE171" s="63">
        <v>0</v>
      </c>
      <c r="CF171" s="63">
        <v>0</v>
      </c>
      <c r="CG171" s="63">
        <v>0</v>
      </c>
      <c r="CH171" s="63">
        <v>0</v>
      </c>
      <c r="CI171" s="63">
        <f t="shared" si="104"/>
        <v>0</v>
      </c>
      <c r="CJ171" s="63">
        <f t="shared" si="80"/>
        <v>0</v>
      </c>
      <c r="CK171" s="63"/>
      <c r="CL171" s="63"/>
      <c r="CM171" s="63"/>
      <c r="CN171" s="63"/>
      <c r="CO171" s="63">
        <v>0</v>
      </c>
      <c r="CP171" s="63">
        <v>0</v>
      </c>
      <c r="CQ171" s="63">
        <v>0</v>
      </c>
      <c r="CR171" s="63">
        <v>0</v>
      </c>
      <c r="CS171" s="63">
        <f t="shared" si="96"/>
        <v>0</v>
      </c>
      <c r="CT171" s="63">
        <f t="shared" si="81"/>
        <v>0</v>
      </c>
      <c r="CU171" s="63"/>
      <c r="CV171" s="63"/>
      <c r="CW171" s="63"/>
      <c r="CX171" s="63"/>
      <c r="CY171" s="63">
        <v>0</v>
      </c>
      <c r="CZ171" s="63">
        <v>0</v>
      </c>
      <c r="DA171" s="63">
        <v>0</v>
      </c>
      <c r="DB171" s="63">
        <v>0</v>
      </c>
      <c r="DC171" s="63">
        <f t="shared" si="97"/>
        <v>0</v>
      </c>
      <c r="DD171" s="63">
        <f t="shared" si="82"/>
        <v>0</v>
      </c>
      <c r="DE171" s="63"/>
      <c r="DF171" s="63"/>
      <c r="DG171" s="63"/>
      <c r="DH171" s="63"/>
      <c r="DI171" s="63">
        <v>0</v>
      </c>
      <c r="DJ171" s="63">
        <v>0</v>
      </c>
      <c r="DK171" s="63">
        <v>0</v>
      </c>
      <c r="DL171" s="63">
        <v>0</v>
      </c>
      <c r="DM171" s="63">
        <f t="shared" si="98"/>
        <v>0</v>
      </c>
      <c r="DN171" s="63">
        <f t="shared" si="83"/>
        <v>0</v>
      </c>
      <c r="DO171" s="63"/>
      <c r="DP171" s="63"/>
      <c r="DQ171" s="63"/>
      <c r="DR171" s="63"/>
      <c r="DS171" s="63">
        <v>0</v>
      </c>
      <c r="DT171" s="63">
        <v>0</v>
      </c>
      <c r="DU171" s="63">
        <v>0</v>
      </c>
      <c r="DV171" s="63">
        <v>0</v>
      </c>
      <c r="DW171" s="63">
        <f t="shared" si="99"/>
        <v>0</v>
      </c>
      <c r="DX171" s="63">
        <f t="shared" si="84"/>
        <v>0</v>
      </c>
      <c r="DY171" s="63"/>
      <c r="DZ171" s="63"/>
      <c r="EA171" s="63"/>
      <c r="EB171" s="63"/>
      <c r="EC171" s="63">
        <v>0</v>
      </c>
      <c r="ED171" s="63">
        <v>0</v>
      </c>
      <c r="EE171" s="63">
        <v>0</v>
      </c>
      <c r="EF171" s="63">
        <v>0</v>
      </c>
      <c r="EG171" s="63">
        <f t="shared" si="100"/>
        <v>0</v>
      </c>
      <c r="EH171" s="63">
        <f t="shared" si="85"/>
        <v>0</v>
      </c>
      <c r="EI171" s="63"/>
      <c r="EJ171" s="63"/>
      <c r="EK171" s="63"/>
      <c r="EL171" s="63"/>
      <c r="EM171" s="63">
        <v>0</v>
      </c>
      <c r="EN171" s="63">
        <v>0</v>
      </c>
      <c r="EO171" s="63">
        <v>0</v>
      </c>
      <c r="EP171" s="63">
        <v>0</v>
      </c>
      <c r="EQ171" s="516">
        <f>SUM(EQ166:EQ170)</f>
        <v>4.7600000000000007</v>
      </c>
      <c r="ER171" s="63">
        <f ca="1">SUM(ER166:ER170)</f>
        <v>0</v>
      </c>
      <c r="ES171" s="63">
        <f ca="1">SUM(ES166:ES170)</f>
        <v>0</v>
      </c>
      <c r="ET171" s="63">
        <f ca="1">SUM(ET166:ET170)</f>
        <v>0</v>
      </c>
      <c r="EU171" s="63">
        <f ca="1">SUM(EU166:EU170)</f>
        <v>0</v>
      </c>
      <c r="EV171" s="63">
        <f ca="1">SUM(EV166:EV169)</f>
        <v>0</v>
      </c>
      <c r="EW171" s="63">
        <f t="shared" ref="EW171:FC171" ca="1" si="114">SUM(EW166:EW170)</f>
        <v>0</v>
      </c>
      <c r="EX171" s="63">
        <f t="shared" ca="1" si="114"/>
        <v>0</v>
      </c>
      <c r="EY171" s="63">
        <f t="shared" ca="1" si="114"/>
        <v>0</v>
      </c>
      <c r="EZ171" s="63">
        <f t="shared" ca="1" si="114"/>
        <v>2.1656</v>
      </c>
      <c r="FA171" s="63">
        <f t="shared" ca="1" si="114"/>
        <v>2.1656</v>
      </c>
      <c r="FB171" s="63">
        <f t="shared" ca="1" si="114"/>
        <v>0</v>
      </c>
      <c r="FC171" s="63">
        <f t="shared" ca="1" si="114"/>
        <v>0</v>
      </c>
      <c r="FD171" s="63">
        <f ca="1">SUM(FD166:FD169)</f>
        <v>0</v>
      </c>
      <c r="FE171" s="63">
        <f t="shared" ref="FE171:FK171" ca="1" si="115">SUM(FE166:FE170)</f>
        <v>0</v>
      </c>
      <c r="FF171" s="63">
        <f t="shared" ca="1" si="115"/>
        <v>0</v>
      </c>
      <c r="FG171" s="63">
        <f t="shared" ca="1" si="115"/>
        <v>0</v>
      </c>
      <c r="FH171" s="63">
        <f t="shared" ca="1" si="115"/>
        <v>28.6752</v>
      </c>
      <c r="FI171" s="63">
        <f t="shared" ca="1" si="115"/>
        <v>28.6752</v>
      </c>
      <c r="FJ171" s="63">
        <f t="shared" ca="1" si="115"/>
        <v>0</v>
      </c>
      <c r="FK171" s="63">
        <f t="shared" ca="1" si="115"/>
        <v>0</v>
      </c>
      <c r="FL171" s="63">
        <f ca="1">SUM(FL166:FL169)</f>
        <v>0</v>
      </c>
      <c r="FM171" s="25">
        <f ca="1">SUM(FM166:FM170)</f>
        <v>0</v>
      </c>
      <c r="FN171" s="25">
        <f ca="1">SUM(FN166:FN170)</f>
        <v>0</v>
      </c>
      <c r="FO171" s="25">
        <f ca="1">SUM(FO166:FO170)</f>
        <v>0</v>
      </c>
      <c r="FP171" s="64">
        <f ca="1">IFERROR(FH171/$FH$153,0)</f>
        <v>0.19432487232589155</v>
      </c>
      <c r="FQ171" s="66">
        <f t="shared" ca="1" si="87"/>
        <v>0.45495798319327724</v>
      </c>
      <c r="FR171" s="63">
        <f>SUM(FR166:FR170)</f>
        <v>0</v>
      </c>
      <c r="FS171" s="66">
        <f t="shared" si="33"/>
        <v>0</v>
      </c>
      <c r="FT171" s="471">
        <v>3.5841052399196043E-2</v>
      </c>
      <c r="FU171" s="473">
        <v>6.7684210526315782</v>
      </c>
    </row>
    <row r="172" spans="2:178" ht="15" customHeight="1" outlineLevel="1">
      <c r="B172" s="20" t="s">
        <v>133</v>
      </c>
      <c r="C172" s="74" t="s">
        <v>44</v>
      </c>
      <c r="D172" s="74"/>
      <c r="E172" s="21">
        <v>0</v>
      </c>
      <c r="F172" s="21">
        <v>0</v>
      </c>
      <c r="G172" s="21">
        <v>0</v>
      </c>
      <c r="H172" s="21">
        <v>0</v>
      </c>
      <c r="I172" s="21">
        <v>0</v>
      </c>
      <c r="J172" s="21">
        <v>0</v>
      </c>
      <c r="K172" s="21"/>
      <c r="L172" s="21"/>
      <c r="M172" s="21"/>
      <c r="N172" s="21"/>
      <c r="O172" s="21"/>
      <c r="P172" s="21"/>
      <c r="Q172" s="422">
        <v>0</v>
      </c>
      <c r="R172" s="72">
        <f>IFERROR(SUMIFS(Daily_Vol_yesterday[Order Quantity],Daily_Vol_yesterday[Cust_Cat.cust_channel],master_Daily!B172,Daily_Vol_yesterday[Map_Product.TME_Brand],master_Daily!C172)/50000,0)</f>
        <v>0</v>
      </c>
      <c r="S172" s="60">
        <f>IFERROR(SUM(SUMIFS(Weekly_Vol[Quantity],Weekly_Vol[Cust_Cat.cust_channel],master_Daily!B172,Weekly_Vol[Map_Product.TME_Brand],master_Daily!C172),SUMIFS(Daily_Vol[Order Quantity],Daily_Vol[Cust_Cat.cust_channel],master_Daily!B172,Daily_Vol[Map_Product.TME_Brand],master_Daily!C172))/50000,0)</f>
        <v>0</v>
      </c>
      <c r="T172" s="57">
        <f t="shared" si="74"/>
        <v>0</v>
      </c>
      <c r="U172" s="22">
        <f>IFERROR(T172/$T$177,0)</f>
        <v>0</v>
      </c>
      <c r="V172" s="23">
        <f t="shared" si="28"/>
        <v>0</v>
      </c>
      <c r="X172" s="20" t="s">
        <v>200</v>
      </c>
      <c r="Y172" s="20" t="s">
        <v>44</v>
      </c>
      <c r="Z172" s="20"/>
      <c r="AA172" s="179">
        <f t="shared" si="103"/>
        <v>2.3800000000000002E-2</v>
      </c>
      <c r="AB172" s="179">
        <f t="shared" si="90"/>
        <v>0</v>
      </c>
      <c r="AC172" s="179">
        <v>2.3800000000000002E-2</v>
      </c>
      <c r="AD172" s="179">
        <v>2.3800000000000002E-2</v>
      </c>
      <c r="AE172" s="179">
        <v>0</v>
      </c>
      <c r="AF172" s="179">
        <v>0</v>
      </c>
      <c r="AG172" s="179">
        <v>0</v>
      </c>
      <c r="AH172" s="179">
        <v>0</v>
      </c>
      <c r="AI172" s="179">
        <v>0</v>
      </c>
      <c r="AJ172" s="179">
        <v>0</v>
      </c>
      <c r="AK172" s="179">
        <f t="shared" si="108"/>
        <v>3.3000000000000002E-2</v>
      </c>
      <c r="AL172" s="179">
        <f t="shared" si="91"/>
        <v>0</v>
      </c>
      <c r="AM172" s="179">
        <v>3.3000000000000002E-2</v>
      </c>
      <c r="AN172" s="179">
        <v>3.3000000000000002E-2</v>
      </c>
      <c r="AO172" s="179">
        <v>0</v>
      </c>
      <c r="AP172" s="179">
        <v>0</v>
      </c>
      <c r="AQ172" s="179">
        <v>0</v>
      </c>
      <c r="AR172" s="179">
        <v>0</v>
      </c>
      <c r="AS172" s="179">
        <v>0</v>
      </c>
      <c r="AT172" s="179">
        <v>0</v>
      </c>
      <c r="AU172" s="179">
        <f t="shared" si="92"/>
        <v>0.02</v>
      </c>
      <c r="AV172" s="179">
        <f t="shared" si="75"/>
        <v>0</v>
      </c>
      <c r="AW172" s="179">
        <v>0.02</v>
      </c>
      <c r="AX172" s="179">
        <v>0.02</v>
      </c>
      <c r="AY172" s="179">
        <v>0</v>
      </c>
      <c r="AZ172" s="179">
        <v>0</v>
      </c>
      <c r="BA172" s="179">
        <v>0</v>
      </c>
      <c r="BB172" s="179">
        <v>0</v>
      </c>
      <c r="BC172" s="179">
        <v>0</v>
      </c>
      <c r="BD172" s="179">
        <v>0</v>
      </c>
      <c r="BE172" s="179">
        <f t="shared" si="93"/>
        <v>3.7600000000000001E-2</v>
      </c>
      <c r="BF172" s="179">
        <f t="shared" si="76"/>
        <v>0</v>
      </c>
      <c r="BG172" s="179">
        <v>3.7600000000000001E-2</v>
      </c>
      <c r="BH172" s="179">
        <v>3.7600000000000001E-2</v>
      </c>
      <c r="BI172" s="179">
        <v>0</v>
      </c>
      <c r="BJ172" s="179">
        <v>0</v>
      </c>
      <c r="BK172" s="179">
        <v>0</v>
      </c>
      <c r="BL172" s="179">
        <v>0</v>
      </c>
      <c r="BM172" s="179">
        <v>0</v>
      </c>
      <c r="BN172" s="179">
        <v>0</v>
      </c>
      <c r="BO172" s="179">
        <f t="shared" si="94"/>
        <v>1.7000000000000001E-2</v>
      </c>
      <c r="BP172" s="179">
        <f t="shared" si="77"/>
        <v>0</v>
      </c>
      <c r="BQ172" s="179">
        <v>1.7000000000000001E-2</v>
      </c>
      <c r="BR172" s="179">
        <v>1.7000000000000001E-2</v>
      </c>
      <c r="BS172" s="179">
        <v>0</v>
      </c>
      <c r="BT172" s="179">
        <v>0</v>
      </c>
      <c r="BU172" s="179">
        <v>0</v>
      </c>
      <c r="BV172" s="179">
        <v>0</v>
      </c>
      <c r="BW172" s="179">
        <v>0</v>
      </c>
      <c r="BX172" s="179">
        <v>0</v>
      </c>
      <c r="BY172" s="179">
        <f t="shared" si="95"/>
        <v>2.5000000000000001E-2</v>
      </c>
      <c r="BZ172" s="179">
        <f t="shared" si="78"/>
        <v>0</v>
      </c>
      <c r="CA172" s="179">
        <v>2.5000000000000001E-2</v>
      </c>
      <c r="CB172" s="179">
        <v>2.5000000000000001E-2</v>
      </c>
      <c r="CC172" s="179">
        <v>0</v>
      </c>
      <c r="CD172" s="179">
        <v>0</v>
      </c>
      <c r="CE172" s="179">
        <v>0</v>
      </c>
      <c r="CF172" s="179">
        <v>0</v>
      </c>
      <c r="CG172" s="179">
        <v>0</v>
      </c>
      <c r="CH172" s="179">
        <v>0</v>
      </c>
      <c r="CI172" s="179">
        <f t="shared" si="104"/>
        <v>0</v>
      </c>
      <c r="CJ172" s="179">
        <f t="shared" si="80"/>
        <v>0</v>
      </c>
      <c r="CK172" s="179"/>
      <c r="CL172" s="179"/>
      <c r="CM172" s="179"/>
      <c r="CN172" s="179"/>
      <c r="CO172" s="179">
        <v>0</v>
      </c>
      <c r="CP172" s="179">
        <v>0</v>
      </c>
      <c r="CQ172" s="179">
        <v>0</v>
      </c>
      <c r="CR172" s="179">
        <v>0</v>
      </c>
      <c r="CS172" s="179">
        <f t="shared" si="96"/>
        <v>0</v>
      </c>
      <c r="CT172" s="179">
        <f t="shared" si="81"/>
        <v>0</v>
      </c>
      <c r="CU172" s="179"/>
      <c r="CV172" s="179"/>
      <c r="CW172" s="179"/>
      <c r="CX172" s="179"/>
      <c r="CY172" s="179">
        <v>0</v>
      </c>
      <c r="CZ172" s="179">
        <v>0</v>
      </c>
      <c r="DA172" s="179">
        <v>0</v>
      </c>
      <c r="DB172" s="179">
        <v>0</v>
      </c>
      <c r="DC172" s="179">
        <f t="shared" si="97"/>
        <v>0</v>
      </c>
      <c r="DD172" s="179">
        <f t="shared" si="82"/>
        <v>0</v>
      </c>
      <c r="DE172" s="179"/>
      <c r="DF172" s="179"/>
      <c r="DG172" s="179"/>
      <c r="DH172" s="179"/>
      <c r="DI172" s="179">
        <v>0</v>
      </c>
      <c r="DJ172" s="179">
        <v>0</v>
      </c>
      <c r="DK172" s="179">
        <v>0</v>
      </c>
      <c r="DL172" s="179">
        <v>0</v>
      </c>
      <c r="DM172" s="179">
        <f t="shared" si="98"/>
        <v>0</v>
      </c>
      <c r="DN172" s="179">
        <f t="shared" si="83"/>
        <v>0</v>
      </c>
      <c r="DO172" s="179"/>
      <c r="DP172" s="179"/>
      <c r="DQ172" s="179"/>
      <c r="DR172" s="179"/>
      <c r="DS172" s="179">
        <v>0</v>
      </c>
      <c r="DT172" s="179">
        <v>0</v>
      </c>
      <c r="DU172" s="179">
        <v>0</v>
      </c>
      <c r="DV172" s="179">
        <v>0</v>
      </c>
      <c r="DW172" s="179">
        <f t="shared" si="99"/>
        <v>0</v>
      </c>
      <c r="DX172" s="179">
        <f t="shared" si="84"/>
        <v>0</v>
      </c>
      <c r="DY172" s="179"/>
      <c r="DZ172" s="179"/>
      <c r="EA172" s="179"/>
      <c r="EB172" s="179"/>
      <c r="EC172" s="179">
        <v>0</v>
      </c>
      <c r="ED172" s="179">
        <v>0</v>
      </c>
      <c r="EE172" s="179">
        <v>0</v>
      </c>
      <c r="EF172" s="179">
        <v>0</v>
      </c>
      <c r="EG172" s="179">
        <f t="shared" si="100"/>
        <v>0</v>
      </c>
      <c r="EH172" s="21">
        <f t="shared" si="85"/>
        <v>0</v>
      </c>
      <c r="EI172" s="70"/>
      <c r="EJ172" s="21"/>
      <c r="EK172" s="21"/>
      <c r="EL172" s="21"/>
      <c r="EM172" s="70">
        <v>0</v>
      </c>
      <c r="EN172" s="21">
        <v>0</v>
      </c>
      <c r="EO172" s="21">
        <v>0</v>
      </c>
      <c r="EP172" s="21">
        <v>0</v>
      </c>
      <c r="EQ172" s="181">
        <v>2.6551132839578242E-2</v>
      </c>
      <c r="ER172" s="21">
        <f ca="1">SUM(ES172:EU172)</f>
        <v>0</v>
      </c>
      <c r="ES172" s="60">
        <f ca="1">SUMIFS(TME_Yesterday[Sell_WHS_QTY],TME_Yesterday[Region],master_Daily!$X172,TME_Yesterday[Brand],master_Daily!$Y172)/50000+$ES$282+$ES$288+$ES$294</f>
        <v>0</v>
      </c>
      <c r="ET172" s="60">
        <f ca="1">SUMIFS(TME_Yesterday[Sell_RTL_QTY],TME_Yesterday[Region],master_Daily!$X172,TME_Yesterday[Brand],master_Daily!$Y172)/50000</f>
        <v>0</v>
      </c>
      <c r="EU172" s="60">
        <f ca="1">SUMIFS(TME_Yesterday[Sell_NEO_QTY],TME_Yesterday[Region],master_Daily!$X172,TME_Yesterday[Brand],master_Daily!$Y172)/50000</f>
        <v>0</v>
      </c>
      <c r="EV172" s="21">
        <f ca="1">SUM(EW172:EY172)</f>
        <v>0</v>
      </c>
      <c r="EW172" s="60">
        <f ca="1">SUMIFS(TME_Yesterday[FOC_WHS_QTY],TME_Yesterday[Region],master_Daily!$X172,TME_Yesterday[Brand],master_Daily!$Y172)/50000</f>
        <v>0</v>
      </c>
      <c r="EX172" s="60">
        <f ca="1">SUMIFS(TME_Yesterday[FOC_RTL_QTY],TME_Yesterday[Region],master_Daily!$X172,TME_Yesterday[Brand],master_Daily!$Y172)/50000</f>
        <v>0</v>
      </c>
      <c r="EY172" s="60">
        <f ca="1">SUMIFS(TME_Yesterday[FOC_NEO_QTY],TME_Yesterday[Region],master_Daily!$X172,TME_Yesterday[Brand],master_Daily!$Y172)/50000</f>
        <v>0</v>
      </c>
      <c r="EZ172" s="60">
        <f ca="1">SUM(FA172:FC172)</f>
        <v>2.5000000000000001E-2</v>
      </c>
      <c r="FA172" s="60">
        <f ca="1">SUMIFS(TME_MTD[Sell_WHS_QTY],TME_MTD[Region],master_Daily!$X172,TME_MTD[Brand],master_Daily!$Y172)/50000+$FA$282+$FA$288+$FA$294</f>
        <v>2.5000000000000001E-2</v>
      </c>
      <c r="FB172" s="60">
        <f ca="1">SUMIFS(TME_MTD[Sell_RTL_QTY],TME_MTD[Region],master_Daily!$X172,TME_MTD[Brand],master_Daily!$Y172)/50000</f>
        <v>0</v>
      </c>
      <c r="FC172" s="60">
        <f ca="1">SUMIFS(TME_MTD[Sell_NEO_QTY],TME_MTD[Region],master_Daily!$X172,TME_MTD[Brand],master_Daily!$Y172)/50000</f>
        <v>0</v>
      </c>
      <c r="FD172" s="60">
        <f ca="1">SUM(FE172:FG172)</f>
        <v>0</v>
      </c>
      <c r="FE172" s="60">
        <f ca="1">SUMIFS(TME_MTD[FOC_WHS_QTY],TME_MTD[Region],master_Daily!$X172,TME_MTD[Brand],master_Daily!$Y172)/50000</f>
        <v>0</v>
      </c>
      <c r="FF172" s="60">
        <f ca="1">SUMIFS(TME_MTD[FOC_RTL_QTY],TME_MTD[Region],master_Daily!$X172,TME_MTD[Brand],master_Daily!$Y172)/50000</f>
        <v>0</v>
      </c>
      <c r="FG172" s="60">
        <f ca="1">SUMIFS(TME_MTD[FOC_NEO_QTY],TME_MTD[Region],master_Daily!$X172,TME_MTD[Brand],master_Daily!$Y172)/50000</f>
        <v>0</v>
      </c>
      <c r="FH172" s="21">
        <f t="shared" ref="FH172:FO174" ca="1" si="116">SUMIFS($AA172:$EP172,$AA$129:$EP$129,INDIRECT(ADDRESS(129,COLUMN())))</f>
        <v>0.15640000000000001</v>
      </c>
      <c r="FI172" s="21">
        <f t="shared" ca="1" si="116"/>
        <v>0.15640000000000001</v>
      </c>
      <c r="FJ172" s="21">
        <f t="shared" ca="1" si="116"/>
        <v>0</v>
      </c>
      <c r="FK172" s="21">
        <f t="shared" ca="1" si="116"/>
        <v>0</v>
      </c>
      <c r="FL172" s="21">
        <f t="shared" ca="1" si="116"/>
        <v>0</v>
      </c>
      <c r="FM172" s="21">
        <f t="shared" ca="1" si="116"/>
        <v>0</v>
      </c>
      <c r="FN172" s="21">
        <f t="shared" ca="1" si="116"/>
        <v>0</v>
      </c>
      <c r="FO172" s="21">
        <f t="shared" ca="1" si="116"/>
        <v>0</v>
      </c>
      <c r="FP172" s="58">
        <f ca="1">IFERROR(FH172/$FH$177,0)</f>
        <v>6.9449378330372997E-3</v>
      </c>
      <c r="FQ172" s="23">
        <f ca="1">IFERROR(EZ172/EQ172,0)</f>
        <v>0.94157941022892788</v>
      </c>
      <c r="FR172" s="60">
        <f>SUMIFS(TME_MTD_Dist[Sell_WHS_QTY],TME_MTD_Dist[Region],master_Daily!$X172,TME_MTD_Dist[Brand],master_Daily!$Y172)/50000
 + SUMIFS(TME_MTD_Dist[Sell_RTL_QTY],TME_MTD_Dist[Region],master_Daily!$X172,TME_MTD_Dist[Brand],master_Daily!$Y172)/50000</f>
        <v>0</v>
      </c>
      <c r="FS172" s="23">
        <f>IFERROR(FR172/EQ172,0)</f>
        <v>0</v>
      </c>
      <c r="FT172" s="469">
        <v>4.9310344827586212E-3</v>
      </c>
      <c r="FU172" s="289">
        <f>FT172*$FU$177</f>
        <v>2.1807101366180692E-2</v>
      </c>
    </row>
    <row r="173" spans="2:178" ht="15" customHeight="1" outlineLevel="1">
      <c r="B173" s="20" t="s">
        <v>133</v>
      </c>
      <c r="C173" s="74" t="s">
        <v>45</v>
      </c>
      <c r="D173" s="74"/>
      <c r="E173" s="21">
        <v>0</v>
      </c>
      <c r="F173" s="21">
        <v>0</v>
      </c>
      <c r="G173" s="21">
        <v>0</v>
      </c>
      <c r="H173" s="21">
        <v>0</v>
      </c>
      <c r="I173" s="21">
        <v>0</v>
      </c>
      <c r="J173" s="21">
        <v>0</v>
      </c>
      <c r="K173" s="21"/>
      <c r="L173" s="21"/>
      <c r="M173" s="21"/>
      <c r="N173" s="21"/>
      <c r="O173" s="21"/>
      <c r="P173" s="21"/>
      <c r="Q173" s="422">
        <v>0</v>
      </c>
      <c r="R173" s="72">
        <f>IFERROR(SUMIFS(Daily_Vol_yesterday[Order Quantity],Daily_Vol_yesterday[Cust_Cat.cust_channel],master_Daily!B173,Daily_Vol_yesterday[Map_Product.TME_Brand],master_Daily!C173)/50000,0)</f>
        <v>0</v>
      </c>
      <c r="S173" s="60">
        <f>IFERROR(SUM(SUMIFS(Weekly_Vol[Quantity],Weekly_Vol[Cust_Cat.cust_channel],master_Daily!B173,Weekly_Vol[Map_Product.TME_Brand],master_Daily!C173),SUMIFS(Daily_Vol[Order Quantity],Daily_Vol[Cust_Cat.cust_channel],master_Daily!B173,Daily_Vol[Map_Product.TME_Brand],master_Daily!C173))/50000,0)</f>
        <v>0</v>
      </c>
      <c r="T173" s="57">
        <f t="shared" si="74"/>
        <v>0</v>
      </c>
      <c r="U173" s="22">
        <f>IFERROR(T173/$T$177,0)</f>
        <v>0</v>
      </c>
      <c r="V173" s="23">
        <f t="shared" si="28"/>
        <v>0</v>
      </c>
      <c r="X173" s="20" t="s">
        <v>200</v>
      </c>
      <c r="Y173" s="20" t="s">
        <v>45</v>
      </c>
      <c r="Z173" s="20"/>
      <c r="AA173" s="179">
        <f t="shared" si="103"/>
        <v>6.1999999999999998E-3</v>
      </c>
      <c r="AB173" s="179">
        <f t="shared" si="90"/>
        <v>0</v>
      </c>
      <c r="AC173" s="179">
        <v>6.1999999999999998E-3</v>
      </c>
      <c r="AD173" s="179">
        <v>6.1999999999999998E-3</v>
      </c>
      <c r="AE173" s="179">
        <v>0</v>
      </c>
      <c r="AF173" s="179">
        <v>0</v>
      </c>
      <c r="AG173" s="179">
        <v>0</v>
      </c>
      <c r="AH173" s="179">
        <v>0</v>
      </c>
      <c r="AI173" s="179">
        <v>0</v>
      </c>
      <c r="AJ173" s="179">
        <v>0</v>
      </c>
      <c r="AK173" s="179">
        <f t="shared" ref="AK173:AK183" si="117">SUM(AN173:AP173)</f>
        <v>4.0000000000000001E-3</v>
      </c>
      <c r="AL173" s="179">
        <f t="shared" si="91"/>
        <v>0</v>
      </c>
      <c r="AM173" s="179">
        <v>4.0000000000000001E-3</v>
      </c>
      <c r="AN173" s="179">
        <v>4.0000000000000001E-3</v>
      </c>
      <c r="AO173" s="179">
        <v>0</v>
      </c>
      <c r="AP173" s="179">
        <v>0</v>
      </c>
      <c r="AQ173" s="179">
        <v>0</v>
      </c>
      <c r="AR173" s="179">
        <v>0</v>
      </c>
      <c r="AS173" s="179">
        <v>0</v>
      </c>
      <c r="AT173" s="179">
        <v>0</v>
      </c>
      <c r="AU173" s="179">
        <f t="shared" si="92"/>
        <v>7.0000000000000001E-3</v>
      </c>
      <c r="AV173" s="179">
        <f t="shared" si="75"/>
        <v>0</v>
      </c>
      <c r="AW173" s="179">
        <v>7.0000000000000001E-3</v>
      </c>
      <c r="AX173" s="179">
        <v>7.0000000000000001E-3</v>
      </c>
      <c r="AY173" s="179">
        <v>0</v>
      </c>
      <c r="AZ173" s="179">
        <v>0</v>
      </c>
      <c r="BA173" s="179">
        <v>0</v>
      </c>
      <c r="BB173" s="179">
        <v>0</v>
      </c>
      <c r="BC173" s="179">
        <v>0</v>
      </c>
      <c r="BD173" s="179">
        <v>0</v>
      </c>
      <c r="BE173" s="179">
        <f t="shared" si="93"/>
        <v>4.0000000000000001E-3</v>
      </c>
      <c r="BF173" s="179">
        <f t="shared" si="76"/>
        <v>0</v>
      </c>
      <c r="BG173" s="179">
        <v>4.0000000000000001E-3</v>
      </c>
      <c r="BH173" s="179">
        <v>4.0000000000000001E-3</v>
      </c>
      <c r="BI173" s="179">
        <v>0</v>
      </c>
      <c r="BJ173" s="179">
        <v>0</v>
      </c>
      <c r="BK173" s="179">
        <v>0</v>
      </c>
      <c r="BL173" s="179">
        <v>0</v>
      </c>
      <c r="BM173" s="179">
        <v>0</v>
      </c>
      <c r="BN173" s="179">
        <v>0</v>
      </c>
      <c r="BO173" s="179">
        <f t="shared" si="94"/>
        <v>5.0000000000000001E-3</v>
      </c>
      <c r="BP173" s="179">
        <f t="shared" si="77"/>
        <v>0</v>
      </c>
      <c r="BQ173" s="179">
        <v>5.0000000000000001E-3</v>
      </c>
      <c r="BR173" s="179">
        <v>5.0000000000000001E-3</v>
      </c>
      <c r="BS173" s="179">
        <v>0</v>
      </c>
      <c r="BT173" s="179">
        <v>0</v>
      </c>
      <c r="BU173" s="179">
        <v>0</v>
      </c>
      <c r="BV173" s="179">
        <v>0</v>
      </c>
      <c r="BW173" s="179">
        <v>0</v>
      </c>
      <c r="BX173" s="179">
        <v>0</v>
      </c>
      <c r="BY173" s="179">
        <f t="shared" si="95"/>
        <v>0</v>
      </c>
      <c r="BZ173" s="179">
        <f t="shared" si="78"/>
        <v>0</v>
      </c>
      <c r="CA173" s="179">
        <v>0</v>
      </c>
      <c r="CB173" s="179">
        <v>0</v>
      </c>
      <c r="CC173" s="179">
        <v>0</v>
      </c>
      <c r="CD173" s="179">
        <v>0</v>
      </c>
      <c r="CE173" s="179">
        <v>0</v>
      </c>
      <c r="CF173" s="179">
        <v>0</v>
      </c>
      <c r="CG173" s="179">
        <v>0</v>
      </c>
      <c r="CH173" s="179">
        <v>0</v>
      </c>
      <c r="CI173" s="179">
        <f t="shared" si="104"/>
        <v>0</v>
      </c>
      <c r="CJ173" s="179">
        <f t="shared" si="80"/>
        <v>0</v>
      </c>
      <c r="CK173" s="179"/>
      <c r="CL173" s="179"/>
      <c r="CM173" s="179"/>
      <c r="CN173" s="179"/>
      <c r="CO173" s="179">
        <v>0</v>
      </c>
      <c r="CP173" s="179">
        <v>0</v>
      </c>
      <c r="CQ173" s="179">
        <v>0</v>
      </c>
      <c r="CR173" s="179">
        <v>0</v>
      </c>
      <c r="CS173" s="179">
        <f t="shared" si="96"/>
        <v>0</v>
      </c>
      <c r="CT173" s="179">
        <f t="shared" si="81"/>
        <v>0</v>
      </c>
      <c r="CU173" s="179"/>
      <c r="CV173" s="179"/>
      <c r="CW173" s="179"/>
      <c r="CX173" s="179"/>
      <c r="CY173" s="179">
        <v>0</v>
      </c>
      <c r="CZ173" s="179">
        <v>0</v>
      </c>
      <c r="DA173" s="179">
        <v>0</v>
      </c>
      <c r="DB173" s="179">
        <v>0</v>
      </c>
      <c r="DC173" s="179">
        <f t="shared" si="97"/>
        <v>0</v>
      </c>
      <c r="DD173" s="179">
        <f t="shared" si="82"/>
        <v>0</v>
      </c>
      <c r="DE173" s="179"/>
      <c r="DF173" s="179"/>
      <c r="DG173" s="179"/>
      <c r="DH173" s="179"/>
      <c r="DI173" s="179">
        <v>0</v>
      </c>
      <c r="DJ173" s="179">
        <v>0</v>
      </c>
      <c r="DK173" s="179">
        <v>0</v>
      </c>
      <c r="DL173" s="179">
        <v>0</v>
      </c>
      <c r="DM173" s="179">
        <f t="shared" si="98"/>
        <v>0</v>
      </c>
      <c r="DN173" s="179">
        <f t="shared" si="83"/>
        <v>0</v>
      </c>
      <c r="DO173" s="179"/>
      <c r="DP173" s="179"/>
      <c r="DQ173" s="179"/>
      <c r="DR173" s="179"/>
      <c r="DS173" s="179">
        <v>0</v>
      </c>
      <c r="DT173" s="179">
        <v>0</v>
      </c>
      <c r="DU173" s="179">
        <v>0</v>
      </c>
      <c r="DV173" s="179">
        <v>0</v>
      </c>
      <c r="DW173" s="179">
        <f t="shared" si="99"/>
        <v>0</v>
      </c>
      <c r="DX173" s="179">
        <f t="shared" si="84"/>
        <v>0</v>
      </c>
      <c r="DY173" s="179"/>
      <c r="DZ173" s="179"/>
      <c r="EA173" s="179"/>
      <c r="EB173" s="179"/>
      <c r="EC173" s="179">
        <v>0</v>
      </c>
      <c r="ED173" s="179">
        <v>0</v>
      </c>
      <c r="EE173" s="179">
        <v>0</v>
      </c>
      <c r="EF173" s="179">
        <v>0</v>
      </c>
      <c r="EG173" s="179">
        <f t="shared" si="100"/>
        <v>0</v>
      </c>
      <c r="EH173" s="21">
        <f t="shared" si="85"/>
        <v>0</v>
      </c>
      <c r="EI173" s="70"/>
      <c r="EJ173" s="21"/>
      <c r="EK173" s="21"/>
      <c r="EL173" s="21"/>
      <c r="EM173" s="70">
        <v>0</v>
      </c>
      <c r="EN173" s="21">
        <v>0</v>
      </c>
      <c r="EO173" s="21">
        <v>0</v>
      </c>
      <c r="EP173" s="21">
        <v>0</v>
      </c>
      <c r="EQ173" s="181">
        <v>4.3635302272976035E-3</v>
      </c>
      <c r="ER173" s="21">
        <f ca="1">SUM(ES173:EU173)</f>
        <v>0</v>
      </c>
      <c r="ES173" s="60">
        <f ca="1">SUMIFS(TME_Yesterday[Sell_WHS_QTY],TME_Yesterday[Region],master_Daily!$X173,TME_Yesterday[Brand],master_Daily!$Y173)/50000+$ES$283+$ES$289+$ES$295</f>
        <v>0</v>
      </c>
      <c r="ET173" s="60">
        <f ca="1">SUMIFS(TME_Yesterday[Sell_RTL_QTY],TME_Yesterday[Region],master_Daily!$X173,TME_Yesterday[Brand],master_Daily!$Y173)/50000</f>
        <v>0</v>
      </c>
      <c r="EU173" s="60">
        <f ca="1">SUMIFS(TME_Yesterday[Sell_NEO_QTY],TME_Yesterday[Region],master_Daily!$X173,TME_Yesterday[Brand],master_Daily!$Y173)/50000</f>
        <v>0</v>
      </c>
      <c r="EV173" s="21">
        <f ca="1">SUM(EW173:EY173)</f>
        <v>0</v>
      </c>
      <c r="EW173" s="60">
        <f ca="1">SUMIFS(TME_Yesterday[FOC_WHS_QTY],TME_Yesterday[Region],master_Daily!$X173,TME_Yesterday[Brand],master_Daily!$Y173)/50000</f>
        <v>0</v>
      </c>
      <c r="EX173" s="60">
        <f ca="1">SUMIFS(TME_Yesterday[FOC_RTL_QTY],TME_Yesterday[Region],master_Daily!$X173,TME_Yesterday[Brand],master_Daily!$Y173)/50000</f>
        <v>0</v>
      </c>
      <c r="EY173" s="60">
        <f ca="1">SUMIFS(TME_Yesterday[FOC_NEO_QTY],TME_Yesterday[Region],master_Daily!$X173,TME_Yesterday[Brand],master_Daily!$Y173)/50000</f>
        <v>0</v>
      </c>
      <c r="EZ173" s="60">
        <f ca="1">SUM(FA173:FC173)</f>
        <v>0</v>
      </c>
      <c r="FA173" s="60">
        <f ca="1">SUMIFS(TME_MTD[Sell_WHS_QTY],TME_MTD[Region],master_Daily!$X173,TME_MTD[Brand],master_Daily!$Y173)/50000+$FA$283+$FA$289+$FA$295</f>
        <v>0</v>
      </c>
      <c r="FB173" s="60">
        <f ca="1">SUMIFS(TME_MTD[Sell_RTL_QTY],TME_MTD[Region],master_Daily!$X173,TME_MTD[Brand],master_Daily!$Y173)/50000</f>
        <v>0</v>
      </c>
      <c r="FC173" s="60">
        <f ca="1">SUMIFS(TME_MTD[Sell_NEO_QTY],TME_MTD[Region],master_Daily!$X173,TME_MTD[Brand],master_Daily!$Y173)/50000</f>
        <v>0</v>
      </c>
      <c r="FD173" s="60">
        <f ca="1">SUM(FE173:FG173)</f>
        <v>0</v>
      </c>
      <c r="FE173" s="60">
        <f ca="1">SUMIFS(TME_MTD[FOC_WHS_QTY],TME_MTD[Region],master_Daily!$X173,TME_MTD[Brand],master_Daily!$Y173)/50000</f>
        <v>0</v>
      </c>
      <c r="FF173" s="60">
        <f ca="1">SUMIFS(TME_MTD[FOC_RTL_QTY],TME_MTD[Region],master_Daily!$X173,TME_MTD[Brand],master_Daily!$Y173)/50000</f>
        <v>0</v>
      </c>
      <c r="FG173" s="60">
        <f ca="1">SUMIFS(TME_MTD[FOC_NEO_QTY],TME_MTD[Region],master_Daily!$X173,TME_MTD[Brand],master_Daily!$Y173)/50000</f>
        <v>0</v>
      </c>
      <c r="FH173" s="21">
        <f t="shared" ca="1" si="116"/>
        <v>2.6200000000000001E-2</v>
      </c>
      <c r="FI173" s="21">
        <f t="shared" ca="1" si="116"/>
        <v>2.6200000000000001E-2</v>
      </c>
      <c r="FJ173" s="21">
        <f t="shared" ca="1" si="116"/>
        <v>0</v>
      </c>
      <c r="FK173" s="21">
        <f t="shared" ca="1" si="116"/>
        <v>0</v>
      </c>
      <c r="FL173" s="21">
        <f t="shared" ca="1" si="116"/>
        <v>0</v>
      </c>
      <c r="FM173" s="21">
        <f t="shared" ca="1" si="116"/>
        <v>0</v>
      </c>
      <c r="FN173" s="21">
        <f t="shared" ca="1" si="116"/>
        <v>0</v>
      </c>
      <c r="FO173" s="21">
        <f t="shared" ca="1" si="116"/>
        <v>0</v>
      </c>
      <c r="FP173" s="58">
        <f ca="1">IFERROR(FH173/$FH$177,0)</f>
        <v>1.1634103019538186E-3</v>
      </c>
      <c r="FQ173" s="23">
        <f ca="1">IFERROR(EZ173/EQ173,0)</f>
        <v>0</v>
      </c>
      <c r="FR173" s="60">
        <f>SUMIFS(TME_MTD_Dist[Sell_WHS_QTY],TME_MTD_Dist[Region],master_Daily!$X173,TME_MTD_Dist[Brand],master_Daily!$Y173)/50000
 + SUMIFS(TME_MTD_Dist[Sell_RTL_QTY],TME_MTD_Dist[Region],master_Daily!$X173,TME_MTD_Dist[Brand],master_Daily!$Y173)/50000</f>
        <v>0</v>
      </c>
      <c r="FS173" s="23">
        <f>IFERROR(FR173/EQ173,0)</f>
        <v>0</v>
      </c>
      <c r="FT173" s="469">
        <v>2.0689655172413794E-3</v>
      </c>
      <c r="FU173" s="289">
        <f>FT173*$FU$177</f>
        <v>9.1498327410548357E-3</v>
      </c>
    </row>
    <row r="174" spans="2:178" ht="15" customHeight="1" outlineLevel="1">
      <c r="B174" s="20" t="s">
        <v>133</v>
      </c>
      <c r="C174" s="74" t="s">
        <v>46</v>
      </c>
      <c r="D174" s="74"/>
      <c r="E174" s="21">
        <v>1.42</v>
      </c>
      <c r="F174" s="21">
        <v>1.1599999999999999</v>
      </c>
      <c r="G174" s="21">
        <v>1.86</v>
      </c>
      <c r="H174" s="21">
        <v>1.38</v>
      </c>
      <c r="I174" s="21">
        <v>1.1499999999999999</v>
      </c>
      <c r="J174" s="21">
        <v>0.56000000000000005</v>
      </c>
      <c r="K174" s="21"/>
      <c r="L174" s="21"/>
      <c r="M174" s="21"/>
      <c r="N174" s="21"/>
      <c r="O174" s="21"/>
      <c r="P174" s="21"/>
      <c r="Q174" s="422">
        <v>1.1732864450127876</v>
      </c>
      <c r="R174" s="72">
        <f>IFERROR(SUMIFS(Daily_Vol_yesterday[Order Quantity],Daily_Vol_yesterday[Cust_Cat.cust_channel],master_Daily!B174,Daily_Vol_yesterday[Map_Product.TME_Brand],master_Daily!C174)/50000,0)</f>
        <v>0.46</v>
      </c>
      <c r="S174" s="60">
        <f>IFERROR(SUM(SUMIFS(Weekly_Vol[Quantity],Weekly_Vol[Cust_Cat.cust_channel],master_Daily!B174,Weekly_Vol[Map_Product.TME_Brand],master_Daily!C174),SUMIFS(Daily_Vol[Order Quantity],Daily_Vol[Cust_Cat.cust_channel],master_Daily!B174,Daily_Vol[Map_Product.TME_Brand],master_Daily!C174))/50000,0)</f>
        <v>0.56000000000000005</v>
      </c>
      <c r="T174" s="57">
        <f>SUM(E174:P174)</f>
        <v>7.5300000000000011</v>
      </c>
      <c r="U174" s="22">
        <f>IFERROR(T174/$T$177,0)</f>
        <v>0.28609422492401226</v>
      </c>
      <c r="V174" s="23">
        <f t="shared" si="28"/>
        <v>0.47729180063432564</v>
      </c>
      <c r="X174" s="20" t="s">
        <v>200</v>
      </c>
      <c r="Y174" s="20" t="s">
        <v>46</v>
      </c>
      <c r="Z174" s="20"/>
      <c r="AA174" s="179">
        <f t="shared" si="103"/>
        <v>1.7118</v>
      </c>
      <c r="AB174" s="179">
        <f t="shared" si="90"/>
        <v>0</v>
      </c>
      <c r="AC174" s="179">
        <v>1.7118</v>
      </c>
      <c r="AD174" s="179">
        <v>1.7118</v>
      </c>
      <c r="AE174" s="179">
        <v>0</v>
      </c>
      <c r="AF174" s="179">
        <v>0</v>
      </c>
      <c r="AG174" s="179">
        <v>0</v>
      </c>
      <c r="AH174" s="179">
        <v>0</v>
      </c>
      <c r="AI174" s="179">
        <v>0</v>
      </c>
      <c r="AJ174" s="179">
        <v>0</v>
      </c>
      <c r="AK174" s="179">
        <f t="shared" si="117"/>
        <v>1.74</v>
      </c>
      <c r="AL174" s="179">
        <f t="shared" si="91"/>
        <v>0</v>
      </c>
      <c r="AM174" s="179">
        <v>1.74</v>
      </c>
      <c r="AN174" s="179">
        <v>1.74</v>
      </c>
      <c r="AO174" s="179">
        <v>0</v>
      </c>
      <c r="AP174" s="179">
        <v>0</v>
      </c>
      <c r="AQ174" s="179">
        <v>0</v>
      </c>
      <c r="AR174" s="179">
        <v>0</v>
      </c>
      <c r="AS174" s="179">
        <v>0</v>
      </c>
      <c r="AT174" s="179">
        <v>0</v>
      </c>
      <c r="AU174" s="179">
        <f t="shared" si="92"/>
        <v>1.4</v>
      </c>
      <c r="AV174" s="179">
        <f t="shared" si="75"/>
        <v>0</v>
      </c>
      <c r="AW174" s="179">
        <v>1.4</v>
      </c>
      <c r="AX174" s="179">
        <v>1.4</v>
      </c>
      <c r="AY174" s="179">
        <v>0</v>
      </c>
      <c r="AZ174" s="179">
        <v>0</v>
      </c>
      <c r="BA174" s="179">
        <v>0</v>
      </c>
      <c r="BB174" s="179">
        <v>0</v>
      </c>
      <c r="BC174" s="179">
        <v>0</v>
      </c>
      <c r="BD174" s="179">
        <v>0</v>
      </c>
      <c r="BE174" s="179">
        <f t="shared" si="93"/>
        <v>1.613</v>
      </c>
      <c r="BF174" s="179">
        <f t="shared" si="76"/>
        <v>0</v>
      </c>
      <c r="BG174" s="179">
        <v>1.613</v>
      </c>
      <c r="BH174" s="179">
        <v>1.613</v>
      </c>
      <c r="BI174" s="179">
        <v>0</v>
      </c>
      <c r="BJ174" s="179">
        <v>0</v>
      </c>
      <c r="BK174" s="179">
        <v>0</v>
      </c>
      <c r="BL174" s="179">
        <v>0</v>
      </c>
      <c r="BM174" s="179">
        <v>0</v>
      </c>
      <c r="BN174" s="179">
        <v>0</v>
      </c>
      <c r="BO174" s="179">
        <f t="shared" si="94"/>
        <v>1.5629999999999999</v>
      </c>
      <c r="BP174" s="179">
        <f t="shared" si="77"/>
        <v>0</v>
      </c>
      <c r="BQ174" s="179">
        <v>1.5629999999999999</v>
      </c>
      <c r="BR174" s="179">
        <v>1.5629999999999999</v>
      </c>
      <c r="BS174" s="179">
        <v>0</v>
      </c>
      <c r="BT174" s="179">
        <v>0</v>
      </c>
      <c r="BU174" s="179">
        <v>0</v>
      </c>
      <c r="BV174" s="179">
        <v>0</v>
      </c>
      <c r="BW174" s="179">
        <v>0</v>
      </c>
      <c r="BX174" s="179">
        <v>0</v>
      </c>
      <c r="BY174" s="179">
        <f t="shared" si="95"/>
        <v>0.42499999999999999</v>
      </c>
      <c r="BZ174" s="179">
        <f t="shared" si="78"/>
        <v>0</v>
      </c>
      <c r="CA174" s="179">
        <v>0.42499999999999999</v>
      </c>
      <c r="CB174" s="179">
        <v>0.42499999999999999</v>
      </c>
      <c r="CC174" s="179">
        <v>0</v>
      </c>
      <c r="CD174" s="179">
        <v>0</v>
      </c>
      <c r="CE174" s="179">
        <v>0</v>
      </c>
      <c r="CF174" s="179">
        <v>0</v>
      </c>
      <c r="CG174" s="179">
        <v>0</v>
      </c>
      <c r="CH174" s="179">
        <v>0</v>
      </c>
      <c r="CI174" s="179">
        <f t="shared" si="104"/>
        <v>0</v>
      </c>
      <c r="CJ174" s="179">
        <f t="shared" si="80"/>
        <v>0</v>
      </c>
      <c r="CK174" s="179"/>
      <c r="CL174" s="179"/>
      <c r="CM174" s="179"/>
      <c r="CN174" s="179"/>
      <c r="CO174" s="179">
        <v>0</v>
      </c>
      <c r="CP174" s="179">
        <v>0</v>
      </c>
      <c r="CQ174" s="179">
        <v>0</v>
      </c>
      <c r="CR174" s="179">
        <v>0</v>
      </c>
      <c r="CS174" s="179">
        <f t="shared" si="96"/>
        <v>0</v>
      </c>
      <c r="CT174" s="179">
        <f t="shared" si="81"/>
        <v>0</v>
      </c>
      <c r="CU174" s="179"/>
      <c r="CV174" s="179"/>
      <c r="CW174" s="179"/>
      <c r="CX174" s="179"/>
      <c r="CY174" s="179">
        <v>0</v>
      </c>
      <c r="CZ174" s="179">
        <v>0</v>
      </c>
      <c r="DA174" s="179">
        <v>0</v>
      </c>
      <c r="DB174" s="179">
        <v>0</v>
      </c>
      <c r="DC174" s="179">
        <f t="shared" si="97"/>
        <v>0</v>
      </c>
      <c r="DD174" s="179">
        <f t="shared" si="82"/>
        <v>0</v>
      </c>
      <c r="DE174" s="179"/>
      <c r="DF174" s="179"/>
      <c r="DG174" s="179"/>
      <c r="DH174" s="179"/>
      <c r="DI174" s="179">
        <v>0</v>
      </c>
      <c r="DJ174" s="179">
        <v>0</v>
      </c>
      <c r="DK174" s="179">
        <v>0</v>
      </c>
      <c r="DL174" s="179">
        <v>0</v>
      </c>
      <c r="DM174" s="179">
        <f t="shared" si="98"/>
        <v>0</v>
      </c>
      <c r="DN174" s="179">
        <f t="shared" si="83"/>
        <v>0</v>
      </c>
      <c r="DO174" s="179"/>
      <c r="DP174" s="179"/>
      <c r="DQ174" s="179"/>
      <c r="DR174" s="179"/>
      <c r="DS174" s="179">
        <v>0</v>
      </c>
      <c r="DT174" s="179">
        <v>0</v>
      </c>
      <c r="DU174" s="179">
        <v>0</v>
      </c>
      <c r="DV174" s="179">
        <v>0</v>
      </c>
      <c r="DW174" s="179">
        <f t="shared" si="99"/>
        <v>0</v>
      </c>
      <c r="DX174" s="179">
        <f t="shared" si="84"/>
        <v>0</v>
      </c>
      <c r="DY174" s="179"/>
      <c r="DZ174" s="179"/>
      <c r="EA174" s="179"/>
      <c r="EB174" s="179"/>
      <c r="EC174" s="179">
        <v>0</v>
      </c>
      <c r="ED174" s="179">
        <v>0</v>
      </c>
      <c r="EE174" s="179">
        <v>0</v>
      </c>
      <c r="EF174" s="179">
        <v>0</v>
      </c>
      <c r="EG174" s="179">
        <f t="shared" si="100"/>
        <v>0</v>
      </c>
      <c r="EH174" s="21">
        <f t="shared" si="85"/>
        <v>0</v>
      </c>
      <c r="EI174" s="70"/>
      <c r="EJ174" s="21"/>
      <c r="EK174" s="21"/>
      <c r="EL174" s="21"/>
      <c r="EM174" s="70">
        <v>0</v>
      </c>
      <c r="EN174" s="21">
        <v>0</v>
      </c>
      <c r="EO174" s="21">
        <v>0</v>
      </c>
      <c r="EP174" s="21">
        <v>0</v>
      </c>
      <c r="EQ174" s="181">
        <v>1.3889685869604873</v>
      </c>
      <c r="ER174" s="21">
        <f ca="1">SUM(ES174:EU174)</f>
        <v>0</v>
      </c>
      <c r="ES174" s="60">
        <f ca="1">SUMIFS(TME_Yesterday[Sell_WHS_QTY],TME_Yesterday[Region],master_Daily!$X174,TME_Yesterday[Brand],master_Daily!$Y174)/50000+$ES$284+$ES$290+$ES$296</f>
        <v>0</v>
      </c>
      <c r="ET174" s="60">
        <f ca="1">SUMIFS(TME_Yesterday[Sell_RTL_QTY],TME_Yesterday[Region],master_Daily!$X174,TME_Yesterday[Brand],master_Daily!$Y174)/50000</f>
        <v>0</v>
      </c>
      <c r="EU174" s="60">
        <f ca="1">SUMIFS(TME_Yesterday[Sell_NEO_QTY],TME_Yesterday[Region],master_Daily!$X174,TME_Yesterday[Brand],master_Daily!$Y174)/50000</f>
        <v>0</v>
      </c>
      <c r="EV174" s="21">
        <f ca="1">SUM(EW174:EY174)</f>
        <v>0</v>
      </c>
      <c r="EW174" s="60">
        <f ca="1">SUMIFS(TME_Yesterday[FOC_WHS_QTY],TME_Yesterday[Region],master_Daily!$X174,TME_Yesterday[Brand],master_Daily!$Y174)/50000</f>
        <v>0</v>
      </c>
      <c r="EX174" s="60">
        <f ca="1">SUMIFS(TME_Yesterday[FOC_RTL_QTY],TME_Yesterday[Region],master_Daily!$X174,TME_Yesterday[Brand],master_Daily!$Y174)/50000</f>
        <v>0</v>
      </c>
      <c r="EY174" s="60">
        <f ca="1">SUMIFS(TME_Yesterday[FOC_NEO_QTY],TME_Yesterday[Region],master_Daily!$X174,TME_Yesterday[Brand],master_Daily!$Y174)/50000</f>
        <v>0</v>
      </c>
      <c r="EZ174" s="60">
        <f ca="1">SUM(FA174:FC174)</f>
        <v>0.42499999999999999</v>
      </c>
      <c r="FA174" s="60">
        <f ca="1">SUMIFS(TME_MTD[Sell_WHS_QTY],TME_MTD[Region],master_Daily!$X174,TME_MTD[Brand],master_Daily!$Y174)/50000+$FA$284+$FA$290+$FA$296</f>
        <v>0.42499999999999999</v>
      </c>
      <c r="FB174" s="60">
        <f ca="1">SUMIFS(TME_MTD[Sell_RTL_QTY],TME_MTD[Region],master_Daily!$X174,TME_MTD[Brand],master_Daily!$Y174)/50000</f>
        <v>0</v>
      </c>
      <c r="FC174" s="60">
        <f ca="1">SUMIFS(TME_MTD[Sell_NEO_QTY],TME_MTD[Region],master_Daily!$X174,TME_MTD[Brand],master_Daily!$Y174)/50000</f>
        <v>0</v>
      </c>
      <c r="FD174" s="60">
        <f ca="1">SUM(FE174:FG174)</f>
        <v>0</v>
      </c>
      <c r="FE174" s="60">
        <f ca="1">SUMIFS(TME_MTD[FOC_WHS_QTY],TME_MTD[Region],master_Daily!$X174,TME_MTD[Brand],master_Daily!$Y174)/50000</f>
        <v>0</v>
      </c>
      <c r="FF174" s="60">
        <f ca="1">SUMIFS(TME_MTD[FOC_RTL_QTY],TME_MTD[Region],master_Daily!$X174,TME_MTD[Brand],master_Daily!$Y174)/50000</f>
        <v>0</v>
      </c>
      <c r="FG174" s="60">
        <f ca="1">SUMIFS(TME_MTD[FOC_NEO_QTY],TME_MTD[Region],master_Daily!$X174,TME_MTD[Brand],master_Daily!$Y174)/50000</f>
        <v>0</v>
      </c>
      <c r="FH174" s="21">
        <f t="shared" ca="1" si="116"/>
        <v>8.4528000000000016</v>
      </c>
      <c r="FI174" s="21">
        <f t="shared" ca="1" si="116"/>
        <v>8.4528000000000016</v>
      </c>
      <c r="FJ174" s="21">
        <f t="shared" ca="1" si="116"/>
        <v>0</v>
      </c>
      <c r="FK174" s="21">
        <f t="shared" ca="1" si="116"/>
        <v>0</v>
      </c>
      <c r="FL174" s="21">
        <f t="shared" ca="1" si="116"/>
        <v>0</v>
      </c>
      <c r="FM174" s="21">
        <f t="shared" ca="1" si="116"/>
        <v>0</v>
      </c>
      <c r="FN174" s="21">
        <f t="shared" ca="1" si="116"/>
        <v>0</v>
      </c>
      <c r="FO174" s="21">
        <f t="shared" ca="1" si="116"/>
        <v>0</v>
      </c>
      <c r="FP174" s="58">
        <f ca="1">IFERROR(FH174/$FH$177,0)</f>
        <v>0.37534635879218475</v>
      </c>
      <c r="FQ174" s="23">
        <f ca="1">IFERROR(EZ174/EQ174,0)</f>
        <v>0.30598244192839341</v>
      </c>
      <c r="FR174" s="60">
        <f>SUMIFS(TME_MTD_Dist[Sell_WHS_QTY],TME_MTD_Dist[Region],master_Daily!$X174,TME_MTD_Dist[Brand],master_Daily!$Y174)/50000
 + SUMIFS(TME_MTD_Dist[Sell_RTL_QTY],TME_MTD_Dist[Region],master_Daily!$X174,TME_MTD_Dist[Brand],master_Daily!$Y174)/50000</f>
        <v>0</v>
      </c>
      <c r="FS174" s="23">
        <f t="shared" si="33"/>
        <v>0</v>
      </c>
      <c r="FT174" s="469">
        <v>0.44137931034482764</v>
      </c>
      <c r="FU174" s="289">
        <f>FT174*$FU$177</f>
        <v>1.9519643180916983</v>
      </c>
    </row>
    <row r="175" spans="2:178" ht="15" customHeight="1" outlineLevel="1">
      <c r="B175" s="20" t="s">
        <v>133</v>
      </c>
      <c r="C175" s="74" t="s">
        <v>263</v>
      </c>
      <c r="D175" s="74"/>
      <c r="E175" s="21">
        <v>2.87</v>
      </c>
      <c r="F175" s="21">
        <v>1.99</v>
      </c>
      <c r="G175" s="21">
        <v>3.46</v>
      </c>
      <c r="H175" s="21">
        <v>2.87</v>
      </c>
      <c r="I175" s="21">
        <v>2.35</v>
      </c>
      <c r="J175" s="21">
        <v>1.1000000000000001</v>
      </c>
      <c r="K175" s="21"/>
      <c r="L175" s="21"/>
      <c r="M175" s="21"/>
      <c r="N175" s="21"/>
      <c r="O175" s="21"/>
      <c r="P175" s="21"/>
      <c r="Q175" s="422">
        <v>2.3198465473145777</v>
      </c>
      <c r="R175" s="72">
        <f>IFERROR(SUMIFS(Daily_Vol_yesterday[Order Quantity],Daily_Vol_yesterday[Cust_Cat.cust_channel],master_Daily!B175,Daily_Vol_yesterday[Map_Product.TME_Brand],"CM")/50000,0)</f>
        <v>0.83</v>
      </c>
      <c r="S175" s="60">
        <f>IFERROR(SUM(SUMIFS(Weekly_Vol[Quantity],Weekly_Vol[Cust_Cat.cust_channel],master_Daily!B175,Weekly_Vol[Map_Product.TME_Brand],"CM"),SUMIFS(Daily_Vol[Order Quantity],Daily_Vol[Cust_Cat.cust_channel],master_Daily!B175,Daily_Vol[Map_Product.TME_Brand],"CM"))/50000,0)</f>
        <v>1.1000000000000001</v>
      </c>
      <c r="T175" s="57">
        <f t="shared" si="74"/>
        <v>14.64</v>
      </c>
      <c r="U175" s="22">
        <f>IFERROR(T175/$T$177,0)</f>
        <v>0.55623100303951378</v>
      </c>
      <c r="V175" s="23">
        <f t="shared" si="28"/>
        <v>0.47416929420325016</v>
      </c>
      <c r="X175" s="20" t="s">
        <v>200</v>
      </c>
      <c r="Y175" s="20" t="s">
        <v>263</v>
      </c>
      <c r="Z175" s="20"/>
      <c r="AA175" s="179">
        <f t="shared" si="103"/>
        <v>1.7612000000000001</v>
      </c>
      <c r="AB175" s="179">
        <f t="shared" si="90"/>
        <v>0</v>
      </c>
      <c r="AC175" s="179">
        <v>1.7612000000000001</v>
      </c>
      <c r="AD175" s="179">
        <v>1.7612000000000001</v>
      </c>
      <c r="AE175" s="179">
        <v>0</v>
      </c>
      <c r="AF175" s="179">
        <v>0</v>
      </c>
      <c r="AG175" s="179">
        <v>0</v>
      </c>
      <c r="AH175" s="179">
        <v>0</v>
      </c>
      <c r="AI175" s="179">
        <v>0</v>
      </c>
      <c r="AJ175" s="179">
        <v>0</v>
      </c>
      <c r="AK175" s="179">
        <f t="shared" si="117"/>
        <v>1.6659999999999999</v>
      </c>
      <c r="AL175" s="179">
        <f t="shared" si="91"/>
        <v>0</v>
      </c>
      <c r="AM175" s="179">
        <v>1.6659999999999999</v>
      </c>
      <c r="AN175" s="179">
        <v>1.6659999999999999</v>
      </c>
      <c r="AO175" s="179">
        <v>0</v>
      </c>
      <c r="AP175" s="179">
        <v>0</v>
      </c>
      <c r="AQ175" s="179">
        <v>0</v>
      </c>
      <c r="AR175" s="179">
        <v>0</v>
      </c>
      <c r="AS175" s="179">
        <v>0</v>
      </c>
      <c r="AT175" s="179">
        <v>0</v>
      </c>
      <c r="AU175" s="179">
        <f t="shared" si="92"/>
        <v>1.873</v>
      </c>
      <c r="AV175" s="179">
        <f t="shared" si="75"/>
        <v>0</v>
      </c>
      <c r="AW175" s="179">
        <v>1.873</v>
      </c>
      <c r="AX175" s="179">
        <v>1.873</v>
      </c>
      <c r="AY175" s="179">
        <v>0</v>
      </c>
      <c r="AZ175" s="179">
        <v>0</v>
      </c>
      <c r="BA175" s="179">
        <v>0</v>
      </c>
      <c r="BB175" s="179">
        <v>0</v>
      </c>
      <c r="BC175" s="179">
        <v>0</v>
      </c>
      <c r="BD175" s="179">
        <v>0</v>
      </c>
      <c r="BE175" s="179">
        <f t="shared" si="93"/>
        <v>1.5773999999999999</v>
      </c>
      <c r="BF175" s="179">
        <f t="shared" si="76"/>
        <v>0</v>
      </c>
      <c r="BG175" s="179">
        <v>1.5773999999999999</v>
      </c>
      <c r="BH175" s="179">
        <v>1.5773999999999999</v>
      </c>
      <c r="BI175" s="179">
        <v>0</v>
      </c>
      <c r="BJ175" s="179">
        <v>0</v>
      </c>
      <c r="BK175" s="179">
        <v>0</v>
      </c>
      <c r="BL175" s="179">
        <v>0</v>
      </c>
      <c r="BM175" s="179">
        <v>0</v>
      </c>
      <c r="BN175" s="179">
        <v>0</v>
      </c>
      <c r="BO175" s="179">
        <f t="shared" si="94"/>
        <v>1.67</v>
      </c>
      <c r="BP175" s="179">
        <f t="shared" si="77"/>
        <v>0</v>
      </c>
      <c r="BQ175" s="179">
        <v>1.67</v>
      </c>
      <c r="BR175" s="179">
        <v>1.67</v>
      </c>
      <c r="BS175" s="179">
        <v>0</v>
      </c>
      <c r="BT175" s="179">
        <v>0</v>
      </c>
      <c r="BU175" s="179">
        <v>0</v>
      </c>
      <c r="BV175" s="179">
        <v>0</v>
      </c>
      <c r="BW175" s="179">
        <v>0</v>
      </c>
      <c r="BX175" s="179">
        <v>0</v>
      </c>
      <c r="BY175" s="179">
        <f t="shared" si="95"/>
        <v>0.88</v>
      </c>
      <c r="BZ175" s="179">
        <f t="shared" si="78"/>
        <v>0</v>
      </c>
      <c r="CA175" s="179">
        <v>0.88</v>
      </c>
      <c r="CB175" s="179">
        <v>0.88</v>
      </c>
      <c r="CC175" s="179">
        <v>0</v>
      </c>
      <c r="CD175" s="179">
        <v>0</v>
      </c>
      <c r="CE175" s="179">
        <v>0</v>
      </c>
      <c r="CF175" s="179">
        <v>0</v>
      </c>
      <c r="CG175" s="179">
        <v>0</v>
      </c>
      <c r="CH175" s="179">
        <v>0</v>
      </c>
      <c r="CI175" s="179">
        <f t="shared" si="104"/>
        <v>0</v>
      </c>
      <c r="CJ175" s="179">
        <f t="shared" si="80"/>
        <v>0</v>
      </c>
      <c r="CK175" s="179"/>
      <c r="CL175" s="179"/>
      <c r="CM175" s="179"/>
      <c r="CN175" s="179"/>
      <c r="CO175" s="179">
        <v>0</v>
      </c>
      <c r="CP175" s="179">
        <v>0</v>
      </c>
      <c r="CQ175" s="179">
        <v>0</v>
      </c>
      <c r="CR175" s="179">
        <v>0</v>
      </c>
      <c r="CS175" s="179">
        <f t="shared" si="96"/>
        <v>0</v>
      </c>
      <c r="CT175" s="179">
        <f t="shared" si="81"/>
        <v>0</v>
      </c>
      <c r="CU175" s="179"/>
      <c r="CV175" s="179"/>
      <c r="CW175" s="179"/>
      <c r="CX175" s="179"/>
      <c r="CY175" s="179">
        <v>0</v>
      </c>
      <c r="CZ175" s="179">
        <v>0</v>
      </c>
      <c r="DA175" s="179">
        <v>0</v>
      </c>
      <c r="DB175" s="179">
        <v>0</v>
      </c>
      <c r="DC175" s="179">
        <f t="shared" si="97"/>
        <v>0</v>
      </c>
      <c r="DD175" s="179">
        <f t="shared" si="82"/>
        <v>0</v>
      </c>
      <c r="DE175" s="179"/>
      <c r="DF175" s="179"/>
      <c r="DG175" s="179"/>
      <c r="DH175" s="179"/>
      <c r="DI175" s="179">
        <v>0</v>
      </c>
      <c r="DJ175" s="179">
        <v>0</v>
      </c>
      <c r="DK175" s="179">
        <v>0</v>
      </c>
      <c r="DL175" s="179">
        <v>0</v>
      </c>
      <c r="DM175" s="179">
        <f t="shared" si="98"/>
        <v>0</v>
      </c>
      <c r="DN175" s="179">
        <f t="shared" si="83"/>
        <v>0</v>
      </c>
      <c r="DO175" s="179"/>
      <c r="DP175" s="179"/>
      <c r="DQ175" s="179"/>
      <c r="DR175" s="179"/>
      <c r="DS175" s="179">
        <v>0</v>
      </c>
      <c r="DT175" s="179">
        <v>0</v>
      </c>
      <c r="DU175" s="179">
        <v>0</v>
      </c>
      <c r="DV175" s="179">
        <v>0</v>
      </c>
      <c r="DW175" s="179">
        <f t="shared" si="99"/>
        <v>0</v>
      </c>
      <c r="DX175" s="179">
        <f t="shared" si="84"/>
        <v>0</v>
      </c>
      <c r="DY175" s="179"/>
      <c r="DZ175" s="179"/>
      <c r="EA175" s="179"/>
      <c r="EB175" s="179"/>
      <c r="EC175" s="179">
        <v>0</v>
      </c>
      <c r="ED175" s="179">
        <v>0</v>
      </c>
      <c r="EE175" s="179">
        <v>0</v>
      </c>
      <c r="EF175" s="179">
        <v>0</v>
      </c>
      <c r="EG175" s="179">
        <f t="shared" si="100"/>
        <v>0</v>
      </c>
      <c r="EH175" s="21">
        <f t="shared" si="85"/>
        <v>0</v>
      </c>
      <c r="EI175" s="70"/>
      <c r="EJ175" s="21"/>
      <c r="EK175" s="21"/>
      <c r="EL175" s="21"/>
      <c r="EM175" s="70">
        <v>0</v>
      </c>
      <c r="EN175" s="21">
        <v>0</v>
      </c>
      <c r="EO175" s="21">
        <v>0</v>
      </c>
      <c r="EP175" s="21">
        <v>0</v>
      </c>
      <c r="EQ175" s="181">
        <v>1.7850822722463424</v>
      </c>
      <c r="ER175" s="21">
        <f ca="1">SUM(ES175:EU175)</f>
        <v>0</v>
      </c>
      <c r="ES175" s="60">
        <f ca="1">SUMIFS(TME_Yesterday[Sell_WHS_QTY],TME_Yesterday[Region],master_Daily!$X175,TME_Yesterday[Brand],"CM")/50000+$ES$285+$ES$291+$ES$297</f>
        <v>0</v>
      </c>
      <c r="ET175" s="60">
        <f ca="1">SUMIFS(TME_Yesterday[Sell_RTL_QTY],TME_Yesterday[Region],master_Daily!$X175,TME_Yesterday[Brand],"CM")/50000</f>
        <v>0</v>
      </c>
      <c r="EU175" s="60">
        <f ca="1">SUMIFS(TME_Yesterday[Sell_NEO_QTY],TME_Yesterday[Region],master_Daily!$X175,TME_Yesterday[Brand],"CM")/50000</f>
        <v>0</v>
      </c>
      <c r="EV175" s="21">
        <f ca="1">SUM(EW175:EY175)</f>
        <v>0</v>
      </c>
      <c r="EW175" s="60">
        <f ca="1">SUMIFS(TME_Yesterday[FOC_WHS_QTY],TME_Yesterday[Region],master_Daily!$X175,TME_Yesterday[Brand],"CM")/50000</f>
        <v>0</v>
      </c>
      <c r="EX175" s="60">
        <f ca="1">SUMIFS(TME_Yesterday[FOC_RTL_QTY],TME_Yesterday[Region],master_Daily!$X175,TME_Yesterday[Brand],"CM")/50000</f>
        <v>0</v>
      </c>
      <c r="EY175" s="60">
        <f ca="1">SUMIFS(TME_Yesterday[FOC_NEO_QTY],TME_Yesterday[Region],master_Daily!$X175,TME_Yesterday[Brand],"CM")/50000</f>
        <v>0</v>
      </c>
      <c r="EZ175" s="60">
        <f ca="1">SUM(FA175:FC175)</f>
        <v>0.88</v>
      </c>
      <c r="FA175" s="60">
        <f ca="1">SUMIFS(TME_MTD[Sell_WHS_QTY],TME_MTD[Region],master_Daily!$X175,TME_MTD[Brand],"CM")/50000+$FA$285+$FA$291+$FA$297</f>
        <v>0.88</v>
      </c>
      <c r="FB175" s="60">
        <f ca="1">SUMIFS(TME_MTD[Sell_RTL_QTY],TME_MTD[Region],master_Daily!$X175,TME_MTD[Brand],"CM")/50000</f>
        <v>0</v>
      </c>
      <c r="FC175" s="60">
        <f ca="1">SUMIFS(TME_MTD[Sell_NEO_QTY],TME_MTD[Region],master_Daily!$X175,TME_MTD[Brand],"CM")/50000</f>
        <v>0</v>
      </c>
      <c r="FD175" s="60">
        <f ca="1">SUM(FE175:FG175)</f>
        <v>0</v>
      </c>
      <c r="FE175" s="60">
        <f ca="1">SUMIFS(TME_MTD[FOC_WHS_QTY],TME_MTD[Region],master_Daily!$X175,TME_MTD[Brand],"CM")/50000</f>
        <v>0</v>
      </c>
      <c r="FF175" s="60">
        <f ca="1">SUMIFS(TME_MTD[FOC_RTL_QTY],TME_MTD[Region],master_Daily!$X175,TME_MTD[Brand],"CM")/50000</f>
        <v>0</v>
      </c>
      <c r="FG175" s="60">
        <f ca="1">SUMIFS(TME_MTD[FOC_NEO_QTY],TME_MTD[Region],master_Daily!$X175,TME_MTD[Brand],"CM")/50000</f>
        <v>0</v>
      </c>
      <c r="FH175" s="21">
        <f t="shared" ref="FH175:FK176" ca="1" si="118">SUMIFS($AA175:$EP175,$AA$129:$EP$129,INDIRECT(ADDRESS(129,COLUMN())))</f>
        <v>9.4276</v>
      </c>
      <c r="FI175" s="21">
        <f t="shared" ca="1" si="118"/>
        <v>9.4276</v>
      </c>
      <c r="FJ175" s="21">
        <f t="shared" ca="1" si="118"/>
        <v>0</v>
      </c>
      <c r="FK175" s="21">
        <f t="shared" ca="1" si="118"/>
        <v>0</v>
      </c>
      <c r="FL175" s="21">
        <f t="shared" ref="FL175:FO176" si="119">SUMIFS(AE175:ET175,$AA$129:$EP$129,$FH$129)</f>
        <v>0</v>
      </c>
      <c r="FM175" s="21">
        <f t="shared" si="119"/>
        <v>0</v>
      </c>
      <c r="FN175" s="21">
        <f t="shared" si="119"/>
        <v>0</v>
      </c>
      <c r="FO175" s="21">
        <f t="shared" si="119"/>
        <v>0</v>
      </c>
      <c r="FP175" s="58">
        <f ca="1">IFERROR(FH175/$FH$177,0)</f>
        <v>0.41863232682060386</v>
      </c>
      <c r="FQ175" s="23">
        <f t="shared" ca="1" si="87"/>
        <v>0.49297447724502386</v>
      </c>
      <c r="FR175" s="60">
        <f>SUMIFS(TME_MTD_Dist[Sell_WHS_QTY],TME_MTD_Dist[Region],master_Daily!$X175,TME_MTD_Dist[Brand],master_Daily!$Y175)/50000
 + SUMIFS(TME_MTD_Dist[Sell_RTL_QTY],TME_MTD_Dist[Region],master_Daily!$X175,TME_MTD_Dist[Brand],master_Daily!$Y175)/50000</f>
        <v>0</v>
      </c>
      <c r="FS175" s="23">
        <f t="shared" si="33"/>
        <v>0</v>
      </c>
      <c r="FT175" s="469">
        <v>0.4333448275862069</v>
      </c>
      <c r="FU175" s="289">
        <f>FT175*$FU$177</f>
        <v>1.9164324676139353</v>
      </c>
      <c r="FV175" s="289">
        <f>FU175+FU176</f>
        <v>2.4394979059775701</v>
      </c>
    </row>
    <row r="176" spans="2:178" ht="15" customHeight="1" outlineLevel="1">
      <c r="B176" s="20" t="s">
        <v>133</v>
      </c>
      <c r="C176" s="74" t="s">
        <v>264</v>
      </c>
      <c r="D176" s="74"/>
      <c r="E176" s="21">
        <v>0.73</v>
      </c>
      <c r="F176" s="21">
        <v>0.49</v>
      </c>
      <c r="G176" s="21">
        <v>0.93</v>
      </c>
      <c r="H176" s="21">
        <v>0.88</v>
      </c>
      <c r="I176" s="21">
        <v>0.76</v>
      </c>
      <c r="J176" s="21">
        <v>0.36</v>
      </c>
      <c r="K176" s="21"/>
      <c r="L176" s="21"/>
      <c r="M176" s="21"/>
      <c r="N176" s="21"/>
      <c r="O176" s="21"/>
      <c r="P176" s="21"/>
      <c r="Q176" s="422">
        <v>0.68686700767263431</v>
      </c>
      <c r="R176" s="72">
        <f>IFERROR(SUMIFS(Daily_Vol_yesterday[Order Quantity],Daily_Vol_yesterday[Cust_Cat.cust_channel],master_Daily!B176,Daily_Vol_yesterday[Map_Product.TME_Brand],"CMHD")/50000,0)</f>
        <v>0.22</v>
      </c>
      <c r="S176" s="60">
        <f>IFERROR(SUM(SUMIFS(Weekly_Vol[Quantity],Weekly_Vol[Cust_Cat.cust_channel],master_Daily!B176,Weekly_Vol[Map_Product.TME_Brand],"CMHD"),SUMIFS(Daily_Vol[Order Quantity],Daily_Vol[Cust_Cat.cust_channel],master_Daily!B176,Daily_Vol[Map_Product.TME_Brand],"CMHD"))/50000,0)</f>
        <v>0.36</v>
      </c>
      <c r="T176" s="57">
        <f t="shared" ref="T176:T189" si="120">SUM(E176:P176)</f>
        <v>4.1500000000000004</v>
      </c>
      <c r="U176" s="22">
        <f>IFERROR(T176/$T$177,0)</f>
        <v>0.1576747720364742</v>
      </c>
      <c r="V176" s="23">
        <f t="shared" ref="V176:V189" si="121">IFERROR(S176/Q176,0)</f>
        <v>0.52411892837860474</v>
      </c>
      <c r="X176" s="20" t="s">
        <v>200</v>
      </c>
      <c r="Y176" s="20" t="s">
        <v>264</v>
      </c>
      <c r="Z176" s="20"/>
      <c r="AA176" s="179">
        <f t="shared" si="103"/>
        <v>0.69699999999999995</v>
      </c>
      <c r="AB176" s="179">
        <f t="shared" si="90"/>
        <v>0</v>
      </c>
      <c r="AC176" s="179">
        <v>0.69699999999999995</v>
      </c>
      <c r="AD176" s="179">
        <v>0.69699999999999995</v>
      </c>
      <c r="AE176" s="179">
        <v>0</v>
      </c>
      <c r="AF176" s="179">
        <v>0</v>
      </c>
      <c r="AG176" s="179">
        <v>0</v>
      </c>
      <c r="AH176" s="179">
        <v>0</v>
      </c>
      <c r="AI176" s="179">
        <v>0</v>
      </c>
      <c r="AJ176" s="179">
        <v>0</v>
      </c>
      <c r="AK176" s="179">
        <f t="shared" si="117"/>
        <v>0.52700000000000002</v>
      </c>
      <c r="AL176" s="179">
        <f t="shared" si="91"/>
        <v>0</v>
      </c>
      <c r="AM176" s="179">
        <v>0.52700000000000002</v>
      </c>
      <c r="AN176" s="179">
        <v>0.52700000000000002</v>
      </c>
      <c r="AO176" s="179">
        <v>0</v>
      </c>
      <c r="AP176" s="179">
        <v>0</v>
      </c>
      <c r="AQ176" s="179">
        <v>0</v>
      </c>
      <c r="AR176" s="179">
        <v>0</v>
      </c>
      <c r="AS176" s="179">
        <v>0</v>
      </c>
      <c r="AT176" s="179">
        <v>0</v>
      </c>
      <c r="AU176" s="179">
        <f t="shared" si="92"/>
        <v>0.86</v>
      </c>
      <c r="AV176" s="179">
        <f t="shared" si="75"/>
        <v>0</v>
      </c>
      <c r="AW176" s="179">
        <v>0.86</v>
      </c>
      <c r="AX176" s="179">
        <v>0.86</v>
      </c>
      <c r="AY176" s="179">
        <v>0</v>
      </c>
      <c r="AZ176" s="179">
        <v>0</v>
      </c>
      <c r="BA176" s="179">
        <v>0</v>
      </c>
      <c r="BB176" s="179">
        <v>0</v>
      </c>
      <c r="BC176" s="179">
        <v>0</v>
      </c>
      <c r="BD176" s="179">
        <v>0</v>
      </c>
      <c r="BE176" s="179">
        <f t="shared" si="93"/>
        <v>0.90800000000000003</v>
      </c>
      <c r="BF176" s="179">
        <f t="shared" si="76"/>
        <v>0</v>
      </c>
      <c r="BG176" s="179">
        <v>0.90800000000000003</v>
      </c>
      <c r="BH176" s="179">
        <v>0.90800000000000003</v>
      </c>
      <c r="BI176" s="179">
        <v>0</v>
      </c>
      <c r="BJ176" s="179">
        <v>0</v>
      </c>
      <c r="BK176" s="179">
        <v>0</v>
      </c>
      <c r="BL176" s="179">
        <v>0</v>
      </c>
      <c r="BM176" s="179">
        <v>0</v>
      </c>
      <c r="BN176" s="179">
        <v>0</v>
      </c>
      <c r="BO176" s="179">
        <f t="shared" si="94"/>
        <v>0.84499999999999997</v>
      </c>
      <c r="BP176" s="179">
        <f t="shared" si="77"/>
        <v>0</v>
      </c>
      <c r="BQ176" s="179">
        <v>0.84499999999999997</v>
      </c>
      <c r="BR176" s="179">
        <v>0.84499999999999997</v>
      </c>
      <c r="BS176" s="179">
        <v>0</v>
      </c>
      <c r="BT176" s="179">
        <v>0</v>
      </c>
      <c r="BU176" s="179">
        <v>0</v>
      </c>
      <c r="BV176" s="179">
        <v>0</v>
      </c>
      <c r="BW176" s="179">
        <v>0</v>
      </c>
      <c r="BX176" s="179">
        <v>0</v>
      </c>
      <c r="BY176" s="179">
        <f t="shared" si="95"/>
        <v>0.62</v>
      </c>
      <c r="BZ176" s="179">
        <f t="shared" si="78"/>
        <v>0</v>
      </c>
      <c r="CA176" s="179">
        <v>0.62</v>
      </c>
      <c r="CB176" s="179">
        <v>0.62</v>
      </c>
      <c r="CC176" s="179">
        <v>0</v>
      </c>
      <c r="CD176" s="179">
        <v>0</v>
      </c>
      <c r="CE176" s="179">
        <v>0</v>
      </c>
      <c r="CF176" s="179">
        <v>0</v>
      </c>
      <c r="CG176" s="179">
        <v>0</v>
      </c>
      <c r="CH176" s="179">
        <v>0</v>
      </c>
      <c r="CI176" s="179">
        <f t="shared" si="104"/>
        <v>0</v>
      </c>
      <c r="CJ176" s="179">
        <f t="shared" si="80"/>
        <v>0</v>
      </c>
      <c r="CK176" s="179"/>
      <c r="CL176" s="179"/>
      <c r="CM176" s="179"/>
      <c r="CN176" s="179"/>
      <c r="CO176" s="179">
        <v>0</v>
      </c>
      <c r="CP176" s="179">
        <v>0</v>
      </c>
      <c r="CQ176" s="179">
        <v>0</v>
      </c>
      <c r="CR176" s="179">
        <v>0</v>
      </c>
      <c r="CS176" s="179">
        <f t="shared" si="96"/>
        <v>0</v>
      </c>
      <c r="CT176" s="179">
        <f t="shared" si="81"/>
        <v>0</v>
      </c>
      <c r="CU176" s="179"/>
      <c r="CV176" s="179"/>
      <c r="CW176" s="179"/>
      <c r="CX176" s="179"/>
      <c r="CY176" s="179">
        <v>0</v>
      </c>
      <c r="CZ176" s="179">
        <v>0</v>
      </c>
      <c r="DA176" s="179">
        <v>0</v>
      </c>
      <c r="DB176" s="179">
        <v>0</v>
      </c>
      <c r="DC176" s="179">
        <f t="shared" si="97"/>
        <v>0</v>
      </c>
      <c r="DD176" s="179">
        <f t="shared" si="82"/>
        <v>0</v>
      </c>
      <c r="DE176" s="179"/>
      <c r="DF176" s="179"/>
      <c r="DG176" s="179"/>
      <c r="DH176" s="179"/>
      <c r="DI176" s="179">
        <v>0</v>
      </c>
      <c r="DJ176" s="179">
        <v>0</v>
      </c>
      <c r="DK176" s="179">
        <v>0</v>
      </c>
      <c r="DL176" s="179">
        <v>0</v>
      </c>
      <c r="DM176" s="179">
        <f t="shared" si="98"/>
        <v>0</v>
      </c>
      <c r="DN176" s="179">
        <f t="shared" si="83"/>
        <v>0</v>
      </c>
      <c r="DO176" s="179"/>
      <c r="DP176" s="179"/>
      <c r="DQ176" s="179"/>
      <c r="DR176" s="179"/>
      <c r="DS176" s="179">
        <v>0</v>
      </c>
      <c r="DT176" s="179">
        <v>0</v>
      </c>
      <c r="DU176" s="179">
        <v>0</v>
      </c>
      <c r="DV176" s="179">
        <v>0</v>
      </c>
      <c r="DW176" s="179">
        <f t="shared" si="99"/>
        <v>0</v>
      </c>
      <c r="DX176" s="179">
        <f t="shared" si="84"/>
        <v>0</v>
      </c>
      <c r="DY176" s="179"/>
      <c r="DZ176" s="179"/>
      <c r="EA176" s="179"/>
      <c r="EB176" s="179"/>
      <c r="EC176" s="179">
        <v>0</v>
      </c>
      <c r="ED176" s="179">
        <v>0</v>
      </c>
      <c r="EE176" s="179">
        <v>0</v>
      </c>
      <c r="EF176" s="179">
        <v>0</v>
      </c>
      <c r="EG176" s="179">
        <f t="shared" si="100"/>
        <v>0</v>
      </c>
      <c r="EH176" s="21">
        <f t="shared" si="85"/>
        <v>0</v>
      </c>
      <c r="EI176" s="70"/>
      <c r="EJ176" s="21"/>
      <c r="EK176" s="21"/>
      <c r="EL176" s="21"/>
      <c r="EM176" s="70">
        <v>0</v>
      </c>
      <c r="EN176" s="21">
        <v>0</v>
      </c>
      <c r="EO176" s="21">
        <v>0</v>
      </c>
      <c r="EP176" s="21">
        <v>0</v>
      </c>
      <c r="EQ176" s="181">
        <v>0.69503447772629423</v>
      </c>
      <c r="ER176" s="21">
        <f ca="1">SUM(ES176:EU176)</f>
        <v>0</v>
      </c>
      <c r="ES176" s="60">
        <f ca="1">SUMIFS(TME_Yesterday[Sell_WHS_QTY],TME_Yesterday[Region],master_Daily!$X176,TME_Yesterday[Brand],"CMHD")/50000+$ES$286+$ES$292+$ES$298</f>
        <v>0</v>
      </c>
      <c r="ET176" s="60">
        <f ca="1">SUMIFS(TME_Yesterday[Sell_RTL_QTY],TME_Yesterday[Region],master_Daily!$X176,TME_Yesterday[Brand],"CMHD")/50000</f>
        <v>0</v>
      </c>
      <c r="EU176" s="60">
        <f ca="1">SUMIFS(TME_Yesterday[Sell_NEO_QTY],TME_Yesterday[Region],master_Daily!$X176,TME_Yesterday[Brand],"CMHD")/50000</f>
        <v>0</v>
      </c>
      <c r="EV176" s="21">
        <f ca="1">SUM(EW176:EY176)</f>
        <v>0</v>
      </c>
      <c r="EW176" s="60">
        <f ca="1">SUMIFS(TME_Yesterday[FOC_WHS_QTY],TME_Yesterday[Region],master_Daily!$X176,TME_Yesterday[Brand],"CMHD")/50000</f>
        <v>0</v>
      </c>
      <c r="EX176" s="60">
        <f ca="1">SUMIFS(TME_Yesterday[FOC_RTL_QTY],TME_Yesterday[Region],master_Daily!$X176,TME_Yesterday[Brand],"CMHD")/50000</f>
        <v>0</v>
      </c>
      <c r="EY176" s="60">
        <f ca="1">SUMIFS(TME_Yesterday[FOC_NEO_QTY],TME_Yesterday[Region],master_Daily!$X176,TME_Yesterday[Brand],"CMHD")/50000</f>
        <v>0</v>
      </c>
      <c r="EZ176" s="60">
        <f ca="1">SUM(FA176:FC176)</f>
        <v>0.62</v>
      </c>
      <c r="FA176" s="60">
        <f ca="1">SUMIFS(TME_MTD[Sell_WHS_QTY],TME_MTD[Region],master_Daily!$X176,TME_MTD[Brand],"CMHD")/50000+$FA$286+$FA$292+$FA$298</f>
        <v>0.62</v>
      </c>
      <c r="FB176" s="60">
        <f ca="1">SUMIFS(TME_MTD[Sell_RTL_QTY],TME_MTD[Region],master_Daily!$X176,TME_MTD[Brand],"CMHD")/50000</f>
        <v>0</v>
      </c>
      <c r="FC176" s="60">
        <f ca="1">SUMIFS(TME_MTD[Sell_NEO_QTY],TME_MTD[Region],master_Daily!$X176,TME_MTD[Brand],"CMHD")/50000</f>
        <v>0</v>
      </c>
      <c r="FD176" s="60">
        <f ca="1">SUM(FE176:FG176)</f>
        <v>0</v>
      </c>
      <c r="FE176" s="60">
        <f ca="1">SUMIFS(TME_MTD[FOC_WHS_QTY],TME_MTD[Region],master_Daily!$X176,TME_MTD[Brand],"CMHD")/50000</f>
        <v>0</v>
      </c>
      <c r="FF176" s="60">
        <f ca="1">SUMIFS(TME_MTD[FOC_RTL_QTY],TME_MTD[Region],master_Daily!$X176,TME_MTD[Brand],"CMHD")/50000</f>
        <v>0</v>
      </c>
      <c r="FG176" s="60">
        <f ca="1">SUMIFS(TME_MTD[FOC_NEO_QTY],TME_MTD[Region],master_Daily!$X176,TME_MTD[Brand],"CMHD")/50000</f>
        <v>0</v>
      </c>
      <c r="FH176" s="21">
        <f t="shared" ca="1" si="118"/>
        <v>4.4569999999999999</v>
      </c>
      <c r="FI176" s="21">
        <f t="shared" ca="1" si="118"/>
        <v>4.4569999999999999</v>
      </c>
      <c r="FJ176" s="21">
        <f t="shared" ca="1" si="118"/>
        <v>0</v>
      </c>
      <c r="FK176" s="21">
        <f t="shared" ca="1" si="118"/>
        <v>0</v>
      </c>
      <c r="FL176" s="21">
        <f t="shared" si="119"/>
        <v>0</v>
      </c>
      <c r="FM176" s="21">
        <f t="shared" si="119"/>
        <v>0</v>
      </c>
      <c r="FN176" s="21">
        <f t="shared" si="119"/>
        <v>0</v>
      </c>
      <c r="FO176" s="21">
        <f t="shared" si="119"/>
        <v>0</v>
      </c>
      <c r="FP176" s="58">
        <f ca="1">IFERROR(FH176/$FH$177,0)</f>
        <v>0.19791296625222021</v>
      </c>
      <c r="FQ176" s="23">
        <f ca="1">IFERROR(EZ176/EQ176,0)</f>
        <v>0.89204207829839066</v>
      </c>
      <c r="FR176" s="60">
        <f>SUMIFS(TME_MTD_Dist[Sell_WHS_QTY],TME_MTD_Dist[Region],master_Daily!$X176,TME_MTD_Dist[Brand],master_Daily!$Y176)/50000
 + SUMIFS(TME_MTD_Dist[Sell_RTL_QTY],TME_MTD_Dist[Region],master_Daily!$X176,TME_MTD_Dist[Brand],master_Daily!$Y176)/50000</f>
        <v>0</v>
      </c>
      <c r="FS176" s="23">
        <f t="shared" si="33"/>
        <v>0</v>
      </c>
      <c r="FT176" s="469">
        <v>0.11827586206896551</v>
      </c>
      <c r="FU176" s="289">
        <f>FT176*$FU$177</f>
        <v>0.52306543836363473</v>
      </c>
    </row>
    <row r="177" spans="2:178" ht="15" customHeight="1">
      <c r="B177" s="776" t="s">
        <v>201</v>
      </c>
      <c r="C177" s="777"/>
      <c r="D177" s="426"/>
      <c r="E177" s="63">
        <v>5.0199999999999996</v>
      </c>
      <c r="F177" s="63">
        <v>3.6399999999999997</v>
      </c>
      <c r="G177" s="63">
        <v>6.25</v>
      </c>
      <c r="H177" s="63">
        <v>5.13</v>
      </c>
      <c r="I177" s="63">
        <v>4.26</v>
      </c>
      <c r="J177" s="63">
        <v>2.02</v>
      </c>
      <c r="K177" s="63"/>
      <c r="L177" s="63"/>
      <c r="M177" s="63"/>
      <c r="N177" s="63"/>
      <c r="O177" s="63"/>
      <c r="P177" s="63"/>
      <c r="Q177" s="63">
        <f>SUM(Q172:Q176)</f>
        <v>4.18</v>
      </c>
      <c r="R177" s="63">
        <f>SUM(R172:R176)</f>
        <v>1.51</v>
      </c>
      <c r="S177" s="63">
        <f>SUM(S172:S176)</f>
        <v>2.02</v>
      </c>
      <c r="T177" s="63">
        <f t="shared" si="120"/>
        <v>26.319999999999997</v>
      </c>
      <c r="U177" s="64">
        <f>IFERROR(T177/$T153,0)</f>
        <v>4.375896418674597E-2</v>
      </c>
      <c r="V177" s="65">
        <f t="shared" si="121"/>
        <v>0.48325358851674644</v>
      </c>
      <c r="X177" s="776" t="s">
        <v>202</v>
      </c>
      <c r="Y177" s="777"/>
      <c r="Z177" s="426"/>
      <c r="AA177" s="63">
        <f>SUM(AA172:AA176)</f>
        <v>4.2</v>
      </c>
      <c r="AB177" s="63">
        <f t="shared" si="90"/>
        <v>0</v>
      </c>
      <c r="AC177" s="63">
        <v>4.2</v>
      </c>
      <c r="AD177" s="63">
        <v>4.2</v>
      </c>
      <c r="AE177" s="63">
        <v>0</v>
      </c>
      <c r="AF177" s="63">
        <v>0</v>
      </c>
      <c r="AG177" s="63">
        <v>0</v>
      </c>
      <c r="AH177" s="63">
        <v>0</v>
      </c>
      <c r="AI177" s="63">
        <v>0</v>
      </c>
      <c r="AJ177" s="63">
        <v>0</v>
      </c>
      <c r="AK177" s="63">
        <f t="shared" si="117"/>
        <v>3.9699999999999998</v>
      </c>
      <c r="AL177" s="63">
        <f t="shared" si="91"/>
        <v>0</v>
      </c>
      <c r="AM177" s="63">
        <v>3.9699999999999998</v>
      </c>
      <c r="AN177" s="63">
        <v>3.9699999999999998</v>
      </c>
      <c r="AO177" s="63">
        <v>0</v>
      </c>
      <c r="AP177" s="63">
        <v>0</v>
      </c>
      <c r="AQ177" s="63">
        <v>0</v>
      </c>
      <c r="AR177" s="63">
        <v>0</v>
      </c>
      <c r="AS177" s="63">
        <v>0</v>
      </c>
      <c r="AT177" s="63">
        <v>0</v>
      </c>
      <c r="AU177" s="63">
        <f t="shared" si="92"/>
        <v>4.16</v>
      </c>
      <c r="AV177" s="63">
        <f t="shared" si="75"/>
        <v>0</v>
      </c>
      <c r="AW177" s="63">
        <v>4.16</v>
      </c>
      <c r="AX177" s="63">
        <v>4.16</v>
      </c>
      <c r="AY177" s="63">
        <v>0</v>
      </c>
      <c r="AZ177" s="63">
        <v>0</v>
      </c>
      <c r="BA177" s="63">
        <v>0</v>
      </c>
      <c r="BB177" s="63">
        <v>0</v>
      </c>
      <c r="BC177" s="63">
        <v>0</v>
      </c>
      <c r="BD177" s="63">
        <v>0</v>
      </c>
      <c r="BE177" s="63">
        <f t="shared" si="93"/>
        <v>4.1400000000000006</v>
      </c>
      <c r="BF177" s="63">
        <f t="shared" si="76"/>
        <v>0</v>
      </c>
      <c r="BG177" s="63">
        <v>4.1400000000000006</v>
      </c>
      <c r="BH177" s="63">
        <v>4.1400000000000006</v>
      </c>
      <c r="BI177" s="63">
        <v>0</v>
      </c>
      <c r="BJ177" s="63">
        <v>0</v>
      </c>
      <c r="BK177" s="63">
        <v>0</v>
      </c>
      <c r="BL177" s="63">
        <v>0</v>
      </c>
      <c r="BM177" s="63">
        <v>0</v>
      </c>
      <c r="BN177" s="63">
        <v>0</v>
      </c>
      <c r="BO177" s="63">
        <f t="shared" si="94"/>
        <v>4.0999999999999996</v>
      </c>
      <c r="BP177" s="63">
        <f t="shared" si="77"/>
        <v>0</v>
      </c>
      <c r="BQ177" s="63">
        <v>4.0999999999999996</v>
      </c>
      <c r="BR177" s="63">
        <v>4.0999999999999996</v>
      </c>
      <c r="BS177" s="63">
        <v>0</v>
      </c>
      <c r="BT177" s="63">
        <v>0</v>
      </c>
      <c r="BU177" s="63">
        <v>0</v>
      </c>
      <c r="BV177" s="63">
        <v>0</v>
      </c>
      <c r="BW177" s="63">
        <v>0</v>
      </c>
      <c r="BX177" s="63">
        <v>0</v>
      </c>
      <c r="BY177" s="63">
        <f t="shared" si="95"/>
        <v>1.9500000000000002</v>
      </c>
      <c r="BZ177" s="63">
        <f t="shared" si="78"/>
        <v>0</v>
      </c>
      <c r="CA177" s="63">
        <v>1.9500000000000002</v>
      </c>
      <c r="CB177" s="63">
        <v>1.9500000000000002</v>
      </c>
      <c r="CC177" s="63">
        <v>0</v>
      </c>
      <c r="CD177" s="63">
        <v>0</v>
      </c>
      <c r="CE177" s="63">
        <v>0</v>
      </c>
      <c r="CF177" s="63">
        <v>0</v>
      </c>
      <c r="CG177" s="63">
        <v>0</v>
      </c>
      <c r="CH177" s="63">
        <v>0</v>
      </c>
      <c r="CI177" s="63">
        <f t="shared" si="104"/>
        <v>0</v>
      </c>
      <c r="CJ177" s="63">
        <f t="shared" si="80"/>
        <v>0</v>
      </c>
      <c r="CK177" s="63"/>
      <c r="CL177" s="63"/>
      <c r="CM177" s="63"/>
      <c r="CN177" s="63"/>
      <c r="CO177" s="63">
        <v>0</v>
      </c>
      <c r="CP177" s="63">
        <v>0</v>
      </c>
      <c r="CQ177" s="63">
        <v>0</v>
      </c>
      <c r="CR177" s="63">
        <v>0</v>
      </c>
      <c r="CS177" s="63">
        <f t="shared" si="96"/>
        <v>0</v>
      </c>
      <c r="CT177" s="63">
        <f t="shared" si="81"/>
        <v>0</v>
      </c>
      <c r="CU177" s="63"/>
      <c r="CV177" s="63"/>
      <c r="CW177" s="63"/>
      <c r="CX177" s="63"/>
      <c r="CY177" s="63">
        <v>0</v>
      </c>
      <c r="CZ177" s="63">
        <v>0</v>
      </c>
      <c r="DA177" s="63">
        <v>0</v>
      </c>
      <c r="DB177" s="63">
        <v>0</v>
      </c>
      <c r="DC177" s="63">
        <f t="shared" si="97"/>
        <v>0</v>
      </c>
      <c r="DD177" s="63">
        <f t="shared" si="82"/>
        <v>0</v>
      </c>
      <c r="DE177" s="63"/>
      <c r="DF177" s="63"/>
      <c r="DG177" s="63"/>
      <c r="DH177" s="63"/>
      <c r="DI177" s="63">
        <v>0</v>
      </c>
      <c r="DJ177" s="63">
        <v>0</v>
      </c>
      <c r="DK177" s="63">
        <v>0</v>
      </c>
      <c r="DL177" s="63">
        <v>0</v>
      </c>
      <c r="DM177" s="63">
        <f t="shared" si="98"/>
        <v>0</v>
      </c>
      <c r="DN177" s="63">
        <f t="shared" si="83"/>
        <v>0</v>
      </c>
      <c r="DO177" s="63"/>
      <c r="DP177" s="63"/>
      <c r="DQ177" s="63"/>
      <c r="DR177" s="63"/>
      <c r="DS177" s="63">
        <v>0</v>
      </c>
      <c r="DT177" s="63">
        <v>0</v>
      </c>
      <c r="DU177" s="63">
        <v>0</v>
      </c>
      <c r="DV177" s="63">
        <v>0</v>
      </c>
      <c r="DW177" s="63">
        <f t="shared" si="99"/>
        <v>0</v>
      </c>
      <c r="DX177" s="63">
        <f t="shared" si="84"/>
        <v>0</v>
      </c>
      <c r="DY177" s="63"/>
      <c r="DZ177" s="63"/>
      <c r="EA177" s="63"/>
      <c r="EB177" s="63"/>
      <c r="EC177" s="63">
        <v>0</v>
      </c>
      <c r="ED177" s="63">
        <v>0</v>
      </c>
      <c r="EE177" s="63">
        <v>0</v>
      </c>
      <c r="EF177" s="63">
        <v>0</v>
      </c>
      <c r="EG177" s="63">
        <f t="shared" si="100"/>
        <v>0</v>
      </c>
      <c r="EH177" s="63">
        <f t="shared" si="85"/>
        <v>0</v>
      </c>
      <c r="EI177" s="63"/>
      <c r="EJ177" s="63"/>
      <c r="EK177" s="63"/>
      <c r="EL177" s="63"/>
      <c r="EM177" s="63">
        <v>0</v>
      </c>
      <c r="EN177" s="63">
        <v>0</v>
      </c>
      <c r="EO177" s="63">
        <v>0</v>
      </c>
      <c r="EP177" s="63">
        <v>0</v>
      </c>
      <c r="EQ177" s="516">
        <f>SUM(EQ172:EQ176)</f>
        <v>3.9</v>
      </c>
      <c r="ER177" s="63">
        <f ca="1">SUM(ER172:ER176)</f>
        <v>0</v>
      </c>
      <c r="ES177" s="63">
        <f ca="1">SUM(ES172:ES176)</f>
        <v>0</v>
      </c>
      <c r="ET177" s="63">
        <f ca="1">SUM(ET172:ET176)</f>
        <v>0</v>
      </c>
      <c r="EU177" s="63">
        <f ca="1">SUM(EU172:EU176)</f>
        <v>0</v>
      </c>
      <c r="EV177" s="63">
        <f ca="1">SUM(EV172:EV175)</f>
        <v>0</v>
      </c>
      <c r="EW177" s="63">
        <f t="shared" ref="EW177:FC177" ca="1" si="122">SUM(EW172:EW176)</f>
        <v>0</v>
      </c>
      <c r="EX177" s="63">
        <f t="shared" ca="1" si="122"/>
        <v>0</v>
      </c>
      <c r="EY177" s="63">
        <f t="shared" ca="1" si="122"/>
        <v>0</v>
      </c>
      <c r="EZ177" s="63">
        <f t="shared" ca="1" si="122"/>
        <v>1.9500000000000002</v>
      </c>
      <c r="FA177" s="63">
        <f t="shared" ca="1" si="122"/>
        <v>1.9500000000000002</v>
      </c>
      <c r="FB177" s="63">
        <f t="shared" ca="1" si="122"/>
        <v>0</v>
      </c>
      <c r="FC177" s="63">
        <f t="shared" ca="1" si="122"/>
        <v>0</v>
      </c>
      <c r="FD177" s="63">
        <f ca="1">SUM(FD172:FD175)</f>
        <v>0</v>
      </c>
      <c r="FE177" s="63">
        <f t="shared" ref="FE177:FK177" ca="1" si="123">SUM(FE172:FE176)</f>
        <v>0</v>
      </c>
      <c r="FF177" s="63">
        <f t="shared" ca="1" si="123"/>
        <v>0</v>
      </c>
      <c r="FG177" s="63">
        <f t="shared" ca="1" si="123"/>
        <v>0</v>
      </c>
      <c r="FH177" s="63">
        <f ca="1">SUM(FH172:FH176)</f>
        <v>22.520000000000003</v>
      </c>
      <c r="FI177" s="63">
        <f t="shared" ca="1" si="123"/>
        <v>22.520000000000003</v>
      </c>
      <c r="FJ177" s="63">
        <f t="shared" ca="1" si="123"/>
        <v>0</v>
      </c>
      <c r="FK177" s="63">
        <f t="shared" ca="1" si="123"/>
        <v>0</v>
      </c>
      <c r="FL177" s="63">
        <f ca="1">SUM(FL172:FL175)</f>
        <v>0</v>
      </c>
      <c r="FM177" s="25">
        <f ca="1">SUM(FM172:FM176)</f>
        <v>0</v>
      </c>
      <c r="FN177" s="25">
        <f ca="1">SUM(FN172:FN176)</f>
        <v>0</v>
      </c>
      <c r="FO177" s="25">
        <f ca="1">SUM(FO172:FO176)</f>
        <v>0</v>
      </c>
      <c r="FP177" s="64">
        <f ca="1">IFERROR(FH177/$FH$153,0)</f>
        <v>0.15261257549307689</v>
      </c>
      <c r="FQ177" s="66">
        <f ca="1">IFERROR(EZ177/EQ177,0)</f>
        <v>0.50000000000000011</v>
      </c>
      <c r="FR177" s="63">
        <f>SUM(FR172:FR176)</f>
        <v>0</v>
      </c>
      <c r="FS177" s="66">
        <f t="shared" si="33"/>
        <v>0</v>
      </c>
      <c r="FT177" s="471">
        <v>2.0840328018139419E-2</v>
      </c>
      <c r="FU177" s="473">
        <v>4.4224191581765036</v>
      </c>
    </row>
    <row r="178" spans="2:178" outlineLevel="1">
      <c r="B178" s="20" t="s">
        <v>203</v>
      </c>
      <c r="C178" s="74" t="s">
        <v>44</v>
      </c>
      <c r="D178" s="74"/>
      <c r="E178" s="21">
        <v>0</v>
      </c>
      <c r="F178" s="21">
        <v>0</v>
      </c>
      <c r="G178" s="21">
        <v>0</v>
      </c>
      <c r="H178" s="21">
        <v>0</v>
      </c>
      <c r="I178" s="21">
        <v>0</v>
      </c>
      <c r="J178" s="21">
        <v>0</v>
      </c>
      <c r="K178" s="21"/>
      <c r="L178" s="21"/>
      <c r="M178" s="21"/>
      <c r="N178" s="21"/>
      <c r="O178" s="21"/>
      <c r="P178" s="21"/>
      <c r="Q178" s="422">
        <v>0</v>
      </c>
      <c r="R178" s="72">
        <f>IFERROR(SUMIFS(Daily_Vol_yesterday[Order Quantity],Daily_Vol_yesterday[Cust_Cat.cust_channel],master_Daily!B178,Daily_Vol_yesterday[Map_Product.TME_Brand],master_Daily!C178)/50000,0)</f>
        <v>0</v>
      </c>
      <c r="S178" s="60">
        <f>IFERROR(SUM(SUMIFS(Weekly_Vol[Quantity],Weekly_Vol[Cust_Cat.cust_channel],master_Daily!B178,Weekly_Vol[Map_Product.TME_Brand],master_Daily!C178),SUMIFS(Daily_Vol[Order Quantity],Daily_Vol[Cust_Cat.cust_channel],master_Daily!B178,Daily_Vol[Map_Product.TME_Brand],master_Daily!C178))/50000,0)</f>
        <v>0</v>
      </c>
      <c r="T178" s="57">
        <f t="shared" si="120"/>
        <v>0</v>
      </c>
      <c r="U178" s="22">
        <f>IFERROR(T178/$T$177,0)</f>
        <v>0</v>
      </c>
      <c r="V178" s="23">
        <f t="shared" si="121"/>
        <v>0</v>
      </c>
      <c r="X178" s="20" t="s">
        <v>204</v>
      </c>
      <c r="Y178" s="20" t="s">
        <v>44</v>
      </c>
      <c r="Z178" s="20"/>
      <c r="AA178" s="179">
        <f>SUM(AD178:AF178)</f>
        <v>5.1999999999999998E-3</v>
      </c>
      <c r="AB178" s="179">
        <f t="shared" si="90"/>
        <v>0</v>
      </c>
      <c r="AC178" s="179">
        <v>5.1999999999999998E-3</v>
      </c>
      <c r="AD178" s="179">
        <v>5.1999999999999998E-3</v>
      </c>
      <c r="AE178" s="179">
        <v>0</v>
      </c>
      <c r="AF178" s="179">
        <v>0</v>
      </c>
      <c r="AG178" s="179">
        <v>0</v>
      </c>
      <c r="AH178" s="179">
        <v>0</v>
      </c>
      <c r="AI178" s="179">
        <v>0</v>
      </c>
      <c r="AJ178" s="179">
        <v>0</v>
      </c>
      <c r="AK178" s="179">
        <f>SUM(AN178:AP178)</f>
        <v>1.4E-3</v>
      </c>
      <c r="AL178" s="179">
        <f t="shared" si="91"/>
        <v>0</v>
      </c>
      <c r="AM178" s="179">
        <v>1.4E-3</v>
      </c>
      <c r="AN178" s="179">
        <v>1.4E-3</v>
      </c>
      <c r="AO178" s="179">
        <v>0</v>
      </c>
      <c r="AP178" s="179">
        <v>0</v>
      </c>
      <c r="AQ178" s="179">
        <v>0</v>
      </c>
      <c r="AR178" s="179">
        <v>0</v>
      </c>
      <c r="AS178" s="179">
        <v>0</v>
      </c>
      <c r="AT178" s="179">
        <v>0</v>
      </c>
      <c r="AU178" s="179">
        <f>SUM(AX178:AZ178)</f>
        <v>0.01</v>
      </c>
      <c r="AV178" s="179">
        <f t="shared" si="75"/>
        <v>0</v>
      </c>
      <c r="AW178" s="179">
        <v>0.01</v>
      </c>
      <c r="AX178" s="179">
        <v>0.01</v>
      </c>
      <c r="AY178" s="179">
        <v>0</v>
      </c>
      <c r="AZ178" s="179">
        <v>0</v>
      </c>
      <c r="BA178" s="179">
        <v>0</v>
      </c>
      <c r="BB178" s="179">
        <v>0</v>
      </c>
      <c r="BC178" s="179">
        <v>0</v>
      </c>
      <c r="BD178" s="179">
        <v>0</v>
      </c>
      <c r="BE178" s="179">
        <f>SUM(BH178:BJ178)</f>
        <v>1.4E-3</v>
      </c>
      <c r="BF178" s="179">
        <f t="shared" si="76"/>
        <v>0</v>
      </c>
      <c r="BG178" s="179">
        <v>1.4E-3</v>
      </c>
      <c r="BH178" s="179">
        <v>1.4E-3</v>
      </c>
      <c r="BI178" s="179">
        <v>0</v>
      </c>
      <c r="BJ178" s="179">
        <v>0</v>
      </c>
      <c r="BK178" s="179">
        <v>0</v>
      </c>
      <c r="BL178" s="179">
        <v>0</v>
      </c>
      <c r="BM178" s="179">
        <v>0</v>
      </c>
      <c r="BN178" s="179">
        <v>0</v>
      </c>
      <c r="BO178" s="179">
        <f>SUM(BR178:BT178)</f>
        <v>1.14E-2</v>
      </c>
      <c r="BP178" s="179">
        <f t="shared" si="77"/>
        <v>0</v>
      </c>
      <c r="BQ178" s="179">
        <v>1.14E-2</v>
      </c>
      <c r="BR178" s="179">
        <v>1.14E-2</v>
      </c>
      <c r="BS178" s="179">
        <v>0</v>
      </c>
      <c r="BT178" s="179">
        <v>0</v>
      </c>
      <c r="BU178" s="179">
        <v>0</v>
      </c>
      <c r="BV178" s="179">
        <v>0</v>
      </c>
      <c r="BW178" s="179">
        <v>0</v>
      </c>
      <c r="BX178" s="179">
        <v>0</v>
      </c>
      <c r="BY178" s="179">
        <f>SUM(CB178:CD178)</f>
        <v>8.0000000000000004E-4</v>
      </c>
      <c r="BZ178" s="179">
        <f t="shared" si="78"/>
        <v>0</v>
      </c>
      <c r="CA178" s="179">
        <v>8.0000000000000004E-4</v>
      </c>
      <c r="CB178" s="179">
        <v>8.0000000000000004E-4</v>
      </c>
      <c r="CC178" s="179">
        <v>0</v>
      </c>
      <c r="CD178" s="179">
        <v>0</v>
      </c>
      <c r="CE178" s="179">
        <v>0</v>
      </c>
      <c r="CF178" s="179">
        <v>0</v>
      </c>
      <c r="CG178" s="179">
        <v>0</v>
      </c>
      <c r="CH178" s="179">
        <v>0</v>
      </c>
      <c r="CI178" s="179">
        <f>SUM(CL178:CN178)</f>
        <v>0</v>
      </c>
      <c r="CJ178" s="179">
        <f t="shared" si="80"/>
        <v>0</v>
      </c>
      <c r="CK178" s="179"/>
      <c r="CL178" s="179"/>
      <c r="CM178" s="179"/>
      <c r="CN178" s="179"/>
      <c r="CO178" s="179">
        <v>0</v>
      </c>
      <c r="CP178" s="179">
        <v>0</v>
      </c>
      <c r="CQ178" s="179">
        <v>0</v>
      </c>
      <c r="CR178" s="179">
        <v>0</v>
      </c>
      <c r="CS178" s="179">
        <f>SUM(CV178:CX178)</f>
        <v>0</v>
      </c>
      <c r="CT178" s="179">
        <f t="shared" si="81"/>
        <v>0</v>
      </c>
      <c r="CU178" s="179"/>
      <c r="CV178" s="179"/>
      <c r="CW178" s="179"/>
      <c r="CX178" s="179"/>
      <c r="CY178" s="179">
        <v>0</v>
      </c>
      <c r="CZ178" s="179">
        <v>0</v>
      </c>
      <c r="DA178" s="179">
        <v>0</v>
      </c>
      <c r="DB178" s="179">
        <v>0</v>
      </c>
      <c r="DC178" s="179">
        <f>SUM(DF178:DH178)</f>
        <v>0</v>
      </c>
      <c r="DD178" s="179">
        <f t="shared" si="82"/>
        <v>0</v>
      </c>
      <c r="DE178" s="179"/>
      <c r="DF178" s="179"/>
      <c r="DG178" s="179"/>
      <c r="DH178" s="179"/>
      <c r="DI178" s="179">
        <v>0</v>
      </c>
      <c r="DJ178" s="179">
        <v>0</v>
      </c>
      <c r="DK178" s="179">
        <v>0</v>
      </c>
      <c r="DL178" s="179">
        <v>0</v>
      </c>
      <c r="DM178" s="179">
        <f>SUM(DP178:DR178)</f>
        <v>0</v>
      </c>
      <c r="DN178" s="179">
        <f t="shared" si="83"/>
        <v>0</v>
      </c>
      <c r="DO178" s="179"/>
      <c r="DP178" s="179"/>
      <c r="DQ178" s="179"/>
      <c r="DR178" s="179"/>
      <c r="DS178" s="179">
        <v>0</v>
      </c>
      <c r="DT178" s="179">
        <v>0</v>
      </c>
      <c r="DU178" s="179">
        <v>0</v>
      </c>
      <c r="DV178" s="179">
        <v>0</v>
      </c>
      <c r="DW178" s="179">
        <f>SUM(DZ178:EB178)</f>
        <v>0</v>
      </c>
      <c r="DX178" s="179">
        <f t="shared" si="84"/>
        <v>0</v>
      </c>
      <c r="DY178" s="179"/>
      <c r="DZ178" s="179"/>
      <c r="EA178" s="179"/>
      <c r="EB178" s="179"/>
      <c r="EC178" s="179">
        <v>0</v>
      </c>
      <c r="ED178" s="179">
        <v>0</v>
      </c>
      <c r="EE178" s="179">
        <v>0</v>
      </c>
      <c r="EF178" s="179">
        <v>0</v>
      </c>
      <c r="EG178" s="179">
        <f>SUM(EJ178:EL178)</f>
        <v>0</v>
      </c>
      <c r="EH178" s="21">
        <f t="shared" si="85"/>
        <v>0</v>
      </c>
      <c r="EI178" s="70"/>
      <c r="EJ178" s="21"/>
      <c r="EK178" s="21"/>
      <c r="EL178" s="21"/>
      <c r="EM178" s="70">
        <v>0</v>
      </c>
      <c r="EN178" s="21">
        <v>0</v>
      </c>
      <c r="EO178" s="21">
        <v>0</v>
      </c>
      <c r="EP178" s="21">
        <v>0</v>
      </c>
      <c r="EQ178" s="181">
        <v>2.7004464447751442E-3</v>
      </c>
      <c r="ER178" s="21">
        <f ca="1">SUM(ES178:EU178)</f>
        <v>0</v>
      </c>
      <c r="ES178" s="60">
        <f ca="1">SUMIFS(TME_Yesterday[Sell_WHS_QTY],TME_Yesterday[Region],master_Daily!$X178,TME_Yesterday[Brand],master_Daily!$Y178)/50000
+SUMIFS($ES$300:$ES$311,$X$300:$X$311,"BANPAEW",$Y$300:$Y$311,Y300)
+SUMIFS($ES$300:$ES$311,$X$300:$X$311,"KHONKAEN PANICH",$Y$300:$Y$311,Y306)+$ES$312+$ES$318</f>
        <v>0</v>
      </c>
      <c r="ET178" s="60">
        <f ca="1">SUMIFS(TME_Yesterday[Sell_RTL_QTY],TME_Yesterday[Region],master_Daily!$X178,TME_Yesterday[Brand],master_Daily!$Y178)/50000</f>
        <v>0</v>
      </c>
      <c r="EU178" s="60">
        <f ca="1">SUMIFS(TME_Yesterday[Sell_NEO_QTY],TME_Yesterday[Region],master_Daily!$X178,TME_Yesterday[Brand],master_Daily!$Y178)/50000</f>
        <v>0</v>
      </c>
      <c r="EV178" s="21">
        <f ca="1">SUM(EW178:EY178)</f>
        <v>0</v>
      </c>
      <c r="EW178" s="60">
        <f ca="1">SUMIFS(TME_Yesterday[FOC_WHS_QTY],TME_Yesterday[Region],master_Daily!$X178,TME_Yesterday[Brand],master_Daily!$Y178)/50000</f>
        <v>0</v>
      </c>
      <c r="EX178" s="60">
        <f ca="1">SUMIFS(TME_Yesterday[FOC_RTL_QTY],TME_Yesterday[Region],master_Daily!$X178,TME_Yesterday[Brand],master_Daily!$Y178)/50000</f>
        <v>0</v>
      </c>
      <c r="EY178" s="60">
        <f ca="1">SUMIFS(TME_Yesterday[FOC_NEO_QTY],TME_Yesterday[Region],master_Daily!$X178,TME_Yesterday[Brand],master_Daily!$Y178)/50000</f>
        <v>0</v>
      </c>
      <c r="EZ178" s="60">
        <f ca="1">SUM(FA178:FC178)</f>
        <v>8.0000000000000004E-4</v>
      </c>
      <c r="FA178" s="60">
        <f ca="1">SUMIFS(TME_MTD[Sell_WHS_QTY],TME_MTD[Region],master_Daily!$X178,TME_MTD[Brand],master_Daily!$Y178)/50000+$FA$300+$FA$306+$FA$312+$FA$318</f>
        <v>8.0000000000000004E-4</v>
      </c>
      <c r="FB178" s="60">
        <f ca="1">SUMIFS(TME_MTD[Sell_RTL_QTY],TME_MTD[Region],master_Daily!$X178,TME_MTD[Brand],master_Daily!$Y178)/50000</f>
        <v>0</v>
      </c>
      <c r="FC178" s="60">
        <f ca="1">SUMIFS(TME_MTD[Sell_NEO_QTY],TME_MTD[Region],master_Daily!$X178,TME_MTD[Brand],master_Daily!$Y178)/50000</f>
        <v>0</v>
      </c>
      <c r="FD178" s="60">
        <f ca="1">SUM(FE178:FG178)</f>
        <v>0</v>
      </c>
      <c r="FE178" s="60">
        <f ca="1">SUMIFS(TME_MTD[FOC_WHS_QTY],TME_MTD[Region],master_Daily!$X178,TME_MTD[Brand],master_Daily!$Y178)/50000</f>
        <v>0</v>
      </c>
      <c r="FF178" s="60">
        <f ca="1">SUMIFS(TME_MTD[FOC_RTL_QTY],TME_MTD[Region],master_Daily!$X178,TME_MTD[Brand],master_Daily!$Y178)/50000</f>
        <v>0</v>
      </c>
      <c r="FG178" s="60">
        <f ca="1">SUMIFS(TME_MTD[FOC_NEO_QTY],TME_MTD[Region],master_Daily!$X178,TME_MTD[Brand],master_Daily!$Y178)/50000</f>
        <v>0</v>
      </c>
      <c r="FH178" s="21">
        <f t="shared" ref="FH178:FO180" ca="1" si="124">SUMIFS($AA178:$EP178,$AA$129:$EP$129,INDIRECT(ADDRESS(129,COLUMN())))</f>
        <v>3.0199999999999998E-2</v>
      </c>
      <c r="FI178" s="21">
        <f t="shared" ca="1" si="124"/>
        <v>3.0199999999999998E-2</v>
      </c>
      <c r="FJ178" s="21">
        <f t="shared" ca="1" si="124"/>
        <v>0</v>
      </c>
      <c r="FK178" s="21">
        <f t="shared" ca="1" si="124"/>
        <v>0</v>
      </c>
      <c r="FL178" s="21">
        <f t="shared" ca="1" si="124"/>
        <v>0</v>
      </c>
      <c r="FM178" s="21">
        <f t="shared" ca="1" si="124"/>
        <v>0</v>
      </c>
      <c r="FN178" s="21">
        <f t="shared" ca="1" si="124"/>
        <v>0</v>
      </c>
      <c r="FO178" s="21">
        <f t="shared" ca="1" si="124"/>
        <v>0</v>
      </c>
      <c r="FP178" s="58">
        <f ca="1">IFERROR(FH178/$FH$183,0)</f>
        <v>2.4413904607922389E-3</v>
      </c>
      <c r="FQ178" s="23">
        <f t="shared" ca="1" si="87"/>
        <v>0.29624731182795699</v>
      </c>
      <c r="FR178" s="60">
        <f>SUMIFS(TME_MTD_Dist[Sell_WHS_QTY],TME_MTD_Dist[Region],master_Daily!$X178,TME_MTD_Dist[Brand],master_Daily!$Y178)/50000
 + SUMIFS(TME_MTD_Dist[Sell_RTL_QTY],TME_MTD_Dist[Region],master_Daily!$X178,TME_MTD_Dist[Brand],master_Daily!$Y178)/50000</f>
        <v>0</v>
      </c>
      <c r="FS178" s="23">
        <f t="shared" si="33"/>
        <v>0</v>
      </c>
      <c r="FT178" s="469">
        <v>1.8535127055306427E-3</v>
      </c>
      <c r="FU178" s="289">
        <f>FT178*$FU$183</f>
        <v>4.7801117142632372E-3</v>
      </c>
    </row>
    <row r="179" spans="2:178" outlineLevel="1">
      <c r="B179" s="20" t="s">
        <v>203</v>
      </c>
      <c r="C179" s="74" t="s">
        <v>45</v>
      </c>
      <c r="D179" s="74"/>
      <c r="E179" s="21">
        <v>0.03</v>
      </c>
      <c r="F179" s="21">
        <v>0.01</v>
      </c>
      <c r="G179" s="21">
        <v>0.01</v>
      </c>
      <c r="H179" s="21">
        <v>0.01</v>
      </c>
      <c r="I179" s="21">
        <v>0.02</v>
      </c>
      <c r="J179" s="21">
        <v>0</v>
      </c>
      <c r="K179" s="21"/>
      <c r="L179" s="21"/>
      <c r="M179" s="21"/>
      <c r="N179" s="21"/>
      <c r="O179" s="21"/>
      <c r="P179" s="21"/>
      <c r="Q179" s="422">
        <v>1.2330827067669171E-2</v>
      </c>
      <c r="R179" s="72">
        <f>IFERROR(SUMIFS(Daily_Vol_yesterday[Order Quantity],Daily_Vol_yesterday[Cust_Cat.cust_channel],master_Daily!B179,Daily_Vol_yesterday[Map_Product.TME_Brand],master_Daily!C179)/50000,0)</f>
        <v>0</v>
      </c>
      <c r="S179" s="60">
        <f>IFERROR(SUM(SUMIFS(Weekly_Vol[Quantity],Weekly_Vol[Cust_Cat.cust_channel],master_Daily!B179,Weekly_Vol[Map_Product.TME_Brand],master_Daily!C179),SUMIFS(Daily_Vol[Order Quantity],Daily_Vol[Cust_Cat.cust_channel],master_Daily!B179,Daily_Vol[Map_Product.TME_Brand],master_Daily!C179))/50000,0)</f>
        <v>0</v>
      </c>
      <c r="T179" s="57">
        <f t="shared" si="120"/>
        <v>0.08</v>
      </c>
      <c r="U179" s="22">
        <f>IFERROR(T179/$T$177,0)</f>
        <v>3.0395136778115506E-3</v>
      </c>
      <c r="V179" s="23">
        <f t="shared" si="121"/>
        <v>0</v>
      </c>
      <c r="X179" s="20" t="s">
        <v>204</v>
      </c>
      <c r="Y179" s="20" t="s">
        <v>45</v>
      </c>
      <c r="Z179" s="20"/>
      <c r="AA179" s="179">
        <f>SUM(AD179:AF179)</f>
        <v>0</v>
      </c>
      <c r="AB179" s="179">
        <f t="shared" si="90"/>
        <v>0</v>
      </c>
      <c r="AC179" s="179">
        <v>0</v>
      </c>
      <c r="AD179" s="179">
        <v>0</v>
      </c>
      <c r="AE179" s="179">
        <v>0</v>
      </c>
      <c r="AF179" s="179">
        <v>0</v>
      </c>
      <c r="AG179" s="179">
        <v>0</v>
      </c>
      <c r="AH179" s="179">
        <v>0</v>
      </c>
      <c r="AI179" s="179">
        <v>0</v>
      </c>
      <c r="AJ179" s="179">
        <v>0</v>
      </c>
      <c r="AK179" s="179">
        <f>SUM(AN179:AP179)</f>
        <v>0</v>
      </c>
      <c r="AL179" s="179">
        <f t="shared" si="91"/>
        <v>0</v>
      </c>
      <c r="AM179" s="179">
        <v>0</v>
      </c>
      <c r="AN179" s="179">
        <v>0</v>
      </c>
      <c r="AO179" s="179">
        <v>0</v>
      </c>
      <c r="AP179" s="179">
        <v>0</v>
      </c>
      <c r="AQ179" s="179">
        <v>0</v>
      </c>
      <c r="AR179" s="179">
        <v>0</v>
      </c>
      <c r="AS179" s="179">
        <v>0</v>
      </c>
      <c r="AT179" s="179">
        <v>0</v>
      </c>
      <c r="AU179" s="179">
        <f>SUM(AX179:AZ179)</f>
        <v>0</v>
      </c>
      <c r="AV179" s="179">
        <f t="shared" si="75"/>
        <v>0</v>
      </c>
      <c r="AW179" s="179">
        <v>0</v>
      </c>
      <c r="AX179" s="179">
        <v>0</v>
      </c>
      <c r="AY179" s="179">
        <v>0</v>
      </c>
      <c r="AZ179" s="179">
        <v>0</v>
      </c>
      <c r="BA179" s="179">
        <v>0</v>
      </c>
      <c r="BB179" s="179">
        <v>0</v>
      </c>
      <c r="BC179" s="179">
        <v>0</v>
      </c>
      <c r="BD179" s="179">
        <v>0</v>
      </c>
      <c r="BE179" s="179">
        <f>SUM(BH179:BJ179)</f>
        <v>0</v>
      </c>
      <c r="BF179" s="179">
        <f t="shared" si="76"/>
        <v>0</v>
      </c>
      <c r="BG179" s="179">
        <v>0</v>
      </c>
      <c r="BH179" s="179">
        <v>0</v>
      </c>
      <c r="BI179" s="179">
        <v>0</v>
      </c>
      <c r="BJ179" s="179">
        <v>0</v>
      </c>
      <c r="BK179" s="179">
        <v>0</v>
      </c>
      <c r="BL179" s="179">
        <v>0</v>
      </c>
      <c r="BM179" s="179">
        <v>0</v>
      </c>
      <c r="BN179" s="179">
        <v>0</v>
      </c>
      <c r="BO179" s="179">
        <f>SUM(BR179:BT179)</f>
        <v>0</v>
      </c>
      <c r="BP179" s="179">
        <f t="shared" si="77"/>
        <v>0</v>
      </c>
      <c r="BQ179" s="179">
        <v>0</v>
      </c>
      <c r="BR179" s="179">
        <v>0</v>
      </c>
      <c r="BS179" s="179">
        <v>0</v>
      </c>
      <c r="BT179" s="179">
        <v>0</v>
      </c>
      <c r="BU179" s="179">
        <v>0</v>
      </c>
      <c r="BV179" s="179">
        <v>0</v>
      </c>
      <c r="BW179" s="179">
        <v>0</v>
      </c>
      <c r="BX179" s="179">
        <v>0</v>
      </c>
      <c r="BY179" s="179">
        <f>SUM(CB179:CD179)</f>
        <v>0</v>
      </c>
      <c r="BZ179" s="179">
        <f t="shared" si="78"/>
        <v>0</v>
      </c>
      <c r="CA179" s="179">
        <v>0</v>
      </c>
      <c r="CB179" s="179">
        <v>0</v>
      </c>
      <c r="CC179" s="179">
        <v>0</v>
      </c>
      <c r="CD179" s="179">
        <v>0</v>
      </c>
      <c r="CE179" s="179">
        <v>0</v>
      </c>
      <c r="CF179" s="179">
        <v>0</v>
      </c>
      <c r="CG179" s="179">
        <v>0</v>
      </c>
      <c r="CH179" s="179">
        <v>0</v>
      </c>
      <c r="CI179" s="179">
        <f>SUM(CL179:CN179)</f>
        <v>0</v>
      </c>
      <c r="CJ179" s="179">
        <f t="shared" si="80"/>
        <v>0</v>
      </c>
      <c r="CK179" s="179"/>
      <c r="CL179" s="179"/>
      <c r="CM179" s="179"/>
      <c r="CN179" s="179"/>
      <c r="CO179" s="179">
        <v>0</v>
      </c>
      <c r="CP179" s="179">
        <v>0</v>
      </c>
      <c r="CQ179" s="179">
        <v>0</v>
      </c>
      <c r="CR179" s="179">
        <v>0</v>
      </c>
      <c r="CS179" s="179">
        <f>SUM(CV179:CX179)</f>
        <v>0</v>
      </c>
      <c r="CT179" s="179">
        <f t="shared" si="81"/>
        <v>0</v>
      </c>
      <c r="CU179" s="179"/>
      <c r="CV179" s="179"/>
      <c r="CW179" s="179"/>
      <c r="CX179" s="179"/>
      <c r="CY179" s="179">
        <v>0</v>
      </c>
      <c r="CZ179" s="179">
        <v>0</v>
      </c>
      <c r="DA179" s="179">
        <v>0</v>
      </c>
      <c r="DB179" s="179">
        <v>0</v>
      </c>
      <c r="DC179" s="179">
        <f>SUM(DF179:DH179)</f>
        <v>0</v>
      </c>
      <c r="DD179" s="179">
        <f t="shared" si="82"/>
        <v>0</v>
      </c>
      <c r="DE179" s="179"/>
      <c r="DF179" s="179"/>
      <c r="DG179" s="179"/>
      <c r="DH179" s="179"/>
      <c r="DI179" s="179">
        <v>0</v>
      </c>
      <c r="DJ179" s="179">
        <v>0</v>
      </c>
      <c r="DK179" s="179">
        <v>0</v>
      </c>
      <c r="DL179" s="179">
        <v>0</v>
      </c>
      <c r="DM179" s="179">
        <f>SUM(DP179:DR179)</f>
        <v>0</v>
      </c>
      <c r="DN179" s="179">
        <f t="shared" si="83"/>
        <v>0</v>
      </c>
      <c r="DO179" s="179"/>
      <c r="DP179" s="179"/>
      <c r="DQ179" s="179"/>
      <c r="DR179" s="179"/>
      <c r="DS179" s="179">
        <v>0</v>
      </c>
      <c r="DT179" s="179">
        <v>0</v>
      </c>
      <c r="DU179" s="179">
        <v>0</v>
      </c>
      <c r="DV179" s="179">
        <v>0</v>
      </c>
      <c r="DW179" s="179">
        <f>SUM(DZ179:EB179)</f>
        <v>0</v>
      </c>
      <c r="DX179" s="179">
        <f t="shared" si="84"/>
        <v>0</v>
      </c>
      <c r="DY179" s="179"/>
      <c r="DZ179" s="179"/>
      <c r="EA179" s="179"/>
      <c r="EB179" s="179"/>
      <c r="EC179" s="179">
        <v>0</v>
      </c>
      <c r="ED179" s="179">
        <v>0</v>
      </c>
      <c r="EE179" s="179">
        <v>0</v>
      </c>
      <c r="EF179" s="179">
        <v>0</v>
      </c>
      <c r="EG179" s="179">
        <f>SUM(EJ179:EL179)</f>
        <v>0</v>
      </c>
      <c r="EH179" s="21">
        <f t="shared" si="85"/>
        <v>0</v>
      </c>
      <c r="EI179" s="70"/>
      <c r="EJ179" s="21"/>
      <c r="EK179" s="21"/>
      <c r="EL179" s="21"/>
      <c r="EM179" s="70">
        <v>0</v>
      </c>
      <c r="EN179" s="21">
        <v>0</v>
      </c>
      <c r="EO179" s="21">
        <v>0</v>
      </c>
      <c r="EP179" s="21">
        <v>0</v>
      </c>
      <c r="EQ179" s="181">
        <v>0</v>
      </c>
      <c r="ER179" s="21">
        <f ca="1">SUM(ES179:EU179)</f>
        <v>0</v>
      </c>
      <c r="ES179" s="60">
        <f ca="1">SUMIFS(TME_Yesterday[Sell_WHS_QTY],TME_Yesterday[Region],master_Daily!$X179,TME_Yesterday[Brand],master_Daily!$Y179)/50000
+SUMIFS($ES$300:$ES$311,$X$300:$X$311,"BANPAEW",$Y$300:$Y$311,Y301)
+SUMIFS($ES$300:$ES$311,$X$300:$X$311,"KHONKAEN PANICH",$Y$300:$Y$311,Y307)+$ES$313+$ES$319</f>
        <v>0</v>
      </c>
      <c r="ET179" s="60">
        <f ca="1">SUMIFS(TME_Yesterday[Sell_RTL_QTY],TME_Yesterday[Region],master_Daily!$X179,TME_Yesterday[Brand],master_Daily!$Y179)/50000</f>
        <v>0</v>
      </c>
      <c r="EU179" s="60">
        <f ca="1">SUMIFS(TME_Yesterday[Sell_NEO_QTY],TME_Yesterday[Region],master_Daily!$X179,TME_Yesterday[Brand],master_Daily!$Y179)/50000</f>
        <v>0</v>
      </c>
      <c r="EV179" s="21">
        <f ca="1">SUM(EW179:EY179)</f>
        <v>0</v>
      </c>
      <c r="EW179" s="60">
        <f ca="1">SUMIFS(TME_Yesterday[FOC_WHS_QTY],TME_Yesterday[Region],master_Daily!$X179,TME_Yesterday[Brand],master_Daily!$Y179)/50000</f>
        <v>0</v>
      </c>
      <c r="EX179" s="60">
        <f ca="1">SUMIFS(TME_Yesterday[FOC_RTL_QTY],TME_Yesterday[Region],master_Daily!$X179,TME_Yesterday[Brand],master_Daily!$Y179)/50000</f>
        <v>0</v>
      </c>
      <c r="EY179" s="60">
        <f ca="1">SUMIFS(TME_Yesterday[FOC_NEO_QTY],TME_Yesterday[Region],master_Daily!$X179,TME_Yesterday[Brand],master_Daily!$Y179)/50000</f>
        <v>0</v>
      </c>
      <c r="EZ179" s="60">
        <f ca="1">SUM(FA179:FC179)</f>
        <v>0</v>
      </c>
      <c r="FA179" s="60">
        <f ca="1">SUMIFS(TME_MTD[Sell_WHS_QTY],TME_MTD[Region],master_Daily!$X179,TME_MTD[Brand],master_Daily!$Y179)/50000+$FA$301+$FA$307+$FA$313+$FA$319</f>
        <v>0</v>
      </c>
      <c r="FB179" s="60">
        <f ca="1">SUMIFS(TME_MTD[Sell_RTL_QTY],TME_MTD[Region],master_Daily!$X179,TME_MTD[Brand],master_Daily!$Y179)/50000</f>
        <v>0</v>
      </c>
      <c r="FC179" s="60">
        <f ca="1">SUMIFS(TME_MTD[Sell_NEO_QTY],TME_MTD[Region],master_Daily!$X179,TME_MTD[Brand],master_Daily!$Y179)/50000</f>
        <v>0</v>
      </c>
      <c r="FD179" s="60">
        <f ca="1">SUM(FE179:FG179)</f>
        <v>0</v>
      </c>
      <c r="FE179" s="60">
        <f ca="1">SUMIFS(TME_MTD[FOC_WHS_QTY],TME_MTD[Region],master_Daily!$X179,TME_MTD[Brand],master_Daily!$Y179)/50000</f>
        <v>0</v>
      </c>
      <c r="FF179" s="60">
        <f ca="1">SUMIFS(TME_MTD[FOC_RTL_QTY],TME_MTD[Region],master_Daily!$X179,TME_MTD[Brand],master_Daily!$Y179)/50000</f>
        <v>0</v>
      </c>
      <c r="FG179" s="60">
        <f ca="1">SUMIFS(TME_MTD[FOC_NEO_QTY],TME_MTD[Region],master_Daily!$X179,TME_MTD[Brand],master_Daily!$Y179)/50000</f>
        <v>0</v>
      </c>
      <c r="FH179" s="21">
        <f t="shared" ca="1" si="124"/>
        <v>0</v>
      </c>
      <c r="FI179" s="21">
        <f t="shared" ca="1" si="124"/>
        <v>0</v>
      </c>
      <c r="FJ179" s="21">
        <f t="shared" ca="1" si="124"/>
        <v>0</v>
      </c>
      <c r="FK179" s="21">
        <f t="shared" ca="1" si="124"/>
        <v>0</v>
      </c>
      <c r="FL179" s="21">
        <f t="shared" ca="1" si="124"/>
        <v>0</v>
      </c>
      <c r="FM179" s="21">
        <f t="shared" ca="1" si="124"/>
        <v>0</v>
      </c>
      <c r="FN179" s="21">
        <f t="shared" ca="1" si="124"/>
        <v>0</v>
      </c>
      <c r="FO179" s="21">
        <f t="shared" ca="1" si="124"/>
        <v>0</v>
      </c>
      <c r="FP179" s="58">
        <f ca="1">IFERROR(FH179/$FH$183,0)</f>
        <v>0</v>
      </c>
      <c r="FQ179" s="23">
        <f t="shared" ca="1" si="87"/>
        <v>0</v>
      </c>
      <c r="FR179" s="60">
        <f>SUMIFS(TME_MTD_Dist[Sell_WHS_QTY],TME_MTD_Dist[Region],master_Daily!$X179,TME_MTD_Dist[Brand],master_Daily!$Y179)/50000
 + SUMIFS(TME_MTD_Dist[Sell_RTL_QTY],TME_MTD_Dist[Region],master_Daily!$X179,TME_MTD_Dist[Brand],master_Daily!$Y179)/50000</f>
        <v>0</v>
      </c>
      <c r="FS179" s="23">
        <f t="shared" si="33"/>
        <v>0</v>
      </c>
      <c r="FT179" s="469">
        <v>1.79372197309417E-4</v>
      </c>
      <c r="FU179" s="289">
        <f>FT179*$FU$183</f>
        <v>4.6259145621902289E-4</v>
      </c>
    </row>
    <row r="180" spans="2:178" outlineLevel="1">
      <c r="B180" s="20" t="s">
        <v>203</v>
      </c>
      <c r="C180" s="74" t="s">
        <v>46</v>
      </c>
      <c r="D180" s="74"/>
      <c r="E180" s="21">
        <v>0.14000000000000001</v>
      </c>
      <c r="F180" s="21">
        <v>0.27</v>
      </c>
      <c r="G180" s="21">
        <v>0.28999999999999998</v>
      </c>
      <c r="H180" s="21">
        <v>0.22</v>
      </c>
      <c r="I180" s="21">
        <v>0.26</v>
      </c>
      <c r="J180" s="21">
        <v>0.12</v>
      </c>
      <c r="K180" s="21"/>
      <c r="L180" s="21"/>
      <c r="M180" s="21"/>
      <c r="N180" s="21"/>
      <c r="O180" s="21"/>
      <c r="P180" s="21"/>
      <c r="Q180" s="422">
        <v>0.23736842105263156</v>
      </c>
      <c r="R180" s="72">
        <f>IFERROR(SUMIFS(Daily_Vol_yesterday[Order Quantity],Daily_Vol_yesterday[Cust_Cat.cust_channel],master_Daily!B180,Daily_Vol_yesterday[Map_Product.TME_Brand],master_Daily!C180)/50000,0)</f>
        <v>0</v>
      </c>
      <c r="S180" s="60">
        <f>IFERROR(SUM(SUMIFS(Weekly_Vol[Quantity],Weekly_Vol[Cust_Cat.cust_channel],master_Daily!B180,Weekly_Vol[Map_Product.TME_Brand],master_Daily!C180),SUMIFS(Daily_Vol[Order Quantity],Daily_Vol[Cust_Cat.cust_channel],master_Daily!B180,Daily_Vol[Map_Product.TME_Brand],master_Daily!C180))/50000,0)</f>
        <v>0.12</v>
      </c>
      <c r="T180" s="57">
        <f t="shared" si="120"/>
        <v>1.2999999999999998</v>
      </c>
      <c r="U180" s="22">
        <f>IFERROR(T180/$T$177,0)</f>
        <v>4.939209726443769E-2</v>
      </c>
      <c r="V180" s="23">
        <f t="shared" si="121"/>
        <v>0.50554323725055439</v>
      </c>
      <c r="X180" s="20" t="s">
        <v>204</v>
      </c>
      <c r="Y180" s="20" t="s">
        <v>46</v>
      </c>
      <c r="Z180" s="20"/>
      <c r="AA180" s="179">
        <f>SUM(AD180:AF180)</f>
        <v>0.62819999999999998</v>
      </c>
      <c r="AB180" s="179">
        <f t="shared" si="90"/>
        <v>0</v>
      </c>
      <c r="AC180" s="179">
        <v>0.62819999999999998</v>
      </c>
      <c r="AD180" s="179">
        <v>0.62819999999999998</v>
      </c>
      <c r="AE180" s="179">
        <v>0</v>
      </c>
      <c r="AF180" s="179">
        <v>0</v>
      </c>
      <c r="AG180" s="179">
        <v>0</v>
      </c>
      <c r="AH180" s="179">
        <v>0</v>
      </c>
      <c r="AI180" s="179">
        <v>0</v>
      </c>
      <c r="AJ180" s="179">
        <v>0</v>
      </c>
      <c r="AK180" s="179">
        <f>SUM(AN180:AP180)</f>
        <v>0.69499999999999995</v>
      </c>
      <c r="AL180" s="179">
        <f t="shared" si="91"/>
        <v>0</v>
      </c>
      <c r="AM180" s="179">
        <v>0.69499999999999995</v>
      </c>
      <c r="AN180" s="179">
        <v>0.69499999999999995</v>
      </c>
      <c r="AO180" s="179">
        <v>0</v>
      </c>
      <c r="AP180" s="179">
        <v>0</v>
      </c>
      <c r="AQ180" s="179">
        <v>0</v>
      </c>
      <c r="AR180" s="179">
        <v>0</v>
      </c>
      <c r="AS180" s="179">
        <v>0</v>
      </c>
      <c r="AT180" s="179">
        <v>0</v>
      </c>
      <c r="AU180" s="179">
        <f>SUM(AX180:AZ180)</f>
        <v>0.45500000000000002</v>
      </c>
      <c r="AV180" s="179">
        <f t="shared" si="75"/>
        <v>0</v>
      </c>
      <c r="AW180" s="179">
        <v>0.45500000000000002</v>
      </c>
      <c r="AX180" s="179">
        <v>0.45500000000000002</v>
      </c>
      <c r="AY180" s="179">
        <v>0</v>
      </c>
      <c r="AZ180" s="179">
        <v>0</v>
      </c>
      <c r="BA180" s="179">
        <v>0</v>
      </c>
      <c r="BB180" s="179">
        <v>0</v>
      </c>
      <c r="BC180" s="179">
        <v>0</v>
      </c>
      <c r="BD180" s="179">
        <v>0</v>
      </c>
      <c r="BE180" s="179">
        <f>SUM(BH180:BJ180)</f>
        <v>0.39500000000000002</v>
      </c>
      <c r="BF180" s="179">
        <f t="shared" si="76"/>
        <v>0</v>
      </c>
      <c r="BG180" s="179">
        <v>0.39500000000000002</v>
      </c>
      <c r="BH180" s="179">
        <v>0.39500000000000002</v>
      </c>
      <c r="BI180" s="179">
        <v>0</v>
      </c>
      <c r="BJ180" s="179">
        <v>0</v>
      </c>
      <c r="BK180" s="179">
        <v>0</v>
      </c>
      <c r="BL180" s="179">
        <v>0</v>
      </c>
      <c r="BM180" s="179">
        <v>0</v>
      </c>
      <c r="BN180" s="179">
        <v>0</v>
      </c>
      <c r="BO180" s="179">
        <f>SUM(BR180:BT180)</f>
        <v>0.48859999999999998</v>
      </c>
      <c r="BP180" s="179">
        <f t="shared" si="77"/>
        <v>0</v>
      </c>
      <c r="BQ180" s="179">
        <v>0.48859999999999998</v>
      </c>
      <c r="BR180" s="179">
        <v>0.48859999999999998</v>
      </c>
      <c r="BS180" s="179">
        <v>0</v>
      </c>
      <c r="BT180" s="179">
        <v>0</v>
      </c>
      <c r="BU180" s="179">
        <v>0</v>
      </c>
      <c r="BV180" s="179">
        <v>0</v>
      </c>
      <c r="BW180" s="179">
        <v>0</v>
      </c>
      <c r="BX180" s="179">
        <v>0</v>
      </c>
      <c r="BY180" s="179">
        <f>SUM(CB180:CD180)</f>
        <v>0.185</v>
      </c>
      <c r="BZ180" s="179">
        <f t="shared" si="78"/>
        <v>0</v>
      </c>
      <c r="CA180" s="179">
        <v>0.185</v>
      </c>
      <c r="CB180" s="179">
        <v>0.185</v>
      </c>
      <c r="CC180" s="179">
        <v>0</v>
      </c>
      <c r="CD180" s="179">
        <v>0</v>
      </c>
      <c r="CE180" s="179">
        <v>0</v>
      </c>
      <c r="CF180" s="179">
        <v>0</v>
      </c>
      <c r="CG180" s="179">
        <v>0</v>
      </c>
      <c r="CH180" s="179">
        <v>0</v>
      </c>
      <c r="CI180" s="179">
        <f>SUM(CL180:CN180)</f>
        <v>0</v>
      </c>
      <c r="CJ180" s="179">
        <f t="shared" si="80"/>
        <v>0</v>
      </c>
      <c r="CK180" s="179"/>
      <c r="CL180" s="179"/>
      <c r="CM180" s="179"/>
      <c r="CN180" s="179"/>
      <c r="CO180" s="179">
        <v>0</v>
      </c>
      <c r="CP180" s="179">
        <v>0</v>
      </c>
      <c r="CQ180" s="179">
        <v>0</v>
      </c>
      <c r="CR180" s="179">
        <v>0</v>
      </c>
      <c r="CS180" s="179">
        <f>SUM(CV180:CX180)</f>
        <v>0</v>
      </c>
      <c r="CT180" s="179">
        <f t="shared" si="81"/>
        <v>0</v>
      </c>
      <c r="CU180" s="179"/>
      <c r="CV180" s="179"/>
      <c r="CW180" s="179"/>
      <c r="CX180" s="179"/>
      <c r="CY180" s="179">
        <v>0</v>
      </c>
      <c r="CZ180" s="179">
        <v>0</v>
      </c>
      <c r="DA180" s="179">
        <v>0</v>
      </c>
      <c r="DB180" s="179">
        <v>0</v>
      </c>
      <c r="DC180" s="179">
        <f>SUM(DF180:DH180)</f>
        <v>0</v>
      </c>
      <c r="DD180" s="179">
        <f t="shared" si="82"/>
        <v>0</v>
      </c>
      <c r="DE180" s="179"/>
      <c r="DF180" s="179"/>
      <c r="DG180" s="179"/>
      <c r="DH180" s="179"/>
      <c r="DI180" s="179">
        <v>0</v>
      </c>
      <c r="DJ180" s="179">
        <v>0</v>
      </c>
      <c r="DK180" s="179">
        <v>0</v>
      </c>
      <c r="DL180" s="179">
        <v>0</v>
      </c>
      <c r="DM180" s="179">
        <f>SUM(DP180:DR180)</f>
        <v>0</v>
      </c>
      <c r="DN180" s="179">
        <f t="shared" si="83"/>
        <v>0</v>
      </c>
      <c r="DO180" s="179"/>
      <c r="DP180" s="179"/>
      <c r="DQ180" s="179"/>
      <c r="DR180" s="179"/>
      <c r="DS180" s="179">
        <v>0</v>
      </c>
      <c r="DT180" s="179">
        <v>0</v>
      </c>
      <c r="DU180" s="179">
        <v>0</v>
      </c>
      <c r="DV180" s="179">
        <v>0</v>
      </c>
      <c r="DW180" s="179">
        <f>SUM(DZ180:EB180)</f>
        <v>0</v>
      </c>
      <c r="DX180" s="179">
        <f t="shared" si="84"/>
        <v>0</v>
      </c>
      <c r="DY180" s="179"/>
      <c r="DZ180" s="179"/>
      <c r="EA180" s="179"/>
      <c r="EB180" s="179"/>
      <c r="EC180" s="179">
        <v>0</v>
      </c>
      <c r="ED180" s="179">
        <v>0</v>
      </c>
      <c r="EE180" s="179">
        <v>0</v>
      </c>
      <c r="EF180" s="179">
        <v>0</v>
      </c>
      <c r="EG180" s="179">
        <f>SUM(EJ180:EL180)</f>
        <v>0</v>
      </c>
      <c r="EH180" s="21">
        <f t="shared" si="85"/>
        <v>0</v>
      </c>
      <c r="EI180" s="70"/>
      <c r="EJ180" s="21"/>
      <c r="EK180" s="21"/>
      <c r="EL180" s="21"/>
      <c r="EM180" s="70">
        <v>0</v>
      </c>
      <c r="EN180" s="21">
        <v>0</v>
      </c>
      <c r="EO180" s="21">
        <v>0</v>
      </c>
      <c r="EP180" s="21">
        <v>0</v>
      </c>
      <c r="EQ180" s="181">
        <v>0.63354723966462201</v>
      </c>
      <c r="ER180" s="21">
        <f ca="1">SUM(ES180:EU180)</f>
        <v>0</v>
      </c>
      <c r="ES180" s="60">
        <f ca="1">SUMIFS(TME_Yesterday[Sell_WHS_QTY],TME_Yesterday[Region],master_Daily!$X180,TME_Yesterday[Brand],master_Daily!$Y180)/50000
+SUMIFS($ES$300:$ES$311,$X$300:$X$311,"BANPAEW",$Y$300:$Y$311,Y302)
+SUMIFS($ES$300:$ES$311,$X$300:$X$311,"KHONKAEN PANICH",$Y$300:$Y$311,Y308)+$ES$314+$ES$320</f>
        <v>0</v>
      </c>
      <c r="ET180" s="60">
        <f ca="1">SUMIFS(TME_Yesterday[Sell_RTL_QTY],TME_Yesterday[Region],master_Daily!$X180,TME_Yesterday[Brand],master_Daily!$Y180)/50000</f>
        <v>0</v>
      </c>
      <c r="EU180" s="60">
        <f ca="1">SUMIFS(TME_Yesterday[Sell_NEO_QTY],TME_Yesterday[Region],master_Daily!$X180,TME_Yesterday[Brand],master_Daily!$Y180)/50000</f>
        <v>0</v>
      </c>
      <c r="EV180" s="21">
        <f ca="1">SUM(EW180:EY180)</f>
        <v>0</v>
      </c>
      <c r="EW180" s="60">
        <f ca="1">SUMIFS(TME_Yesterday[FOC_WHS_QTY],TME_Yesterday[Region],master_Daily!$X180,TME_Yesterday[Brand],master_Daily!$Y180)/50000</f>
        <v>0</v>
      </c>
      <c r="EX180" s="60">
        <f ca="1">SUMIFS(TME_Yesterday[FOC_RTL_QTY],TME_Yesterday[Region],master_Daily!$X180,TME_Yesterday[Brand],master_Daily!$Y180)/50000</f>
        <v>0</v>
      </c>
      <c r="EY180" s="60">
        <f ca="1">SUMIFS(TME_Yesterday[FOC_NEO_QTY],TME_Yesterday[Region],master_Daily!$X180,TME_Yesterday[Brand],master_Daily!$Y180)/50000</f>
        <v>0</v>
      </c>
      <c r="EZ180" s="60">
        <f ca="1">SUM(FA180:FC180)</f>
        <v>0.185</v>
      </c>
      <c r="FA180" s="60">
        <f ca="1">SUMIFS(TME_MTD[Sell_WHS_QTY],TME_MTD[Region],master_Daily!$X180,TME_MTD[Brand],master_Daily!$Y180)/50000+$FA$302+$FA$308+$FA$314+$FA$320</f>
        <v>0.185</v>
      </c>
      <c r="FB180" s="60">
        <f ca="1">SUMIFS(TME_MTD[Sell_RTL_QTY],TME_MTD[Region],master_Daily!$X180,TME_MTD[Brand],master_Daily!$Y180)/50000</f>
        <v>0</v>
      </c>
      <c r="FC180" s="60">
        <f ca="1">SUMIFS(TME_MTD[Sell_NEO_QTY],TME_MTD[Region],master_Daily!$X180,TME_MTD[Brand],master_Daily!$Y180)/50000</f>
        <v>0</v>
      </c>
      <c r="FD180" s="60">
        <f ca="1">SUM(FE180:FG180)</f>
        <v>0</v>
      </c>
      <c r="FE180" s="60">
        <f ca="1">SUMIFS(TME_MTD[FOC_WHS_QTY],TME_MTD[Region],master_Daily!$X180,TME_MTD[Brand],master_Daily!$Y180)/50000</f>
        <v>0</v>
      </c>
      <c r="FF180" s="60">
        <f ca="1">SUMIFS(TME_MTD[FOC_RTL_QTY],TME_MTD[Region],master_Daily!$X180,TME_MTD[Brand],master_Daily!$Y180)/50000</f>
        <v>0</v>
      </c>
      <c r="FG180" s="60">
        <f ca="1">SUMIFS(TME_MTD[FOC_NEO_QTY],TME_MTD[Region],master_Daily!$X180,TME_MTD[Brand],master_Daily!$Y180)/50000</f>
        <v>0</v>
      </c>
      <c r="FH180" s="21">
        <f t="shared" ca="1" si="124"/>
        <v>2.8468</v>
      </c>
      <c r="FI180" s="21">
        <f t="shared" ca="1" si="124"/>
        <v>2.8468</v>
      </c>
      <c r="FJ180" s="21">
        <f t="shared" ca="1" si="124"/>
        <v>0</v>
      </c>
      <c r="FK180" s="21">
        <f t="shared" ca="1" si="124"/>
        <v>0</v>
      </c>
      <c r="FL180" s="21">
        <f t="shared" ca="1" si="124"/>
        <v>0</v>
      </c>
      <c r="FM180" s="21">
        <f t="shared" ca="1" si="124"/>
        <v>0</v>
      </c>
      <c r="FN180" s="21">
        <f t="shared" ca="1" si="124"/>
        <v>0</v>
      </c>
      <c r="FO180" s="21">
        <f t="shared" ca="1" si="124"/>
        <v>0</v>
      </c>
      <c r="FP180" s="58">
        <f ca="1">IFERROR(FH180/$FH$183,0)</f>
        <v>0.23013742926434921</v>
      </c>
      <c r="FQ180" s="23">
        <f t="shared" ca="1" si="87"/>
        <v>0.29200663883869593</v>
      </c>
      <c r="FR180" s="60">
        <f>SUMIFS(TME_MTD_Dist[Sell_WHS_QTY],TME_MTD_Dist[Region],master_Daily!$X180,TME_MTD_Dist[Brand],master_Daily!$Y180)/50000
 + SUMIFS(TME_MTD_Dist[Sell_RTL_QTY],TME_MTD_Dist[Region],master_Daily!$X180,TME_MTD_Dist[Brand],master_Daily!$Y180)/50000</f>
        <v>0</v>
      </c>
      <c r="FS180" s="23">
        <f t="shared" si="33"/>
        <v>0</v>
      </c>
      <c r="FT180" s="469">
        <v>0.24502242152466369</v>
      </c>
      <c r="FU180" s="289">
        <f>FT180*$FU$183</f>
        <v>0.63189992919518545</v>
      </c>
    </row>
    <row r="181" spans="2:178" outlineLevel="1">
      <c r="B181" s="20" t="s">
        <v>203</v>
      </c>
      <c r="C181" s="74" t="s">
        <v>263</v>
      </c>
      <c r="D181" s="74"/>
      <c r="E181" s="21">
        <v>0.3</v>
      </c>
      <c r="F181" s="21">
        <v>0.38</v>
      </c>
      <c r="G181" s="21">
        <v>0.54</v>
      </c>
      <c r="H181" s="21">
        <v>0.4</v>
      </c>
      <c r="I181" s="21">
        <v>0.42</v>
      </c>
      <c r="J181" s="21">
        <v>0.21</v>
      </c>
      <c r="K181" s="21"/>
      <c r="L181" s="21"/>
      <c r="M181" s="21"/>
      <c r="N181" s="21"/>
      <c r="O181" s="21"/>
      <c r="P181" s="21"/>
      <c r="Q181" s="422">
        <v>0.41924812030075187</v>
      </c>
      <c r="R181" s="72">
        <f>IFERROR(SUMIFS(Daily_Vol_yesterday[Order Quantity],Daily_Vol_yesterday[Cust_Cat.cust_channel],master_Daily!B181,Daily_Vol_yesterday[Map_Product.TME_Brand],"CM")/50000,0)</f>
        <v>0</v>
      </c>
      <c r="S181" s="60">
        <f>IFERROR(SUM(SUMIFS(Weekly_Vol[Quantity],Weekly_Vol[Cust_Cat.cust_channel],master_Daily!B181,Weekly_Vol[Map_Product.TME_Brand],"CM"),SUMIFS(Daily_Vol[Order Quantity],Daily_Vol[Cust_Cat.cust_channel],master_Daily!B181,Daily_Vol[Map_Product.TME_Brand],"CM"))/50000,0)</f>
        <v>0.21</v>
      </c>
      <c r="T181" s="57">
        <f t="shared" si="120"/>
        <v>2.25</v>
      </c>
      <c r="U181" s="22">
        <f>IFERROR(T181/$T$177,0)</f>
        <v>8.5486322188449856E-2</v>
      </c>
      <c r="V181" s="23">
        <f>IFERROR(S181/Q181,0)</f>
        <v>0.50089670014347198</v>
      </c>
      <c r="X181" s="20" t="s">
        <v>204</v>
      </c>
      <c r="Y181" s="20" t="s">
        <v>263</v>
      </c>
      <c r="Z181" s="20"/>
      <c r="AA181" s="179">
        <f>SUM(AD181:AF181)</f>
        <v>1.0706</v>
      </c>
      <c r="AB181" s="179">
        <f t="shared" si="90"/>
        <v>0</v>
      </c>
      <c r="AC181" s="179">
        <v>1.0706</v>
      </c>
      <c r="AD181" s="179">
        <v>1.0706</v>
      </c>
      <c r="AE181" s="179">
        <v>0</v>
      </c>
      <c r="AF181" s="179">
        <v>0</v>
      </c>
      <c r="AG181" s="179">
        <v>0</v>
      </c>
      <c r="AH181" s="179">
        <v>0</v>
      </c>
      <c r="AI181" s="179">
        <v>0</v>
      </c>
      <c r="AJ181" s="179">
        <v>0</v>
      </c>
      <c r="AK181" s="179">
        <f>SUM(AN181:AP181)</f>
        <v>0.94359999999999999</v>
      </c>
      <c r="AL181" s="179">
        <f t="shared" si="91"/>
        <v>0</v>
      </c>
      <c r="AM181" s="179">
        <v>0.94359999999999999</v>
      </c>
      <c r="AN181" s="179">
        <v>0.94359999999999999</v>
      </c>
      <c r="AO181" s="179">
        <v>0</v>
      </c>
      <c r="AP181" s="179">
        <v>0</v>
      </c>
      <c r="AQ181" s="179">
        <v>0</v>
      </c>
      <c r="AR181" s="179">
        <v>0</v>
      </c>
      <c r="AS181" s="179">
        <v>0</v>
      </c>
      <c r="AT181" s="179">
        <v>0</v>
      </c>
      <c r="AU181" s="179">
        <f>SUM(AX181:AZ181)</f>
        <v>0.84</v>
      </c>
      <c r="AV181" s="179">
        <f t="shared" si="75"/>
        <v>0</v>
      </c>
      <c r="AW181" s="179">
        <v>0.84</v>
      </c>
      <c r="AX181" s="179">
        <v>0.84</v>
      </c>
      <c r="AY181" s="179">
        <v>0</v>
      </c>
      <c r="AZ181" s="179">
        <v>0</v>
      </c>
      <c r="BA181" s="179">
        <v>0</v>
      </c>
      <c r="BB181" s="179">
        <v>0</v>
      </c>
      <c r="BC181" s="179">
        <v>0</v>
      </c>
      <c r="BD181" s="179">
        <v>0</v>
      </c>
      <c r="BE181" s="179">
        <f>SUM(BH181:BJ181)</f>
        <v>1.0085999999999999</v>
      </c>
      <c r="BF181" s="179">
        <f t="shared" si="76"/>
        <v>0</v>
      </c>
      <c r="BG181" s="179">
        <v>1.0085999999999999</v>
      </c>
      <c r="BH181" s="179">
        <v>1.0085999999999999</v>
      </c>
      <c r="BI181" s="179">
        <v>0</v>
      </c>
      <c r="BJ181" s="179">
        <v>0</v>
      </c>
      <c r="BK181" s="179">
        <v>0</v>
      </c>
      <c r="BL181" s="179">
        <v>0</v>
      </c>
      <c r="BM181" s="179">
        <v>0</v>
      </c>
      <c r="BN181" s="179">
        <v>0</v>
      </c>
      <c r="BO181" s="179">
        <f>SUM(BR181:BT181)</f>
        <v>1.1466000000000001</v>
      </c>
      <c r="BP181" s="179">
        <f t="shared" si="77"/>
        <v>0</v>
      </c>
      <c r="BQ181" s="179">
        <v>1.1466000000000001</v>
      </c>
      <c r="BR181" s="179">
        <v>1.1466000000000001</v>
      </c>
      <c r="BS181" s="179">
        <v>0</v>
      </c>
      <c r="BT181" s="179">
        <v>0</v>
      </c>
      <c r="BU181" s="179">
        <v>0</v>
      </c>
      <c r="BV181" s="179">
        <v>0</v>
      </c>
      <c r="BW181" s="179">
        <v>0</v>
      </c>
      <c r="BX181" s="179">
        <v>0</v>
      </c>
      <c r="BY181" s="179">
        <f>SUM(CB181:CD181)</f>
        <v>0.49919999999999998</v>
      </c>
      <c r="BZ181" s="179">
        <f t="shared" si="78"/>
        <v>0</v>
      </c>
      <c r="CA181" s="179">
        <v>0.49919999999999998</v>
      </c>
      <c r="CB181" s="179">
        <v>0.49919999999999998</v>
      </c>
      <c r="CC181" s="179">
        <v>0</v>
      </c>
      <c r="CD181" s="179">
        <v>0</v>
      </c>
      <c r="CE181" s="179">
        <v>0</v>
      </c>
      <c r="CF181" s="179">
        <v>0</v>
      </c>
      <c r="CG181" s="179">
        <v>0</v>
      </c>
      <c r="CH181" s="179">
        <v>0</v>
      </c>
      <c r="CI181" s="179">
        <f>SUM(CL181:CN181)</f>
        <v>0</v>
      </c>
      <c r="CJ181" s="179">
        <f t="shared" si="80"/>
        <v>0</v>
      </c>
      <c r="CK181" s="179"/>
      <c r="CL181" s="179"/>
      <c r="CM181" s="179"/>
      <c r="CN181" s="179"/>
      <c r="CO181" s="179">
        <v>0</v>
      </c>
      <c r="CP181" s="179">
        <v>0</v>
      </c>
      <c r="CQ181" s="179">
        <v>0</v>
      </c>
      <c r="CR181" s="179">
        <v>0</v>
      </c>
      <c r="CS181" s="179">
        <f>SUM(CV181:CX181)</f>
        <v>0</v>
      </c>
      <c r="CT181" s="179">
        <f t="shared" si="81"/>
        <v>0</v>
      </c>
      <c r="CU181" s="179"/>
      <c r="CV181" s="179"/>
      <c r="CW181" s="179"/>
      <c r="CX181" s="179"/>
      <c r="CY181" s="179">
        <v>0</v>
      </c>
      <c r="CZ181" s="179">
        <v>0</v>
      </c>
      <c r="DA181" s="179">
        <v>0</v>
      </c>
      <c r="DB181" s="179">
        <v>0</v>
      </c>
      <c r="DC181" s="179">
        <f>SUM(DF181:DH181)</f>
        <v>0</v>
      </c>
      <c r="DD181" s="179">
        <f t="shared" si="82"/>
        <v>0</v>
      </c>
      <c r="DE181" s="179"/>
      <c r="DF181" s="179"/>
      <c r="DG181" s="179"/>
      <c r="DH181" s="179"/>
      <c r="DI181" s="179">
        <v>0</v>
      </c>
      <c r="DJ181" s="179">
        <v>0</v>
      </c>
      <c r="DK181" s="179">
        <v>0</v>
      </c>
      <c r="DL181" s="179">
        <v>0</v>
      </c>
      <c r="DM181" s="179">
        <f>SUM(DP181:DR181)</f>
        <v>0</v>
      </c>
      <c r="DN181" s="179">
        <f t="shared" si="83"/>
        <v>0</v>
      </c>
      <c r="DO181" s="179"/>
      <c r="DP181" s="179"/>
      <c r="DQ181" s="179"/>
      <c r="DR181" s="179"/>
      <c r="DS181" s="179">
        <v>0</v>
      </c>
      <c r="DT181" s="179">
        <v>0</v>
      </c>
      <c r="DU181" s="179">
        <v>0</v>
      </c>
      <c r="DV181" s="179">
        <v>0</v>
      </c>
      <c r="DW181" s="179">
        <f>SUM(DZ181:EB181)</f>
        <v>0</v>
      </c>
      <c r="DX181" s="179">
        <f t="shared" si="84"/>
        <v>0</v>
      </c>
      <c r="DY181" s="179"/>
      <c r="DZ181" s="179"/>
      <c r="EA181" s="179"/>
      <c r="EB181" s="179"/>
      <c r="EC181" s="179">
        <v>0</v>
      </c>
      <c r="ED181" s="179">
        <v>0</v>
      </c>
      <c r="EE181" s="179">
        <v>0</v>
      </c>
      <c r="EF181" s="179">
        <v>0</v>
      </c>
      <c r="EG181" s="179">
        <f>SUM(EJ181:EL181)</f>
        <v>0</v>
      </c>
      <c r="EH181" s="21">
        <f t="shared" si="85"/>
        <v>0</v>
      </c>
      <c r="EI181" s="70"/>
      <c r="EJ181" s="21"/>
      <c r="EK181" s="21"/>
      <c r="EL181" s="21"/>
      <c r="EM181" s="70">
        <v>0</v>
      </c>
      <c r="EN181" s="21">
        <v>0</v>
      </c>
      <c r="EO181" s="21">
        <v>0</v>
      </c>
      <c r="EP181" s="21">
        <v>0</v>
      </c>
      <c r="EQ181" s="181">
        <v>1.12266560197452</v>
      </c>
      <c r="ER181" s="21">
        <f ca="1">SUM(ES181:EU181)</f>
        <v>0</v>
      </c>
      <c r="ES181" s="60">
        <f ca="1">SUMIFS(TME_Yesterday[Sell_WHS_QTY],TME_Yesterday[Region],master_Daily!$X181,TME_Yesterday[Brand],"CM")/50000
+SUMIFS($ES$300:$ES$311,$X$300:$X$311,"BANPAEW",$Y$300:$Y$311,Y303)
+SUMIFS($ES$300:$ES$311,$X$300:$X$311,"KHONKAEN PANICH",$Y$300:$Y$311,Y309)+$ES$315+$ES$321</f>
        <v>0</v>
      </c>
      <c r="ET181" s="60">
        <f ca="1">SUMIFS(TME_Yesterday[Sell_RTL_QTY],TME_Yesterday[Region],master_Daily!$X181,TME_Yesterday[Brand],"CM")/50000</f>
        <v>0</v>
      </c>
      <c r="EU181" s="60">
        <f ca="1">SUMIFS(TME_Yesterday[Sell_NEO_QTY],TME_Yesterday[Region],master_Daily!$X181,TME_Yesterday[Brand],"CM")/50000</f>
        <v>0</v>
      </c>
      <c r="EV181" s="21">
        <f ca="1">SUM(EW181:EY181)</f>
        <v>0</v>
      </c>
      <c r="EW181" s="60">
        <f ca="1">SUMIFS(TME_Yesterday[FOC_WHS_QTY],TME_Yesterday[Region],master_Daily!$X181,TME_Yesterday[Brand],"CM")/50000</f>
        <v>0</v>
      </c>
      <c r="EX181" s="60">
        <f ca="1">SUMIFS(TME_Yesterday[FOC_RTL_QTY],TME_Yesterday[Region],master_Daily!$X181,TME_Yesterday[Brand],"CM")/50000</f>
        <v>0</v>
      </c>
      <c r="EY181" s="60">
        <f ca="1">SUMIFS(TME_Yesterday[FOC_NEO_QTY],TME_Yesterday[Region],master_Daily!$X181,TME_Yesterday[Brand],"CM")/50000</f>
        <v>0</v>
      </c>
      <c r="EZ181" s="60">
        <f ca="1">SUM(FA181:FC181)</f>
        <v>0.49919999999999998</v>
      </c>
      <c r="FA181" s="60">
        <f ca="1">SUMIFS(TME_MTD[Sell_WHS_QTY],TME_MTD[Region],master_Daily!$X181,TME_MTD[Brand],"CM")/50000+$FA$303+$FA$309+$FA$315+$FA$321</f>
        <v>0.49919999999999998</v>
      </c>
      <c r="FB181" s="60">
        <f ca="1">SUMIFS(TME_MTD[Sell_RTL_QTY],TME_MTD[Region],master_Daily!$X181,TME_MTD[Brand],"CM")/50000</f>
        <v>0</v>
      </c>
      <c r="FC181" s="60">
        <f ca="1">SUMIFS(TME_MTD[Sell_NEO_QTY],TME_MTD[Region],master_Daily!$X181,TME_MTD[Brand],"CM")/50000</f>
        <v>0</v>
      </c>
      <c r="FD181" s="60">
        <f ca="1">SUM(FE181:FG181)</f>
        <v>0</v>
      </c>
      <c r="FE181" s="60">
        <f ca="1">SUMIFS(TME_MTD[FOC_WHS_QTY],TME_MTD[Region],master_Daily!$X181,TME_MTD[Brand],"CM")/50000</f>
        <v>0</v>
      </c>
      <c r="FF181" s="60">
        <f ca="1">SUMIFS(TME_MTD[FOC_RTL_QTY],TME_MTD[Region],master_Daily!$X181,TME_MTD[Brand],"CM")/50000</f>
        <v>0</v>
      </c>
      <c r="FG181" s="60">
        <f ca="1">SUMIFS(TME_MTD[FOC_NEO_QTY],TME_MTD[Region],master_Daily!$X181,TME_MTD[Brand],"CM")/50000</f>
        <v>0</v>
      </c>
      <c r="FH181" s="21">
        <f t="shared" ref="FH181:FK182" ca="1" si="125">SUMIFS($AA181:$EP181,$AA$129:$EP$129,INDIRECT(ADDRESS(129,COLUMN())))</f>
        <v>5.5085999999999995</v>
      </c>
      <c r="FI181" s="21">
        <f t="shared" ca="1" si="125"/>
        <v>5.5085999999999995</v>
      </c>
      <c r="FJ181" s="21">
        <f t="shared" ca="1" si="125"/>
        <v>0</v>
      </c>
      <c r="FK181" s="21">
        <f t="shared" ca="1" si="125"/>
        <v>0</v>
      </c>
      <c r="FL181" s="21">
        <f t="shared" ref="FL181:FO182" si="126">SUMIFS(AE181:ET181,$AA$129:$EP$129,$FH$129)</f>
        <v>0</v>
      </c>
      <c r="FM181" s="21">
        <f t="shared" si="126"/>
        <v>0</v>
      </c>
      <c r="FN181" s="21">
        <f t="shared" si="126"/>
        <v>0</v>
      </c>
      <c r="FO181" s="21">
        <f t="shared" si="126"/>
        <v>0</v>
      </c>
      <c r="FP181" s="58">
        <f ca="1">IFERROR(FH181/$FH$183,0)</f>
        <v>0.44531932093775256</v>
      </c>
      <c r="FQ181" s="23">
        <f t="shared" ca="1" si="87"/>
        <v>0.44465600364170577</v>
      </c>
      <c r="FR181" s="60">
        <f>SUMIFS(TME_MTD_Dist[Sell_WHS_QTY],TME_MTD_Dist[Region],master_Daily!$X181,TME_MTD_Dist[Brand],master_Daily!$Y181)/50000
 + SUMIFS(TME_MTD_Dist[Sell_RTL_QTY],TME_MTD_Dist[Region],master_Daily!$X181,TME_MTD_Dist[Brand],master_Daily!$Y181)/50000</f>
        <v>0</v>
      </c>
      <c r="FS181" s="23">
        <f t="shared" si="33"/>
        <v>0</v>
      </c>
      <c r="FT181" s="469">
        <v>0.58266068759342304</v>
      </c>
      <c r="FU181" s="289">
        <f>FT181*$FU$183</f>
        <v>1.5026512469514597</v>
      </c>
      <c r="FV181" s="289">
        <f>FU181+FU182</f>
        <v>1.9418047360553854</v>
      </c>
    </row>
    <row r="182" spans="2:178" outlineLevel="1">
      <c r="B182" s="20" t="s">
        <v>203</v>
      </c>
      <c r="C182" s="74" t="s">
        <v>264</v>
      </c>
      <c r="D182" s="74"/>
      <c r="E182" s="21">
        <v>0.12</v>
      </c>
      <c r="F182" s="21">
        <v>0.13</v>
      </c>
      <c r="G182" s="21">
        <v>0.18</v>
      </c>
      <c r="H182" s="21">
        <v>0.15</v>
      </c>
      <c r="I182" s="21">
        <v>0.16</v>
      </c>
      <c r="J182" s="21">
        <v>7.0000000000000007E-2</v>
      </c>
      <c r="K182" s="21"/>
      <c r="L182" s="21"/>
      <c r="M182" s="21"/>
      <c r="N182" s="21"/>
      <c r="O182" s="21"/>
      <c r="P182" s="21"/>
      <c r="Q182" s="422">
        <v>0.15105263157894736</v>
      </c>
      <c r="R182" s="72">
        <f>IFERROR(SUMIFS(Daily_Vol_yesterday[Order Quantity],Daily_Vol_yesterday[Cust_Cat.cust_channel],master_Daily!B182,Daily_Vol_yesterday[Map_Product.TME_Brand],"CMHD")/50000,0)</f>
        <v>0</v>
      </c>
      <c r="S182" s="60">
        <f>IFERROR(SUM(SUMIFS(Weekly_Vol[Quantity],Weekly_Vol[Cust_Cat.cust_channel],master_Daily!B182,Weekly_Vol[Map_Product.TME_Brand],"CMHD"),SUMIFS(Daily_Vol[Order Quantity],Daily_Vol[Cust_Cat.cust_channel],master_Daily!B182,Daily_Vol[Map_Product.TME_Brand],"CMHD"))/50000,0)</f>
        <v>7.0000000000000007E-2</v>
      </c>
      <c r="T182" s="57">
        <f t="shared" si="120"/>
        <v>0.81</v>
      </c>
      <c r="U182" s="22">
        <f>IFERROR(T182/$T$177,0)</f>
        <v>3.077507598784195E-2</v>
      </c>
      <c r="V182" s="23">
        <f>IFERROR(S182/Q182,0)</f>
        <v>0.46341463414634154</v>
      </c>
      <c r="X182" s="20" t="s">
        <v>204</v>
      </c>
      <c r="Y182" s="20" t="s">
        <v>264</v>
      </c>
      <c r="Z182" s="20"/>
      <c r="AA182" s="179">
        <f>SUM(AD182:AF182)</f>
        <v>0.59599999999999997</v>
      </c>
      <c r="AB182" s="179">
        <f t="shared" si="90"/>
        <v>0</v>
      </c>
      <c r="AC182" s="179">
        <v>0.59599999999999997</v>
      </c>
      <c r="AD182" s="179">
        <v>0.59599999999999997</v>
      </c>
      <c r="AE182" s="179">
        <v>0</v>
      </c>
      <c r="AF182" s="179">
        <v>0</v>
      </c>
      <c r="AG182" s="179">
        <v>0</v>
      </c>
      <c r="AH182" s="179">
        <v>0</v>
      </c>
      <c r="AI182" s="179">
        <v>0</v>
      </c>
      <c r="AJ182" s="179">
        <v>0</v>
      </c>
      <c r="AK182" s="179">
        <f>SUM(AN182:AP182)</f>
        <v>0.46</v>
      </c>
      <c r="AL182" s="179">
        <f t="shared" si="91"/>
        <v>0</v>
      </c>
      <c r="AM182" s="179">
        <v>0.46</v>
      </c>
      <c r="AN182" s="179">
        <v>0.46</v>
      </c>
      <c r="AO182" s="179">
        <v>0</v>
      </c>
      <c r="AP182" s="179">
        <v>0</v>
      </c>
      <c r="AQ182" s="179">
        <v>0</v>
      </c>
      <c r="AR182" s="179">
        <v>0</v>
      </c>
      <c r="AS182" s="179">
        <v>0</v>
      </c>
      <c r="AT182" s="179">
        <v>0</v>
      </c>
      <c r="AU182" s="179">
        <f>SUM(AX182:AZ182)</f>
        <v>0.78</v>
      </c>
      <c r="AV182" s="179">
        <f t="shared" si="75"/>
        <v>0</v>
      </c>
      <c r="AW182" s="179">
        <v>0.78</v>
      </c>
      <c r="AX182" s="179">
        <v>0.78</v>
      </c>
      <c r="AY182" s="179">
        <v>0</v>
      </c>
      <c r="AZ182" s="179">
        <v>0</v>
      </c>
      <c r="BA182" s="179">
        <v>0</v>
      </c>
      <c r="BB182" s="179">
        <v>0</v>
      </c>
      <c r="BC182" s="179">
        <v>0</v>
      </c>
      <c r="BD182" s="179">
        <v>0</v>
      </c>
      <c r="BE182" s="179">
        <f>SUM(BH182:BJ182)</f>
        <v>0.86499999999999999</v>
      </c>
      <c r="BF182" s="179">
        <f t="shared" si="76"/>
        <v>0</v>
      </c>
      <c r="BG182" s="179">
        <v>0.86499999999999999</v>
      </c>
      <c r="BH182" s="179">
        <v>0.86499999999999999</v>
      </c>
      <c r="BI182" s="179">
        <v>0</v>
      </c>
      <c r="BJ182" s="179">
        <v>0</v>
      </c>
      <c r="BK182" s="179">
        <v>0</v>
      </c>
      <c r="BL182" s="179">
        <v>0</v>
      </c>
      <c r="BM182" s="179">
        <v>0</v>
      </c>
      <c r="BN182" s="179">
        <v>0</v>
      </c>
      <c r="BO182" s="179">
        <f>SUM(BR182:BT182)</f>
        <v>0.85340000000000005</v>
      </c>
      <c r="BP182" s="179">
        <f t="shared" si="77"/>
        <v>0</v>
      </c>
      <c r="BQ182" s="179">
        <v>0.85340000000000005</v>
      </c>
      <c r="BR182" s="179">
        <v>0.85340000000000005</v>
      </c>
      <c r="BS182" s="179">
        <v>0</v>
      </c>
      <c r="BT182" s="179">
        <v>0</v>
      </c>
      <c r="BU182" s="179">
        <v>0</v>
      </c>
      <c r="BV182" s="179">
        <v>0</v>
      </c>
      <c r="BW182" s="179">
        <v>0</v>
      </c>
      <c r="BX182" s="179">
        <v>0</v>
      </c>
      <c r="BY182" s="179">
        <f>SUM(CB182:CD182)</f>
        <v>0.43</v>
      </c>
      <c r="BZ182" s="179">
        <f t="shared" si="78"/>
        <v>0</v>
      </c>
      <c r="CA182" s="179">
        <v>0.43</v>
      </c>
      <c r="CB182" s="179">
        <v>0.43</v>
      </c>
      <c r="CC182" s="179">
        <v>0</v>
      </c>
      <c r="CD182" s="179">
        <v>0</v>
      </c>
      <c r="CE182" s="179">
        <v>0</v>
      </c>
      <c r="CF182" s="179">
        <v>0</v>
      </c>
      <c r="CG182" s="179">
        <v>0</v>
      </c>
      <c r="CH182" s="179">
        <v>0</v>
      </c>
      <c r="CI182" s="179">
        <f>SUM(CL182:CN182)</f>
        <v>0</v>
      </c>
      <c r="CJ182" s="179">
        <f t="shared" si="80"/>
        <v>0</v>
      </c>
      <c r="CK182" s="179"/>
      <c r="CL182" s="179"/>
      <c r="CM182" s="179"/>
      <c r="CN182" s="179"/>
      <c r="CO182" s="179">
        <v>0</v>
      </c>
      <c r="CP182" s="179">
        <v>0</v>
      </c>
      <c r="CQ182" s="179">
        <v>0</v>
      </c>
      <c r="CR182" s="179">
        <v>0</v>
      </c>
      <c r="CS182" s="179">
        <f>SUM(CV182:CX182)</f>
        <v>0</v>
      </c>
      <c r="CT182" s="179">
        <f t="shared" si="81"/>
        <v>0</v>
      </c>
      <c r="CU182" s="179"/>
      <c r="CV182" s="179"/>
      <c r="CW182" s="179"/>
      <c r="CX182" s="179"/>
      <c r="CY182" s="179">
        <v>0</v>
      </c>
      <c r="CZ182" s="179">
        <v>0</v>
      </c>
      <c r="DA182" s="179">
        <v>0</v>
      </c>
      <c r="DB182" s="179">
        <v>0</v>
      </c>
      <c r="DC182" s="179">
        <f>SUM(DF182:DH182)</f>
        <v>0</v>
      </c>
      <c r="DD182" s="179">
        <f t="shared" si="82"/>
        <v>0</v>
      </c>
      <c r="DE182" s="179"/>
      <c r="DF182" s="179"/>
      <c r="DG182" s="179"/>
      <c r="DH182" s="179"/>
      <c r="DI182" s="179">
        <v>0</v>
      </c>
      <c r="DJ182" s="179">
        <v>0</v>
      </c>
      <c r="DK182" s="179">
        <v>0</v>
      </c>
      <c r="DL182" s="179">
        <v>0</v>
      </c>
      <c r="DM182" s="179">
        <f>SUM(DP182:DR182)</f>
        <v>0</v>
      </c>
      <c r="DN182" s="179">
        <f t="shared" si="83"/>
        <v>0</v>
      </c>
      <c r="DO182" s="179"/>
      <c r="DP182" s="179"/>
      <c r="DQ182" s="179"/>
      <c r="DR182" s="179"/>
      <c r="DS182" s="179">
        <v>0</v>
      </c>
      <c r="DT182" s="179">
        <v>0</v>
      </c>
      <c r="DU182" s="179">
        <v>0</v>
      </c>
      <c r="DV182" s="179">
        <v>0</v>
      </c>
      <c r="DW182" s="179">
        <f>SUM(DZ182:EB182)</f>
        <v>0</v>
      </c>
      <c r="DX182" s="179">
        <f t="shared" si="84"/>
        <v>0</v>
      </c>
      <c r="DY182" s="179"/>
      <c r="DZ182" s="179"/>
      <c r="EA182" s="179"/>
      <c r="EB182" s="179"/>
      <c r="EC182" s="179">
        <v>0</v>
      </c>
      <c r="ED182" s="179">
        <v>0</v>
      </c>
      <c r="EE182" s="179">
        <v>0</v>
      </c>
      <c r="EF182" s="179">
        <v>0</v>
      </c>
      <c r="EG182" s="179">
        <f>SUM(EJ182:EL182)</f>
        <v>0</v>
      </c>
      <c r="EH182" s="21">
        <f t="shared" si="85"/>
        <v>0</v>
      </c>
      <c r="EI182" s="70"/>
      <c r="EJ182" s="21"/>
      <c r="EK182" s="21"/>
      <c r="EL182" s="21"/>
      <c r="EM182" s="70">
        <v>0</v>
      </c>
      <c r="EN182" s="21">
        <v>0</v>
      </c>
      <c r="EO182" s="21">
        <v>0</v>
      </c>
      <c r="EP182" s="21">
        <v>0</v>
      </c>
      <c r="EQ182" s="181">
        <v>0.72108671191608287</v>
      </c>
      <c r="ER182" s="21">
        <f ca="1">SUM(ES182:EU182)</f>
        <v>0</v>
      </c>
      <c r="ES182" s="60">
        <f ca="1">SUMIFS(TME_Yesterday[Sell_WHS_QTY],TME_Yesterday[Region],master_Daily!$X182,TME_Yesterday[Brand],"CMHD")/50000
+SUMIFS($ES$300:$ES$311,$X$300:$X$311,"BANPAEW",$Y$300:$Y$311,Y304)
+SUMIFS($ES$300:$ES$311,$X$300:$X$311,"KHONKAEN PANICH",$Y$300:$Y$311,Y310)+$ES$316+$ES$322</f>
        <v>0</v>
      </c>
      <c r="ET182" s="60">
        <f ca="1">SUMIFS(TME_Yesterday[Sell_RTL_QTY],TME_Yesterday[Region],master_Daily!$X182,TME_Yesterday[Brand],"CMHD")/50000</f>
        <v>0</v>
      </c>
      <c r="EU182" s="60">
        <f ca="1">SUMIFS(TME_Yesterday[Sell_NEO_QTY],TME_Yesterday[Region],master_Daily!$X182,TME_Yesterday[Brand],"CMHD")/50000</f>
        <v>0</v>
      </c>
      <c r="EV182" s="21">
        <f ca="1">SUM(EW182:EY182)</f>
        <v>0</v>
      </c>
      <c r="EW182" s="60">
        <f ca="1">SUMIFS(TME_Yesterday[FOC_WHS_QTY],TME_Yesterday[Region],master_Daily!$X182,TME_Yesterday[Brand],"CMHD")/50000</f>
        <v>0</v>
      </c>
      <c r="EX182" s="60">
        <f ca="1">SUMIFS(TME_Yesterday[FOC_RTL_QTY],TME_Yesterday[Region],master_Daily!$X182,TME_Yesterday[Brand],"CMHD")/50000</f>
        <v>0</v>
      </c>
      <c r="EY182" s="60">
        <f ca="1">SUMIFS(TME_Yesterday[FOC_NEO_QTY],TME_Yesterday[Region],master_Daily!$X182,TME_Yesterday[Brand],"CMHD")/50000</f>
        <v>0</v>
      </c>
      <c r="EZ182" s="60">
        <f ca="1">SUM(FA182:FC182)</f>
        <v>0.43</v>
      </c>
      <c r="FA182" s="60">
        <f ca="1">SUMIFS(TME_MTD[Sell_WHS_QTY],TME_MTD[Region],master_Daily!$X182,TME_MTD[Brand],"CMHD")/50000+$FA$304+$FA$310+$FA$316+$FA$322</f>
        <v>0.43</v>
      </c>
      <c r="FB182" s="60">
        <f ca="1">SUMIFS(TME_MTD[Sell_RTL_QTY],TME_MTD[Region],master_Daily!$X182,TME_MTD[Brand],"CMHD")/50000</f>
        <v>0</v>
      </c>
      <c r="FC182" s="60">
        <f ca="1">SUMIFS(TME_MTD[Sell_NEO_QTY],TME_MTD[Region],master_Daily!$X182,TME_MTD[Brand],"CMHD")/50000</f>
        <v>0</v>
      </c>
      <c r="FD182" s="60">
        <f ca="1">SUM(FE182:FG182)</f>
        <v>0</v>
      </c>
      <c r="FE182" s="60">
        <f ca="1">SUMIFS(TME_MTD[FOC_WHS_QTY],TME_MTD[Region],master_Daily!$X182,TME_MTD[Brand],"CMHD")/50000</f>
        <v>0</v>
      </c>
      <c r="FF182" s="60">
        <f ca="1">SUMIFS(TME_MTD[FOC_RTL_QTY],TME_MTD[Region],master_Daily!$X182,TME_MTD[Brand],"CMHD")/50000</f>
        <v>0</v>
      </c>
      <c r="FG182" s="60">
        <f ca="1">SUMIFS(TME_MTD[FOC_NEO_QTY],TME_MTD[Region],master_Daily!$X182,TME_MTD[Brand],"CMHD")/50000</f>
        <v>0</v>
      </c>
      <c r="FH182" s="21">
        <f t="shared" ca="1" si="125"/>
        <v>3.9844000000000004</v>
      </c>
      <c r="FI182" s="21">
        <f t="shared" ca="1" si="125"/>
        <v>3.9844000000000004</v>
      </c>
      <c r="FJ182" s="21">
        <f t="shared" ca="1" si="125"/>
        <v>0</v>
      </c>
      <c r="FK182" s="21">
        <f t="shared" ca="1" si="125"/>
        <v>0</v>
      </c>
      <c r="FL182" s="21">
        <f t="shared" si="126"/>
        <v>0</v>
      </c>
      <c r="FM182" s="21">
        <f t="shared" si="126"/>
        <v>0</v>
      </c>
      <c r="FN182" s="21">
        <f t="shared" si="126"/>
        <v>0</v>
      </c>
      <c r="FO182" s="21">
        <f t="shared" si="126"/>
        <v>0</v>
      </c>
      <c r="FP182" s="58">
        <f ca="1">IFERROR(FH182/$FH$183,0)</f>
        <v>0.32210185933710589</v>
      </c>
      <c r="FQ182" s="23">
        <f ca="1">IFERROR(EZ182/EQ182,0)</f>
        <v>0.59632217997388592</v>
      </c>
      <c r="FR182" s="60">
        <f>SUMIFS(TME_MTD_Dist[Sell_WHS_QTY],TME_MTD_Dist[Region],master_Daily!$X182,TME_MTD_Dist[Brand],master_Daily!$Y182)/50000
 + SUMIFS(TME_MTD_Dist[Sell_RTL_QTY],TME_MTD_Dist[Region],master_Daily!$X182,TME_MTD_Dist[Brand],master_Daily!$Y182)/50000</f>
        <v>0</v>
      </c>
      <c r="FS182" s="23">
        <f t="shared" si="33"/>
        <v>0</v>
      </c>
      <c r="FT182" s="469">
        <v>0.17028400597907323</v>
      </c>
      <c r="FU182" s="289">
        <f>FT182*$FU$183</f>
        <v>0.43915348910392576</v>
      </c>
    </row>
    <row r="183" spans="2:178">
      <c r="B183" s="776" t="s">
        <v>205</v>
      </c>
      <c r="C183" s="777"/>
      <c r="D183" s="426"/>
      <c r="E183" s="63">
        <v>0.59</v>
      </c>
      <c r="F183" s="63">
        <v>0.79</v>
      </c>
      <c r="G183" s="63">
        <v>1.02</v>
      </c>
      <c r="H183" s="63">
        <v>0.78</v>
      </c>
      <c r="I183" s="63">
        <v>0.86</v>
      </c>
      <c r="J183" s="63">
        <v>0.39999999999999997</v>
      </c>
      <c r="K183" s="63"/>
      <c r="L183" s="63"/>
      <c r="M183" s="63"/>
      <c r="N183" s="63"/>
      <c r="O183" s="63"/>
      <c r="P183" s="63"/>
      <c r="Q183" s="63">
        <f>SUM(Q178:Q182)</f>
        <v>0.82</v>
      </c>
      <c r="R183" s="63">
        <f>SUM(R178:R182)</f>
        <v>0</v>
      </c>
      <c r="S183" s="63">
        <f>SUM(S178:S182)</f>
        <v>0.39999999999999997</v>
      </c>
      <c r="T183" s="63">
        <f t="shared" si="120"/>
        <v>4.4400000000000004</v>
      </c>
      <c r="U183" s="64">
        <f>IFERROR(T183/$T153,0)</f>
        <v>7.3818313445726501E-3</v>
      </c>
      <c r="V183" s="65">
        <f t="shared" si="121"/>
        <v>0.48780487804878048</v>
      </c>
      <c r="X183" s="776" t="s">
        <v>206</v>
      </c>
      <c r="Y183" s="777"/>
      <c r="Z183" s="426"/>
      <c r="AA183" s="63">
        <f>SUM(AA178:AA182)</f>
        <v>2.2999999999999998</v>
      </c>
      <c r="AB183" s="63">
        <f t="shared" si="90"/>
        <v>0</v>
      </c>
      <c r="AC183" s="63">
        <v>2.2999999999999998</v>
      </c>
      <c r="AD183" s="63">
        <v>2.2999999999999998</v>
      </c>
      <c r="AE183" s="63">
        <v>0</v>
      </c>
      <c r="AF183" s="63">
        <v>0</v>
      </c>
      <c r="AG183" s="63">
        <v>0</v>
      </c>
      <c r="AH183" s="63">
        <v>0</v>
      </c>
      <c r="AI183" s="63">
        <v>0</v>
      </c>
      <c r="AJ183" s="63">
        <v>0</v>
      </c>
      <c r="AK183" s="63">
        <f t="shared" si="117"/>
        <v>2.1</v>
      </c>
      <c r="AL183" s="63">
        <f t="shared" si="91"/>
        <v>0</v>
      </c>
      <c r="AM183" s="63">
        <v>2.1</v>
      </c>
      <c r="AN183" s="63">
        <v>2.1</v>
      </c>
      <c r="AO183" s="63">
        <v>0</v>
      </c>
      <c r="AP183" s="63">
        <v>0</v>
      </c>
      <c r="AQ183" s="63">
        <v>0</v>
      </c>
      <c r="AR183" s="63">
        <v>0</v>
      </c>
      <c r="AS183" s="63">
        <v>0</v>
      </c>
      <c r="AT183" s="63">
        <v>0</v>
      </c>
      <c r="AU183" s="63">
        <f t="shared" si="92"/>
        <v>2.085</v>
      </c>
      <c r="AV183" s="63">
        <f t="shared" si="75"/>
        <v>0</v>
      </c>
      <c r="AW183" s="63">
        <v>2.085</v>
      </c>
      <c r="AX183" s="63">
        <v>2.085</v>
      </c>
      <c r="AY183" s="63">
        <v>0</v>
      </c>
      <c r="AZ183" s="63">
        <v>0</v>
      </c>
      <c r="BA183" s="63">
        <v>0</v>
      </c>
      <c r="BB183" s="63">
        <v>0</v>
      </c>
      <c r="BC183" s="63">
        <v>0</v>
      </c>
      <c r="BD183" s="63">
        <v>0</v>
      </c>
      <c r="BE183" s="63">
        <f t="shared" si="93"/>
        <v>2.27</v>
      </c>
      <c r="BF183" s="63">
        <f t="shared" si="76"/>
        <v>0</v>
      </c>
      <c r="BG183" s="63">
        <v>2.27</v>
      </c>
      <c r="BH183" s="63">
        <v>2.27</v>
      </c>
      <c r="BI183" s="63">
        <v>0</v>
      </c>
      <c r="BJ183" s="63">
        <v>0</v>
      </c>
      <c r="BK183" s="63">
        <v>0</v>
      </c>
      <c r="BL183" s="63">
        <v>0</v>
      </c>
      <c r="BM183" s="63">
        <v>0</v>
      </c>
      <c r="BN183" s="63">
        <v>0</v>
      </c>
      <c r="BO183" s="63">
        <f t="shared" si="94"/>
        <v>2.5</v>
      </c>
      <c r="BP183" s="63">
        <f t="shared" si="77"/>
        <v>0</v>
      </c>
      <c r="BQ183" s="63">
        <v>2.5</v>
      </c>
      <c r="BR183" s="63">
        <v>2.5</v>
      </c>
      <c r="BS183" s="63">
        <v>0</v>
      </c>
      <c r="BT183" s="63">
        <v>0</v>
      </c>
      <c r="BU183" s="63">
        <v>0</v>
      </c>
      <c r="BV183" s="63">
        <v>0</v>
      </c>
      <c r="BW183" s="63">
        <v>0</v>
      </c>
      <c r="BX183" s="63">
        <v>0</v>
      </c>
      <c r="BY183" s="63">
        <f t="shared" si="95"/>
        <v>1.115</v>
      </c>
      <c r="BZ183" s="63">
        <f t="shared" si="78"/>
        <v>0</v>
      </c>
      <c r="CA183" s="63">
        <v>1.115</v>
      </c>
      <c r="CB183" s="63">
        <v>1.115</v>
      </c>
      <c r="CC183" s="63">
        <v>0</v>
      </c>
      <c r="CD183" s="63">
        <v>0</v>
      </c>
      <c r="CE183" s="63">
        <v>0</v>
      </c>
      <c r="CF183" s="63">
        <v>0</v>
      </c>
      <c r="CG183" s="63">
        <v>0</v>
      </c>
      <c r="CH183" s="63">
        <v>0</v>
      </c>
      <c r="CI183" s="63">
        <f t="shared" si="104"/>
        <v>0</v>
      </c>
      <c r="CJ183" s="63">
        <f t="shared" si="80"/>
        <v>0</v>
      </c>
      <c r="CK183" s="63"/>
      <c r="CL183" s="63"/>
      <c r="CM183" s="63"/>
      <c r="CN183" s="63"/>
      <c r="CO183" s="63">
        <v>0</v>
      </c>
      <c r="CP183" s="63">
        <v>0</v>
      </c>
      <c r="CQ183" s="63">
        <v>0</v>
      </c>
      <c r="CR183" s="63">
        <v>0</v>
      </c>
      <c r="CS183" s="63">
        <f t="shared" si="96"/>
        <v>0</v>
      </c>
      <c r="CT183" s="63">
        <f t="shared" si="81"/>
        <v>0</v>
      </c>
      <c r="CU183" s="63"/>
      <c r="CV183" s="63"/>
      <c r="CW183" s="63"/>
      <c r="CX183" s="63"/>
      <c r="CY183" s="63">
        <v>0</v>
      </c>
      <c r="CZ183" s="63">
        <v>0</v>
      </c>
      <c r="DA183" s="63">
        <v>0</v>
      </c>
      <c r="DB183" s="63">
        <v>0</v>
      </c>
      <c r="DC183" s="63">
        <f t="shared" si="97"/>
        <v>0</v>
      </c>
      <c r="DD183" s="63">
        <f t="shared" si="82"/>
        <v>0</v>
      </c>
      <c r="DE183" s="63"/>
      <c r="DF183" s="63"/>
      <c r="DG183" s="63"/>
      <c r="DH183" s="63"/>
      <c r="DI183" s="63">
        <v>0</v>
      </c>
      <c r="DJ183" s="63">
        <v>0</v>
      </c>
      <c r="DK183" s="63">
        <v>0</v>
      </c>
      <c r="DL183" s="63">
        <v>0</v>
      </c>
      <c r="DM183" s="63">
        <f t="shared" si="98"/>
        <v>0</v>
      </c>
      <c r="DN183" s="63">
        <f t="shared" si="83"/>
        <v>0</v>
      </c>
      <c r="DO183" s="63"/>
      <c r="DP183" s="63"/>
      <c r="DQ183" s="63"/>
      <c r="DR183" s="63"/>
      <c r="DS183" s="63">
        <v>0</v>
      </c>
      <c r="DT183" s="63">
        <v>0</v>
      </c>
      <c r="DU183" s="63">
        <v>0</v>
      </c>
      <c r="DV183" s="63">
        <v>0</v>
      </c>
      <c r="DW183" s="63">
        <f t="shared" si="99"/>
        <v>0</v>
      </c>
      <c r="DX183" s="63">
        <f t="shared" si="84"/>
        <v>0</v>
      </c>
      <c r="DY183" s="63"/>
      <c r="DZ183" s="63"/>
      <c r="EA183" s="63"/>
      <c r="EB183" s="63"/>
      <c r="EC183" s="63">
        <v>0</v>
      </c>
      <c r="ED183" s="63">
        <v>0</v>
      </c>
      <c r="EE183" s="63">
        <v>0</v>
      </c>
      <c r="EF183" s="63">
        <v>0</v>
      </c>
      <c r="EG183" s="63">
        <f t="shared" si="100"/>
        <v>0</v>
      </c>
      <c r="EH183" s="63">
        <f t="shared" si="85"/>
        <v>0</v>
      </c>
      <c r="EI183" s="63"/>
      <c r="EJ183" s="63"/>
      <c r="EK183" s="63"/>
      <c r="EL183" s="63"/>
      <c r="EM183" s="63">
        <v>0</v>
      </c>
      <c r="EN183" s="63">
        <v>0</v>
      </c>
      <c r="EO183" s="63">
        <v>0</v>
      </c>
      <c r="EP183" s="63">
        <v>0</v>
      </c>
      <c r="EQ183" s="516">
        <f>SUM(EQ178:EQ182)</f>
        <v>2.4800000000000004</v>
      </c>
      <c r="ER183" s="63">
        <f ca="1">SUM(ER178:ER182)</f>
        <v>0</v>
      </c>
      <c r="ES183" s="63">
        <f ca="1">SUM(ES178:ES182)</f>
        <v>0</v>
      </c>
      <c r="ET183" s="63">
        <f ca="1">SUM(ET178:ET182)</f>
        <v>0</v>
      </c>
      <c r="EU183" s="63">
        <f ca="1">SUM(EU178:EU182)</f>
        <v>0</v>
      </c>
      <c r="EV183" s="63">
        <f ca="1">SUM(EV178:EV181)</f>
        <v>0</v>
      </c>
      <c r="EW183" s="63">
        <f t="shared" ref="EW183:FC183" ca="1" si="127">SUM(EW178:EW182)</f>
        <v>0</v>
      </c>
      <c r="EX183" s="63">
        <f t="shared" ca="1" si="127"/>
        <v>0</v>
      </c>
      <c r="EY183" s="63">
        <f t="shared" ca="1" si="127"/>
        <v>0</v>
      </c>
      <c r="EZ183" s="63">
        <f t="shared" ca="1" si="127"/>
        <v>1.115</v>
      </c>
      <c r="FA183" s="63">
        <f t="shared" ca="1" si="127"/>
        <v>1.115</v>
      </c>
      <c r="FB183" s="63">
        <f t="shared" ca="1" si="127"/>
        <v>0</v>
      </c>
      <c r="FC183" s="63">
        <f t="shared" ca="1" si="127"/>
        <v>0</v>
      </c>
      <c r="FD183" s="63">
        <f ca="1">SUM(FD178:FD181)</f>
        <v>0</v>
      </c>
      <c r="FE183" s="63">
        <f t="shared" ref="FE183:FK183" ca="1" si="128">SUM(FE178:FE182)</f>
        <v>0</v>
      </c>
      <c r="FF183" s="63">
        <f t="shared" ca="1" si="128"/>
        <v>0</v>
      </c>
      <c r="FG183" s="63">
        <f t="shared" ca="1" si="128"/>
        <v>0</v>
      </c>
      <c r="FH183" s="63">
        <f ca="1">SUM(FH178:FH182)</f>
        <v>12.370000000000001</v>
      </c>
      <c r="FI183" s="63">
        <f t="shared" ca="1" si="128"/>
        <v>12.370000000000001</v>
      </c>
      <c r="FJ183" s="63">
        <f t="shared" ca="1" si="128"/>
        <v>0</v>
      </c>
      <c r="FK183" s="63">
        <f t="shared" ca="1" si="128"/>
        <v>0</v>
      </c>
      <c r="FL183" s="63">
        <f ca="1">SUM(FL178:FL181)</f>
        <v>0</v>
      </c>
      <c r="FM183" s="25">
        <f ca="1">SUM(FM178:FM182)</f>
        <v>0</v>
      </c>
      <c r="FN183" s="25">
        <f ca="1">SUM(FN178:FN182)</f>
        <v>0</v>
      </c>
      <c r="FO183" s="25">
        <f ca="1">SUM(FO178:FO182)</f>
        <v>0</v>
      </c>
      <c r="FP183" s="64">
        <f ca="1">IFERROR(FH183/$FH$153,0)</f>
        <v>8.382848840361283E-2</v>
      </c>
      <c r="FQ183" s="66">
        <f ca="1">IFERROR(EZ183/EQ183,0)</f>
        <v>0.44959677419354832</v>
      </c>
      <c r="FR183" s="63">
        <f>SUM(FR178:FR182)</f>
        <v>0</v>
      </c>
      <c r="FS183" s="66">
        <f t="shared" si="33"/>
        <v>0</v>
      </c>
      <c r="FT183" s="471">
        <v>1.2019120210461441E-2</v>
      </c>
      <c r="FU183" s="472">
        <v>2.5789473684210531</v>
      </c>
    </row>
    <row r="184" spans="2:178" outlineLevel="1">
      <c r="B184" s="20" t="s">
        <v>135</v>
      </c>
      <c r="C184" s="74" t="s">
        <v>44</v>
      </c>
      <c r="D184" s="74"/>
      <c r="E184" s="21">
        <v>0.18740000000000001</v>
      </c>
      <c r="F184" s="21">
        <v>0.1966</v>
      </c>
      <c r="G184" s="21">
        <v>0.309</v>
      </c>
      <c r="H184" s="21">
        <v>0.1986</v>
      </c>
      <c r="I184" s="21">
        <v>0.22520000000000001</v>
      </c>
      <c r="J184" s="21">
        <v>0.1042</v>
      </c>
      <c r="K184" s="21"/>
      <c r="L184" s="21"/>
      <c r="M184" s="21"/>
      <c r="N184" s="21"/>
      <c r="O184" s="21"/>
      <c r="P184" s="21"/>
      <c r="Q184" s="422">
        <v>0.22133662048775016</v>
      </c>
      <c r="R184" s="72">
        <f>IFERROR(SUMIFS(Daily_Vol_yesterday[Order Quantity],Daily_Vol_yesterday[Cust_Cat.cust_channel],master_Daily!B184,Daily_Vol_yesterday[Map_Product.TME_Brand],master_Daily!C184)/50000,0)</f>
        <v>1.1599999999999999E-2</v>
      </c>
      <c r="S184" s="60">
        <f>IFERROR(SUM(SUMIFS(Weekly_Vol[Quantity],Weekly_Vol[Cust_Cat.cust_channel],master_Daily!B184,Weekly_Vol[Map_Product.TME_Brand],master_Daily!C184),SUMIFS(Daily_Vol[Order Quantity],Daily_Vol[Cust_Cat.cust_channel],master_Daily!B184,Daily_Vol[Map_Product.TME_Brand],master_Daily!C184))/50000,0)</f>
        <v>0.1042</v>
      </c>
      <c r="T184" s="57">
        <f t="shared" si="120"/>
        <v>1.2210000000000001</v>
      </c>
      <c r="U184" s="22">
        <f>IFERROR(T184/$T$177,0)</f>
        <v>4.6390577507598792E-2</v>
      </c>
      <c r="V184" s="23">
        <f t="shared" si="121"/>
        <v>0.47077614075058555</v>
      </c>
      <c r="X184" s="15"/>
      <c r="Y184" s="53"/>
      <c r="Z184" s="53"/>
      <c r="AC184" s="67"/>
      <c r="AD184" s="67"/>
      <c r="AE184" s="67"/>
      <c r="AF184" s="67"/>
      <c r="AG184" s="67"/>
      <c r="AH184" s="67"/>
      <c r="AI184" s="67"/>
      <c r="AJ184" s="67"/>
      <c r="AM184" s="67"/>
      <c r="AN184" s="67"/>
      <c r="AO184" s="67"/>
      <c r="AP184" s="67"/>
      <c r="AQ184" s="67"/>
      <c r="AR184" s="67"/>
      <c r="AS184" s="67"/>
      <c r="AT184" s="67"/>
      <c r="AW184" s="67"/>
      <c r="AX184" s="67"/>
      <c r="AY184" s="67"/>
      <c r="AZ184" s="67"/>
      <c r="BA184" s="67"/>
      <c r="BB184" s="67"/>
      <c r="BC184" s="67"/>
      <c r="BD184" s="67"/>
      <c r="BG184" s="67"/>
      <c r="BH184" s="67"/>
      <c r="BI184" s="67"/>
      <c r="BJ184" s="67"/>
      <c r="BK184" s="67"/>
      <c r="BL184" s="67"/>
      <c r="BM184" s="67"/>
      <c r="BN184" s="67"/>
      <c r="BQ184" s="67"/>
      <c r="BR184" s="67"/>
      <c r="BS184" s="67"/>
      <c r="BT184" s="67"/>
      <c r="BU184" s="67"/>
      <c r="BV184" s="67"/>
      <c r="BW184" s="67"/>
      <c r="BX184" s="67"/>
      <c r="CA184" s="67"/>
      <c r="CB184" s="67"/>
      <c r="CC184" s="67"/>
      <c r="CD184" s="67"/>
      <c r="CE184" s="67"/>
      <c r="CF184" s="67"/>
      <c r="CG184" s="67"/>
      <c r="CH184" s="67"/>
      <c r="CK184" s="67"/>
      <c r="CL184" s="67"/>
      <c r="CM184" s="67"/>
      <c r="CN184" s="67"/>
      <c r="CO184" s="67"/>
      <c r="CP184" s="67"/>
      <c r="CQ184" s="67"/>
      <c r="CR184" s="67"/>
      <c r="CU184" s="67"/>
      <c r="CV184" s="67"/>
      <c r="CW184" s="67"/>
      <c r="CX184" s="67"/>
      <c r="CY184" s="67"/>
      <c r="CZ184" s="67"/>
      <c r="DA184" s="67"/>
      <c r="DB184" s="67"/>
      <c r="DE184" s="67"/>
      <c r="DF184" s="67"/>
      <c r="DG184" s="67"/>
      <c r="DH184" s="67"/>
      <c r="DI184" s="67"/>
      <c r="DJ184" s="67"/>
      <c r="DK184" s="67"/>
      <c r="DL184" s="67"/>
      <c r="DO184" s="67"/>
      <c r="DP184" s="67"/>
      <c r="DQ184" s="67"/>
      <c r="DR184" s="67"/>
      <c r="DS184" s="67"/>
      <c r="DT184" s="67"/>
      <c r="DU184" s="67"/>
      <c r="DV184" s="67"/>
      <c r="DY184" s="67"/>
      <c r="DZ184" s="67"/>
      <c r="EA184" s="67"/>
      <c r="EB184" s="67"/>
      <c r="EC184" s="67"/>
      <c r="ED184" s="67"/>
      <c r="EE184" s="67"/>
      <c r="EF184" s="67"/>
      <c r="EI184" s="67"/>
      <c r="EJ184" s="67"/>
      <c r="EK184" s="67"/>
      <c r="EL184" s="67"/>
      <c r="EM184" s="67"/>
      <c r="EN184" s="67"/>
      <c r="EO184" s="67"/>
      <c r="EP184" s="67"/>
      <c r="EQ184" s="67"/>
      <c r="ER184" s="67"/>
      <c r="ES184" s="67"/>
      <c r="ET184" s="67"/>
      <c r="EU184" s="67"/>
      <c r="EV184" s="67"/>
      <c r="EW184" s="67"/>
      <c r="EX184" s="67"/>
      <c r="EY184" s="67"/>
      <c r="EZ184" s="67"/>
      <c r="FA184" s="67"/>
      <c r="FB184" s="67"/>
      <c r="FC184" s="67"/>
      <c r="FD184" s="67"/>
      <c r="FE184" s="67"/>
      <c r="FF184" s="67"/>
      <c r="FG184" s="67"/>
      <c r="FH184" s="67"/>
      <c r="FI184" s="67"/>
      <c r="FJ184" s="67"/>
      <c r="FK184" s="67"/>
      <c r="FL184" s="67"/>
      <c r="FM184" s="67"/>
      <c r="FN184" s="67"/>
      <c r="FO184" s="67"/>
      <c r="FP184" s="67"/>
      <c r="FU184" s="474">
        <f>SUM(FU159,FU165,FU171,FU177,FU183)</f>
        <v>33.369787579229133</v>
      </c>
    </row>
    <row r="185" spans="2:178" ht="15" customHeight="1" outlineLevel="1">
      <c r="B185" s="20" t="s">
        <v>135</v>
      </c>
      <c r="C185" s="74" t="s">
        <v>45</v>
      </c>
      <c r="D185" s="74"/>
      <c r="E185" s="21">
        <v>3.0200000000000001E-2</v>
      </c>
      <c r="F185" s="21">
        <v>5.0599999999999999E-2</v>
      </c>
      <c r="G185" s="21">
        <v>5.5199999999999999E-2</v>
      </c>
      <c r="H185" s="21">
        <v>4.5600000000000002E-2</v>
      </c>
      <c r="I185" s="21">
        <v>3.1640000000000001E-2</v>
      </c>
      <c r="J185" s="21">
        <v>1.2999999999999999E-2</v>
      </c>
      <c r="K185" s="21"/>
      <c r="L185" s="21"/>
      <c r="M185" s="21"/>
      <c r="N185" s="21"/>
      <c r="O185" s="21"/>
      <c r="P185" s="21"/>
      <c r="Q185" s="422">
        <v>4.00024863774531E-2</v>
      </c>
      <c r="R185" s="72">
        <f>IFERROR(SUMIFS(Daily_Vol_yesterday[Order Quantity],Daily_Vol_yesterday[Cust_Cat.cust_channel],master_Daily!B185,Daily_Vol_yesterday[Map_Product.TME_Brand],master_Daily!C185)/50000,0)</f>
        <v>6.1999999999999998E-3</v>
      </c>
      <c r="S185" s="60">
        <f>IFERROR(SUM(SUMIFS(Weekly_Vol[Quantity],Weekly_Vol[Cust_Cat.cust_channel],master_Daily!B185,Weekly_Vol[Map_Product.TME_Brand],master_Daily!C185),SUMIFS(Daily_Vol[Order Quantity],Daily_Vol[Cust_Cat.cust_channel],master_Daily!B185,Daily_Vol[Map_Product.TME_Brand],master_Daily!C185))/50000,0)</f>
        <v>1.2999999999999999E-2</v>
      </c>
      <c r="T185" s="57">
        <f t="shared" si="120"/>
        <v>0.22624000000000002</v>
      </c>
      <c r="U185" s="22">
        <f>IFERROR(T185/$T$177,0)</f>
        <v>8.5957446808510654E-3</v>
      </c>
      <c r="V185" s="23">
        <f t="shared" si="121"/>
        <v>0.32497979943884903</v>
      </c>
      <c r="X185" s="15"/>
      <c r="Y185" s="53"/>
      <c r="Z185" s="53"/>
    </row>
    <row r="186" spans="2:178" s="85" customFormat="1" outlineLevel="1">
      <c r="B186" s="20" t="s">
        <v>135</v>
      </c>
      <c r="C186" s="74" t="s">
        <v>46</v>
      </c>
      <c r="D186" s="74"/>
      <c r="E186" s="21">
        <v>0.82240000000000002</v>
      </c>
      <c r="F186" s="21">
        <v>0.52259999999999995</v>
      </c>
      <c r="G186" s="21">
        <v>0.70599999999999996</v>
      </c>
      <c r="H186" s="21">
        <v>0.8266</v>
      </c>
      <c r="I186" s="21">
        <v>0.77300000000000002</v>
      </c>
      <c r="J186" s="21">
        <v>0.29160000000000003</v>
      </c>
      <c r="K186" s="21"/>
      <c r="L186" s="21"/>
      <c r="M186" s="21"/>
      <c r="N186" s="21"/>
      <c r="O186" s="21"/>
      <c r="P186" s="21"/>
      <c r="Q186" s="422">
        <v>0.69638879939486475</v>
      </c>
      <c r="R186" s="72">
        <f>IFERROR(SUMIFS(Daily_Vol_yesterday[Order Quantity],Daily_Vol_yesterday[Cust_Cat.cust_channel],master_Daily!B186,Daily_Vol_yesterday[Map_Product.TME_Brand],master_Daily!C186)/50000,0)</f>
        <v>8.8200000000000001E-2</v>
      </c>
      <c r="S186" s="60">
        <f>IFERROR(SUM(SUMIFS(Weekly_Vol[Quantity],Weekly_Vol[Cust_Cat.cust_channel],master_Daily!B186,Weekly_Vol[Map_Product.TME_Brand],master_Daily!C186),SUMIFS(Daily_Vol[Order Quantity],Daily_Vol[Cust_Cat.cust_channel],master_Daily!B186,Daily_Vol[Map_Product.TME_Brand],master_Daily!C186))/50000,0)</f>
        <v>0.29160000000000003</v>
      </c>
      <c r="T186" s="57">
        <f t="shared" si="120"/>
        <v>3.9422000000000001</v>
      </c>
      <c r="U186" s="22">
        <f>IFERROR(T186/$T$177,0)</f>
        <v>0.14977963525835869</v>
      </c>
      <c r="V186" s="23">
        <f t="shared" si="121"/>
        <v>0.41873160546721783</v>
      </c>
    </row>
    <row r="187" spans="2:178" s="85" customFormat="1" ht="15" customHeight="1" outlineLevel="1">
      <c r="B187" s="20" t="s">
        <v>135</v>
      </c>
      <c r="C187" s="74" t="s">
        <v>263</v>
      </c>
      <c r="D187" s="74"/>
      <c r="E187" s="21">
        <v>2.3296000000000001</v>
      </c>
      <c r="F187" s="21">
        <v>2.5939999999999999</v>
      </c>
      <c r="G187" s="21">
        <v>2.2315999999999998</v>
      </c>
      <c r="H187" s="21">
        <v>2.8687999999999998</v>
      </c>
      <c r="I187" s="21">
        <v>2.2639999999999998</v>
      </c>
      <c r="J187" s="21">
        <v>0.61939999999999995</v>
      </c>
      <c r="K187" s="21"/>
      <c r="L187" s="21"/>
      <c r="M187" s="21"/>
      <c r="N187" s="21"/>
      <c r="O187" s="21"/>
      <c r="P187" s="21"/>
      <c r="Q187" s="422">
        <v>2.2183605457423408</v>
      </c>
      <c r="R187" s="72">
        <f>IFERROR(SUMIFS(Daily_Vol_yesterday[Order Quantity],Daily_Vol_yesterday[Cust_Cat.cust_channel],master_Daily!B187,Daily_Vol_yesterday[Map_Product.TME_Brand],"CM")/50000,0)</f>
        <v>0.12959999999999999</v>
      </c>
      <c r="S187" s="60">
        <f>IFERROR(SUM(SUMIFS(Weekly_Vol[Quantity],Weekly_Vol[Cust_Cat.cust_channel],master_Daily!B187,Weekly_Vol[Map_Product.TME_Brand],"CM"),SUMIFS(Daily_Vol[Order Quantity],Daily_Vol[Cust_Cat.cust_channel],master_Daily!B187,Daily_Vol[Map_Product.TME_Brand],"CM"))/50000,0)</f>
        <v>0.61939999999999995</v>
      </c>
      <c r="T187" s="57">
        <f t="shared" si="120"/>
        <v>12.907400000000001</v>
      </c>
      <c r="U187" s="22">
        <f>IFERROR(T187/$T$177,0)</f>
        <v>0.49040273556231012</v>
      </c>
      <c r="V187" s="23">
        <f t="shared" si="121"/>
        <v>0.27921520745976264</v>
      </c>
    </row>
    <row r="188" spans="2:178" s="85" customFormat="1" ht="15" customHeight="1" outlineLevel="1">
      <c r="B188" s="20" t="s">
        <v>135</v>
      </c>
      <c r="C188" s="74" t="s">
        <v>264</v>
      </c>
      <c r="D188" s="74"/>
      <c r="E188" s="21">
        <v>0.2452</v>
      </c>
      <c r="F188" s="21">
        <v>0.16</v>
      </c>
      <c r="G188" s="21">
        <v>0.27200000000000002</v>
      </c>
      <c r="H188" s="21">
        <v>0.31859999999999999</v>
      </c>
      <c r="I188" s="21">
        <v>0.2964</v>
      </c>
      <c r="J188" s="21">
        <v>0.11840000000000001</v>
      </c>
      <c r="K188" s="21"/>
      <c r="L188" s="21"/>
      <c r="M188" s="21"/>
      <c r="N188" s="21"/>
      <c r="O188" s="21"/>
      <c r="P188" s="21"/>
      <c r="Q188" s="422">
        <v>0.26791154799759065</v>
      </c>
      <c r="R188" s="72">
        <f>IFERROR(SUMIFS(Daily_Vol_yesterday[Order Quantity],Daily_Vol_yesterday[Cust_Cat.cust_channel],master_Daily!B188,Daily_Vol_yesterday[Map_Product.TME_Brand],"CMHD")/50000,0)</f>
        <v>3.5999999999999999E-3</v>
      </c>
      <c r="S188" s="60">
        <f>IFERROR(SUM(SUMIFS(Weekly_Vol[Quantity],Weekly_Vol[Cust_Cat.cust_channel],master_Daily!B188,Weekly_Vol[Map_Product.TME_Brand],"CMHD"),SUMIFS(Daily_Vol[Order Quantity],Daily_Vol[Cust_Cat.cust_channel],master_Daily!B188,Daily_Vol[Map_Product.TME_Brand],"CMHD"))/50000,0)</f>
        <v>0.11840000000000001</v>
      </c>
      <c r="T188" s="57">
        <f t="shared" si="120"/>
        <v>1.4106000000000001</v>
      </c>
      <c r="U188" s="22">
        <f>IFERROR(T188/$T$177,0)</f>
        <v>5.3594224924012168E-2</v>
      </c>
      <c r="V188" s="23">
        <f t="shared" si="121"/>
        <v>0.44193690374654843</v>
      </c>
    </row>
    <row r="189" spans="2:178" s="85" customFormat="1" ht="15" customHeight="1">
      <c r="B189" s="776" t="s">
        <v>207</v>
      </c>
      <c r="C189" s="777"/>
      <c r="D189" s="426"/>
      <c r="E189" s="63">
        <v>3.6148000000000002</v>
      </c>
      <c r="F189" s="63">
        <v>3.5238</v>
      </c>
      <c r="G189" s="63">
        <v>3.5737999999999994</v>
      </c>
      <c r="H189" s="63">
        <v>4.2581999999999995</v>
      </c>
      <c r="I189" s="63">
        <v>3.5902399999999997</v>
      </c>
      <c r="J189" s="63">
        <v>1.1466000000000001</v>
      </c>
      <c r="K189" s="63"/>
      <c r="L189" s="63"/>
      <c r="M189" s="63"/>
      <c r="N189" s="63"/>
      <c r="O189" s="63"/>
      <c r="P189" s="63"/>
      <c r="Q189" s="63">
        <f>SUM(Q184:Q188)</f>
        <v>3.4439999999999995</v>
      </c>
      <c r="R189" s="63">
        <f>SUM(R184:R188)</f>
        <v>0.23919999999999997</v>
      </c>
      <c r="S189" s="63">
        <f>SUM(S184:S188)</f>
        <v>1.1466000000000001</v>
      </c>
      <c r="T189" s="63">
        <f t="shared" si="120"/>
        <v>19.707439999999998</v>
      </c>
      <c r="U189" s="64">
        <f>IFERROR(T189/$T153,0)</f>
        <v>3.2765089710199279E-2</v>
      </c>
      <c r="V189" s="65">
        <f t="shared" si="121"/>
        <v>0.33292682926829276</v>
      </c>
    </row>
    <row r="190" spans="2:178" s="85" customFormat="1" ht="15" customHeight="1">
      <c r="V190" s="86"/>
    </row>
    <row r="191" spans="2:178" s="85" customFormat="1"/>
    <row r="192" spans="2:178" s="85" customFormat="1" hidden="1" outlineLevel="1">
      <c r="R192" s="87"/>
      <c r="S192" s="87"/>
      <c r="T192" s="88"/>
      <c r="U192" s="86"/>
      <c r="X192" s="107" t="s">
        <v>294</v>
      </c>
      <c r="Y192" s="107" t="s">
        <v>44</v>
      </c>
      <c r="Z192" s="107"/>
      <c r="AA192" s="108">
        <f t="shared" ref="AA192:AA221" si="129">SUM(AD192:AF192)</f>
        <v>0</v>
      </c>
      <c r="AB192" s="109">
        <f t="shared" ref="AB192:AB221" si="130">SUM(AH192:AJ192)</f>
        <v>0</v>
      </c>
      <c r="AC192" s="108">
        <v>0</v>
      </c>
      <c r="AD192" s="110"/>
      <c r="AE192" s="110">
        <v>0</v>
      </c>
      <c r="AF192" s="110"/>
      <c r="AG192" s="108">
        <v>0</v>
      </c>
      <c r="AH192" s="110"/>
      <c r="AI192" s="110">
        <v>0</v>
      </c>
      <c r="AJ192" s="110"/>
      <c r="AK192" s="108">
        <f t="shared" ref="AK192:AK221" si="131">SUM(AN192:AP192)</f>
        <v>0</v>
      </c>
      <c r="AL192" s="109">
        <f t="shared" ref="AL192:AL221" si="132">SUM(AR192:AT192)</f>
        <v>0</v>
      </c>
      <c r="AM192" s="108">
        <v>0</v>
      </c>
      <c r="AN192" s="110"/>
      <c r="AO192" s="110">
        <v>0</v>
      </c>
      <c r="AP192" s="110"/>
      <c r="AQ192" s="108">
        <v>0</v>
      </c>
      <c r="AR192" s="110"/>
      <c r="AS192" s="110">
        <v>0</v>
      </c>
      <c r="AT192" s="110"/>
      <c r="AU192" s="108">
        <f t="shared" ref="AU192:AU221" si="133">SUM(AX192:AZ192)</f>
        <v>0</v>
      </c>
      <c r="AV192" s="109">
        <f t="shared" ref="AV192:AV221" si="134">SUM(BB192:BD192)</f>
        <v>0</v>
      </c>
      <c r="AW192" s="108">
        <v>0</v>
      </c>
      <c r="AX192" s="110"/>
      <c r="AY192" s="110">
        <v>0</v>
      </c>
      <c r="AZ192" s="110"/>
      <c r="BA192" s="108">
        <v>0</v>
      </c>
      <c r="BB192" s="110"/>
      <c r="BC192" s="110">
        <v>0</v>
      </c>
      <c r="BD192" s="110"/>
      <c r="BE192" s="108">
        <f t="shared" ref="BE192:BE221" si="135">SUM(BH192:BJ192)</f>
        <v>0</v>
      </c>
      <c r="BF192" s="109">
        <f t="shared" ref="BF192:BF221" si="136">SUM(BL192:BN192)</f>
        <v>0</v>
      </c>
      <c r="BG192" s="108">
        <v>0</v>
      </c>
      <c r="BH192" s="110"/>
      <c r="BI192" s="110">
        <v>0</v>
      </c>
      <c r="BJ192" s="110"/>
      <c r="BK192" s="108">
        <v>0</v>
      </c>
      <c r="BL192" s="110"/>
      <c r="BM192" s="110">
        <v>0</v>
      </c>
      <c r="BN192" s="110"/>
      <c r="BO192" s="108">
        <f t="shared" ref="BO192:BO221" si="137">SUM(BR192:BT192)</f>
        <v>0</v>
      </c>
      <c r="BP192" s="109">
        <f t="shared" ref="BP192:BP221" si="138">SUM(BV192:BX192)</f>
        <v>0</v>
      </c>
      <c r="BQ192" s="108">
        <v>0</v>
      </c>
      <c r="BR192" s="110"/>
      <c r="BS192" s="110">
        <v>0</v>
      </c>
      <c r="BT192" s="110"/>
      <c r="BU192" s="108">
        <v>0</v>
      </c>
      <c r="BV192" s="110"/>
      <c r="BW192" s="110">
        <v>0</v>
      </c>
      <c r="BX192" s="110"/>
      <c r="BY192" s="108">
        <f t="shared" ref="BY192:BY221" si="139">SUM(CB192:CD192)</f>
        <v>0</v>
      </c>
      <c r="BZ192" s="109">
        <f t="shared" ref="BZ192:BZ221" si="140">SUM(CF192:CH192)</f>
        <v>0</v>
      </c>
      <c r="CA192" s="108">
        <v>0</v>
      </c>
      <c r="CB192" s="110"/>
      <c r="CC192" s="110">
        <v>0</v>
      </c>
      <c r="CD192" s="110"/>
      <c r="CE192" s="108">
        <v>0</v>
      </c>
      <c r="CF192" s="110"/>
      <c r="CG192" s="110">
        <v>0</v>
      </c>
      <c r="CH192" s="110"/>
      <c r="CI192" s="108">
        <f t="shared" ref="CI192:CI221" si="141">SUM(CL192:CN192)</f>
        <v>0</v>
      </c>
      <c r="CJ192" s="109">
        <f t="shared" ref="CJ192:CJ221" si="142">SUM(CP192:CR192)</f>
        <v>0</v>
      </c>
      <c r="CK192" s="108">
        <v>0</v>
      </c>
      <c r="CL192" s="110"/>
      <c r="CM192" s="110">
        <v>0</v>
      </c>
      <c r="CN192" s="110"/>
      <c r="CO192" s="108">
        <v>0</v>
      </c>
      <c r="CP192" s="110"/>
      <c r="CQ192" s="110">
        <v>0</v>
      </c>
      <c r="CR192" s="110"/>
      <c r="CS192" s="108">
        <f t="shared" ref="CS192:CS221" si="143">SUM(CV192:CX192)</f>
        <v>0</v>
      </c>
      <c r="CT192" s="109">
        <f t="shared" ref="CT192:CT221" si="144">SUM(CZ192:DB192)</f>
        <v>0</v>
      </c>
      <c r="CU192" s="108">
        <v>0</v>
      </c>
      <c r="CV192" s="110"/>
      <c r="CW192" s="110">
        <v>0</v>
      </c>
      <c r="CX192" s="110"/>
      <c r="CY192" s="108">
        <v>0</v>
      </c>
      <c r="CZ192" s="110"/>
      <c r="DA192" s="110">
        <v>0</v>
      </c>
      <c r="DB192" s="110"/>
      <c r="DC192" s="108">
        <f t="shared" ref="DC192:DC221" si="145">SUM(DF192:DH192)</f>
        <v>0</v>
      </c>
      <c r="DD192" s="109">
        <f t="shared" ref="DD192:DD221" si="146">SUM(DJ192:DL192)</f>
        <v>0</v>
      </c>
      <c r="DE192" s="108">
        <v>0</v>
      </c>
      <c r="DF192" s="110"/>
      <c r="DG192" s="110">
        <v>0</v>
      </c>
      <c r="DH192" s="110"/>
      <c r="DI192" s="108">
        <v>0</v>
      </c>
      <c r="DJ192" s="110"/>
      <c r="DK192" s="110">
        <v>0</v>
      </c>
      <c r="DL192" s="110"/>
      <c r="DM192" s="108">
        <f t="shared" ref="DM192:DM221" si="147">SUM(DP192:DR192)</f>
        <v>0</v>
      </c>
      <c r="DN192" s="109">
        <f t="shared" ref="DN192:DN221" si="148">SUM(DT192:DV192)</f>
        <v>0</v>
      </c>
      <c r="DO192" s="108">
        <v>0</v>
      </c>
      <c r="DP192" s="110"/>
      <c r="DQ192" s="110">
        <v>0</v>
      </c>
      <c r="DR192" s="110"/>
      <c r="DS192" s="108">
        <v>0</v>
      </c>
      <c r="DT192" s="110"/>
      <c r="DU192" s="110">
        <v>0</v>
      </c>
      <c r="DV192" s="110"/>
      <c r="DW192" s="108">
        <f t="shared" ref="DW192:DW221" si="149">SUM(DZ192:EB192)</f>
        <v>0</v>
      </c>
      <c r="DX192" s="109">
        <f t="shared" ref="DX192:DX221" si="150">SUM(ED192:EF192)</f>
        <v>0</v>
      </c>
      <c r="DY192" s="108">
        <v>0</v>
      </c>
      <c r="DZ192" s="110"/>
      <c r="EA192" s="110">
        <v>0</v>
      </c>
      <c r="EB192" s="110"/>
      <c r="EC192" s="108">
        <v>0</v>
      </c>
      <c r="ED192" s="110"/>
      <c r="EE192" s="110">
        <v>0</v>
      </c>
      <c r="EF192" s="110"/>
      <c r="EG192" s="108">
        <f t="shared" ref="EG192:EG221" si="151">SUM(EJ192:EL192)</f>
        <v>0</v>
      </c>
      <c r="EH192" s="109">
        <f t="shared" ref="EH192:EH221" si="152">SUM(EN192:EP192)</f>
        <v>0</v>
      </c>
      <c r="EI192" s="108">
        <v>0</v>
      </c>
      <c r="EJ192" s="110"/>
      <c r="EK192" s="110">
        <v>0</v>
      </c>
      <c r="EL192" s="110"/>
      <c r="EM192" s="108">
        <v>0</v>
      </c>
      <c r="EN192" s="110"/>
      <c r="EO192" s="110">
        <v>0</v>
      </c>
      <c r="EP192" s="110"/>
      <c r="EQ192" s="181"/>
      <c r="ER192" s="110">
        <f ca="1">SUM(ET192:EX192)</f>
        <v>0</v>
      </c>
      <c r="ES192" s="110"/>
      <c r="ET192" s="110">
        <f ca="1">SUMIFS(TME_Yesterday[Sell_RTL_QTY],TME_Yesterday[Region],master_Daily!$X192,TME_Yesterday[Brand],master_Daily!$Y192)/50000</f>
        <v>0</v>
      </c>
      <c r="EU192" s="110"/>
      <c r="EV192" s="109">
        <f ca="1">SUM(EW192:EY192)</f>
        <v>0</v>
      </c>
      <c r="EW192" s="110"/>
      <c r="EX192" s="110">
        <f ca="1">SUMIFS(TME_Yesterday[FOC_RTL_QTY],TME_Yesterday[Region],master_Daily!$X192,TME_Yesterday[Brand],master_Daily!$Y192)/50000</f>
        <v>0</v>
      </c>
      <c r="EY192" s="110"/>
      <c r="EZ192" s="110">
        <f ca="1">SUM(FA192:FC192)</f>
        <v>0</v>
      </c>
      <c r="FA192" s="110"/>
      <c r="FB192" s="110">
        <f ca="1">SUMIFS(TME_MTD[Sell_RTL_QTY],TME_MTD[Region],master_Daily!$X192,TME_MTD[Brand],master_Daily!$Y192)/50000</f>
        <v>0</v>
      </c>
      <c r="FC192" s="110"/>
      <c r="FD192" s="110">
        <f ca="1">SUM(FE192:FG192)</f>
        <v>0</v>
      </c>
      <c r="FE192" s="110"/>
      <c r="FF192" s="110">
        <f ca="1">SUMIFS(TME_MTD[FOC_RTL_QTY],TME_MTD[Region],master_Daily!$X192,TME_MTD[Brand],master_Daily!$Y192)/50000</f>
        <v>0</v>
      </c>
      <c r="FG192" s="110"/>
      <c r="FH192" s="109">
        <f t="shared" ref="FH192:FO194" ca="1" si="153">SUMIFS($AA192:$EP192,$AA$129:$EP$129,INDIRECT(ADDRESS(129,COLUMN())))</f>
        <v>0</v>
      </c>
      <c r="FI192" s="109">
        <f t="shared" ca="1" si="153"/>
        <v>0</v>
      </c>
      <c r="FJ192" s="109">
        <f t="shared" ca="1" si="153"/>
        <v>0</v>
      </c>
      <c r="FK192" s="109">
        <f t="shared" ca="1" si="153"/>
        <v>0</v>
      </c>
      <c r="FL192" s="109">
        <f t="shared" ca="1" si="153"/>
        <v>0</v>
      </c>
      <c r="FM192" s="109">
        <f t="shared" ca="1" si="153"/>
        <v>0</v>
      </c>
      <c r="FN192" s="109">
        <f t="shared" ca="1" si="153"/>
        <v>0</v>
      </c>
      <c r="FO192" s="109">
        <f t="shared" ca="1" si="153"/>
        <v>0</v>
      </c>
      <c r="FP192" s="111">
        <f ca="1">IFERROR(FH192/$FH$171,0)</f>
        <v>0</v>
      </c>
      <c r="FQ192" s="112">
        <f t="shared" ref="FQ192:FQ197" ca="1" si="154">IFERROR(EZ192/EQ192,0)</f>
        <v>0</v>
      </c>
      <c r="FR192" s="310"/>
      <c r="FS192" s="112">
        <f t="shared" ref="FS192:FS221" si="155">IFERROR(FR192/EQ192,0)</f>
        <v>0</v>
      </c>
    </row>
    <row r="193" spans="20:175" s="85" customFormat="1" hidden="1" outlineLevel="1">
      <c r="T193" s="88"/>
      <c r="U193" s="86"/>
      <c r="X193" s="107" t="s">
        <v>294</v>
      </c>
      <c r="Y193" s="107" t="s">
        <v>45</v>
      </c>
      <c r="Z193" s="107"/>
      <c r="AA193" s="108">
        <f t="shared" si="129"/>
        <v>0</v>
      </c>
      <c r="AB193" s="109">
        <f t="shared" si="130"/>
        <v>0</v>
      </c>
      <c r="AC193" s="108">
        <v>0</v>
      </c>
      <c r="AD193" s="110"/>
      <c r="AE193" s="110">
        <v>0</v>
      </c>
      <c r="AF193" s="110"/>
      <c r="AG193" s="108">
        <v>0</v>
      </c>
      <c r="AH193" s="110"/>
      <c r="AI193" s="110">
        <v>0</v>
      </c>
      <c r="AJ193" s="110"/>
      <c r="AK193" s="108">
        <f t="shared" si="131"/>
        <v>0</v>
      </c>
      <c r="AL193" s="109">
        <f t="shared" si="132"/>
        <v>0</v>
      </c>
      <c r="AM193" s="108">
        <v>0</v>
      </c>
      <c r="AN193" s="110"/>
      <c r="AO193" s="110">
        <v>0</v>
      </c>
      <c r="AP193" s="110"/>
      <c r="AQ193" s="108">
        <v>0</v>
      </c>
      <c r="AR193" s="110"/>
      <c r="AS193" s="110">
        <v>0</v>
      </c>
      <c r="AT193" s="110"/>
      <c r="AU193" s="108">
        <f t="shared" si="133"/>
        <v>0</v>
      </c>
      <c r="AV193" s="109">
        <f t="shared" si="134"/>
        <v>0</v>
      </c>
      <c r="AW193" s="108">
        <v>0</v>
      </c>
      <c r="AX193" s="110"/>
      <c r="AY193" s="110">
        <v>0</v>
      </c>
      <c r="AZ193" s="110"/>
      <c r="BA193" s="108">
        <v>0</v>
      </c>
      <c r="BB193" s="110"/>
      <c r="BC193" s="110">
        <v>0</v>
      </c>
      <c r="BD193" s="110"/>
      <c r="BE193" s="108">
        <f t="shared" si="135"/>
        <v>0</v>
      </c>
      <c r="BF193" s="109">
        <f t="shared" si="136"/>
        <v>0</v>
      </c>
      <c r="BG193" s="108">
        <v>0</v>
      </c>
      <c r="BH193" s="110"/>
      <c r="BI193" s="110">
        <v>0</v>
      </c>
      <c r="BJ193" s="110"/>
      <c r="BK193" s="108">
        <v>0</v>
      </c>
      <c r="BL193" s="110"/>
      <c r="BM193" s="110">
        <v>0</v>
      </c>
      <c r="BN193" s="110"/>
      <c r="BO193" s="108">
        <f t="shared" si="137"/>
        <v>0</v>
      </c>
      <c r="BP193" s="109">
        <f t="shared" si="138"/>
        <v>0</v>
      </c>
      <c r="BQ193" s="108">
        <v>0</v>
      </c>
      <c r="BR193" s="110"/>
      <c r="BS193" s="110">
        <v>0</v>
      </c>
      <c r="BT193" s="110"/>
      <c r="BU193" s="108">
        <v>0</v>
      </c>
      <c r="BV193" s="110"/>
      <c r="BW193" s="110">
        <v>0</v>
      </c>
      <c r="BX193" s="110"/>
      <c r="BY193" s="108">
        <f t="shared" si="139"/>
        <v>0</v>
      </c>
      <c r="BZ193" s="109">
        <f t="shared" si="140"/>
        <v>0</v>
      </c>
      <c r="CA193" s="108">
        <v>0</v>
      </c>
      <c r="CB193" s="110"/>
      <c r="CC193" s="110">
        <v>0</v>
      </c>
      <c r="CD193" s="110"/>
      <c r="CE193" s="108">
        <v>0</v>
      </c>
      <c r="CF193" s="110"/>
      <c r="CG193" s="110">
        <v>0</v>
      </c>
      <c r="CH193" s="110"/>
      <c r="CI193" s="108">
        <f t="shared" si="141"/>
        <v>0</v>
      </c>
      <c r="CJ193" s="109">
        <f t="shared" si="142"/>
        <v>0</v>
      </c>
      <c r="CK193" s="108">
        <v>0</v>
      </c>
      <c r="CL193" s="110"/>
      <c r="CM193" s="110">
        <v>0</v>
      </c>
      <c r="CN193" s="110"/>
      <c r="CO193" s="108">
        <v>0</v>
      </c>
      <c r="CP193" s="110"/>
      <c r="CQ193" s="110">
        <v>0</v>
      </c>
      <c r="CR193" s="110"/>
      <c r="CS193" s="108">
        <f t="shared" si="143"/>
        <v>0</v>
      </c>
      <c r="CT193" s="109">
        <f t="shared" si="144"/>
        <v>0</v>
      </c>
      <c r="CU193" s="108">
        <v>0</v>
      </c>
      <c r="CV193" s="110"/>
      <c r="CW193" s="110">
        <v>0</v>
      </c>
      <c r="CX193" s="110"/>
      <c r="CY193" s="108">
        <v>0</v>
      </c>
      <c r="CZ193" s="110"/>
      <c r="DA193" s="110">
        <v>0</v>
      </c>
      <c r="DB193" s="110"/>
      <c r="DC193" s="108">
        <f t="shared" si="145"/>
        <v>0</v>
      </c>
      <c r="DD193" s="109">
        <f t="shared" si="146"/>
        <v>0</v>
      </c>
      <c r="DE193" s="108">
        <v>0</v>
      </c>
      <c r="DF193" s="110"/>
      <c r="DG193" s="110">
        <v>0</v>
      </c>
      <c r="DH193" s="110"/>
      <c r="DI193" s="108">
        <v>0</v>
      </c>
      <c r="DJ193" s="110"/>
      <c r="DK193" s="110">
        <v>0</v>
      </c>
      <c r="DL193" s="110"/>
      <c r="DM193" s="108">
        <f t="shared" si="147"/>
        <v>0</v>
      </c>
      <c r="DN193" s="109">
        <f t="shared" si="148"/>
        <v>0</v>
      </c>
      <c r="DO193" s="108">
        <v>0</v>
      </c>
      <c r="DP193" s="110"/>
      <c r="DQ193" s="110">
        <v>0</v>
      </c>
      <c r="DR193" s="110"/>
      <c r="DS193" s="108">
        <v>0</v>
      </c>
      <c r="DT193" s="110"/>
      <c r="DU193" s="110">
        <v>0</v>
      </c>
      <c r="DV193" s="110"/>
      <c r="DW193" s="108">
        <f t="shared" si="149"/>
        <v>0</v>
      </c>
      <c r="DX193" s="109">
        <f t="shared" si="150"/>
        <v>0</v>
      </c>
      <c r="DY193" s="108">
        <v>0</v>
      </c>
      <c r="DZ193" s="110"/>
      <c r="EA193" s="110">
        <v>0</v>
      </c>
      <c r="EB193" s="110"/>
      <c r="EC193" s="108">
        <v>0</v>
      </c>
      <c r="ED193" s="110"/>
      <c r="EE193" s="110">
        <v>0</v>
      </c>
      <c r="EF193" s="110"/>
      <c r="EG193" s="108">
        <f t="shared" si="151"/>
        <v>0</v>
      </c>
      <c r="EH193" s="109">
        <f t="shared" si="152"/>
        <v>0</v>
      </c>
      <c r="EI193" s="108">
        <v>0</v>
      </c>
      <c r="EJ193" s="110"/>
      <c r="EK193" s="110">
        <v>0</v>
      </c>
      <c r="EL193" s="110"/>
      <c r="EM193" s="108">
        <v>0</v>
      </c>
      <c r="EN193" s="110"/>
      <c r="EO193" s="110">
        <v>0</v>
      </c>
      <c r="EP193" s="110"/>
      <c r="EQ193" s="181"/>
      <c r="ER193" s="110">
        <f ca="1">SUM(ET193:EX193)</f>
        <v>0</v>
      </c>
      <c r="ES193" s="110"/>
      <c r="ET193" s="110">
        <f ca="1">SUMIFS(TME_Yesterday[Sell_RTL_QTY],TME_Yesterday[Region],master_Daily!$X193,TME_Yesterday[Brand],master_Daily!$Y193)/50000</f>
        <v>0</v>
      </c>
      <c r="EU193" s="110"/>
      <c r="EV193" s="109">
        <f ca="1">SUM(EW193:EY193)</f>
        <v>0</v>
      </c>
      <c r="EW193" s="110"/>
      <c r="EX193" s="110">
        <f ca="1">SUMIFS(TME_Yesterday[FOC_RTL_QTY],TME_Yesterday[Region],master_Daily!$X193,TME_Yesterday[Brand],master_Daily!$Y193)/50000</f>
        <v>0</v>
      </c>
      <c r="EY193" s="110"/>
      <c r="EZ193" s="110">
        <f ca="1">SUM(FA193:FC193)</f>
        <v>0</v>
      </c>
      <c r="FA193" s="110"/>
      <c r="FB193" s="110">
        <f ca="1">SUMIFS(TME_MTD[Sell_RTL_QTY],TME_MTD[Region],master_Daily!$X193,TME_MTD[Brand],master_Daily!$Y193)/50000</f>
        <v>0</v>
      </c>
      <c r="FC193" s="110"/>
      <c r="FD193" s="110">
        <f ca="1">SUM(FE193:FG193)</f>
        <v>0</v>
      </c>
      <c r="FE193" s="110"/>
      <c r="FF193" s="110">
        <f ca="1">SUMIFS(TME_MTD[FOC_RTL_QTY],TME_MTD[Region],master_Daily!$X193,TME_MTD[Brand],master_Daily!$Y193)/50000</f>
        <v>0</v>
      </c>
      <c r="FG193" s="110"/>
      <c r="FH193" s="109">
        <f t="shared" ca="1" si="153"/>
        <v>0</v>
      </c>
      <c r="FI193" s="109">
        <f t="shared" ca="1" si="153"/>
        <v>0</v>
      </c>
      <c r="FJ193" s="109">
        <f t="shared" ca="1" si="153"/>
        <v>0</v>
      </c>
      <c r="FK193" s="109">
        <f t="shared" ca="1" si="153"/>
        <v>0</v>
      </c>
      <c r="FL193" s="109">
        <f t="shared" ca="1" si="153"/>
        <v>0</v>
      </c>
      <c r="FM193" s="109">
        <f t="shared" ca="1" si="153"/>
        <v>0</v>
      </c>
      <c r="FN193" s="109">
        <f t="shared" ca="1" si="153"/>
        <v>0</v>
      </c>
      <c r="FO193" s="109">
        <f t="shared" ca="1" si="153"/>
        <v>0</v>
      </c>
      <c r="FP193" s="111">
        <f ca="1">IFERROR(FH193/$FH$171,0)</f>
        <v>0</v>
      </c>
      <c r="FQ193" s="112">
        <f t="shared" ca="1" si="154"/>
        <v>0</v>
      </c>
      <c r="FR193" s="310"/>
      <c r="FS193" s="112">
        <f t="shared" si="155"/>
        <v>0</v>
      </c>
    </row>
    <row r="194" spans="20:175" s="85" customFormat="1" hidden="1" outlineLevel="1">
      <c r="T194" s="88"/>
      <c r="U194" s="86"/>
      <c r="X194" s="107" t="s">
        <v>294</v>
      </c>
      <c r="Y194" s="107" t="s">
        <v>46</v>
      </c>
      <c r="Z194" s="107"/>
      <c r="AA194" s="108">
        <f t="shared" si="129"/>
        <v>0</v>
      </c>
      <c r="AB194" s="109">
        <f t="shared" si="130"/>
        <v>0</v>
      </c>
      <c r="AC194" s="108">
        <v>0</v>
      </c>
      <c r="AD194" s="110"/>
      <c r="AE194" s="110">
        <v>0</v>
      </c>
      <c r="AF194" s="110"/>
      <c r="AG194" s="108">
        <v>0</v>
      </c>
      <c r="AH194" s="110"/>
      <c r="AI194" s="110">
        <v>0</v>
      </c>
      <c r="AJ194" s="110"/>
      <c r="AK194" s="108">
        <f t="shared" si="131"/>
        <v>0</v>
      </c>
      <c r="AL194" s="109">
        <f t="shared" si="132"/>
        <v>0</v>
      </c>
      <c r="AM194" s="108">
        <v>0</v>
      </c>
      <c r="AN194" s="110"/>
      <c r="AO194" s="110">
        <v>0</v>
      </c>
      <c r="AP194" s="110"/>
      <c r="AQ194" s="108">
        <v>0</v>
      </c>
      <c r="AR194" s="110"/>
      <c r="AS194" s="110">
        <v>0</v>
      </c>
      <c r="AT194" s="110"/>
      <c r="AU194" s="108">
        <f t="shared" si="133"/>
        <v>0</v>
      </c>
      <c r="AV194" s="109">
        <f t="shared" si="134"/>
        <v>0</v>
      </c>
      <c r="AW194" s="108">
        <v>0</v>
      </c>
      <c r="AX194" s="110"/>
      <c r="AY194" s="110">
        <v>0</v>
      </c>
      <c r="AZ194" s="110"/>
      <c r="BA194" s="108">
        <v>0</v>
      </c>
      <c r="BB194" s="110"/>
      <c r="BC194" s="110">
        <v>0</v>
      </c>
      <c r="BD194" s="110"/>
      <c r="BE194" s="108">
        <f t="shared" si="135"/>
        <v>0</v>
      </c>
      <c r="BF194" s="109">
        <f t="shared" si="136"/>
        <v>0</v>
      </c>
      <c r="BG194" s="108">
        <v>0</v>
      </c>
      <c r="BH194" s="110"/>
      <c r="BI194" s="110">
        <v>0</v>
      </c>
      <c r="BJ194" s="110"/>
      <c r="BK194" s="108">
        <v>0</v>
      </c>
      <c r="BL194" s="110"/>
      <c r="BM194" s="110">
        <v>0</v>
      </c>
      <c r="BN194" s="110"/>
      <c r="BO194" s="108">
        <f t="shared" si="137"/>
        <v>0</v>
      </c>
      <c r="BP194" s="109">
        <f t="shared" si="138"/>
        <v>0</v>
      </c>
      <c r="BQ194" s="108">
        <v>0</v>
      </c>
      <c r="BR194" s="110"/>
      <c r="BS194" s="110">
        <v>0</v>
      </c>
      <c r="BT194" s="110"/>
      <c r="BU194" s="108">
        <v>0</v>
      </c>
      <c r="BV194" s="110"/>
      <c r="BW194" s="110">
        <v>0</v>
      </c>
      <c r="BX194" s="110"/>
      <c r="BY194" s="108">
        <f t="shared" si="139"/>
        <v>0</v>
      </c>
      <c r="BZ194" s="109">
        <f t="shared" si="140"/>
        <v>0</v>
      </c>
      <c r="CA194" s="108">
        <v>0</v>
      </c>
      <c r="CB194" s="110"/>
      <c r="CC194" s="110">
        <v>0</v>
      </c>
      <c r="CD194" s="110"/>
      <c r="CE194" s="108">
        <v>0</v>
      </c>
      <c r="CF194" s="110"/>
      <c r="CG194" s="110">
        <v>0</v>
      </c>
      <c r="CH194" s="110"/>
      <c r="CI194" s="108">
        <f t="shared" si="141"/>
        <v>0</v>
      </c>
      <c r="CJ194" s="109">
        <f t="shared" si="142"/>
        <v>0</v>
      </c>
      <c r="CK194" s="108">
        <v>0</v>
      </c>
      <c r="CL194" s="110"/>
      <c r="CM194" s="110">
        <v>0</v>
      </c>
      <c r="CN194" s="110"/>
      <c r="CO194" s="108">
        <v>0</v>
      </c>
      <c r="CP194" s="110"/>
      <c r="CQ194" s="110">
        <v>0</v>
      </c>
      <c r="CR194" s="110"/>
      <c r="CS194" s="108">
        <f t="shared" si="143"/>
        <v>0</v>
      </c>
      <c r="CT194" s="109">
        <f t="shared" si="144"/>
        <v>0</v>
      </c>
      <c r="CU194" s="108">
        <v>0</v>
      </c>
      <c r="CV194" s="110"/>
      <c r="CW194" s="110">
        <v>0</v>
      </c>
      <c r="CX194" s="110"/>
      <c r="CY194" s="108">
        <v>0</v>
      </c>
      <c r="CZ194" s="110"/>
      <c r="DA194" s="110">
        <v>0</v>
      </c>
      <c r="DB194" s="110"/>
      <c r="DC194" s="108">
        <f t="shared" si="145"/>
        <v>0</v>
      </c>
      <c r="DD194" s="109">
        <f t="shared" si="146"/>
        <v>0</v>
      </c>
      <c r="DE194" s="108">
        <v>0</v>
      </c>
      <c r="DF194" s="110"/>
      <c r="DG194" s="110">
        <v>0</v>
      </c>
      <c r="DH194" s="110"/>
      <c r="DI194" s="108">
        <v>0</v>
      </c>
      <c r="DJ194" s="110"/>
      <c r="DK194" s="110">
        <v>0</v>
      </c>
      <c r="DL194" s="110"/>
      <c r="DM194" s="108">
        <f t="shared" si="147"/>
        <v>0</v>
      </c>
      <c r="DN194" s="109">
        <f t="shared" si="148"/>
        <v>0</v>
      </c>
      <c r="DO194" s="108">
        <v>0</v>
      </c>
      <c r="DP194" s="110"/>
      <c r="DQ194" s="110">
        <v>0</v>
      </c>
      <c r="DR194" s="110"/>
      <c r="DS194" s="108">
        <v>0</v>
      </c>
      <c r="DT194" s="110"/>
      <c r="DU194" s="110">
        <v>0</v>
      </c>
      <c r="DV194" s="110"/>
      <c r="DW194" s="108">
        <f t="shared" si="149"/>
        <v>0</v>
      </c>
      <c r="DX194" s="109">
        <f t="shared" si="150"/>
        <v>0</v>
      </c>
      <c r="DY194" s="108">
        <v>0</v>
      </c>
      <c r="DZ194" s="110"/>
      <c r="EA194" s="110">
        <v>0</v>
      </c>
      <c r="EB194" s="110"/>
      <c r="EC194" s="108">
        <v>0</v>
      </c>
      <c r="ED194" s="110"/>
      <c r="EE194" s="110">
        <v>0</v>
      </c>
      <c r="EF194" s="110"/>
      <c r="EG194" s="108">
        <f t="shared" si="151"/>
        <v>0</v>
      </c>
      <c r="EH194" s="109">
        <f t="shared" si="152"/>
        <v>0</v>
      </c>
      <c r="EI194" s="108">
        <v>0</v>
      </c>
      <c r="EJ194" s="110"/>
      <c r="EK194" s="110">
        <v>0</v>
      </c>
      <c r="EL194" s="110"/>
      <c r="EM194" s="108">
        <v>0</v>
      </c>
      <c r="EN194" s="110"/>
      <c r="EO194" s="110">
        <v>0</v>
      </c>
      <c r="EP194" s="110"/>
      <c r="EQ194" s="181"/>
      <c r="ER194" s="110">
        <f ca="1">SUM(ET194:EX194)</f>
        <v>0</v>
      </c>
      <c r="ES194" s="110"/>
      <c r="ET194" s="110">
        <f ca="1">SUMIFS(TME_Yesterday[Sell_RTL_QTY],TME_Yesterday[Region],master_Daily!$X194,TME_Yesterday[Brand],master_Daily!$Y194)/50000</f>
        <v>0</v>
      </c>
      <c r="EU194" s="110"/>
      <c r="EV194" s="109">
        <f ca="1">SUM(EW194:EY194)</f>
        <v>0</v>
      </c>
      <c r="EW194" s="110"/>
      <c r="EX194" s="110">
        <f ca="1">SUMIFS(TME_Yesterday[FOC_RTL_QTY],TME_Yesterday[Region],master_Daily!$X194,TME_Yesterday[Brand],master_Daily!$Y194)/50000</f>
        <v>0</v>
      </c>
      <c r="EY194" s="110"/>
      <c r="EZ194" s="110">
        <f ca="1">SUM(FA194:FC194)</f>
        <v>0</v>
      </c>
      <c r="FA194" s="110"/>
      <c r="FB194" s="110">
        <f ca="1">SUMIFS(TME_MTD[Sell_RTL_QTY],TME_MTD[Region],master_Daily!$X194,TME_MTD[Brand],master_Daily!$Y194)/50000</f>
        <v>0</v>
      </c>
      <c r="FC194" s="110"/>
      <c r="FD194" s="110">
        <f ca="1">SUM(FE194:FG194)</f>
        <v>0</v>
      </c>
      <c r="FE194" s="110"/>
      <c r="FF194" s="110">
        <f ca="1">SUMIFS(TME_MTD[FOC_RTL_QTY],TME_MTD[Region],master_Daily!$X194,TME_MTD[Brand],master_Daily!$Y194)/50000</f>
        <v>0</v>
      </c>
      <c r="FG194" s="110"/>
      <c r="FH194" s="109">
        <f t="shared" ca="1" si="153"/>
        <v>0</v>
      </c>
      <c r="FI194" s="109">
        <f t="shared" ca="1" si="153"/>
        <v>0</v>
      </c>
      <c r="FJ194" s="109">
        <f t="shared" ca="1" si="153"/>
        <v>0</v>
      </c>
      <c r="FK194" s="109">
        <f t="shared" ca="1" si="153"/>
        <v>0</v>
      </c>
      <c r="FL194" s="109">
        <f t="shared" ca="1" si="153"/>
        <v>0</v>
      </c>
      <c r="FM194" s="109">
        <f t="shared" ca="1" si="153"/>
        <v>0</v>
      </c>
      <c r="FN194" s="109">
        <f t="shared" ca="1" si="153"/>
        <v>0</v>
      </c>
      <c r="FO194" s="109">
        <f t="shared" ca="1" si="153"/>
        <v>0</v>
      </c>
      <c r="FP194" s="111">
        <f ca="1">IFERROR(FH194/$FH$171,0)</f>
        <v>0</v>
      </c>
      <c r="FQ194" s="112">
        <f t="shared" ca="1" si="154"/>
        <v>0</v>
      </c>
      <c r="FR194" s="310"/>
      <c r="FS194" s="112">
        <f t="shared" si="155"/>
        <v>0</v>
      </c>
    </row>
    <row r="195" spans="20:175" s="85" customFormat="1" hidden="1" outlineLevel="1">
      <c r="T195" s="89"/>
      <c r="U195" s="86"/>
      <c r="X195" s="107" t="s">
        <v>294</v>
      </c>
      <c r="Y195" s="107" t="s">
        <v>263</v>
      </c>
      <c r="Z195" s="107"/>
      <c r="AA195" s="108">
        <f t="shared" si="129"/>
        <v>0</v>
      </c>
      <c r="AB195" s="109">
        <f t="shared" si="130"/>
        <v>0</v>
      </c>
      <c r="AC195" s="108">
        <v>0</v>
      </c>
      <c r="AD195" s="110"/>
      <c r="AE195" s="110">
        <v>0</v>
      </c>
      <c r="AF195" s="110"/>
      <c r="AG195" s="108">
        <v>0</v>
      </c>
      <c r="AH195" s="110"/>
      <c r="AI195" s="110">
        <v>0</v>
      </c>
      <c r="AJ195" s="110"/>
      <c r="AK195" s="108">
        <f t="shared" si="131"/>
        <v>0</v>
      </c>
      <c r="AL195" s="109">
        <f t="shared" si="132"/>
        <v>0</v>
      </c>
      <c r="AM195" s="108">
        <v>0</v>
      </c>
      <c r="AN195" s="110"/>
      <c r="AO195" s="110">
        <v>0</v>
      </c>
      <c r="AP195" s="110"/>
      <c r="AQ195" s="108">
        <v>0</v>
      </c>
      <c r="AR195" s="110"/>
      <c r="AS195" s="110">
        <v>0</v>
      </c>
      <c r="AT195" s="110"/>
      <c r="AU195" s="108">
        <f t="shared" si="133"/>
        <v>0</v>
      </c>
      <c r="AV195" s="109">
        <f t="shared" si="134"/>
        <v>0</v>
      </c>
      <c r="AW195" s="108">
        <v>0</v>
      </c>
      <c r="AX195" s="110"/>
      <c r="AY195" s="110">
        <v>0</v>
      </c>
      <c r="AZ195" s="110"/>
      <c r="BA195" s="108">
        <v>0</v>
      </c>
      <c r="BB195" s="110"/>
      <c r="BC195" s="110">
        <v>0</v>
      </c>
      <c r="BD195" s="110"/>
      <c r="BE195" s="108">
        <f t="shared" si="135"/>
        <v>0</v>
      </c>
      <c r="BF195" s="109">
        <f t="shared" si="136"/>
        <v>0</v>
      </c>
      <c r="BG195" s="108">
        <v>0</v>
      </c>
      <c r="BH195" s="110"/>
      <c r="BI195" s="110">
        <v>0</v>
      </c>
      <c r="BJ195" s="110"/>
      <c r="BK195" s="108">
        <v>0</v>
      </c>
      <c r="BL195" s="110"/>
      <c r="BM195" s="110">
        <v>0</v>
      </c>
      <c r="BN195" s="110"/>
      <c r="BO195" s="108">
        <f t="shared" si="137"/>
        <v>0</v>
      </c>
      <c r="BP195" s="109">
        <f t="shared" si="138"/>
        <v>0</v>
      </c>
      <c r="BQ195" s="108">
        <v>0</v>
      </c>
      <c r="BR195" s="110"/>
      <c r="BS195" s="110">
        <v>0</v>
      </c>
      <c r="BT195" s="110"/>
      <c r="BU195" s="108">
        <v>0</v>
      </c>
      <c r="BV195" s="110"/>
      <c r="BW195" s="110">
        <v>0</v>
      </c>
      <c r="BX195" s="110"/>
      <c r="BY195" s="108">
        <f t="shared" si="139"/>
        <v>0</v>
      </c>
      <c r="BZ195" s="109">
        <f t="shared" si="140"/>
        <v>0</v>
      </c>
      <c r="CA195" s="108">
        <v>0</v>
      </c>
      <c r="CB195" s="110"/>
      <c r="CC195" s="110">
        <v>0</v>
      </c>
      <c r="CD195" s="110"/>
      <c r="CE195" s="108">
        <v>0</v>
      </c>
      <c r="CF195" s="110"/>
      <c r="CG195" s="110">
        <v>0</v>
      </c>
      <c r="CH195" s="110"/>
      <c r="CI195" s="108">
        <f t="shared" si="141"/>
        <v>0</v>
      </c>
      <c r="CJ195" s="109">
        <f t="shared" si="142"/>
        <v>0</v>
      </c>
      <c r="CK195" s="108">
        <v>0</v>
      </c>
      <c r="CL195" s="110"/>
      <c r="CM195" s="110">
        <v>0</v>
      </c>
      <c r="CN195" s="110"/>
      <c r="CO195" s="108">
        <v>0</v>
      </c>
      <c r="CP195" s="110"/>
      <c r="CQ195" s="110">
        <v>0</v>
      </c>
      <c r="CR195" s="110"/>
      <c r="CS195" s="108">
        <f t="shared" si="143"/>
        <v>0</v>
      </c>
      <c r="CT195" s="109">
        <f t="shared" si="144"/>
        <v>0</v>
      </c>
      <c r="CU195" s="108">
        <v>0</v>
      </c>
      <c r="CV195" s="110"/>
      <c r="CW195" s="110">
        <v>0</v>
      </c>
      <c r="CX195" s="110"/>
      <c r="CY195" s="108">
        <v>0</v>
      </c>
      <c r="CZ195" s="110"/>
      <c r="DA195" s="110">
        <v>0</v>
      </c>
      <c r="DB195" s="110"/>
      <c r="DC195" s="108">
        <f t="shared" si="145"/>
        <v>0</v>
      </c>
      <c r="DD195" s="109">
        <f t="shared" si="146"/>
        <v>0</v>
      </c>
      <c r="DE195" s="108">
        <v>0</v>
      </c>
      <c r="DF195" s="110"/>
      <c r="DG195" s="110">
        <v>0</v>
      </c>
      <c r="DH195" s="110"/>
      <c r="DI195" s="108">
        <v>0</v>
      </c>
      <c r="DJ195" s="110"/>
      <c r="DK195" s="110">
        <v>0</v>
      </c>
      <c r="DL195" s="110"/>
      <c r="DM195" s="108">
        <f t="shared" si="147"/>
        <v>0</v>
      </c>
      <c r="DN195" s="109">
        <f t="shared" si="148"/>
        <v>0</v>
      </c>
      <c r="DO195" s="108">
        <v>0</v>
      </c>
      <c r="DP195" s="110"/>
      <c r="DQ195" s="110">
        <v>0</v>
      </c>
      <c r="DR195" s="110"/>
      <c r="DS195" s="108">
        <v>0</v>
      </c>
      <c r="DT195" s="110"/>
      <c r="DU195" s="110">
        <v>0</v>
      </c>
      <c r="DV195" s="110"/>
      <c r="DW195" s="108">
        <f t="shared" si="149"/>
        <v>0</v>
      </c>
      <c r="DX195" s="109">
        <f t="shared" si="150"/>
        <v>0</v>
      </c>
      <c r="DY195" s="108">
        <v>0</v>
      </c>
      <c r="DZ195" s="110"/>
      <c r="EA195" s="110">
        <v>0</v>
      </c>
      <c r="EB195" s="110"/>
      <c r="EC195" s="108">
        <v>0</v>
      </c>
      <c r="ED195" s="110"/>
      <c r="EE195" s="110">
        <v>0</v>
      </c>
      <c r="EF195" s="110"/>
      <c r="EG195" s="108">
        <f t="shared" si="151"/>
        <v>0</v>
      </c>
      <c r="EH195" s="109">
        <f t="shared" si="152"/>
        <v>0</v>
      </c>
      <c r="EI195" s="108">
        <v>0</v>
      </c>
      <c r="EJ195" s="110"/>
      <c r="EK195" s="110">
        <v>0</v>
      </c>
      <c r="EL195" s="110"/>
      <c r="EM195" s="108">
        <v>0</v>
      </c>
      <c r="EN195" s="110"/>
      <c r="EO195" s="110">
        <v>0</v>
      </c>
      <c r="EP195" s="110"/>
      <c r="EQ195" s="181"/>
      <c r="ER195" s="110">
        <f ca="1">SUM(ET195:EX195)</f>
        <v>0</v>
      </c>
      <c r="ES195" s="110"/>
      <c r="ET195" s="110">
        <f ca="1">SUMIFS(TME_Yesterday[Sell_RTL_QTY],TME_Yesterday[Region],master_Daily!$X195,TME_Yesterday[Brand],"CM")/50000</f>
        <v>0</v>
      </c>
      <c r="EU195" s="110"/>
      <c r="EV195" s="109">
        <f ca="1">SUM(EW195:EY195)</f>
        <v>0</v>
      </c>
      <c r="EW195" s="110"/>
      <c r="EX195" s="110">
        <f ca="1">SUMIFS(TME_Yesterday[FOC_RTL_QTY],TME_Yesterday[Region],master_Daily!$X195,TME_Yesterday[Brand],"CM")/50000</f>
        <v>0</v>
      </c>
      <c r="EY195" s="110"/>
      <c r="EZ195" s="110">
        <f ca="1">SUM(FA195:FC195)</f>
        <v>0</v>
      </c>
      <c r="FA195" s="110"/>
      <c r="FB195" s="110">
        <f ca="1">SUMIFS(TME_MTD[Sell_RTL_QTY],TME_MTD[Region],master_Daily!$X195,TME_MTD[Brand],"CM")/50000</f>
        <v>0</v>
      </c>
      <c r="FC195" s="110"/>
      <c r="FD195" s="110">
        <f ca="1">SUM(FE195:FG195)</f>
        <v>0</v>
      </c>
      <c r="FE195" s="110"/>
      <c r="FF195" s="110">
        <f ca="1">SUMIFS(TME_MTD[FOC_RTL_QTY],TME_MTD[Region],master_Daily!$X195,TME_MTD[Brand],"CM")/50000</f>
        <v>0</v>
      </c>
      <c r="FG195" s="110"/>
      <c r="FH195" s="109">
        <f t="shared" ref="FH195:FL196" ca="1" si="156">SUMIFS($AA195:$EP195,$AA$129:$EP$129,INDIRECT(ADDRESS(129,COLUMN())))</f>
        <v>0</v>
      </c>
      <c r="FI195" s="109">
        <f t="shared" ca="1" si="156"/>
        <v>0</v>
      </c>
      <c r="FJ195" s="109">
        <f t="shared" ca="1" si="156"/>
        <v>0</v>
      </c>
      <c r="FK195" s="109">
        <f t="shared" ca="1" si="156"/>
        <v>0</v>
      </c>
      <c r="FL195" s="109">
        <f t="shared" ca="1" si="156"/>
        <v>0</v>
      </c>
      <c r="FM195" s="109">
        <f t="shared" ref="FM195:FO196" si="157">SUMIFS(AF195:EU195,$AA$129:$EP$129,$FH$129)</f>
        <v>0</v>
      </c>
      <c r="FN195" s="109">
        <f t="shared" si="157"/>
        <v>0</v>
      </c>
      <c r="FO195" s="109">
        <f t="shared" si="157"/>
        <v>0</v>
      </c>
      <c r="FP195" s="111">
        <f ca="1">IFERROR(FH195/$FH$171,0)</f>
        <v>0</v>
      </c>
      <c r="FQ195" s="112">
        <f t="shared" ca="1" si="154"/>
        <v>0</v>
      </c>
      <c r="FR195" s="310"/>
      <c r="FS195" s="112">
        <f t="shared" si="155"/>
        <v>0</v>
      </c>
    </row>
    <row r="196" spans="20:175" s="85" customFormat="1" hidden="1" outlineLevel="1">
      <c r="T196" s="89"/>
      <c r="U196" s="86"/>
      <c r="X196" s="107" t="s">
        <v>294</v>
      </c>
      <c r="Y196" s="107" t="s">
        <v>264</v>
      </c>
      <c r="Z196" s="107"/>
      <c r="AA196" s="108">
        <f t="shared" si="129"/>
        <v>0</v>
      </c>
      <c r="AB196" s="109">
        <f t="shared" si="130"/>
        <v>0</v>
      </c>
      <c r="AC196" s="108">
        <v>0</v>
      </c>
      <c r="AD196" s="110"/>
      <c r="AE196" s="110">
        <v>0</v>
      </c>
      <c r="AF196" s="110"/>
      <c r="AG196" s="108">
        <v>0</v>
      </c>
      <c r="AH196" s="110"/>
      <c r="AI196" s="110">
        <v>0</v>
      </c>
      <c r="AJ196" s="110"/>
      <c r="AK196" s="108">
        <f t="shared" si="131"/>
        <v>0</v>
      </c>
      <c r="AL196" s="109">
        <f t="shared" si="132"/>
        <v>0</v>
      </c>
      <c r="AM196" s="108">
        <v>0</v>
      </c>
      <c r="AN196" s="110"/>
      <c r="AO196" s="110">
        <v>0</v>
      </c>
      <c r="AP196" s="110"/>
      <c r="AQ196" s="108">
        <v>0</v>
      </c>
      <c r="AR196" s="110"/>
      <c r="AS196" s="110">
        <v>0</v>
      </c>
      <c r="AT196" s="110"/>
      <c r="AU196" s="108">
        <f t="shared" si="133"/>
        <v>0</v>
      </c>
      <c r="AV196" s="109">
        <f t="shared" si="134"/>
        <v>0</v>
      </c>
      <c r="AW196" s="108">
        <v>0</v>
      </c>
      <c r="AX196" s="110"/>
      <c r="AY196" s="110">
        <v>0</v>
      </c>
      <c r="AZ196" s="110"/>
      <c r="BA196" s="108">
        <v>0</v>
      </c>
      <c r="BB196" s="110"/>
      <c r="BC196" s="110">
        <v>0</v>
      </c>
      <c r="BD196" s="110"/>
      <c r="BE196" s="108">
        <f t="shared" si="135"/>
        <v>0</v>
      </c>
      <c r="BF196" s="109">
        <f t="shared" si="136"/>
        <v>0</v>
      </c>
      <c r="BG196" s="108">
        <v>0</v>
      </c>
      <c r="BH196" s="110"/>
      <c r="BI196" s="110">
        <v>0</v>
      </c>
      <c r="BJ196" s="110"/>
      <c r="BK196" s="108">
        <v>0</v>
      </c>
      <c r="BL196" s="110"/>
      <c r="BM196" s="110">
        <v>0</v>
      </c>
      <c r="BN196" s="110"/>
      <c r="BO196" s="108">
        <f t="shared" si="137"/>
        <v>0</v>
      </c>
      <c r="BP196" s="109">
        <f t="shared" si="138"/>
        <v>0</v>
      </c>
      <c r="BQ196" s="108">
        <v>0</v>
      </c>
      <c r="BR196" s="110"/>
      <c r="BS196" s="110">
        <v>0</v>
      </c>
      <c r="BT196" s="110"/>
      <c r="BU196" s="108">
        <v>0</v>
      </c>
      <c r="BV196" s="110"/>
      <c r="BW196" s="110">
        <v>0</v>
      </c>
      <c r="BX196" s="110"/>
      <c r="BY196" s="108">
        <f t="shared" si="139"/>
        <v>0</v>
      </c>
      <c r="BZ196" s="109">
        <f t="shared" si="140"/>
        <v>0</v>
      </c>
      <c r="CA196" s="108">
        <v>0</v>
      </c>
      <c r="CB196" s="110"/>
      <c r="CC196" s="110">
        <v>0</v>
      </c>
      <c r="CD196" s="110"/>
      <c r="CE196" s="108">
        <v>0</v>
      </c>
      <c r="CF196" s="110"/>
      <c r="CG196" s="110">
        <v>0</v>
      </c>
      <c r="CH196" s="110"/>
      <c r="CI196" s="108">
        <f t="shared" si="141"/>
        <v>0</v>
      </c>
      <c r="CJ196" s="109">
        <f t="shared" si="142"/>
        <v>0</v>
      </c>
      <c r="CK196" s="108">
        <v>0</v>
      </c>
      <c r="CL196" s="110"/>
      <c r="CM196" s="110">
        <v>0</v>
      </c>
      <c r="CN196" s="110"/>
      <c r="CO196" s="108">
        <v>0</v>
      </c>
      <c r="CP196" s="110"/>
      <c r="CQ196" s="110">
        <v>0</v>
      </c>
      <c r="CR196" s="110"/>
      <c r="CS196" s="108">
        <f t="shared" si="143"/>
        <v>0</v>
      </c>
      <c r="CT196" s="109">
        <f t="shared" si="144"/>
        <v>0</v>
      </c>
      <c r="CU196" s="108">
        <v>0</v>
      </c>
      <c r="CV196" s="110"/>
      <c r="CW196" s="110">
        <v>0</v>
      </c>
      <c r="CX196" s="110"/>
      <c r="CY196" s="108">
        <v>0</v>
      </c>
      <c r="CZ196" s="110"/>
      <c r="DA196" s="110">
        <v>0</v>
      </c>
      <c r="DB196" s="110"/>
      <c r="DC196" s="108">
        <f t="shared" si="145"/>
        <v>0</v>
      </c>
      <c r="DD196" s="109">
        <f t="shared" si="146"/>
        <v>0</v>
      </c>
      <c r="DE196" s="108">
        <v>0</v>
      </c>
      <c r="DF196" s="110"/>
      <c r="DG196" s="110">
        <v>0</v>
      </c>
      <c r="DH196" s="110"/>
      <c r="DI196" s="108">
        <v>0</v>
      </c>
      <c r="DJ196" s="110"/>
      <c r="DK196" s="110">
        <v>0</v>
      </c>
      <c r="DL196" s="110"/>
      <c r="DM196" s="108">
        <f t="shared" si="147"/>
        <v>0</v>
      </c>
      <c r="DN196" s="109">
        <f t="shared" si="148"/>
        <v>0</v>
      </c>
      <c r="DO196" s="108">
        <v>0</v>
      </c>
      <c r="DP196" s="110"/>
      <c r="DQ196" s="110">
        <v>0</v>
      </c>
      <c r="DR196" s="110"/>
      <c r="DS196" s="108">
        <v>0</v>
      </c>
      <c r="DT196" s="110"/>
      <c r="DU196" s="110">
        <v>0</v>
      </c>
      <c r="DV196" s="110"/>
      <c r="DW196" s="108">
        <f t="shared" si="149"/>
        <v>0</v>
      </c>
      <c r="DX196" s="109">
        <f t="shared" si="150"/>
        <v>0</v>
      </c>
      <c r="DY196" s="108">
        <v>0</v>
      </c>
      <c r="DZ196" s="110"/>
      <c r="EA196" s="110">
        <v>0</v>
      </c>
      <c r="EB196" s="110"/>
      <c r="EC196" s="108">
        <v>0</v>
      </c>
      <c r="ED196" s="110"/>
      <c r="EE196" s="110">
        <v>0</v>
      </c>
      <c r="EF196" s="110"/>
      <c r="EG196" s="108">
        <f t="shared" si="151"/>
        <v>0</v>
      </c>
      <c r="EH196" s="109">
        <f t="shared" si="152"/>
        <v>0</v>
      </c>
      <c r="EI196" s="108">
        <v>0</v>
      </c>
      <c r="EJ196" s="110"/>
      <c r="EK196" s="110">
        <v>0</v>
      </c>
      <c r="EL196" s="110"/>
      <c r="EM196" s="108">
        <v>0</v>
      </c>
      <c r="EN196" s="110"/>
      <c r="EO196" s="110">
        <v>0</v>
      </c>
      <c r="EP196" s="110"/>
      <c r="EQ196" s="181"/>
      <c r="ER196" s="110">
        <f ca="1">SUM(ET196:EX196)</f>
        <v>0</v>
      </c>
      <c r="ES196" s="110"/>
      <c r="ET196" s="110">
        <f ca="1">SUMIFS(TME_Yesterday[Sell_RTL_QTY],TME_Yesterday[Region],master_Daily!$X196,TME_Yesterday[Brand],"CMHD")/50000</f>
        <v>0</v>
      </c>
      <c r="EU196" s="110"/>
      <c r="EV196" s="109">
        <f ca="1">SUM(EW196:EY196)</f>
        <v>0</v>
      </c>
      <c r="EW196" s="110"/>
      <c r="EX196" s="110">
        <f ca="1">SUMIFS(TME_Yesterday[FOC_RTL_QTY],TME_Yesterday[Region],master_Daily!$X196,TME_Yesterday[Brand],"CMHD")/50000</f>
        <v>0</v>
      </c>
      <c r="EY196" s="110"/>
      <c r="EZ196" s="110">
        <f ca="1">SUM(FA196:FC196)</f>
        <v>0</v>
      </c>
      <c r="FA196" s="110"/>
      <c r="FB196" s="110">
        <f ca="1">SUMIFS(TME_MTD[Sell_RTL_QTY],TME_MTD[Region],master_Daily!$X196,TME_MTD[Brand],"CMHD")/50000</f>
        <v>0</v>
      </c>
      <c r="FC196" s="110"/>
      <c r="FD196" s="110">
        <f ca="1">SUM(FE196:FG196)</f>
        <v>0</v>
      </c>
      <c r="FE196" s="110"/>
      <c r="FF196" s="110">
        <f ca="1">SUMIFS(TME_MTD[FOC_RTL_QTY],TME_MTD[Region],master_Daily!$X196,TME_MTD[Brand],"CMHD")/50000</f>
        <v>0</v>
      </c>
      <c r="FG196" s="110"/>
      <c r="FH196" s="109">
        <f t="shared" ca="1" si="156"/>
        <v>0</v>
      </c>
      <c r="FI196" s="109">
        <f t="shared" ca="1" si="156"/>
        <v>0</v>
      </c>
      <c r="FJ196" s="109">
        <f t="shared" ca="1" si="156"/>
        <v>0</v>
      </c>
      <c r="FK196" s="109">
        <f t="shared" ca="1" si="156"/>
        <v>0</v>
      </c>
      <c r="FL196" s="109">
        <f t="shared" ca="1" si="156"/>
        <v>0</v>
      </c>
      <c r="FM196" s="109">
        <f t="shared" si="157"/>
        <v>0</v>
      </c>
      <c r="FN196" s="109">
        <f t="shared" si="157"/>
        <v>0</v>
      </c>
      <c r="FO196" s="109">
        <f t="shared" si="157"/>
        <v>0</v>
      </c>
      <c r="FP196" s="111">
        <f ca="1">IFERROR(FH196/$FH$171,0)</f>
        <v>0</v>
      </c>
      <c r="FQ196" s="112">
        <f t="shared" ca="1" si="154"/>
        <v>0</v>
      </c>
      <c r="FR196" s="310"/>
      <c r="FS196" s="112">
        <f t="shared" si="155"/>
        <v>0</v>
      </c>
    </row>
    <row r="197" spans="20:175" s="85" customFormat="1" hidden="1" collapsed="1">
      <c r="T197" s="89"/>
      <c r="U197" s="86"/>
      <c r="X197" s="113" t="s">
        <v>295</v>
      </c>
      <c r="Y197" s="152"/>
      <c r="Z197" s="152"/>
      <c r="AA197" s="114">
        <f t="shared" si="129"/>
        <v>0</v>
      </c>
      <c r="AB197" s="114">
        <f t="shared" si="130"/>
        <v>0</v>
      </c>
      <c r="AC197" s="114">
        <v>0</v>
      </c>
      <c r="AD197" s="114">
        <v>0</v>
      </c>
      <c r="AE197" s="114">
        <v>0</v>
      </c>
      <c r="AF197" s="114">
        <v>0</v>
      </c>
      <c r="AG197" s="114">
        <v>0</v>
      </c>
      <c r="AH197" s="114">
        <v>0</v>
      </c>
      <c r="AI197" s="114">
        <v>0</v>
      </c>
      <c r="AJ197" s="114">
        <v>0</v>
      </c>
      <c r="AK197" s="114">
        <f t="shared" si="131"/>
        <v>0</v>
      </c>
      <c r="AL197" s="114">
        <f t="shared" si="132"/>
        <v>0</v>
      </c>
      <c r="AM197" s="114">
        <v>0</v>
      </c>
      <c r="AN197" s="114">
        <v>0</v>
      </c>
      <c r="AO197" s="114">
        <v>0</v>
      </c>
      <c r="AP197" s="114">
        <v>0</v>
      </c>
      <c r="AQ197" s="114">
        <v>0</v>
      </c>
      <c r="AR197" s="114">
        <v>0</v>
      </c>
      <c r="AS197" s="114">
        <v>0</v>
      </c>
      <c r="AT197" s="114">
        <v>0</v>
      </c>
      <c r="AU197" s="114">
        <f t="shared" si="133"/>
        <v>0</v>
      </c>
      <c r="AV197" s="114">
        <f t="shared" si="134"/>
        <v>0</v>
      </c>
      <c r="AW197" s="63">
        <v>0</v>
      </c>
      <c r="AX197" s="63">
        <v>0</v>
      </c>
      <c r="AY197" s="63">
        <v>0</v>
      </c>
      <c r="AZ197" s="63">
        <v>0</v>
      </c>
      <c r="BA197" s="63">
        <v>0</v>
      </c>
      <c r="BB197" s="63">
        <v>0</v>
      </c>
      <c r="BC197" s="63">
        <v>0</v>
      </c>
      <c r="BD197" s="63">
        <v>0</v>
      </c>
      <c r="BE197" s="114">
        <f t="shared" si="135"/>
        <v>0</v>
      </c>
      <c r="BF197" s="114">
        <f t="shared" si="136"/>
        <v>0</v>
      </c>
      <c r="BG197" s="63">
        <v>0</v>
      </c>
      <c r="BH197" s="63">
        <v>0</v>
      </c>
      <c r="BI197" s="63">
        <v>0</v>
      </c>
      <c r="BJ197" s="63">
        <v>0</v>
      </c>
      <c r="BK197" s="63">
        <v>0</v>
      </c>
      <c r="BL197" s="63">
        <v>0</v>
      </c>
      <c r="BM197" s="63">
        <v>0</v>
      </c>
      <c r="BN197" s="63">
        <v>0</v>
      </c>
      <c r="BO197" s="114">
        <f t="shared" si="137"/>
        <v>0</v>
      </c>
      <c r="BP197" s="114">
        <f t="shared" si="138"/>
        <v>0</v>
      </c>
      <c r="BQ197" s="114">
        <v>0</v>
      </c>
      <c r="BR197" s="114">
        <v>0</v>
      </c>
      <c r="BS197" s="114">
        <v>0</v>
      </c>
      <c r="BT197" s="114">
        <v>0</v>
      </c>
      <c r="BU197" s="114">
        <v>0</v>
      </c>
      <c r="BV197" s="114">
        <v>0</v>
      </c>
      <c r="BW197" s="114">
        <v>0</v>
      </c>
      <c r="BX197" s="114">
        <v>0</v>
      </c>
      <c r="BY197" s="114">
        <f t="shared" si="139"/>
        <v>0</v>
      </c>
      <c r="BZ197" s="114">
        <f t="shared" si="140"/>
        <v>0</v>
      </c>
      <c r="CA197" s="114">
        <v>0</v>
      </c>
      <c r="CB197" s="114">
        <v>0</v>
      </c>
      <c r="CC197" s="114">
        <v>0</v>
      </c>
      <c r="CD197" s="114">
        <v>0</v>
      </c>
      <c r="CE197" s="114">
        <v>0</v>
      </c>
      <c r="CF197" s="114">
        <v>0</v>
      </c>
      <c r="CG197" s="114">
        <v>0</v>
      </c>
      <c r="CH197" s="114">
        <v>0</v>
      </c>
      <c r="CI197" s="114">
        <f t="shared" si="141"/>
        <v>0</v>
      </c>
      <c r="CJ197" s="114">
        <f t="shared" si="142"/>
        <v>0</v>
      </c>
      <c r="CK197" s="114">
        <v>0</v>
      </c>
      <c r="CL197" s="114">
        <v>0</v>
      </c>
      <c r="CM197" s="114">
        <v>0</v>
      </c>
      <c r="CN197" s="114">
        <v>0</v>
      </c>
      <c r="CO197" s="114">
        <v>0</v>
      </c>
      <c r="CP197" s="114">
        <v>0</v>
      </c>
      <c r="CQ197" s="114">
        <v>0</v>
      </c>
      <c r="CR197" s="114">
        <v>0</v>
      </c>
      <c r="CS197" s="114">
        <f t="shared" si="143"/>
        <v>0</v>
      </c>
      <c r="CT197" s="114">
        <f t="shared" si="144"/>
        <v>0</v>
      </c>
      <c r="CU197" s="114">
        <v>0</v>
      </c>
      <c r="CV197" s="114">
        <v>0</v>
      </c>
      <c r="CW197" s="114">
        <v>0</v>
      </c>
      <c r="CX197" s="114">
        <v>0</v>
      </c>
      <c r="CY197" s="114">
        <v>0</v>
      </c>
      <c r="CZ197" s="114">
        <v>0</v>
      </c>
      <c r="DA197" s="114">
        <v>0</v>
      </c>
      <c r="DB197" s="114">
        <v>0</v>
      </c>
      <c r="DC197" s="114">
        <f t="shared" si="145"/>
        <v>0</v>
      </c>
      <c r="DD197" s="114">
        <f t="shared" si="146"/>
        <v>0</v>
      </c>
      <c r="DE197" s="114">
        <v>0</v>
      </c>
      <c r="DF197" s="114">
        <v>0</v>
      </c>
      <c r="DG197" s="114">
        <v>0</v>
      </c>
      <c r="DH197" s="114">
        <v>0</v>
      </c>
      <c r="DI197" s="114">
        <v>0</v>
      </c>
      <c r="DJ197" s="114">
        <v>0</v>
      </c>
      <c r="DK197" s="114">
        <v>0</v>
      </c>
      <c r="DL197" s="114">
        <v>0</v>
      </c>
      <c r="DM197" s="114">
        <f t="shared" si="147"/>
        <v>0</v>
      </c>
      <c r="DN197" s="114">
        <f t="shared" si="148"/>
        <v>0</v>
      </c>
      <c r="DO197" s="114">
        <v>0</v>
      </c>
      <c r="DP197" s="114">
        <v>0</v>
      </c>
      <c r="DQ197" s="114">
        <v>0</v>
      </c>
      <c r="DR197" s="114">
        <v>0</v>
      </c>
      <c r="DS197" s="114">
        <v>0</v>
      </c>
      <c r="DT197" s="114">
        <v>0</v>
      </c>
      <c r="DU197" s="114">
        <v>0</v>
      </c>
      <c r="DV197" s="114">
        <v>0</v>
      </c>
      <c r="DW197" s="114">
        <f t="shared" si="149"/>
        <v>0</v>
      </c>
      <c r="DX197" s="114">
        <f t="shared" si="150"/>
        <v>0</v>
      </c>
      <c r="DY197" s="114">
        <v>0</v>
      </c>
      <c r="DZ197" s="114">
        <v>0</v>
      </c>
      <c r="EA197" s="114">
        <v>0</v>
      </c>
      <c r="EB197" s="114">
        <v>0</v>
      </c>
      <c r="EC197" s="114">
        <v>0</v>
      </c>
      <c r="ED197" s="114">
        <v>0</v>
      </c>
      <c r="EE197" s="114">
        <v>0</v>
      </c>
      <c r="EF197" s="114">
        <v>0</v>
      </c>
      <c r="EG197" s="114">
        <f t="shared" si="151"/>
        <v>0</v>
      </c>
      <c r="EH197" s="114">
        <f t="shared" si="152"/>
        <v>0</v>
      </c>
      <c r="EI197" s="114">
        <v>0</v>
      </c>
      <c r="EJ197" s="114">
        <v>0</v>
      </c>
      <c r="EK197" s="114">
        <v>0</v>
      </c>
      <c r="EL197" s="114">
        <v>0</v>
      </c>
      <c r="EM197" s="114">
        <v>0</v>
      </c>
      <c r="EN197" s="114">
        <v>0</v>
      </c>
      <c r="EO197" s="114">
        <v>0</v>
      </c>
      <c r="EP197" s="114">
        <v>0</v>
      </c>
      <c r="EQ197" s="115"/>
      <c r="ER197" s="114">
        <f ca="1">SUM(ER192:ER196)</f>
        <v>0</v>
      </c>
      <c r="ES197" s="114">
        <f>SUM(ES192:ES196)</f>
        <v>0</v>
      </c>
      <c r="ET197" s="114">
        <f ca="1">SUM(ET192:ET196)</f>
        <v>0</v>
      </c>
      <c r="EU197" s="114">
        <f>SUM(EU192:EU196)</f>
        <v>0</v>
      </c>
      <c r="EV197" s="114">
        <f ca="1">SUM(EV192:EV195)</f>
        <v>0</v>
      </c>
      <c r="EW197" s="114">
        <f t="shared" ref="EW197:FC197" si="158">SUM(EW192:EW196)</f>
        <v>0</v>
      </c>
      <c r="EX197" s="114">
        <f t="shared" ca="1" si="158"/>
        <v>0</v>
      </c>
      <c r="EY197" s="114">
        <f t="shared" si="158"/>
        <v>0</v>
      </c>
      <c r="EZ197" s="114">
        <f t="shared" ca="1" si="158"/>
        <v>0</v>
      </c>
      <c r="FA197" s="114">
        <f>SUM(FA192:FA196)</f>
        <v>0</v>
      </c>
      <c r="FB197" s="114">
        <f ca="1">SUM(FB192:FB196)</f>
        <v>0</v>
      </c>
      <c r="FC197" s="114">
        <f t="shared" si="158"/>
        <v>0</v>
      </c>
      <c r="FD197" s="114">
        <f ca="1">SUM(FD192:FD195)</f>
        <v>0</v>
      </c>
      <c r="FE197" s="114">
        <f t="shared" ref="FE197:FK197" si="159">SUM(FE192:FE196)</f>
        <v>0</v>
      </c>
      <c r="FF197" s="114">
        <f t="shared" ca="1" si="159"/>
        <v>0</v>
      </c>
      <c r="FG197" s="114">
        <f t="shared" si="159"/>
        <v>0</v>
      </c>
      <c r="FH197" s="114">
        <f t="shared" ca="1" si="159"/>
        <v>0</v>
      </c>
      <c r="FI197" s="114">
        <f t="shared" ca="1" si="159"/>
        <v>0</v>
      </c>
      <c r="FJ197" s="114">
        <f t="shared" ca="1" si="159"/>
        <v>0</v>
      </c>
      <c r="FK197" s="114">
        <f t="shared" ca="1" si="159"/>
        <v>0</v>
      </c>
      <c r="FL197" s="114">
        <f ca="1">SUM(FL192:FL195)</f>
        <v>0</v>
      </c>
      <c r="FM197" s="115">
        <f ca="1">SUM(FM192:FM196)</f>
        <v>0</v>
      </c>
      <c r="FN197" s="115">
        <f ca="1">SUM(FN192:FN196)</f>
        <v>0</v>
      </c>
      <c r="FO197" s="115">
        <f ca="1">SUM(FO192:FO196)</f>
        <v>0</v>
      </c>
      <c r="FP197" s="116">
        <f ca="1">IFERROR(FH197/FH197,0)</f>
        <v>0</v>
      </c>
      <c r="FQ197" s="117">
        <f t="shared" ca="1" si="154"/>
        <v>0</v>
      </c>
      <c r="FR197" s="114">
        <f>SUM(FR192:FR196)</f>
        <v>0</v>
      </c>
      <c r="FS197" s="117">
        <f t="shared" si="155"/>
        <v>0</v>
      </c>
    </row>
    <row r="198" spans="20:175" s="85" customFormat="1" hidden="1" outlineLevel="1">
      <c r="T198" s="89"/>
      <c r="U198" s="86"/>
      <c r="X198" s="107" t="s">
        <v>209</v>
      </c>
      <c r="Y198" s="107" t="s">
        <v>44</v>
      </c>
      <c r="Z198" s="107"/>
      <c r="AA198" s="108">
        <f>SUM(AD198:AF198)</f>
        <v>0</v>
      </c>
      <c r="AB198" s="109">
        <f t="shared" si="130"/>
        <v>0</v>
      </c>
      <c r="AC198" s="108">
        <v>0</v>
      </c>
      <c r="AD198" s="110"/>
      <c r="AE198" s="110">
        <v>0</v>
      </c>
      <c r="AF198" s="110"/>
      <c r="AG198" s="108"/>
      <c r="AH198" s="110"/>
      <c r="AI198" s="110"/>
      <c r="AJ198" s="110"/>
      <c r="AK198" s="108">
        <f t="shared" si="131"/>
        <v>0</v>
      </c>
      <c r="AL198" s="109">
        <f t="shared" si="132"/>
        <v>0</v>
      </c>
      <c r="AM198" s="108">
        <v>0</v>
      </c>
      <c r="AN198" s="110"/>
      <c r="AO198" s="110">
        <v>0</v>
      </c>
      <c r="AP198" s="110"/>
      <c r="AQ198" s="108"/>
      <c r="AR198" s="110"/>
      <c r="AS198" s="110"/>
      <c r="AT198" s="110"/>
      <c r="AU198" s="108">
        <f t="shared" si="133"/>
        <v>0</v>
      </c>
      <c r="AV198" s="109">
        <f t="shared" si="134"/>
        <v>0</v>
      </c>
      <c r="AW198" s="108">
        <v>0</v>
      </c>
      <c r="AX198" s="110"/>
      <c r="AY198" s="110">
        <v>0</v>
      </c>
      <c r="AZ198" s="110"/>
      <c r="BA198" s="108"/>
      <c r="BB198" s="110"/>
      <c r="BC198" s="110"/>
      <c r="BD198" s="110"/>
      <c r="BE198" s="108">
        <f t="shared" si="135"/>
        <v>0</v>
      </c>
      <c r="BF198" s="109">
        <f t="shared" si="136"/>
        <v>0</v>
      </c>
      <c r="BG198" s="108">
        <v>0</v>
      </c>
      <c r="BH198" s="110"/>
      <c r="BI198" s="110">
        <v>0</v>
      </c>
      <c r="BJ198" s="110"/>
      <c r="BK198" s="108"/>
      <c r="BL198" s="110"/>
      <c r="BM198" s="110"/>
      <c r="BN198" s="110"/>
      <c r="BO198" s="108">
        <f t="shared" si="137"/>
        <v>0</v>
      </c>
      <c r="BP198" s="109">
        <f t="shared" si="138"/>
        <v>0</v>
      </c>
      <c r="BQ198" s="108">
        <v>0</v>
      </c>
      <c r="BR198" s="110"/>
      <c r="BS198" s="110">
        <v>0</v>
      </c>
      <c r="BT198" s="110"/>
      <c r="BU198" s="108"/>
      <c r="BV198" s="110"/>
      <c r="BW198" s="110"/>
      <c r="BX198" s="110"/>
      <c r="BY198" s="108">
        <f t="shared" si="139"/>
        <v>0</v>
      </c>
      <c r="BZ198" s="109">
        <f t="shared" si="140"/>
        <v>0</v>
      </c>
      <c r="CA198" s="108">
        <v>0</v>
      </c>
      <c r="CB198" s="110"/>
      <c r="CC198" s="110">
        <v>0</v>
      </c>
      <c r="CD198" s="110"/>
      <c r="CE198" s="108"/>
      <c r="CF198" s="110"/>
      <c r="CG198" s="110"/>
      <c r="CH198" s="110"/>
      <c r="CI198" s="108">
        <f t="shared" si="141"/>
        <v>0</v>
      </c>
      <c r="CJ198" s="109">
        <f t="shared" si="142"/>
        <v>0</v>
      </c>
      <c r="CK198" s="108">
        <v>0</v>
      </c>
      <c r="CL198" s="110"/>
      <c r="CM198" s="110">
        <v>0</v>
      </c>
      <c r="CN198" s="110"/>
      <c r="CO198" s="108"/>
      <c r="CP198" s="110"/>
      <c r="CQ198" s="110"/>
      <c r="CR198" s="110"/>
      <c r="CS198" s="108">
        <f t="shared" si="143"/>
        <v>0</v>
      </c>
      <c r="CT198" s="109">
        <f t="shared" si="144"/>
        <v>0</v>
      </c>
      <c r="CU198" s="108">
        <v>0</v>
      </c>
      <c r="CV198" s="110"/>
      <c r="CW198" s="110">
        <v>0</v>
      </c>
      <c r="CX198" s="110"/>
      <c r="CY198" s="108"/>
      <c r="CZ198" s="110"/>
      <c r="DA198" s="110"/>
      <c r="DB198" s="110"/>
      <c r="DC198" s="108">
        <f t="shared" si="145"/>
        <v>0</v>
      </c>
      <c r="DD198" s="109">
        <f t="shared" si="146"/>
        <v>0</v>
      </c>
      <c r="DE198" s="108">
        <v>0</v>
      </c>
      <c r="DF198" s="110"/>
      <c r="DG198" s="110">
        <v>0</v>
      </c>
      <c r="DH198" s="110"/>
      <c r="DI198" s="108"/>
      <c r="DJ198" s="110"/>
      <c r="DK198" s="110"/>
      <c r="DL198" s="110"/>
      <c r="DM198" s="108">
        <f t="shared" si="147"/>
        <v>0</v>
      </c>
      <c r="DN198" s="109">
        <f t="shared" si="148"/>
        <v>0</v>
      </c>
      <c r="DO198" s="108">
        <v>0</v>
      </c>
      <c r="DP198" s="110"/>
      <c r="DQ198" s="110">
        <v>0</v>
      </c>
      <c r="DR198" s="110"/>
      <c r="DS198" s="108"/>
      <c r="DT198" s="110"/>
      <c r="DU198" s="110"/>
      <c r="DV198" s="110"/>
      <c r="DW198" s="108">
        <f t="shared" si="149"/>
        <v>0</v>
      </c>
      <c r="DX198" s="109">
        <f t="shared" si="150"/>
        <v>0</v>
      </c>
      <c r="DY198" s="108">
        <v>0</v>
      </c>
      <c r="DZ198" s="110"/>
      <c r="EA198" s="110">
        <v>0</v>
      </c>
      <c r="EB198" s="110"/>
      <c r="EC198" s="108"/>
      <c r="ED198" s="110"/>
      <c r="EE198" s="110"/>
      <c r="EF198" s="110"/>
      <c r="EG198" s="108">
        <f t="shared" si="151"/>
        <v>0</v>
      </c>
      <c r="EH198" s="109">
        <f t="shared" si="152"/>
        <v>0</v>
      </c>
      <c r="EI198" s="108">
        <v>0</v>
      </c>
      <c r="EJ198" s="110"/>
      <c r="EK198" s="110">
        <v>0</v>
      </c>
      <c r="EL198" s="110"/>
      <c r="EM198" s="108"/>
      <c r="EN198" s="110"/>
      <c r="EO198" s="110"/>
      <c r="EP198" s="110"/>
      <c r="EQ198" s="384"/>
      <c r="ER198" s="110">
        <f>SUM(ET198:EX198)</f>
        <v>0</v>
      </c>
      <c r="ES198" s="110"/>
      <c r="ET198" s="110">
        <f>IFERROR(SUMIFS(Daily_Vol_yesterday[Order Quantity],Daily_Vol_yesterday[Cust_Cat.cust_channel],master_Daily!X198,Daily_Vol_yesterday[Map_Product.TME_Brand],master_Daily!Y198)/50000,0)</f>
        <v>0</v>
      </c>
      <c r="EU198" s="110"/>
      <c r="EV198" s="109"/>
      <c r="EW198" s="110"/>
      <c r="EX198" s="110"/>
      <c r="EY198" s="110"/>
      <c r="EZ198" s="110">
        <f>SUM(FA198:FC198)</f>
        <v>0</v>
      </c>
      <c r="FA198" s="110"/>
      <c r="FB198" s="110">
        <f>IFERROR(SUM(SUMIFS(Weekly_Vol[Quantity],Weekly_Vol[Cust_Cat.cust_channel],master_Daily!X198,Weekly_Vol[Map_Product.TME_Brand],master_Daily!Y198),SUMIFS(Daily_Vol[Order Quantity],Daily_Vol[Cust_Cat.cust_channel],master_Daily!X198,Daily_Vol[Map_Product.TME_Brand],master_Daily!Y198))/50000,0)</f>
        <v>0</v>
      </c>
      <c r="FC198" s="110"/>
      <c r="FD198" s="110"/>
      <c r="FE198" s="110"/>
      <c r="FF198" s="110"/>
      <c r="FG198" s="110"/>
      <c r="FH198" s="110">
        <f t="shared" ref="FH198:FO200" ca="1" si="160">SUMIFS($AA198:$EP198,$AA$129:$EP$129,INDIRECT(ADDRESS(129,COLUMN())))</f>
        <v>0</v>
      </c>
      <c r="FI198" s="110">
        <f t="shared" ca="1" si="160"/>
        <v>0</v>
      </c>
      <c r="FJ198" s="110">
        <f t="shared" ca="1" si="160"/>
        <v>0</v>
      </c>
      <c r="FK198" s="110">
        <f t="shared" ca="1" si="160"/>
        <v>0</v>
      </c>
      <c r="FL198" s="110">
        <f t="shared" ca="1" si="160"/>
        <v>0</v>
      </c>
      <c r="FM198" s="109">
        <f t="shared" ca="1" si="160"/>
        <v>0</v>
      </c>
      <c r="FN198" s="109">
        <f t="shared" ca="1" si="160"/>
        <v>0</v>
      </c>
      <c r="FO198" s="109">
        <f t="shared" ca="1" si="160"/>
        <v>0</v>
      </c>
      <c r="FP198" s="111">
        <f ca="1">IFERROR(FH198/$FH$171,0)</f>
        <v>0</v>
      </c>
      <c r="FQ198" s="112">
        <f t="shared" ref="FQ198:FQ209" si="161">IFERROR(EZ198/EQ198,0)</f>
        <v>0</v>
      </c>
      <c r="FR198" s="310"/>
      <c r="FS198" s="112">
        <f t="shared" si="155"/>
        <v>0</v>
      </c>
    </row>
    <row r="199" spans="20:175" s="85" customFormat="1" hidden="1" outlineLevel="1">
      <c r="T199" s="89"/>
      <c r="U199" s="86"/>
      <c r="X199" s="107" t="s">
        <v>209</v>
      </c>
      <c r="Y199" s="107" t="s">
        <v>45</v>
      </c>
      <c r="Z199" s="107"/>
      <c r="AA199" s="108">
        <f t="shared" si="129"/>
        <v>0</v>
      </c>
      <c r="AB199" s="109">
        <f t="shared" si="130"/>
        <v>0</v>
      </c>
      <c r="AC199" s="108">
        <v>0</v>
      </c>
      <c r="AD199" s="110"/>
      <c r="AE199" s="110">
        <v>0</v>
      </c>
      <c r="AF199" s="110"/>
      <c r="AG199" s="108"/>
      <c r="AH199" s="110"/>
      <c r="AI199" s="110"/>
      <c r="AJ199" s="110"/>
      <c r="AK199" s="108">
        <f t="shared" si="131"/>
        <v>0</v>
      </c>
      <c r="AL199" s="109">
        <f t="shared" si="132"/>
        <v>0</v>
      </c>
      <c r="AM199" s="108">
        <v>0</v>
      </c>
      <c r="AN199" s="110"/>
      <c r="AO199" s="110">
        <v>0</v>
      </c>
      <c r="AP199" s="110"/>
      <c r="AQ199" s="108"/>
      <c r="AR199" s="110"/>
      <c r="AS199" s="110"/>
      <c r="AT199" s="110"/>
      <c r="AU199" s="108">
        <f t="shared" si="133"/>
        <v>0</v>
      </c>
      <c r="AV199" s="109">
        <f t="shared" si="134"/>
        <v>0</v>
      </c>
      <c r="AW199" s="108">
        <v>0</v>
      </c>
      <c r="AX199" s="110"/>
      <c r="AY199" s="110">
        <v>0</v>
      </c>
      <c r="AZ199" s="110"/>
      <c r="BA199" s="108"/>
      <c r="BB199" s="110"/>
      <c r="BC199" s="110"/>
      <c r="BD199" s="110"/>
      <c r="BE199" s="108">
        <f t="shared" si="135"/>
        <v>0</v>
      </c>
      <c r="BF199" s="109">
        <f t="shared" si="136"/>
        <v>0</v>
      </c>
      <c r="BG199" s="108">
        <v>0</v>
      </c>
      <c r="BH199" s="110"/>
      <c r="BI199" s="110">
        <v>0</v>
      </c>
      <c r="BJ199" s="110"/>
      <c r="BK199" s="108"/>
      <c r="BL199" s="110"/>
      <c r="BM199" s="110"/>
      <c r="BN199" s="110"/>
      <c r="BO199" s="108">
        <f t="shared" si="137"/>
        <v>0</v>
      </c>
      <c r="BP199" s="109">
        <f t="shared" si="138"/>
        <v>0</v>
      </c>
      <c r="BQ199" s="108">
        <v>0</v>
      </c>
      <c r="BR199" s="110"/>
      <c r="BS199" s="110">
        <v>0</v>
      </c>
      <c r="BT199" s="110"/>
      <c r="BU199" s="108"/>
      <c r="BV199" s="110"/>
      <c r="BW199" s="110"/>
      <c r="BX199" s="110"/>
      <c r="BY199" s="108">
        <f t="shared" si="139"/>
        <v>0</v>
      </c>
      <c r="BZ199" s="109">
        <f t="shared" si="140"/>
        <v>0</v>
      </c>
      <c r="CA199" s="108">
        <v>0</v>
      </c>
      <c r="CB199" s="110"/>
      <c r="CC199" s="110">
        <v>0</v>
      </c>
      <c r="CD199" s="110"/>
      <c r="CE199" s="108"/>
      <c r="CF199" s="110"/>
      <c r="CG199" s="110"/>
      <c r="CH199" s="110"/>
      <c r="CI199" s="108">
        <f t="shared" si="141"/>
        <v>0</v>
      </c>
      <c r="CJ199" s="109">
        <f t="shared" si="142"/>
        <v>0</v>
      </c>
      <c r="CK199" s="108">
        <v>0</v>
      </c>
      <c r="CL199" s="110"/>
      <c r="CM199" s="110">
        <v>0</v>
      </c>
      <c r="CN199" s="110"/>
      <c r="CO199" s="108"/>
      <c r="CP199" s="110"/>
      <c r="CQ199" s="110"/>
      <c r="CR199" s="110"/>
      <c r="CS199" s="108">
        <f t="shared" si="143"/>
        <v>0</v>
      </c>
      <c r="CT199" s="109">
        <f t="shared" si="144"/>
        <v>0</v>
      </c>
      <c r="CU199" s="108">
        <v>0</v>
      </c>
      <c r="CV199" s="110"/>
      <c r="CW199" s="110">
        <v>0</v>
      </c>
      <c r="CX199" s="110"/>
      <c r="CY199" s="108"/>
      <c r="CZ199" s="110"/>
      <c r="DA199" s="110"/>
      <c r="DB199" s="110"/>
      <c r="DC199" s="108">
        <f t="shared" si="145"/>
        <v>0</v>
      </c>
      <c r="DD199" s="109">
        <f t="shared" si="146"/>
        <v>0</v>
      </c>
      <c r="DE199" s="108">
        <v>0</v>
      </c>
      <c r="DF199" s="110"/>
      <c r="DG199" s="110">
        <v>0</v>
      </c>
      <c r="DH199" s="110"/>
      <c r="DI199" s="108"/>
      <c r="DJ199" s="110"/>
      <c r="DK199" s="110"/>
      <c r="DL199" s="110"/>
      <c r="DM199" s="108">
        <f t="shared" si="147"/>
        <v>0</v>
      </c>
      <c r="DN199" s="109">
        <f t="shared" si="148"/>
        <v>0</v>
      </c>
      <c r="DO199" s="108">
        <v>0</v>
      </c>
      <c r="DP199" s="110"/>
      <c r="DQ199" s="110">
        <v>0</v>
      </c>
      <c r="DR199" s="110"/>
      <c r="DS199" s="108"/>
      <c r="DT199" s="110"/>
      <c r="DU199" s="110"/>
      <c r="DV199" s="110"/>
      <c r="DW199" s="108">
        <f t="shared" si="149"/>
        <v>0</v>
      </c>
      <c r="DX199" s="109">
        <f t="shared" si="150"/>
        <v>0</v>
      </c>
      <c r="DY199" s="108">
        <v>0</v>
      </c>
      <c r="DZ199" s="110"/>
      <c r="EA199" s="110">
        <v>0</v>
      </c>
      <c r="EB199" s="110"/>
      <c r="EC199" s="108"/>
      <c r="ED199" s="110"/>
      <c r="EE199" s="110"/>
      <c r="EF199" s="110"/>
      <c r="EG199" s="108">
        <f t="shared" si="151"/>
        <v>0</v>
      </c>
      <c r="EH199" s="109">
        <f t="shared" si="152"/>
        <v>0</v>
      </c>
      <c r="EI199" s="108">
        <v>0</v>
      </c>
      <c r="EJ199" s="110"/>
      <c r="EK199" s="110">
        <v>0</v>
      </c>
      <c r="EL199" s="110"/>
      <c r="EM199" s="108"/>
      <c r="EN199" s="110"/>
      <c r="EO199" s="110"/>
      <c r="EP199" s="110"/>
      <c r="EQ199" s="384"/>
      <c r="ER199" s="110">
        <f>SUM(ET199:EX199)</f>
        <v>0</v>
      </c>
      <c r="ES199" s="110"/>
      <c r="ET199" s="110">
        <f>IFERROR(SUMIFS(Daily_Vol_yesterday[Order Quantity],Daily_Vol_yesterday[Cust_Cat.cust_channel],master_Daily!X199,Daily_Vol_yesterday[Map_Product.TME_Brand],master_Daily!Y199)/50000,0)</f>
        <v>0</v>
      </c>
      <c r="EU199" s="110"/>
      <c r="EV199" s="109"/>
      <c r="EW199" s="110"/>
      <c r="EX199" s="110"/>
      <c r="EY199" s="110"/>
      <c r="EZ199" s="110">
        <f>SUM(FA199:FC199)</f>
        <v>0</v>
      </c>
      <c r="FA199" s="110"/>
      <c r="FB199" s="110">
        <f>IFERROR(SUM(SUMIFS(Weekly_Vol[Quantity],Weekly_Vol[Cust_Cat.cust_channel],master_Daily!X199,Weekly_Vol[Map_Product.TME_Brand],master_Daily!Y199),SUMIFS(Daily_Vol[Order Quantity],Daily_Vol[Cust_Cat.cust_channel],master_Daily!X199,Daily_Vol[Map_Product.TME_Brand],master_Daily!Y199))/50000,0)</f>
        <v>0</v>
      </c>
      <c r="FC199" s="110"/>
      <c r="FD199" s="110"/>
      <c r="FE199" s="110"/>
      <c r="FF199" s="110"/>
      <c r="FG199" s="110"/>
      <c r="FH199" s="110">
        <f t="shared" ca="1" si="160"/>
        <v>0</v>
      </c>
      <c r="FI199" s="110">
        <f t="shared" ca="1" si="160"/>
        <v>0</v>
      </c>
      <c r="FJ199" s="110">
        <f t="shared" ca="1" si="160"/>
        <v>0</v>
      </c>
      <c r="FK199" s="110">
        <f t="shared" ca="1" si="160"/>
        <v>0</v>
      </c>
      <c r="FL199" s="110">
        <f t="shared" ca="1" si="160"/>
        <v>0</v>
      </c>
      <c r="FM199" s="109">
        <f t="shared" ca="1" si="160"/>
        <v>0</v>
      </c>
      <c r="FN199" s="109">
        <f t="shared" ca="1" si="160"/>
        <v>0</v>
      </c>
      <c r="FO199" s="109">
        <f t="shared" ca="1" si="160"/>
        <v>0</v>
      </c>
      <c r="FP199" s="111">
        <f ca="1">IFERROR(FH199/$FH$171,0)</f>
        <v>0</v>
      </c>
      <c r="FQ199" s="112">
        <f t="shared" si="161"/>
        <v>0</v>
      </c>
      <c r="FR199" s="310"/>
      <c r="FS199" s="112">
        <f t="shared" si="155"/>
        <v>0</v>
      </c>
    </row>
    <row r="200" spans="20:175" s="85" customFormat="1" hidden="1" outlineLevel="1">
      <c r="T200" s="89"/>
      <c r="U200" s="86"/>
      <c r="X200" s="107" t="s">
        <v>209</v>
      </c>
      <c r="Y200" s="107" t="s">
        <v>46</v>
      </c>
      <c r="Z200" s="107"/>
      <c r="AA200" s="108">
        <f t="shared" si="129"/>
        <v>0</v>
      </c>
      <c r="AB200" s="109">
        <f t="shared" si="130"/>
        <v>0</v>
      </c>
      <c r="AC200" s="108">
        <v>0</v>
      </c>
      <c r="AD200" s="110"/>
      <c r="AE200" s="110">
        <v>0</v>
      </c>
      <c r="AF200" s="110"/>
      <c r="AG200" s="108"/>
      <c r="AH200" s="110"/>
      <c r="AI200" s="110"/>
      <c r="AJ200" s="110"/>
      <c r="AK200" s="108">
        <f t="shared" si="131"/>
        <v>0</v>
      </c>
      <c r="AL200" s="109">
        <f t="shared" si="132"/>
        <v>0</v>
      </c>
      <c r="AM200" s="108">
        <v>0</v>
      </c>
      <c r="AN200" s="110"/>
      <c r="AO200" s="110">
        <v>0</v>
      </c>
      <c r="AP200" s="110"/>
      <c r="AQ200" s="108"/>
      <c r="AR200" s="110"/>
      <c r="AS200" s="110"/>
      <c r="AT200" s="110"/>
      <c r="AU200" s="108">
        <f t="shared" si="133"/>
        <v>0</v>
      </c>
      <c r="AV200" s="109">
        <f t="shared" si="134"/>
        <v>0</v>
      </c>
      <c r="AW200" s="108">
        <v>0</v>
      </c>
      <c r="AX200" s="110"/>
      <c r="AY200" s="110">
        <v>0</v>
      </c>
      <c r="AZ200" s="110"/>
      <c r="BA200" s="108"/>
      <c r="BB200" s="110"/>
      <c r="BC200" s="110"/>
      <c r="BD200" s="110"/>
      <c r="BE200" s="108">
        <f t="shared" si="135"/>
        <v>0</v>
      </c>
      <c r="BF200" s="109">
        <f t="shared" si="136"/>
        <v>0</v>
      </c>
      <c r="BG200" s="108">
        <v>0</v>
      </c>
      <c r="BH200" s="110"/>
      <c r="BI200" s="110">
        <v>0</v>
      </c>
      <c r="BJ200" s="110"/>
      <c r="BK200" s="108"/>
      <c r="BL200" s="110"/>
      <c r="BM200" s="110"/>
      <c r="BN200" s="110"/>
      <c r="BO200" s="108">
        <f t="shared" si="137"/>
        <v>0</v>
      </c>
      <c r="BP200" s="109">
        <f t="shared" si="138"/>
        <v>0</v>
      </c>
      <c r="BQ200" s="108">
        <v>0</v>
      </c>
      <c r="BR200" s="110"/>
      <c r="BS200" s="110">
        <v>0</v>
      </c>
      <c r="BT200" s="110"/>
      <c r="BU200" s="108"/>
      <c r="BV200" s="110"/>
      <c r="BW200" s="110"/>
      <c r="BX200" s="110"/>
      <c r="BY200" s="108">
        <f t="shared" si="139"/>
        <v>0</v>
      </c>
      <c r="BZ200" s="109">
        <f t="shared" si="140"/>
        <v>0</v>
      </c>
      <c r="CA200" s="108">
        <v>0</v>
      </c>
      <c r="CB200" s="110"/>
      <c r="CC200" s="110">
        <v>0</v>
      </c>
      <c r="CD200" s="110"/>
      <c r="CE200" s="108"/>
      <c r="CF200" s="110"/>
      <c r="CG200" s="110"/>
      <c r="CH200" s="110"/>
      <c r="CI200" s="108">
        <f t="shared" si="141"/>
        <v>0</v>
      </c>
      <c r="CJ200" s="109">
        <f t="shared" si="142"/>
        <v>0</v>
      </c>
      <c r="CK200" s="108">
        <v>0</v>
      </c>
      <c r="CL200" s="110"/>
      <c r="CM200" s="110">
        <v>0</v>
      </c>
      <c r="CN200" s="110"/>
      <c r="CO200" s="108"/>
      <c r="CP200" s="110"/>
      <c r="CQ200" s="110"/>
      <c r="CR200" s="110"/>
      <c r="CS200" s="108">
        <f t="shared" si="143"/>
        <v>0</v>
      </c>
      <c r="CT200" s="109">
        <f t="shared" si="144"/>
        <v>0</v>
      </c>
      <c r="CU200" s="108">
        <v>0</v>
      </c>
      <c r="CV200" s="110"/>
      <c r="CW200" s="110">
        <v>0</v>
      </c>
      <c r="CX200" s="110"/>
      <c r="CY200" s="108"/>
      <c r="CZ200" s="110"/>
      <c r="DA200" s="110"/>
      <c r="DB200" s="110"/>
      <c r="DC200" s="108">
        <f t="shared" si="145"/>
        <v>0</v>
      </c>
      <c r="DD200" s="109">
        <f t="shared" si="146"/>
        <v>0</v>
      </c>
      <c r="DE200" s="108">
        <v>0</v>
      </c>
      <c r="DF200" s="110"/>
      <c r="DG200" s="110">
        <v>0</v>
      </c>
      <c r="DH200" s="110"/>
      <c r="DI200" s="108"/>
      <c r="DJ200" s="110"/>
      <c r="DK200" s="110"/>
      <c r="DL200" s="110"/>
      <c r="DM200" s="108">
        <f t="shared" si="147"/>
        <v>0</v>
      </c>
      <c r="DN200" s="109">
        <f t="shared" si="148"/>
        <v>0</v>
      </c>
      <c r="DO200" s="108">
        <v>0</v>
      </c>
      <c r="DP200" s="110"/>
      <c r="DQ200" s="110">
        <v>0</v>
      </c>
      <c r="DR200" s="110"/>
      <c r="DS200" s="108"/>
      <c r="DT200" s="110"/>
      <c r="DU200" s="110"/>
      <c r="DV200" s="110"/>
      <c r="DW200" s="108">
        <f t="shared" si="149"/>
        <v>0</v>
      </c>
      <c r="DX200" s="109">
        <f t="shared" si="150"/>
        <v>0</v>
      </c>
      <c r="DY200" s="108">
        <v>0</v>
      </c>
      <c r="DZ200" s="110"/>
      <c r="EA200" s="110">
        <v>0</v>
      </c>
      <c r="EB200" s="110"/>
      <c r="EC200" s="108"/>
      <c r="ED200" s="110"/>
      <c r="EE200" s="110"/>
      <c r="EF200" s="110"/>
      <c r="EG200" s="108">
        <f t="shared" si="151"/>
        <v>0</v>
      </c>
      <c r="EH200" s="109">
        <f t="shared" si="152"/>
        <v>0</v>
      </c>
      <c r="EI200" s="108">
        <v>0</v>
      </c>
      <c r="EJ200" s="110"/>
      <c r="EK200" s="110">
        <v>0</v>
      </c>
      <c r="EL200" s="110"/>
      <c r="EM200" s="108"/>
      <c r="EN200" s="110"/>
      <c r="EO200" s="110"/>
      <c r="EP200" s="110"/>
      <c r="EQ200" s="384"/>
      <c r="ER200" s="110">
        <f>SUM(ET200:EX200)</f>
        <v>0</v>
      </c>
      <c r="ES200" s="110"/>
      <c r="ET200" s="110">
        <f>IFERROR(SUMIFS(Daily_Vol_yesterday[Order Quantity],Daily_Vol_yesterday[Cust_Cat.cust_channel],master_Daily!X200,Daily_Vol_yesterday[Map_Product.TME_Brand],master_Daily!Y200)/50000,0)</f>
        <v>0</v>
      </c>
      <c r="EU200" s="110"/>
      <c r="EV200" s="109"/>
      <c r="EW200" s="110"/>
      <c r="EX200" s="110"/>
      <c r="EY200" s="110"/>
      <c r="EZ200" s="110">
        <f>SUM(FA200:FC200)</f>
        <v>0</v>
      </c>
      <c r="FA200" s="110"/>
      <c r="FB200" s="110">
        <f>IFERROR(SUM(SUMIFS(Weekly_Vol[Quantity],Weekly_Vol[Cust_Cat.cust_channel],master_Daily!X200,Weekly_Vol[Map_Product.TME_Brand],master_Daily!Y200),SUMIFS(Daily_Vol[Order Quantity],Daily_Vol[Cust_Cat.cust_channel],master_Daily!X200,Daily_Vol[Map_Product.TME_Brand],master_Daily!Y200))/50000,0)</f>
        <v>0</v>
      </c>
      <c r="FC200" s="110"/>
      <c r="FD200" s="110"/>
      <c r="FE200" s="110"/>
      <c r="FF200" s="110"/>
      <c r="FG200" s="110"/>
      <c r="FH200" s="110">
        <f t="shared" ca="1" si="160"/>
        <v>0</v>
      </c>
      <c r="FI200" s="110">
        <f t="shared" ca="1" si="160"/>
        <v>0</v>
      </c>
      <c r="FJ200" s="110">
        <f t="shared" ca="1" si="160"/>
        <v>0</v>
      </c>
      <c r="FK200" s="110">
        <f t="shared" ca="1" si="160"/>
        <v>0</v>
      </c>
      <c r="FL200" s="110">
        <f t="shared" ca="1" si="160"/>
        <v>0</v>
      </c>
      <c r="FM200" s="109">
        <f t="shared" ca="1" si="160"/>
        <v>0</v>
      </c>
      <c r="FN200" s="109">
        <f t="shared" ca="1" si="160"/>
        <v>0</v>
      </c>
      <c r="FO200" s="109">
        <f t="shared" ca="1" si="160"/>
        <v>0</v>
      </c>
      <c r="FP200" s="111">
        <f ca="1">IFERROR(FH200/$FH$171,0)</f>
        <v>0</v>
      </c>
      <c r="FQ200" s="112">
        <f t="shared" si="161"/>
        <v>0</v>
      </c>
      <c r="FR200" s="310"/>
      <c r="FS200" s="112">
        <f t="shared" si="155"/>
        <v>0</v>
      </c>
    </row>
    <row r="201" spans="20:175" s="85" customFormat="1" hidden="1" outlineLevel="1">
      <c r="T201" s="89"/>
      <c r="U201" s="86"/>
      <c r="X201" s="107" t="s">
        <v>209</v>
      </c>
      <c r="Y201" s="107" t="s">
        <v>263</v>
      </c>
      <c r="Z201" s="107"/>
      <c r="AA201" s="108">
        <f t="shared" si="129"/>
        <v>0</v>
      </c>
      <c r="AB201" s="109">
        <f t="shared" si="130"/>
        <v>0</v>
      </c>
      <c r="AC201" s="108">
        <v>0</v>
      </c>
      <c r="AD201" s="110"/>
      <c r="AE201" s="110">
        <v>0</v>
      </c>
      <c r="AF201" s="110"/>
      <c r="AG201" s="108"/>
      <c r="AH201" s="110"/>
      <c r="AI201" s="110"/>
      <c r="AJ201" s="110"/>
      <c r="AK201" s="108">
        <f t="shared" si="131"/>
        <v>0</v>
      </c>
      <c r="AL201" s="109">
        <f t="shared" si="132"/>
        <v>0</v>
      </c>
      <c r="AM201" s="108">
        <v>0</v>
      </c>
      <c r="AN201" s="110"/>
      <c r="AO201" s="110">
        <v>0</v>
      </c>
      <c r="AP201" s="110"/>
      <c r="AQ201" s="108"/>
      <c r="AR201" s="110"/>
      <c r="AS201" s="110"/>
      <c r="AT201" s="110"/>
      <c r="AU201" s="108">
        <f t="shared" si="133"/>
        <v>0</v>
      </c>
      <c r="AV201" s="109">
        <f t="shared" si="134"/>
        <v>0</v>
      </c>
      <c r="AW201" s="108">
        <v>0</v>
      </c>
      <c r="AX201" s="110"/>
      <c r="AY201" s="110">
        <v>0</v>
      </c>
      <c r="AZ201" s="110"/>
      <c r="BA201" s="108"/>
      <c r="BB201" s="110"/>
      <c r="BC201" s="110"/>
      <c r="BD201" s="110"/>
      <c r="BE201" s="108">
        <f t="shared" si="135"/>
        <v>0</v>
      </c>
      <c r="BF201" s="109">
        <f t="shared" si="136"/>
        <v>0</v>
      </c>
      <c r="BG201" s="108">
        <v>0</v>
      </c>
      <c r="BH201" s="110"/>
      <c r="BI201" s="110">
        <v>0</v>
      </c>
      <c r="BJ201" s="110"/>
      <c r="BK201" s="108"/>
      <c r="BL201" s="110"/>
      <c r="BM201" s="110"/>
      <c r="BN201" s="110"/>
      <c r="BO201" s="108">
        <f t="shared" si="137"/>
        <v>0</v>
      </c>
      <c r="BP201" s="109">
        <f t="shared" si="138"/>
        <v>0</v>
      </c>
      <c r="BQ201" s="108">
        <v>0</v>
      </c>
      <c r="BR201" s="110"/>
      <c r="BS201" s="110">
        <v>0</v>
      </c>
      <c r="BT201" s="110"/>
      <c r="BU201" s="108"/>
      <c r="BV201" s="110"/>
      <c r="BW201" s="110"/>
      <c r="BX201" s="110"/>
      <c r="BY201" s="108">
        <f t="shared" si="139"/>
        <v>0</v>
      </c>
      <c r="BZ201" s="109">
        <f t="shared" si="140"/>
        <v>0</v>
      </c>
      <c r="CA201" s="108">
        <v>0</v>
      </c>
      <c r="CB201" s="110"/>
      <c r="CC201" s="110">
        <v>0</v>
      </c>
      <c r="CD201" s="110"/>
      <c r="CE201" s="108"/>
      <c r="CF201" s="110"/>
      <c r="CG201" s="110"/>
      <c r="CH201" s="110"/>
      <c r="CI201" s="108">
        <f t="shared" si="141"/>
        <v>0</v>
      </c>
      <c r="CJ201" s="109">
        <f t="shared" si="142"/>
        <v>0</v>
      </c>
      <c r="CK201" s="108">
        <v>0</v>
      </c>
      <c r="CL201" s="110"/>
      <c r="CM201" s="110">
        <v>0</v>
      </c>
      <c r="CN201" s="110"/>
      <c r="CO201" s="108"/>
      <c r="CP201" s="110"/>
      <c r="CQ201" s="110"/>
      <c r="CR201" s="110"/>
      <c r="CS201" s="108">
        <f t="shared" si="143"/>
        <v>0</v>
      </c>
      <c r="CT201" s="109">
        <f t="shared" si="144"/>
        <v>0</v>
      </c>
      <c r="CU201" s="108">
        <v>0</v>
      </c>
      <c r="CV201" s="110"/>
      <c r="CW201" s="110">
        <v>0</v>
      </c>
      <c r="CX201" s="110"/>
      <c r="CY201" s="108"/>
      <c r="CZ201" s="110"/>
      <c r="DA201" s="110"/>
      <c r="DB201" s="110"/>
      <c r="DC201" s="108">
        <f t="shared" si="145"/>
        <v>0</v>
      </c>
      <c r="DD201" s="109">
        <f t="shared" si="146"/>
        <v>0</v>
      </c>
      <c r="DE201" s="108">
        <v>0</v>
      </c>
      <c r="DF201" s="110"/>
      <c r="DG201" s="110">
        <v>0</v>
      </c>
      <c r="DH201" s="110"/>
      <c r="DI201" s="108"/>
      <c r="DJ201" s="110"/>
      <c r="DK201" s="110"/>
      <c r="DL201" s="110"/>
      <c r="DM201" s="108">
        <f t="shared" si="147"/>
        <v>0</v>
      </c>
      <c r="DN201" s="109">
        <f t="shared" si="148"/>
        <v>0</v>
      </c>
      <c r="DO201" s="108">
        <v>0</v>
      </c>
      <c r="DP201" s="110"/>
      <c r="DQ201" s="110">
        <v>0</v>
      </c>
      <c r="DR201" s="110"/>
      <c r="DS201" s="108"/>
      <c r="DT201" s="110"/>
      <c r="DU201" s="110"/>
      <c r="DV201" s="110"/>
      <c r="DW201" s="108">
        <f t="shared" si="149"/>
        <v>0</v>
      </c>
      <c r="DX201" s="109">
        <f t="shared" si="150"/>
        <v>0</v>
      </c>
      <c r="DY201" s="108">
        <v>0</v>
      </c>
      <c r="DZ201" s="110"/>
      <c r="EA201" s="110">
        <v>0</v>
      </c>
      <c r="EB201" s="110"/>
      <c r="EC201" s="108"/>
      <c r="ED201" s="110"/>
      <c r="EE201" s="110"/>
      <c r="EF201" s="110"/>
      <c r="EG201" s="108">
        <f t="shared" si="151"/>
        <v>0</v>
      </c>
      <c r="EH201" s="109">
        <f t="shared" si="152"/>
        <v>0</v>
      </c>
      <c r="EI201" s="108">
        <v>0</v>
      </c>
      <c r="EJ201" s="110"/>
      <c r="EK201" s="110">
        <v>0</v>
      </c>
      <c r="EL201" s="110"/>
      <c r="EM201" s="108"/>
      <c r="EN201" s="110"/>
      <c r="EO201" s="110"/>
      <c r="EP201" s="110"/>
      <c r="EQ201" s="384"/>
      <c r="ER201" s="110">
        <f>SUM(ET201:EX201)</f>
        <v>0</v>
      </c>
      <c r="ES201" s="110"/>
      <c r="ET201" s="110">
        <f>IFERROR(SUMIFS(Daily_Vol_yesterday[Order Quantity],Daily_Vol_yesterday[Cust_Cat.cust_channel],master_Daily!X201,Daily_Vol_yesterday[Map_Product.TME_Brand],"CM")/50000,0)</f>
        <v>0</v>
      </c>
      <c r="EU201" s="110"/>
      <c r="EV201" s="109"/>
      <c r="EW201" s="110"/>
      <c r="EX201" s="110"/>
      <c r="EY201" s="110"/>
      <c r="EZ201" s="110">
        <f>SUM(FA201:FC201)</f>
        <v>0</v>
      </c>
      <c r="FA201" s="110"/>
      <c r="FB201" s="110">
        <f>IFERROR(SUM(SUMIFS(Weekly_Vol[Quantity],Weekly_Vol[Cust_Cat.cust_channel],master_Daily!X201,Weekly_Vol[Map_Product.TME_Brand],"CM"),SUMIFS(Daily_Vol[Order Quantity],Daily_Vol[Cust_Cat.cust_channel],master_Daily!X201,Daily_Vol[Map_Product.TME_Brand],"CM"))/50000,0)</f>
        <v>0</v>
      </c>
      <c r="FC201" s="110"/>
      <c r="FD201" s="110"/>
      <c r="FE201" s="110"/>
      <c r="FF201" s="110"/>
      <c r="FG201" s="110"/>
      <c r="FH201" s="110">
        <f t="shared" ref="FH201:FL202" ca="1" si="162">SUMIFS($AA201:$EP201,$AA$129:$EP$129,INDIRECT(ADDRESS(129,COLUMN())))</f>
        <v>0</v>
      </c>
      <c r="FI201" s="110">
        <f t="shared" ca="1" si="162"/>
        <v>0</v>
      </c>
      <c r="FJ201" s="110">
        <f t="shared" ca="1" si="162"/>
        <v>0</v>
      </c>
      <c r="FK201" s="110">
        <f t="shared" ca="1" si="162"/>
        <v>0</v>
      </c>
      <c r="FL201" s="110">
        <f t="shared" ca="1" si="162"/>
        <v>0</v>
      </c>
      <c r="FM201" s="109">
        <f t="shared" ref="FM201:FO202" si="163">SUMIFS(AF201:EU201,$AA$129:$EP$129,$FH$129)</f>
        <v>0</v>
      </c>
      <c r="FN201" s="109">
        <f t="shared" si="163"/>
        <v>0</v>
      </c>
      <c r="FO201" s="109">
        <f t="shared" si="163"/>
        <v>0</v>
      </c>
      <c r="FP201" s="111">
        <f ca="1">IFERROR(FH201/$FH$171,0)</f>
        <v>0</v>
      </c>
      <c r="FQ201" s="112">
        <f t="shared" si="161"/>
        <v>0</v>
      </c>
      <c r="FR201" s="310"/>
      <c r="FS201" s="112">
        <f t="shared" si="155"/>
        <v>0</v>
      </c>
    </row>
    <row r="202" spans="20:175" s="85" customFormat="1" hidden="1" outlineLevel="1">
      <c r="T202" s="89"/>
      <c r="U202" s="86"/>
      <c r="X202" s="107" t="s">
        <v>209</v>
      </c>
      <c r="Y202" s="107" t="s">
        <v>264</v>
      </c>
      <c r="Z202" s="107"/>
      <c r="AA202" s="108">
        <f t="shared" si="129"/>
        <v>0</v>
      </c>
      <c r="AB202" s="109">
        <f t="shared" si="130"/>
        <v>0</v>
      </c>
      <c r="AC202" s="108">
        <v>0</v>
      </c>
      <c r="AD202" s="110"/>
      <c r="AE202" s="110">
        <v>0</v>
      </c>
      <c r="AF202" s="110"/>
      <c r="AG202" s="108"/>
      <c r="AH202" s="110"/>
      <c r="AI202" s="110"/>
      <c r="AJ202" s="110"/>
      <c r="AK202" s="108">
        <f t="shared" si="131"/>
        <v>0</v>
      </c>
      <c r="AL202" s="109">
        <f t="shared" si="132"/>
        <v>0</v>
      </c>
      <c r="AM202" s="108">
        <v>0</v>
      </c>
      <c r="AN202" s="110"/>
      <c r="AO202" s="110">
        <v>0</v>
      </c>
      <c r="AP202" s="110"/>
      <c r="AQ202" s="108"/>
      <c r="AR202" s="110"/>
      <c r="AS202" s="110"/>
      <c r="AT202" s="110"/>
      <c r="AU202" s="108">
        <f t="shared" si="133"/>
        <v>0</v>
      </c>
      <c r="AV202" s="109">
        <f t="shared" si="134"/>
        <v>0</v>
      </c>
      <c r="AW202" s="108">
        <v>0</v>
      </c>
      <c r="AX202" s="110"/>
      <c r="AY202" s="110">
        <v>0</v>
      </c>
      <c r="AZ202" s="110"/>
      <c r="BA202" s="108"/>
      <c r="BB202" s="110"/>
      <c r="BC202" s="110"/>
      <c r="BD202" s="110"/>
      <c r="BE202" s="108">
        <f t="shared" si="135"/>
        <v>0</v>
      </c>
      <c r="BF202" s="109">
        <f t="shared" si="136"/>
        <v>0</v>
      </c>
      <c r="BG202" s="108">
        <v>0</v>
      </c>
      <c r="BH202" s="110"/>
      <c r="BI202" s="110">
        <v>0</v>
      </c>
      <c r="BJ202" s="110"/>
      <c r="BK202" s="108"/>
      <c r="BL202" s="110"/>
      <c r="BM202" s="110"/>
      <c r="BN202" s="110"/>
      <c r="BO202" s="108">
        <f t="shared" si="137"/>
        <v>0</v>
      </c>
      <c r="BP202" s="109">
        <f t="shared" si="138"/>
        <v>0</v>
      </c>
      <c r="BQ202" s="108">
        <v>0</v>
      </c>
      <c r="BR202" s="110"/>
      <c r="BS202" s="110">
        <v>0</v>
      </c>
      <c r="BT202" s="110"/>
      <c r="BU202" s="108"/>
      <c r="BV202" s="110"/>
      <c r="BW202" s="110"/>
      <c r="BX202" s="110"/>
      <c r="BY202" s="108">
        <f t="shared" si="139"/>
        <v>0</v>
      </c>
      <c r="BZ202" s="109">
        <f t="shared" si="140"/>
        <v>0</v>
      </c>
      <c r="CA202" s="108">
        <v>0</v>
      </c>
      <c r="CB202" s="110"/>
      <c r="CC202" s="110">
        <v>0</v>
      </c>
      <c r="CD202" s="110"/>
      <c r="CE202" s="108"/>
      <c r="CF202" s="110"/>
      <c r="CG202" s="110"/>
      <c r="CH202" s="110"/>
      <c r="CI202" s="108">
        <f t="shared" si="141"/>
        <v>0</v>
      </c>
      <c r="CJ202" s="109">
        <f t="shared" si="142"/>
        <v>0</v>
      </c>
      <c r="CK202" s="108">
        <v>0</v>
      </c>
      <c r="CL202" s="110"/>
      <c r="CM202" s="110">
        <v>0</v>
      </c>
      <c r="CN202" s="110"/>
      <c r="CO202" s="108"/>
      <c r="CP202" s="110"/>
      <c r="CQ202" s="110"/>
      <c r="CR202" s="110"/>
      <c r="CS202" s="108">
        <f t="shared" si="143"/>
        <v>0</v>
      </c>
      <c r="CT202" s="109">
        <f t="shared" si="144"/>
        <v>0</v>
      </c>
      <c r="CU202" s="108">
        <v>0</v>
      </c>
      <c r="CV202" s="110"/>
      <c r="CW202" s="110">
        <v>0</v>
      </c>
      <c r="CX202" s="110"/>
      <c r="CY202" s="108"/>
      <c r="CZ202" s="110"/>
      <c r="DA202" s="110"/>
      <c r="DB202" s="110"/>
      <c r="DC202" s="108">
        <f t="shared" si="145"/>
        <v>0</v>
      </c>
      <c r="DD202" s="109">
        <f t="shared" si="146"/>
        <v>0</v>
      </c>
      <c r="DE202" s="108">
        <v>0</v>
      </c>
      <c r="DF202" s="110"/>
      <c r="DG202" s="110">
        <v>0</v>
      </c>
      <c r="DH202" s="110"/>
      <c r="DI202" s="108"/>
      <c r="DJ202" s="110"/>
      <c r="DK202" s="110"/>
      <c r="DL202" s="110"/>
      <c r="DM202" s="108">
        <f t="shared" si="147"/>
        <v>0</v>
      </c>
      <c r="DN202" s="109">
        <f t="shared" si="148"/>
        <v>0</v>
      </c>
      <c r="DO202" s="108">
        <v>0</v>
      </c>
      <c r="DP202" s="110"/>
      <c r="DQ202" s="110">
        <v>0</v>
      </c>
      <c r="DR202" s="110"/>
      <c r="DS202" s="108"/>
      <c r="DT202" s="110"/>
      <c r="DU202" s="110"/>
      <c r="DV202" s="110"/>
      <c r="DW202" s="108">
        <f t="shared" si="149"/>
        <v>0</v>
      </c>
      <c r="DX202" s="109">
        <f t="shared" si="150"/>
        <v>0</v>
      </c>
      <c r="DY202" s="108">
        <v>0</v>
      </c>
      <c r="DZ202" s="110"/>
      <c r="EA202" s="110">
        <v>0</v>
      </c>
      <c r="EB202" s="110"/>
      <c r="EC202" s="108"/>
      <c r="ED202" s="110"/>
      <c r="EE202" s="110"/>
      <c r="EF202" s="110"/>
      <c r="EG202" s="108">
        <f t="shared" si="151"/>
        <v>0</v>
      </c>
      <c r="EH202" s="109">
        <f t="shared" si="152"/>
        <v>0</v>
      </c>
      <c r="EI202" s="108">
        <v>0</v>
      </c>
      <c r="EJ202" s="110"/>
      <c r="EK202" s="110">
        <v>0</v>
      </c>
      <c r="EL202" s="110"/>
      <c r="EM202" s="108"/>
      <c r="EN202" s="110"/>
      <c r="EO202" s="110"/>
      <c r="EP202" s="110"/>
      <c r="EQ202" s="384"/>
      <c r="ER202" s="110">
        <f>SUM(ET202:EX202)</f>
        <v>0</v>
      </c>
      <c r="ES202" s="110"/>
      <c r="ET202" s="110">
        <f>IFERROR(SUMIFS(Daily_Vol_yesterday[Order Quantity],Daily_Vol_yesterday[Cust_Cat.cust_channel],master_Daily!X202,Daily_Vol_yesterday[Map_Product.TME_Brand],"CMHD")/50000,0)</f>
        <v>0</v>
      </c>
      <c r="EU202" s="110"/>
      <c r="EV202" s="109"/>
      <c r="EW202" s="110"/>
      <c r="EX202" s="110"/>
      <c r="EY202" s="110"/>
      <c r="EZ202" s="110">
        <f>SUM(FA202:FC202)</f>
        <v>0</v>
      </c>
      <c r="FA202" s="110"/>
      <c r="FB202" s="110">
        <f>IFERROR(SUM(SUMIFS(Weekly_Vol[Quantity],Weekly_Vol[Cust_Cat.cust_channel],master_Daily!X202,Weekly_Vol[Map_Product.TME_Brand],"CMHD"),SUMIFS(Daily_Vol[Order Quantity],Daily_Vol[Cust_Cat.cust_channel],master_Daily!X202,Daily_Vol[Map_Product.TME_Brand],"CMHD"))/50000,0)</f>
        <v>0</v>
      </c>
      <c r="FC202" s="110"/>
      <c r="FD202" s="110"/>
      <c r="FE202" s="110"/>
      <c r="FF202" s="110"/>
      <c r="FG202" s="110"/>
      <c r="FH202" s="110">
        <f t="shared" ca="1" si="162"/>
        <v>0</v>
      </c>
      <c r="FI202" s="110">
        <f t="shared" ca="1" si="162"/>
        <v>0</v>
      </c>
      <c r="FJ202" s="110">
        <f t="shared" ca="1" si="162"/>
        <v>0</v>
      </c>
      <c r="FK202" s="110">
        <f t="shared" ca="1" si="162"/>
        <v>0</v>
      </c>
      <c r="FL202" s="110">
        <f t="shared" ca="1" si="162"/>
        <v>0</v>
      </c>
      <c r="FM202" s="109">
        <f t="shared" si="163"/>
        <v>0</v>
      </c>
      <c r="FN202" s="109">
        <f t="shared" si="163"/>
        <v>0</v>
      </c>
      <c r="FO202" s="109">
        <f t="shared" si="163"/>
        <v>0</v>
      </c>
      <c r="FP202" s="111">
        <f ca="1">IFERROR(FH202/$FH$171,0)</f>
        <v>0</v>
      </c>
      <c r="FQ202" s="112">
        <f>IFERROR(EZ202/EQ202,0)</f>
        <v>0</v>
      </c>
      <c r="FR202" s="310"/>
      <c r="FS202" s="112">
        <f t="shared" si="155"/>
        <v>0</v>
      </c>
    </row>
    <row r="203" spans="20:175" s="85" customFormat="1" hidden="1" collapsed="1">
      <c r="T203" s="89"/>
      <c r="U203" s="86"/>
      <c r="X203" s="113" t="s">
        <v>210</v>
      </c>
      <c r="Y203" s="152"/>
      <c r="Z203" s="152"/>
      <c r="AA203" s="114">
        <f t="shared" si="129"/>
        <v>0</v>
      </c>
      <c r="AB203" s="114">
        <f t="shared" si="130"/>
        <v>0</v>
      </c>
      <c r="AC203" s="114">
        <v>0</v>
      </c>
      <c r="AD203" s="114">
        <v>0</v>
      </c>
      <c r="AE203" s="114">
        <v>0</v>
      </c>
      <c r="AF203" s="114">
        <v>0</v>
      </c>
      <c r="AG203" s="114">
        <v>0</v>
      </c>
      <c r="AH203" s="114">
        <v>0</v>
      </c>
      <c r="AI203" s="114">
        <v>0</v>
      </c>
      <c r="AJ203" s="114">
        <v>0</v>
      </c>
      <c r="AK203" s="114">
        <f t="shared" si="131"/>
        <v>0</v>
      </c>
      <c r="AL203" s="114">
        <f t="shared" si="132"/>
        <v>0</v>
      </c>
      <c r="AM203" s="114">
        <v>0</v>
      </c>
      <c r="AN203" s="114">
        <v>0</v>
      </c>
      <c r="AO203" s="114">
        <v>0</v>
      </c>
      <c r="AP203" s="114">
        <v>0</v>
      </c>
      <c r="AQ203" s="114">
        <v>0</v>
      </c>
      <c r="AR203" s="114">
        <v>0</v>
      </c>
      <c r="AS203" s="114">
        <v>0</v>
      </c>
      <c r="AT203" s="114">
        <v>0</v>
      </c>
      <c r="AU203" s="114">
        <f t="shared" si="133"/>
        <v>0</v>
      </c>
      <c r="AV203" s="114">
        <f t="shared" si="134"/>
        <v>0</v>
      </c>
      <c r="AW203" s="63">
        <v>0</v>
      </c>
      <c r="AX203" s="63">
        <v>0</v>
      </c>
      <c r="AY203" s="63">
        <v>0</v>
      </c>
      <c r="AZ203" s="63">
        <v>0</v>
      </c>
      <c r="BA203" s="63">
        <v>0</v>
      </c>
      <c r="BB203" s="63">
        <v>0</v>
      </c>
      <c r="BC203" s="63">
        <v>0</v>
      </c>
      <c r="BD203" s="63">
        <v>0</v>
      </c>
      <c r="BE203" s="114">
        <f t="shared" si="135"/>
        <v>0</v>
      </c>
      <c r="BF203" s="114">
        <f t="shared" si="136"/>
        <v>0</v>
      </c>
      <c r="BG203" s="63">
        <v>0</v>
      </c>
      <c r="BH203" s="63">
        <v>0</v>
      </c>
      <c r="BI203" s="63">
        <v>0</v>
      </c>
      <c r="BJ203" s="63">
        <v>0</v>
      </c>
      <c r="BK203" s="63">
        <v>0</v>
      </c>
      <c r="BL203" s="63">
        <v>0</v>
      </c>
      <c r="BM203" s="63">
        <v>0</v>
      </c>
      <c r="BN203" s="63">
        <v>0</v>
      </c>
      <c r="BO203" s="114">
        <f t="shared" si="137"/>
        <v>0</v>
      </c>
      <c r="BP203" s="114">
        <f t="shared" si="138"/>
        <v>0</v>
      </c>
      <c r="BQ203" s="114">
        <v>0</v>
      </c>
      <c r="BR203" s="114">
        <v>0</v>
      </c>
      <c r="BS203" s="114">
        <v>0</v>
      </c>
      <c r="BT203" s="114">
        <v>0</v>
      </c>
      <c r="BU203" s="114">
        <v>0</v>
      </c>
      <c r="BV203" s="114">
        <v>0</v>
      </c>
      <c r="BW203" s="114">
        <v>0</v>
      </c>
      <c r="BX203" s="114">
        <v>0</v>
      </c>
      <c r="BY203" s="114">
        <f t="shared" si="139"/>
        <v>0</v>
      </c>
      <c r="BZ203" s="114">
        <f t="shared" si="140"/>
        <v>0</v>
      </c>
      <c r="CA203" s="114">
        <v>0</v>
      </c>
      <c r="CB203" s="114">
        <v>0</v>
      </c>
      <c r="CC203" s="114">
        <v>0</v>
      </c>
      <c r="CD203" s="114">
        <v>0</v>
      </c>
      <c r="CE203" s="114">
        <v>0</v>
      </c>
      <c r="CF203" s="114">
        <v>0</v>
      </c>
      <c r="CG203" s="114">
        <v>0</v>
      </c>
      <c r="CH203" s="114">
        <v>0</v>
      </c>
      <c r="CI203" s="114">
        <f t="shared" si="141"/>
        <v>0</v>
      </c>
      <c r="CJ203" s="114">
        <f t="shared" si="142"/>
        <v>0</v>
      </c>
      <c r="CK203" s="114">
        <v>0</v>
      </c>
      <c r="CL203" s="114">
        <v>0</v>
      </c>
      <c r="CM203" s="114">
        <v>0</v>
      </c>
      <c r="CN203" s="114">
        <v>0</v>
      </c>
      <c r="CO203" s="114">
        <v>0</v>
      </c>
      <c r="CP203" s="114">
        <v>0</v>
      </c>
      <c r="CQ203" s="114">
        <v>0</v>
      </c>
      <c r="CR203" s="114">
        <v>0</v>
      </c>
      <c r="CS203" s="114">
        <f t="shared" si="143"/>
        <v>0</v>
      </c>
      <c r="CT203" s="114">
        <f t="shared" si="144"/>
        <v>0</v>
      </c>
      <c r="CU203" s="114">
        <v>0</v>
      </c>
      <c r="CV203" s="114">
        <v>0</v>
      </c>
      <c r="CW203" s="114">
        <v>0</v>
      </c>
      <c r="CX203" s="114">
        <v>0</v>
      </c>
      <c r="CY203" s="114">
        <v>0</v>
      </c>
      <c r="CZ203" s="114">
        <v>0</v>
      </c>
      <c r="DA203" s="114">
        <v>0</v>
      </c>
      <c r="DB203" s="114">
        <v>0</v>
      </c>
      <c r="DC203" s="114">
        <f t="shared" si="145"/>
        <v>0</v>
      </c>
      <c r="DD203" s="114">
        <f t="shared" si="146"/>
        <v>0</v>
      </c>
      <c r="DE203" s="114">
        <v>0</v>
      </c>
      <c r="DF203" s="114">
        <v>0</v>
      </c>
      <c r="DG203" s="114">
        <v>0</v>
      </c>
      <c r="DH203" s="114">
        <v>0</v>
      </c>
      <c r="DI203" s="114">
        <v>0</v>
      </c>
      <c r="DJ203" s="114">
        <v>0</v>
      </c>
      <c r="DK203" s="114">
        <v>0</v>
      </c>
      <c r="DL203" s="114">
        <v>0</v>
      </c>
      <c r="DM203" s="114">
        <f t="shared" si="147"/>
        <v>0</v>
      </c>
      <c r="DN203" s="114">
        <f t="shared" si="148"/>
        <v>0</v>
      </c>
      <c r="DO203" s="114">
        <v>0</v>
      </c>
      <c r="DP203" s="114">
        <v>0</v>
      </c>
      <c r="DQ203" s="114">
        <v>0</v>
      </c>
      <c r="DR203" s="114">
        <v>0</v>
      </c>
      <c r="DS203" s="114">
        <v>0</v>
      </c>
      <c r="DT203" s="114">
        <v>0</v>
      </c>
      <c r="DU203" s="114">
        <v>0</v>
      </c>
      <c r="DV203" s="114">
        <v>0</v>
      </c>
      <c r="DW203" s="114">
        <f t="shared" si="149"/>
        <v>0</v>
      </c>
      <c r="DX203" s="114">
        <f t="shared" si="150"/>
        <v>0</v>
      </c>
      <c r="DY203" s="114">
        <v>0</v>
      </c>
      <c r="DZ203" s="114">
        <v>0</v>
      </c>
      <c r="EA203" s="114">
        <v>0</v>
      </c>
      <c r="EB203" s="114">
        <v>0</v>
      </c>
      <c r="EC203" s="114">
        <v>0</v>
      </c>
      <c r="ED203" s="114">
        <v>0</v>
      </c>
      <c r="EE203" s="114">
        <v>0</v>
      </c>
      <c r="EF203" s="114">
        <v>0</v>
      </c>
      <c r="EG203" s="114">
        <f t="shared" si="151"/>
        <v>0</v>
      </c>
      <c r="EH203" s="114">
        <f t="shared" si="152"/>
        <v>0</v>
      </c>
      <c r="EI203" s="114">
        <v>0</v>
      </c>
      <c r="EJ203" s="114">
        <v>0</v>
      </c>
      <c r="EK203" s="114">
        <v>0</v>
      </c>
      <c r="EL203" s="114">
        <v>0</v>
      </c>
      <c r="EM203" s="114">
        <v>0</v>
      </c>
      <c r="EN203" s="114">
        <v>0</v>
      </c>
      <c r="EO203" s="114">
        <v>0</v>
      </c>
      <c r="EP203" s="114">
        <v>0</v>
      </c>
      <c r="EQ203" s="115"/>
      <c r="ER203" s="114">
        <f>SUM(ER198:ER202)</f>
        <v>0</v>
      </c>
      <c r="ES203" s="114">
        <f>SUM(ES198:ES202)</f>
        <v>0</v>
      </c>
      <c r="ET203" s="114">
        <f>SUM(ET198:ET202)</f>
        <v>0</v>
      </c>
      <c r="EU203" s="114">
        <f>SUM(EU198:EU202)</f>
        <v>0</v>
      </c>
      <c r="EV203" s="114"/>
      <c r="EW203" s="114">
        <f t="shared" ref="EW203:FK203" si="164">SUM(EW198:EW202)</f>
        <v>0</v>
      </c>
      <c r="EX203" s="114">
        <f t="shared" si="164"/>
        <v>0</v>
      </c>
      <c r="EY203" s="114">
        <f t="shared" si="164"/>
        <v>0</v>
      </c>
      <c r="EZ203" s="114">
        <f t="shared" si="164"/>
        <v>0</v>
      </c>
      <c r="FA203" s="114">
        <f t="shared" si="164"/>
        <v>0</v>
      </c>
      <c r="FB203" s="114">
        <f t="shared" si="164"/>
        <v>0</v>
      </c>
      <c r="FC203" s="114">
        <f t="shared" si="164"/>
        <v>0</v>
      </c>
      <c r="FD203" s="114">
        <f t="shared" si="164"/>
        <v>0</v>
      </c>
      <c r="FE203" s="114">
        <f t="shared" si="164"/>
        <v>0</v>
      </c>
      <c r="FF203" s="114">
        <f t="shared" si="164"/>
        <v>0</v>
      </c>
      <c r="FG203" s="114">
        <f t="shared" si="164"/>
        <v>0</v>
      </c>
      <c r="FH203" s="114">
        <f t="shared" ca="1" si="164"/>
        <v>0</v>
      </c>
      <c r="FI203" s="114">
        <f t="shared" ca="1" si="164"/>
        <v>0</v>
      </c>
      <c r="FJ203" s="114">
        <f t="shared" ca="1" si="164"/>
        <v>0</v>
      </c>
      <c r="FK203" s="114">
        <f t="shared" ca="1" si="164"/>
        <v>0</v>
      </c>
      <c r="FL203" s="114">
        <f ca="1">SUM(FL198:FL201)</f>
        <v>0</v>
      </c>
      <c r="FM203" s="115">
        <f ca="1">SUM(FM198:FM202)</f>
        <v>0</v>
      </c>
      <c r="FN203" s="115">
        <f ca="1">SUM(FN198:FN202)</f>
        <v>0</v>
      </c>
      <c r="FO203" s="115">
        <f ca="1">SUM(FO198:FO202)</f>
        <v>0</v>
      </c>
      <c r="FP203" s="116">
        <f ca="1">IFERROR(FH203/FH203,0)</f>
        <v>0</v>
      </c>
      <c r="FQ203" s="117">
        <f t="shared" si="161"/>
        <v>0</v>
      </c>
      <c r="FR203" s="114">
        <f>SUM(FR198:FR202)</f>
        <v>0</v>
      </c>
      <c r="FS203" s="117">
        <f t="shared" si="155"/>
        <v>0</v>
      </c>
    </row>
    <row r="204" spans="20:175" s="92" customFormat="1" hidden="1" outlineLevel="1">
      <c r="T204" s="90"/>
      <c r="U204" s="91"/>
      <c r="X204" s="107" t="s">
        <v>211</v>
      </c>
      <c r="Y204" s="107" t="s">
        <v>44</v>
      </c>
      <c r="Z204" s="107"/>
      <c r="AA204" s="108">
        <f t="shared" si="129"/>
        <v>0</v>
      </c>
      <c r="AB204" s="109">
        <f t="shared" si="130"/>
        <v>0</v>
      </c>
      <c r="AC204" s="108">
        <v>0</v>
      </c>
      <c r="AD204" s="110"/>
      <c r="AE204" s="110">
        <v>0</v>
      </c>
      <c r="AF204" s="110"/>
      <c r="AG204" s="108"/>
      <c r="AH204" s="110"/>
      <c r="AI204" s="110"/>
      <c r="AJ204" s="110"/>
      <c r="AK204" s="108">
        <f t="shared" si="131"/>
        <v>0</v>
      </c>
      <c r="AL204" s="109">
        <f t="shared" si="132"/>
        <v>0</v>
      </c>
      <c r="AM204" s="108">
        <v>0</v>
      </c>
      <c r="AN204" s="110"/>
      <c r="AO204" s="110">
        <v>0</v>
      </c>
      <c r="AP204" s="110"/>
      <c r="AQ204" s="108"/>
      <c r="AR204" s="110"/>
      <c r="AS204" s="110"/>
      <c r="AT204" s="110"/>
      <c r="AU204" s="108">
        <f t="shared" si="133"/>
        <v>0</v>
      </c>
      <c r="AV204" s="109">
        <f t="shared" si="134"/>
        <v>0</v>
      </c>
      <c r="AW204" s="108">
        <v>0</v>
      </c>
      <c r="AX204" s="110"/>
      <c r="AY204" s="110">
        <v>0</v>
      </c>
      <c r="AZ204" s="110"/>
      <c r="BA204" s="108"/>
      <c r="BB204" s="110"/>
      <c r="BC204" s="110"/>
      <c r="BD204" s="110"/>
      <c r="BE204" s="108">
        <f t="shared" si="135"/>
        <v>0</v>
      </c>
      <c r="BF204" s="109">
        <f t="shared" si="136"/>
        <v>0</v>
      </c>
      <c r="BG204" s="108">
        <v>0</v>
      </c>
      <c r="BH204" s="110"/>
      <c r="BI204" s="110">
        <v>0</v>
      </c>
      <c r="BJ204" s="110"/>
      <c r="BK204" s="108"/>
      <c r="BL204" s="110"/>
      <c r="BM204" s="110"/>
      <c r="BN204" s="110"/>
      <c r="BO204" s="108">
        <f t="shared" si="137"/>
        <v>0</v>
      </c>
      <c r="BP204" s="109">
        <f t="shared" si="138"/>
        <v>0</v>
      </c>
      <c r="BQ204" s="108">
        <v>0</v>
      </c>
      <c r="BR204" s="110"/>
      <c r="BS204" s="110">
        <v>0</v>
      </c>
      <c r="BT204" s="110"/>
      <c r="BU204" s="108"/>
      <c r="BV204" s="110"/>
      <c r="BW204" s="110"/>
      <c r="BX204" s="110"/>
      <c r="BY204" s="108">
        <f t="shared" si="139"/>
        <v>0</v>
      </c>
      <c r="BZ204" s="109">
        <f t="shared" si="140"/>
        <v>0</v>
      </c>
      <c r="CA204" s="108">
        <v>0</v>
      </c>
      <c r="CB204" s="110"/>
      <c r="CC204" s="110">
        <v>0</v>
      </c>
      <c r="CD204" s="110"/>
      <c r="CE204" s="108"/>
      <c r="CF204" s="110"/>
      <c r="CG204" s="110"/>
      <c r="CH204" s="110"/>
      <c r="CI204" s="108">
        <f t="shared" si="141"/>
        <v>0</v>
      </c>
      <c r="CJ204" s="109">
        <f t="shared" si="142"/>
        <v>0</v>
      </c>
      <c r="CK204" s="108"/>
      <c r="CL204" s="110"/>
      <c r="CM204" s="110"/>
      <c r="CN204" s="110"/>
      <c r="CO204" s="108"/>
      <c r="CP204" s="110"/>
      <c r="CQ204" s="110"/>
      <c r="CR204" s="110"/>
      <c r="CS204" s="108">
        <f t="shared" si="143"/>
        <v>0</v>
      </c>
      <c r="CT204" s="109">
        <f t="shared" si="144"/>
        <v>0</v>
      </c>
      <c r="CU204" s="108"/>
      <c r="CV204" s="110"/>
      <c r="CW204" s="110"/>
      <c r="CX204" s="110"/>
      <c r="CY204" s="108"/>
      <c r="CZ204" s="110"/>
      <c r="DA204" s="110"/>
      <c r="DB204" s="110"/>
      <c r="DC204" s="108">
        <f t="shared" si="145"/>
        <v>0</v>
      </c>
      <c r="DD204" s="109">
        <f t="shared" si="146"/>
        <v>0</v>
      </c>
      <c r="DE204" s="108"/>
      <c r="DF204" s="110"/>
      <c r="DG204" s="110"/>
      <c r="DH204" s="110"/>
      <c r="DI204" s="108"/>
      <c r="DJ204" s="110"/>
      <c r="DK204" s="110"/>
      <c r="DL204" s="110"/>
      <c r="DM204" s="108">
        <f t="shared" si="147"/>
        <v>0</v>
      </c>
      <c r="DN204" s="109">
        <f t="shared" si="148"/>
        <v>0</v>
      </c>
      <c r="DO204" s="108"/>
      <c r="DP204" s="110"/>
      <c r="DQ204" s="110"/>
      <c r="DR204" s="110"/>
      <c r="DS204" s="108"/>
      <c r="DT204" s="110"/>
      <c r="DU204" s="110"/>
      <c r="DV204" s="110"/>
      <c r="DW204" s="108">
        <f t="shared" si="149"/>
        <v>0</v>
      </c>
      <c r="DX204" s="109">
        <f t="shared" si="150"/>
        <v>0</v>
      </c>
      <c r="DY204" s="108"/>
      <c r="DZ204" s="110"/>
      <c r="EA204" s="110"/>
      <c r="EB204" s="110"/>
      <c r="EC204" s="108"/>
      <c r="ED204" s="110"/>
      <c r="EE204" s="110"/>
      <c r="EF204" s="110"/>
      <c r="EG204" s="108">
        <f t="shared" si="151"/>
        <v>0</v>
      </c>
      <c r="EH204" s="109">
        <f t="shared" si="152"/>
        <v>0</v>
      </c>
      <c r="EI204" s="108"/>
      <c r="EJ204" s="110"/>
      <c r="EK204" s="110"/>
      <c r="EL204" s="110"/>
      <c r="EM204" s="108"/>
      <c r="EN204" s="110"/>
      <c r="EO204" s="110"/>
      <c r="EP204" s="110"/>
      <c r="EQ204" s="384"/>
      <c r="ER204" s="110">
        <f>SUM(ET204:EX204)</f>
        <v>0</v>
      </c>
      <c r="ES204" s="110"/>
      <c r="ET204" s="110">
        <f>IFERROR(SUMIFS(Daily_Vol_yesterday[Order Quantity],Daily_Vol_yesterday[Cust_Cat.cust_channel],master_Daily!X204,Daily_Vol_yesterday[Map_Product.TME_Brand],master_Daily!Y204)/50000,0)</f>
        <v>0</v>
      </c>
      <c r="EU204" s="110"/>
      <c r="EV204" s="109"/>
      <c r="EW204" s="110"/>
      <c r="EX204" s="110"/>
      <c r="EY204" s="110"/>
      <c r="EZ204" s="110">
        <f>SUM(FA204:FC204)</f>
        <v>0</v>
      </c>
      <c r="FA204" s="110"/>
      <c r="FB204" s="110">
        <f>IFERROR(SUM(SUMIFS(Weekly_Vol[Quantity],Weekly_Vol[Cust_Cat.cust_channel],master_Daily!X204,Weekly_Vol[Map_Product.TME_Brand],master_Daily!Y204),SUMIFS(Daily_Vol[Order Quantity],Daily_Vol[Cust_Cat.cust_channel],master_Daily!X204,Daily_Vol[Map_Product.TME_Brand],master_Daily!Y204))/50000,0)</f>
        <v>0</v>
      </c>
      <c r="FC204" s="110"/>
      <c r="FD204" s="110"/>
      <c r="FE204" s="110"/>
      <c r="FF204" s="110"/>
      <c r="FG204" s="110"/>
      <c r="FH204" s="110">
        <f ca="1">SUM(FI204:FK204)</f>
        <v>0</v>
      </c>
      <c r="FI204" s="110">
        <f t="shared" ref="FI204:FK208" ca="1" si="165">SUMIFS($AA204:$EP204,$AA$129:$EP$129,INDIRECT(ADDRESS(129,COLUMN())))</f>
        <v>0</v>
      </c>
      <c r="FJ204" s="110">
        <f t="shared" ca="1" si="165"/>
        <v>0</v>
      </c>
      <c r="FK204" s="110">
        <f t="shared" ca="1" si="165"/>
        <v>0</v>
      </c>
      <c r="FL204" s="110">
        <f ca="1">SUMIFS($AA204:$EP204,$AA$129:$EP$129,INDIRECT(ADDRESS(38,COLUMN())))</f>
        <v>0</v>
      </c>
      <c r="FM204" s="110">
        <f ca="1">SUMIFS($AA204:$EP204,$AA$129:$EP$129,INDIRECT(ADDRESS(38,COLUMN())))</f>
        <v>0</v>
      </c>
      <c r="FN204" s="110">
        <f ca="1">SUMIFS($AA204:$EP204,$AA$129:$EP$129,INDIRECT(ADDRESS(38,COLUMN())))</f>
        <v>0</v>
      </c>
      <c r="FO204" s="110">
        <f ca="1">SUMIFS($AA204:$EP204,$AA$129:$EP$129,INDIRECT(ADDRESS(38,COLUMN())))</f>
        <v>0</v>
      </c>
      <c r="FP204" s="111">
        <f ca="1">IFERROR(FH204/$FH$171,0)</f>
        <v>0</v>
      </c>
      <c r="FQ204" s="112">
        <f t="shared" si="161"/>
        <v>0</v>
      </c>
      <c r="FR204" s="421">
        <f>EZ204</f>
        <v>0</v>
      </c>
      <c r="FS204" s="112">
        <f t="shared" si="155"/>
        <v>0</v>
      </c>
    </row>
    <row r="205" spans="20:175" s="92" customFormat="1" hidden="1" outlineLevel="1">
      <c r="T205" s="90"/>
      <c r="U205" s="91"/>
      <c r="X205" s="107" t="s">
        <v>211</v>
      </c>
      <c r="Y205" s="107" t="s">
        <v>45</v>
      </c>
      <c r="Z205" s="107"/>
      <c r="AA205" s="108">
        <f t="shared" si="129"/>
        <v>0</v>
      </c>
      <c r="AB205" s="109">
        <f t="shared" si="130"/>
        <v>0</v>
      </c>
      <c r="AC205" s="108">
        <v>0</v>
      </c>
      <c r="AD205" s="110"/>
      <c r="AE205" s="110">
        <v>0</v>
      </c>
      <c r="AF205" s="110"/>
      <c r="AG205" s="108"/>
      <c r="AH205" s="110"/>
      <c r="AI205" s="110"/>
      <c r="AJ205" s="110"/>
      <c r="AK205" s="108">
        <f t="shared" si="131"/>
        <v>0</v>
      </c>
      <c r="AL205" s="109">
        <f t="shared" si="132"/>
        <v>0</v>
      </c>
      <c r="AM205" s="108">
        <v>0</v>
      </c>
      <c r="AN205" s="110"/>
      <c r="AO205" s="110">
        <v>0</v>
      </c>
      <c r="AP205" s="110"/>
      <c r="AQ205" s="108"/>
      <c r="AR205" s="110"/>
      <c r="AS205" s="110"/>
      <c r="AT205" s="110"/>
      <c r="AU205" s="108">
        <f t="shared" si="133"/>
        <v>0</v>
      </c>
      <c r="AV205" s="109">
        <f t="shared" si="134"/>
        <v>0</v>
      </c>
      <c r="AW205" s="108">
        <v>0</v>
      </c>
      <c r="AX205" s="110"/>
      <c r="AY205" s="110">
        <v>0</v>
      </c>
      <c r="AZ205" s="110"/>
      <c r="BA205" s="108"/>
      <c r="BB205" s="110"/>
      <c r="BC205" s="110"/>
      <c r="BD205" s="110"/>
      <c r="BE205" s="108">
        <f t="shared" si="135"/>
        <v>0</v>
      </c>
      <c r="BF205" s="109">
        <f t="shared" si="136"/>
        <v>0</v>
      </c>
      <c r="BG205" s="108">
        <v>0</v>
      </c>
      <c r="BH205" s="110"/>
      <c r="BI205" s="110">
        <v>0</v>
      </c>
      <c r="BJ205" s="110"/>
      <c r="BK205" s="108"/>
      <c r="BL205" s="110"/>
      <c r="BM205" s="110"/>
      <c r="BN205" s="110"/>
      <c r="BO205" s="108">
        <f t="shared" si="137"/>
        <v>0</v>
      </c>
      <c r="BP205" s="109">
        <f t="shared" si="138"/>
        <v>0</v>
      </c>
      <c r="BQ205" s="108">
        <v>0</v>
      </c>
      <c r="BR205" s="110"/>
      <c r="BS205" s="110">
        <v>0</v>
      </c>
      <c r="BT205" s="110"/>
      <c r="BU205" s="108"/>
      <c r="BV205" s="110"/>
      <c r="BW205" s="110"/>
      <c r="BX205" s="110"/>
      <c r="BY205" s="108">
        <f t="shared" si="139"/>
        <v>0</v>
      </c>
      <c r="BZ205" s="109">
        <f t="shared" si="140"/>
        <v>0</v>
      </c>
      <c r="CA205" s="108">
        <v>0</v>
      </c>
      <c r="CB205" s="110"/>
      <c r="CC205" s="110">
        <v>0</v>
      </c>
      <c r="CD205" s="110"/>
      <c r="CE205" s="108"/>
      <c r="CF205" s="110"/>
      <c r="CG205" s="110"/>
      <c r="CH205" s="110"/>
      <c r="CI205" s="108">
        <f t="shared" si="141"/>
        <v>0</v>
      </c>
      <c r="CJ205" s="109">
        <f t="shared" si="142"/>
        <v>0</v>
      </c>
      <c r="CK205" s="108"/>
      <c r="CL205" s="110"/>
      <c r="CM205" s="110"/>
      <c r="CN205" s="110"/>
      <c r="CO205" s="108"/>
      <c r="CP205" s="110"/>
      <c r="CQ205" s="110"/>
      <c r="CR205" s="110"/>
      <c r="CS205" s="108">
        <f t="shared" si="143"/>
        <v>0</v>
      </c>
      <c r="CT205" s="109">
        <f t="shared" si="144"/>
        <v>0</v>
      </c>
      <c r="CU205" s="108"/>
      <c r="CV205" s="110"/>
      <c r="CW205" s="110"/>
      <c r="CX205" s="110"/>
      <c r="CY205" s="108"/>
      <c r="CZ205" s="110"/>
      <c r="DA205" s="110"/>
      <c r="DB205" s="110"/>
      <c r="DC205" s="108">
        <f t="shared" si="145"/>
        <v>0</v>
      </c>
      <c r="DD205" s="109">
        <f t="shared" si="146"/>
        <v>0</v>
      </c>
      <c r="DE205" s="108"/>
      <c r="DF205" s="110"/>
      <c r="DG205" s="110"/>
      <c r="DH205" s="110"/>
      <c r="DI205" s="108"/>
      <c r="DJ205" s="110"/>
      <c r="DK205" s="110"/>
      <c r="DL205" s="110"/>
      <c r="DM205" s="108">
        <f t="shared" si="147"/>
        <v>0</v>
      </c>
      <c r="DN205" s="109">
        <f t="shared" si="148"/>
        <v>0</v>
      </c>
      <c r="DO205" s="108"/>
      <c r="DP205" s="110"/>
      <c r="DQ205" s="110"/>
      <c r="DR205" s="110"/>
      <c r="DS205" s="108"/>
      <c r="DT205" s="110"/>
      <c r="DU205" s="110"/>
      <c r="DV205" s="110"/>
      <c r="DW205" s="108">
        <f t="shared" si="149"/>
        <v>0</v>
      </c>
      <c r="DX205" s="109">
        <f t="shared" si="150"/>
        <v>0</v>
      </c>
      <c r="DY205" s="108"/>
      <c r="DZ205" s="110"/>
      <c r="EA205" s="110"/>
      <c r="EB205" s="110"/>
      <c r="EC205" s="108"/>
      <c r="ED205" s="110"/>
      <c r="EE205" s="110"/>
      <c r="EF205" s="110"/>
      <c r="EG205" s="108">
        <f t="shared" si="151"/>
        <v>0</v>
      </c>
      <c r="EH205" s="109">
        <f t="shared" si="152"/>
        <v>0</v>
      </c>
      <c r="EI205" s="108"/>
      <c r="EJ205" s="110"/>
      <c r="EK205" s="110"/>
      <c r="EL205" s="110"/>
      <c r="EM205" s="108"/>
      <c r="EN205" s="110"/>
      <c r="EO205" s="110"/>
      <c r="EP205" s="110"/>
      <c r="EQ205" s="384"/>
      <c r="ER205" s="110">
        <f>SUM(ET205:EX205)</f>
        <v>0</v>
      </c>
      <c r="ES205" s="110"/>
      <c r="ET205" s="110">
        <f>IFERROR(SUMIFS(Daily_Vol_yesterday[Order Quantity],Daily_Vol_yesterday[Cust_Cat.cust_channel],master_Daily!X205,Daily_Vol_yesterday[Map_Product.TME_Brand],master_Daily!Y205)/50000,0)</f>
        <v>0</v>
      </c>
      <c r="EU205" s="110"/>
      <c r="EV205" s="109"/>
      <c r="EW205" s="110"/>
      <c r="EX205" s="110"/>
      <c r="EY205" s="110"/>
      <c r="EZ205" s="110">
        <f>SUM(FA205:FC205)</f>
        <v>0</v>
      </c>
      <c r="FA205" s="110"/>
      <c r="FB205" s="110">
        <f>IFERROR(SUM(SUMIFS(Weekly_Vol[Quantity],Weekly_Vol[Cust_Cat.cust_channel],master_Daily!X205,Weekly_Vol[Map_Product.TME_Brand],master_Daily!Y205),SUMIFS(Daily_Vol[Order Quantity],Daily_Vol[Cust_Cat.cust_channel],master_Daily!X205,Daily_Vol[Map_Product.TME_Brand],master_Daily!Y205))/50000,0)</f>
        <v>0</v>
      </c>
      <c r="FC205" s="110"/>
      <c r="FD205" s="110"/>
      <c r="FE205" s="110"/>
      <c r="FF205" s="110"/>
      <c r="FG205" s="110"/>
      <c r="FH205" s="110">
        <f ca="1">SUM(FI205:FK205)</f>
        <v>0</v>
      </c>
      <c r="FI205" s="110">
        <f t="shared" ca="1" si="165"/>
        <v>0</v>
      </c>
      <c r="FJ205" s="110">
        <f t="shared" ca="1" si="165"/>
        <v>0</v>
      </c>
      <c r="FK205" s="110">
        <f t="shared" ca="1" si="165"/>
        <v>0</v>
      </c>
      <c r="FL205" s="110">
        <f t="shared" ref="FL205:FO206" ca="1" si="166">SUMIFS($AA205:$EP205,$AA$129:$EP$129,INDIRECT(ADDRESS(129,COLUMN())))</f>
        <v>0</v>
      </c>
      <c r="FM205" s="109">
        <f t="shared" ca="1" si="166"/>
        <v>0</v>
      </c>
      <c r="FN205" s="109">
        <f t="shared" ca="1" si="166"/>
        <v>0</v>
      </c>
      <c r="FO205" s="109">
        <f t="shared" ca="1" si="166"/>
        <v>0</v>
      </c>
      <c r="FP205" s="111">
        <f ca="1">IFERROR(FH205/$FH$171,0)</f>
        <v>0</v>
      </c>
      <c r="FQ205" s="112">
        <f t="shared" si="161"/>
        <v>0</v>
      </c>
      <c r="FR205" s="421">
        <f>EZ205</f>
        <v>0</v>
      </c>
      <c r="FS205" s="112">
        <f t="shared" si="155"/>
        <v>0</v>
      </c>
    </row>
    <row r="206" spans="20:175" s="92" customFormat="1" hidden="1" outlineLevel="1">
      <c r="T206" s="90"/>
      <c r="U206" s="91"/>
      <c r="X206" s="107" t="s">
        <v>211</v>
      </c>
      <c r="Y206" s="107" t="s">
        <v>46</v>
      </c>
      <c r="Z206" s="107"/>
      <c r="AA206" s="108">
        <f t="shared" si="129"/>
        <v>0</v>
      </c>
      <c r="AB206" s="109">
        <f t="shared" si="130"/>
        <v>0</v>
      </c>
      <c r="AC206" s="108">
        <v>0</v>
      </c>
      <c r="AD206" s="110"/>
      <c r="AE206" s="110">
        <v>0</v>
      </c>
      <c r="AF206" s="110"/>
      <c r="AG206" s="108"/>
      <c r="AH206" s="110"/>
      <c r="AI206" s="110"/>
      <c r="AJ206" s="110"/>
      <c r="AK206" s="108">
        <f t="shared" si="131"/>
        <v>0</v>
      </c>
      <c r="AL206" s="109">
        <f t="shared" si="132"/>
        <v>0</v>
      </c>
      <c r="AM206" s="108">
        <v>0</v>
      </c>
      <c r="AN206" s="110"/>
      <c r="AO206" s="110">
        <v>0</v>
      </c>
      <c r="AP206" s="110"/>
      <c r="AQ206" s="108"/>
      <c r="AR206" s="110"/>
      <c r="AS206" s="110"/>
      <c r="AT206" s="110"/>
      <c r="AU206" s="108">
        <f t="shared" si="133"/>
        <v>0</v>
      </c>
      <c r="AV206" s="109">
        <f t="shared" si="134"/>
        <v>0</v>
      </c>
      <c r="AW206" s="108">
        <v>0</v>
      </c>
      <c r="AX206" s="110"/>
      <c r="AY206" s="110">
        <v>0</v>
      </c>
      <c r="AZ206" s="110"/>
      <c r="BA206" s="108"/>
      <c r="BB206" s="110"/>
      <c r="BC206" s="110"/>
      <c r="BD206" s="110"/>
      <c r="BE206" s="108">
        <f t="shared" si="135"/>
        <v>0</v>
      </c>
      <c r="BF206" s="109">
        <f t="shared" si="136"/>
        <v>0</v>
      </c>
      <c r="BG206" s="108">
        <v>0</v>
      </c>
      <c r="BH206" s="110"/>
      <c r="BI206" s="110">
        <v>0</v>
      </c>
      <c r="BJ206" s="110"/>
      <c r="BK206" s="108"/>
      <c r="BL206" s="110"/>
      <c r="BM206" s="110"/>
      <c r="BN206" s="110"/>
      <c r="BO206" s="108">
        <f t="shared" si="137"/>
        <v>0</v>
      </c>
      <c r="BP206" s="109">
        <f t="shared" si="138"/>
        <v>0</v>
      </c>
      <c r="BQ206" s="108">
        <v>0</v>
      </c>
      <c r="BR206" s="110"/>
      <c r="BS206" s="110">
        <v>0</v>
      </c>
      <c r="BT206" s="110"/>
      <c r="BU206" s="108"/>
      <c r="BV206" s="110"/>
      <c r="BW206" s="110"/>
      <c r="BX206" s="110"/>
      <c r="BY206" s="108">
        <f t="shared" si="139"/>
        <v>0</v>
      </c>
      <c r="BZ206" s="109">
        <f t="shared" si="140"/>
        <v>0</v>
      </c>
      <c r="CA206" s="108">
        <v>0</v>
      </c>
      <c r="CB206" s="110"/>
      <c r="CC206" s="110">
        <v>0</v>
      </c>
      <c r="CD206" s="110"/>
      <c r="CE206" s="108"/>
      <c r="CF206" s="110"/>
      <c r="CG206" s="110"/>
      <c r="CH206" s="110"/>
      <c r="CI206" s="108">
        <f t="shared" si="141"/>
        <v>0</v>
      </c>
      <c r="CJ206" s="109">
        <f t="shared" si="142"/>
        <v>0</v>
      </c>
      <c r="CK206" s="108"/>
      <c r="CL206" s="110"/>
      <c r="CM206" s="110"/>
      <c r="CN206" s="110"/>
      <c r="CO206" s="108"/>
      <c r="CP206" s="110"/>
      <c r="CQ206" s="110"/>
      <c r="CR206" s="110"/>
      <c r="CS206" s="108">
        <f t="shared" si="143"/>
        <v>0</v>
      </c>
      <c r="CT206" s="109">
        <f t="shared" si="144"/>
        <v>0</v>
      </c>
      <c r="CU206" s="108"/>
      <c r="CV206" s="110"/>
      <c r="CW206" s="110"/>
      <c r="CX206" s="110"/>
      <c r="CY206" s="108"/>
      <c r="CZ206" s="110"/>
      <c r="DA206" s="110"/>
      <c r="DB206" s="110"/>
      <c r="DC206" s="108">
        <f t="shared" si="145"/>
        <v>0</v>
      </c>
      <c r="DD206" s="109">
        <f t="shared" si="146"/>
        <v>0</v>
      </c>
      <c r="DE206" s="108"/>
      <c r="DF206" s="110"/>
      <c r="DG206" s="110"/>
      <c r="DH206" s="110"/>
      <c r="DI206" s="108"/>
      <c r="DJ206" s="110"/>
      <c r="DK206" s="110"/>
      <c r="DL206" s="110"/>
      <c r="DM206" s="108">
        <f t="shared" si="147"/>
        <v>0</v>
      </c>
      <c r="DN206" s="109">
        <f t="shared" si="148"/>
        <v>0</v>
      </c>
      <c r="DO206" s="108"/>
      <c r="DP206" s="110"/>
      <c r="DQ206" s="110"/>
      <c r="DR206" s="110"/>
      <c r="DS206" s="108"/>
      <c r="DT206" s="110"/>
      <c r="DU206" s="110"/>
      <c r="DV206" s="110"/>
      <c r="DW206" s="108">
        <f t="shared" si="149"/>
        <v>0</v>
      </c>
      <c r="DX206" s="109">
        <f t="shared" si="150"/>
        <v>0</v>
      </c>
      <c r="DY206" s="108"/>
      <c r="DZ206" s="110"/>
      <c r="EA206" s="110"/>
      <c r="EB206" s="110"/>
      <c r="EC206" s="108"/>
      <c r="ED206" s="110"/>
      <c r="EE206" s="110"/>
      <c r="EF206" s="110"/>
      <c r="EG206" s="108">
        <f t="shared" si="151"/>
        <v>0</v>
      </c>
      <c r="EH206" s="109">
        <f t="shared" si="152"/>
        <v>0</v>
      </c>
      <c r="EI206" s="108"/>
      <c r="EJ206" s="110"/>
      <c r="EK206" s="110"/>
      <c r="EL206" s="110"/>
      <c r="EM206" s="108"/>
      <c r="EN206" s="110"/>
      <c r="EO206" s="110"/>
      <c r="EP206" s="110"/>
      <c r="EQ206" s="384"/>
      <c r="ER206" s="110">
        <f>SUM(ET206:EX206)</f>
        <v>0</v>
      </c>
      <c r="ES206" s="110"/>
      <c r="ET206" s="110">
        <f>IFERROR(SUMIFS(Daily_Vol_yesterday[Order Quantity],Daily_Vol_yesterday[Cust_Cat.cust_channel],master_Daily!X206,Daily_Vol_yesterday[Map_Product.TME_Brand],master_Daily!Y206)/50000,0)</f>
        <v>0</v>
      </c>
      <c r="EU206" s="110"/>
      <c r="EV206" s="109"/>
      <c r="EW206" s="110"/>
      <c r="EX206" s="110"/>
      <c r="EY206" s="110"/>
      <c r="EZ206" s="110">
        <f>SUM(FA206:FC206)</f>
        <v>0</v>
      </c>
      <c r="FA206" s="110"/>
      <c r="FB206" s="110">
        <f>IFERROR(SUM(SUMIFS(Weekly_Vol[Quantity],Weekly_Vol[Cust_Cat.cust_channel],master_Daily!X206,Weekly_Vol[Map_Product.TME_Brand],master_Daily!Y206),SUMIFS(Daily_Vol[Order Quantity],Daily_Vol[Cust_Cat.cust_channel],master_Daily!X206,Daily_Vol[Map_Product.TME_Brand],master_Daily!Y206))/50000,0)</f>
        <v>0</v>
      </c>
      <c r="FC206" s="110"/>
      <c r="FD206" s="110"/>
      <c r="FE206" s="110"/>
      <c r="FF206" s="110"/>
      <c r="FG206" s="110"/>
      <c r="FH206" s="110">
        <f ca="1">SUM(FI206:FK206)</f>
        <v>0</v>
      </c>
      <c r="FI206" s="110">
        <f t="shared" ca="1" si="165"/>
        <v>0</v>
      </c>
      <c r="FJ206" s="110">
        <f t="shared" ca="1" si="165"/>
        <v>0</v>
      </c>
      <c r="FK206" s="110">
        <f t="shared" ca="1" si="165"/>
        <v>0</v>
      </c>
      <c r="FL206" s="110">
        <f t="shared" ca="1" si="166"/>
        <v>0</v>
      </c>
      <c r="FM206" s="109">
        <f t="shared" ca="1" si="166"/>
        <v>0</v>
      </c>
      <c r="FN206" s="109">
        <f t="shared" ca="1" si="166"/>
        <v>0</v>
      </c>
      <c r="FO206" s="109">
        <f t="shared" ca="1" si="166"/>
        <v>0</v>
      </c>
      <c r="FP206" s="111">
        <f ca="1">IFERROR(FH206/$FH$171,0)</f>
        <v>0</v>
      </c>
      <c r="FQ206" s="112">
        <f t="shared" si="161"/>
        <v>0</v>
      </c>
      <c r="FR206" s="421">
        <f>EZ206</f>
        <v>0</v>
      </c>
      <c r="FS206" s="112">
        <f t="shared" si="155"/>
        <v>0</v>
      </c>
    </row>
    <row r="207" spans="20:175" s="92" customFormat="1" hidden="1" outlineLevel="1">
      <c r="T207" s="90"/>
      <c r="U207" s="91"/>
      <c r="X207" s="107" t="s">
        <v>211</v>
      </c>
      <c r="Y207" s="107" t="s">
        <v>263</v>
      </c>
      <c r="Z207" s="107"/>
      <c r="AA207" s="108">
        <f t="shared" si="129"/>
        <v>0</v>
      </c>
      <c r="AB207" s="109">
        <f t="shared" si="130"/>
        <v>0</v>
      </c>
      <c r="AC207" s="108">
        <v>0</v>
      </c>
      <c r="AD207" s="110"/>
      <c r="AE207" s="110">
        <v>0</v>
      </c>
      <c r="AF207" s="110"/>
      <c r="AG207" s="108"/>
      <c r="AH207" s="110"/>
      <c r="AI207" s="110"/>
      <c r="AJ207" s="110"/>
      <c r="AK207" s="108">
        <f t="shared" si="131"/>
        <v>0</v>
      </c>
      <c r="AL207" s="109">
        <f t="shared" si="132"/>
        <v>0</v>
      </c>
      <c r="AM207" s="108">
        <v>0</v>
      </c>
      <c r="AN207" s="110"/>
      <c r="AO207" s="110">
        <v>0</v>
      </c>
      <c r="AP207" s="110"/>
      <c r="AQ207" s="108"/>
      <c r="AR207" s="110"/>
      <c r="AS207" s="110"/>
      <c r="AT207" s="110"/>
      <c r="AU207" s="108">
        <f t="shared" si="133"/>
        <v>0</v>
      </c>
      <c r="AV207" s="109">
        <f t="shared" si="134"/>
        <v>0</v>
      </c>
      <c r="AW207" s="108">
        <v>0</v>
      </c>
      <c r="AX207" s="110"/>
      <c r="AY207" s="110">
        <v>0</v>
      </c>
      <c r="AZ207" s="110"/>
      <c r="BA207" s="108"/>
      <c r="BB207" s="110"/>
      <c r="BC207" s="110"/>
      <c r="BD207" s="110"/>
      <c r="BE207" s="108">
        <f t="shared" si="135"/>
        <v>0</v>
      </c>
      <c r="BF207" s="109">
        <f t="shared" si="136"/>
        <v>0</v>
      </c>
      <c r="BG207" s="108">
        <v>0</v>
      </c>
      <c r="BH207" s="110"/>
      <c r="BI207" s="110">
        <v>0</v>
      </c>
      <c r="BJ207" s="110"/>
      <c r="BK207" s="108"/>
      <c r="BL207" s="110"/>
      <c r="BM207" s="110"/>
      <c r="BN207" s="110"/>
      <c r="BO207" s="108">
        <f t="shared" si="137"/>
        <v>0</v>
      </c>
      <c r="BP207" s="109">
        <f t="shared" si="138"/>
        <v>0</v>
      </c>
      <c r="BQ207" s="108">
        <v>0</v>
      </c>
      <c r="BR207" s="110"/>
      <c r="BS207" s="110">
        <v>0</v>
      </c>
      <c r="BT207" s="110"/>
      <c r="BU207" s="108"/>
      <c r="BV207" s="110"/>
      <c r="BW207" s="110"/>
      <c r="BX207" s="110"/>
      <c r="BY207" s="108">
        <f t="shared" si="139"/>
        <v>0</v>
      </c>
      <c r="BZ207" s="109">
        <f t="shared" si="140"/>
        <v>0</v>
      </c>
      <c r="CA207" s="108">
        <v>0</v>
      </c>
      <c r="CB207" s="110"/>
      <c r="CC207" s="110">
        <v>0</v>
      </c>
      <c r="CD207" s="110"/>
      <c r="CE207" s="108"/>
      <c r="CF207" s="110"/>
      <c r="CG207" s="110"/>
      <c r="CH207" s="110"/>
      <c r="CI207" s="108">
        <f t="shared" si="141"/>
        <v>0</v>
      </c>
      <c r="CJ207" s="109">
        <f t="shared" si="142"/>
        <v>0</v>
      </c>
      <c r="CK207" s="108"/>
      <c r="CL207" s="110"/>
      <c r="CM207" s="110"/>
      <c r="CN207" s="110"/>
      <c r="CO207" s="108"/>
      <c r="CP207" s="110"/>
      <c r="CQ207" s="110"/>
      <c r="CR207" s="110"/>
      <c r="CS207" s="108">
        <f t="shared" si="143"/>
        <v>0</v>
      </c>
      <c r="CT207" s="109">
        <f t="shared" si="144"/>
        <v>0</v>
      </c>
      <c r="CU207" s="108"/>
      <c r="CV207" s="110"/>
      <c r="CW207" s="110"/>
      <c r="CX207" s="110"/>
      <c r="CY207" s="108"/>
      <c r="CZ207" s="110"/>
      <c r="DA207" s="110"/>
      <c r="DB207" s="110"/>
      <c r="DC207" s="108">
        <f t="shared" si="145"/>
        <v>0</v>
      </c>
      <c r="DD207" s="109">
        <f t="shared" si="146"/>
        <v>0</v>
      </c>
      <c r="DE207" s="108"/>
      <c r="DF207" s="110"/>
      <c r="DG207" s="110"/>
      <c r="DH207" s="110"/>
      <c r="DI207" s="108"/>
      <c r="DJ207" s="110"/>
      <c r="DK207" s="110"/>
      <c r="DL207" s="110"/>
      <c r="DM207" s="108">
        <f t="shared" si="147"/>
        <v>0</v>
      </c>
      <c r="DN207" s="109">
        <f t="shared" si="148"/>
        <v>0</v>
      </c>
      <c r="DO207" s="108"/>
      <c r="DP207" s="110"/>
      <c r="DQ207" s="110"/>
      <c r="DR207" s="110"/>
      <c r="DS207" s="108"/>
      <c r="DT207" s="110"/>
      <c r="DU207" s="110"/>
      <c r="DV207" s="110"/>
      <c r="DW207" s="108">
        <f t="shared" si="149"/>
        <v>0</v>
      </c>
      <c r="DX207" s="109">
        <f t="shared" si="150"/>
        <v>0</v>
      </c>
      <c r="DY207" s="108"/>
      <c r="DZ207" s="110"/>
      <c r="EA207" s="110"/>
      <c r="EB207" s="110"/>
      <c r="EC207" s="108"/>
      <c r="ED207" s="110"/>
      <c r="EE207" s="110"/>
      <c r="EF207" s="110"/>
      <c r="EG207" s="108">
        <f t="shared" si="151"/>
        <v>0</v>
      </c>
      <c r="EH207" s="109">
        <f t="shared" si="152"/>
        <v>0</v>
      </c>
      <c r="EI207" s="108"/>
      <c r="EJ207" s="110"/>
      <c r="EK207" s="110"/>
      <c r="EL207" s="110"/>
      <c r="EM207" s="108"/>
      <c r="EN207" s="110"/>
      <c r="EO207" s="110"/>
      <c r="EP207" s="110"/>
      <c r="EQ207" s="384"/>
      <c r="ER207" s="110">
        <f>SUM(ET207:EX207)</f>
        <v>0</v>
      </c>
      <c r="ES207" s="110"/>
      <c r="ET207" s="110">
        <f>IFERROR(SUMIFS(Daily_Vol_yesterday[Order Quantity],Daily_Vol_yesterday[Cust_Cat.cust_channel],master_Daily!X207,Daily_Vol_yesterday[Map_Product.TME_Brand],"CM")/50000,0)</f>
        <v>0</v>
      </c>
      <c r="EU207" s="110"/>
      <c r="EV207" s="109"/>
      <c r="EW207" s="110"/>
      <c r="EX207" s="110"/>
      <c r="EY207" s="110"/>
      <c r="EZ207" s="110">
        <f>SUM(FA207:FC207)</f>
        <v>0</v>
      </c>
      <c r="FA207" s="110"/>
      <c r="FB207" s="110">
        <f>IFERROR(SUM(SUMIFS(Weekly_Vol[Quantity],Weekly_Vol[Cust_Cat.cust_channel],master_Daily!X207,Weekly_Vol[Map_Product.TME_Brand],"CM"),SUMIFS(Daily_Vol[Order Quantity],Daily_Vol[Cust_Cat.cust_channel],master_Daily!X207,Daily_Vol[Map_Product.TME_Brand],"CM"))/50000,0)</f>
        <v>0</v>
      </c>
      <c r="FC207" s="110"/>
      <c r="FD207" s="110"/>
      <c r="FE207" s="110"/>
      <c r="FF207" s="110"/>
      <c r="FG207" s="110"/>
      <c r="FH207" s="110">
        <f ca="1">SUM(FI207:FK207)</f>
        <v>0</v>
      </c>
      <c r="FI207" s="110">
        <f t="shared" ca="1" si="165"/>
        <v>0</v>
      </c>
      <c r="FJ207" s="110">
        <f t="shared" ca="1" si="165"/>
        <v>0</v>
      </c>
      <c r="FK207" s="110">
        <f t="shared" ca="1" si="165"/>
        <v>0</v>
      </c>
      <c r="FL207" s="110">
        <f ca="1">SUMIFS($AA207:$EP207,$AA$129:$EP$129,INDIRECT(ADDRESS(129,COLUMN())))</f>
        <v>0</v>
      </c>
      <c r="FM207" s="109">
        <f t="shared" ref="FM207:FO208" si="167">SUMIFS(AF207:EU207,$AA$129:$EP$129,$FH$129)</f>
        <v>0</v>
      </c>
      <c r="FN207" s="109">
        <f t="shared" si="167"/>
        <v>0</v>
      </c>
      <c r="FO207" s="109">
        <f t="shared" si="167"/>
        <v>0</v>
      </c>
      <c r="FP207" s="111">
        <f ca="1">IFERROR(FH207/$FH$171,0)</f>
        <v>0</v>
      </c>
      <c r="FQ207" s="112">
        <f t="shared" si="161"/>
        <v>0</v>
      </c>
      <c r="FR207" s="421">
        <f>EZ207</f>
        <v>0</v>
      </c>
      <c r="FS207" s="112">
        <f t="shared" si="155"/>
        <v>0</v>
      </c>
    </row>
    <row r="208" spans="20:175" s="92" customFormat="1" hidden="1" outlineLevel="1">
      <c r="T208" s="90"/>
      <c r="U208" s="91"/>
      <c r="X208" s="107" t="s">
        <v>211</v>
      </c>
      <c r="Y208" s="107" t="s">
        <v>264</v>
      </c>
      <c r="Z208" s="107"/>
      <c r="AA208" s="108">
        <f t="shared" si="129"/>
        <v>0</v>
      </c>
      <c r="AB208" s="109">
        <f t="shared" si="130"/>
        <v>0</v>
      </c>
      <c r="AC208" s="108">
        <v>0</v>
      </c>
      <c r="AD208" s="110"/>
      <c r="AE208" s="110">
        <v>0</v>
      </c>
      <c r="AF208" s="110"/>
      <c r="AG208" s="108"/>
      <c r="AH208" s="110"/>
      <c r="AI208" s="110"/>
      <c r="AJ208" s="110"/>
      <c r="AK208" s="108">
        <f t="shared" si="131"/>
        <v>0</v>
      </c>
      <c r="AL208" s="109">
        <f t="shared" si="132"/>
        <v>0</v>
      </c>
      <c r="AM208" s="108">
        <v>0</v>
      </c>
      <c r="AN208" s="110"/>
      <c r="AO208" s="110">
        <v>0</v>
      </c>
      <c r="AP208" s="110"/>
      <c r="AQ208" s="108"/>
      <c r="AR208" s="110"/>
      <c r="AS208" s="110"/>
      <c r="AT208" s="110"/>
      <c r="AU208" s="108">
        <f t="shared" si="133"/>
        <v>0</v>
      </c>
      <c r="AV208" s="109">
        <f t="shared" si="134"/>
        <v>0</v>
      </c>
      <c r="AW208" s="108">
        <v>0</v>
      </c>
      <c r="AX208" s="110"/>
      <c r="AY208" s="110">
        <v>0</v>
      </c>
      <c r="AZ208" s="110"/>
      <c r="BA208" s="108"/>
      <c r="BB208" s="110"/>
      <c r="BC208" s="110"/>
      <c r="BD208" s="110"/>
      <c r="BE208" s="108">
        <f t="shared" si="135"/>
        <v>0</v>
      </c>
      <c r="BF208" s="109">
        <f t="shared" si="136"/>
        <v>0</v>
      </c>
      <c r="BG208" s="108">
        <v>0</v>
      </c>
      <c r="BH208" s="110"/>
      <c r="BI208" s="110">
        <v>0</v>
      </c>
      <c r="BJ208" s="110"/>
      <c r="BK208" s="108"/>
      <c r="BL208" s="110"/>
      <c r="BM208" s="110"/>
      <c r="BN208" s="110"/>
      <c r="BO208" s="108">
        <f t="shared" si="137"/>
        <v>0</v>
      </c>
      <c r="BP208" s="109">
        <f t="shared" si="138"/>
        <v>0</v>
      </c>
      <c r="BQ208" s="108">
        <v>0</v>
      </c>
      <c r="BR208" s="110"/>
      <c r="BS208" s="110">
        <v>0</v>
      </c>
      <c r="BT208" s="110"/>
      <c r="BU208" s="108"/>
      <c r="BV208" s="110"/>
      <c r="BW208" s="110"/>
      <c r="BX208" s="110"/>
      <c r="BY208" s="108">
        <f t="shared" si="139"/>
        <v>0</v>
      </c>
      <c r="BZ208" s="109">
        <f t="shared" si="140"/>
        <v>0</v>
      </c>
      <c r="CA208" s="108">
        <v>0</v>
      </c>
      <c r="CB208" s="110"/>
      <c r="CC208" s="110">
        <v>0</v>
      </c>
      <c r="CD208" s="110"/>
      <c r="CE208" s="108"/>
      <c r="CF208" s="110"/>
      <c r="CG208" s="110"/>
      <c r="CH208" s="110"/>
      <c r="CI208" s="108">
        <f t="shared" si="141"/>
        <v>0</v>
      </c>
      <c r="CJ208" s="109">
        <f t="shared" si="142"/>
        <v>0</v>
      </c>
      <c r="CK208" s="108"/>
      <c r="CL208" s="110"/>
      <c r="CM208" s="110"/>
      <c r="CN208" s="110"/>
      <c r="CO208" s="108"/>
      <c r="CP208" s="110"/>
      <c r="CQ208" s="110"/>
      <c r="CR208" s="110"/>
      <c r="CS208" s="108">
        <f t="shared" si="143"/>
        <v>0</v>
      </c>
      <c r="CT208" s="109">
        <f t="shared" si="144"/>
        <v>0</v>
      </c>
      <c r="CU208" s="108"/>
      <c r="CV208" s="110"/>
      <c r="CW208" s="110"/>
      <c r="CX208" s="110"/>
      <c r="CY208" s="108"/>
      <c r="CZ208" s="110"/>
      <c r="DA208" s="110"/>
      <c r="DB208" s="110"/>
      <c r="DC208" s="108">
        <f t="shared" si="145"/>
        <v>0</v>
      </c>
      <c r="DD208" s="109">
        <f t="shared" si="146"/>
        <v>0</v>
      </c>
      <c r="DE208" s="108"/>
      <c r="DF208" s="110"/>
      <c r="DG208" s="110"/>
      <c r="DH208" s="110"/>
      <c r="DI208" s="108"/>
      <c r="DJ208" s="110"/>
      <c r="DK208" s="110"/>
      <c r="DL208" s="110"/>
      <c r="DM208" s="108">
        <f t="shared" si="147"/>
        <v>0</v>
      </c>
      <c r="DN208" s="109">
        <f t="shared" si="148"/>
        <v>0</v>
      </c>
      <c r="DO208" s="108"/>
      <c r="DP208" s="110"/>
      <c r="DQ208" s="110"/>
      <c r="DR208" s="110"/>
      <c r="DS208" s="108"/>
      <c r="DT208" s="110"/>
      <c r="DU208" s="110"/>
      <c r="DV208" s="110"/>
      <c r="DW208" s="108">
        <f t="shared" si="149"/>
        <v>0</v>
      </c>
      <c r="DX208" s="109">
        <f t="shared" si="150"/>
        <v>0</v>
      </c>
      <c r="DY208" s="108"/>
      <c r="DZ208" s="110"/>
      <c r="EA208" s="110"/>
      <c r="EB208" s="110"/>
      <c r="EC208" s="108"/>
      <c r="ED208" s="110"/>
      <c r="EE208" s="110"/>
      <c r="EF208" s="110"/>
      <c r="EG208" s="108">
        <f t="shared" si="151"/>
        <v>0</v>
      </c>
      <c r="EH208" s="109">
        <f t="shared" si="152"/>
        <v>0</v>
      </c>
      <c r="EI208" s="108"/>
      <c r="EJ208" s="110"/>
      <c r="EK208" s="110"/>
      <c r="EL208" s="110"/>
      <c r="EM208" s="108"/>
      <c r="EN208" s="110"/>
      <c r="EO208" s="110"/>
      <c r="EP208" s="110"/>
      <c r="EQ208" s="384"/>
      <c r="ER208" s="110">
        <f>SUM(ET208:EX208)</f>
        <v>0</v>
      </c>
      <c r="ES208" s="110"/>
      <c r="ET208" s="110">
        <f>IFERROR(SUMIFS(Daily_Vol_yesterday[Order Quantity],Daily_Vol_yesterday[Cust_Cat.cust_channel],master_Daily!X208,Daily_Vol_yesterday[Map_Product.TME_Brand],"CMHD")/50000,0)</f>
        <v>0</v>
      </c>
      <c r="EU208" s="110"/>
      <c r="EV208" s="109"/>
      <c r="EW208" s="110"/>
      <c r="EX208" s="110"/>
      <c r="EY208" s="110"/>
      <c r="EZ208" s="110">
        <f>SUM(FA208:FC208)</f>
        <v>0</v>
      </c>
      <c r="FA208" s="110"/>
      <c r="FB208" s="110">
        <f>IFERROR(SUM(SUMIFS(Weekly_Vol[Quantity],Weekly_Vol[Cust_Cat.cust_channel],master_Daily!X208,Weekly_Vol[Map_Product.TME_Brand],"CMHD"),SUMIFS(Daily_Vol[Order Quantity],Daily_Vol[Cust_Cat.cust_channel],master_Daily!X208,Daily_Vol[Map_Product.TME_Brand],"CMHD"))/50000,0)</f>
        <v>0</v>
      </c>
      <c r="FC208" s="110"/>
      <c r="FD208" s="110"/>
      <c r="FE208" s="110"/>
      <c r="FF208" s="110"/>
      <c r="FG208" s="110"/>
      <c r="FH208" s="110">
        <f ca="1">SUM(FI208:FK208)</f>
        <v>0</v>
      </c>
      <c r="FI208" s="110">
        <f t="shared" ca="1" si="165"/>
        <v>0</v>
      </c>
      <c r="FJ208" s="110">
        <f t="shared" ca="1" si="165"/>
        <v>0</v>
      </c>
      <c r="FK208" s="110">
        <f t="shared" ca="1" si="165"/>
        <v>0</v>
      </c>
      <c r="FL208" s="110">
        <f ca="1">SUMIFS($AA208:$EP208,$AA$129:$EP$129,INDIRECT(ADDRESS(129,COLUMN())))</f>
        <v>0</v>
      </c>
      <c r="FM208" s="109">
        <f t="shared" si="167"/>
        <v>0</v>
      </c>
      <c r="FN208" s="109">
        <f t="shared" si="167"/>
        <v>0</v>
      </c>
      <c r="FO208" s="109">
        <f t="shared" si="167"/>
        <v>0</v>
      </c>
      <c r="FP208" s="111">
        <f ca="1">IFERROR(FH208/$FH$171,0)</f>
        <v>0</v>
      </c>
      <c r="FQ208" s="112">
        <f>IFERROR(EZ208/EQ208,0)</f>
        <v>0</v>
      </c>
      <c r="FR208" s="421">
        <f>EZ208</f>
        <v>0</v>
      </c>
      <c r="FS208" s="112">
        <f t="shared" si="155"/>
        <v>0</v>
      </c>
    </row>
    <row r="209" spans="20:175" s="92" customFormat="1" collapsed="1">
      <c r="T209" s="90"/>
      <c r="U209" s="91"/>
      <c r="X209" s="113" t="s">
        <v>212</v>
      </c>
      <c r="Y209" s="152"/>
      <c r="Z209" s="152"/>
      <c r="AA209" s="114">
        <f t="shared" si="129"/>
        <v>0</v>
      </c>
      <c r="AB209" s="114">
        <f t="shared" si="130"/>
        <v>0</v>
      </c>
      <c r="AC209" s="114">
        <v>0</v>
      </c>
      <c r="AD209" s="114">
        <v>0</v>
      </c>
      <c r="AE209" s="114">
        <v>0</v>
      </c>
      <c r="AF209" s="114">
        <v>0</v>
      </c>
      <c r="AG209" s="114">
        <v>0</v>
      </c>
      <c r="AH209" s="114">
        <v>0</v>
      </c>
      <c r="AI209" s="114">
        <v>0</v>
      </c>
      <c r="AJ209" s="114">
        <v>0</v>
      </c>
      <c r="AK209" s="114">
        <f t="shared" si="131"/>
        <v>0</v>
      </c>
      <c r="AL209" s="114">
        <f t="shared" si="132"/>
        <v>0</v>
      </c>
      <c r="AM209" s="114">
        <v>0</v>
      </c>
      <c r="AN209" s="114">
        <v>0</v>
      </c>
      <c r="AO209" s="114">
        <v>0</v>
      </c>
      <c r="AP209" s="114">
        <v>0</v>
      </c>
      <c r="AQ209" s="114">
        <v>0</v>
      </c>
      <c r="AR209" s="114">
        <v>0</v>
      </c>
      <c r="AS209" s="114">
        <v>0</v>
      </c>
      <c r="AT209" s="114">
        <v>0</v>
      </c>
      <c r="AU209" s="114">
        <f t="shared" si="133"/>
        <v>0</v>
      </c>
      <c r="AV209" s="114">
        <f t="shared" si="134"/>
        <v>0</v>
      </c>
      <c r="AW209" s="63">
        <v>0</v>
      </c>
      <c r="AX209" s="63">
        <v>0</v>
      </c>
      <c r="AY209" s="63">
        <v>0</v>
      </c>
      <c r="AZ209" s="63">
        <v>0</v>
      </c>
      <c r="BA209" s="63">
        <v>0</v>
      </c>
      <c r="BB209" s="63">
        <v>0</v>
      </c>
      <c r="BC209" s="63">
        <v>0</v>
      </c>
      <c r="BD209" s="63">
        <v>0</v>
      </c>
      <c r="BE209" s="114">
        <f t="shared" si="135"/>
        <v>0</v>
      </c>
      <c r="BF209" s="114">
        <f t="shared" si="136"/>
        <v>0</v>
      </c>
      <c r="BG209" s="63">
        <v>0</v>
      </c>
      <c r="BH209" s="63">
        <v>0</v>
      </c>
      <c r="BI209" s="63">
        <v>0</v>
      </c>
      <c r="BJ209" s="63">
        <v>0</v>
      </c>
      <c r="BK209" s="63">
        <v>0</v>
      </c>
      <c r="BL209" s="63">
        <v>0</v>
      </c>
      <c r="BM209" s="63">
        <v>0</v>
      </c>
      <c r="BN209" s="63">
        <v>0</v>
      </c>
      <c r="BO209" s="114">
        <f t="shared" si="137"/>
        <v>0</v>
      </c>
      <c r="BP209" s="114">
        <f t="shared" si="138"/>
        <v>0</v>
      </c>
      <c r="BQ209" s="114">
        <v>0</v>
      </c>
      <c r="BR209" s="114">
        <v>0</v>
      </c>
      <c r="BS209" s="114">
        <v>0</v>
      </c>
      <c r="BT209" s="114">
        <v>0</v>
      </c>
      <c r="BU209" s="114">
        <v>0</v>
      </c>
      <c r="BV209" s="114">
        <v>0</v>
      </c>
      <c r="BW209" s="114">
        <v>0</v>
      </c>
      <c r="BX209" s="114">
        <v>0</v>
      </c>
      <c r="BY209" s="114">
        <f t="shared" si="139"/>
        <v>0</v>
      </c>
      <c r="BZ209" s="114">
        <f t="shared" si="140"/>
        <v>0</v>
      </c>
      <c r="CA209" s="114">
        <v>0</v>
      </c>
      <c r="CB209" s="114">
        <v>0</v>
      </c>
      <c r="CC209" s="114">
        <v>0</v>
      </c>
      <c r="CD209" s="114">
        <v>0</v>
      </c>
      <c r="CE209" s="114">
        <v>0</v>
      </c>
      <c r="CF209" s="114">
        <v>0</v>
      </c>
      <c r="CG209" s="114">
        <v>0</v>
      </c>
      <c r="CH209" s="114">
        <v>0</v>
      </c>
      <c r="CI209" s="114">
        <f t="shared" si="141"/>
        <v>0</v>
      </c>
      <c r="CJ209" s="114">
        <f t="shared" si="142"/>
        <v>0</v>
      </c>
      <c r="CK209" s="114"/>
      <c r="CL209" s="114"/>
      <c r="CM209" s="114"/>
      <c r="CN209" s="114"/>
      <c r="CO209" s="114"/>
      <c r="CP209" s="114">
        <v>0</v>
      </c>
      <c r="CQ209" s="114">
        <v>0</v>
      </c>
      <c r="CR209" s="114">
        <v>0</v>
      </c>
      <c r="CS209" s="114">
        <f t="shared" si="143"/>
        <v>0</v>
      </c>
      <c r="CT209" s="114">
        <f t="shared" si="144"/>
        <v>0</v>
      </c>
      <c r="CU209" s="114"/>
      <c r="CV209" s="114"/>
      <c r="CW209" s="114"/>
      <c r="CX209" s="114"/>
      <c r="CY209" s="114"/>
      <c r="CZ209" s="114">
        <v>0</v>
      </c>
      <c r="DA209" s="114">
        <v>0</v>
      </c>
      <c r="DB209" s="114">
        <v>0</v>
      </c>
      <c r="DC209" s="114">
        <f t="shared" si="145"/>
        <v>0</v>
      </c>
      <c r="DD209" s="114">
        <f t="shared" si="146"/>
        <v>0</v>
      </c>
      <c r="DE209" s="114"/>
      <c r="DF209" s="114"/>
      <c r="DG209" s="114"/>
      <c r="DH209" s="114"/>
      <c r="DI209" s="114"/>
      <c r="DJ209" s="114">
        <v>0</v>
      </c>
      <c r="DK209" s="114">
        <v>0</v>
      </c>
      <c r="DL209" s="114">
        <v>0</v>
      </c>
      <c r="DM209" s="114">
        <f t="shared" si="147"/>
        <v>0</v>
      </c>
      <c r="DN209" s="114">
        <f t="shared" si="148"/>
        <v>0</v>
      </c>
      <c r="DO209" s="114"/>
      <c r="DP209" s="114"/>
      <c r="DQ209" s="114"/>
      <c r="DR209" s="114"/>
      <c r="DS209" s="114"/>
      <c r="DT209" s="114">
        <v>0</v>
      </c>
      <c r="DU209" s="114">
        <v>0</v>
      </c>
      <c r="DV209" s="114">
        <v>0</v>
      </c>
      <c r="DW209" s="114">
        <f t="shared" si="149"/>
        <v>0</v>
      </c>
      <c r="DX209" s="114">
        <f t="shared" si="150"/>
        <v>0</v>
      </c>
      <c r="DY209" s="114"/>
      <c r="DZ209" s="114"/>
      <c r="EA209" s="114"/>
      <c r="EB209" s="114"/>
      <c r="EC209" s="114">
        <v>0</v>
      </c>
      <c r="ED209" s="114">
        <v>0</v>
      </c>
      <c r="EE209" s="114">
        <v>0</v>
      </c>
      <c r="EF209" s="114">
        <v>0</v>
      </c>
      <c r="EG209" s="114">
        <f t="shared" si="151"/>
        <v>0</v>
      </c>
      <c r="EH209" s="114">
        <f t="shared" si="152"/>
        <v>0</v>
      </c>
      <c r="EI209" s="114"/>
      <c r="EJ209" s="114"/>
      <c r="EK209" s="114"/>
      <c r="EL209" s="114"/>
      <c r="EM209" s="114">
        <v>0</v>
      </c>
      <c r="EN209" s="114">
        <v>0</v>
      </c>
      <c r="EO209" s="114">
        <v>0</v>
      </c>
      <c r="EP209" s="114">
        <v>0</v>
      </c>
      <c r="EQ209" s="115"/>
      <c r="ER209" s="114">
        <f>SUM(ER204:ER208)</f>
        <v>0</v>
      </c>
      <c r="ES209" s="114">
        <f>SUM(ES204:ES208)</f>
        <v>0</v>
      </c>
      <c r="ET209" s="114">
        <f>SUM(ET204:ET208)</f>
        <v>0</v>
      </c>
      <c r="EU209" s="114">
        <f>SUM(EU204:EU208)</f>
        <v>0</v>
      </c>
      <c r="EV209" s="114"/>
      <c r="EW209" s="114"/>
      <c r="EX209" s="114"/>
      <c r="EY209" s="114"/>
      <c r="EZ209" s="114">
        <f t="shared" ref="EZ209:FK209" si="168">SUM(EZ204:EZ208)</f>
        <v>0</v>
      </c>
      <c r="FA209" s="114">
        <f t="shared" si="168"/>
        <v>0</v>
      </c>
      <c r="FB209" s="114">
        <f t="shared" si="168"/>
        <v>0</v>
      </c>
      <c r="FC209" s="114">
        <f t="shared" si="168"/>
        <v>0</v>
      </c>
      <c r="FD209" s="114">
        <f t="shared" si="168"/>
        <v>0</v>
      </c>
      <c r="FE209" s="114">
        <f t="shared" si="168"/>
        <v>0</v>
      </c>
      <c r="FF209" s="114">
        <f t="shared" si="168"/>
        <v>0</v>
      </c>
      <c r="FG209" s="114">
        <f t="shared" si="168"/>
        <v>0</v>
      </c>
      <c r="FH209" s="114">
        <f t="shared" ca="1" si="168"/>
        <v>0</v>
      </c>
      <c r="FI209" s="114">
        <f t="shared" ca="1" si="168"/>
        <v>0</v>
      </c>
      <c r="FJ209" s="114">
        <f t="shared" ca="1" si="168"/>
        <v>0</v>
      </c>
      <c r="FK209" s="114">
        <f t="shared" ca="1" si="168"/>
        <v>0</v>
      </c>
      <c r="FL209" s="114">
        <f ca="1">SUM(FL204:FL207)</f>
        <v>0</v>
      </c>
      <c r="FM209" s="115">
        <f ca="1">SUM(FM204:FM208)</f>
        <v>0</v>
      </c>
      <c r="FN209" s="115">
        <f ca="1">SUM(FN204:FN208)</f>
        <v>0</v>
      </c>
      <c r="FO209" s="115">
        <f ca="1">SUM(FO204:FO208)</f>
        <v>0</v>
      </c>
      <c r="FP209" s="116">
        <f ca="1">IFERROR(FH209/FH209,0)</f>
        <v>0</v>
      </c>
      <c r="FQ209" s="117">
        <f t="shared" si="161"/>
        <v>0</v>
      </c>
      <c r="FR209" s="114">
        <f>SUM(FR204:FR208)</f>
        <v>0</v>
      </c>
      <c r="FS209" s="117">
        <f t="shared" si="155"/>
        <v>0</v>
      </c>
    </row>
    <row r="210" spans="20:175" s="92" customFormat="1" hidden="1" outlineLevel="1">
      <c r="T210" s="90"/>
      <c r="U210" s="91"/>
      <c r="X210" s="95" t="s">
        <v>296</v>
      </c>
      <c r="Y210" s="106" t="s">
        <v>44</v>
      </c>
      <c r="Z210" s="106"/>
      <c r="AA210" s="96">
        <f t="shared" si="129"/>
        <v>0</v>
      </c>
      <c r="AB210" s="97">
        <f t="shared" si="130"/>
        <v>0</v>
      </c>
      <c r="AC210" s="96">
        <v>0</v>
      </c>
      <c r="AD210" s="98"/>
      <c r="AE210" s="98">
        <v>0</v>
      </c>
      <c r="AF210" s="98"/>
      <c r="AG210" s="96">
        <v>0</v>
      </c>
      <c r="AH210" s="98"/>
      <c r="AI210" s="98">
        <v>0</v>
      </c>
      <c r="AJ210" s="98"/>
      <c r="AK210" s="96">
        <f t="shared" si="131"/>
        <v>0</v>
      </c>
      <c r="AL210" s="97">
        <f t="shared" si="132"/>
        <v>0</v>
      </c>
      <c r="AM210" s="96">
        <v>0</v>
      </c>
      <c r="AN210" s="98"/>
      <c r="AO210" s="98">
        <v>0</v>
      </c>
      <c r="AP210" s="98"/>
      <c r="AQ210" s="96">
        <v>0</v>
      </c>
      <c r="AR210" s="98"/>
      <c r="AS210" s="98">
        <v>0</v>
      </c>
      <c r="AT210" s="98"/>
      <c r="AU210" s="96">
        <f t="shared" si="133"/>
        <v>0</v>
      </c>
      <c r="AV210" s="97">
        <f t="shared" si="134"/>
        <v>0</v>
      </c>
      <c r="AW210" s="96">
        <v>0</v>
      </c>
      <c r="AX210" s="98"/>
      <c r="AY210" s="98">
        <v>0</v>
      </c>
      <c r="AZ210" s="98"/>
      <c r="BA210" s="96">
        <v>0</v>
      </c>
      <c r="BB210" s="98"/>
      <c r="BC210" s="98">
        <v>0</v>
      </c>
      <c r="BD210" s="98"/>
      <c r="BE210" s="96">
        <f t="shared" si="135"/>
        <v>0</v>
      </c>
      <c r="BF210" s="97">
        <f t="shared" si="136"/>
        <v>0</v>
      </c>
      <c r="BG210" s="96">
        <v>0</v>
      </c>
      <c r="BH210" s="98"/>
      <c r="BI210" s="98">
        <v>0</v>
      </c>
      <c r="BJ210" s="98"/>
      <c r="BK210" s="96">
        <v>0</v>
      </c>
      <c r="BL210" s="98"/>
      <c r="BM210" s="98">
        <v>0</v>
      </c>
      <c r="BN210" s="98"/>
      <c r="BO210" s="96">
        <f t="shared" si="137"/>
        <v>0</v>
      </c>
      <c r="BP210" s="97">
        <f t="shared" si="138"/>
        <v>0</v>
      </c>
      <c r="BQ210" s="96">
        <v>0</v>
      </c>
      <c r="BR210" s="98"/>
      <c r="BS210" s="98">
        <v>0</v>
      </c>
      <c r="BT210" s="98"/>
      <c r="BU210" s="96">
        <v>0</v>
      </c>
      <c r="BV210" s="98"/>
      <c r="BW210" s="98">
        <v>0</v>
      </c>
      <c r="BX210" s="98"/>
      <c r="BY210" s="96">
        <f t="shared" si="139"/>
        <v>0</v>
      </c>
      <c r="BZ210" s="97">
        <f t="shared" si="140"/>
        <v>0</v>
      </c>
      <c r="CA210" s="96">
        <v>0</v>
      </c>
      <c r="CB210" s="98"/>
      <c r="CC210" s="98">
        <v>0</v>
      </c>
      <c r="CD210" s="98"/>
      <c r="CE210" s="96">
        <v>0</v>
      </c>
      <c r="CF210" s="98"/>
      <c r="CG210" s="98">
        <v>0</v>
      </c>
      <c r="CH210" s="98"/>
      <c r="CI210" s="96">
        <f t="shared" si="141"/>
        <v>0</v>
      </c>
      <c r="CJ210" s="97">
        <f t="shared" si="142"/>
        <v>0</v>
      </c>
      <c r="CK210" s="96"/>
      <c r="CL210" s="98"/>
      <c r="CM210" s="98"/>
      <c r="CN210" s="98"/>
      <c r="CO210" s="96"/>
      <c r="CP210" s="98"/>
      <c r="CQ210" s="98">
        <v>0</v>
      </c>
      <c r="CR210" s="98"/>
      <c r="CS210" s="96">
        <f t="shared" si="143"/>
        <v>0</v>
      </c>
      <c r="CT210" s="97">
        <f t="shared" si="144"/>
        <v>0</v>
      </c>
      <c r="CU210" s="96"/>
      <c r="CV210" s="98"/>
      <c r="CW210" s="98"/>
      <c r="CX210" s="98"/>
      <c r="CY210" s="96"/>
      <c r="CZ210" s="98"/>
      <c r="DA210" s="98">
        <v>0</v>
      </c>
      <c r="DB210" s="98"/>
      <c r="DC210" s="96">
        <f t="shared" si="145"/>
        <v>0</v>
      </c>
      <c r="DD210" s="97">
        <f t="shared" si="146"/>
        <v>0</v>
      </c>
      <c r="DE210" s="96"/>
      <c r="DF210" s="98"/>
      <c r="DG210" s="98"/>
      <c r="DH210" s="98"/>
      <c r="DI210" s="96"/>
      <c r="DJ210" s="98"/>
      <c r="DK210" s="98">
        <v>0</v>
      </c>
      <c r="DL210" s="98"/>
      <c r="DM210" s="96">
        <f t="shared" si="147"/>
        <v>0</v>
      </c>
      <c r="DN210" s="97">
        <f t="shared" si="148"/>
        <v>0</v>
      </c>
      <c r="DO210" s="96"/>
      <c r="DP210" s="98"/>
      <c r="DQ210" s="98"/>
      <c r="DR210" s="98"/>
      <c r="DS210" s="96"/>
      <c r="DT210" s="98"/>
      <c r="DU210" s="98">
        <v>0</v>
      </c>
      <c r="DV210" s="98"/>
      <c r="DW210" s="96">
        <f t="shared" si="149"/>
        <v>0</v>
      </c>
      <c r="DX210" s="97">
        <f t="shared" si="150"/>
        <v>0</v>
      </c>
      <c r="DY210" s="96"/>
      <c r="DZ210" s="98"/>
      <c r="EA210" s="98"/>
      <c r="EB210" s="98"/>
      <c r="EC210" s="96">
        <v>0</v>
      </c>
      <c r="ED210" s="98"/>
      <c r="EE210" s="98">
        <v>0</v>
      </c>
      <c r="EF210" s="98"/>
      <c r="EG210" s="96">
        <f t="shared" si="151"/>
        <v>0</v>
      </c>
      <c r="EH210" s="97">
        <f t="shared" si="152"/>
        <v>0</v>
      </c>
      <c r="EI210" s="96"/>
      <c r="EJ210" s="98"/>
      <c r="EK210" s="98"/>
      <c r="EL210" s="98"/>
      <c r="EM210" s="96">
        <v>0</v>
      </c>
      <c r="EN210" s="98"/>
      <c r="EO210" s="98">
        <v>0</v>
      </c>
      <c r="EP210" s="98"/>
      <c r="EQ210" s="384"/>
      <c r="ER210" s="98">
        <f ca="1">SUM(ET210:EX210)</f>
        <v>0</v>
      </c>
      <c r="ES210" s="98"/>
      <c r="ET210" s="98">
        <f ca="1">SUMIFS(TME_Yesterday[Sell_RTL_QTY],TME_Yesterday[Region],master_Daily!$X210,TME_Yesterday[Brand],master_Daily!$Y210)/50000</f>
        <v>0</v>
      </c>
      <c r="EU210" s="98"/>
      <c r="EV210" s="97">
        <f ca="1">SUM(EW210:EY210)</f>
        <v>0</v>
      </c>
      <c r="EW210" s="98"/>
      <c r="EX210" s="98">
        <f ca="1">SUMIFS(TME_Yesterday[FOC_RTL_QTY],TME_Yesterday[Region],master_Daily!$X210,TME_Yesterday[Brand],master_Daily!$Y210)/50000</f>
        <v>0</v>
      </c>
      <c r="EY210" s="98"/>
      <c r="EZ210" s="98">
        <f ca="1">SUM(FA210:FC210)</f>
        <v>0</v>
      </c>
      <c r="FA210" s="98"/>
      <c r="FB210" s="98">
        <f ca="1">SUMIFS(TME_MTD[Sell_RTL_QTY],TME_MTD[Region],master_Daily!$X210,TME_MTD[Brand],master_Daily!$Y210)/50000</f>
        <v>0</v>
      </c>
      <c r="FC210" s="98"/>
      <c r="FD210" s="98">
        <f ca="1">SUM(FE210:FG210)</f>
        <v>0</v>
      </c>
      <c r="FE210" s="98"/>
      <c r="FF210" s="98">
        <f ca="1">SUMIFS(TME_MTD[FOC_RTL_QTY],TME_MTD[Region],master_Daily!$X210,TME_MTD[Brand],master_Daily!$Y210)/50000</f>
        <v>0</v>
      </c>
      <c r="FG210" s="98"/>
      <c r="FH210" s="98">
        <f t="shared" ref="FH210:FO212" ca="1" si="169">SUMIFS($AA210:$EP210,$AA$129:$EP$129,INDIRECT(ADDRESS(129,COLUMN())))</f>
        <v>0</v>
      </c>
      <c r="FI210" s="98">
        <f t="shared" ca="1" si="169"/>
        <v>0</v>
      </c>
      <c r="FJ210" s="98">
        <f t="shared" ca="1" si="169"/>
        <v>0</v>
      </c>
      <c r="FK210" s="98">
        <f t="shared" ca="1" si="169"/>
        <v>0</v>
      </c>
      <c r="FL210" s="98">
        <f t="shared" ca="1" si="169"/>
        <v>0</v>
      </c>
      <c r="FM210" s="97">
        <f t="shared" ca="1" si="169"/>
        <v>0</v>
      </c>
      <c r="FN210" s="97">
        <f t="shared" ca="1" si="169"/>
        <v>0</v>
      </c>
      <c r="FO210" s="97">
        <f t="shared" ca="1" si="169"/>
        <v>0</v>
      </c>
      <c r="FP210" s="99">
        <f ca="1">IFERROR(FH210/$FH$171,0)</f>
        <v>0</v>
      </c>
      <c r="FQ210" s="100">
        <f t="shared" ref="FQ210:FQ241" ca="1" si="170">IFERROR(EZ210/EQ210,0)</f>
        <v>0</v>
      </c>
      <c r="FR210" s="311"/>
      <c r="FS210" s="100">
        <f t="shared" si="155"/>
        <v>0</v>
      </c>
    </row>
    <row r="211" spans="20:175" s="92" customFormat="1" hidden="1" outlineLevel="1">
      <c r="T211" s="90"/>
      <c r="U211" s="91"/>
      <c r="X211" s="95" t="s">
        <v>296</v>
      </c>
      <c r="Y211" s="106" t="s">
        <v>45</v>
      </c>
      <c r="Z211" s="106"/>
      <c r="AA211" s="96">
        <f t="shared" si="129"/>
        <v>0</v>
      </c>
      <c r="AB211" s="97">
        <f t="shared" si="130"/>
        <v>0</v>
      </c>
      <c r="AC211" s="96">
        <v>0</v>
      </c>
      <c r="AD211" s="98"/>
      <c r="AE211" s="98">
        <v>0</v>
      </c>
      <c r="AF211" s="98"/>
      <c r="AG211" s="96">
        <v>0</v>
      </c>
      <c r="AH211" s="98"/>
      <c r="AI211" s="98">
        <v>0</v>
      </c>
      <c r="AJ211" s="98"/>
      <c r="AK211" s="96">
        <f t="shared" si="131"/>
        <v>0</v>
      </c>
      <c r="AL211" s="97">
        <f t="shared" si="132"/>
        <v>0</v>
      </c>
      <c r="AM211" s="96">
        <v>0</v>
      </c>
      <c r="AN211" s="98"/>
      <c r="AO211" s="98">
        <v>0</v>
      </c>
      <c r="AP211" s="98"/>
      <c r="AQ211" s="96">
        <v>0</v>
      </c>
      <c r="AR211" s="98"/>
      <c r="AS211" s="98">
        <v>0</v>
      </c>
      <c r="AT211" s="98"/>
      <c r="AU211" s="96">
        <f t="shared" si="133"/>
        <v>0</v>
      </c>
      <c r="AV211" s="97">
        <f t="shared" si="134"/>
        <v>0</v>
      </c>
      <c r="AW211" s="96">
        <v>0</v>
      </c>
      <c r="AX211" s="98"/>
      <c r="AY211" s="98">
        <v>0</v>
      </c>
      <c r="AZ211" s="98"/>
      <c r="BA211" s="96">
        <v>0</v>
      </c>
      <c r="BB211" s="98"/>
      <c r="BC211" s="98">
        <v>0</v>
      </c>
      <c r="BD211" s="98"/>
      <c r="BE211" s="96">
        <f t="shared" si="135"/>
        <v>0</v>
      </c>
      <c r="BF211" s="97">
        <f t="shared" si="136"/>
        <v>0</v>
      </c>
      <c r="BG211" s="96">
        <v>0</v>
      </c>
      <c r="BH211" s="98"/>
      <c r="BI211" s="98">
        <v>0</v>
      </c>
      <c r="BJ211" s="98"/>
      <c r="BK211" s="96">
        <v>0</v>
      </c>
      <c r="BL211" s="98"/>
      <c r="BM211" s="98">
        <v>0</v>
      </c>
      <c r="BN211" s="98"/>
      <c r="BO211" s="96">
        <f t="shared" si="137"/>
        <v>0</v>
      </c>
      <c r="BP211" s="97">
        <f t="shared" si="138"/>
        <v>0</v>
      </c>
      <c r="BQ211" s="96">
        <v>0</v>
      </c>
      <c r="BR211" s="98"/>
      <c r="BS211" s="98">
        <v>0</v>
      </c>
      <c r="BT211" s="98"/>
      <c r="BU211" s="96">
        <v>0</v>
      </c>
      <c r="BV211" s="98"/>
      <c r="BW211" s="98">
        <v>0</v>
      </c>
      <c r="BX211" s="98"/>
      <c r="BY211" s="96">
        <f t="shared" si="139"/>
        <v>0</v>
      </c>
      <c r="BZ211" s="97">
        <f t="shared" si="140"/>
        <v>0</v>
      </c>
      <c r="CA211" s="96">
        <v>0</v>
      </c>
      <c r="CB211" s="98"/>
      <c r="CC211" s="98">
        <v>0</v>
      </c>
      <c r="CD211" s="98"/>
      <c r="CE211" s="96">
        <v>0</v>
      </c>
      <c r="CF211" s="98"/>
      <c r="CG211" s="98">
        <v>0</v>
      </c>
      <c r="CH211" s="98"/>
      <c r="CI211" s="96">
        <f t="shared" si="141"/>
        <v>0</v>
      </c>
      <c r="CJ211" s="97">
        <f t="shared" si="142"/>
        <v>0</v>
      </c>
      <c r="CK211" s="96"/>
      <c r="CL211" s="98"/>
      <c r="CM211" s="98"/>
      <c r="CN211" s="98"/>
      <c r="CO211" s="96"/>
      <c r="CP211" s="98"/>
      <c r="CQ211" s="98">
        <v>0</v>
      </c>
      <c r="CR211" s="98"/>
      <c r="CS211" s="96">
        <f t="shared" si="143"/>
        <v>0</v>
      </c>
      <c r="CT211" s="97">
        <f t="shared" si="144"/>
        <v>0</v>
      </c>
      <c r="CU211" s="96"/>
      <c r="CV211" s="98"/>
      <c r="CW211" s="98"/>
      <c r="CX211" s="98"/>
      <c r="CY211" s="96"/>
      <c r="CZ211" s="98"/>
      <c r="DA211" s="98">
        <v>0</v>
      </c>
      <c r="DB211" s="98"/>
      <c r="DC211" s="96">
        <f t="shared" si="145"/>
        <v>0</v>
      </c>
      <c r="DD211" s="97">
        <f t="shared" si="146"/>
        <v>0</v>
      </c>
      <c r="DE211" s="96"/>
      <c r="DF211" s="98"/>
      <c r="DG211" s="98"/>
      <c r="DH211" s="98"/>
      <c r="DI211" s="96"/>
      <c r="DJ211" s="98"/>
      <c r="DK211" s="98">
        <v>0</v>
      </c>
      <c r="DL211" s="98"/>
      <c r="DM211" s="96">
        <f t="shared" si="147"/>
        <v>0</v>
      </c>
      <c r="DN211" s="97">
        <f t="shared" si="148"/>
        <v>0</v>
      </c>
      <c r="DO211" s="96"/>
      <c r="DP211" s="98"/>
      <c r="DQ211" s="98"/>
      <c r="DR211" s="98"/>
      <c r="DS211" s="96"/>
      <c r="DT211" s="98"/>
      <c r="DU211" s="98">
        <v>0</v>
      </c>
      <c r="DV211" s="98"/>
      <c r="DW211" s="96">
        <f t="shared" si="149"/>
        <v>0</v>
      </c>
      <c r="DX211" s="97">
        <f t="shared" si="150"/>
        <v>0</v>
      </c>
      <c r="DY211" s="96"/>
      <c r="DZ211" s="98"/>
      <c r="EA211" s="98"/>
      <c r="EB211" s="98"/>
      <c r="EC211" s="96">
        <v>0</v>
      </c>
      <c r="ED211" s="98"/>
      <c r="EE211" s="98">
        <v>0</v>
      </c>
      <c r="EF211" s="98"/>
      <c r="EG211" s="96">
        <f t="shared" si="151"/>
        <v>0</v>
      </c>
      <c r="EH211" s="97">
        <f t="shared" si="152"/>
        <v>0</v>
      </c>
      <c r="EI211" s="96"/>
      <c r="EJ211" s="98"/>
      <c r="EK211" s="98"/>
      <c r="EL211" s="98"/>
      <c r="EM211" s="96">
        <v>0</v>
      </c>
      <c r="EN211" s="98"/>
      <c r="EO211" s="98">
        <v>0</v>
      </c>
      <c r="EP211" s="98"/>
      <c r="EQ211" s="384"/>
      <c r="ER211" s="98">
        <f ca="1">SUM(ET211:EX211)</f>
        <v>0</v>
      </c>
      <c r="ES211" s="98"/>
      <c r="ET211" s="98">
        <f ca="1">SUMIFS(TME_Yesterday[Sell_RTL_QTY],TME_Yesterday[Region],master_Daily!$X211,TME_Yesterday[Brand],master_Daily!$Y211)/50000</f>
        <v>0</v>
      </c>
      <c r="EU211" s="98"/>
      <c r="EV211" s="97">
        <f ca="1">SUM(EW211:EY211)</f>
        <v>0</v>
      </c>
      <c r="EW211" s="98"/>
      <c r="EX211" s="98">
        <f ca="1">SUMIFS(TME_Yesterday[FOC_RTL_QTY],TME_Yesterday[Region],master_Daily!$X211,TME_Yesterday[Brand],master_Daily!$Y211)/50000</f>
        <v>0</v>
      </c>
      <c r="EY211" s="98"/>
      <c r="EZ211" s="98">
        <f ca="1">SUM(FA211:FC211)</f>
        <v>0</v>
      </c>
      <c r="FA211" s="98"/>
      <c r="FB211" s="98">
        <f ca="1">SUMIFS(TME_MTD[Sell_RTL_QTY],TME_MTD[Region],master_Daily!$X211,TME_MTD[Brand],master_Daily!$Y211)/50000</f>
        <v>0</v>
      </c>
      <c r="FC211" s="98"/>
      <c r="FD211" s="98">
        <f ca="1">SUM(FE211:FG211)</f>
        <v>0</v>
      </c>
      <c r="FE211" s="98"/>
      <c r="FF211" s="98">
        <f ca="1">SUMIFS(TME_MTD[FOC_RTL_QTY],TME_MTD[Region],master_Daily!$X211,TME_MTD[Brand],master_Daily!$Y211)/50000</f>
        <v>0</v>
      </c>
      <c r="FG211" s="98"/>
      <c r="FH211" s="98">
        <f t="shared" ca="1" si="169"/>
        <v>0</v>
      </c>
      <c r="FI211" s="98">
        <f t="shared" ca="1" si="169"/>
        <v>0</v>
      </c>
      <c r="FJ211" s="98">
        <f t="shared" ca="1" si="169"/>
        <v>0</v>
      </c>
      <c r="FK211" s="98">
        <f t="shared" ca="1" si="169"/>
        <v>0</v>
      </c>
      <c r="FL211" s="98">
        <f t="shared" ca="1" si="169"/>
        <v>0</v>
      </c>
      <c r="FM211" s="97">
        <f t="shared" ca="1" si="169"/>
        <v>0</v>
      </c>
      <c r="FN211" s="97">
        <f t="shared" ca="1" si="169"/>
        <v>0</v>
      </c>
      <c r="FO211" s="97">
        <f t="shared" ca="1" si="169"/>
        <v>0</v>
      </c>
      <c r="FP211" s="99">
        <f ca="1">IFERROR(FH211/$FH$171,0)</f>
        <v>0</v>
      </c>
      <c r="FQ211" s="100">
        <f t="shared" ca="1" si="170"/>
        <v>0</v>
      </c>
      <c r="FR211" s="311"/>
      <c r="FS211" s="100">
        <f t="shared" si="155"/>
        <v>0</v>
      </c>
    </row>
    <row r="212" spans="20:175" s="92" customFormat="1" hidden="1" outlineLevel="1">
      <c r="T212" s="90"/>
      <c r="U212" s="91"/>
      <c r="X212" s="95" t="s">
        <v>296</v>
      </c>
      <c r="Y212" s="106" t="s">
        <v>46</v>
      </c>
      <c r="Z212" s="106"/>
      <c r="AA212" s="96">
        <f t="shared" si="129"/>
        <v>0</v>
      </c>
      <c r="AB212" s="97">
        <f t="shared" si="130"/>
        <v>0</v>
      </c>
      <c r="AC212" s="96">
        <v>0</v>
      </c>
      <c r="AD212" s="98"/>
      <c r="AE212" s="98">
        <v>0</v>
      </c>
      <c r="AF212" s="98"/>
      <c r="AG212" s="96">
        <v>0</v>
      </c>
      <c r="AH212" s="98"/>
      <c r="AI212" s="98">
        <v>0</v>
      </c>
      <c r="AJ212" s="98"/>
      <c r="AK212" s="96">
        <f t="shared" si="131"/>
        <v>0</v>
      </c>
      <c r="AL212" s="97">
        <f t="shared" si="132"/>
        <v>0</v>
      </c>
      <c r="AM212" s="96">
        <v>0</v>
      </c>
      <c r="AN212" s="98"/>
      <c r="AO212" s="98">
        <v>0</v>
      </c>
      <c r="AP212" s="98"/>
      <c r="AQ212" s="96">
        <v>0</v>
      </c>
      <c r="AR212" s="98"/>
      <c r="AS212" s="98">
        <v>0</v>
      </c>
      <c r="AT212" s="98"/>
      <c r="AU212" s="96">
        <f t="shared" si="133"/>
        <v>0</v>
      </c>
      <c r="AV212" s="97">
        <f t="shared" si="134"/>
        <v>0</v>
      </c>
      <c r="AW212" s="96">
        <v>0</v>
      </c>
      <c r="AX212" s="98"/>
      <c r="AY212" s="98">
        <v>0</v>
      </c>
      <c r="AZ212" s="98"/>
      <c r="BA212" s="96">
        <v>0</v>
      </c>
      <c r="BB212" s="98"/>
      <c r="BC212" s="98">
        <v>0</v>
      </c>
      <c r="BD212" s="98"/>
      <c r="BE212" s="96">
        <f t="shared" si="135"/>
        <v>0</v>
      </c>
      <c r="BF212" s="97">
        <f t="shared" si="136"/>
        <v>0</v>
      </c>
      <c r="BG212" s="96">
        <v>0</v>
      </c>
      <c r="BH212" s="98"/>
      <c r="BI212" s="98">
        <v>0</v>
      </c>
      <c r="BJ212" s="98"/>
      <c r="BK212" s="96">
        <v>0</v>
      </c>
      <c r="BL212" s="98"/>
      <c r="BM212" s="98">
        <v>0</v>
      </c>
      <c r="BN212" s="98"/>
      <c r="BO212" s="96">
        <f t="shared" si="137"/>
        <v>0</v>
      </c>
      <c r="BP212" s="97">
        <f t="shared" si="138"/>
        <v>0</v>
      </c>
      <c r="BQ212" s="96">
        <v>0</v>
      </c>
      <c r="BR212" s="98"/>
      <c r="BS212" s="98">
        <v>0</v>
      </c>
      <c r="BT212" s="98"/>
      <c r="BU212" s="96">
        <v>0</v>
      </c>
      <c r="BV212" s="98"/>
      <c r="BW212" s="98">
        <v>0</v>
      </c>
      <c r="BX212" s="98"/>
      <c r="BY212" s="96">
        <f t="shared" si="139"/>
        <v>0</v>
      </c>
      <c r="BZ212" s="97">
        <f t="shared" si="140"/>
        <v>0</v>
      </c>
      <c r="CA212" s="96">
        <v>0</v>
      </c>
      <c r="CB212" s="98"/>
      <c r="CC212" s="98">
        <v>0</v>
      </c>
      <c r="CD212" s="98"/>
      <c r="CE212" s="96">
        <v>0</v>
      </c>
      <c r="CF212" s="98"/>
      <c r="CG212" s="98">
        <v>0</v>
      </c>
      <c r="CH212" s="98"/>
      <c r="CI212" s="96">
        <f t="shared" si="141"/>
        <v>0</v>
      </c>
      <c r="CJ212" s="97">
        <f t="shared" si="142"/>
        <v>0</v>
      </c>
      <c r="CK212" s="96"/>
      <c r="CL212" s="98"/>
      <c r="CM212" s="98"/>
      <c r="CN212" s="98"/>
      <c r="CO212" s="96"/>
      <c r="CP212" s="98"/>
      <c r="CQ212" s="98">
        <v>0</v>
      </c>
      <c r="CR212" s="98"/>
      <c r="CS212" s="96">
        <f t="shared" si="143"/>
        <v>0</v>
      </c>
      <c r="CT212" s="97">
        <f t="shared" si="144"/>
        <v>0</v>
      </c>
      <c r="CU212" s="96"/>
      <c r="CV212" s="98"/>
      <c r="CW212" s="98"/>
      <c r="CX212" s="98"/>
      <c r="CY212" s="96"/>
      <c r="CZ212" s="98"/>
      <c r="DA212" s="98">
        <v>0</v>
      </c>
      <c r="DB212" s="98"/>
      <c r="DC212" s="96">
        <f t="shared" si="145"/>
        <v>0</v>
      </c>
      <c r="DD212" s="97">
        <f t="shared" si="146"/>
        <v>0</v>
      </c>
      <c r="DE212" s="96"/>
      <c r="DF212" s="98"/>
      <c r="DG212" s="98"/>
      <c r="DH212" s="98"/>
      <c r="DI212" s="96"/>
      <c r="DJ212" s="98"/>
      <c r="DK212" s="98">
        <v>0</v>
      </c>
      <c r="DL212" s="98"/>
      <c r="DM212" s="96">
        <f t="shared" si="147"/>
        <v>0</v>
      </c>
      <c r="DN212" s="97">
        <f t="shared" si="148"/>
        <v>0</v>
      </c>
      <c r="DO212" s="96"/>
      <c r="DP212" s="98"/>
      <c r="DQ212" s="98"/>
      <c r="DR212" s="98"/>
      <c r="DS212" s="96"/>
      <c r="DT212" s="98"/>
      <c r="DU212" s="98">
        <v>0</v>
      </c>
      <c r="DV212" s="98"/>
      <c r="DW212" s="96">
        <f t="shared" si="149"/>
        <v>0</v>
      </c>
      <c r="DX212" s="97">
        <f t="shared" si="150"/>
        <v>0</v>
      </c>
      <c r="DY212" s="96"/>
      <c r="DZ212" s="98"/>
      <c r="EA212" s="98"/>
      <c r="EB212" s="98"/>
      <c r="EC212" s="96">
        <v>0</v>
      </c>
      <c r="ED212" s="98"/>
      <c r="EE212" s="98">
        <v>0</v>
      </c>
      <c r="EF212" s="98"/>
      <c r="EG212" s="96">
        <f t="shared" si="151"/>
        <v>0</v>
      </c>
      <c r="EH212" s="97">
        <f t="shared" si="152"/>
        <v>0</v>
      </c>
      <c r="EI212" s="96"/>
      <c r="EJ212" s="98"/>
      <c r="EK212" s="98"/>
      <c r="EL212" s="98"/>
      <c r="EM212" s="96">
        <v>0</v>
      </c>
      <c r="EN212" s="98"/>
      <c r="EO212" s="98">
        <v>0</v>
      </c>
      <c r="EP212" s="98"/>
      <c r="EQ212" s="384"/>
      <c r="ER212" s="98">
        <f ca="1">SUM(ET212:EX212)</f>
        <v>0</v>
      </c>
      <c r="ES212" s="98"/>
      <c r="ET212" s="98">
        <f ca="1">SUMIFS(TME_Yesterday[Sell_RTL_QTY],TME_Yesterday[Region],master_Daily!$X212,TME_Yesterday[Brand],master_Daily!$Y212)/50000</f>
        <v>0</v>
      </c>
      <c r="EU212" s="98"/>
      <c r="EV212" s="97">
        <f ca="1">SUM(EW212:EY212)</f>
        <v>0</v>
      </c>
      <c r="EW212" s="98"/>
      <c r="EX212" s="98">
        <f ca="1">SUMIFS(TME_Yesterday[FOC_RTL_QTY],TME_Yesterday[Region],master_Daily!$X212,TME_Yesterday[Brand],master_Daily!$Y212)/50000</f>
        <v>0</v>
      </c>
      <c r="EY212" s="98"/>
      <c r="EZ212" s="98">
        <f ca="1">SUM(FA212:FC212)</f>
        <v>0</v>
      </c>
      <c r="FA212" s="98"/>
      <c r="FB212" s="98">
        <f ca="1">SUMIFS(TME_MTD[Sell_RTL_QTY],TME_MTD[Region],master_Daily!$X212,TME_MTD[Brand],master_Daily!$Y212)/50000</f>
        <v>0</v>
      </c>
      <c r="FC212" s="98"/>
      <c r="FD212" s="98">
        <f ca="1">SUM(FE212:FG212)</f>
        <v>0</v>
      </c>
      <c r="FE212" s="98"/>
      <c r="FF212" s="98">
        <f ca="1">SUMIFS(TME_MTD[FOC_RTL_QTY],TME_MTD[Region],master_Daily!$X212,TME_MTD[Brand],master_Daily!$Y212)/50000</f>
        <v>0</v>
      </c>
      <c r="FG212" s="98"/>
      <c r="FH212" s="98">
        <f t="shared" ca="1" si="169"/>
        <v>0</v>
      </c>
      <c r="FI212" s="98">
        <f t="shared" ca="1" si="169"/>
        <v>0</v>
      </c>
      <c r="FJ212" s="98">
        <f t="shared" ca="1" si="169"/>
        <v>0</v>
      </c>
      <c r="FK212" s="98">
        <f t="shared" ca="1" si="169"/>
        <v>0</v>
      </c>
      <c r="FL212" s="98">
        <f t="shared" ca="1" si="169"/>
        <v>0</v>
      </c>
      <c r="FM212" s="97">
        <f t="shared" ca="1" si="169"/>
        <v>0</v>
      </c>
      <c r="FN212" s="97">
        <f t="shared" ca="1" si="169"/>
        <v>0</v>
      </c>
      <c r="FO212" s="97">
        <f t="shared" ca="1" si="169"/>
        <v>0</v>
      </c>
      <c r="FP212" s="99">
        <f ca="1">IFERROR(FH212/$FH$171,0)</f>
        <v>0</v>
      </c>
      <c r="FQ212" s="100">
        <f t="shared" ca="1" si="170"/>
        <v>0</v>
      </c>
      <c r="FR212" s="311"/>
      <c r="FS212" s="100">
        <f t="shared" si="155"/>
        <v>0</v>
      </c>
    </row>
    <row r="213" spans="20:175" s="92" customFormat="1" hidden="1" outlineLevel="1">
      <c r="T213" s="90"/>
      <c r="U213" s="91"/>
      <c r="X213" s="95" t="s">
        <v>296</v>
      </c>
      <c r="Y213" s="106" t="s">
        <v>263</v>
      </c>
      <c r="Z213" s="106"/>
      <c r="AA213" s="96">
        <f t="shared" si="129"/>
        <v>0</v>
      </c>
      <c r="AB213" s="97">
        <f t="shared" si="130"/>
        <v>0</v>
      </c>
      <c r="AC213" s="96">
        <v>0</v>
      </c>
      <c r="AD213" s="98"/>
      <c r="AE213" s="98">
        <v>0</v>
      </c>
      <c r="AF213" s="98"/>
      <c r="AG213" s="96">
        <v>0</v>
      </c>
      <c r="AH213" s="98"/>
      <c r="AI213" s="98">
        <v>0</v>
      </c>
      <c r="AJ213" s="98"/>
      <c r="AK213" s="96">
        <f t="shared" si="131"/>
        <v>0</v>
      </c>
      <c r="AL213" s="97">
        <f t="shared" si="132"/>
        <v>0</v>
      </c>
      <c r="AM213" s="96">
        <v>0</v>
      </c>
      <c r="AN213" s="98"/>
      <c r="AO213" s="98">
        <v>0</v>
      </c>
      <c r="AP213" s="98"/>
      <c r="AQ213" s="96">
        <v>0</v>
      </c>
      <c r="AR213" s="98"/>
      <c r="AS213" s="98">
        <v>0</v>
      </c>
      <c r="AT213" s="98"/>
      <c r="AU213" s="96">
        <f t="shared" si="133"/>
        <v>0</v>
      </c>
      <c r="AV213" s="97">
        <f t="shared" si="134"/>
        <v>0</v>
      </c>
      <c r="AW213" s="96">
        <v>0</v>
      </c>
      <c r="AX213" s="98"/>
      <c r="AY213" s="98">
        <v>0</v>
      </c>
      <c r="AZ213" s="98"/>
      <c r="BA213" s="96">
        <v>0</v>
      </c>
      <c r="BB213" s="98"/>
      <c r="BC213" s="98">
        <v>0</v>
      </c>
      <c r="BD213" s="98"/>
      <c r="BE213" s="96">
        <f t="shared" si="135"/>
        <v>0</v>
      </c>
      <c r="BF213" s="97">
        <f t="shared" si="136"/>
        <v>0</v>
      </c>
      <c r="BG213" s="96">
        <v>0</v>
      </c>
      <c r="BH213" s="98"/>
      <c r="BI213" s="98">
        <v>0</v>
      </c>
      <c r="BJ213" s="98"/>
      <c r="BK213" s="96">
        <v>0</v>
      </c>
      <c r="BL213" s="98"/>
      <c r="BM213" s="98">
        <v>0</v>
      </c>
      <c r="BN213" s="98"/>
      <c r="BO213" s="96">
        <f t="shared" si="137"/>
        <v>0</v>
      </c>
      <c r="BP213" s="97">
        <f t="shared" si="138"/>
        <v>0</v>
      </c>
      <c r="BQ213" s="96">
        <v>0</v>
      </c>
      <c r="BR213" s="98"/>
      <c r="BS213" s="98">
        <v>0</v>
      </c>
      <c r="BT213" s="98"/>
      <c r="BU213" s="96">
        <v>0</v>
      </c>
      <c r="BV213" s="98"/>
      <c r="BW213" s="98">
        <v>0</v>
      </c>
      <c r="BX213" s="98"/>
      <c r="BY213" s="96">
        <f t="shared" si="139"/>
        <v>0</v>
      </c>
      <c r="BZ213" s="97">
        <f t="shared" si="140"/>
        <v>0</v>
      </c>
      <c r="CA213" s="96">
        <v>0</v>
      </c>
      <c r="CB213" s="98"/>
      <c r="CC213" s="98">
        <v>0</v>
      </c>
      <c r="CD213" s="98"/>
      <c r="CE213" s="96">
        <v>0</v>
      </c>
      <c r="CF213" s="98"/>
      <c r="CG213" s="98">
        <v>0</v>
      </c>
      <c r="CH213" s="98"/>
      <c r="CI213" s="96">
        <f t="shared" si="141"/>
        <v>0</v>
      </c>
      <c r="CJ213" s="97">
        <f t="shared" si="142"/>
        <v>0</v>
      </c>
      <c r="CK213" s="96"/>
      <c r="CL213" s="98"/>
      <c r="CM213" s="98"/>
      <c r="CN213" s="98"/>
      <c r="CO213" s="96"/>
      <c r="CP213" s="98"/>
      <c r="CQ213" s="98">
        <v>0</v>
      </c>
      <c r="CR213" s="98"/>
      <c r="CS213" s="96">
        <f t="shared" si="143"/>
        <v>0</v>
      </c>
      <c r="CT213" s="97">
        <f t="shared" si="144"/>
        <v>0</v>
      </c>
      <c r="CU213" s="96"/>
      <c r="CV213" s="98"/>
      <c r="CW213" s="98"/>
      <c r="CX213" s="98"/>
      <c r="CY213" s="96"/>
      <c r="CZ213" s="98"/>
      <c r="DA213" s="98">
        <v>0</v>
      </c>
      <c r="DB213" s="98"/>
      <c r="DC213" s="96">
        <f t="shared" si="145"/>
        <v>0</v>
      </c>
      <c r="DD213" s="97">
        <f t="shared" si="146"/>
        <v>0</v>
      </c>
      <c r="DE213" s="96"/>
      <c r="DF213" s="98"/>
      <c r="DG213" s="98"/>
      <c r="DH213" s="98"/>
      <c r="DI213" s="96"/>
      <c r="DJ213" s="98"/>
      <c r="DK213" s="98">
        <v>0</v>
      </c>
      <c r="DL213" s="98"/>
      <c r="DM213" s="96">
        <f t="shared" si="147"/>
        <v>0</v>
      </c>
      <c r="DN213" s="97">
        <f t="shared" si="148"/>
        <v>0</v>
      </c>
      <c r="DO213" s="96"/>
      <c r="DP213" s="98"/>
      <c r="DQ213" s="98"/>
      <c r="DR213" s="98"/>
      <c r="DS213" s="96"/>
      <c r="DT213" s="98"/>
      <c r="DU213" s="98">
        <v>0</v>
      </c>
      <c r="DV213" s="98"/>
      <c r="DW213" s="96">
        <f t="shared" si="149"/>
        <v>0</v>
      </c>
      <c r="DX213" s="97">
        <f t="shared" si="150"/>
        <v>0</v>
      </c>
      <c r="DY213" s="96"/>
      <c r="DZ213" s="98"/>
      <c r="EA213" s="98"/>
      <c r="EB213" s="98"/>
      <c r="EC213" s="96">
        <v>0</v>
      </c>
      <c r="ED213" s="98"/>
      <c r="EE213" s="98">
        <v>0</v>
      </c>
      <c r="EF213" s="98"/>
      <c r="EG213" s="96">
        <f t="shared" si="151"/>
        <v>0</v>
      </c>
      <c r="EH213" s="97">
        <f t="shared" si="152"/>
        <v>0</v>
      </c>
      <c r="EI213" s="96"/>
      <c r="EJ213" s="98"/>
      <c r="EK213" s="98"/>
      <c r="EL213" s="98"/>
      <c r="EM213" s="96">
        <v>0</v>
      </c>
      <c r="EN213" s="98"/>
      <c r="EO213" s="98">
        <v>0</v>
      </c>
      <c r="EP213" s="98"/>
      <c r="EQ213" s="384"/>
      <c r="ER213" s="98">
        <f ca="1">SUM(ET213:EX213)</f>
        <v>0</v>
      </c>
      <c r="ES213" s="98"/>
      <c r="ET213" s="98">
        <f ca="1">SUMIFS(TME_Yesterday[Sell_RTL_QTY],TME_Yesterday[Region],master_Daily!$X213,TME_Yesterday[Brand],"CM")/50000</f>
        <v>0</v>
      </c>
      <c r="EU213" s="98"/>
      <c r="EV213" s="97">
        <f ca="1">SUM(EW213:EY213)</f>
        <v>0</v>
      </c>
      <c r="EW213" s="98"/>
      <c r="EX213" s="98">
        <f ca="1">SUMIFS(TME_Yesterday[FOC_RTL_QTY],TME_Yesterday[Region],master_Daily!$X213,TME_Yesterday[Brand],"CM")/50000</f>
        <v>0</v>
      </c>
      <c r="EY213" s="98"/>
      <c r="EZ213" s="98">
        <f ca="1">SUM(FA213:FC213)</f>
        <v>0</v>
      </c>
      <c r="FA213" s="98"/>
      <c r="FB213" s="98">
        <f ca="1">SUMIFS(TME_MTD[Sell_RTL_QTY],TME_MTD[Region],master_Daily!$X213,TME_MTD[Brand],"CM")/50000</f>
        <v>0</v>
      </c>
      <c r="FC213" s="98"/>
      <c r="FD213" s="98">
        <f ca="1">SUM(FE213:FG213)</f>
        <v>0</v>
      </c>
      <c r="FE213" s="98"/>
      <c r="FF213" s="98">
        <f ca="1">SUMIFS(TME_MTD[FOC_RTL_QTY],TME_MTD[Region],master_Daily!$X213,TME_MTD[Brand],"CM")/50000</f>
        <v>0</v>
      </c>
      <c r="FG213" s="98"/>
      <c r="FH213" s="98">
        <f t="shared" ref="FH213:FL214" ca="1" si="171">SUMIFS($AA213:$EP213,$AA$129:$EP$129,INDIRECT(ADDRESS(129,COLUMN())))</f>
        <v>0</v>
      </c>
      <c r="FI213" s="98">
        <f t="shared" ca="1" si="171"/>
        <v>0</v>
      </c>
      <c r="FJ213" s="98">
        <f t="shared" ca="1" si="171"/>
        <v>0</v>
      </c>
      <c r="FK213" s="98">
        <f t="shared" ca="1" si="171"/>
        <v>0</v>
      </c>
      <c r="FL213" s="98">
        <f t="shared" ca="1" si="171"/>
        <v>0</v>
      </c>
      <c r="FM213" s="97">
        <f t="shared" ref="FM213:FO214" si="172">SUMIFS(AF213:EU213,$AA$129:$EP$129,$FH$129)</f>
        <v>0</v>
      </c>
      <c r="FN213" s="97">
        <f t="shared" si="172"/>
        <v>0</v>
      </c>
      <c r="FO213" s="97">
        <f t="shared" si="172"/>
        <v>0</v>
      </c>
      <c r="FP213" s="99">
        <f ca="1">IFERROR(FH213/$FH$171,0)</f>
        <v>0</v>
      </c>
      <c r="FQ213" s="100">
        <f t="shared" ca="1" si="170"/>
        <v>0</v>
      </c>
      <c r="FR213" s="311"/>
      <c r="FS213" s="100">
        <f t="shared" si="155"/>
        <v>0</v>
      </c>
    </row>
    <row r="214" spans="20:175" s="92" customFormat="1" hidden="1" outlineLevel="1">
      <c r="T214" s="90"/>
      <c r="U214" s="91"/>
      <c r="X214" s="95" t="s">
        <v>296</v>
      </c>
      <c r="Y214" s="106" t="s">
        <v>264</v>
      </c>
      <c r="Z214" s="106"/>
      <c r="AA214" s="96">
        <f t="shared" si="129"/>
        <v>0</v>
      </c>
      <c r="AB214" s="97">
        <f t="shared" si="130"/>
        <v>0</v>
      </c>
      <c r="AC214" s="96">
        <v>0</v>
      </c>
      <c r="AD214" s="98"/>
      <c r="AE214" s="98">
        <v>0</v>
      </c>
      <c r="AF214" s="98"/>
      <c r="AG214" s="96">
        <v>0</v>
      </c>
      <c r="AH214" s="98"/>
      <c r="AI214" s="98">
        <v>0</v>
      </c>
      <c r="AJ214" s="98"/>
      <c r="AK214" s="96">
        <f t="shared" si="131"/>
        <v>0</v>
      </c>
      <c r="AL214" s="97">
        <f t="shared" si="132"/>
        <v>0</v>
      </c>
      <c r="AM214" s="96">
        <v>0</v>
      </c>
      <c r="AN214" s="98"/>
      <c r="AO214" s="98">
        <v>0</v>
      </c>
      <c r="AP214" s="98"/>
      <c r="AQ214" s="96">
        <v>0</v>
      </c>
      <c r="AR214" s="98"/>
      <c r="AS214" s="98">
        <v>0</v>
      </c>
      <c r="AT214" s="98"/>
      <c r="AU214" s="96">
        <f t="shared" si="133"/>
        <v>0</v>
      </c>
      <c r="AV214" s="97">
        <f t="shared" si="134"/>
        <v>0</v>
      </c>
      <c r="AW214" s="96">
        <v>0</v>
      </c>
      <c r="AX214" s="98"/>
      <c r="AY214" s="98">
        <v>0</v>
      </c>
      <c r="AZ214" s="98"/>
      <c r="BA214" s="96">
        <v>0</v>
      </c>
      <c r="BB214" s="98"/>
      <c r="BC214" s="98">
        <v>0</v>
      </c>
      <c r="BD214" s="98"/>
      <c r="BE214" s="96">
        <f t="shared" si="135"/>
        <v>0</v>
      </c>
      <c r="BF214" s="97">
        <f t="shared" si="136"/>
        <v>0</v>
      </c>
      <c r="BG214" s="96">
        <v>0</v>
      </c>
      <c r="BH214" s="98"/>
      <c r="BI214" s="98">
        <v>0</v>
      </c>
      <c r="BJ214" s="98"/>
      <c r="BK214" s="96">
        <v>0</v>
      </c>
      <c r="BL214" s="98"/>
      <c r="BM214" s="98">
        <v>0</v>
      </c>
      <c r="BN214" s="98"/>
      <c r="BO214" s="96">
        <f t="shared" si="137"/>
        <v>0</v>
      </c>
      <c r="BP214" s="97">
        <f t="shared" si="138"/>
        <v>0</v>
      </c>
      <c r="BQ214" s="96">
        <v>0</v>
      </c>
      <c r="BR214" s="98"/>
      <c r="BS214" s="98">
        <v>0</v>
      </c>
      <c r="BT214" s="98"/>
      <c r="BU214" s="96">
        <v>0</v>
      </c>
      <c r="BV214" s="98"/>
      <c r="BW214" s="98">
        <v>0</v>
      </c>
      <c r="BX214" s="98"/>
      <c r="BY214" s="96">
        <f t="shared" si="139"/>
        <v>0</v>
      </c>
      <c r="BZ214" s="97">
        <f t="shared" si="140"/>
        <v>0</v>
      </c>
      <c r="CA214" s="96">
        <v>0</v>
      </c>
      <c r="CB214" s="98"/>
      <c r="CC214" s="98">
        <v>0</v>
      </c>
      <c r="CD214" s="98"/>
      <c r="CE214" s="96">
        <v>0</v>
      </c>
      <c r="CF214" s="98"/>
      <c r="CG214" s="98">
        <v>0</v>
      </c>
      <c r="CH214" s="98"/>
      <c r="CI214" s="96">
        <f t="shared" si="141"/>
        <v>0</v>
      </c>
      <c r="CJ214" s="97">
        <f t="shared" si="142"/>
        <v>0</v>
      </c>
      <c r="CK214" s="96"/>
      <c r="CL214" s="98"/>
      <c r="CM214" s="98"/>
      <c r="CN214" s="98"/>
      <c r="CO214" s="96"/>
      <c r="CP214" s="98"/>
      <c r="CQ214" s="98">
        <v>0</v>
      </c>
      <c r="CR214" s="98"/>
      <c r="CS214" s="96">
        <f t="shared" si="143"/>
        <v>0</v>
      </c>
      <c r="CT214" s="97">
        <f t="shared" si="144"/>
        <v>0</v>
      </c>
      <c r="CU214" s="96"/>
      <c r="CV214" s="98"/>
      <c r="CW214" s="98"/>
      <c r="CX214" s="98"/>
      <c r="CY214" s="96"/>
      <c r="CZ214" s="98"/>
      <c r="DA214" s="98">
        <v>0</v>
      </c>
      <c r="DB214" s="98"/>
      <c r="DC214" s="96">
        <f t="shared" si="145"/>
        <v>0</v>
      </c>
      <c r="DD214" s="97">
        <f t="shared" si="146"/>
        <v>0</v>
      </c>
      <c r="DE214" s="96"/>
      <c r="DF214" s="98"/>
      <c r="DG214" s="98"/>
      <c r="DH214" s="98"/>
      <c r="DI214" s="96"/>
      <c r="DJ214" s="98"/>
      <c r="DK214" s="98">
        <v>0</v>
      </c>
      <c r="DL214" s="98"/>
      <c r="DM214" s="96">
        <f t="shared" si="147"/>
        <v>0</v>
      </c>
      <c r="DN214" s="97">
        <f t="shared" si="148"/>
        <v>0</v>
      </c>
      <c r="DO214" s="96"/>
      <c r="DP214" s="98"/>
      <c r="DQ214" s="98"/>
      <c r="DR214" s="98"/>
      <c r="DS214" s="96"/>
      <c r="DT214" s="98"/>
      <c r="DU214" s="98">
        <v>0</v>
      </c>
      <c r="DV214" s="98"/>
      <c r="DW214" s="96">
        <f t="shared" si="149"/>
        <v>0</v>
      </c>
      <c r="DX214" s="97">
        <f t="shared" si="150"/>
        <v>0</v>
      </c>
      <c r="DY214" s="96"/>
      <c r="DZ214" s="98"/>
      <c r="EA214" s="98"/>
      <c r="EB214" s="98"/>
      <c r="EC214" s="96">
        <v>0</v>
      </c>
      <c r="ED214" s="98"/>
      <c r="EE214" s="98">
        <v>0</v>
      </c>
      <c r="EF214" s="98"/>
      <c r="EG214" s="96">
        <f t="shared" si="151"/>
        <v>0</v>
      </c>
      <c r="EH214" s="97">
        <f t="shared" si="152"/>
        <v>0</v>
      </c>
      <c r="EI214" s="96"/>
      <c r="EJ214" s="98"/>
      <c r="EK214" s="98"/>
      <c r="EL214" s="98"/>
      <c r="EM214" s="96">
        <v>0</v>
      </c>
      <c r="EN214" s="98"/>
      <c r="EO214" s="98">
        <v>0</v>
      </c>
      <c r="EP214" s="98"/>
      <c r="EQ214" s="384"/>
      <c r="ER214" s="98">
        <f ca="1">SUM(ET214:EX214)</f>
        <v>0</v>
      </c>
      <c r="ES214" s="98"/>
      <c r="ET214" s="98">
        <f ca="1">SUMIFS(TME_Yesterday[Sell_RTL_QTY],TME_Yesterday[Region],master_Daily!$X214,TME_Yesterday[Brand],"CMHD")/50000</f>
        <v>0</v>
      </c>
      <c r="EU214" s="98"/>
      <c r="EV214" s="97">
        <f ca="1">SUM(EW214:EY214)</f>
        <v>0</v>
      </c>
      <c r="EW214" s="98"/>
      <c r="EX214" s="98">
        <f ca="1">SUMIFS(TME_Yesterday[FOC_RTL_QTY],TME_Yesterday[Region],master_Daily!$X214,TME_Yesterday[Brand],"CMHD")/50000</f>
        <v>0</v>
      </c>
      <c r="EY214" s="98"/>
      <c r="EZ214" s="98">
        <f ca="1">SUM(FA214:FC214)</f>
        <v>0</v>
      </c>
      <c r="FA214" s="98"/>
      <c r="FB214" s="98">
        <f ca="1">SUMIFS(TME_MTD[Sell_RTL_QTY],TME_MTD[Region],master_Daily!$X214,TME_MTD[Brand],"CMHD")/50000</f>
        <v>0</v>
      </c>
      <c r="FC214" s="98"/>
      <c r="FD214" s="98">
        <f ca="1">SUM(FE214:FG214)</f>
        <v>0</v>
      </c>
      <c r="FE214" s="98"/>
      <c r="FF214" s="98">
        <f ca="1">SUMIFS(TME_MTD[FOC_RTL_QTY],TME_MTD[Region],master_Daily!$X214,TME_MTD[Brand],"CMHD")/50000</f>
        <v>0</v>
      </c>
      <c r="FG214" s="98"/>
      <c r="FH214" s="98">
        <f t="shared" ca="1" si="171"/>
        <v>0</v>
      </c>
      <c r="FI214" s="98">
        <f t="shared" ca="1" si="171"/>
        <v>0</v>
      </c>
      <c r="FJ214" s="98">
        <f t="shared" ca="1" si="171"/>
        <v>0</v>
      </c>
      <c r="FK214" s="98">
        <f t="shared" ca="1" si="171"/>
        <v>0</v>
      </c>
      <c r="FL214" s="98">
        <f t="shared" ca="1" si="171"/>
        <v>0</v>
      </c>
      <c r="FM214" s="97">
        <f t="shared" si="172"/>
        <v>0</v>
      </c>
      <c r="FN214" s="97">
        <f t="shared" si="172"/>
        <v>0</v>
      </c>
      <c r="FO214" s="97">
        <f t="shared" si="172"/>
        <v>0</v>
      </c>
      <c r="FP214" s="99">
        <f ca="1">IFERROR(FH214/$FH$171,0)</f>
        <v>0</v>
      </c>
      <c r="FQ214" s="100">
        <f t="shared" ca="1" si="170"/>
        <v>0</v>
      </c>
      <c r="FR214" s="311"/>
      <c r="FS214" s="100">
        <f t="shared" si="155"/>
        <v>0</v>
      </c>
    </row>
    <row r="215" spans="20:175" s="92" customFormat="1" hidden="1" collapsed="1">
      <c r="T215" s="90"/>
      <c r="U215" s="91"/>
      <c r="X215" s="101" t="s">
        <v>297</v>
      </c>
      <c r="Y215" s="153"/>
      <c r="Z215" s="153"/>
      <c r="AA215" s="102">
        <f t="shared" si="129"/>
        <v>0</v>
      </c>
      <c r="AB215" s="102">
        <f t="shared" si="130"/>
        <v>0</v>
      </c>
      <c r="AC215" s="102">
        <v>0</v>
      </c>
      <c r="AD215" s="102">
        <v>0</v>
      </c>
      <c r="AE215" s="102">
        <v>0</v>
      </c>
      <c r="AF215" s="102">
        <v>0</v>
      </c>
      <c r="AG215" s="102">
        <v>0</v>
      </c>
      <c r="AH215" s="102">
        <v>0</v>
      </c>
      <c r="AI215" s="102">
        <v>0</v>
      </c>
      <c r="AJ215" s="102">
        <v>0</v>
      </c>
      <c r="AK215" s="102">
        <f t="shared" si="131"/>
        <v>0</v>
      </c>
      <c r="AL215" s="102">
        <f t="shared" si="132"/>
        <v>0</v>
      </c>
      <c r="AM215" s="114">
        <v>0</v>
      </c>
      <c r="AN215" s="114">
        <v>0</v>
      </c>
      <c r="AO215" s="114">
        <v>0</v>
      </c>
      <c r="AP215" s="114">
        <v>0</v>
      </c>
      <c r="AQ215" s="114">
        <v>0</v>
      </c>
      <c r="AR215" s="114">
        <v>0</v>
      </c>
      <c r="AS215" s="114">
        <v>0</v>
      </c>
      <c r="AT215" s="114">
        <v>0</v>
      </c>
      <c r="AU215" s="102">
        <f t="shared" si="133"/>
        <v>0</v>
      </c>
      <c r="AV215" s="102">
        <f t="shared" si="134"/>
        <v>0</v>
      </c>
      <c r="AW215" s="102">
        <v>0</v>
      </c>
      <c r="AX215" s="102">
        <v>0</v>
      </c>
      <c r="AY215" s="102">
        <v>0</v>
      </c>
      <c r="AZ215" s="102">
        <v>0</v>
      </c>
      <c r="BA215" s="102">
        <v>0</v>
      </c>
      <c r="BB215" s="102">
        <v>0</v>
      </c>
      <c r="BC215" s="102">
        <v>0</v>
      </c>
      <c r="BD215" s="102">
        <v>0</v>
      </c>
      <c r="BE215" s="102">
        <f t="shared" si="135"/>
        <v>0</v>
      </c>
      <c r="BF215" s="102">
        <f t="shared" si="136"/>
        <v>0</v>
      </c>
      <c r="BG215" s="102">
        <v>0</v>
      </c>
      <c r="BH215" s="102">
        <v>0</v>
      </c>
      <c r="BI215" s="102">
        <v>0</v>
      </c>
      <c r="BJ215" s="102">
        <v>0</v>
      </c>
      <c r="BK215" s="102">
        <v>0</v>
      </c>
      <c r="BL215" s="102">
        <v>0</v>
      </c>
      <c r="BM215" s="102">
        <v>0</v>
      </c>
      <c r="BN215" s="102">
        <v>0</v>
      </c>
      <c r="BO215" s="102">
        <f t="shared" si="137"/>
        <v>0</v>
      </c>
      <c r="BP215" s="102">
        <f t="shared" si="138"/>
        <v>0</v>
      </c>
      <c r="BQ215" s="102">
        <v>0</v>
      </c>
      <c r="BR215" s="102">
        <v>0</v>
      </c>
      <c r="BS215" s="102">
        <v>0</v>
      </c>
      <c r="BT215" s="102">
        <v>0</v>
      </c>
      <c r="BU215" s="102">
        <v>0</v>
      </c>
      <c r="BV215" s="102">
        <v>0</v>
      </c>
      <c r="BW215" s="102">
        <v>0</v>
      </c>
      <c r="BX215" s="102">
        <v>0</v>
      </c>
      <c r="BY215" s="102">
        <f t="shared" si="139"/>
        <v>0</v>
      </c>
      <c r="BZ215" s="102">
        <f t="shared" si="140"/>
        <v>0</v>
      </c>
      <c r="CA215" s="102">
        <v>0</v>
      </c>
      <c r="CB215" s="102">
        <v>0</v>
      </c>
      <c r="CC215" s="102">
        <v>0</v>
      </c>
      <c r="CD215" s="102">
        <v>0</v>
      </c>
      <c r="CE215" s="102">
        <v>0</v>
      </c>
      <c r="CF215" s="102">
        <v>0</v>
      </c>
      <c r="CG215" s="102">
        <v>0</v>
      </c>
      <c r="CH215" s="102">
        <v>0</v>
      </c>
      <c r="CI215" s="102">
        <f t="shared" si="141"/>
        <v>0</v>
      </c>
      <c r="CJ215" s="102">
        <f t="shared" si="142"/>
        <v>0</v>
      </c>
      <c r="CK215" s="102"/>
      <c r="CL215" s="102"/>
      <c r="CM215" s="102"/>
      <c r="CN215" s="102"/>
      <c r="CO215" s="102"/>
      <c r="CP215" s="102">
        <v>0</v>
      </c>
      <c r="CQ215" s="102">
        <v>0</v>
      </c>
      <c r="CR215" s="102">
        <v>0</v>
      </c>
      <c r="CS215" s="102">
        <f t="shared" si="143"/>
        <v>0</v>
      </c>
      <c r="CT215" s="102">
        <f t="shared" si="144"/>
        <v>0</v>
      </c>
      <c r="CU215" s="102"/>
      <c r="CV215" s="102"/>
      <c r="CW215" s="102"/>
      <c r="CX215" s="102"/>
      <c r="CY215" s="102"/>
      <c r="CZ215" s="102">
        <v>0</v>
      </c>
      <c r="DA215" s="102">
        <v>0</v>
      </c>
      <c r="DB215" s="102">
        <v>0</v>
      </c>
      <c r="DC215" s="102">
        <f t="shared" si="145"/>
        <v>0</v>
      </c>
      <c r="DD215" s="102">
        <f t="shared" si="146"/>
        <v>0</v>
      </c>
      <c r="DE215" s="102"/>
      <c r="DF215" s="102"/>
      <c r="DG215" s="102"/>
      <c r="DH215" s="102"/>
      <c r="DI215" s="102"/>
      <c r="DJ215" s="102">
        <v>0</v>
      </c>
      <c r="DK215" s="102">
        <v>0</v>
      </c>
      <c r="DL215" s="102">
        <v>0</v>
      </c>
      <c r="DM215" s="102">
        <f t="shared" si="147"/>
        <v>0</v>
      </c>
      <c r="DN215" s="102">
        <f t="shared" si="148"/>
        <v>0</v>
      </c>
      <c r="DO215" s="102"/>
      <c r="DP215" s="102"/>
      <c r="DQ215" s="102"/>
      <c r="DR215" s="102"/>
      <c r="DS215" s="102"/>
      <c r="DT215" s="102">
        <v>0</v>
      </c>
      <c r="DU215" s="102">
        <v>0</v>
      </c>
      <c r="DV215" s="102">
        <v>0</v>
      </c>
      <c r="DW215" s="102">
        <f t="shared" si="149"/>
        <v>0</v>
      </c>
      <c r="DX215" s="102">
        <f t="shared" si="150"/>
        <v>0</v>
      </c>
      <c r="DY215" s="102"/>
      <c r="DZ215" s="102"/>
      <c r="EA215" s="102"/>
      <c r="EB215" s="102"/>
      <c r="EC215" s="102">
        <v>0</v>
      </c>
      <c r="ED215" s="102">
        <v>0</v>
      </c>
      <c r="EE215" s="102">
        <v>0</v>
      </c>
      <c r="EF215" s="102">
        <v>0</v>
      </c>
      <c r="EG215" s="102">
        <f t="shared" si="151"/>
        <v>0</v>
      </c>
      <c r="EH215" s="102">
        <f t="shared" si="152"/>
        <v>0</v>
      </c>
      <c r="EI215" s="102"/>
      <c r="EJ215" s="102"/>
      <c r="EK215" s="102"/>
      <c r="EL215" s="102"/>
      <c r="EM215" s="102">
        <v>0</v>
      </c>
      <c r="EN215" s="102">
        <v>0</v>
      </c>
      <c r="EO215" s="102">
        <v>0</v>
      </c>
      <c r="EP215" s="102">
        <v>0</v>
      </c>
      <c r="EQ215" s="103"/>
      <c r="ER215" s="102">
        <f ca="1">SUM(ER210:ER214)</f>
        <v>0</v>
      </c>
      <c r="ES215" s="102">
        <f>SUM(ES210:ES214)</f>
        <v>0</v>
      </c>
      <c r="ET215" s="102">
        <f ca="1">SUM(ET210:ET214)</f>
        <v>0</v>
      </c>
      <c r="EU215" s="102">
        <f>SUM(EU210:EU214)</f>
        <v>0</v>
      </c>
      <c r="EV215" s="102">
        <f ca="1">SUM(EV210:EV213)</f>
        <v>0</v>
      </c>
      <c r="EW215" s="102">
        <f t="shared" ref="EW215:FC215" si="173">SUM(EW210:EW214)</f>
        <v>0</v>
      </c>
      <c r="EX215" s="102">
        <f t="shared" ca="1" si="173"/>
        <v>0</v>
      </c>
      <c r="EY215" s="102">
        <f t="shared" si="173"/>
        <v>0</v>
      </c>
      <c r="EZ215" s="102">
        <f t="shared" ca="1" si="173"/>
        <v>0</v>
      </c>
      <c r="FA215" s="102">
        <f t="shared" si="173"/>
        <v>0</v>
      </c>
      <c r="FB215" s="102">
        <f t="shared" ca="1" si="173"/>
        <v>0</v>
      </c>
      <c r="FC215" s="102">
        <f t="shared" si="173"/>
        <v>0</v>
      </c>
      <c r="FD215" s="102">
        <f t="shared" ref="FD215:FK215" ca="1" si="174">SUM(FD210:FD214)</f>
        <v>0</v>
      </c>
      <c r="FE215" s="102">
        <f t="shared" si="174"/>
        <v>0</v>
      </c>
      <c r="FF215" s="102">
        <f t="shared" ca="1" si="174"/>
        <v>0</v>
      </c>
      <c r="FG215" s="102">
        <f t="shared" si="174"/>
        <v>0</v>
      </c>
      <c r="FH215" s="102">
        <f t="shared" ca="1" si="174"/>
        <v>0</v>
      </c>
      <c r="FI215" s="102">
        <f t="shared" ca="1" si="174"/>
        <v>0</v>
      </c>
      <c r="FJ215" s="102">
        <f t="shared" ca="1" si="174"/>
        <v>0</v>
      </c>
      <c r="FK215" s="102">
        <f t="shared" ca="1" si="174"/>
        <v>0</v>
      </c>
      <c r="FL215" s="102">
        <f ca="1">SUM(FL210:FL213)</f>
        <v>0</v>
      </c>
      <c r="FM215" s="103">
        <f ca="1">SUM(FM210:FM214)</f>
        <v>0</v>
      </c>
      <c r="FN215" s="103">
        <f ca="1">SUM(FN210:FN214)</f>
        <v>0</v>
      </c>
      <c r="FO215" s="103">
        <f ca="1">SUM(FO210:FO214)</f>
        <v>0</v>
      </c>
      <c r="FP215" s="104">
        <f ca="1">IFERROR(FH215/FH215,0)</f>
        <v>0</v>
      </c>
      <c r="FQ215" s="105">
        <f t="shared" ca="1" si="170"/>
        <v>0</v>
      </c>
      <c r="FR215" s="102">
        <f>SUM(FR210:FR214)</f>
        <v>0</v>
      </c>
      <c r="FS215" s="105">
        <f t="shared" si="155"/>
        <v>0</v>
      </c>
    </row>
    <row r="216" spans="20:175" s="154" customFormat="1" hidden="1" outlineLevel="1">
      <c r="T216" s="155"/>
      <c r="U216" s="156"/>
      <c r="X216" s="106" t="s">
        <v>298</v>
      </c>
      <c r="Y216" s="106" t="s">
        <v>44</v>
      </c>
      <c r="Z216" s="106"/>
      <c r="AA216" s="96">
        <f t="shared" si="129"/>
        <v>0</v>
      </c>
      <c r="AB216" s="97">
        <f t="shared" si="130"/>
        <v>0</v>
      </c>
      <c r="AC216" s="96">
        <v>0</v>
      </c>
      <c r="AD216" s="96">
        <v>0</v>
      </c>
      <c r="AE216" s="98"/>
      <c r="AF216" s="98"/>
      <c r="AG216" s="96"/>
      <c r="AH216" s="98"/>
      <c r="AI216" s="98"/>
      <c r="AJ216" s="98"/>
      <c r="AK216" s="96">
        <f t="shared" si="131"/>
        <v>0</v>
      </c>
      <c r="AL216" s="97">
        <f t="shared" si="132"/>
        <v>0</v>
      </c>
      <c r="AM216" s="96">
        <v>0</v>
      </c>
      <c r="AN216" s="96">
        <v>0</v>
      </c>
      <c r="AO216" s="98"/>
      <c r="AP216" s="98"/>
      <c r="AQ216" s="96"/>
      <c r="AR216" s="98"/>
      <c r="AS216" s="98"/>
      <c r="AT216" s="98"/>
      <c r="AU216" s="96">
        <f t="shared" si="133"/>
        <v>0</v>
      </c>
      <c r="AV216" s="97">
        <f t="shared" si="134"/>
        <v>0</v>
      </c>
      <c r="AW216" s="96">
        <v>0</v>
      </c>
      <c r="AX216" s="96">
        <v>0</v>
      </c>
      <c r="AY216" s="98"/>
      <c r="AZ216" s="98"/>
      <c r="BA216" s="96"/>
      <c r="BB216" s="98"/>
      <c r="BC216" s="98"/>
      <c r="BD216" s="98"/>
      <c r="BE216" s="96">
        <f t="shared" si="135"/>
        <v>0</v>
      </c>
      <c r="BF216" s="97">
        <f t="shared" si="136"/>
        <v>0</v>
      </c>
      <c r="BG216" s="96">
        <v>0</v>
      </c>
      <c r="BH216" s="98">
        <v>0</v>
      </c>
      <c r="BI216" s="98"/>
      <c r="BJ216" s="98"/>
      <c r="BK216" s="96"/>
      <c r="BL216" s="98"/>
      <c r="BM216" s="98"/>
      <c r="BN216" s="98"/>
      <c r="BO216" s="96">
        <f t="shared" si="137"/>
        <v>0</v>
      </c>
      <c r="BP216" s="97">
        <f t="shared" si="138"/>
        <v>0</v>
      </c>
      <c r="BQ216" s="96">
        <v>0</v>
      </c>
      <c r="BR216" s="98">
        <v>0</v>
      </c>
      <c r="BS216" s="98"/>
      <c r="BT216" s="98"/>
      <c r="BU216" s="96"/>
      <c r="BV216" s="98"/>
      <c r="BW216" s="98"/>
      <c r="BX216" s="98"/>
      <c r="BY216" s="96">
        <f t="shared" si="139"/>
        <v>0</v>
      </c>
      <c r="BZ216" s="97">
        <f t="shared" si="140"/>
        <v>0</v>
      </c>
      <c r="CA216" s="96">
        <v>0</v>
      </c>
      <c r="CB216" s="98">
        <v>0</v>
      </c>
      <c r="CC216" s="98"/>
      <c r="CD216" s="98"/>
      <c r="CE216" s="96"/>
      <c r="CF216" s="98"/>
      <c r="CG216" s="98"/>
      <c r="CH216" s="98"/>
      <c r="CI216" s="96">
        <f t="shared" si="141"/>
        <v>0</v>
      </c>
      <c r="CJ216" s="97">
        <f t="shared" si="142"/>
        <v>0</v>
      </c>
      <c r="CK216" s="96"/>
      <c r="CL216" s="98"/>
      <c r="CM216" s="98"/>
      <c r="CN216" s="98"/>
      <c r="CO216" s="96"/>
      <c r="CP216" s="98"/>
      <c r="CQ216" s="98"/>
      <c r="CR216" s="98"/>
      <c r="CS216" s="96">
        <f t="shared" si="143"/>
        <v>0</v>
      </c>
      <c r="CT216" s="97">
        <f t="shared" si="144"/>
        <v>0</v>
      </c>
      <c r="CU216" s="96"/>
      <c r="CV216" s="98"/>
      <c r="CW216" s="98"/>
      <c r="CX216" s="98"/>
      <c r="CY216" s="96"/>
      <c r="CZ216" s="98"/>
      <c r="DA216" s="98"/>
      <c r="DB216" s="98"/>
      <c r="DC216" s="96"/>
      <c r="DD216" s="97"/>
      <c r="DE216" s="96"/>
      <c r="DF216" s="98"/>
      <c r="DG216" s="98"/>
      <c r="DH216" s="98"/>
      <c r="DI216" s="96"/>
      <c r="DJ216" s="98"/>
      <c r="DK216" s="98"/>
      <c r="DL216" s="98"/>
      <c r="DM216" s="96">
        <f t="shared" si="147"/>
        <v>0</v>
      </c>
      <c r="DN216" s="97">
        <f t="shared" si="148"/>
        <v>0</v>
      </c>
      <c r="DO216" s="96"/>
      <c r="DP216" s="98"/>
      <c r="DQ216" s="98"/>
      <c r="DR216" s="98"/>
      <c r="DS216" s="96"/>
      <c r="DT216" s="98"/>
      <c r="DU216" s="98"/>
      <c r="DV216" s="98"/>
      <c r="DW216" s="96">
        <f t="shared" si="149"/>
        <v>0</v>
      </c>
      <c r="DX216" s="97">
        <f t="shared" si="150"/>
        <v>0</v>
      </c>
      <c r="DY216" s="96"/>
      <c r="DZ216" s="98"/>
      <c r="EA216" s="98"/>
      <c r="EB216" s="98"/>
      <c r="EC216" s="96"/>
      <c r="ED216" s="98"/>
      <c r="EE216" s="98"/>
      <c r="EF216" s="98"/>
      <c r="EG216" s="96">
        <f t="shared" si="151"/>
        <v>0</v>
      </c>
      <c r="EH216" s="97">
        <f t="shared" si="152"/>
        <v>0</v>
      </c>
      <c r="EI216" s="96"/>
      <c r="EJ216" s="98"/>
      <c r="EK216" s="98"/>
      <c r="EL216" s="98"/>
      <c r="EM216" s="96"/>
      <c r="EN216" s="98"/>
      <c r="EO216" s="98"/>
      <c r="EP216" s="98"/>
      <c r="EQ216" s="384"/>
      <c r="ER216" s="98">
        <f>SUM(ET216:EX216)</f>
        <v>0</v>
      </c>
      <c r="ES216" s="217">
        <f>IFERROR(SUMIFS(Daily_Vol_yesterday[Order Quantity],Daily_Vol_yesterday[Cust_Cat.cust_channel],master_Daily!X216,Daily_Vol_yesterday[Map_Product.TME_Brand],master_Daily!Y216)/50000,0)</f>
        <v>0</v>
      </c>
      <c r="ET216" s="98"/>
      <c r="EU216" s="98"/>
      <c r="EV216" s="97"/>
      <c r="EW216" s="98"/>
      <c r="EX216" s="98"/>
      <c r="EY216" s="98"/>
      <c r="EZ216" s="98">
        <f>SUM(FA216:FC216)</f>
        <v>0</v>
      </c>
      <c r="FA216" s="217">
        <f>IFERROR(SUM(SUMIFS(Weekly_Vol[Quantity],Weekly_Vol[Cust_Cat.cust_channel],master_Daily!X216,Weekly_Vol[Map_Product.TME_Brand],master_Daily!Y216),SUMIFS(Daily_Vol[Order Quantity],Daily_Vol[Cust_Cat.cust_channel],master_Daily!X216,Daily_Vol[Map_Product.TME_Brand],master_Daily!Y216))/50000,0)</f>
        <v>0</v>
      </c>
      <c r="FB216" s="98"/>
      <c r="FC216" s="98"/>
      <c r="FD216" s="98"/>
      <c r="FE216" s="98"/>
      <c r="FF216" s="98"/>
      <c r="FG216" s="98"/>
      <c r="FH216" s="98">
        <f t="shared" ref="FH216:FO218" ca="1" si="175">SUMIFS($AA216:$EP216,$AA$129:$EP$129,INDIRECT(ADDRESS(129,COLUMN())))</f>
        <v>0</v>
      </c>
      <c r="FI216" s="98">
        <f t="shared" ca="1" si="175"/>
        <v>0</v>
      </c>
      <c r="FJ216" s="98">
        <f t="shared" ca="1" si="175"/>
        <v>0</v>
      </c>
      <c r="FK216" s="98">
        <f t="shared" ca="1" si="175"/>
        <v>0</v>
      </c>
      <c r="FL216" s="98">
        <f t="shared" ca="1" si="175"/>
        <v>0</v>
      </c>
      <c r="FM216" s="97">
        <f ca="1">SUMIFS($AA216:$EP216,$AA$129:$EP$129,INDIRECT(ADDRESS(38,COLUMN())))</f>
        <v>0</v>
      </c>
      <c r="FN216" s="97">
        <f t="shared" ca="1" si="175"/>
        <v>0</v>
      </c>
      <c r="FO216" s="97">
        <f ca="1">SUMIFS($AA216:$EP216,$AA$129:$EP$129,INDIRECT(ADDRESS(38,COLUMN())))</f>
        <v>0</v>
      </c>
      <c r="FP216" s="99">
        <f ca="1">IFERROR(FH216/$FH$221,0)</f>
        <v>0</v>
      </c>
      <c r="FQ216" s="100">
        <f t="shared" si="170"/>
        <v>0</v>
      </c>
      <c r="FR216" s="217">
        <f>SUMIFS(TME_MTD_Dist[Sell_WHS_QTY],TME_MTD_Dist[Dist_Name],master_Daily!$X216,TME_MTD_Dist[Brand],master_Daily!$Y216)/50000
 + SUMIFS(TME_MTD_Dist[Sell_RTL_QTY],TME_MTD_Dist[Dist_Name],master_Daily!$X216,TME_MTD_Dist[Brand],master_Daily!$Y216)/50000</f>
        <v>0</v>
      </c>
      <c r="FS216" s="100">
        <f>IFERROR(FR216/EQ216,0)</f>
        <v>0</v>
      </c>
    </row>
    <row r="217" spans="20:175" s="154" customFormat="1" hidden="1" outlineLevel="1">
      <c r="T217" s="155"/>
      <c r="U217" s="156"/>
      <c r="X217" s="106" t="s">
        <v>298</v>
      </c>
      <c r="Y217" s="106" t="s">
        <v>45</v>
      </c>
      <c r="Z217" s="106"/>
      <c r="AA217" s="96">
        <f t="shared" si="129"/>
        <v>0</v>
      </c>
      <c r="AB217" s="97">
        <f t="shared" si="130"/>
        <v>0</v>
      </c>
      <c r="AC217" s="96">
        <v>0</v>
      </c>
      <c r="AD217" s="96">
        <v>0</v>
      </c>
      <c r="AE217" s="98"/>
      <c r="AF217" s="98"/>
      <c r="AG217" s="96"/>
      <c r="AH217" s="98"/>
      <c r="AI217" s="98"/>
      <c r="AJ217" s="98"/>
      <c r="AK217" s="96">
        <f t="shared" si="131"/>
        <v>0</v>
      </c>
      <c r="AL217" s="97">
        <f t="shared" si="132"/>
        <v>0</v>
      </c>
      <c r="AM217" s="96">
        <v>0</v>
      </c>
      <c r="AN217" s="96">
        <v>0</v>
      </c>
      <c r="AO217" s="98"/>
      <c r="AP217" s="98"/>
      <c r="AQ217" s="96"/>
      <c r="AR217" s="98"/>
      <c r="AS217" s="98"/>
      <c r="AT217" s="98"/>
      <c r="AU217" s="96">
        <f t="shared" si="133"/>
        <v>0</v>
      </c>
      <c r="AV217" s="97">
        <f t="shared" si="134"/>
        <v>0</v>
      </c>
      <c r="AW217" s="96">
        <v>0</v>
      </c>
      <c r="AX217" s="96">
        <v>0</v>
      </c>
      <c r="AY217" s="98"/>
      <c r="AZ217" s="98"/>
      <c r="BA217" s="96"/>
      <c r="BB217" s="98"/>
      <c r="BC217" s="98"/>
      <c r="BD217" s="98"/>
      <c r="BE217" s="96">
        <f t="shared" si="135"/>
        <v>0</v>
      </c>
      <c r="BF217" s="97">
        <f t="shared" si="136"/>
        <v>0</v>
      </c>
      <c r="BG217" s="96">
        <v>0</v>
      </c>
      <c r="BH217" s="98">
        <v>0</v>
      </c>
      <c r="BI217" s="98"/>
      <c r="BJ217" s="98"/>
      <c r="BK217" s="96"/>
      <c r="BL217" s="98"/>
      <c r="BM217" s="98"/>
      <c r="BN217" s="98"/>
      <c r="BO217" s="96">
        <f t="shared" si="137"/>
        <v>0</v>
      </c>
      <c r="BP217" s="97">
        <f t="shared" si="138"/>
        <v>0</v>
      </c>
      <c r="BQ217" s="96">
        <v>0</v>
      </c>
      <c r="BR217" s="98">
        <v>0</v>
      </c>
      <c r="BS217" s="98"/>
      <c r="BT217" s="98"/>
      <c r="BU217" s="96"/>
      <c r="BV217" s="98"/>
      <c r="BW217" s="98"/>
      <c r="BX217" s="98"/>
      <c r="BY217" s="96">
        <f t="shared" si="139"/>
        <v>0</v>
      </c>
      <c r="BZ217" s="97">
        <f t="shared" si="140"/>
        <v>0</v>
      </c>
      <c r="CA217" s="96">
        <v>0</v>
      </c>
      <c r="CB217" s="98">
        <v>0</v>
      </c>
      <c r="CC217" s="98"/>
      <c r="CD217" s="98"/>
      <c r="CE217" s="96"/>
      <c r="CF217" s="98"/>
      <c r="CG217" s="98"/>
      <c r="CH217" s="98"/>
      <c r="CI217" s="96">
        <f t="shared" si="141"/>
        <v>0</v>
      </c>
      <c r="CJ217" s="97">
        <f t="shared" si="142"/>
        <v>0</v>
      </c>
      <c r="CK217" s="96"/>
      <c r="CL217" s="98"/>
      <c r="CM217" s="98"/>
      <c r="CN217" s="98"/>
      <c r="CO217" s="96"/>
      <c r="CP217" s="98"/>
      <c r="CQ217" s="98"/>
      <c r="CR217" s="98"/>
      <c r="CS217" s="96">
        <f t="shared" si="143"/>
        <v>0</v>
      </c>
      <c r="CT217" s="97">
        <f t="shared" si="144"/>
        <v>0</v>
      </c>
      <c r="CU217" s="96"/>
      <c r="CV217" s="98"/>
      <c r="CW217" s="98"/>
      <c r="CX217" s="98"/>
      <c r="CY217" s="96"/>
      <c r="CZ217" s="98"/>
      <c r="DA217" s="98"/>
      <c r="DB217" s="98"/>
      <c r="DC217" s="96"/>
      <c r="DD217" s="97"/>
      <c r="DE217" s="96"/>
      <c r="DF217" s="98"/>
      <c r="DG217" s="98"/>
      <c r="DH217" s="98"/>
      <c r="DI217" s="96"/>
      <c r="DJ217" s="98"/>
      <c r="DK217" s="98"/>
      <c r="DL217" s="98"/>
      <c r="DM217" s="96">
        <f t="shared" si="147"/>
        <v>0</v>
      </c>
      <c r="DN217" s="97">
        <f t="shared" si="148"/>
        <v>0</v>
      </c>
      <c r="DO217" s="96"/>
      <c r="DP217" s="98"/>
      <c r="DQ217" s="98"/>
      <c r="DR217" s="98"/>
      <c r="DS217" s="96"/>
      <c r="DT217" s="98"/>
      <c r="DU217" s="98"/>
      <c r="DV217" s="98"/>
      <c r="DW217" s="96">
        <f t="shared" si="149"/>
        <v>0</v>
      </c>
      <c r="DX217" s="97">
        <f>SUM(ED217:EF217)</f>
        <v>0</v>
      </c>
      <c r="DY217" s="96"/>
      <c r="DZ217" s="98"/>
      <c r="EA217" s="98"/>
      <c r="EB217" s="98"/>
      <c r="EC217" s="96"/>
      <c r="ED217" s="98"/>
      <c r="EE217" s="98"/>
      <c r="EF217" s="98"/>
      <c r="EG217" s="96">
        <f t="shared" si="151"/>
        <v>0</v>
      </c>
      <c r="EH217" s="97">
        <f t="shared" si="152"/>
        <v>0</v>
      </c>
      <c r="EI217" s="96"/>
      <c r="EJ217" s="98"/>
      <c r="EK217" s="98"/>
      <c r="EL217" s="98"/>
      <c r="EM217" s="96"/>
      <c r="EN217" s="98"/>
      <c r="EO217" s="98"/>
      <c r="EP217" s="98"/>
      <c r="EQ217" s="384"/>
      <c r="ER217" s="98">
        <f>SUM(ET217:EX217)</f>
        <v>0</v>
      </c>
      <c r="ES217" s="217">
        <f>IFERROR(SUMIFS(Daily_Vol_yesterday[Order Quantity],Daily_Vol_yesterday[Cust_Cat.cust_channel],master_Daily!X217,Daily_Vol_yesterday[Map_Product.TME_Brand],master_Daily!Y217)/50000,0)</f>
        <v>0</v>
      </c>
      <c r="ET217" s="98"/>
      <c r="EU217" s="98"/>
      <c r="EV217" s="97"/>
      <c r="EW217" s="98"/>
      <c r="EX217" s="98"/>
      <c r="EY217" s="98"/>
      <c r="EZ217" s="98">
        <f>SUM(FA217:FC217)</f>
        <v>0</v>
      </c>
      <c r="FA217" s="217">
        <f>IFERROR(SUM(SUMIFS(Weekly_Vol[Quantity],Weekly_Vol[Cust_Cat.cust_channel],master_Daily!X217,Weekly_Vol[Map_Product.TME_Brand],master_Daily!Y217),SUMIFS(Daily_Vol[Order Quantity],Daily_Vol[Cust_Cat.cust_channel],master_Daily!X217,Daily_Vol[Map_Product.TME_Brand],master_Daily!Y217))/50000,0)</f>
        <v>0</v>
      </c>
      <c r="FB217" s="98"/>
      <c r="FC217" s="98"/>
      <c r="FD217" s="98"/>
      <c r="FE217" s="98"/>
      <c r="FF217" s="98"/>
      <c r="FG217" s="98"/>
      <c r="FH217" s="98">
        <f t="shared" ca="1" si="175"/>
        <v>0</v>
      </c>
      <c r="FI217" s="98">
        <f t="shared" ca="1" si="175"/>
        <v>0</v>
      </c>
      <c r="FJ217" s="98">
        <f t="shared" ca="1" si="175"/>
        <v>0</v>
      </c>
      <c r="FK217" s="98">
        <f t="shared" ca="1" si="175"/>
        <v>0</v>
      </c>
      <c r="FL217" s="98">
        <f t="shared" ca="1" si="175"/>
        <v>0</v>
      </c>
      <c r="FM217" s="97">
        <f t="shared" ca="1" si="175"/>
        <v>0</v>
      </c>
      <c r="FN217" s="97">
        <f t="shared" ca="1" si="175"/>
        <v>0</v>
      </c>
      <c r="FO217" s="97">
        <f t="shared" ca="1" si="175"/>
        <v>0</v>
      </c>
      <c r="FP217" s="99">
        <f t="shared" ref="FP217:FP220" ca="1" si="176">IFERROR(FH217/$FH$221,0)</f>
        <v>0</v>
      </c>
      <c r="FQ217" s="100">
        <f t="shared" si="170"/>
        <v>0</v>
      </c>
      <c r="FR217" s="217">
        <f>SUMIFS(TME_MTD_Dist[Sell_WHS_QTY],TME_MTD_Dist[Dist_Name],master_Daily!$X217,TME_MTD_Dist[Brand],master_Daily!$Y217)/50000
 + SUMIFS(TME_MTD_Dist[Sell_RTL_QTY],TME_MTD_Dist[Dist_Name],master_Daily!$X217,TME_MTD_Dist[Brand],master_Daily!$Y217)/50000</f>
        <v>0</v>
      </c>
      <c r="FS217" s="100">
        <f t="shared" si="155"/>
        <v>0</v>
      </c>
    </row>
    <row r="218" spans="20:175" s="154" customFormat="1" hidden="1" outlineLevel="1">
      <c r="T218" s="155"/>
      <c r="U218" s="156"/>
      <c r="X218" s="106" t="s">
        <v>298</v>
      </c>
      <c r="Y218" s="106" t="s">
        <v>46</v>
      </c>
      <c r="Z218" s="106"/>
      <c r="AA218" s="96">
        <f t="shared" si="129"/>
        <v>0</v>
      </c>
      <c r="AB218" s="97">
        <f t="shared" si="130"/>
        <v>0</v>
      </c>
      <c r="AC218" s="96">
        <v>0</v>
      </c>
      <c r="AD218" s="96">
        <v>0</v>
      </c>
      <c r="AE218" s="98"/>
      <c r="AF218" s="98"/>
      <c r="AG218" s="96"/>
      <c r="AH218" s="98"/>
      <c r="AI218" s="98"/>
      <c r="AJ218" s="98"/>
      <c r="AK218" s="96">
        <f t="shared" si="131"/>
        <v>0</v>
      </c>
      <c r="AL218" s="97">
        <f t="shared" si="132"/>
        <v>0</v>
      </c>
      <c r="AM218" s="96">
        <v>0</v>
      </c>
      <c r="AN218" s="96">
        <v>0</v>
      </c>
      <c r="AO218" s="98"/>
      <c r="AP218" s="98"/>
      <c r="AQ218" s="96"/>
      <c r="AR218" s="98"/>
      <c r="AS218" s="98"/>
      <c r="AT218" s="98"/>
      <c r="AU218" s="96">
        <f t="shared" si="133"/>
        <v>0</v>
      </c>
      <c r="AV218" s="97">
        <f t="shared" si="134"/>
        <v>0</v>
      </c>
      <c r="AW218" s="96">
        <v>0</v>
      </c>
      <c r="AX218" s="96">
        <v>0</v>
      </c>
      <c r="AY218" s="98"/>
      <c r="AZ218" s="98"/>
      <c r="BA218" s="96"/>
      <c r="BB218" s="98"/>
      <c r="BC218" s="98"/>
      <c r="BD218" s="98"/>
      <c r="BE218" s="96">
        <f t="shared" si="135"/>
        <v>0</v>
      </c>
      <c r="BF218" s="97">
        <f t="shared" si="136"/>
        <v>0</v>
      </c>
      <c r="BG218" s="96">
        <v>0</v>
      </c>
      <c r="BH218" s="98">
        <v>0</v>
      </c>
      <c r="BI218" s="98"/>
      <c r="BJ218" s="98"/>
      <c r="BK218" s="96"/>
      <c r="BL218" s="98"/>
      <c r="BM218" s="98"/>
      <c r="BN218" s="98"/>
      <c r="BO218" s="96">
        <f t="shared" si="137"/>
        <v>0</v>
      </c>
      <c r="BP218" s="97">
        <f t="shared" si="138"/>
        <v>0</v>
      </c>
      <c r="BQ218" s="96">
        <v>0</v>
      </c>
      <c r="BR218" s="98">
        <v>0</v>
      </c>
      <c r="BS218" s="98"/>
      <c r="BT218" s="98"/>
      <c r="BU218" s="96"/>
      <c r="BV218" s="98"/>
      <c r="BW218" s="98"/>
      <c r="BX218" s="98"/>
      <c r="BY218" s="96">
        <f t="shared" si="139"/>
        <v>0</v>
      </c>
      <c r="BZ218" s="97">
        <f t="shared" si="140"/>
        <v>0</v>
      </c>
      <c r="CA218" s="96">
        <v>0</v>
      </c>
      <c r="CB218" s="98">
        <v>0</v>
      </c>
      <c r="CC218" s="98"/>
      <c r="CD218" s="98"/>
      <c r="CE218" s="96"/>
      <c r="CF218" s="98"/>
      <c r="CG218" s="98"/>
      <c r="CH218" s="98"/>
      <c r="CI218" s="96">
        <f t="shared" si="141"/>
        <v>0</v>
      </c>
      <c r="CJ218" s="97">
        <f t="shared" si="142"/>
        <v>0</v>
      </c>
      <c r="CK218" s="96"/>
      <c r="CL218" s="98"/>
      <c r="CM218" s="98"/>
      <c r="CN218" s="98"/>
      <c r="CO218" s="96"/>
      <c r="CP218" s="98"/>
      <c r="CQ218" s="98"/>
      <c r="CR218" s="98"/>
      <c r="CS218" s="96">
        <f t="shared" si="143"/>
        <v>0</v>
      </c>
      <c r="CT218" s="97">
        <f t="shared" si="144"/>
        <v>0</v>
      </c>
      <c r="CU218" s="96"/>
      <c r="CV218" s="98"/>
      <c r="CW218" s="98"/>
      <c r="CX218" s="98"/>
      <c r="CY218" s="96"/>
      <c r="CZ218" s="98"/>
      <c r="DA218" s="98"/>
      <c r="DB218" s="98"/>
      <c r="DC218" s="96"/>
      <c r="DD218" s="97"/>
      <c r="DE218" s="96"/>
      <c r="DF218" s="98"/>
      <c r="DG218" s="98"/>
      <c r="DH218" s="98"/>
      <c r="DI218" s="96"/>
      <c r="DJ218" s="98"/>
      <c r="DK218" s="98"/>
      <c r="DL218" s="98"/>
      <c r="DM218" s="96">
        <f t="shared" si="147"/>
        <v>0</v>
      </c>
      <c r="DN218" s="97">
        <f t="shared" si="148"/>
        <v>0</v>
      </c>
      <c r="DO218" s="96"/>
      <c r="DP218" s="98"/>
      <c r="DQ218" s="98"/>
      <c r="DR218" s="98"/>
      <c r="DS218" s="96"/>
      <c r="DT218" s="98"/>
      <c r="DU218" s="98"/>
      <c r="DV218" s="98"/>
      <c r="DW218" s="96">
        <f t="shared" si="149"/>
        <v>0</v>
      </c>
      <c r="DX218" s="97">
        <f t="shared" si="150"/>
        <v>0</v>
      </c>
      <c r="DY218" s="96"/>
      <c r="DZ218" s="98"/>
      <c r="EA218" s="98"/>
      <c r="EB218" s="98"/>
      <c r="EC218" s="96"/>
      <c r="ED218" s="98"/>
      <c r="EE218" s="98"/>
      <c r="EF218" s="98"/>
      <c r="EG218" s="96">
        <f t="shared" si="151"/>
        <v>0</v>
      </c>
      <c r="EH218" s="97">
        <f t="shared" si="152"/>
        <v>0</v>
      </c>
      <c r="EI218" s="96"/>
      <c r="EJ218" s="98"/>
      <c r="EK218" s="98"/>
      <c r="EL218" s="98"/>
      <c r="EM218" s="96"/>
      <c r="EN218" s="98"/>
      <c r="EO218" s="98"/>
      <c r="EP218" s="98"/>
      <c r="EQ218" s="384"/>
      <c r="ER218" s="98">
        <f>SUM(ET218:EX218)</f>
        <v>0</v>
      </c>
      <c r="ES218" s="217">
        <f>IFERROR(SUMIFS(Daily_Vol_yesterday[Order Quantity],Daily_Vol_yesterday[Cust_Cat.cust_channel],master_Daily!X218,Daily_Vol_yesterday[Map_Product.TME_Brand],master_Daily!Y218)/50000,0)</f>
        <v>0</v>
      </c>
      <c r="ET218" s="98"/>
      <c r="EU218" s="98"/>
      <c r="EV218" s="97"/>
      <c r="EW218" s="98"/>
      <c r="EX218" s="98"/>
      <c r="EY218" s="98"/>
      <c r="EZ218" s="98">
        <f>SUM(FA218:FC218)</f>
        <v>0</v>
      </c>
      <c r="FA218" s="217">
        <f>IFERROR(SUM(SUMIFS(Weekly_Vol[Quantity],Weekly_Vol[Cust_Cat.cust_channel],master_Daily!X218,Weekly_Vol[Map_Product.TME_Brand],master_Daily!Y218),SUMIFS(Daily_Vol[Order Quantity],Daily_Vol[Cust_Cat.cust_channel],master_Daily!X218,Daily_Vol[Map_Product.TME_Brand],master_Daily!Y218))/50000,0)</f>
        <v>0</v>
      </c>
      <c r="FB218" s="98"/>
      <c r="FC218" s="98"/>
      <c r="FD218" s="98"/>
      <c r="FE218" s="98"/>
      <c r="FF218" s="98"/>
      <c r="FG218" s="98"/>
      <c r="FH218" s="98">
        <f t="shared" ca="1" si="175"/>
        <v>0</v>
      </c>
      <c r="FI218" s="98">
        <f t="shared" ca="1" si="175"/>
        <v>0</v>
      </c>
      <c r="FJ218" s="98">
        <f t="shared" ca="1" si="175"/>
        <v>0</v>
      </c>
      <c r="FK218" s="98">
        <f t="shared" ca="1" si="175"/>
        <v>0</v>
      </c>
      <c r="FL218" s="98">
        <f t="shared" ca="1" si="175"/>
        <v>0</v>
      </c>
      <c r="FM218" s="97">
        <f t="shared" ca="1" si="175"/>
        <v>0</v>
      </c>
      <c r="FN218" s="97">
        <f t="shared" ca="1" si="175"/>
        <v>0</v>
      </c>
      <c r="FO218" s="97">
        <f t="shared" ca="1" si="175"/>
        <v>0</v>
      </c>
      <c r="FP218" s="99">
        <f t="shared" ca="1" si="176"/>
        <v>0</v>
      </c>
      <c r="FQ218" s="100">
        <f t="shared" si="170"/>
        <v>0</v>
      </c>
      <c r="FR218" s="217">
        <f>SUMIFS(TME_MTD_Dist[Sell_WHS_QTY],TME_MTD_Dist[Dist_Name],master_Daily!$X218,TME_MTD_Dist[Brand],master_Daily!$Y218)/50000
 + SUMIFS(TME_MTD_Dist[Sell_RTL_QTY],TME_MTD_Dist[Dist_Name],master_Daily!$X218,TME_MTD_Dist[Brand],master_Daily!$Y218)/50000</f>
        <v>0</v>
      </c>
      <c r="FS218" s="100">
        <f t="shared" si="155"/>
        <v>0</v>
      </c>
    </row>
    <row r="219" spans="20:175" s="154" customFormat="1" hidden="1" outlineLevel="1">
      <c r="T219" s="155"/>
      <c r="U219" s="156"/>
      <c r="X219" s="106" t="s">
        <v>298</v>
      </c>
      <c r="Y219" s="106" t="s">
        <v>263</v>
      </c>
      <c r="Z219" s="106"/>
      <c r="AA219" s="96">
        <f t="shared" si="129"/>
        <v>0</v>
      </c>
      <c r="AB219" s="97">
        <f t="shared" si="130"/>
        <v>0</v>
      </c>
      <c r="AC219" s="96">
        <v>0</v>
      </c>
      <c r="AD219" s="96">
        <v>0</v>
      </c>
      <c r="AE219" s="98"/>
      <c r="AF219" s="98"/>
      <c r="AG219" s="96"/>
      <c r="AH219" s="98"/>
      <c r="AI219" s="98"/>
      <c r="AJ219" s="98"/>
      <c r="AK219" s="96">
        <f t="shared" si="131"/>
        <v>0</v>
      </c>
      <c r="AL219" s="97">
        <f t="shared" si="132"/>
        <v>0</v>
      </c>
      <c r="AM219" s="96">
        <v>0</v>
      </c>
      <c r="AN219" s="96">
        <v>0</v>
      </c>
      <c r="AO219" s="98"/>
      <c r="AP219" s="98"/>
      <c r="AQ219" s="96"/>
      <c r="AR219" s="98"/>
      <c r="AS219" s="98"/>
      <c r="AT219" s="98"/>
      <c r="AU219" s="96">
        <f t="shared" si="133"/>
        <v>0</v>
      </c>
      <c r="AV219" s="97">
        <f t="shared" si="134"/>
        <v>0</v>
      </c>
      <c r="AW219" s="96">
        <v>0</v>
      </c>
      <c r="AX219" s="96">
        <v>0</v>
      </c>
      <c r="AY219" s="98"/>
      <c r="AZ219" s="98"/>
      <c r="BA219" s="96"/>
      <c r="BB219" s="98"/>
      <c r="BC219" s="98"/>
      <c r="BD219" s="98"/>
      <c r="BE219" s="96">
        <f t="shared" si="135"/>
        <v>0</v>
      </c>
      <c r="BF219" s="97">
        <f t="shared" si="136"/>
        <v>0</v>
      </c>
      <c r="BG219" s="96">
        <v>0</v>
      </c>
      <c r="BH219" s="98">
        <v>0</v>
      </c>
      <c r="BI219" s="98"/>
      <c r="BJ219" s="98"/>
      <c r="BK219" s="96"/>
      <c r="BL219" s="98"/>
      <c r="BM219" s="98"/>
      <c r="BN219" s="98"/>
      <c r="BO219" s="96">
        <f t="shared" si="137"/>
        <v>0</v>
      </c>
      <c r="BP219" s="97">
        <f t="shared" si="138"/>
        <v>0</v>
      </c>
      <c r="BQ219" s="96">
        <v>0</v>
      </c>
      <c r="BR219" s="98">
        <v>0</v>
      </c>
      <c r="BS219" s="98"/>
      <c r="BT219" s="98"/>
      <c r="BU219" s="96"/>
      <c r="BV219" s="98"/>
      <c r="BW219" s="98"/>
      <c r="BX219" s="98"/>
      <c r="BY219" s="96">
        <f t="shared" si="139"/>
        <v>0</v>
      </c>
      <c r="BZ219" s="97">
        <f t="shared" si="140"/>
        <v>0</v>
      </c>
      <c r="CA219" s="96">
        <v>0</v>
      </c>
      <c r="CB219" s="98">
        <v>0</v>
      </c>
      <c r="CC219" s="98"/>
      <c r="CD219" s="98"/>
      <c r="CE219" s="96"/>
      <c r="CF219" s="98"/>
      <c r="CG219" s="98"/>
      <c r="CH219" s="98"/>
      <c r="CI219" s="96">
        <f t="shared" si="141"/>
        <v>0</v>
      </c>
      <c r="CJ219" s="97">
        <f t="shared" si="142"/>
        <v>0</v>
      </c>
      <c r="CK219" s="96"/>
      <c r="CL219" s="98"/>
      <c r="CM219" s="98"/>
      <c r="CN219" s="98"/>
      <c r="CO219" s="96"/>
      <c r="CP219" s="98"/>
      <c r="CQ219" s="98"/>
      <c r="CR219" s="98"/>
      <c r="CS219" s="96">
        <f t="shared" si="143"/>
        <v>0</v>
      </c>
      <c r="CT219" s="97">
        <f t="shared" si="144"/>
        <v>0</v>
      </c>
      <c r="CU219" s="96"/>
      <c r="CV219" s="98"/>
      <c r="CW219" s="98"/>
      <c r="CX219" s="98"/>
      <c r="CY219" s="96"/>
      <c r="CZ219" s="98"/>
      <c r="DA219" s="98"/>
      <c r="DB219" s="98"/>
      <c r="DC219" s="96"/>
      <c r="DD219" s="97"/>
      <c r="DE219" s="96"/>
      <c r="DF219" s="98"/>
      <c r="DG219" s="98"/>
      <c r="DH219" s="98"/>
      <c r="DI219" s="96"/>
      <c r="DJ219" s="98"/>
      <c r="DK219" s="98"/>
      <c r="DL219" s="98"/>
      <c r="DM219" s="96">
        <f t="shared" si="147"/>
        <v>0</v>
      </c>
      <c r="DN219" s="97">
        <f t="shared" si="148"/>
        <v>0</v>
      </c>
      <c r="DO219" s="96"/>
      <c r="DP219" s="98"/>
      <c r="DQ219" s="98"/>
      <c r="DR219" s="98"/>
      <c r="DS219" s="96"/>
      <c r="DT219" s="98"/>
      <c r="DU219" s="98"/>
      <c r="DV219" s="98"/>
      <c r="DW219" s="96">
        <f t="shared" si="149"/>
        <v>0</v>
      </c>
      <c r="DX219" s="97">
        <f t="shared" si="150"/>
        <v>0</v>
      </c>
      <c r="DY219" s="96"/>
      <c r="DZ219" s="98"/>
      <c r="EA219" s="98"/>
      <c r="EB219" s="98"/>
      <c r="EC219" s="96"/>
      <c r="ED219" s="98"/>
      <c r="EE219" s="98"/>
      <c r="EF219" s="98"/>
      <c r="EG219" s="96">
        <f t="shared" si="151"/>
        <v>0</v>
      </c>
      <c r="EH219" s="97">
        <f t="shared" si="152"/>
        <v>0</v>
      </c>
      <c r="EI219" s="96"/>
      <c r="EJ219" s="98"/>
      <c r="EK219" s="98"/>
      <c r="EL219" s="98"/>
      <c r="EM219" s="96"/>
      <c r="EN219" s="98"/>
      <c r="EO219" s="98"/>
      <c r="EP219" s="98"/>
      <c r="EQ219" s="384"/>
      <c r="ER219" s="98">
        <f>SUM(ET219:EX219)</f>
        <v>0</v>
      </c>
      <c r="ES219" s="217">
        <f>IFERROR(SUMIFS(Daily_Vol_yesterday[Order Quantity],Daily_Vol_yesterday[Cust_Cat.cust_channel],master_Daily!X219,Daily_Vol_yesterday[Map_Product.TME_Brand],master_Daily!Y219)/50000,0)</f>
        <v>0</v>
      </c>
      <c r="ET219" s="98"/>
      <c r="EU219" s="98"/>
      <c r="EV219" s="97"/>
      <c r="EW219" s="98"/>
      <c r="EX219" s="98"/>
      <c r="EY219" s="98"/>
      <c r="EZ219" s="98">
        <f>SUM(FA219:FC219)</f>
        <v>0</v>
      </c>
      <c r="FA219" s="217">
        <f>IFERROR(SUM(SUMIFS(Weekly_Vol[Quantity],Weekly_Vol[Cust_Cat.cust_channel],master_Daily!X219,Weekly_Vol[Map_Product.TME_Brand],master_Daily!Y219),SUMIFS(Daily_Vol[Order Quantity],Daily_Vol[Cust_Cat.cust_channel],master_Daily!X219,Daily_Vol[Map_Product.TME_Brand],master_Daily!Y219))/50000,0)</f>
        <v>0</v>
      </c>
      <c r="FB219" s="98"/>
      <c r="FC219" s="98"/>
      <c r="FD219" s="98"/>
      <c r="FE219" s="98"/>
      <c r="FF219" s="98"/>
      <c r="FG219" s="98"/>
      <c r="FH219" s="98">
        <f t="shared" ref="FH219:FL220" ca="1" si="177">SUMIFS($AA219:$EP219,$AA$129:$EP$129,INDIRECT(ADDRESS(129,COLUMN())))</f>
        <v>0</v>
      </c>
      <c r="FI219" s="98">
        <f t="shared" ca="1" si="177"/>
        <v>0</v>
      </c>
      <c r="FJ219" s="98">
        <f t="shared" ca="1" si="177"/>
        <v>0</v>
      </c>
      <c r="FK219" s="98">
        <f t="shared" ca="1" si="177"/>
        <v>0</v>
      </c>
      <c r="FL219" s="98">
        <f t="shared" ca="1" si="177"/>
        <v>0</v>
      </c>
      <c r="FM219" s="97">
        <f t="shared" ref="FM219:FO220" si="178">SUMIFS(AF219:EU219,$AA$129:$EP$129,$FH$129)</f>
        <v>0</v>
      </c>
      <c r="FN219" s="97">
        <f t="shared" si="178"/>
        <v>0</v>
      </c>
      <c r="FO219" s="97">
        <f t="shared" si="178"/>
        <v>0</v>
      </c>
      <c r="FP219" s="99">
        <f t="shared" ca="1" si="176"/>
        <v>0</v>
      </c>
      <c r="FQ219" s="100">
        <f t="shared" si="170"/>
        <v>0</v>
      </c>
      <c r="FR219" s="217">
        <f>SUMIFS(TME_MTD_Dist[Sell_WHS_QTY],TME_MTD_Dist[Dist_Name],master_Daily!$X219,TME_MTD_Dist[Brand],master_Daily!$Y219)/50000
 + SUMIFS(TME_MTD_Dist[Sell_RTL_QTY],TME_MTD_Dist[Dist_Name],master_Daily!$X219,TME_MTD_Dist[Brand],master_Daily!$Y219)/50000</f>
        <v>0</v>
      </c>
      <c r="FS219" s="100">
        <f t="shared" si="155"/>
        <v>0</v>
      </c>
    </row>
    <row r="220" spans="20:175" s="154" customFormat="1" hidden="1" outlineLevel="1">
      <c r="T220" s="155"/>
      <c r="U220" s="156"/>
      <c r="X220" s="106" t="s">
        <v>298</v>
      </c>
      <c r="Y220" s="106" t="s">
        <v>264</v>
      </c>
      <c r="Z220" s="106"/>
      <c r="AA220" s="96">
        <f t="shared" si="129"/>
        <v>0</v>
      </c>
      <c r="AB220" s="97">
        <f t="shared" si="130"/>
        <v>0</v>
      </c>
      <c r="AC220" s="96">
        <v>0</v>
      </c>
      <c r="AD220" s="96">
        <v>0</v>
      </c>
      <c r="AE220" s="98"/>
      <c r="AF220" s="98"/>
      <c r="AG220" s="96"/>
      <c r="AH220" s="98"/>
      <c r="AI220" s="98"/>
      <c r="AJ220" s="98"/>
      <c r="AK220" s="96">
        <f t="shared" si="131"/>
        <v>0</v>
      </c>
      <c r="AL220" s="97">
        <f t="shared" si="132"/>
        <v>0</v>
      </c>
      <c r="AM220" s="96">
        <v>0</v>
      </c>
      <c r="AN220" s="96">
        <v>0</v>
      </c>
      <c r="AO220" s="98"/>
      <c r="AP220" s="98"/>
      <c r="AQ220" s="96"/>
      <c r="AR220" s="98"/>
      <c r="AS220" s="98"/>
      <c r="AT220" s="98"/>
      <c r="AU220" s="96">
        <f t="shared" si="133"/>
        <v>0</v>
      </c>
      <c r="AV220" s="97">
        <f t="shared" si="134"/>
        <v>0</v>
      </c>
      <c r="AW220" s="96">
        <v>0</v>
      </c>
      <c r="AX220" s="96">
        <v>0</v>
      </c>
      <c r="AY220" s="98"/>
      <c r="AZ220" s="98"/>
      <c r="BA220" s="96"/>
      <c r="BB220" s="98"/>
      <c r="BC220" s="98"/>
      <c r="BD220" s="98"/>
      <c r="BE220" s="96">
        <f t="shared" si="135"/>
        <v>0</v>
      </c>
      <c r="BF220" s="97">
        <f t="shared" si="136"/>
        <v>0</v>
      </c>
      <c r="BG220" s="96">
        <v>0</v>
      </c>
      <c r="BH220" s="98">
        <v>0</v>
      </c>
      <c r="BI220" s="98"/>
      <c r="BJ220" s="98"/>
      <c r="BK220" s="96"/>
      <c r="BL220" s="98"/>
      <c r="BM220" s="98"/>
      <c r="BN220" s="98"/>
      <c r="BO220" s="96">
        <f t="shared" si="137"/>
        <v>0</v>
      </c>
      <c r="BP220" s="97">
        <f t="shared" si="138"/>
        <v>0</v>
      </c>
      <c r="BQ220" s="96">
        <v>0</v>
      </c>
      <c r="BR220" s="98">
        <v>0</v>
      </c>
      <c r="BS220" s="98"/>
      <c r="BT220" s="98"/>
      <c r="BU220" s="96"/>
      <c r="BV220" s="98"/>
      <c r="BW220" s="98"/>
      <c r="BX220" s="98"/>
      <c r="BY220" s="96">
        <f t="shared" si="139"/>
        <v>0</v>
      </c>
      <c r="BZ220" s="97">
        <f t="shared" si="140"/>
        <v>0</v>
      </c>
      <c r="CA220" s="96">
        <v>0</v>
      </c>
      <c r="CB220" s="98">
        <v>0</v>
      </c>
      <c r="CC220" s="98"/>
      <c r="CD220" s="98"/>
      <c r="CE220" s="96"/>
      <c r="CF220" s="98"/>
      <c r="CG220" s="98"/>
      <c r="CH220" s="98"/>
      <c r="CI220" s="96">
        <f t="shared" si="141"/>
        <v>0</v>
      </c>
      <c r="CJ220" s="97">
        <f t="shared" si="142"/>
        <v>0</v>
      </c>
      <c r="CK220" s="96"/>
      <c r="CL220" s="98"/>
      <c r="CM220" s="98"/>
      <c r="CN220" s="98"/>
      <c r="CO220" s="96"/>
      <c r="CP220" s="98"/>
      <c r="CQ220" s="98"/>
      <c r="CR220" s="98"/>
      <c r="CS220" s="96">
        <f t="shared" si="143"/>
        <v>0</v>
      </c>
      <c r="CT220" s="97">
        <f t="shared" si="144"/>
        <v>0</v>
      </c>
      <c r="CU220" s="96"/>
      <c r="CV220" s="98"/>
      <c r="CW220" s="98"/>
      <c r="CX220" s="98"/>
      <c r="CY220" s="96"/>
      <c r="CZ220" s="98"/>
      <c r="DA220" s="98"/>
      <c r="DB220" s="98"/>
      <c r="DC220" s="96"/>
      <c r="DD220" s="97"/>
      <c r="DE220" s="96"/>
      <c r="DF220" s="98"/>
      <c r="DG220" s="98"/>
      <c r="DH220" s="98"/>
      <c r="DI220" s="96"/>
      <c r="DJ220" s="98"/>
      <c r="DK220" s="98"/>
      <c r="DL220" s="98"/>
      <c r="DM220" s="96">
        <f t="shared" si="147"/>
        <v>0</v>
      </c>
      <c r="DN220" s="97">
        <f t="shared" si="148"/>
        <v>0</v>
      </c>
      <c r="DO220" s="96"/>
      <c r="DP220" s="98"/>
      <c r="DQ220" s="98"/>
      <c r="DR220" s="98"/>
      <c r="DS220" s="96"/>
      <c r="DT220" s="98"/>
      <c r="DU220" s="98"/>
      <c r="DV220" s="98"/>
      <c r="DW220" s="96">
        <f t="shared" si="149"/>
        <v>0</v>
      </c>
      <c r="DX220" s="97">
        <f t="shared" si="150"/>
        <v>0</v>
      </c>
      <c r="DY220" s="96"/>
      <c r="DZ220" s="98"/>
      <c r="EA220" s="98"/>
      <c r="EB220" s="98"/>
      <c r="EC220" s="96"/>
      <c r="ED220" s="98"/>
      <c r="EE220" s="98"/>
      <c r="EF220" s="98"/>
      <c r="EG220" s="96">
        <f t="shared" si="151"/>
        <v>0</v>
      </c>
      <c r="EH220" s="97">
        <f t="shared" si="152"/>
        <v>0</v>
      </c>
      <c r="EI220" s="96"/>
      <c r="EJ220" s="98"/>
      <c r="EK220" s="98"/>
      <c r="EL220" s="98"/>
      <c r="EM220" s="96"/>
      <c r="EN220" s="98"/>
      <c r="EO220" s="98"/>
      <c r="EP220" s="98"/>
      <c r="EQ220" s="384"/>
      <c r="ER220" s="98">
        <f>SUM(ET220:EX220)</f>
        <v>0</v>
      </c>
      <c r="ES220" s="217">
        <f>IFERROR(SUMIFS(Daily_Vol_yesterday[Order Quantity],Daily_Vol_yesterday[Cust_Cat.cust_channel],master_Daily!X220,Daily_Vol_yesterday[Map_Product.TME_Brand],master_Daily!Y220)/50000,0)</f>
        <v>0</v>
      </c>
      <c r="ET220" s="98"/>
      <c r="EU220" s="98"/>
      <c r="EV220" s="97"/>
      <c r="EW220" s="98"/>
      <c r="EX220" s="98"/>
      <c r="EY220" s="98"/>
      <c r="EZ220" s="98">
        <f>SUM(FA220:FC220)</f>
        <v>0</v>
      </c>
      <c r="FA220" s="217">
        <f>IFERROR(SUM(SUMIFS(Weekly_Vol[Quantity],Weekly_Vol[Cust_Cat.cust_channel],master_Daily!X220,Weekly_Vol[Map_Product.TME_Brand],master_Daily!Y220),SUMIFS(Daily_Vol[Order Quantity],Daily_Vol[Cust_Cat.cust_channel],master_Daily!X220,Daily_Vol[Map_Product.TME_Brand],master_Daily!Y220))/50000,0)</f>
        <v>0</v>
      </c>
      <c r="FB220" s="98"/>
      <c r="FC220" s="98"/>
      <c r="FD220" s="98"/>
      <c r="FE220" s="98"/>
      <c r="FF220" s="98"/>
      <c r="FG220" s="98"/>
      <c r="FH220" s="98">
        <f t="shared" ca="1" si="177"/>
        <v>0</v>
      </c>
      <c r="FI220" s="98">
        <f t="shared" ca="1" si="177"/>
        <v>0</v>
      </c>
      <c r="FJ220" s="98">
        <f t="shared" ca="1" si="177"/>
        <v>0</v>
      </c>
      <c r="FK220" s="98">
        <f t="shared" ca="1" si="177"/>
        <v>0</v>
      </c>
      <c r="FL220" s="98">
        <f t="shared" ca="1" si="177"/>
        <v>0</v>
      </c>
      <c r="FM220" s="97">
        <f t="shared" si="178"/>
        <v>0</v>
      </c>
      <c r="FN220" s="97">
        <f t="shared" si="178"/>
        <v>0</v>
      </c>
      <c r="FO220" s="97">
        <f t="shared" si="178"/>
        <v>0</v>
      </c>
      <c r="FP220" s="99">
        <f t="shared" ca="1" si="176"/>
        <v>0</v>
      </c>
      <c r="FQ220" s="100">
        <f t="shared" si="170"/>
        <v>0</v>
      </c>
      <c r="FR220" s="217">
        <f>SUMIFS(TME_MTD_Dist[Sell_WHS_QTY],TME_MTD_Dist[Dist_Name],master_Daily!$X220,TME_MTD_Dist[Brand],master_Daily!$Y220)/50000
 + SUMIFS(TME_MTD_Dist[Sell_RTL_QTY],TME_MTD_Dist[Dist_Name],master_Daily!$X220,TME_MTD_Dist[Brand],master_Daily!$Y220)/50000</f>
        <v>0</v>
      </c>
      <c r="FS220" s="100">
        <f t="shared" si="155"/>
        <v>0</v>
      </c>
    </row>
    <row r="221" spans="20:175" s="154" customFormat="1" hidden="1" collapsed="1">
      <c r="T221" s="155"/>
      <c r="U221" s="156"/>
      <c r="X221" s="101" t="s">
        <v>299</v>
      </c>
      <c r="Y221" s="153"/>
      <c r="Z221" s="153"/>
      <c r="AA221" s="102">
        <f t="shared" si="129"/>
        <v>0</v>
      </c>
      <c r="AB221" s="102">
        <f t="shared" si="130"/>
        <v>0</v>
      </c>
      <c r="AC221" s="102">
        <v>0</v>
      </c>
      <c r="AD221" s="102">
        <v>0</v>
      </c>
      <c r="AE221" s="102">
        <v>0</v>
      </c>
      <c r="AF221" s="102">
        <v>0</v>
      </c>
      <c r="AG221" s="102">
        <v>0</v>
      </c>
      <c r="AH221" s="102">
        <v>0</v>
      </c>
      <c r="AI221" s="102">
        <v>0</v>
      </c>
      <c r="AJ221" s="102">
        <v>0</v>
      </c>
      <c r="AK221" s="102">
        <f t="shared" si="131"/>
        <v>0</v>
      </c>
      <c r="AL221" s="102">
        <f t="shared" si="132"/>
        <v>0</v>
      </c>
      <c r="AM221" s="114">
        <v>0</v>
      </c>
      <c r="AN221" s="114">
        <v>0</v>
      </c>
      <c r="AO221" s="114">
        <v>0</v>
      </c>
      <c r="AP221" s="114">
        <v>0</v>
      </c>
      <c r="AQ221" s="114">
        <v>0</v>
      </c>
      <c r="AR221" s="114">
        <v>0</v>
      </c>
      <c r="AS221" s="114">
        <v>0</v>
      </c>
      <c r="AT221" s="114">
        <v>0</v>
      </c>
      <c r="AU221" s="102">
        <f t="shared" si="133"/>
        <v>0</v>
      </c>
      <c r="AV221" s="102">
        <f t="shared" si="134"/>
        <v>0</v>
      </c>
      <c r="AW221" s="102">
        <v>0</v>
      </c>
      <c r="AX221" s="102">
        <v>0</v>
      </c>
      <c r="AY221" s="102">
        <v>0</v>
      </c>
      <c r="AZ221" s="102">
        <v>0</v>
      </c>
      <c r="BA221" s="102">
        <v>0</v>
      </c>
      <c r="BB221" s="102">
        <v>0</v>
      </c>
      <c r="BC221" s="102">
        <v>0</v>
      </c>
      <c r="BD221" s="102">
        <v>0</v>
      </c>
      <c r="BE221" s="102">
        <f t="shared" si="135"/>
        <v>0</v>
      </c>
      <c r="BF221" s="102">
        <f t="shared" si="136"/>
        <v>0</v>
      </c>
      <c r="BG221" s="102">
        <v>0</v>
      </c>
      <c r="BH221" s="102">
        <v>0</v>
      </c>
      <c r="BI221" s="102">
        <v>0</v>
      </c>
      <c r="BJ221" s="102">
        <v>0</v>
      </c>
      <c r="BK221" s="102">
        <v>0</v>
      </c>
      <c r="BL221" s="102">
        <v>0</v>
      </c>
      <c r="BM221" s="102">
        <v>0</v>
      </c>
      <c r="BN221" s="102">
        <v>0</v>
      </c>
      <c r="BO221" s="102">
        <f t="shared" si="137"/>
        <v>0</v>
      </c>
      <c r="BP221" s="102">
        <f t="shared" si="138"/>
        <v>0</v>
      </c>
      <c r="BQ221" s="102">
        <v>0</v>
      </c>
      <c r="BR221" s="102">
        <v>0</v>
      </c>
      <c r="BS221" s="102">
        <v>0</v>
      </c>
      <c r="BT221" s="102">
        <v>0</v>
      </c>
      <c r="BU221" s="102">
        <v>0</v>
      </c>
      <c r="BV221" s="102">
        <v>0</v>
      </c>
      <c r="BW221" s="102">
        <v>0</v>
      </c>
      <c r="BX221" s="102">
        <v>0</v>
      </c>
      <c r="BY221" s="102">
        <f t="shared" si="139"/>
        <v>0</v>
      </c>
      <c r="BZ221" s="102">
        <f t="shared" si="140"/>
        <v>0</v>
      </c>
      <c r="CA221" s="102">
        <v>0</v>
      </c>
      <c r="CB221" s="102">
        <v>0</v>
      </c>
      <c r="CC221" s="102">
        <v>0</v>
      </c>
      <c r="CD221" s="102">
        <v>0</v>
      </c>
      <c r="CE221" s="102">
        <v>0</v>
      </c>
      <c r="CF221" s="102">
        <v>0</v>
      </c>
      <c r="CG221" s="102">
        <v>0</v>
      </c>
      <c r="CH221" s="102">
        <v>0</v>
      </c>
      <c r="CI221" s="102">
        <f t="shared" si="141"/>
        <v>0</v>
      </c>
      <c r="CJ221" s="102">
        <f t="shared" si="142"/>
        <v>0</v>
      </c>
      <c r="CK221" s="102"/>
      <c r="CL221" s="102"/>
      <c r="CM221" s="102"/>
      <c r="CN221" s="102"/>
      <c r="CO221" s="102"/>
      <c r="CP221" s="102">
        <v>0</v>
      </c>
      <c r="CQ221" s="102">
        <v>0</v>
      </c>
      <c r="CR221" s="102">
        <v>0</v>
      </c>
      <c r="CS221" s="102">
        <f t="shared" si="143"/>
        <v>0</v>
      </c>
      <c r="CT221" s="102">
        <f t="shared" si="144"/>
        <v>0</v>
      </c>
      <c r="CU221" s="102"/>
      <c r="CV221" s="102"/>
      <c r="CW221" s="102"/>
      <c r="CX221" s="102"/>
      <c r="CY221" s="102"/>
      <c r="CZ221" s="102">
        <v>0</v>
      </c>
      <c r="DA221" s="102">
        <v>0</v>
      </c>
      <c r="DB221" s="102">
        <v>0</v>
      </c>
      <c r="DC221" s="102">
        <f t="shared" si="145"/>
        <v>0</v>
      </c>
      <c r="DD221" s="102">
        <f t="shared" si="146"/>
        <v>0</v>
      </c>
      <c r="DE221" s="102"/>
      <c r="DF221" s="102"/>
      <c r="DG221" s="102"/>
      <c r="DH221" s="102"/>
      <c r="DI221" s="102"/>
      <c r="DJ221" s="102">
        <v>0</v>
      </c>
      <c r="DK221" s="102">
        <v>0</v>
      </c>
      <c r="DL221" s="102">
        <v>0</v>
      </c>
      <c r="DM221" s="102">
        <f t="shared" si="147"/>
        <v>0</v>
      </c>
      <c r="DN221" s="102">
        <f t="shared" si="148"/>
        <v>0</v>
      </c>
      <c r="DO221" s="102"/>
      <c r="DP221" s="102"/>
      <c r="DQ221" s="102"/>
      <c r="DR221" s="102"/>
      <c r="DS221" s="102"/>
      <c r="DT221" s="102">
        <v>0</v>
      </c>
      <c r="DU221" s="102">
        <v>0</v>
      </c>
      <c r="DV221" s="102">
        <v>0</v>
      </c>
      <c r="DW221" s="102">
        <f t="shared" si="149"/>
        <v>0</v>
      </c>
      <c r="DX221" s="102">
        <f t="shared" si="150"/>
        <v>0</v>
      </c>
      <c r="DY221" s="102"/>
      <c r="DZ221" s="102"/>
      <c r="EA221" s="102"/>
      <c r="EB221" s="102"/>
      <c r="EC221" s="102">
        <v>0</v>
      </c>
      <c r="ED221" s="102">
        <v>0</v>
      </c>
      <c r="EE221" s="102">
        <v>0</v>
      </c>
      <c r="EF221" s="102">
        <v>0</v>
      </c>
      <c r="EG221" s="102">
        <f t="shared" si="151"/>
        <v>0</v>
      </c>
      <c r="EH221" s="102">
        <f t="shared" si="152"/>
        <v>0</v>
      </c>
      <c r="EI221" s="102"/>
      <c r="EJ221" s="102"/>
      <c r="EK221" s="102"/>
      <c r="EL221" s="102"/>
      <c r="EM221" s="102">
        <v>0</v>
      </c>
      <c r="EN221" s="102">
        <v>0</v>
      </c>
      <c r="EO221" s="102">
        <v>0</v>
      </c>
      <c r="EP221" s="102">
        <v>0</v>
      </c>
      <c r="EQ221" s="103"/>
      <c r="ER221" s="102">
        <f>SUM(ER216:ER220)</f>
        <v>0</v>
      </c>
      <c r="ES221" s="102">
        <f>SUM(ES216:ES220)</f>
        <v>0</v>
      </c>
      <c r="ET221" s="102">
        <f>SUM(ET216:ET220)</f>
        <v>0</v>
      </c>
      <c r="EU221" s="102">
        <f>SUM(EU216:EU220)</f>
        <v>0</v>
      </c>
      <c r="EV221" s="102">
        <f>SUM(EV216:EV219)</f>
        <v>0</v>
      </c>
      <c r="EW221" s="102">
        <f t="shared" ref="EW221:FC221" si="179">SUM(EW216:EW220)</f>
        <v>0</v>
      </c>
      <c r="EX221" s="102">
        <f t="shared" si="179"/>
        <v>0</v>
      </c>
      <c r="EY221" s="102">
        <f t="shared" si="179"/>
        <v>0</v>
      </c>
      <c r="EZ221" s="102">
        <f t="shared" si="179"/>
        <v>0</v>
      </c>
      <c r="FA221" s="102">
        <f t="shared" si="179"/>
        <v>0</v>
      </c>
      <c r="FB221" s="102">
        <f t="shared" si="179"/>
        <v>0</v>
      </c>
      <c r="FC221" s="102">
        <f t="shared" si="179"/>
        <v>0</v>
      </c>
      <c r="FD221" s="102">
        <f t="shared" ref="FD221:FK221" si="180">SUM(FD216:FD220)</f>
        <v>0</v>
      </c>
      <c r="FE221" s="102">
        <f t="shared" si="180"/>
        <v>0</v>
      </c>
      <c r="FF221" s="102">
        <f t="shared" si="180"/>
        <v>0</v>
      </c>
      <c r="FG221" s="102">
        <f t="shared" si="180"/>
        <v>0</v>
      </c>
      <c r="FH221" s="102">
        <f t="shared" ca="1" si="180"/>
        <v>0</v>
      </c>
      <c r="FI221" s="102">
        <f t="shared" ca="1" si="180"/>
        <v>0</v>
      </c>
      <c r="FJ221" s="102">
        <f t="shared" ca="1" si="180"/>
        <v>0</v>
      </c>
      <c r="FK221" s="102">
        <f t="shared" ca="1" si="180"/>
        <v>0</v>
      </c>
      <c r="FL221" s="102">
        <f ca="1">SUM(FL216:FL219)</f>
        <v>0</v>
      </c>
      <c r="FM221" s="103">
        <f ca="1">SUM(FM216:FM220)</f>
        <v>0</v>
      </c>
      <c r="FN221" s="103">
        <f ca="1">SUM(FN216:FN220)</f>
        <v>0</v>
      </c>
      <c r="FO221" s="103">
        <f ca="1">SUM(FO216:FO220)</f>
        <v>0</v>
      </c>
      <c r="FP221" s="224">
        <f t="shared" ref="FP221:FP227" ca="1" si="181">IFERROR(FH221/$FH$227,0)</f>
        <v>0</v>
      </c>
      <c r="FQ221" s="105">
        <f t="shared" si="170"/>
        <v>0</v>
      </c>
      <c r="FR221" s="102">
        <f>SUM(FR216:FR220)</f>
        <v>0</v>
      </c>
      <c r="FS221" s="105">
        <f t="shared" si="155"/>
        <v>0</v>
      </c>
    </row>
    <row r="222" spans="20:175" s="154" customFormat="1" hidden="1" outlineLevel="1">
      <c r="T222" s="155"/>
      <c r="U222" s="156"/>
      <c r="X222" s="213" t="s">
        <v>213</v>
      </c>
      <c r="Y222" s="214" t="s">
        <v>44</v>
      </c>
      <c r="Z222" s="214"/>
      <c r="AA222" s="215">
        <f t="shared" ref="AA222:AA227" si="182">SUM(AD222:AF222)</f>
        <v>2.6599999999999999E-2</v>
      </c>
      <c r="AB222" s="216">
        <f t="shared" ref="AB222:AB227" si="183">SUM(AH222:AJ222)</f>
        <v>0</v>
      </c>
      <c r="AC222" s="215">
        <v>2.6599999999999999E-2</v>
      </c>
      <c r="AD222" s="217">
        <v>2.6599999999999999E-2</v>
      </c>
      <c r="AE222" s="217"/>
      <c r="AF222" s="217"/>
      <c r="AG222" s="215"/>
      <c r="AH222" s="217"/>
      <c r="AI222" s="217"/>
      <c r="AJ222" s="217"/>
      <c r="AK222" s="215">
        <f t="shared" ref="AK222:AK227" si="184">SUM(AN222:AP222)</f>
        <v>1.7999999999999999E-2</v>
      </c>
      <c r="AL222" s="216">
        <f t="shared" ref="AL222:AL227" si="185">SUM(AR222:AT222)</f>
        <v>0</v>
      </c>
      <c r="AM222" s="215">
        <v>1.7999999999999999E-2</v>
      </c>
      <c r="AN222" s="217">
        <v>1.7999999999999999E-2</v>
      </c>
      <c r="AO222" s="217"/>
      <c r="AP222" s="217"/>
      <c r="AQ222" s="215"/>
      <c r="AR222" s="217"/>
      <c r="AS222" s="217"/>
      <c r="AT222" s="217"/>
      <c r="AU222" s="215">
        <f t="shared" ref="AU222:AU227" si="186">SUM(AX222:AZ222)</f>
        <v>2.1000000000000001E-2</v>
      </c>
      <c r="AV222" s="216">
        <f t="shared" ref="AV222:AV227" si="187">SUM(BB222:BD222)</f>
        <v>0</v>
      </c>
      <c r="AW222" s="215">
        <v>2.1000000000000001E-2</v>
      </c>
      <c r="AX222" s="217">
        <v>2.1000000000000001E-2</v>
      </c>
      <c r="AY222" s="217"/>
      <c r="AZ222" s="217"/>
      <c r="BA222" s="215"/>
      <c r="BB222" s="217"/>
      <c r="BC222" s="217"/>
      <c r="BD222" s="217"/>
      <c r="BE222" s="215">
        <f t="shared" ref="BE222:BE227" si="188">SUM(BH222:BJ222)</f>
        <v>1.2E-2</v>
      </c>
      <c r="BF222" s="216">
        <f t="shared" ref="BF222:BF227" si="189">SUM(BL222:BN222)</f>
        <v>0</v>
      </c>
      <c r="BG222" s="215">
        <v>1.2E-2</v>
      </c>
      <c r="BH222" s="217">
        <v>1.2E-2</v>
      </c>
      <c r="BI222" s="217"/>
      <c r="BJ222" s="217"/>
      <c r="BK222" s="215"/>
      <c r="BL222" s="217"/>
      <c r="BM222" s="217"/>
      <c r="BN222" s="217"/>
      <c r="BO222" s="215">
        <f t="shared" ref="BO222:BO227" si="190">SUM(BR222:BT222)</f>
        <v>2.5999999999999999E-2</v>
      </c>
      <c r="BP222" s="216">
        <f t="shared" ref="BP222:BP227" si="191">SUM(BV222:BX222)</f>
        <v>0</v>
      </c>
      <c r="BQ222" s="215">
        <v>2.5999999999999999E-2</v>
      </c>
      <c r="BR222" s="217">
        <v>2.5999999999999999E-2</v>
      </c>
      <c r="BS222" s="217"/>
      <c r="BT222" s="217"/>
      <c r="BU222" s="215"/>
      <c r="BV222" s="217"/>
      <c r="BW222" s="217"/>
      <c r="BX222" s="217"/>
      <c r="BY222" s="215">
        <f t="shared" ref="BY222:BY227" si="192">SUM(CB222:CD222)</f>
        <v>7.0000000000000001E-3</v>
      </c>
      <c r="BZ222" s="216">
        <f t="shared" ref="BZ222:BZ227" si="193">SUM(CF222:CH222)</f>
        <v>0</v>
      </c>
      <c r="CA222" s="215">
        <v>7.0000000000000001E-3</v>
      </c>
      <c r="CB222" s="217">
        <v>7.0000000000000001E-3</v>
      </c>
      <c r="CC222" s="217"/>
      <c r="CD222" s="217"/>
      <c r="CE222" s="215"/>
      <c r="CF222" s="217"/>
      <c r="CG222" s="217"/>
      <c r="CH222" s="217"/>
      <c r="CI222" s="215">
        <f t="shared" ref="CI222:CI227" si="194">SUM(CL222:CN222)</f>
        <v>0</v>
      </c>
      <c r="CJ222" s="216">
        <f t="shared" ref="CJ222:CJ227" si="195">SUM(CP222:CR222)</f>
        <v>0</v>
      </c>
      <c r="CK222" s="215"/>
      <c r="CL222" s="217"/>
      <c r="CM222" s="217"/>
      <c r="CN222" s="217"/>
      <c r="CO222" s="215"/>
      <c r="CP222" s="217"/>
      <c r="CQ222" s="217"/>
      <c r="CR222" s="217"/>
      <c r="CS222" s="215">
        <f t="shared" ref="CS222:CS227" si="196">SUM(CV222:CX222)</f>
        <v>0</v>
      </c>
      <c r="CT222" s="216">
        <f t="shared" ref="CT222:CT227" si="197">SUM(CZ222:DB222)</f>
        <v>0</v>
      </c>
      <c r="CU222" s="215"/>
      <c r="CV222" s="217"/>
      <c r="CW222" s="217"/>
      <c r="CX222" s="217"/>
      <c r="CY222" s="215"/>
      <c r="CZ222" s="217"/>
      <c r="DA222" s="217"/>
      <c r="DB222" s="217"/>
      <c r="DC222" s="215">
        <f t="shared" ref="DC222:DC227" si="198">SUM(DF222:DH222)</f>
        <v>0</v>
      </c>
      <c r="DD222" s="216">
        <f t="shared" ref="DD222:DD227" si="199">SUM(DJ222:DL222)</f>
        <v>0</v>
      </c>
      <c r="DE222" s="215"/>
      <c r="DF222" s="217"/>
      <c r="DG222" s="217"/>
      <c r="DH222" s="217"/>
      <c r="DI222" s="215"/>
      <c r="DJ222" s="217"/>
      <c r="DK222" s="217"/>
      <c r="DL222" s="217"/>
      <c r="DM222" s="215">
        <f t="shared" ref="DM222:DM227" si="200">SUM(DP222:DR222)</f>
        <v>0</v>
      </c>
      <c r="DN222" s="216">
        <f t="shared" ref="DN222:DN227" si="201">SUM(DT222:DV222)</f>
        <v>0</v>
      </c>
      <c r="DO222" s="215"/>
      <c r="DP222" s="217"/>
      <c r="DQ222" s="217"/>
      <c r="DR222" s="217"/>
      <c r="DS222" s="215"/>
      <c r="DT222" s="217"/>
      <c r="DU222" s="217"/>
      <c r="DV222" s="217"/>
      <c r="DW222" s="215">
        <f t="shared" ref="DW222:DW227" si="202">SUM(DZ222:EB222)</f>
        <v>0</v>
      </c>
      <c r="DX222" s="216">
        <f t="shared" ref="DX222:DX227" si="203">SUM(ED222:EF222)</f>
        <v>0</v>
      </c>
      <c r="DY222" s="215"/>
      <c r="DZ222" s="217"/>
      <c r="EA222" s="217"/>
      <c r="EB222" s="217"/>
      <c r="EC222" s="215"/>
      <c r="ED222" s="217"/>
      <c r="EE222" s="217"/>
      <c r="EF222" s="217"/>
      <c r="EG222" s="215">
        <f t="shared" ref="EG222:EG227" si="204">SUM(EJ222:EL222)</f>
        <v>0</v>
      </c>
      <c r="EH222" s="216">
        <f t="shared" ref="EH222:EH227" si="205">SUM(EN222:EP222)</f>
        <v>0</v>
      </c>
      <c r="EI222" s="215"/>
      <c r="EJ222" s="217"/>
      <c r="EK222" s="217"/>
      <c r="EL222" s="217"/>
      <c r="EM222" s="215"/>
      <c r="EN222" s="217"/>
      <c r="EO222" s="217"/>
      <c r="EP222" s="217"/>
      <c r="EQ222" s="385"/>
      <c r="ER222" s="217">
        <f>SUM(ET222:EX222)</f>
        <v>0</v>
      </c>
      <c r="ES222" s="217">
        <f>IFERROR(SUMIFS(Daily_Vol_yesterday[Order Quantity],Daily_Vol_yesterday[Cust_Cat.cust_channel],master_Daily!X222,Daily_Vol_yesterday[Map_Product.TME_Brand],master_Daily!Y222)/50000,0)</f>
        <v>0</v>
      </c>
      <c r="ET222" s="217"/>
      <c r="EU222" s="217"/>
      <c r="EV222" s="216"/>
      <c r="EW222" s="217"/>
      <c r="EX222" s="217"/>
      <c r="EY222" s="217"/>
      <c r="EZ222" s="217">
        <f>SUM(FA222:FC222)</f>
        <v>7.0000000000000001E-3</v>
      </c>
      <c r="FA222" s="217">
        <f>IFERROR(SUM(SUMIFS(Weekly_Vol[Quantity],Weekly_Vol[Cust_Cat.cust_channel],master_Daily!X222,Weekly_Vol[Map_Product.TME_Brand],master_Daily!Y222),SUMIFS(Daily_Vol[Order Quantity],Daily_Vol[Cust_Cat.cust_channel],master_Daily!X222,Daily_Vol[Map_Product.TME_Brand],master_Daily!Y222))/50000,0)</f>
        <v>7.0000000000000001E-3</v>
      </c>
      <c r="FB222" s="217"/>
      <c r="FC222" s="217"/>
      <c r="FD222" s="217"/>
      <c r="FE222" s="217"/>
      <c r="FF222" s="217"/>
      <c r="FG222" s="217"/>
      <c r="FH222" s="217">
        <f ca="1">SUM(FI222:FK222)</f>
        <v>0.1106</v>
      </c>
      <c r="FI222" s="217">
        <f ca="1">SUMIFS($AA222:$EP222,$AA$129:$EP$129,INDIRECT(ADDRESS(129,COLUMN())))</f>
        <v>0.1106</v>
      </c>
      <c r="FJ222" s="217">
        <f t="shared" ref="FI222:FK226" ca="1" si="206">SUMIFS($AA222:$EP222,$AA$129:$EP$129,INDIRECT(ADDRESS(129,COLUMN())))</f>
        <v>0</v>
      </c>
      <c r="FK222" s="217">
        <f t="shared" ca="1" si="206"/>
        <v>0</v>
      </c>
      <c r="FL222" s="217">
        <f ca="1">SUMIFS($AA222:$EP222,$AA$129:$EP$129,INDIRECT(ADDRESS(38,COLUMN())))</f>
        <v>0</v>
      </c>
      <c r="FM222" s="217">
        <f ca="1">SUMIFS($AA222:$EP222,$AA$129:$EP$129,INDIRECT(ADDRESS(38,COLUMN())))</f>
        <v>0</v>
      </c>
      <c r="FN222" s="217">
        <f ca="1">SUMIFS($AA222:$EP222,$AA$129:$EP$129,INDIRECT(ADDRESS(38,COLUMN())))</f>
        <v>0</v>
      </c>
      <c r="FO222" s="217">
        <f ca="1">SUMIFS($AA222:$EP222,$AA$129:$EP$129,INDIRECT(ADDRESS(38,COLUMN())))</f>
        <v>0</v>
      </c>
      <c r="FP222" s="218">
        <f t="shared" ca="1" si="181"/>
        <v>1.1828877005347594E-2</v>
      </c>
      <c r="FQ222" s="219">
        <f t="shared" si="170"/>
        <v>0</v>
      </c>
      <c r="FR222" s="217">
        <f>SUMIFS(TME_MTD_Dist[Sell_WHS_QTY],TME_MTD_Dist[Dist_Name],master_Daily!$X222,TME_MTD_Dist[Brand],master_Daily!$Y222)/50000
 + SUMIFS(TME_MTD_Dist[Sell_RTL_QTY],TME_MTD_Dist[Dist_Name],master_Daily!$X222,TME_MTD_Dist[Brand],master_Daily!$Y222)/50000</f>
        <v>0</v>
      </c>
      <c r="FS222" s="219">
        <f t="shared" ref="FS222:FS285" si="207">IFERROR(FR222/EQ222,0)</f>
        <v>0</v>
      </c>
    </row>
    <row r="223" spans="20:175" s="154" customFormat="1" hidden="1" outlineLevel="1">
      <c r="T223" s="155"/>
      <c r="U223" s="156"/>
      <c r="X223" s="213" t="s">
        <v>213</v>
      </c>
      <c r="Y223" s="214" t="s">
        <v>45</v>
      </c>
      <c r="Z223" s="214"/>
      <c r="AA223" s="215">
        <f t="shared" si="182"/>
        <v>4.0000000000000001E-3</v>
      </c>
      <c r="AB223" s="216">
        <f t="shared" si="183"/>
        <v>0</v>
      </c>
      <c r="AC223" s="215">
        <v>4.0000000000000001E-3</v>
      </c>
      <c r="AD223" s="217">
        <v>4.0000000000000001E-3</v>
      </c>
      <c r="AE223" s="217"/>
      <c r="AF223" s="217"/>
      <c r="AG223" s="215"/>
      <c r="AH223" s="217"/>
      <c r="AI223" s="217"/>
      <c r="AJ223" s="217"/>
      <c r="AK223" s="215">
        <f t="shared" si="184"/>
        <v>4.0000000000000001E-3</v>
      </c>
      <c r="AL223" s="216">
        <f t="shared" si="185"/>
        <v>0</v>
      </c>
      <c r="AM223" s="215">
        <v>4.0000000000000001E-3</v>
      </c>
      <c r="AN223" s="217">
        <v>4.0000000000000001E-3</v>
      </c>
      <c r="AO223" s="217"/>
      <c r="AP223" s="217"/>
      <c r="AQ223" s="215"/>
      <c r="AR223" s="217"/>
      <c r="AS223" s="217"/>
      <c r="AT223" s="217"/>
      <c r="AU223" s="215">
        <f t="shared" si="186"/>
        <v>6.0000000000000001E-3</v>
      </c>
      <c r="AV223" s="216">
        <f t="shared" si="187"/>
        <v>0</v>
      </c>
      <c r="AW223" s="215">
        <v>6.0000000000000001E-3</v>
      </c>
      <c r="AX223" s="217">
        <v>6.0000000000000001E-3</v>
      </c>
      <c r="AY223" s="217"/>
      <c r="AZ223" s="217"/>
      <c r="BA223" s="215"/>
      <c r="BB223" s="217"/>
      <c r="BC223" s="217"/>
      <c r="BD223" s="217"/>
      <c r="BE223" s="215">
        <f t="shared" si="188"/>
        <v>0</v>
      </c>
      <c r="BF223" s="216">
        <f t="shared" si="189"/>
        <v>0</v>
      </c>
      <c r="BG223" s="215">
        <v>0</v>
      </c>
      <c r="BH223" s="217">
        <v>0</v>
      </c>
      <c r="BI223" s="217"/>
      <c r="BJ223" s="217"/>
      <c r="BK223" s="215"/>
      <c r="BL223" s="217"/>
      <c r="BM223" s="217"/>
      <c r="BN223" s="217"/>
      <c r="BO223" s="215">
        <f t="shared" si="190"/>
        <v>4.0000000000000001E-3</v>
      </c>
      <c r="BP223" s="216">
        <f t="shared" si="191"/>
        <v>0</v>
      </c>
      <c r="BQ223" s="215">
        <v>4.0000000000000001E-3</v>
      </c>
      <c r="BR223" s="217">
        <v>4.0000000000000001E-3</v>
      </c>
      <c r="BS223" s="217"/>
      <c r="BT223" s="217"/>
      <c r="BU223" s="215"/>
      <c r="BV223" s="217"/>
      <c r="BW223" s="217"/>
      <c r="BX223" s="217"/>
      <c r="BY223" s="215">
        <f t="shared" si="192"/>
        <v>0</v>
      </c>
      <c r="BZ223" s="216">
        <f t="shared" si="193"/>
        <v>0</v>
      </c>
      <c r="CA223" s="215">
        <v>0</v>
      </c>
      <c r="CB223" s="217">
        <v>0</v>
      </c>
      <c r="CC223" s="217"/>
      <c r="CD223" s="217"/>
      <c r="CE223" s="215"/>
      <c r="CF223" s="217"/>
      <c r="CG223" s="217"/>
      <c r="CH223" s="217"/>
      <c r="CI223" s="215">
        <f t="shared" si="194"/>
        <v>0</v>
      </c>
      <c r="CJ223" s="216">
        <f t="shared" si="195"/>
        <v>0</v>
      </c>
      <c r="CK223" s="215"/>
      <c r="CL223" s="217"/>
      <c r="CM223" s="217"/>
      <c r="CN223" s="217"/>
      <c r="CO223" s="215"/>
      <c r="CP223" s="217"/>
      <c r="CQ223" s="217"/>
      <c r="CR223" s="217"/>
      <c r="CS223" s="215">
        <f t="shared" si="196"/>
        <v>0</v>
      </c>
      <c r="CT223" s="216">
        <f t="shared" si="197"/>
        <v>0</v>
      </c>
      <c r="CU223" s="215"/>
      <c r="CV223" s="217"/>
      <c r="CW223" s="217"/>
      <c r="CX223" s="217"/>
      <c r="CY223" s="215"/>
      <c r="CZ223" s="217"/>
      <c r="DA223" s="217"/>
      <c r="DB223" s="217"/>
      <c r="DC223" s="215">
        <f t="shared" si="198"/>
        <v>0</v>
      </c>
      <c r="DD223" s="216">
        <f t="shared" si="199"/>
        <v>0</v>
      </c>
      <c r="DE223" s="215"/>
      <c r="DF223" s="217"/>
      <c r="DG223" s="217"/>
      <c r="DH223" s="217"/>
      <c r="DI223" s="215"/>
      <c r="DJ223" s="217"/>
      <c r="DK223" s="217"/>
      <c r="DL223" s="217"/>
      <c r="DM223" s="215">
        <f t="shared" si="200"/>
        <v>0</v>
      </c>
      <c r="DN223" s="216">
        <f t="shared" si="201"/>
        <v>0</v>
      </c>
      <c r="DO223" s="215"/>
      <c r="DP223" s="217"/>
      <c r="DQ223" s="217"/>
      <c r="DR223" s="217"/>
      <c r="DS223" s="215"/>
      <c r="DT223" s="217"/>
      <c r="DU223" s="217"/>
      <c r="DV223" s="217"/>
      <c r="DW223" s="215">
        <f t="shared" si="202"/>
        <v>0</v>
      </c>
      <c r="DX223" s="216">
        <f>SUM(ED223:EF223)</f>
        <v>0</v>
      </c>
      <c r="DY223" s="215"/>
      <c r="DZ223" s="217"/>
      <c r="EA223" s="217"/>
      <c r="EB223" s="217"/>
      <c r="EC223" s="215"/>
      <c r="ED223" s="217"/>
      <c r="EE223" s="217"/>
      <c r="EF223" s="217"/>
      <c r="EG223" s="215">
        <f t="shared" si="204"/>
        <v>0</v>
      </c>
      <c r="EH223" s="216">
        <f t="shared" si="205"/>
        <v>0</v>
      </c>
      <c r="EI223" s="215"/>
      <c r="EJ223" s="217"/>
      <c r="EK223" s="217"/>
      <c r="EL223" s="217"/>
      <c r="EM223" s="215"/>
      <c r="EN223" s="217"/>
      <c r="EO223" s="217"/>
      <c r="EP223" s="217"/>
      <c r="EQ223" s="385"/>
      <c r="ER223" s="217">
        <f>SUM(ET223:EX223)</f>
        <v>0</v>
      </c>
      <c r="ES223" s="217">
        <f>IFERROR(SUMIFS(Daily_Vol_yesterday[Order Quantity],Daily_Vol_yesterday[Cust_Cat.cust_channel],master_Daily!X223,Daily_Vol_yesterday[Map_Product.TME_Brand],master_Daily!Y223)/50000,0)</f>
        <v>0</v>
      </c>
      <c r="ET223" s="217"/>
      <c r="EU223" s="217"/>
      <c r="EV223" s="216"/>
      <c r="EW223" s="217"/>
      <c r="EX223" s="217"/>
      <c r="EY223" s="217"/>
      <c r="EZ223" s="217">
        <f>SUM(FA223:FC223)</f>
        <v>0</v>
      </c>
      <c r="FA223" s="217">
        <f>IFERROR(SUM(SUMIFS(Weekly_Vol[Quantity],Weekly_Vol[Cust_Cat.cust_channel],master_Daily!X223,Weekly_Vol[Map_Product.TME_Brand],master_Daily!Y223),SUMIFS(Daily_Vol[Order Quantity],Daily_Vol[Cust_Cat.cust_channel],master_Daily!X223,Daily_Vol[Map_Product.TME_Brand],master_Daily!Y223))/50000,0)</f>
        <v>0</v>
      </c>
      <c r="FB223" s="217"/>
      <c r="FC223" s="217"/>
      <c r="FD223" s="217"/>
      <c r="FE223" s="217"/>
      <c r="FF223" s="217"/>
      <c r="FG223" s="217"/>
      <c r="FH223" s="217">
        <f ca="1">SUM(FI223:FK223)</f>
        <v>1.8000000000000002E-2</v>
      </c>
      <c r="FI223" s="217">
        <f t="shared" ca="1" si="206"/>
        <v>1.8000000000000002E-2</v>
      </c>
      <c r="FJ223" s="217">
        <f t="shared" ca="1" si="206"/>
        <v>0</v>
      </c>
      <c r="FK223" s="217">
        <f t="shared" ca="1" si="206"/>
        <v>0</v>
      </c>
      <c r="FL223" s="217">
        <f t="shared" ref="FL223:FO224" ca="1" si="208">SUMIFS($AA223:$EP223,$AA$129:$EP$129,INDIRECT(ADDRESS(129,COLUMN())))</f>
        <v>0</v>
      </c>
      <c r="FM223" s="216">
        <f t="shared" ca="1" si="208"/>
        <v>0</v>
      </c>
      <c r="FN223" s="216">
        <f t="shared" ca="1" si="208"/>
        <v>0</v>
      </c>
      <c r="FO223" s="216">
        <f t="shared" ca="1" si="208"/>
        <v>0</v>
      </c>
      <c r="FP223" s="218">
        <f t="shared" ca="1" si="181"/>
        <v>1.9251336898395725E-3</v>
      </c>
      <c r="FQ223" s="219">
        <f t="shared" si="170"/>
        <v>0</v>
      </c>
      <c r="FR223" s="217">
        <f>SUMIFS(TME_MTD_Dist[Sell_WHS_QTY],TME_MTD_Dist[Dist_Name],master_Daily!$X223,TME_MTD_Dist[Brand],master_Daily!$Y223)/50000
 + SUMIFS(TME_MTD_Dist[Sell_RTL_QTY],TME_MTD_Dist[Dist_Name],master_Daily!$X223,TME_MTD_Dist[Brand],master_Daily!$Y223)/50000</f>
        <v>0</v>
      </c>
      <c r="FS223" s="219">
        <f t="shared" si="207"/>
        <v>0</v>
      </c>
    </row>
    <row r="224" spans="20:175" s="154" customFormat="1" hidden="1" outlineLevel="1">
      <c r="T224" s="155"/>
      <c r="U224" s="156"/>
      <c r="X224" s="213" t="s">
        <v>213</v>
      </c>
      <c r="Y224" s="214" t="s">
        <v>46</v>
      </c>
      <c r="Z224" s="214"/>
      <c r="AA224" s="215">
        <f t="shared" si="182"/>
        <v>0.43880000000000002</v>
      </c>
      <c r="AB224" s="216">
        <f t="shared" si="183"/>
        <v>0</v>
      </c>
      <c r="AC224" s="215">
        <v>0.43880000000000002</v>
      </c>
      <c r="AD224" s="217">
        <v>0.43880000000000002</v>
      </c>
      <c r="AE224" s="217"/>
      <c r="AF224" s="217"/>
      <c r="AG224" s="215"/>
      <c r="AH224" s="217"/>
      <c r="AI224" s="217"/>
      <c r="AJ224" s="217"/>
      <c r="AK224" s="215">
        <f t="shared" si="184"/>
        <v>0.42</v>
      </c>
      <c r="AL224" s="216">
        <f t="shared" si="185"/>
        <v>0</v>
      </c>
      <c r="AM224" s="215">
        <v>0.42</v>
      </c>
      <c r="AN224" s="217">
        <v>0.42</v>
      </c>
      <c r="AO224" s="217"/>
      <c r="AP224" s="217"/>
      <c r="AQ224" s="215"/>
      <c r="AR224" s="217"/>
      <c r="AS224" s="217"/>
      <c r="AT224" s="217"/>
      <c r="AU224" s="215">
        <f t="shared" si="186"/>
        <v>0.36</v>
      </c>
      <c r="AV224" s="216">
        <f t="shared" si="187"/>
        <v>0</v>
      </c>
      <c r="AW224" s="215">
        <v>0.36</v>
      </c>
      <c r="AX224" s="217">
        <v>0.36</v>
      </c>
      <c r="AY224" s="217"/>
      <c r="AZ224" s="217"/>
      <c r="BA224" s="215"/>
      <c r="BB224" s="217"/>
      <c r="BC224" s="217"/>
      <c r="BD224" s="217"/>
      <c r="BE224" s="215">
        <f t="shared" si="188"/>
        <v>0.34399999999999997</v>
      </c>
      <c r="BF224" s="216">
        <f t="shared" si="189"/>
        <v>0</v>
      </c>
      <c r="BG224" s="215">
        <v>0.34399999999999997</v>
      </c>
      <c r="BH224" s="217">
        <v>0.34399999999999997</v>
      </c>
      <c r="BI224" s="217"/>
      <c r="BJ224" s="217"/>
      <c r="BK224" s="215"/>
      <c r="BL224" s="217"/>
      <c r="BM224" s="217"/>
      <c r="BN224" s="217"/>
      <c r="BO224" s="215">
        <f t="shared" si="190"/>
        <v>0.42</v>
      </c>
      <c r="BP224" s="216">
        <f t="shared" si="191"/>
        <v>0</v>
      </c>
      <c r="BQ224" s="215">
        <v>0.42</v>
      </c>
      <c r="BR224" s="217">
        <v>0.42</v>
      </c>
      <c r="BS224" s="217"/>
      <c r="BT224" s="217"/>
      <c r="BU224" s="215"/>
      <c r="BV224" s="217"/>
      <c r="BW224" s="217"/>
      <c r="BX224" s="217"/>
      <c r="BY224" s="215">
        <f t="shared" si="192"/>
        <v>0</v>
      </c>
      <c r="BZ224" s="216">
        <f t="shared" si="193"/>
        <v>0</v>
      </c>
      <c r="CA224" s="215">
        <v>0</v>
      </c>
      <c r="CB224" s="217">
        <v>0</v>
      </c>
      <c r="CC224" s="217"/>
      <c r="CD224" s="217"/>
      <c r="CE224" s="215"/>
      <c r="CF224" s="217"/>
      <c r="CG224" s="217"/>
      <c r="CH224" s="217"/>
      <c r="CI224" s="215">
        <f t="shared" si="194"/>
        <v>0</v>
      </c>
      <c r="CJ224" s="216">
        <f t="shared" si="195"/>
        <v>0</v>
      </c>
      <c r="CK224" s="215"/>
      <c r="CL224" s="217"/>
      <c r="CM224" s="217"/>
      <c r="CN224" s="217"/>
      <c r="CO224" s="215"/>
      <c r="CP224" s="217"/>
      <c r="CQ224" s="217"/>
      <c r="CR224" s="217"/>
      <c r="CS224" s="215">
        <f t="shared" si="196"/>
        <v>0</v>
      </c>
      <c r="CT224" s="216">
        <f t="shared" si="197"/>
        <v>0</v>
      </c>
      <c r="CU224" s="215"/>
      <c r="CV224" s="217"/>
      <c r="CW224" s="217"/>
      <c r="CX224" s="217"/>
      <c r="CY224" s="215"/>
      <c r="CZ224" s="217"/>
      <c r="DA224" s="217"/>
      <c r="DB224" s="217"/>
      <c r="DC224" s="215">
        <f t="shared" si="198"/>
        <v>0</v>
      </c>
      <c r="DD224" s="216">
        <f t="shared" si="199"/>
        <v>0</v>
      </c>
      <c r="DE224" s="215"/>
      <c r="DF224" s="217"/>
      <c r="DG224" s="217"/>
      <c r="DH224" s="217"/>
      <c r="DI224" s="215"/>
      <c r="DJ224" s="217"/>
      <c r="DK224" s="217"/>
      <c r="DL224" s="217"/>
      <c r="DM224" s="215">
        <f t="shared" si="200"/>
        <v>0</v>
      </c>
      <c r="DN224" s="216">
        <f t="shared" si="201"/>
        <v>0</v>
      </c>
      <c r="DO224" s="215"/>
      <c r="DP224" s="217"/>
      <c r="DQ224" s="217"/>
      <c r="DR224" s="217"/>
      <c r="DS224" s="215"/>
      <c r="DT224" s="217"/>
      <c r="DU224" s="217"/>
      <c r="DV224" s="217"/>
      <c r="DW224" s="215">
        <f t="shared" si="202"/>
        <v>0</v>
      </c>
      <c r="DX224" s="216">
        <f t="shared" si="203"/>
        <v>0</v>
      </c>
      <c r="DY224" s="215"/>
      <c r="DZ224" s="217"/>
      <c r="EA224" s="217"/>
      <c r="EB224" s="217"/>
      <c r="EC224" s="215"/>
      <c r="ED224" s="217"/>
      <c r="EE224" s="217"/>
      <c r="EF224" s="217"/>
      <c r="EG224" s="215">
        <f t="shared" si="204"/>
        <v>0</v>
      </c>
      <c r="EH224" s="216">
        <f t="shared" si="205"/>
        <v>0</v>
      </c>
      <c r="EI224" s="215"/>
      <c r="EJ224" s="217"/>
      <c r="EK224" s="217"/>
      <c r="EL224" s="217"/>
      <c r="EM224" s="215"/>
      <c r="EN224" s="217"/>
      <c r="EO224" s="217"/>
      <c r="EP224" s="217"/>
      <c r="EQ224" s="385"/>
      <c r="ER224" s="217">
        <f>SUM(ET224:EX224)</f>
        <v>0</v>
      </c>
      <c r="ES224" s="217">
        <f>IFERROR(SUMIFS(Daily_Vol_yesterday[Order Quantity],Daily_Vol_yesterday[Cust_Cat.cust_channel],master_Daily!X224,Daily_Vol_yesterday[Map_Product.TME_Brand],master_Daily!Y224)/50000,0)</f>
        <v>0</v>
      </c>
      <c r="ET224" s="217"/>
      <c r="EU224" s="217"/>
      <c r="EV224" s="216"/>
      <c r="EW224" s="217"/>
      <c r="EX224" s="217"/>
      <c r="EY224" s="217"/>
      <c r="EZ224" s="217">
        <f>SUM(FA224:FC224)</f>
        <v>0</v>
      </c>
      <c r="FA224" s="217">
        <f>IFERROR(SUM(SUMIFS(Weekly_Vol[Quantity],Weekly_Vol[Cust_Cat.cust_channel],master_Daily!X224,Weekly_Vol[Map_Product.TME_Brand],master_Daily!Y224),SUMIFS(Daily_Vol[Order Quantity],Daily_Vol[Cust_Cat.cust_channel],master_Daily!X224,Daily_Vol[Map_Product.TME_Brand],master_Daily!Y224))/50000,0)</f>
        <v>0</v>
      </c>
      <c r="FB224" s="217"/>
      <c r="FC224" s="217"/>
      <c r="FD224" s="217"/>
      <c r="FE224" s="217"/>
      <c r="FF224" s="217"/>
      <c r="FG224" s="217"/>
      <c r="FH224" s="217">
        <f ca="1">SUM(FI224:FK224)</f>
        <v>1.9827999999999997</v>
      </c>
      <c r="FI224" s="217">
        <f t="shared" ca="1" si="206"/>
        <v>1.9827999999999997</v>
      </c>
      <c r="FJ224" s="217">
        <f t="shared" ca="1" si="206"/>
        <v>0</v>
      </c>
      <c r="FK224" s="217">
        <f t="shared" ca="1" si="206"/>
        <v>0</v>
      </c>
      <c r="FL224" s="217">
        <f t="shared" ca="1" si="208"/>
        <v>0</v>
      </c>
      <c r="FM224" s="216">
        <f t="shared" ca="1" si="208"/>
        <v>0</v>
      </c>
      <c r="FN224" s="216">
        <f t="shared" ca="1" si="208"/>
        <v>0</v>
      </c>
      <c r="FO224" s="216">
        <f t="shared" ca="1" si="208"/>
        <v>0</v>
      </c>
      <c r="FP224" s="218">
        <f t="shared" ca="1" si="181"/>
        <v>0.21206417112299464</v>
      </c>
      <c r="FQ224" s="219">
        <f t="shared" si="170"/>
        <v>0</v>
      </c>
      <c r="FR224" s="217">
        <f>SUMIFS(TME_MTD_Dist[Sell_WHS_QTY],TME_MTD_Dist[Dist_Name],master_Daily!$X224,TME_MTD_Dist[Brand],master_Daily!$Y224)/50000
 + SUMIFS(TME_MTD_Dist[Sell_RTL_QTY],TME_MTD_Dist[Dist_Name],master_Daily!$X224,TME_MTD_Dist[Brand],master_Daily!$Y224)/50000</f>
        <v>0</v>
      </c>
      <c r="FS224" s="219">
        <f t="shared" si="207"/>
        <v>0</v>
      </c>
    </row>
    <row r="225" spans="20:175" s="154" customFormat="1" hidden="1" outlineLevel="1">
      <c r="T225" s="155"/>
      <c r="U225" s="156"/>
      <c r="X225" s="213" t="s">
        <v>213</v>
      </c>
      <c r="Y225" s="214" t="s">
        <v>263</v>
      </c>
      <c r="Z225" s="214"/>
      <c r="AA225" s="215">
        <f t="shared" si="182"/>
        <v>1.2436</v>
      </c>
      <c r="AB225" s="216">
        <f t="shared" si="183"/>
        <v>0</v>
      </c>
      <c r="AC225" s="215">
        <v>1.2436</v>
      </c>
      <c r="AD225" s="217">
        <v>1.2436</v>
      </c>
      <c r="AE225" s="217"/>
      <c r="AF225" s="217"/>
      <c r="AG225" s="215"/>
      <c r="AH225" s="217"/>
      <c r="AI225" s="217"/>
      <c r="AJ225" s="217"/>
      <c r="AK225" s="215">
        <f t="shared" si="184"/>
        <v>1.0680000000000001</v>
      </c>
      <c r="AL225" s="216">
        <f t="shared" si="185"/>
        <v>0</v>
      </c>
      <c r="AM225" s="215">
        <v>1.0680000000000001</v>
      </c>
      <c r="AN225" s="217">
        <v>1.0680000000000001</v>
      </c>
      <c r="AO225" s="217"/>
      <c r="AP225" s="217"/>
      <c r="AQ225" s="215"/>
      <c r="AR225" s="217"/>
      <c r="AS225" s="217"/>
      <c r="AT225" s="217"/>
      <c r="AU225" s="215">
        <f t="shared" si="186"/>
        <v>1.4330000000000001</v>
      </c>
      <c r="AV225" s="216">
        <f t="shared" si="187"/>
        <v>0</v>
      </c>
      <c r="AW225" s="215">
        <v>1.4330000000000001</v>
      </c>
      <c r="AX225" s="217">
        <v>1.4330000000000001</v>
      </c>
      <c r="AY225" s="217"/>
      <c r="AZ225" s="217"/>
      <c r="BA225" s="215"/>
      <c r="BB225" s="217"/>
      <c r="BC225" s="217"/>
      <c r="BD225" s="217"/>
      <c r="BE225" s="215">
        <f t="shared" si="188"/>
        <v>0.90600000000000003</v>
      </c>
      <c r="BF225" s="216">
        <f t="shared" si="189"/>
        <v>0</v>
      </c>
      <c r="BG225" s="215">
        <v>0.90600000000000003</v>
      </c>
      <c r="BH225" s="217">
        <v>0.90600000000000003</v>
      </c>
      <c r="BI225" s="217"/>
      <c r="BJ225" s="217"/>
      <c r="BK225" s="215"/>
      <c r="BL225" s="217"/>
      <c r="BM225" s="217"/>
      <c r="BN225" s="217"/>
      <c r="BO225" s="215">
        <f t="shared" si="190"/>
        <v>1.3</v>
      </c>
      <c r="BP225" s="216">
        <f t="shared" si="191"/>
        <v>0</v>
      </c>
      <c r="BQ225" s="215">
        <v>1.3</v>
      </c>
      <c r="BR225" s="217">
        <v>1.3</v>
      </c>
      <c r="BS225" s="217"/>
      <c r="BT225" s="217"/>
      <c r="BU225" s="215"/>
      <c r="BV225" s="217"/>
      <c r="BW225" s="217"/>
      <c r="BX225" s="217"/>
      <c r="BY225" s="215">
        <f t="shared" si="192"/>
        <v>0.24299999999999999</v>
      </c>
      <c r="BZ225" s="216">
        <f t="shared" si="193"/>
        <v>0</v>
      </c>
      <c r="CA225" s="215">
        <v>0.24299999999999999</v>
      </c>
      <c r="CB225" s="217">
        <v>0.24299999999999999</v>
      </c>
      <c r="CC225" s="217"/>
      <c r="CD225" s="217"/>
      <c r="CE225" s="215"/>
      <c r="CF225" s="217"/>
      <c r="CG225" s="217"/>
      <c r="CH225" s="217"/>
      <c r="CI225" s="215">
        <f t="shared" si="194"/>
        <v>0</v>
      </c>
      <c r="CJ225" s="216">
        <f t="shared" si="195"/>
        <v>0</v>
      </c>
      <c r="CK225" s="215"/>
      <c r="CL225" s="217"/>
      <c r="CM225" s="217"/>
      <c r="CN225" s="217"/>
      <c r="CO225" s="215"/>
      <c r="CP225" s="217"/>
      <c r="CQ225" s="217"/>
      <c r="CR225" s="217"/>
      <c r="CS225" s="215">
        <f t="shared" si="196"/>
        <v>0</v>
      </c>
      <c r="CT225" s="216">
        <f t="shared" si="197"/>
        <v>0</v>
      </c>
      <c r="CU225" s="215"/>
      <c r="CV225" s="217"/>
      <c r="CW225" s="217"/>
      <c r="CX225" s="217"/>
      <c r="CY225" s="215"/>
      <c r="CZ225" s="217"/>
      <c r="DA225" s="217"/>
      <c r="DB225" s="217"/>
      <c r="DC225" s="215">
        <f t="shared" si="198"/>
        <v>0</v>
      </c>
      <c r="DD225" s="216">
        <f t="shared" si="199"/>
        <v>0</v>
      </c>
      <c r="DE225" s="215"/>
      <c r="DF225" s="217"/>
      <c r="DG225" s="217"/>
      <c r="DH225" s="217"/>
      <c r="DI225" s="215"/>
      <c r="DJ225" s="217"/>
      <c r="DK225" s="217"/>
      <c r="DL225" s="217"/>
      <c r="DM225" s="215">
        <f t="shared" si="200"/>
        <v>0</v>
      </c>
      <c r="DN225" s="216">
        <f t="shared" si="201"/>
        <v>0</v>
      </c>
      <c r="DO225" s="215"/>
      <c r="DP225" s="217"/>
      <c r="DQ225" s="217"/>
      <c r="DR225" s="217"/>
      <c r="DS225" s="215"/>
      <c r="DT225" s="217"/>
      <c r="DU225" s="217"/>
      <c r="DV225" s="217"/>
      <c r="DW225" s="215">
        <f t="shared" si="202"/>
        <v>0</v>
      </c>
      <c r="DX225" s="216">
        <f t="shared" si="203"/>
        <v>0</v>
      </c>
      <c r="DY225" s="215"/>
      <c r="DZ225" s="217"/>
      <c r="EA225" s="217"/>
      <c r="EB225" s="217"/>
      <c r="EC225" s="215"/>
      <c r="ED225" s="217"/>
      <c r="EE225" s="217"/>
      <c r="EF225" s="217"/>
      <c r="EG225" s="215">
        <f t="shared" si="204"/>
        <v>0</v>
      </c>
      <c r="EH225" s="216">
        <f t="shared" si="205"/>
        <v>0</v>
      </c>
      <c r="EI225" s="215"/>
      <c r="EJ225" s="217"/>
      <c r="EK225" s="217"/>
      <c r="EL225" s="217"/>
      <c r="EM225" s="215"/>
      <c r="EN225" s="217"/>
      <c r="EO225" s="217"/>
      <c r="EP225" s="217"/>
      <c r="EQ225" s="385"/>
      <c r="ER225" s="217">
        <f>SUM(ET225:EX225)</f>
        <v>0</v>
      </c>
      <c r="ES225" s="217">
        <f>IFERROR(SUMIFS(Daily_Vol_yesterday[Order Quantity],Daily_Vol_yesterday[Cust_Cat.cust_channel],master_Daily!X225,Daily_Vol_yesterday[Map_Product.TME_Brand],"CM")/50000,0)</f>
        <v>0</v>
      </c>
      <c r="ET225" s="217"/>
      <c r="EU225" s="217"/>
      <c r="EV225" s="216"/>
      <c r="EW225" s="217"/>
      <c r="EX225" s="217"/>
      <c r="EY225" s="217"/>
      <c r="EZ225" s="217">
        <f>SUM(FA225:FC225)</f>
        <v>0.24299999999999999</v>
      </c>
      <c r="FA225" s="217">
        <f>IFERROR(SUM(SUMIFS(Weekly_Vol[Quantity],Weekly_Vol[Cust_Cat.cust_channel],master_Daily!X225,Weekly_Vol[Map_Product.TME_Brand],"CM"),SUMIFS(Daily_Vol[Order Quantity],Daily_Vol[Cust_Cat.cust_channel],master_Daily!X225,Daily_Vol[Map_Product.TME_Brand],"CM"))/50000,0)</f>
        <v>0.24299999999999999</v>
      </c>
      <c r="FB225" s="217"/>
      <c r="FC225" s="217"/>
      <c r="FD225" s="217"/>
      <c r="FE225" s="217"/>
      <c r="FF225" s="217"/>
      <c r="FG225" s="217"/>
      <c r="FH225" s="217">
        <f ca="1">SUM(FI225:FK225)</f>
        <v>6.1936</v>
      </c>
      <c r="FI225" s="217">
        <f t="shared" ca="1" si="206"/>
        <v>6.1936</v>
      </c>
      <c r="FJ225" s="217">
        <f t="shared" ca="1" si="206"/>
        <v>0</v>
      </c>
      <c r="FK225" s="217">
        <f t="shared" ca="1" si="206"/>
        <v>0</v>
      </c>
      <c r="FL225" s="217">
        <f ca="1">SUMIFS($AA225:$EP225,$AA$129:$EP$129,INDIRECT(ADDRESS(129,COLUMN())))</f>
        <v>0</v>
      </c>
      <c r="FM225" s="216">
        <f t="shared" ref="FM225:FO226" si="209">SUMIFS(AF225:EU225,$AA$129:$EP$129,$FH$129)</f>
        <v>0</v>
      </c>
      <c r="FN225" s="216">
        <f t="shared" si="209"/>
        <v>0</v>
      </c>
      <c r="FO225" s="216">
        <f t="shared" si="209"/>
        <v>0</v>
      </c>
      <c r="FP225" s="218">
        <f t="shared" ca="1" si="181"/>
        <v>0.66241711229946532</v>
      </c>
      <c r="FQ225" s="219">
        <f t="shared" si="170"/>
        <v>0</v>
      </c>
      <c r="FR225" s="217">
        <f>SUMIFS(TME_MTD_Dist[Sell_WHS_QTY],TME_MTD_Dist[Dist_Name],master_Daily!$X225,TME_MTD_Dist[Brand],master_Daily!$Y225)/50000
 + SUMIFS(TME_MTD_Dist[Sell_RTL_QTY],TME_MTD_Dist[Dist_Name],master_Daily!$X225,TME_MTD_Dist[Brand],master_Daily!$Y225)/50000</f>
        <v>0</v>
      </c>
      <c r="FS225" s="219">
        <f t="shared" si="207"/>
        <v>0</v>
      </c>
    </row>
    <row r="226" spans="20:175" s="154" customFormat="1" hidden="1" outlineLevel="1">
      <c r="T226" s="155"/>
      <c r="U226" s="156"/>
      <c r="X226" s="213" t="s">
        <v>213</v>
      </c>
      <c r="Y226" s="214" t="s">
        <v>264</v>
      </c>
      <c r="Z226" s="214"/>
      <c r="AA226" s="215">
        <f t="shared" si="182"/>
        <v>0.187</v>
      </c>
      <c r="AB226" s="216">
        <f t="shared" si="183"/>
        <v>0</v>
      </c>
      <c r="AC226" s="215">
        <v>0.187</v>
      </c>
      <c r="AD226" s="217">
        <v>0.187</v>
      </c>
      <c r="AE226" s="217"/>
      <c r="AF226" s="217"/>
      <c r="AG226" s="215"/>
      <c r="AH226" s="217"/>
      <c r="AI226" s="217"/>
      <c r="AJ226" s="217"/>
      <c r="AK226" s="215">
        <f t="shared" si="184"/>
        <v>0.24</v>
      </c>
      <c r="AL226" s="216">
        <f t="shared" si="185"/>
        <v>0</v>
      </c>
      <c r="AM226" s="215">
        <v>0.24</v>
      </c>
      <c r="AN226" s="217">
        <v>0.24</v>
      </c>
      <c r="AO226" s="217"/>
      <c r="AP226" s="217"/>
      <c r="AQ226" s="215"/>
      <c r="AR226" s="217"/>
      <c r="AS226" s="217"/>
      <c r="AT226" s="217"/>
      <c r="AU226" s="215">
        <f t="shared" si="186"/>
        <v>0.16</v>
      </c>
      <c r="AV226" s="216">
        <f t="shared" si="187"/>
        <v>0</v>
      </c>
      <c r="AW226" s="215">
        <v>0.16</v>
      </c>
      <c r="AX226" s="217">
        <v>0.16</v>
      </c>
      <c r="AY226" s="217"/>
      <c r="AZ226" s="217"/>
      <c r="BA226" s="215"/>
      <c r="BB226" s="217"/>
      <c r="BC226" s="217"/>
      <c r="BD226" s="217"/>
      <c r="BE226" s="215">
        <f t="shared" si="188"/>
        <v>0.188</v>
      </c>
      <c r="BF226" s="216">
        <f t="shared" si="189"/>
        <v>0</v>
      </c>
      <c r="BG226" s="215">
        <v>0.188</v>
      </c>
      <c r="BH226" s="217">
        <v>0.188</v>
      </c>
      <c r="BI226" s="217"/>
      <c r="BJ226" s="217"/>
      <c r="BK226" s="215"/>
      <c r="BL226" s="217"/>
      <c r="BM226" s="217"/>
      <c r="BN226" s="217"/>
      <c r="BO226" s="215">
        <f t="shared" si="190"/>
        <v>0.22</v>
      </c>
      <c r="BP226" s="216">
        <f t="shared" si="191"/>
        <v>0</v>
      </c>
      <c r="BQ226" s="215">
        <v>0.22</v>
      </c>
      <c r="BR226" s="217">
        <v>0.22</v>
      </c>
      <c r="BS226" s="217"/>
      <c r="BT226" s="217"/>
      <c r="BU226" s="215"/>
      <c r="BV226" s="217"/>
      <c r="BW226" s="217"/>
      <c r="BX226" s="217"/>
      <c r="BY226" s="215">
        <f t="shared" si="192"/>
        <v>0.05</v>
      </c>
      <c r="BZ226" s="216">
        <f t="shared" si="193"/>
        <v>0</v>
      </c>
      <c r="CA226" s="215">
        <v>0.05</v>
      </c>
      <c r="CB226" s="217">
        <v>0.05</v>
      </c>
      <c r="CC226" s="217"/>
      <c r="CD226" s="217"/>
      <c r="CE226" s="215"/>
      <c r="CF226" s="217"/>
      <c r="CG226" s="217"/>
      <c r="CH226" s="217"/>
      <c r="CI226" s="215">
        <f t="shared" si="194"/>
        <v>0</v>
      </c>
      <c r="CJ226" s="216">
        <f t="shared" si="195"/>
        <v>0</v>
      </c>
      <c r="CK226" s="215"/>
      <c r="CL226" s="217"/>
      <c r="CM226" s="217"/>
      <c r="CN226" s="217"/>
      <c r="CO226" s="215"/>
      <c r="CP226" s="217"/>
      <c r="CQ226" s="217"/>
      <c r="CR226" s="217"/>
      <c r="CS226" s="215">
        <f t="shared" si="196"/>
        <v>0</v>
      </c>
      <c r="CT226" s="216">
        <f t="shared" si="197"/>
        <v>0</v>
      </c>
      <c r="CU226" s="215"/>
      <c r="CV226" s="217"/>
      <c r="CW226" s="217"/>
      <c r="CX226" s="217"/>
      <c r="CY226" s="215"/>
      <c r="CZ226" s="217"/>
      <c r="DA226" s="217"/>
      <c r="DB226" s="217"/>
      <c r="DC226" s="215">
        <f t="shared" si="198"/>
        <v>0</v>
      </c>
      <c r="DD226" s="216">
        <f t="shared" si="199"/>
        <v>0</v>
      </c>
      <c r="DE226" s="215"/>
      <c r="DF226" s="217"/>
      <c r="DG226" s="217"/>
      <c r="DH226" s="217"/>
      <c r="DI226" s="215"/>
      <c r="DJ226" s="217"/>
      <c r="DK226" s="217"/>
      <c r="DL226" s="217"/>
      <c r="DM226" s="215">
        <f t="shared" si="200"/>
        <v>0</v>
      </c>
      <c r="DN226" s="216">
        <f t="shared" si="201"/>
        <v>0</v>
      </c>
      <c r="DO226" s="215"/>
      <c r="DP226" s="217"/>
      <c r="DQ226" s="217"/>
      <c r="DR226" s="217"/>
      <c r="DS226" s="215"/>
      <c r="DT226" s="217"/>
      <c r="DU226" s="217"/>
      <c r="DV226" s="217"/>
      <c r="DW226" s="215">
        <f t="shared" si="202"/>
        <v>0</v>
      </c>
      <c r="DX226" s="216">
        <f t="shared" si="203"/>
        <v>0</v>
      </c>
      <c r="DY226" s="215"/>
      <c r="DZ226" s="217"/>
      <c r="EA226" s="217"/>
      <c r="EB226" s="217"/>
      <c r="EC226" s="215"/>
      <c r="ED226" s="217"/>
      <c r="EE226" s="217"/>
      <c r="EF226" s="217"/>
      <c r="EG226" s="215">
        <f t="shared" si="204"/>
        <v>0</v>
      </c>
      <c r="EH226" s="216">
        <f t="shared" si="205"/>
        <v>0</v>
      </c>
      <c r="EI226" s="215"/>
      <c r="EJ226" s="217"/>
      <c r="EK226" s="217"/>
      <c r="EL226" s="217"/>
      <c r="EM226" s="215"/>
      <c r="EN226" s="217"/>
      <c r="EO226" s="217"/>
      <c r="EP226" s="217"/>
      <c r="EQ226" s="385"/>
      <c r="ER226" s="217">
        <f>SUM(ET226:EX226)</f>
        <v>0</v>
      </c>
      <c r="ES226" s="217">
        <f>IFERROR(SUMIFS(Daily_Vol_yesterday[Order Quantity],Daily_Vol_yesterday[Cust_Cat.cust_channel],master_Daily!X226,Daily_Vol_yesterday[Map_Product.TME_Brand],"CMHD")/50000,0)</f>
        <v>0</v>
      </c>
      <c r="ET226" s="217"/>
      <c r="EU226" s="217"/>
      <c r="EV226" s="216"/>
      <c r="EW226" s="217"/>
      <c r="EX226" s="217"/>
      <c r="EY226" s="217"/>
      <c r="EZ226" s="217">
        <f>SUM(FA226:FC226)</f>
        <v>0.05</v>
      </c>
      <c r="FA226" s="217">
        <f>IFERROR(SUM(SUMIFS(Weekly_Vol[Quantity],Weekly_Vol[Cust_Cat.cust_channel],master_Daily!X226,Weekly_Vol[Map_Product.TME_Brand],"CMHD"),SUMIFS(Daily_Vol[Order Quantity],Daily_Vol[Cust_Cat.cust_channel],master_Daily!X226,Daily_Vol[Map_Product.TME_Brand],"CMHD"))/50000,0)</f>
        <v>0.05</v>
      </c>
      <c r="FB226" s="217"/>
      <c r="FC226" s="217"/>
      <c r="FD226" s="217"/>
      <c r="FE226" s="217"/>
      <c r="FF226" s="217"/>
      <c r="FG226" s="217"/>
      <c r="FH226" s="217">
        <f ca="1">SUM(FI226:FK226)</f>
        <v>1.0449999999999999</v>
      </c>
      <c r="FI226" s="217">
        <f t="shared" ca="1" si="206"/>
        <v>1.0449999999999999</v>
      </c>
      <c r="FJ226" s="217">
        <f t="shared" ca="1" si="206"/>
        <v>0</v>
      </c>
      <c r="FK226" s="217">
        <f t="shared" ca="1" si="206"/>
        <v>0</v>
      </c>
      <c r="FL226" s="217">
        <f ca="1">SUMIFS($AA226:$EP226,$AA$129:$EP$129,INDIRECT(ADDRESS(129,COLUMN())))</f>
        <v>0</v>
      </c>
      <c r="FM226" s="216">
        <f t="shared" si="209"/>
        <v>0</v>
      </c>
      <c r="FN226" s="216">
        <f t="shared" si="209"/>
        <v>0</v>
      </c>
      <c r="FO226" s="216">
        <f t="shared" si="209"/>
        <v>0</v>
      </c>
      <c r="FP226" s="218">
        <f t="shared" ca="1" si="181"/>
        <v>0.11176470588235293</v>
      </c>
      <c r="FQ226" s="219">
        <f t="shared" si="170"/>
        <v>0</v>
      </c>
      <c r="FR226" s="217">
        <f>SUMIFS(TME_MTD_Dist[Sell_WHS_QTY],TME_MTD_Dist[Dist_Name],master_Daily!$X226,TME_MTD_Dist[Brand],master_Daily!$Y226)/50000
 + SUMIFS(TME_MTD_Dist[Sell_RTL_QTY],TME_MTD_Dist[Dist_Name],master_Daily!$X226,TME_MTD_Dist[Brand],master_Daily!$Y226)/50000</f>
        <v>0</v>
      </c>
      <c r="FS226" s="219">
        <f t="shared" si="207"/>
        <v>0</v>
      </c>
    </row>
    <row r="227" spans="20:175" s="154" customFormat="1" collapsed="1">
      <c r="T227" s="155"/>
      <c r="U227" s="156"/>
      <c r="X227" s="220" t="s">
        <v>215</v>
      </c>
      <c r="Y227" s="221"/>
      <c r="Z227" s="221"/>
      <c r="AA227" s="222">
        <f t="shared" si="182"/>
        <v>1.9000000000000001</v>
      </c>
      <c r="AB227" s="222">
        <f t="shared" si="183"/>
        <v>0</v>
      </c>
      <c r="AC227" s="222">
        <v>1.9000000000000001</v>
      </c>
      <c r="AD227" s="222">
        <v>1.9000000000000001</v>
      </c>
      <c r="AE227" s="222">
        <v>0</v>
      </c>
      <c r="AF227" s="222">
        <v>0</v>
      </c>
      <c r="AG227" s="222">
        <v>0</v>
      </c>
      <c r="AH227" s="222">
        <v>0</v>
      </c>
      <c r="AI227" s="222">
        <v>0</v>
      </c>
      <c r="AJ227" s="222">
        <v>0</v>
      </c>
      <c r="AK227" s="222">
        <f t="shared" si="184"/>
        <v>1.75</v>
      </c>
      <c r="AL227" s="222">
        <f t="shared" si="185"/>
        <v>0</v>
      </c>
      <c r="AM227" s="222">
        <v>1.75</v>
      </c>
      <c r="AN227" s="222">
        <v>1.75</v>
      </c>
      <c r="AO227" s="222">
        <v>0</v>
      </c>
      <c r="AP227" s="222">
        <v>0</v>
      </c>
      <c r="AQ227" s="222">
        <v>0</v>
      </c>
      <c r="AR227" s="222">
        <v>0</v>
      </c>
      <c r="AS227" s="222">
        <v>0</v>
      </c>
      <c r="AT227" s="222">
        <v>0</v>
      </c>
      <c r="AU227" s="222">
        <f t="shared" si="186"/>
        <v>1.98</v>
      </c>
      <c r="AV227" s="222">
        <f t="shared" si="187"/>
        <v>0</v>
      </c>
      <c r="AW227" s="222">
        <v>1.98</v>
      </c>
      <c r="AX227" s="222">
        <v>1.98</v>
      </c>
      <c r="AY227" s="222">
        <v>0</v>
      </c>
      <c r="AZ227" s="222">
        <v>0</v>
      </c>
      <c r="BA227" s="222">
        <v>0</v>
      </c>
      <c r="BB227" s="222">
        <v>0</v>
      </c>
      <c r="BC227" s="222">
        <v>0</v>
      </c>
      <c r="BD227" s="222">
        <v>0</v>
      </c>
      <c r="BE227" s="222">
        <f t="shared" si="188"/>
        <v>1.45</v>
      </c>
      <c r="BF227" s="222">
        <f t="shared" si="189"/>
        <v>0</v>
      </c>
      <c r="BG227" s="222">
        <v>1.45</v>
      </c>
      <c r="BH227" s="222">
        <v>1.45</v>
      </c>
      <c r="BI227" s="222">
        <v>0</v>
      </c>
      <c r="BJ227" s="222">
        <v>0</v>
      </c>
      <c r="BK227" s="222">
        <v>0</v>
      </c>
      <c r="BL227" s="222">
        <v>0</v>
      </c>
      <c r="BM227" s="222">
        <v>0</v>
      </c>
      <c r="BN227" s="222">
        <v>0</v>
      </c>
      <c r="BO227" s="222">
        <f t="shared" si="190"/>
        <v>1.97</v>
      </c>
      <c r="BP227" s="222">
        <f t="shared" si="191"/>
        <v>0</v>
      </c>
      <c r="BQ227" s="222">
        <v>1.97</v>
      </c>
      <c r="BR227" s="222">
        <v>1.97</v>
      </c>
      <c r="BS227" s="222">
        <v>0</v>
      </c>
      <c r="BT227" s="222">
        <v>0</v>
      </c>
      <c r="BU227" s="222">
        <v>0</v>
      </c>
      <c r="BV227" s="222">
        <v>0</v>
      </c>
      <c r="BW227" s="222">
        <v>0</v>
      </c>
      <c r="BX227" s="222">
        <v>0</v>
      </c>
      <c r="BY227" s="222">
        <f t="shared" si="192"/>
        <v>0.3</v>
      </c>
      <c r="BZ227" s="222">
        <f t="shared" si="193"/>
        <v>0</v>
      </c>
      <c r="CA227" s="222">
        <v>0.3</v>
      </c>
      <c r="CB227" s="222">
        <v>0.3</v>
      </c>
      <c r="CC227" s="222">
        <v>0</v>
      </c>
      <c r="CD227" s="222">
        <v>0</v>
      </c>
      <c r="CE227" s="222">
        <v>0</v>
      </c>
      <c r="CF227" s="222">
        <v>0</v>
      </c>
      <c r="CG227" s="222">
        <v>0</v>
      </c>
      <c r="CH227" s="222">
        <v>0</v>
      </c>
      <c r="CI227" s="222">
        <f t="shared" si="194"/>
        <v>0</v>
      </c>
      <c r="CJ227" s="222">
        <f t="shared" si="195"/>
        <v>0</v>
      </c>
      <c r="CK227" s="222"/>
      <c r="CL227" s="222"/>
      <c r="CM227" s="222"/>
      <c r="CN227" s="222"/>
      <c r="CO227" s="222"/>
      <c r="CP227" s="222">
        <v>0</v>
      </c>
      <c r="CQ227" s="222">
        <v>0</v>
      </c>
      <c r="CR227" s="222">
        <v>0</v>
      </c>
      <c r="CS227" s="222">
        <f t="shared" si="196"/>
        <v>0</v>
      </c>
      <c r="CT227" s="222">
        <f t="shared" si="197"/>
        <v>0</v>
      </c>
      <c r="CU227" s="222"/>
      <c r="CV227" s="222"/>
      <c r="CW227" s="222"/>
      <c r="CX227" s="222"/>
      <c r="CY227" s="222"/>
      <c r="CZ227" s="222">
        <v>0</v>
      </c>
      <c r="DA227" s="222">
        <v>0</v>
      </c>
      <c r="DB227" s="222">
        <v>0</v>
      </c>
      <c r="DC227" s="222">
        <f t="shared" si="198"/>
        <v>0</v>
      </c>
      <c r="DD227" s="222">
        <f t="shared" si="199"/>
        <v>0</v>
      </c>
      <c r="DE227" s="222"/>
      <c r="DF227" s="222"/>
      <c r="DG227" s="222"/>
      <c r="DH227" s="222"/>
      <c r="DI227" s="222"/>
      <c r="DJ227" s="222">
        <v>0</v>
      </c>
      <c r="DK227" s="222">
        <v>0</v>
      </c>
      <c r="DL227" s="222">
        <v>0</v>
      </c>
      <c r="DM227" s="222">
        <f t="shared" si="200"/>
        <v>0</v>
      </c>
      <c r="DN227" s="222">
        <f t="shared" si="201"/>
        <v>0</v>
      </c>
      <c r="DO227" s="222"/>
      <c r="DP227" s="222"/>
      <c r="DQ227" s="222"/>
      <c r="DR227" s="222"/>
      <c r="DS227" s="222"/>
      <c r="DT227" s="222">
        <v>0</v>
      </c>
      <c r="DU227" s="222">
        <v>0</v>
      </c>
      <c r="DV227" s="222">
        <v>0</v>
      </c>
      <c r="DW227" s="222">
        <f t="shared" si="202"/>
        <v>0</v>
      </c>
      <c r="DX227" s="222">
        <f t="shared" si="203"/>
        <v>0</v>
      </c>
      <c r="DY227" s="222"/>
      <c r="DZ227" s="222"/>
      <c r="EA227" s="222"/>
      <c r="EB227" s="222"/>
      <c r="EC227" s="222">
        <v>0</v>
      </c>
      <c r="ED227" s="222">
        <v>0</v>
      </c>
      <c r="EE227" s="222">
        <v>0</v>
      </c>
      <c r="EF227" s="222">
        <v>0</v>
      </c>
      <c r="EG227" s="222">
        <f t="shared" si="204"/>
        <v>0</v>
      </c>
      <c r="EH227" s="222">
        <f t="shared" si="205"/>
        <v>0</v>
      </c>
      <c r="EI227" s="222"/>
      <c r="EJ227" s="222"/>
      <c r="EK227" s="222"/>
      <c r="EL227" s="222"/>
      <c r="EM227" s="222">
        <v>0</v>
      </c>
      <c r="EN227" s="222">
        <v>0</v>
      </c>
      <c r="EO227" s="222">
        <v>0</v>
      </c>
      <c r="EP227" s="222">
        <v>0</v>
      </c>
      <c r="EQ227" s="223">
        <v>1.95</v>
      </c>
      <c r="ER227" s="222">
        <f>SUM(ER222:ER226)</f>
        <v>0</v>
      </c>
      <c r="ES227" s="222">
        <f>SUM(ES222:ES226)</f>
        <v>0</v>
      </c>
      <c r="ET227" s="222">
        <f>SUM(ET222:ET226)</f>
        <v>0</v>
      </c>
      <c r="EU227" s="222">
        <f>SUM(EU222:EU226)</f>
        <v>0</v>
      </c>
      <c r="EV227" s="222"/>
      <c r="EW227" s="222"/>
      <c r="EX227" s="222"/>
      <c r="EY227" s="222"/>
      <c r="EZ227" s="222">
        <f t="shared" ref="EZ227:FK227" si="210">SUM(EZ222:EZ226)</f>
        <v>0.3</v>
      </c>
      <c r="FA227" s="222">
        <f t="shared" si="210"/>
        <v>0.3</v>
      </c>
      <c r="FB227" s="222">
        <f t="shared" si="210"/>
        <v>0</v>
      </c>
      <c r="FC227" s="222">
        <f t="shared" si="210"/>
        <v>0</v>
      </c>
      <c r="FD227" s="222">
        <f t="shared" si="210"/>
        <v>0</v>
      </c>
      <c r="FE227" s="222">
        <f t="shared" si="210"/>
        <v>0</v>
      </c>
      <c r="FF227" s="222">
        <f t="shared" si="210"/>
        <v>0</v>
      </c>
      <c r="FG227" s="222">
        <f t="shared" si="210"/>
        <v>0</v>
      </c>
      <c r="FH227" s="222">
        <f t="shared" ca="1" si="210"/>
        <v>9.35</v>
      </c>
      <c r="FI227" s="222">
        <f t="shared" ca="1" si="210"/>
        <v>9.35</v>
      </c>
      <c r="FJ227" s="222">
        <f t="shared" ca="1" si="210"/>
        <v>0</v>
      </c>
      <c r="FK227" s="222">
        <f t="shared" ca="1" si="210"/>
        <v>0</v>
      </c>
      <c r="FL227" s="222">
        <f ca="1">SUM(FL222:FL225)</f>
        <v>0</v>
      </c>
      <c r="FM227" s="223">
        <f ca="1">SUM(FM222:FM226)</f>
        <v>0</v>
      </c>
      <c r="FN227" s="223">
        <f ca="1">SUM(FN222:FN226)</f>
        <v>0</v>
      </c>
      <c r="FO227" s="223">
        <f ca="1">SUM(FO222:FO226)</f>
        <v>0</v>
      </c>
      <c r="FP227" s="224">
        <f t="shared" ca="1" si="181"/>
        <v>1</v>
      </c>
      <c r="FQ227" s="225">
        <f t="shared" si="170"/>
        <v>0.15384615384615385</v>
      </c>
      <c r="FR227" s="222">
        <f>SUM(FR222:FR226)</f>
        <v>0</v>
      </c>
      <c r="FS227" s="225">
        <f t="shared" si="207"/>
        <v>0</v>
      </c>
    </row>
    <row r="228" spans="20:175" s="154" customFormat="1" hidden="1" outlineLevel="1">
      <c r="T228" s="155"/>
      <c r="U228" s="156"/>
      <c r="X228" s="213" t="s">
        <v>216</v>
      </c>
      <c r="Y228" s="214" t="s">
        <v>44</v>
      </c>
      <c r="Z228" s="214"/>
      <c r="AA228" s="215">
        <f t="shared" ref="AA228:AA251" si="211">SUM(AD228:AF228)</f>
        <v>1.4999999999999999E-2</v>
      </c>
      <c r="AB228" s="216">
        <f t="shared" ref="AB228:AB251" si="212">SUM(AH228:AJ228)</f>
        <v>0</v>
      </c>
      <c r="AC228" s="215">
        <v>1.4999999999999999E-2</v>
      </c>
      <c r="AD228" s="217">
        <v>1.4999999999999999E-2</v>
      </c>
      <c r="AE228" s="217"/>
      <c r="AF228" s="217"/>
      <c r="AG228" s="215"/>
      <c r="AH228" s="217"/>
      <c r="AI228" s="217"/>
      <c r="AJ228" s="217"/>
      <c r="AK228" s="215">
        <f t="shared" ref="AK228:AK251" si="213">SUM(AN228:AP228)</f>
        <v>0.02</v>
      </c>
      <c r="AL228" s="216">
        <f t="shared" ref="AL228:AL251" si="214">SUM(AR228:AT228)</f>
        <v>0</v>
      </c>
      <c r="AM228" s="215">
        <v>0.02</v>
      </c>
      <c r="AN228" s="217">
        <v>0.02</v>
      </c>
      <c r="AO228" s="217"/>
      <c r="AP228" s="217"/>
      <c r="AQ228" s="215"/>
      <c r="AR228" s="217"/>
      <c r="AS228" s="217"/>
      <c r="AT228" s="217"/>
      <c r="AU228" s="215">
        <f t="shared" ref="AU228:AU251" si="215">SUM(AX228:AZ228)</f>
        <v>1.6E-2</v>
      </c>
      <c r="AV228" s="216">
        <f t="shared" ref="AV228:AV251" si="216">SUM(BB228:BD228)</f>
        <v>0</v>
      </c>
      <c r="AW228" s="215">
        <v>1.6E-2</v>
      </c>
      <c r="AX228" s="217">
        <v>1.6E-2</v>
      </c>
      <c r="AY228" s="217"/>
      <c r="AZ228" s="217"/>
      <c r="BA228" s="215"/>
      <c r="BB228" s="217"/>
      <c r="BC228" s="217"/>
      <c r="BD228" s="217"/>
      <c r="BE228" s="215">
        <f t="shared" ref="BE228:BE251" si="217">SUM(BH228:BJ228)</f>
        <v>2.0400000000000001E-2</v>
      </c>
      <c r="BF228" s="216">
        <f t="shared" ref="BF228:BF251" si="218">SUM(BL228:BN228)</f>
        <v>0</v>
      </c>
      <c r="BG228" s="215">
        <v>2.0400000000000001E-2</v>
      </c>
      <c r="BH228" s="217">
        <v>2.0400000000000001E-2</v>
      </c>
      <c r="BI228" s="217"/>
      <c r="BJ228" s="217"/>
      <c r="BK228" s="215"/>
      <c r="BL228" s="217"/>
      <c r="BM228" s="217"/>
      <c r="BN228" s="217"/>
      <c r="BO228" s="215">
        <f t="shared" ref="BO228:BO251" si="219">SUM(BR228:BT228)</f>
        <v>8.9999999999999993E-3</v>
      </c>
      <c r="BP228" s="216">
        <f t="shared" ref="BP228:BP251" si="220">SUM(BV228:BX228)</f>
        <v>0</v>
      </c>
      <c r="BQ228" s="215">
        <v>8.9999999999999993E-3</v>
      </c>
      <c r="BR228" s="217">
        <v>8.9999999999999993E-3</v>
      </c>
      <c r="BS228" s="217"/>
      <c r="BT228" s="217"/>
      <c r="BU228" s="215"/>
      <c r="BV228" s="217"/>
      <c r="BW228" s="217"/>
      <c r="BX228" s="217"/>
      <c r="BY228" s="215">
        <f t="shared" ref="BY228:BY251" si="221">SUM(CB228:CD228)</f>
        <v>5.0000000000000001E-3</v>
      </c>
      <c r="BZ228" s="216">
        <f t="shared" ref="BZ228:BZ251" si="222">SUM(CF228:CH228)</f>
        <v>0</v>
      </c>
      <c r="CA228" s="215">
        <v>5.0000000000000001E-3</v>
      </c>
      <c r="CB228" s="217">
        <v>5.0000000000000001E-3</v>
      </c>
      <c r="CC228" s="217"/>
      <c r="CD228" s="217"/>
      <c r="CE228" s="215"/>
      <c r="CF228" s="217"/>
      <c r="CG228" s="217"/>
      <c r="CH228" s="217"/>
      <c r="CI228" s="215">
        <f t="shared" ref="CI228:CI251" si="223">SUM(CL228:CN228)</f>
        <v>0</v>
      </c>
      <c r="CJ228" s="216">
        <f t="shared" ref="CJ228:CJ251" si="224">SUM(CP228:CR228)</f>
        <v>0</v>
      </c>
      <c r="CK228" s="215"/>
      <c r="CL228" s="217"/>
      <c r="CM228" s="217"/>
      <c r="CN228" s="217"/>
      <c r="CO228" s="215"/>
      <c r="CP228" s="217"/>
      <c r="CQ228" s="217"/>
      <c r="CR228" s="217"/>
      <c r="CS228" s="215">
        <f t="shared" ref="CS228:CS251" si="225">SUM(CV228:CX228)</f>
        <v>0</v>
      </c>
      <c r="CT228" s="216">
        <f t="shared" ref="CT228:CT251" si="226">SUM(CZ228:DB228)</f>
        <v>0</v>
      </c>
      <c r="CU228" s="215"/>
      <c r="CV228" s="217"/>
      <c r="CW228" s="217"/>
      <c r="CX228" s="217"/>
      <c r="CY228" s="215"/>
      <c r="CZ228" s="217"/>
      <c r="DA228" s="217"/>
      <c r="DB228" s="217"/>
      <c r="DC228" s="215">
        <f t="shared" ref="DC228:DC251" si="227">SUM(DF228:DH228)</f>
        <v>0</v>
      </c>
      <c r="DD228" s="216">
        <f t="shared" ref="DD228:DD251" si="228">SUM(DJ228:DL228)</f>
        <v>0</v>
      </c>
      <c r="DE228" s="215"/>
      <c r="DF228" s="217"/>
      <c r="DG228" s="217"/>
      <c r="DH228" s="217"/>
      <c r="DI228" s="215"/>
      <c r="DJ228" s="217"/>
      <c r="DK228" s="217"/>
      <c r="DL228" s="217"/>
      <c r="DM228" s="215">
        <f t="shared" ref="DM228:DM251" si="229">SUM(DP228:DR228)</f>
        <v>0</v>
      </c>
      <c r="DN228" s="216">
        <f t="shared" ref="DN228:DN251" si="230">SUM(DT228:DV228)</f>
        <v>0</v>
      </c>
      <c r="DO228" s="215"/>
      <c r="DP228" s="217"/>
      <c r="DQ228" s="217"/>
      <c r="DR228" s="217"/>
      <c r="DS228" s="215"/>
      <c r="DT228" s="217"/>
      <c r="DU228" s="217"/>
      <c r="DV228" s="217"/>
      <c r="DW228" s="215">
        <f t="shared" ref="DW228:DW251" si="231">SUM(DZ228:EB228)</f>
        <v>0</v>
      </c>
      <c r="DX228" s="216">
        <f t="shared" ref="DX228:DX251" si="232">SUM(ED228:EF228)</f>
        <v>0</v>
      </c>
      <c r="DY228" s="215"/>
      <c r="DZ228" s="217"/>
      <c r="EA228" s="217"/>
      <c r="EB228" s="217"/>
      <c r="EC228" s="215"/>
      <c r="ED228" s="217"/>
      <c r="EE228" s="217"/>
      <c r="EF228" s="217"/>
      <c r="EG228" s="215">
        <f t="shared" ref="EG228:EG251" si="233">SUM(EJ228:EL228)</f>
        <v>0</v>
      </c>
      <c r="EH228" s="216">
        <f t="shared" ref="EH228:EH251" si="234">SUM(EN228:EP228)</f>
        <v>0</v>
      </c>
      <c r="EI228" s="215"/>
      <c r="EJ228" s="217"/>
      <c r="EK228" s="217"/>
      <c r="EL228" s="217"/>
      <c r="EM228" s="215"/>
      <c r="EN228" s="217"/>
      <c r="EO228" s="217"/>
      <c r="EP228" s="217"/>
      <c r="EQ228" s="385"/>
      <c r="ER228" s="217">
        <f>SUM(ET228:EX228)</f>
        <v>0</v>
      </c>
      <c r="ES228" s="217">
        <f>IFERROR(SUMIFS(Daily_Vol_yesterday[Order Quantity],Daily_Vol_yesterday[Cust_Cat.cust_channel],master_Daily!X228,Daily_Vol_yesterday[Map_Product.TME_Brand],master_Daily!Y228)/50000,0)</f>
        <v>2E-3</v>
      </c>
      <c r="ET228" s="217"/>
      <c r="EU228" s="217"/>
      <c r="EV228" s="216"/>
      <c r="EW228" s="217"/>
      <c r="EX228" s="217"/>
      <c r="EY228" s="217"/>
      <c r="EZ228" s="217">
        <f>SUM(FA228:FC228)</f>
        <v>5.0000000000000001E-3</v>
      </c>
      <c r="FA228" s="217">
        <f>IFERROR(SUM(SUMIFS(Weekly_Vol[Quantity],Weekly_Vol[Cust_Cat.cust_channel],master_Daily!X228,Weekly_Vol[Map_Product.TME_Brand],master_Daily!Y228),SUMIFS(Daily_Vol[Order Quantity],Daily_Vol[Cust_Cat.cust_channel],master_Daily!X228,Daily_Vol[Map_Product.TME_Brand],master_Daily!Y228))/50000,0)</f>
        <v>5.0000000000000001E-3</v>
      </c>
      <c r="FB228" s="217"/>
      <c r="FC228" s="217"/>
      <c r="FD228" s="217"/>
      <c r="FE228" s="217"/>
      <c r="FF228" s="217"/>
      <c r="FG228" s="217"/>
      <c r="FH228" s="217">
        <f ca="1">SUM(FI228:FK228)</f>
        <v>8.5400000000000004E-2</v>
      </c>
      <c r="FI228" s="217">
        <f t="shared" ref="FI228:FK232" ca="1" si="235">SUMIFS($AA228:$EP228,$AA$129:$EP$129,INDIRECT(ADDRESS(129,COLUMN())))</f>
        <v>8.5400000000000004E-2</v>
      </c>
      <c r="FJ228" s="217">
        <f t="shared" ca="1" si="235"/>
        <v>0</v>
      </c>
      <c r="FK228" s="217">
        <f t="shared" ca="1" si="235"/>
        <v>0</v>
      </c>
      <c r="FL228" s="217">
        <f ca="1">SUMIFS($AA228:$EP228,$AA$129:$EP$129,INDIRECT(ADDRESS(38,COLUMN())))</f>
        <v>0</v>
      </c>
      <c r="FM228" s="217">
        <f ca="1">SUMIFS($AA228:$EP228,$AA$129:$EP$129,INDIRECT(ADDRESS(38,COLUMN())))</f>
        <v>0</v>
      </c>
      <c r="FN228" s="217">
        <f ca="1">SUMIFS($AA228:$EP228,$AA$129:$EP$129,INDIRECT(ADDRESS(38,COLUMN())))</f>
        <v>0</v>
      </c>
      <c r="FO228" s="217">
        <f ca="1">SUMIFS($AA228:$EP228,$AA$129:$EP$129,INDIRECT(ADDRESS(38,COLUMN())))</f>
        <v>0</v>
      </c>
      <c r="FP228" s="218">
        <f t="shared" ref="FP228:FP233" ca="1" si="236">IFERROR(FH228/$FH$233,0)</f>
        <v>6.2587028215463541E-3</v>
      </c>
      <c r="FQ228" s="219">
        <f t="shared" si="170"/>
        <v>0</v>
      </c>
      <c r="FR228" s="217">
        <f>SUMIFS(TME_MTD_Dist[Sell_WHS_QTY],TME_MTD_Dist[Dist_Name],master_Daily!$X228,TME_MTD_Dist[Brand],master_Daily!$Y228)/50000
 + SUMIFS(TME_MTD_Dist[Sell_RTL_QTY],TME_MTD_Dist[Dist_Name],master_Daily!$X228,TME_MTD_Dist[Brand],master_Daily!$Y228)/50000</f>
        <v>0</v>
      </c>
      <c r="FS228" s="219">
        <f t="shared" si="207"/>
        <v>0</v>
      </c>
    </row>
    <row r="229" spans="20:175" s="154" customFormat="1" hidden="1" outlineLevel="1">
      <c r="T229" s="155"/>
      <c r="U229" s="156"/>
      <c r="X229" s="213" t="s">
        <v>216</v>
      </c>
      <c r="Y229" s="214" t="s">
        <v>45</v>
      </c>
      <c r="Z229" s="214"/>
      <c r="AA229" s="215">
        <f t="shared" si="211"/>
        <v>1E-3</v>
      </c>
      <c r="AB229" s="216">
        <f t="shared" si="212"/>
        <v>0</v>
      </c>
      <c r="AC229" s="215">
        <v>1E-3</v>
      </c>
      <c r="AD229" s="217">
        <v>1E-3</v>
      </c>
      <c r="AE229" s="217"/>
      <c r="AF229" s="217"/>
      <c r="AG229" s="215"/>
      <c r="AH229" s="217"/>
      <c r="AI229" s="217"/>
      <c r="AJ229" s="217"/>
      <c r="AK229" s="215">
        <f t="shared" si="213"/>
        <v>0</v>
      </c>
      <c r="AL229" s="216">
        <f t="shared" si="214"/>
        <v>0</v>
      </c>
      <c r="AM229" s="215">
        <v>0</v>
      </c>
      <c r="AN229" s="217">
        <v>0</v>
      </c>
      <c r="AO229" s="217"/>
      <c r="AP229" s="217"/>
      <c r="AQ229" s="215"/>
      <c r="AR229" s="217"/>
      <c r="AS229" s="217"/>
      <c r="AT229" s="217"/>
      <c r="AU229" s="215">
        <f t="shared" si="215"/>
        <v>1E-3</v>
      </c>
      <c r="AV229" s="216">
        <f t="shared" si="216"/>
        <v>0</v>
      </c>
      <c r="AW229" s="215">
        <v>1E-3</v>
      </c>
      <c r="AX229" s="217">
        <v>1E-3</v>
      </c>
      <c r="AY229" s="217"/>
      <c r="AZ229" s="217"/>
      <c r="BA229" s="215"/>
      <c r="BB229" s="217"/>
      <c r="BC229" s="217"/>
      <c r="BD229" s="217"/>
      <c r="BE229" s="215">
        <f t="shared" si="217"/>
        <v>5.9999999999999995E-4</v>
      </c>
      <c r="BF229" s="216">
        <f t="shared" si="218"/>
        <v>0</v>
      </c>
      <c r="BG229" s="215">
        <v>5.9999999999999995E-4</v>
      </c>
      <c r="BH229" s="217">
        <v>5.9999999999999995E-4</v>
      </c>
      <c r="BI229" s="217"/>
      <c r="BJ229" s="217"/>
      <c r="BK229" s="215"/>
      <c r="BL229" s="217"/>
      <c r="BM229" s="217"/>
      <c r="BN229" s="217"/>
      <c r="BO229" s="215">
        <f t="shared" si="219"/>
        <v>1E-3</v>
      </c>
      <c r="BP229" s="216">
        <f t="shared" si="220"/>
        <v>0</v>
      </c>
      <c r="BQ229" s="215">
        <v>1E-3</v>
      </c>
      <c r="BR229" s="217">
        <v>1E-3</v>
      </c>
      <c r="BS229" s="217"/>
      <c r="BT229" s="217"/>
      <c r="BU229" s="215"/>
      <c r="BV229" s="217"/>
      <c r="BW229" s="217"/>
      <c r="BX229" s="217"/>
      <c r="BY229" s="215">
        <f t="shared" si="221"/>
        <v>0</v>
      </c>
      <c r="BZ229" s="216">
        <f t="shared" si="222"/>
        <v>0</v>
      </c>
      <c r="CA229" s="215">
        <v>0</v>
      </c>
      <c r="CB229" s="217">
        <v>0</v>
      </c>
      <c r="CC229" s="217"/>
      <c r="CD229" s="217"/>
      <c r="CE229" s="215"/>
      <c r="CF229" s="217"/>
      <c r="CG229" s="217"/>
      <c r="CH229" s="217"/>
      <c r="CI229" s="215">
        <f t="shared" si="223"/>
        <v>0</v>
      </c>
      <c r="CJ229" s="216">
        <f t="shared" si="224"/>
        <v>0</v>
      </c>
      <c r="CK229" s="215"/>
      <c r="CL229" s="217"/>
      <c r="CM229" s="217"/>
      <c r="CN229" s="217"/>
      <c r="CO229" s="215"/>
      <c r="CP229" s="217"/>
      <c r="CQ229" s="217"/>
      <c r="CR229" s="217"/>
      <c r="CS229" s="215">
        <f t="shared" si="225"/>
        <v>0</v>
      </c>
      <c r="CT229" s="216">
        <f t="shared" si="226"/>
        <v>0</v>
      </c>
      <c r="CU229" s="215"/>
      <c r="CV229" s="217"/>
      <c r="CW229" s="217"/>
      <c r="CX229" s="217"/>
      <c r="CY229" s="215"/>
      <c r="CZ229" s="217"/>
      <c r="DA229" s="217"/>
      <c r="DB229" s="217"/>
      <c r="DC229" s="215">
        <f t="shared" si="227"/>
        <v>0</v>
      </c>
      <c r="DD229" s="216">
        <f t="shared" si="228"/>
        <v>0</v>
      </c>
      <c r="DE229" s="215"/>
      <c r="DF229" s="217"/>
      <c r="DG229" s="217"/>
      <c r="DH229" s="217"/>
      <c r="DI229" s="215"/>
      <c r="DJ229" s="217"/>
      <c r="DK229" s="217"/>
      <c r="DL229" s="217"/>
      <c r="DM229" s="215">
        <f t="shared" si="229"/>
        <v>0</v>
      </c>
      <c r="DN229" s="216">
        <f t="shared" si="230"/>
        <v>0</v>
      </c>
      <c r="DO229" s="215"/>
      <c r="DP229" s="217"/>
      <c r="DQ229" s="217"/>
      <c r="DR229" s="217"/>
      <c r="DS229" s="215"/>
      <c r="DT229" s="217"/>
      <c r="DU229" s="217"/>
      <c r="DV229" s="217"/>
      <c r="DW229" s="215">
        <f t="shared" si="231"/>
        <v>0</v>
      </c>
      <c r="DX229" s="216">
        <f t="shared" si="232"/>
        <v>0</v>
      </c>
      <c r="DY229" s="215"/>
      <c r="DZ229" s="217"/>
      <c r="EA229" s="217"/>
      <c r="EB229" s="217"/>
      <c r="EC229" s="215"/>
      <c r="ED229" s="217"/>
      <c r="EE229" s="217"/>
      <c r="EF229" s="217"/>
      <c r="EG229" s="215">
        <f t="shared" si="233"/>
        <v>0</v>
      </c>
      <c r="EH229" s="216">
        <f t="shared" si="234"/>
        <v>0</v>
      </c>
      <c r="EI229" s="215"/>
      <c r="EJ229" s="217"/>
      <c r="EK229" s="217"/>
      <c r="EL229" s="217"/>
      <c r="EM229" s="215"/>
      <c r="EN229" s="217"/>
      <c r="EO229" s="217"/>
      <c r="EP229" s="217"/>
      <c r="EQ229" s="385"/>
      <c r="ER229" s="217">
        <f>SUM(ET229:EX229)</f>
        <v>0</v>
      </c>
      <c r="ES229" s="217">
        <f>IFERROR(SUMIFS(Daily_Vol_yesterday[Order Quantity],Daily_Vol_yesterday[Cust_Cat.cust_channel],master_Daily!X229,Daily_Vol_yesterday[Map_Product.TME_Brand],master_Daily!Y229)/50000,0)</f>
        <v>0</v>
      </c>
      <c r="ET229" s="217"/>
      <c r="EU229" s="217"/>
      <c r="EV229" s="216"/>
      <c r="EW229" s="217"/>
      <c r="EX229" s="217"/>
      <c r="EY229" s="217"/>
      <c r="EZ229" s="217">
        <f>SUM(FA229:FC229)</f>
        <v>0</v>
      </c>
      <c r="FA229" s="217">
        <f>IFERROR(SUM(SUMIFS(Weekly_Vol[Quantity],Weekly_Vol[Cust_Cat.cust_channel],master_Daily!X229,Weekly_Vol[Map_Product.TME_Brand],master_Daily!Y229),SUMIFS(Daily_Vol[Order Quantity],Daily_Vol[Cust_Cat.cust_channel],master_Daily!X229,Daily_Vol[Map_Product.TME_Brand],master_Daily!Y229))/50000,0)</f>
        <v>0</v>
      </c>
      <c r="FB229" s="217"/>
      <c r="FC229" s="217"/>
      <c r="FD229" s="217"/>
      <c r="FE229" s="217"/>
      <c r="FF229" s="217"/>
      <c r="FG229" s="217"/>
      <c r="FH229" s="217">
        <f ca="1">SUM(FI229:FK229)</f>
        <v>3.5999999999999999E-3</v>
      </c>
      <c r="FI229" s="217">
        <f t="shared" ca="1" si="235"/>
        <v>3.5999999999999999E-3</v>
      </c>
      <c r="FJ229" s="217">
        <f t="shared" ca="1" si="235"/>
        <v>0</v>
      </c>
      <c r="FK229" s="217">
        <f t="shared" ca="1" si="235"/>
        <v>0</v>
      </c>
      <c r="FL229" s="217">
        <f t="shared" ref="FL229:FO230" ca="1" si="237">SUMIFS($AA229:$EP229,$AA$129:$EP$129,INDIRECT(ADDRESS(129,COLUMN())))</f>
        <v>0</v>
      </c>
      <c r="FM229" s="216">
        <f t="shared" ca="1" si="237"/>
        <v>0</v>
      </c>
      <c r="FN229" s="216">
        <f t="shared" ca="1" si="237"/>
        <v>0</v>
      </c>
      <c r="FO229" s="216">
        <f t="shared" ca="1" si="237"/>
        <v>0</v>
      </c>
      <c r="FP229" s="218">
        <f t="shared" ca="1" si="236"/>
        <v>2.6383290582630999E-4</v>
      </c>
      <c r="FQ229" s="219">
        <f t="shared" si="170"/>
        <v>0</v>
      </c>
      <c r="FR229" s="217">
        <f>SUMIFS(TME_MTD_Dist[Sell_WHS_QTY],TME_MTD_Dist[Dist_Name],master_Daily!$X229,TME_MTD_Dist[Brand],master_Daily!$Y229)/50000
 + SUMIFS(TME_MTD_Dist[Sell_RTL_QTY],TME_MTD_Dist[Dist_Name],master_Daily!$X229,TME_MTD_Dist[Brand],master_Daily!$Y229)/50000</f>
        <v>0</v>
      </c>
      <c r="FS229" s="219">
        <f t="shared" si="207"/>
        <v>0</v>
      </c>
    </row>
    <row r="230" spans="20:175" s="154" customFormat="1" hidden="1" outlineLevel="1">
      <c r="T230" s="155"/>
      <c r="U230" s="156"/>
      <c r="X230" s="213" t="s">
        <v>216</v>
      </c>
      <c r="Y230" s="214" t="s">
        <v>46</v>
      </c>
      <c r="Z230" s="214"/>
      <c r="AA230" s="215">
        <f t="shared" si="211"/>
        <v>0.48899999999999999</v>
      </c>
      <c r="AB230" s="216">
        <f t="shared" si="212"/>
        <v>0</v>
      </c>
      <c r="AC230" s="215">
        <v>0.48899999999999999</v>
      </c>
      <c r="AD230" s="217">
        <v>0.48899999999999999</v>
      </c>
      <c r="AE230" s="217"/>
      <c r="AF230" s="217"/>
      <c r="AG230" s="215"/>
      <c r="AH230" s="217"/>
      <c r="AI230" s="217"/>
      <c r="AJ230" s="217"/>
      <c r="AK230" s="215">
        <f t="shared" si="213"/>
        <v>0.51</v>
      </c>
      <c r="AL230" s="216">
        <f t="shared" si="214"/>
        <v>0</v>
      </c>
      <c r="AM230" s="215">
        <v>0.51</v>
      </c>
      <c r="AN230" s="217">
        <v>0.51</v>
      </c>
      <c r="AO230" s="217"/>
      <c r="AP230" s="217"/>
      <c r="AQ230" s="215"/>
      <c r="AR230" s="217"/>
      <c r="AS230" s="217"/>
      <c r="AT230" s="217"/>
      <c r="AU230" s="215">
        <f t="shared" si="215"/>
        <v>0.46</v>
      </c>
      <c r="AV230" s="216">
        <f t="shared" si="216"/>
        <v>0</v>
      </c>
      <c r="AW230" s="215">
        <v>0.46</v>
      </c>
      <c r="AX230" s="217">
        <v>0.46</v>
      </c>
      <c r="AY230" s="217"/>
      <c r="AZ230" s="217"/>
      <c r="BA230" s="215"/>
      <c r="BB230" s="217"/>
      <c r="BC230" s="217"/>
      <c r="BD230" s="217"/>
      <c r="BE230" s="215">
        <f t="shared" si="217"/>
        <v>0.14000000000000001</v>
      </c>
      <c r="BF230" s="216">
        <f t="shared" si="218"/>
        <v>0</v>
      </c>
      <c r="BG230" s="215">
        <v>0.14000000000000001</v>
      </c>
      <c r="BH230" s="217">
        <v>0.14000000000000001</v>
      </c>
      <c r="BI230" s="217"/>
      <c r="BJ230" s="217"/>
      <c r="BK230" s="215"/>
      <c r="BL230" s="217"/>
      <c r="BM230" s="217"/>
      <c r="BN230" s="217"/>
      <c r="BO230" s="215">
        <f t="shared" si="219"/>
        <v>0.53500000000000003</v>
      </c>
      <c r="BP230" s="216">
        <f t="shared" si="220"/>
        <v>0</v>
      </c>
      <c r="BQ230" s="215">
        <v>0.53500000000000003</v>
      </c>
      <c r="BR230" s="217">
        <v>0.53500000000000003</v>
      </c>
      <c r="BS230" s="217"/>
      <c r="BT230" s="217"/>
      <c r="BU230" s="215"/>
      <c r="BV230" s="217"/>
      <c r="BW230" s="217"/>
      <c r="BX230" s="217"/>
      <c r="BY230" s="215">
        <f t="shared" si="221"/>
        <v>0.13</v>
      </c>
      <c r="BZ230" s="216">
        <f t="shared" si="222"/>
        <v>0</v>
      </c>
      <c r="CA230" s="215">
        <v>0.13</v>
      </c>
      <c r="CB230" s="217">
        <v>0.13</v>
      </c>
      <c r="CC230" s="217"/>
      <c r="CD230" s="217"/>
      <c r="CE230" s="215"/>
      <c r="CF230" s="217"/>
      <c r="CG230" s="217"/>
      <c r="CH230" s="217"/>
      <c r="CI230" s="215">
        <f t="shared" si="223"/>
        <v>0</v>
      </c>
      <c r="CJ230" s="216">
        <f t="shared" si="224"/>
        <v>0</v>
      </c>
      <c r="CK230" s="215"/>
      <c r="CL230" s="217"/>
      <c r="CM230" s="217"/>
      <c r="CN230" s="217"/>
      <c r="CO230" s="215"/>
      <c r="CP230" s="217"/>
      <c r="CQ230" s="217"/>
      <c r="CR230" s="217"/>
      <c r="CS230" s="215">
        <f t="shared" si="225"/>
        <v>0</v>
      </c>
      <c r="CT230" s="216">
        <f t="shared" si="226"/>
        <v>0</v>
      </c>
      <c r="CU230" s="215"/>
      <c r="CV230" s="217"/>
      <c r="CW230" s="217"/>
      <c r="CX230" s="217"/>
      <c r="CY230" s="215"/>
      <c r="CZ230" s="217"/>
      <c r="DA230" s="217"/>
      <c r="DB230" s="217"/>
      <c r="DC230" s="215">
        <f t="shared" si="227"/>
        <v>0</v>
      </c>
      <c r="DD230" s="216">
        <f t="shared" si="228"/>
        <v>0</v>
      </c>
      <c r="DE230" s="215"/>
      <c r="DF230" s="217"/>
      <c r="DG230" s="217"/>
      <c r="DH230" s="217"/>
      <c r="DI230" s="215"/>
      <c r="DJ230" s="217"/>
      <c r="DK230" s="217"/>
      <c r="DL230" s="217"/>
      <c r="DM230" s="215">
        <f t="shared" si="229"/>
        <v>0</v>
      </c>
      <c r="DN230" s="216">
        <f t="shared" si="230"/>
        <v>0</v>
      </c>
      <c r="DO230" s="215"/>
      <c r="DP230" s="217"/>
      <c r="DQ230" s="217"/>
      <c r="DR230" s="217"/>
      <c r="DS230" s="215"/>
      <c r="DT230" s="217"/>
      <c r="DU230" s="217"/>
      <c r="DV230" s="217"/>
      <c r="DW230" s="215">
        <f t="shared" si="231"/>
        <v>0</v>
      </c>
      <c r="DX230" s="216">
        <f t="shared" si="232"/>
        <v>0</v>
      </c>
      <c r="DY230" s="215"/>
      <c r="DZ230" s="217"/>
      <c r="EA230" s="217"/>
      <c r="EB230" s="217"/>
      <c r="EC230" s="215"/>
      <c r="ED230" s="217"/>
      <c r="EE230" s="217"/>
      <c r="EF230" s="217"/>
      <c r="EG230" s="215">
        <f t="shared" si="233"/>
        <v>0</v>
      </c>
      <c r="EH230" s="216">
        <f t="shared" si="234"/>
        <v>0</v>
      </c>
      <c r="EI230" s="215"/>
      <c r="EJ230" s="217"/>
      <c r="EK230" s="217"/>
      <c r="EL230" s="217"/>
      <c r="EM230" s="215"/>
      <c r="EN230" s="217"/>
      <c r="EO230" s="217"/>
      <c r="EP230" s="217"/>
      <c r="EQ230" s="385"/>
      <c r="ER230" s="217">
        <f>SUM(ET230:EX230)</f>
        <v>0</v>
      </c>
      <c r="ES230" s="217">
        <f>IFERROR(SUMIFS(Daily_Vol_yesterday[Order Quantity],Daily_Vol_yesterday[Cust_Cat.cust_channel],master_Daily!X230,Daily_Vol_yesterday[Map_Product.TME_Brand],master_Daily!Y230)/50000,0)</f>
        <v>0.08</v>
      </c>
      <c r="ET230" s="217"/>
      <c r="EU230" s="217"/>
      <c r="EV230" s="216"/>
      <c r="EW230" s="217"/>
      <c r="EX230" s="217"/>
      <c r="EY230" s="217"/>
      <c r="EZ230" s="217">
        <f>SUM(FA230:FC230)</f>
        <v>0.13</v>
      </c>
      <c r="FA230" s="217">
        <f>IFERROR(SUM(SUMIFS(Weekly_Vol[Quantity],Weekly_Vol[Cust_Cat.cust_channel],master_Daily!X230,Weekly_Vol[Map_Product.TME_Brand],master_Daily!Y230),SUMIFS(Daily_Vol[Order Quantity],Daily_Vol[Cust_Cat.cust_channel],master_Daily!X230,Daily_Vol[Map_Product.TME_Brand],master_Daily!Y230))/50000,0)</f>
        <v>0.13</v>
      </c>
      <c r="FB230" s="217"/>
      <c r="FC230" s="217"/>
      <c r="FD230" s="217"/>
      <c r="FE230" s="217"/>
      <c r="FF230" s="217"/>
      <c r="FG230" s="217"/>
      <c r="FH230" s="217">
        <f ca="1">SUM(FI230:FK230)</f>
        <v>2.2640000000000002</v>
      </c>
      <c r="FI230" s="217">
        <f t="shared" ca="1" si="235"/>
        <v>2.2640000000000002</v>
      </c>
      <c r="FJ230" s="217">
        <f t="shared" ca="1" si="235"/>
        <v>0</v>
      </c>
      <c r="FK230" s="217">
        <f t="shared" ca="1" si="235"/>
        <v>0</v>
      </c>
      <c r="FL230" s="217">
        <f t="shared" ca="1" si="237"/>
        <v>0</v>
      </c>
      <c r="FM230" s="216">
        <f t="shared" ca="1" si="237"/>
        <v>0</v>
      </c>
      <c r="FN230" s="216">
        <f t="shared" ca="1" si="237"/>
        <v>0</v>
      </c>
      <c r="FO230" s="216">
        <f t="shared" ca="1" si="237"/>
        <v>0</v>
      </c>
      <c r="FP230" s="218">
        <f t="shared" ca="1" si="236"/>
        <v>0.16592158299743498</v>
      </c>
      <c r="FQ230" s="219">
        <f t="shared" si="170"/>
        <v>0</v>
      </c>
      <c r="FR230" s="217">
        <f>SUMIFS(TME_MTD_Dist[Sell_WHS_QTY],TME_MTD_Dist[Dist_Name],master_Daily!$X230,TME_MTD_Dist[Brand],master_Daily!$Y230)/50000
 + SUMIFS(TME_MTD_Dist[Sell_RTL_QTY],TME_MTD_Dist[Dist_Name],master_Daily!$X230,TME_MTD_Dist[Brand],master_Daily!$Y230)/50000</f>
        <v>0</v>
      </c>
      <c r="FS230" s="219">
        <f t="shared" si="207"/>
        <v>0</v>
      </c>
    </row>
    <row r="231" spans="20:175" s="154" customFormat="1" hidden="1" outlineLevel="1">
      <c r="T231" s="155"/>
      <c r="U231" s="156"/>
      <c r="X231" s="213" t="s">
        <v>216</v>
      </c>
      <c r="Y231" s="214" t="s">
        <v>263</v>
      </c>
      <c r="Z231" s="214"/>
      <c r="AA231" s="215">
        <f t="shared" si="211"/>
        <v>2.17</v>
      </c>
      <c r="AB231" s="216">
        <f t="shared" si="212"/>
        <v>0</v>
      </c>
      <c r="AC231" s="215">
        <v>2.17</v>
      </c>
      <c r="AD231" s="217">
        <v>2.17</v>
      </c>
      <c r="AE231" s="217"/>
      <c r="AF231" s="217"/>
      <c r="AG231" s="215"/>
      <c r="AH231" s="217"/>
      <c r="AI231" s="217"/>
      <c r="AJ231" s="217"/>
      <c r="AK231" s="215">
        <f t="shared" si="213"/>
        <v>0.94</v>
      </c>
      <c r="AL231" s="216">
        <f t="shared" si="214"/>
        <v>0</v>
      </c>
      <c r="AM231" s="215">
        <v>0.94</v>
      </c>
      <c r="AN231" s="217">
        <v>0.94</v>
      </c>
      <c r="AO231" s="217"/>
      <c r="AP231" s="217"/>
      <c r="AQ231" s="215"/>
      <c r="AR231" s="217"/>
      <c r="AS231" s="217"/>
      <c r="AT231" s="217"/>
      <c r="AU231" s="215">
        <f t="shared" si="215"/>
        <v>2.06</v>
      </c>
      <c r="AV231" s="216">
        <f t="shared" si="216"/>
        <v>0</v>
      </c>
      <c r="AW231" s="215">
        <v>2.06</v>
      </c>
      <c r="AX231" s="217">
        <v>2.06</v>
      </c>
      <c r="AY231" s="217"/>
      <c r="AZ231" s="217"/>
      <c r="BA231" s="215"/>
      <c r="BB231" s="217"/>
      <c r="BC231" s="217"/>
      <c r="BD231" s="217"/>
      <c r="BE231" s="215">
        <f t="shared" si="217"/>
        <v>1.52</v>
      </c>
      <c r="BF231" s="216">
        <f t="shared" si="218"/>
        <v>0</v>
      </c>
      <c r="BG231" s="215">
        <v>1.52</v>
      </c>
      <c r="BH231" s="217">
        <v>1.52</v>
      </c>
      <c r="BI231" s="217"/>
      <c r="BJ231" s="217"/>
      <c r="BK231" s="215"/>
      <c r="BL231" s="217"/>
      <c r="BM231" s="217"/>
      <c r="BN231" s="217"/>
      <c r="BO231" s="215">
        <f t="shared" si="219"/>
        <v>1.87</v>
      </c>
      <c r="BP231" s="216">
        <f t="shared" si="220"/>
        <v>0</v>
      </c>
      <c r="BQ231" s="215">
        <v>1.87</v>
      </c>
      <c r="BR231" s="217">
        <v>1.87</v>
      </c>
      <c r="BS231" s="217"/>
      <c r="BT231" s="217"/>
      <c r="BU231" s="215"/>
      <c r="BV231" s="217"/>
      <c r="BW231" s="217"/>
      <c r="BX231" s="217"/>
      <c r="BY231" s="215">
        <f t="shared" si="221"/>
        <v>0.56999999999999995</v>
      </c>
      <c r="BZ231" s="216">
        <f t="shared" si="222"/>
        <v>0</v>
      </c>
      <c r="CA231" s="215">
        <v>0.56999999999999995</v>
      </c>
      <c r="CB231" s="217">
        <v>0.56999999999999995</v>
      </c>
      <c r="CC231" s="217"/>
      <c r="CD231" s="217"/>
      <c r="CE231" s="215"/>
      <c r="CF231" s="217"/>
      <c r="CG231" s="217"/>
      <c r="CH231" s="217"/>
      <c r="CI231" s="215">
        <f t="shared" si="223"/>
        <v>0</v>
      </c>
      <c r="CJ231" s="216">
        <f t="shared" si="224"/>
        <v>0</v>
      </c>
      <c r="CK231" s="215"/>
      <c r="CL231" s="217"/>
      <c r="CM231" s="217"/>
      <c r="CN231" s="217"/>
      <c r="CO231" s="215"/>
      <c r="CP231" s="217"/>
      <c r="CQ231" s="217"/>
      <c r="CR231" s="217"/>
      <c r="CS231" s="215">
        <f t="shared" si="225"/>
        <v>0</v>
      </c>
      <c r="CT231" s="216">
        <f t="shared" si="226"/>
        <v>0</v>
      </c>
      <c r="CU231" s="215"/>
      <c r="CV231" s="217"/>
      <c r="CW231" s="217"/>
      <c r="CX231" s="217"/>
      <c r="CY231" s="215"/>
      <c r="CZ231" s="217"/>
      <c r="DA231" s="217"/>
      <c r="DB231" s="217"/>
      <c r="DC231" s="215">
        <f t="shared" si="227"/>
        <v>0</v>
      </c>
      <c r="DD231" s="216">
        <f t="shared" si="228"/>
        <v>0</v>
      </c>
      <c r="DE231" s="215"/>
      <c r="DF231" s="217"/>
      <c r="DG231" s="217"/>
      <c r="DH231" s="217"/>
      <c r="DI231" s="215"/>
      <c r="DJ231" s="217"/>
      <c r="DK231" s="217"/>
      <c r="DL231" s="217"/>
      <c r="DM231" s="215">
        <f t="shared" si="229"/>
        <v>0</v>
      </c>
      <c r="DN231" s="216">
        <f t="shared" si="230"/>
        <v>0</v>
      </c>
      <c r="DO231" s="215"/>
      <c r="DP231" s="217"/>
      <c r="DQ231" s="217"/>
      <c r="DR231" s="217"/>
      <c r="DS231" s="215"/>
      <c r="DT231" s="217"/>
      <c r="DU231" s="217"/>
      <c r="DV231" s="217"/>
      <c r="DW231" s="215">
        <f t="shared" si="231"/>
        <v>0</v>
      </c>
      <c r="DX231" s="216">
        <f t="shared" si="232"/>
        <v>0</v>
      </c>
      <c r="DY231" s="215"/>
      <c r="DZ231" s="217"/>
      <c r="EA231" s="217"/>
      <c r="EB231" s="217"/>
      <c r="EC231" s="215"/>
      <c r="ED231" s="217"/>
      <c r="EE231" s="217"/>
      <c r="EF231" s="217"/>
      <c r="EG231" s="215">
        <f t="shared" si="233"/>
        <v>0</v>
      </c>
      <c r="EH231" s="216">
        <f t="shared" si="234"/>
        <v>0</v>
      </c>
      <c r="EI231" s="215"/>
      <c r="EJ231" s="217"/>
      <c r="EK231" s="217"/>
      <c r="EL231" s="217"/>
      <c r="EM231" s="215"/>
      <c r="EN231" s="217"/>
      <c r="EO231" s="217"/>
      <c r="EP231" s="217"/>
      <c r="EQ231" s="385"/>
      <c r="ER231" s="217">
        <f>SUM(ET231:EX231)</f>
        <v>0</v>
      </c>
      <c r="ES231" s="217">
        <f>IFERROR(SUMIFS(Daily_Vol_yesterday[Order Quantity],Daily_Vol_yesterday[Cust_Cat.cust_channel],master_Daily!X231,Daily_Vol_yesterday[Map_Product.TME_Brand],"CM")/50000,0)</f>
        <v>0.28000000000000003</v>
      </c>
      <c r="ET231" s="217"/>
      <c r="EU231" s="217"/>
      <c r="EV231" s="216"/>
      <c r="EW231" s="217"/>
      <c r="EX231" s="217"/>
      <c r="EY231" s="217"/>
      <c r="EZ231" s="217">
        <f>SUM(FA231:FC231)</f>
        <v>0.56999999999999995</v>
      </c>
      <c r="FA231" s="217">
        <f>IFERROR(SUM(SUMIFS(Weekly_Vol[Quantity],Weekly_Vol[Cust_Cat.cust_channel],master_Daily!X231,Weekly_Vol[Map_Product.TME_Brand],"CM"),SUMIFS(Daily_Vol[Order Quantity],Daily_Vol[Cust_Cat.cust_channel],master_Daily!X231,Daily_Vol[Map_Product.TME_Brand],"CM"))/50000,0)</f>
        <v>0.56999999999999995</v>
      </c>
      <c r="FB231" s="217"/>
      <c r="FC231" s="217"/>
      <c r="FD231" s="217"/>
      <c r="FE231" s="217"/>
      <c r="FF231" s="217"/>
      <c r="FG231" s="217"/>
      <c r="FH231" s="217">
        <f ca="1">SUM(FI231:FK231)</f>
        <v>9.129999999999999</v>
      </c>
      <c r="FI231" s="217">
        <f t="shared" ca="1" si="235"/>
        <v>9.129999999999999</v>
      </c>
      <c r="FJ231" s="217">
        <f t="shared" ca="1" si="235"/>
        <v>0</v>
      </c>
      <c r="FK231" s="217">
        <f t="shared" ca="1" si="235"/>
        <v>0</v>
      </c>
      <c r="FL231" s="217">
        <f ca="1">SUMIFS($AA231:$EP231,$AA$129:$EP$129,INDIRECT(ADDRESS(129,COLUMN())))</f>
        <v>0</v>
      </c>
      <c r="FM231" s="216">
        <f t="shared" ref="FM231:FO232" si="238">SUMIFS(AF231:EU231,$AA$129:$EP$129,$FH$129)</f>
        <v>0</v>
      </c>
      <c r="FN231" s="216">
        <f t="shared" si="238"/>
        <v>0</v>
      </c>
      <c r="FO231" s="216">
        <f t="shared" si="238"/>
        <v>0</v>
      </c>
      <c r="FP231" s="218">
        <f t="shared" ca="1" si="236"/>
        <v>0.66910956394283616</v>
      </c>
      <c r="FQ231" s="219">
        <f t="shared" si="170"/>
        <v>0</v>
      </c>
      <c r="FR231" s="217">
        <f>SUMIFS(TME_MTD_Dist[Sell_WHS_QTY],TME_MTD_Dist[Dist_Name],master_Daily!$X231,TME_MTD_Dist[Brand],master_Daily!$Y231)/50000
 + SUMIFS(TME_MTD_Dist[Sell_RTL_QTY],TME_MTD_Dist[Dist_Name],master_Daily!$X231,TME_MTD_Dist[Brand],master_Daily!$Y231)/50000</f>
        <v>0</v>
      </c>
      <c r="FS231" s="219">
        <f t="shared" si="207"/>
        <v>0</v>
      </c>
    </row>
    <row r="232" spans="20:175" s="154" customFormat="1" hidden="1" outlineLevel="1">
      <c r="T232" s="155"/>
      <c r="U232" s="156"/>
      <c r="X232" s="213" t="s">
        <v>216</v>
      </c>
      <c r="Y232" s="214" t="s">
        <v>264</v>
      </c>
      <c r="Z232" s="214"/>
      <c r="AA232" s="215">
        <f t="shared" si="211"/>
        <v>0.38500000000000001</v>
      </c>
      <c r="AB232" s="216">
        <f t="shared" si="212"/>
        <v>0</v>
      </c>
      <c r="AC232" s="215">
        <v>0.38500000000000001</v>
      </c>
      <c r="AD232" s="217">
        <v>0.38500000000000001</v>
      </c>
      <c r="AE232" s="217"/>
      <c r="AF232" s="217"/>
      <c r="AG232" s="215"/>
      <c r="AH232" s="217"/>
      <c r="AI232" s="217"/>
      <c r="AJ232" s="217"/>
      <c r="AK232" s="215">
        <f t="shared" si="213"/>
        <v>0.33</v>
      </c>
      <c r="AL232" s="216">
        <f t="shared" si="214"/>
        <v>0</v>
      </c>
      <c r="AM232" s="215">
        <v>0.33</v>
      </c>
      <c r="AN232" s="217">
        <v>0.33</v>
      </c>
      <c r="AO232" s="217"/>
      <c r="AP232" s="217"/>
      <c r="AQ232" s="215"/>
      <c r="AR232" s="217"/>
      <c r="AS232" s="217"/>
      <c r="AT232" s="217"/>
      <c r="AU232" s="215">
        <f t="shared" si="215"/>
        <v>0.49299999999999999</v>
      </c>
      <c r="AV232" s="216">
        <f t="shared" si="216"/>
        <v>0</v>
      </c>
      <c r="AW232" s="215">
        <v>0.49299999999999999</v>
      </c>
      <c r="AX232" s="217">
        <v>0.49299999999999999</v>
      </c>
      <c r="AY232" s="217"/>
      <c r="AZ232" s="217"/>
      <c r="BA232" s="215"/>
      <c r="BB232" s="217"/>
      <c r="BC232" s="217"/>
      <c r="BD232" s="217"/>
      <c r="BE232" s="215">
        <f t="shared" si="217"/>
        <v>0.36899999999999999</v>
      </c>
      <c r="BF232" s="216">
        <f t="shared" si="218"/>
        <v>0</v>
      </c>
      <c r="BG232" s="215">
        <v>0.36899999999999999</v>
      </c>
      <c r="BH232" s="217">
        <v>0.36899999999999999</v>
      </c>
      <c r="BI232" s="217"/>
      <c r="BJ232" s="217"/>
      <c r="BK232" s="215"/>
      <c r="BL232" s="217"/>
      <c r="BM232" s="217"/>
      <c r="BN232" s="217"/>
      <c r="BO232" s="215">
        <f t="shared" si="219"/>
        <v>0.435</v>
      </c>
      <c r="BP232" s="216">
        <f t="shared" si="220"/>
        <v>0</v>
      </c>
      <c r="BQ232" s="215">
        <v>0.435</v>
      </c>
      <c r="BR232" s="217">
        <v>0.435</v>
      </c>
      <c r="BS232" s="217"/>
      <c r="BT232" s="217"/>
      <c r="BU232" s="215"/>
      <c r="BV232" s="217"/>
      <c r="BW232" s="217"/>
      <c r="BX232" s="217"/>
      <c r="BY232" s="215">
        <f t="shared" si="221"/>
        <v>0.15</v>
      </c>
      <c r="BZ232" s="216">
        <f t="shared" si="222"/>
        <v>0</v>
      </c>
      <c r="CA232" s="215">
        <v>0.15</v>
      </c>
      <c r="CB232" s="217">
        <v>0.15</v>
      </c>
      <c r="CC232" s="217"/>
      <c r="CD232" s="217"/>
      <c r="CE232" s="215"/>
      <c r="CF232" s="217"/>
      <c r="CG232" s="217"/>
      <c r="CH232" s="217"/>
      <c r="CI232" s="215">
        <f t="shared" si="223"/>
        <v>0</v>
      </c>
      <c r="CJ232" s="216">
        <f t="shared" si="224"/>
        <v>0</v>
      </c>
      <c r="CK232" s="215"/>
      <c r="CL232" s="217"/>
      <c r="CM232" s="217"/>
      <c r="CN232" s="217"/>
      <c r="CO232" s="215"/>
      <c r="CP232" s="217"/>
      <c r="CQ232" s="217"/>
      <c r="CR232" s="217"/>
      <c r="CS232" s="215">
        <f t="shared" si="225"/>
        <v>0</v>
      </c>
      <c r="CT232" s="216">
        <f t="shared" si="226"/>
        <v>0</v>
      </c>
      <c r="CU232" s="215"/>
      <c r="CV232" s="217"/>
      <c r="CW232" s="217"/>
      <c r="CX232" s="217"/>
      <c r="CY232" s="215"/>
      <c r="CZ232" s="217"/>
      <c r="DA232" s="217"/>
      <c r="DB232" s="217"/>
      <c r="DC232" s="215">
        <f t="shared" si="227"/>
        <v>0</v>
      </c>
      <c r="DD232" s="216">
        <f t="shared" si="228"/>
        <v>0</v>
      </c>
      <c r="DE232" s="215"/>
      <c r="DF232" s="217"/>
      <c r="DG232" s="217"/>
      <c r="DH232" s="217"/>
      <c r="DI232" s="215"/>
      <c r="DJ232" s="217"/>
      <c r="DK232" s="217"/>
      <c r="DL232" s="217"/>
      <c r="DM232" s="215">
        <f t="shared" si="229"/>
        <v>0</v>
      </c>
      <c r="DN232" s="216">
        <f t="shared" si="230"/>
        <v>0</v>
      </c>
      <c r="DO232" s="215"/>
      <c r="DP232" s="217"/>
      <c r="DQ232" s="217"/>
      <c r="DR232" s="217"/>
      <c r="DS232" s="215"/>
      <c r="DT232" s="217"/>
      <c r="DU232" s="217"/>
      <c r="DV232" s="217"/>
      <c r="DW232" s="215">
        <f t="shared" si="231"/>
        <v>0</v>
      </c>
      <c r="DX232" s="216">
        <f t="shared" si="232"/>
        <v>0</v>
      </c>
      <c r="DY232" s="215"/>
      <c r="DZ232" s="217"/>
      <c r="EA232" s="217"/>
      <c r="EB232" s="217"/>
      <c r="EC232" s="215"/>
      <c r="ED232" s="217"/>
      <c r="EE232" s="217"/>
      <c r="EF232" s="217"/>
      <c r="EG232" s="215">
        <f t="shared" si="233"/>
        <v>0</v>
      </c>
      <c r="EH232" s="216">
        <f t="shared" si="234"/>
        <v>0</v>
      </c>
      <c r="EI232" s="215"/>
      <c r="EJ232" s="217"/>
      <c r="EK232" s="217"/>
      <c r="EL232" s="217"/>
      <c r="EM232" s="215"/>
      <c r="EN232" s="217"/>
      <c r="EO232" s="217"/>
      <c r="EP232" s="217"/>
      <c r="EQ232" s="385"/>
      <c r="ER232" s="217">
        <f>SUM(ET232:EX232)</f>
        <v>0</v>
      </c>
      <c r="ES232" s="217">
        <f>IFERROR(SUMIFS(Daily_Vol_yesterday[Order Quantity],Daily_Vol_yesterday[Cust_Cat.cust_channel],master_Daily!X232,Daily_Vol_yesterday[Map_Product.TME_Brand],"CMHD")/50000,0)</f>
        <v>0.09</v>
      </c>
      <c r="ET232" s="217"/>
      <c r="EU232" s="217"/>
      <c r="EV232" s="216"/>
      <c r="EW232" s="217"/>
      <c r="EX232" s="217"/>
      <c r="EY232" s="217"/>
      <c r="EZ232" s="217">
        <f>SUM(FA232:FC232)</f>
        <v>0.15</v>
      </c>
      <c r="FA232" s="217">
        <f>IFERROR(SUM(SUMIFS(Weekly_Vol[Quantity],Weekly_Vol[Cust_Cat.cust_channel],master_Daily!X232,Weekly_Vol[Map_Product.TME_Brand],"CMHD"),SUMIFS(Daily_Vol[Order Quantity],Daily_Vol[Cust_Cat.cust_channel],master_Daily!X232,Daily_Vol[Map_Product.TME_Brand],"CMHD"))/50000,0)</f>
        <v>0.15</v>
      </c>
      <c r="FB232" s="217"/>
      <c r="FC232" s="217"/>
      <c r="FD232" s="217"/>
      <c r="FE232" s="217"/>
      <c r="FF232" s="217"/>
      <c r="FG232" s="217"/>
      <c r="FH232" s="217">
        <f ca="1">SUM(FI232:FK232)</f>
        <v>2.1619999999999999</v>
      </c>
      <c r="FI232" s="217">
        <f t="shared" ca="1" si="235"/>
        <v>2.1619999999999999</v>
      </c>
      <c r="FJ232" s="217">
        <f t="shared" ca="1" si="235"/>
        <v>0</v>
      </c>
      <c r="FK232" s="217">
        <f t="shared" ca="1" si="235"/>
        <v>0</v>
      </c>
      <c r="FL232" s="217">
        <f ca="1">SUMIFS($AA232:$EP232,$AA$129:$EP$129,INDIRECT(ADDRESS(129,COLUMN())))</f>
        <v>0</v>
      </c>
      <c r="FM232" s="216">
        <f t="shared" si="238"/>
        <v>0</v>
      </c>
      <c r="FN232" s="216">
        <f t="shared" si="238"/>
        <v>0</v>
      </c>
      <c r="FO232" s="216">
        <f t="shared" si="238"/>
        <v>0</v>
      </c>
      <c r="FP232" s="218">
        <f t="shared" ca="1" si="236"/>
        <v>0.15844631733235617</v>
      </c>
      <c r="FQ232" s="219">
        <f t="shared" si="170"/>
        <v>0</v>
      </c>
      <c r="FR232" s="217">
        <f>SUMIFS(TME_MTD_Dist[Sell_WHS_QTY],TME_MTD_Dist[Dist_Name],master_Daily!$X232,TME_MTD_Dist[Brand],master_Daily!$Y232)/50000
 + SUMIFS(TME_MTD_Dist[Sell_RTL_QTY],TME_MTD_Dist[Dist_Name],master_Daily!$X232,TME_MTD_Dist[Brand],master_Daily!$Y232)/50000</f>
        <v>0</v>
      </c>
      <c r="FS232" s="219">
        <f t="shared" si="207"/>
        <v>0</v>
      </c>
    </row>
    <row r="233" spans="20:175" s="154" customFormat="1" collapsed="1">
      <c r="T233" s="155"/>
      <c r="U233" s="156"/>
      <c r="X233" s="220" t="s">
        <v>300</v>
      </c>
      <c r="Y233" s="221"/>
      <c r="Z233" s="221"/>
      <c r="AA233" s="222">
        <f t="shared" si="211"/>
        <v>3.0599999999999996</v>
      </c>
      <c r="AB233" s="222">
        <f t="shared" si="212"/>
        <v>0</v>
      </c>
      <c r="AC233" s="222">
        <v>3.0599999999999996</v>
      </c>
      <c r="AD233" s="222">
        <v>3.0599999999999996</v>
      </c>
      <c r="AE233" s="222">
        <v>0</v>
      </c>
      <c r="AF233" s="222">
        <v>0</v>
      </c>
      <c r="AG233" s="222">
        <v>0</v>
      </c>
      <c r="AH233" s="222">
        <v>0</v>
      </c>
      <c r="AI233" s="222">
        <v>0</v>
      </c>
      <c r="AJ233" s="222">
        <v>0</v>
      </c>
      <c r="AK233" s="222">
        <f t="shared" si="213"/>
        <v>1.8</v>
      </c>
      <c r="AL233" s="222">
        <f t="shared" si="214"/>
        <v>0</v>
      </c>
      <c r="AM233" s="222">
        <v>1.8</v>
      </c>
      <c r="AN233" s="222">
        <v>1.8</v>
      </c>
      <c r="AO233" s="222">
        <v>0</v>
      </c>
      <c r="AP233" s="222">
        <v>0</v>
      </c>
      <c r="AQ233" s="222">
        <v>0</v>
      </c>
      <c r="AR233" s="222">
        <v>0</v>
      </c>
      <c r="AS233" s="222">
        <v>0</v>
      </c>
      <c r="AT233" s="222">
        <v>0</v>
      </c>
      <c r="AU233" s="222">
        <f t="shared" si="215"/>
        <v>3.03</v>
      </c>
      <c r="AV233" s="222">
        <f t="shared" si="216"/>
        <v>0</v>
      </c>
      <c r="AW233" s="222">
        <v>3.03</v>
      </c>
      <c r="AX233" s="222">
        <v>3.03</v>
      </c>
      <c r="AY233" s="222">
        <v>0</v>
      </c>
      <c r="AZ233" s="222">
        <v>0</v>
      </c>
      <c r="BA233" s="222">
        <v>0</v>
      </c>
      <c r="BB233" s="222">
        <v>0</v>
      </c>
      <c r="BC233" s="222">
        <v>0</v>
      </c>
      <c r="BD233" s="222">
        <v>0</v>
      </c>
      <c r="BE233" s="222">
        <f t="shared" si="217"/>
        <v>2.0499999999999998</v>
      </c>
      <c r="BF233" s="222">
        <f t="shared" si="218"/>
        <v>0</v>
      </c>
      <c r="BG233" s="222">
        <v>2.0499999999999998</v>
      </c>
      <c r="BH233" s="222">
        <v>2.0499999999999998</v>
      </c>
      <c r="BI233" s="222">
        <v>0</v>
      </c>
      <c r="BJ233" s="222">
        <v>0</v>
      </c>
      <c r="BK233" s="222">
        <v>0</v>
      </c>
      <c r="BL233" s="222">
        <v>0</v>
      </c>
      <c r="BM233" s="222">
        <v>0</v>
      </c>
      <c r="BN233" s="222">
        <v>0</v>
      </c>
      <c r="BO233" s="222">
        <f t="shared" si="219"/>
        <v>2.85</v>
      </c>
      <c r="BP233" s="222">
        <f t="shared" si="220"/>
        <v>0</v>
      </c>
      <c r="BQ233" s="222">
        <v>2.85</v>
      </c>
      <c r="BR233" s="222">
        <v>2.85</v>
      </c>
      <c r="BS233" s="222">
        <v>0</v>
      </c>
      <c r="BT233" s="222">
        <v>0</v>
      </c>
      <c r="BU233" s="222">
        <v>0</v>
      </c>
      <c r="BV233" s="222">
        <v>0</v>
      </c>
      <c r="BW233" s="222">
        <v>0</v>
      </c>
      <c r="BX233" s="222">
        <v>0</v>
      </c>
      <c r="BY233" s="222">
        <f t="shared" si="221"/>
        <v>0.85499999999999998</v>
      </c>
      <c r="BZ233" s="222">
        <f t="shared" si="222"/>
        <v>0</v>
      </c>
      <c r="CA233" s="222">
        <v>0.85499999999999998</v>
      </c>
      <c r="CB233" s="222">
        <v>0.85499999999999998</v>
      </c>
      <c r="CC233" s="222">
        <v>0</v>
      </c>
      <c r="CD233" s="222">
        <v>0</v>
      </c>
      <c r="CE233" s="222">
        <v>0</v>
      </c>
      <c r="CF233" s="222">
        <v>0</v>
      </c>
      <c r="CG233" s="222">
        <v>0</v>
      </c>
      <c r="CH233" s="222">
        <v>0</v>
      </c>
      <c r="CI233" s="222">
        <f t="shared" si="223"/>
        <v>0</v>
      </c>
      <c r="CJ233" s="222">
        <f t="shared" si="224"/>
        <v>0</v>
      </c>
      <c r="CK233" s="222"/>
      <c r="CL233" s="222"/>
      <c r="CM233" s="222"/>
      <c r="CN233" s="222"/>
      <c r="CO233" s="222"/>
      <c r="CP233" s="222">
        <v>0</v>
      </c>
      <c r="CQ233" s="222">
        <v>0</v>
      </c>
      <c r="CR233" s="222">
        <v>0</v>
      </c>
      <c r="CS233" s="222">
        <f t="shared" si="225"/>
        <v>0</v>
      </c>
      <c r="CT233" s="222">
        <f t="shared" si="226"/>
        <v>0</v>
      </c>
      <c r="CU233" s="222"/>
      <c r="CV233" s="222"/>
      <c r="CW233" s="222"/>
      <c r="CX233" s="222"/>
      <c r="CY233" s="222"/>
      <c r="CZ233" s="222">
        <v>0</v>
      </c>
      <c r="DA233" s="222">
        <v>0</v>
      </c>
      <c r="DB233" s="222">
        <v>0</v>
      </c>
      <c r="DC233" s="222">
        <f t="shared" si="227"/>
        <v>0</v>
      </c>
      <c r="DD233" s="222">
        <f t="shared" si="228"/>
        <v>0</v>
      </c>
      <c r="DE233" s="222"/>
      <c r="DF233" s="222"/>
      <c r="DG233" s="222"/>
      <c r="DH233" s="222"/>
      <c r="DI233" s="222"/>
      <c r="DJ233" s="222">
        <v>0</v>
      </c>
      <c r="DK233" s="222">
        <v>0</v>
      </c>
      <c r="DL233" s="222">
        <v>0</v>
      </c>
      <c r="DM233" s="222">
        <f t="shared" si="229"/>
        <v>0</v>
      </c>
      <c r="DN233" s="222">
        <f t="shared" si="230"/>
        <v>0</v>
      </c>
      <c r="DO233" s="222"/>
      <c r="DP233" s="222"/>
      <c r="DQ233" s="222"/>
      <c r="DR233" s="222"/>
      <c r="DS233" s="222"/>
      <c r="DT233" s="222">
        <v>0</v>
      </c>
      <c r="DU233" s="222">
        <v>0</v>
      </c>
      <c r="DV233" s="222">
        <v>0</v>
      </c>
      <c r="DW233" s="222">
        <f t="shared" si="231"/>
        <v>0</v>
      </c>
      <c r="DX233" s="222">
        <f t="shared" si="232"/>
        <v>0</v>
      </c>
      <c r="DY233" s="222"/>
      <c r="DZ233" s="222"/>
      <c r="EA233" s="222"/>
      <c r="EB233" s="222"/>
      <c r="EC233" s="222">
        <v>0</v>
      </c>
      <c r="ED233" s="222">
        <v>0</v>
      </c>
      <c r="EE233" s="222">
        <v>0</v>
      </c>
      <c r="EF233" s="222">
        <v>0</v>
      </c>
      <c r="EG233" s="222">
        <f t="shared" si="233"/>
        <v>0</v>
      </c>
      <c r="EH233" s="222">
        <f t="shared" si="234"/>
        <v>0</v>
      </c>
      <c r="EI233" s="222"/>
      <c r="EJ233" s="222"/>
      <c r="EK233" s="222"/>
      <c r="EL233" s="222"/>
      <c r="EM233" s="222">
        <v>0</v>
      </c>
      <c r="EN233" s="222">
        <v>0</v>
      </c>
      <c r="EO233" s="222">
        <v>0</v>
      </c>
      <c r="EP233" s="222">
        <v>0</v>
      </c>
      <c r="EQ233" s="223">
        <v>2.8</v>
      </c>
      <c r="ER233" s="222">
        <f>SUM(ER228:ER232)</f>
        <v>0</v>
      </c>
      <c r="ES233" s="222">
        <f>SUM(ES228:ES232)</f>
        <v>0.45200000000000007</v>
      </c>
      <c r="ET233" s="222">
        <f>SUM(ET228:ET232)</f>
        <v>0</v>
      </c>
      <c r="EU233" s="222">
        <f>SUM(EU228:EU232)</f>
        <v>0</v>
      </c>
      <c r="EV233" s="222"/>
      <c r="EW233" s="222"/>
      <c r="EX233" s="222"/>
      <c r="EY233" s="222"/>
      <c r="EZ233" s="222">
        <f t="shared" ref="EZ233:FK233" si="239">SUM(EZ228:EZ232)</f>
        <v>0.85499999999999998</v>
      </c>
      <c r="FA233" s="222">
        <f t="shared" si="239"/>
        <v>0.85499999999999998</v>
      </c>
      <c r="FB233" s="222">
        <f t="shared" si="239"/>
        <v>0</v>
      </c>
      <c r="FC233" s="222">
        <f t="shared" si="239"/>
        <v>0</v>
      </c>
      <c r="FD233" s="222">
        <f t="shared" si="239"/>
        <v>0</v>
      </c>
      <c r="FE233" s="222">
        <f t="shared" si="239"/>
        <v>0</v>
      </c>
      <c r="FF233" s="222">
        <f t="shared" si="239"/>
        <v>0</v>
      </c>
      <c r="FG233" s="222">
        <f t="shared" si="239"/>
        <v>0</v>
      </c>
      <c r="FH233" s="222">
        <f t="shared" ca="1" si="239"/>
        <v>13.645</v>
      </c>
      <c r="FI233" s="222">
        <f t="shared" ca="1" si="239"/>
        <v>13.645</v>
      </c>
      <c r="FJ233" s="222">
        <f t="shared" ca="1" si="239"/>
        <v>0</v>
      </c>
      <c r="FK233" s="222">
        <f t="shared" ca="1" si="239"/>
        <v>0</v>
      </c>
      <c r="FL233" s="222">
        <f ca="1">SUM(FL228:FL231)</f>
        <v>0</v>
      </c>
      <c r="FM233" s="223">
        <f ca="1">SUM(FM228:FM232)</f>
        <v>0</v>
      </c>
      <c r="FN233" s="223">
        <f ca="1">SUM(FN228:FN232)</f>
        <v>0</v>
      </c>
      <c r="FO233" s="223">
        <f ca="1">SUM(FO228:FO232)</f>
        <v>0</v>
      </c>
      <c r="FP233" s="224">
        <f t="shared" ca="1" si="236"/>
        <v>1</v>
      </c>
      <c r="FQ233" s="225">
        <f t="shared" si="170"/>
        <v>0.30535714285714288</v>
      </c>
      <c r="FR233" s="222">
        <f>SUM(FR228:FR232)</f>
        <v>0</v>
      </c>
      <c r="FS233" s="225">
        <f t="shared" si="207"/>
        <v>0</v>
      </c>
    </row>
    <row r="234" spans="20:175" s="154" customFormat="1" hidden="1" outlineLevel="1">
      <c r="T234" s="155"/>
      <c r="U234" s="156"/>
      <c r="X234" s="213" t="s">
        <v>219</v>
      </c>
      <c r="Y234" s="214" t="s">
        <v>44</v>
      </c>
      <c r="Z234" s="214"/>
      <c r="AA234" s="215">
        <f t="shared" si="211"/>
        <v>2.5000000000000001E-2</v>
      </c>
      <c r="AB234" s="216">
        <f t="shared" si="212"/>
        <v>0</v>
      </c>
      <c r="AC234" s="215">
        <v>2.5000000000000001E-2</v>
      </c>
      <c r="AD234" s="217">
        <v>2.5000000000000001E-2</v>
      </c>
      <c r="AE234" s="217"/>
      <c r="AF234" s="217"/>
      <c r="AG234" s="215"/>
      <c r="AH234" s="217"/>
      <c r="AI234" s="217"/>
      <c r="AJ234" s="217"/>
      <c r="AK234" s="215">
        <f t="shared" si="213"/>
        <v>1.2E-2</v>
      </c>
      <c r="AL234" s="216">
        <f t="shared" si="214"/>
        <v>0</v>
      </c>
      <c r="AM234" s="215">
        <v>1.2E-2</v>
      </c>
      <c r="AN234" s="217">
        <v>1.2E-2</v>
      </c>
      <c r="AO234" s="217"/>
      <c r="AP234" s="217"/>
      <c r="AQ234" s="215"/>
      <c r="AR234" s="217"/>
      <c r="AS234" s="217"/>
      <c r="AT234" s="217"/>
      <c r="AU234" s="215">
        <f t="shared" si="215"/>
        <v>0.02</v>
      </c>
      <c r="AV234" s="216">
        <f t="shared" si="216"/>
        <v>0</v>
      </c>
      <c r="AW234" s="215">
        <v>0.02</v>
      </c>
      <c r="AX234" s="217">
        <v>0.02</v>
      </c>
      <c r="AY234" s="217"/>
      <c r="AZ234" s="217"/>
      <c r="BA234" s="215"/>
      <c r="BB234" s="217"/>
      <c r="BC234" s="217"/>
      <c r="BD234" s="217"/>
      <c r="BE234" s="215">
        <f t="shared" si="217"/>
        <v>8.0000000000000002E-3</v>
      </c>
      <c r="BF234" s="216">
        <f t="shared" si="218"/>
        <v>0</v>
      </c>
      <c r="BG234" s="215">
        <v>8.0000000000000002E-3</v>
      </c>
      <c r="BH234" s="217">
        <v>8.0000000000000002E-3</v>
      </c>
      <c r="BI234" s="217"/>
      <c r="BJ234" s="217"/>
      <c r="BK234" s="215"/>
      <c r="BL234" s="217"/>
      <c r="BM234" s="217"/>
      <c r="BN234" s="217"/>
      <c r="BO234" s="215">
        <f t="shared" si="219"/>
        <v>0.02</v>
      </c>
      <c r="BP234" s="216">
        <f t="shared" si="220"/>
        <v>0</v>
      </c>
      <c r="BQ234" s="215">
        <v>0.02</v>
      </c>
      <c r="BR234" s="217">
        <v>0.02</v>
      </c>
      <c r="BS234" s="217"/>
      <c r="BT234" s="217"/>
      <c r="BU234" s="215"/>
      <c r="BV234" s="217"/>
      <c r="BW234" s="217"/>
      <c r="BX234" s="217"/>
      <c r="BY234" s="215">
        <f t="shared" si="221"/>
        <v>4.0000000000000001E-3</v>
      </c>
      <c r="BZ234" s="216">
        <f t="shared" si="222"/>
        <v>0</v>
      </c>
      <c r="CA234" s="215">
        <v>4.0000000000000001E-3</v>
      </c>
      <c r="CB234" s="217">
        <v>4.0000000000000001E-3</v>
      </c>
      <c r="CC234" s="217"/>
      <c r="CD234" s="217"/>
      <c r="CE234" s="215"/>
      <c r="CF234" s="217"/>
      <c r="CG234" s="217"/>
      <c r="CH234" s="217"/>
      <c r="CI234" s="215">
        <f t="shared" si="223"/>
        <v>0</v>
      </c>
      <c r="CJ234" s="216">
        <f t="shared" si="224"/>
        <v>0</v>
      </c>
      <c r="CK234" s="215"/>
      <c r="CL234" s="217"/>
      <c r="CM234" s="217"/>
      <c r="CN234" s="217"/>
      <c r="CO234" s="215"/>
      <c r="CP234" s="217"/>
      <c r="CQ234" s="217"/>
      <c r="CR234" s="217"/>
      <c r="CS234" s="215">
        <f t="shared" si="225"/>
        <v>0</v>
      </c>
      <c r="CT234" s="216">
        <f t="shared" si="226"/>
        <v>0</v>
      </c>
      <c r="CU234" s="215"/>
      <c r="CV234" s="217"/>
      <c r="CW234" s="217"/>
      <c r="CX234" s="217"/>
      <c r="CY234" s="215"/>
      <c r="CZ234" s="217"/>
      <c r="DA234" s="217"/>
      <c r="DB234" s="217"/>
      <c r="DC234" s="215">
        <f t="shared" si="227"/>
        <v>0</v>
      </c>
      <c r="DD234" s="216">
        <f t="shared" si="228"/>
        <v>0</v>
      </c>
      <c r="DE234" s="215"/>
      <c r="DF234" s="217"/>
      <c r="DG234" s="217"/>
      <c r="DH234" s="217"/>
      <c r="DI234" s="215"/>
      <c r="DJ234" s="217"/>
      <c r="DK234" s="217"/>
      <c r="DL234" s="217"/>
      <c r="DM234" s="215">
        <f t="shared" si="229"/>
        <v>0</v>
      </c>
      <c r="DN234" s="216">
        <f t="shared" si="230"/>
        <v>0</v>
      </c>
      <c r="DO234" s="215"/>
      <c r="DP234" s="217"/>
      <c r="DQ234" s="217"/>
      <c r="DR234" s="217"/>
      <c r="DS234" s="215"/>
      <c r="DT234" s="217"/>
      <c r="DU234" s="217"/>
      <c r="DV234" s="217"/>
      <c r="DW234" s="215">
        <f t="shared" si="231"/>
        <v>0</v>
      </c>
      <c r="DX234" s="216">
        <f t="shared" si="232"/>
        <v>0</v>
      </c>
      <c r="DY234" s="215"/>
      <c r="DZ234" s="217"/>
      <c r="EA234" s="217"/>
      <c r="EB234" s="217"/>
      <c r="EC234" s="215"/>
      <c r="ED234" s="217"/>
      <c r="EE234" s="217"/>
      <c r="EF234" s="217"/>
      <c r="EG234" s="215">
        <f t="shared" si="233"/>
        <v>0</v>
      </c>
      <c r="EH234" s="216">
        <f t="shared" si="234"/>
        <v>0</v>
      </c>
      <c r="EI234" s="215"/>
      <c r="EJ234" s="217"/>
      <c r="EK234" s="217"/>
      <c r="EL234" s="217"/>
      <c r="EM234" s="215"/>
      <c r="EN234" s="217"/>
      <c r="EO234" s="217"/>
      <c r="EP234" s="217"/>
      <c r="EQ234" s="385"/>
      <c r="ER234" s="217">
        <f>SUM(ET234:EX234)</f>
        <v>0</v>
      </c>
      <c r="ES234" s="217">
        <f>IFERROR(SUMIFS(Daily_Vol_yesterday[Order Quantity],Daily_Vol_yesterday[Cust_Cat.cust_channel],master_Daily!X234,Daily_Vol_yesterday[Map_Product.TME_Brand],master_Daily!Y234)/50000,0)</f>
        <v>0</v>
      </c>
      <c r="ET234" s="217"/>
      <c r="EU234" s="217"/>
      <c r="EV234" s="216"/>
      <c r="EW234" s="217"/>
      <c r="EX234" s="217"/>
      <c r="EY234" s="217"/>
      <c r="EZ234" s="217">
        <f>SUM(FA234:FC234)</f>
        <v>4.0000000000000001E-3</v>
      </c>
      <c r="FA234" s="217">
        <f>IFERROR(SUM(SUMIFS(Weekly_Vol[Quantity],Weekly_Vol[Cust_Cat.cust_channel],master_Daily!X234,Weekly_Vol[Map_Product.TME_Brand],master_Daily!Y234),SUMIFS(Daily_Vol[Order Quantity],Daily_Vol[Cust_Cat.cust_channel],master_Daily!X234,Daily_Vol[Map_Product.TME_Brand],master_Daily!Y234))/50000,0)</f>
        <v>4.0000000000000001E-3</v>
      </c>
      <c r="FB234" s="217"/>
      <c r="FC234" s="217"/>
      <c r="FD234" s="217"/>
      <c r="FE234" s="217"/>
      <c r="FF234" s="217"/>
      <c r="FG234" s="217"/>
      <c r="FH234" s="217">
        <f ca="1">SUM(FI234:FK234)</f>
        <v>8.900000000000001E-2</v>
      </c>
      <c r="FI234" s="217">
        <f t="shared" ref="FI234:FK238" ca="1" si="240">SUMIFS($AA234:$EP234,$AA$129:$EP$129,INDIRECT(ADDRESS(129,COLUMN())))</f>
        <v>8.900000000000001E-2</v>
      </c>
      <c r="FJ234" s="217">
        <f t="shared" ca="1" si="240"/>
        <v>0</v>
      </c>
      <c r="FK234" s="217">
        <f t="shared" ca="1" si="240"/>
        <v>0</v>
      </c>
      <c r="FL234" s="217">
        <f ca="1">SUMIFS($AA234:$EP234,$AA$129:$EP$129,INDIRECT(ADDRESS(38,COLUMN())))</f>
        <v>0</v>
      </c>
      <c r="FM234" s="217">
        <f ca="1">SUMIFS($AA234:$EP234,$AA$129:$EP$129,INDIRECT(ADDRESS(38,COLUMN())))</f>
        <v>0</v>
      </c>
      <c r="FN234" s="217">
        <f ca="1">SUMIFS($AA234:$EP234,$AA$129:$EP$129,INDIRECT(ADDRESS(38,COLUMN())))</f>
        <v>0</v>
      </c>
      <c r="FO234" s="217">
        <f ca="1">SUMIFS($AA234:$EP234,$AA$129:$EP$129,INDIRECT(ADDRESS(38,COLUMN())))</f>
        <v>0</v>
      </c>
      <c r="FP234" s="218">
        <f t="shared" ref="FP234:FP239" ca="1" si="241">IFERROR(FH234/$FH$239,0)</f>
        <v>6.8277713847334099E-3</v>
      </c>
      <c r="FQ234" s="219">
        <f t="shared" si="170"/>
        <v>0</v>
      </c>
      <c r="FR234" s="217">
        <f>SUMIFS(TME_MTD_Dist[Sell_WHS_QTY],TME_MTD_Dist[Dist_Name],master_Daily!$X234,TME_MTD_Dist[Brand],master_Daily!$Y234)/50000
 + SUMIFS(TME_MTD_Dist[Sell_RTL_QTY],TME_MTD_Dist[Dist_Name],master_Daily!$X234,TME_MTD_Dist[Brand],master_Daily!$Y234)/50000</f>
        <v>0</v>
      </c>
      <c r="FS234" s="219">
        <f t="shared" si="207"/>
        <v>0</v>
      </c>
    </row>
    <row r="235" spans="20:175" s="154" customFormat="1" hidden="1" outlineLevel="1">
      <c r="T235" s="155"/>
      <c r="U235" s="156"/>
      <c r="X235" s="213" t="s">
        <v>219</v>
      </c>
      <c r="Y235" s="214" t="s">
        <v>45</v>
      </c>
      <c r="Z235" s="214"/>
      <c r="AA235" s="215">
        <f t="shared" si="211"/>
        <v>0</v>
      </c>
      <c r="AB235" s="216">
        <f t="shared" si="212"/>
        <v>0</v>
      </c>
      <c r="AC235" s="215">
        <v>0</v>
      </c>
      <c r="AD235" s="217">
        <v>0</v>
      </c>
      <c r="AE235" s="217"/>
      <c r="AF235" s="217"/>
      <c r="AG235" s="215"/>
      <c r="AH235" s="217"/>
      <c r="AI235" s="217"/>
      <c r="AJ235" s="217"/>
      <c r="AK235" s="215">
        <f t="shared" si="213"/>
        <v>1.8E-3</v>
      </c>
      <c r="AL235" s="216">
        <f t="shared" si="214"/>
        <v>0</v>
      </c>
      <c r="AM235" s="215">
        <v>1.8E-3</v>
      </c>
      <c r="AN235" s="217">
        <v>1.8E-3</v>
      </c>
      <c r="AO235" s="217"/>
      <c r="AP235" s="217"/>
      <c r="AQ235" s="215"/>
      <c r="AR235" s="217"/>
      <c r="AS235" s="217"/>
      <c r="AT235" s="217"/>
      <c r="AU235" s="215">
        <f t="shared" si="215"/>
        <v>0</v>
      </c>
      <c r="AV235" s="216">
        <f t="shared" si="216"/>
        <v>0</v>
      </c>
      <c r="AW235" s="215">
        <v>0</v>
      </c>
      <c r="AX235" s="217">
        <v>0</v>
      </c>
      <c r="AY235" s="217"/>
      <c r="AZ235" s="217"/>
      <c r="BA235" s="215"/>
      <c r="BB235" s="217"/>
      <c r="BC235" s="217"/>
      <c r="BD235" s="217"/>
      <c r="BE235" s="215">
        <f t="shared" si="217"/>
        <v>0</v>
      </c>
      <c r="BF235" s="216">
        <f t="shared" si="218"/>
        <v>0</v>
      </c>
      <c r="BG235" s="215">
        <v>0</v>
      </c>
      <c r="BH235" s="217">
        <v>0</v>
      </c>
      <c r="BI235" s="217"/>
      <c r="BJ235" s="217"/>
      <c r="BK235" s="215"/>
      <c r="BL235" s="217"/>
      <c r="BM235" s="217"/>
      <c r="BN235" s="217"/>
      <c r="BO235" s="215">
        <f t="shared" si="219"/>
        <v>0</v>
      </c>
      <c r="BP235" s="216">
        <f t="shared" si="220"/>
        <v>0</v>
      </c>
      <c r="BQ235" s="215">
        <v>0</v>
      </c>
      <c r="BR235" s="217">
        <v>0</v>
      </c>
      <c r="BS235" s="217"/>
      <c r="BT235" s="217"/>
      <c r="BU235" s="215"/>
      <c r="BV235" s="217"/>
      <c r="BW235" s="217"/>
      <c r="BX235" s="217"/>
      <c r="BY235" s="215">
        <f t="shared" si="221"/>
        <v>1E-3</v>
      </c>
      <c r="BZ235" s="216">
        <f t="shared" si="222"/>
        <v>0</v>
      </c>
      <c r="CA235" s="215">
        <v>1E-3</v>
      </c>
      <c r="CB235" s="217">
        <v>1E-3</v>
      </c>
      <c r="CC235" s="217"/>
      <c r="CD235" s="217"/>
      <c r="CE235" s="215"/>
      <c r="CF235" s="217"/>
      <c r="CG235" s="217"/>
      <c r="CH235" s="217"/>
      <c r="CI235" s="215">
        <f t="shared" si="223"/>
        <v>0</v>
      </c>
      <c r="CJ235" s="216">
        <f t="shared" si="224"/>
        <v>0</v>
      </c>
      <c r="CK235" s="215"/>
      <c r="CL235" s="217"/>
      <c r="CM235" s="217"/>
      <c r="CN235" s="217"/>
      <c r="CO235" s="215"/>
      <c r="CP235" s="217"/>
      <c r="CQ235" s="217"/>
      <c r="CR235" s="217"/>
      <c r="CS235" s="215">
        <f t="shared" si="225"/>
        <v>0</v>
      </c>
      <c r="CT235" s="216">
        <f t="shared" si="226"/>
        <v>0</v>
      </c>
      <c r="CU235" s="215"/>
      <c r="CV235" s="217"/>
      <c r="CW235" s="217"/>
      <c r="CX235" s="217"/>
      <c r="CY235" s="215"/>
      <c r="CZ235" s="217"/>
      <c r="DA235" s="217"/>
      <c r="DB235" s="217"/>
      <c r="DC235" s="215">
        <f t="shared" si="227"/>
        <v>0</v>
      </c>
      <c r="DD235" s="216">
        <f t="shared" si="228"/>
        <v>0</v>
      </c>
      <c r="DE235" s="215"/>
      <c r="DF235" s="217"/>
      <c r="DG235" s="217"/>
      <c r="DH235" s="217"/>
      <c r="DI235" s="215"/>
      <c r="DJ235" s="217"/>
      <c r="DK235" s="217"/>
      <c r="DL235" s="217"/>
      <c r="DM235" s="215">
        <f t="shared" si="229"/>
        <v>0</v>
      </c>
      <c r="DN235" s="216">
        <f t="shared" si="230"/>
        <v>0</v>
      </c>
      <c r="DO235" s="215"/>
      <c r="DP235" s="217"/>
      <c r="DQ235" s="217"/>
      <c r="DR235" s="217"/>
      <c r="DS235" s="215"/>
      <c r="DT235" s="217"/>
      <c r="DU235" s="217"/>
      <c r="DV235" s="217"/>
      <c r="DW235" s="215">
        <f t="shared" si="231"/>
        <v>0</v>
      </c>
      <c r="DX235" s="216">
        <f t="shared" si="232"/>
        <v>0</v>
      </c>
      <c r="DY235" s="215"/>
      <c r="DZ235" s="217"/>
      <c r="EA235" s="217"/>
      <c r="EB235" s="217"/>
      <c r="EC235" s="215"/>
      <c r="ED235" s="217"/>
      <c r="EE235" s="217"/>
      <c r="EF235" s="217"/>
      <c r="EG235" s="215">
        <f t="shared" si="233"/>
        <v>0</v>
      </c>
      <c r="EH235" s="216">
        <f t="shared" si="234"/>
        <v>0</v>
      </c>
      <c r="EI235" s="215"/>
      <c r="EJ235" s="217"/>
      <c r="EK235" s="217"/>
      <c r="EL235" s="217"/>
      <c r="EM235" s="215"/>
      <c r="EN235" s="217"/>
      <c r="EO235" s="217"/>
      <c r="EP235" s="217"/>
      <c r="EQ235" s="385"/>
      <c r="ER235" s="217">
        <f>SUM(ET235:EX235)</f>
        <v>0</v>
      </c>
      <c r="ES235" s="217">
        <f>IFERROR(SUMIFS(Daily_Vol_yesterday[Order Quantity],Daily_Vol_yesterday[Cust_Cat.cust_channel],master_Daily!X235,Daily_Vol_yesterday[Map_Product.TME_Brand],master_Daily!Y235)/50000,0)</f>
        <v>0</v>
      </c>
      <c r="ET235" s="217"/>
      <c r="EU235" s="217"/>
      <c r="EV235" s="216"/>
      <c r="EW235" s="217"/>
      <c r="EX235" s="217"/>
      <c r="EY235" s="217"/>
      <c r="EZ235" s="217">
        <f>SUM(FA235:FC235)</f>
        <v>1E-3</v>
      </c>
      <c r="FA235" s="217">
        <f>IFERROR(SUM(SUMIFS(Weekly_Vol[Quantity],Weekly_Vol[Cust_Cat.cust_channel],master_Daily!X235,Weekly_Vol[Map_Product.TME_Brand],master_Daily!Y235),SUMIFS(Daily_Vol[Order Quantity],Daily_Vol[Cust_Cat.cust_channel],master_Daily!X235,Daily_Vol[Map_Product.TME_Brand],master_Daily!Y235))/50000,0)</f>
        <v>1E-3</v>
      </c>
      <c r="FB235" s="217"/>
      <c r="FC235" s="217"/>
      <c r="FD235" s="217"/>
      <c r="FE235" s="217"/>
      <c r="FF235" s="217"/>
      <c r="FG235" s="217"/>
      <c r="FH235" s="217">
        <f ca="1">SUM(FI235:FK235)</f>
        <v>2.8E-3</v>
      </c>
      <c r="FI235" s="217">
        <f t="shared" ca="1" si="240"/>
        <v>2.8E-3</v>
      </c>
      <c r="FJ235" s="217">
        <f t="shared" ca="1" si="240"/>
        <v>0</v>
      </c>
      <c r="FK235" s="217">
        <f t="shared" ca="1" si="240"/>
        <v>0</v>
      </c>
      <c r="FL235" s="217">
        <f t="shared" ref="FL235:FO236" ca="1" si="242">SUMIFS($AA235:$EP235,$AA$129:$EP$129,INDIRECT(ADDRESS(129,COLUMN())))</f>
        <v>0</v>
      </c>
      <c r="FM235" s="216">
        <f t="shared" ca="1" si="242"/>
        <v>0</v>
      </c>
      <c r="FN235" s="216">
        <f t="shared" ca="1" si="242"/>
        <v>0</v>
      </c>
      <c r="FO235" s="216">
        <f t="shared" ca="1" si="242"/>
        <v>0</v>
      </c>
      <c r="FP235" s="218">
        <f t="shared" ca="1" si="241"/>
        <v>2.1480629075565781E-4</v>
      </c>
      <c r="FQ235" s="219">
        <f t="shared" si="170"/>
        <v>0</v>
      </c>
      <c r="FR235" s="217">
        <f>SUMIFS(TME_MTD_Dist[Sell_WHS_QTY],TME_MTD_Dist[Dist_Name],master_Daily!$X235,TME_MTD_Dist[Brand],master_Daily!$Y235)/50000
 + SUMIFS(TME_MTD_Dist[Sell_RTL_QTY],TME_MTD_Dist[Dist_Name],master_Daily!$X235,TME_MTD_Dist[Brand],master_Daily!$Y235)/50000</f>
        <v>0</v>
      </c>
      <c r="FS235" s="219">
        <f t="shared" si="207"/>
        <v>0</v>
      </c>
    </row>
    <row r="236" spans="20:175" s="154" customFormat="1" hidden="1" outlineLevel="1">
      <c r="T236" s="155"/>
      <c r="U236" s="156"/>
      <c r="X236" s="213" t="s">
        <v>219</v>
      </c>
      <c r="Y236" s="214" t="s">
        <v>46</v>
      </c>
      <c r="Z236" s="214"/>
      <c r="AA236" s="215">
        <f t="shared" si="211"/>
        <v>0.54100000000000004</v>
      </c>
      <c r="AB236" s="216">
        <f t="shared" si="212"/>
        <v>0</v>
      </c>
      <c r="AC236" s="215">
        <v>0.54100000000000004</v>
      </c>
      <c r="AD236" s="217">
        <v>0.54100000000000004</v>
      </c>
      <c r="AE236" s="217"/>
      <c r="AF236" s="217"/>
      <c r="AG236" s="215"/>
      <c r="AH236" s="217"/>
      <c r="AI236" s="217"/>
      <c r="AJ236" s="217"/>
      <c r="AK236" s="215">
        <f t="shared" si="213"/>
        <v>0.13619999999999999</v>
      </c>
      <c r="AL236" s="216">
        <f t="shared" si="214"/>
        <v>0</v>
      </c>
      <c r="AM236" s="215">
        <v>0.13619999999999999</v>
      </c>
      <c r="AN236" s="217">
        <v>0.13619999999999999</v>
      </c>
      <c r="AO236" s="217"/>
      <c r="AP236" s="217"/>
      <c r="AQ236" s="215"/>
      <c r="AR236" s="217"/>
      <c r="AS236" s="217"/>
      <c r="AT236" s="217"/>
      <c r="AU236" s="215">
        <f t="shared" si="215"/>
        <v>0.37</v>
      </c>
      <c r="AV236" s="216">
        <f t="shared" si="216"/>
        <v>0</v>
      </c>
      <c r="AW236" s="215">
        <v>0.37</v>
      </c>
      <c r="AX236" s="217">
        <v>0.37</v>
      </c>
      <c r="AY236" s="217"/>
      <c r="AZ236" s="217"/>
      <c r="BA236" s="215"/>
      <c r="BB236" s="217"/>
      <c r="BC236" s="217"/>
      <c r="BD236" s="217"/>
      <c r="BE236" s="215">
        <f t="shared" si="217"/>
        <v>0.34</v>
      </c>
      <c r="BF236" s="216">
        <f t="shared" si="218"/>
        <v>0</v>
      </c>
      <c r="BG236" s="215">
        <v>0.34</v>
      </c>
      <c r="BH236" s="217">
        <v>0.34</v>
      </c>
      <c r="BI236" s="217"/>
      <c r="BJ236" s="217"/>
      <c r="BK236" s="215"/>
      <c r="BL236" s="217"/>
      <c r="BM236" s="217"/>
      <c r="BN236" s="217"/>
      <c r="BO236" s="215">
        <f t="shared" si="219"/>
        <v>0.44</v>
      </c>
      <c r="BP236" s="216">
        <f t="shared" si="220"/>
        <v>0</v>
      </c>
      <c r="BQ236" s="215">
        <v>0.44</v>
      </c>
      <c r="BR236" s="217">
        <v>0.44</v>
      </c>
      <c r="BS236" s="217"/>
      <c r="BT236" s="217"/>
      <c r="BU236" s="215"/>
      <c r="BV236" s="217"/>
      <c r="BW236" s="217"/>
      <c r="BX236" s="217"/>
      <c r="BY236" s="215">
        <f t="shared" si="221"/>
        <v>0.1</v>
      </c>
      <c r="BZ236" s="216">
        <f t="shared" si="222"/>
        <v>0</v>
      </c>
      <c r="CA236" s="215">
        <v>0.1</v>
      </c>
      <c r="CB236" s="217">
        <v>0.1</v>
      </c>
      <c r="CC236" s="217"/>
      <c r="CD236" s="217"/>
      <c r="CE236" s="215"/>
      <c r="CF236" s="217"/>
      <c r="CG236" s="217"/>
      <c r="CH236" s="217"/>
      <c r="CI236" s="215">
        <f t="shared" si="223"/>
        <v>0</v>
      </c>
      <c r="CJ236" s="216">
        <f t="shared" si="224"/>
        <v>0</v>
      </c>
      <c r="CK236" s="215"/>
      <c r="CL236" s="217"/>
      <c r="CM236" s="217"/>
      <c r="CN236" s="217"/>
      <c r="CO236" s="215"/>
      <c r="CP236" s="217"/>
      <c r="CQ236" s="217"/>
      <c r="CR236" s="217"/>
      <c r="CS236" s="215">
        <f t="shared" si="225"/>
        <v>0</v>
      </c>
      <c r="CT236" s="216">
        <f t="shared" si="226"/>
        <v>0</v>
      </c>
      <c r="CU236" s="215"/>
      <c r="CV236" s="217"/>
      <c r="CW236" s="217"/>
      <c r="CX236" s="217"/>
      <c r="CY236" s="215"/>
      <c r="CZ236" s="217"/>
      <c r="DA236" s="217"/>
      <c r="DB236" s="217"/>
      <c r="DC236" s="215">
        <f t="shared" si="227"/>
        <v>0</v>
      </c>
      <c r="DD236" s="216">
        <f t="shared" si="228"/>
        <v>0</v>
      </c>
      <c r="DE236" s="215"/>
      <c r="DF236" s="217"/>
      <c r="DG236" s="217"/>
      <c r="DH236" s="217"/>
      <c r="DI236" s="215"/>
      <c r="DJ236" s="217"/>
      <c r="DK236" s="217"/>
      <c r="DL236" s="217"/>
      <c r="DM236" s="215">
        <f t="shared" si="229"/>
        <v>0</v>
      </c>
      <c r="DN236" s="216">
        <f t="shared" si="230"/>
        <v>0</v>
      </c>
      <c r="DO236" s="215"/>
      <c r="DP236" s="217"/>
      <c r="DQ236" s="217"/>
      <c r="DR236" s="217"/>
      <c r="DS236" s="215"/>
      <c r="DT236" s="217"/>
      <c r="DU236" s="217"/>
      <c r="DV236" s="217"/>
      <c r="DW236" s="215">
        <f t="shared" si="231"/>
        <v>0</v>
      </c>
      <c r="DX236" s="216">
        <f t="shared" si="232"/>
        <v>0</v>
      </c>
      <c r="DY236" s="215"/>
      <c r="DZ236" s="217"/>
      <c r="EA236" s="217"/>
      <c r="EB236" s="217"/>
      <c r="EC236" s="215"/>
      <c r="ED236" s="217"/>
      <c r="EE236" s="217"/>
      <c r="EF236" s="217"/>
      <c r="EG236" s="215">
        <f t="shared" si="233"/>
        <v>0</v>
      </c>
      <c r="EH236" s="216">
        <f t="shared" si="234"/>
        <v>0</v>
      </c>
      <c r="EI236" s="215"/>
      <c r="EJ236" s="217"/>
      <c r="EK236" s="217"/>
      <c r="EL236" s="217"/>
      <c r="EM236" s="215"/>
      <c r="EN236" s="217"/>
      <c r="EO236" s="217"/>
      <c r="EP236" s="217"/>
      <c r="EQ236" s="385"/>
      <c r="ER236" s="217">
        <f>SUM(ET236:EX236)</f>
        <v>0</v>
      </c>
      <c r="ES236" s="217">
        <f>IFERROR(SUMIFS(Daily_Vol_yesterday[Order Quantity],Daily_Vol_yesterday[Cust_Cat.cust_channel],master_Daily!X236,Daily_Vol_yesterday[Map_Product.TME_Brand],master_Daily!Y236)/50000,0)</f>
        <v>0</v>
      </c>
      <c r="ET236" s="217"/>
      <c r="EU236" s="217"/>
      <c r="EV236" s="216"/>
      <c r="EW236" s="217"/>
      <c r="EX236" s="217"/>
      <c r="EY236" s="217"/>
      <c r="EZ236" s="217">
        <f>SUM(FA236:FC236)</f>
        <v>0.1</v>
      </c>
      <c r="FA236" s="217">
        <f>IFERROR(SUM(SUMIFS(Weekly_Vol[Quantity],Weekly_Vol[Cust_Cat.cust_channel],master_Daily!X236,Weekly_Vol[Map_Product.TME_Brand],master_Daily!Y236),SUMIFS(Daily_Vol[Order Quantity],Daily_Vol[Cust_Cat.cust_channel],master_Daily!X236,Daily_Vol[Map_Product.TME_Brand],master_Daily!Y236))/50000,0)</f>
        <v>0.1</v>
      </c>
      <c r="FB236" s="217"/>
      <c r="FC236" s="217"/>
      <c r="FD236" s="217"/>
      <c r="FE236" s="217"/>
      <c r="FF236" s="217"/>
      <c r="FG236" s="217"/>
      <c r="FH236" s="217">
        <f ca="1">SUM(FI236:FK236)</f>
        <v>1.9272000000000002</v>
      </c>
      <c r="FI236" s="217">
        <f t="shared" ca="1" si="240"/>
        <v>1.9272000000000002</v>
      </c>
      <c r="FJ236" s="217">
        <f t="shared" ca="1" si="240"/>
        <v>0</v>
      </c>
      <c r="FK236" s="217">
        <f t="shared" ca="1" si="240"/>
        <v>0</v>
      </c>
      <c r="FL236" s="217">
        <f t="shared" ca="1" si="242"/>
        <v>0</v>
      </c>
      <c r="FM236" s="216">
        <f t="shared" ca="1" si="242"/>
        <v>0</v>
      </c>
      <c r="FN236" s="216">
        <f t="shared" ca="1" si="242"/>
        <v>0</v>
      </c>
      <c r="FO236" s="216">
        <f t="shared" ca="1" si="242"/>
        <v>0</v>
      </c>
      <c r="FP236" s="218">
        <f t="shared" ca="1" si="241"/>
        <v>0.14784810126582279</v>
      </c>
      <c r="FQ236" s="219">
        <f t="shared" si="170"/>
        <v>0</v>
      </c>
      <c r="FR236" s="217">
        <f>SUMIFS(TME_MTD_Dist[Sell_WHS_QTY],TME_MTD_Dist[Dist_Name],master_Daily!$X236,TME_MTD_Dist[Brand],master_Daily!$Y236)/50000
 + SUMIFS(TME_MTD_Dist[Sell_RTL_QTY],TME_MTD_Dist[Dist_Name],master_Daily!$X236,TME_MTD_Dist[Brand],master_Daily!$Y236)/50000</f>
        <v>0</v>
      </c>
      <c r="FS236" s="219">
        <f t="shared" si="207"/>
        <v>0</v>
      </c>
    </row>
    <row r="237" spans="20:175" s="154" customFormat="1" hidden="1" outlineLevel="1">
      <c r="T237" s="155"/>
      <c r="U237" s="156"/>
      <c r="X237" s="213" t="s">
        <v>219</v>
      </c>
      <c r="Y237" s="214" t="s">
        <v>263</v>
      </c>
      <c r="Z237" s="214"/>
      <c r="AA237" s="215">
        <f t="shared" si="211"/>
        <v>1.7</v>
      </c>
      <c r="AB237" s="216">
        <f t="shared" si="212"/>
        <v>0</v>
      </c>
      <c r="AC237" s="215">
        <v>1.7</v>
      </c>
      <c r="AD237" s="217">
        <v>1.7</v>
      </c>
      <c r="AE237" s="217"/>
      <c r="AF237" s="217"/>
      <c r="AG237" s="215"/>
      <c r="AH237" s="217"/>
      <c r="AI237" s="217"/>
      <c r="AJ237" s="217"/>
      <c r="AK237" s="215">
        <f t="shared" si="213"/>
        <v>2.31</v>
      </c>
      <c r="AL237" s="216">
        <f t="shared" si="214"/>
        <v>0</v>
      </c>
      <c r="AM237" s="215">
        <v>2.31</v>
      </c>
      <c r="AN237" s="217">
        <v>2.31</v>
      </c>
      <c r="AO237" s="217"/>
      <c r="AP237" s="217"/>
      <c r="AQ237" s="215"/>
      <c r="AR237" s="217"/>
      <c r="AS237" s="217"/>
      <c r="AT237" s="217"/>
      <c r="AU237" s="215">
        <f t="shared" si="215"/>
        <v>1.78</v>
      </c>
      <c r="AV237" s="216">
        <f t="shared" si="216"/>
        <v>0</v>
      </c>
      <c r="AW237" s="215">
        <v>1.78</v>
      </c>
      <c r="AX237" s="217">
        <v>1.78</v>
      </c>
      <c r="AY237" s="217"/>
      <c r="AZ237" s="217"/>
      <c r="BA237" s="215"/>
      <c r="BB237" s="217"/>
      <c r="BC237" s="217"/>
      <c r="BD237" s="217"/>
      <c r="BE237" s="215">
        <f t="shared" si="217"/>
        <v>1.1419999999999999</v>
      </c>
      <c r="BF237" s="216">
        <f t="shared" si="218"/>
        <v>0</v>
      </c>
      <c r="BG237" s="215">
        <v>1.1419999999999999</v>
      </c>
      <c r="BH237" s="217">
        <v>1.1419999999999999</v>
      </c>
      <c r="BI237" s="217"/>
      <c r="BJ237" s="217"/>
      <c r="BK237" s="215"/>
      <c r="BL237" s="217"/>
      <c r="BM237" s="217"/>
      <c r="BN237" s="217"/>
      <c r="BO237" s="215">
        <f t="shared" si="219"/>
        <v>1.73</v>
      </c>
      <c r="BP237" s="216">
        <f t="shared" si="220"/>
        <v>0</v>
      </c>
      <c r="BQ237" s="215">
        <v>1.73</v>
      </c>
      <c r="BR237" s="217">
        <v>1.73</v>
      </c>
      <c r="BS237" s="217"/>
      <c r="BT237" s="217"/>
      <c r="BU237" s="215"/>
      <c r="BV237" s="217"/>
      <c r="BW237" s="217"/>
      <c r="BX237" s="217"/>
      <c r="BY237" s="215">
        <f t="shared" si="221"/>
        <v>0.41</v>
      </c>
      <c r="BZ237" s="216">
        <f t="shared" si="222"/>
        <v>0</v>
      </c>
      <c r="CA237" s="215">
        <v>0.41</v>
      </c>
      <c r="CB237" s="217">
        <v>0.41</v>
      </c>
      <c r="CC237" s="217"/>
      <c r="CD237" s="217"/>
      <c r="CE237" s="215"/>
      <c r="CF237" s="217"/>
      <c r="CG237" s="217"/>
      <c r="CH237" s="217"/>
      <c r="CI237" s="215">
        <f t="shared" si="223"/>
        <v>0</v>
      </c>
      <c r="CJ237" s="216">
        <f t="shared" si="224"/>
        <v>0</v>
      </c>
      <c r="CK237" s="215"/>
      <c r="CL237" s="217"/>
      <c r="CM237" s="217"/>
      <c r="CN237" s="217"/>
      <c r="CO237" s="215"/>
      <c r="CP237" s="217"/>
      <c r="CQ237" s="217"/>
      <c r="CR237" s="217"/>
      <c r="CS237" s="215">
        <f t="shared" si="225"/>
        <v>0</v>
      </c>
      <c r="CT237" s="216">
        <f t="shared" si="226"/>
        <v>0</v>
      </c>
      <c r="CU237" s="215"/>
      <c r="CV237" s="217"/>
      <c r="CW237" s="217"/>
      <c r="CX237" s="217"/>
      <c r="CY237" s="215"/>
      <c r="CZ237" s="217"/>
      <c r="DA237" s="217"/>
      <c r="DB237" s="217"/>
      <c r="DC237" s="215">
        <f t="shared" si="227"/>
        <v>0</v>
      </c>
      <c r="DD237" s="216">
        <f t="shared" si="228"/>
        <v>0</v>
      </c>
      <c r="DE237" s="215"/>
      <c r="DF237" s="217"/>
      <c r="DG237" s="217"/>
      <c r="DH237" s="217"/>
      <c r="DI237" s="215"/>
      <c r="DJ237" s="217"/>
      <c r="DK237" s="217"/>
      <c r="DL237" s="217"/>
      <c r="DM237" s="215">
        <f t="shared" si="229"/>
        <v>0</v>
      </c>
      <c r="DN237" s="216">
        <f t="shared" si="230"/>
        <v>0</v>
      </c>
      <c r="DO237" s="215"/>
      <c r="DP237" s="217"/>
      <c r="DQ237" s="217"/>
      <c r="DR237" s="217"/>
      <c r="DS237" s="215"/>
      <c r="DT237" s="217"/>
      <c r="DU237" s="217"/>
      <c r="DV237" s="217"/>
      <c r="DW237" s="215">
        <f t="shared" si="231"/>
        <v>0</v>
      </c>
      <c r="DX237" s="216">
        <f t="shared" si="232"/>
        <v>0</v>
      </c>
      <c r="DY237" s="215"/>
      <c r="DZ237" s="217"/>
      <c r="EA237" s="217"/>
      <c r="EB237" s="217"/>
      <c r="EC237" s="215"/>
      <c r="ED237" s="217"/>
      <c r="EE237" s="217"/>
      <c r="EF237" s="217"/>
      <c r="EG237" s="215">
        <f t="shared" si="233"/>
        <v>0</v>
      </c>
      <c r="EH237" s="216">
        <f t="shared" si="234"/>
        <v>0</v>
      </c>
      <c r="EI237" s="215"/>
      <c r="EJ237" s="217"/>
      <c r="EK237" s="217"/>
      <c r="EL237" s="217"/>
      <c r="EM237" s="215"/>
      <c r="EN237" s="217"/>
      <c r="EO237" s="217"/>
      <c r="EP237" s="217"/>
      <c r="EQ237" s="385"/>
      <c r="ER237" s="217">
        <f>SUM(ET237:EX237)</f>
        <v>0</v>
      </c>
      <c r="ES237" s="217">
        <f>IFERROR(SUMIFS(Daily_Vol_yesterday[Order Quantity],Daily_Vol_yesterday[Cust_Cat.cust_channel],master_Daily!X237,Daily_Vol_yesterday[Map_Product.TME_Brand],"CM")/50000,0)</f>
        <v>0</v>
      </c>
      <c r="ET237" s="217"/>
      <c r="EU237" s="217"/>
      <c r="EV237" s="216"/>
      <c r="EW237" s="217"/>
      <c r="EX237" s="217"/>
      <c r="EY237" s="217"/>
      <c r="EZ237" s="217">
        <f>SUM(FA237:FC237)</f>
        <v>0.41</v>
      </c>
      <c r="FA237" s="217">
        <f>IFERROR(SUM(SUMIFS(Weekly_Vol[Quantity],Weekly_Vol[Cust_Cat.cust_channel],master_Daily!X237,Weekly_Vol[Map_Product.TME_Brand],"CM"),SUMIFS(Daily_Vol[Order Quantity],Daily_Vol[Cust_Cat.cust_channel],master_Daily!X237,Daily_Vol[Map_Product.TME_Brand],"CM"))/50000,0)</f>
        <v>0.41</v>
      </c>
      <c r="FB237" s="217"/>
      <c r="FC237" s="217"/>
      <c r="FD237" s="217"/>
      <c r="FE237" s="217"/>
      <c r="FF237" s="217"/>
      <c r="FG237" s="217"/>
      <c r="FH237" s="217">
        <f ca="1">SUM(FI237:FK237)</f>
        <v>9.072000000000001</v>
      </c>
      <c r="FI237" s="217">
        <f t="shared" ca="1" si="240"/>
        <v>9.072000000000001</v>
      </c>
      <c r="FJ237" s="217">
        <f t="shared" ca="1" si="240"/>
        <v>0</v>
      </c>
      <c r="FK237" s="217">
        <f t="shared" ca="1" si="240"/>
        <v>0</v>
      </c>
      <c r="FL237" s="217">
        <f ca="1">SUMIFS($AA237:$EP237,$AA$129:$EP$129,INDIRECT(ADDRESS(129,COLUMN())))</f>
        <v>0</v>
      </c>
      <c r="FM237" s="216">
        <f t="shared" ref="FM237:FO238" si="243">SUMIFS(AF237:EU237,$AA$129:$EP$129,$FH$129)</f>
        <v>0</v>
      </c>
      <c r="FN237" s="216">
        <f t="shared" si="243"/>
        <v>0</v>
      </c>
      <c r="FO237" s="216">
        <f t="shared" si="243"/>
        <v>0</v>
      </c>
      <c r="FP237" s="218">
        <f t="shared" ca="1" si="241"/>
        <v>0.69597238204833134</v>
      </c>
      <c r="FQ237" s="219">
        <f t="shared" si="170"/>
        <v>0</v>
      </c>
      <c r="FR237" s="217">
        <f>SUMIFS(TME_MTD_Dist[Sell_WHS_QTY],TME_MTD_Dist[Dist_Name],master_Daily!$X237,TME_MTD_Dist[Brand],master_Daily!$Y237)/50000
 + SUMIFS(TME_MTD_Dist[Sell_RTL_QTY],TME_MTD_Dist[Dist_Name],master_Daily!$X237,TME_MTD_Dist[Brand],master_Daily!$Y237)/50000</f>
        <v>0</v>
      </c>
      <c r="FS237" s="219">
        <f t="shared" si="207"/>
        <v>0</v>
      </c>
    </row>
    <row r="238" spans="20:175" s="154" customFormat="1" hidden="1" outlineLevel="1">
      <c r="T238" s="155"/>
      <c r="U238" s="156"/>
      <c r="X238" s="213" t="s">
        <v>219</v>
      </c>
      <c r="Y238" s="214" t="s">
        <v>264</v>
      </c>
      <c r="Z238" s="214"/>
      <c r="AA238" s="215">
        <f t="shared" si="211"/>
        <v>0.33400000000000002</v>
      </c>
      <c r="AB238" s="216">
        <f t="shared" si="212"/>
        <v>0</v>
      </c>
      <c r="AC238" s="215">
        <v>0.33400000000000002</v>
      </c>
      <c r="AD238" s="217">
        <v>0.33400000000000002</v>
      </c>
      <c r="AE238" s="217"/>
      <c r="AF238" s="217"/>
      <c r="AG238" s="215"/>
      <c r="AH238" s="217"/>
      <c r="AI238" s="217"/>
      <c r="AJ238" s="217"/>
      <c r="AK238" s="215">
        <f t="shared" si="213"/>
        <v>0.44</v>
      </c>
      <c r="AL238" s="216">
        <f t="shared" si="214"/>
        <v>0</v>
      </c>
      <c r="AM238" s="215">
        <v>0.44</v>
      </c>
      <c r="AN238" s="217">
        <v>0.44</v>
      </c>
      <c r="AO238" s="217"/>
      <c r="AP238" s="217"/>
      <c r="AQ238" s="215"/>
      <c r="AR238" s="217"/>
      <c r="AS238" s="217"/>
      <c r="AT238" s="217"/>
      <c r="AU238" s="215">
        <f t="shared" si="215"/>
        <v>0.33</v>
      </c>
      <c r="AV238" s="216">
        <f t="shared" si="216"/>
        <v>0</v>
      </c>
      <c r="AW238" s="215">
        <v>0.33</v>
      </c>
      <c r="AX238" s="217">
        <v>0.33</v>
      </c>
      <c r="AY238" s="217"/>
      <c r="AZ238" s="217"/>
      <c r="BA238" s="215"/>
      <c r="BB238" s="217"/>
      <c r="BC238" s="217"/>
      <c r="BD238" s="217"/>
      <c r="BE238" s="215">
        <f t="shared" si="217"/>
        <v>0.41</v>
      </c>
      <c r="BF238" s="216">
        <f t="shared" si="218"/>
        <v>0</v>
      </c>
      <c r="BG238" s="215">
        <v>0.41</v>
      </c>
      <c r="BH238" s="217">
        <v>0.41</v>
      </c>
      <c r="BI238" s="217"/>
      <c r="BJ238" s="217"/>
      <c r="BK238" s="215"/>
      <c r="BL238" s="217"/>
      <c r="BM238" s="217"/>
      <c r="BN238" s="217"/>
      <c r="BO238" s="215">
        <f t="shared" si="219"/>
        <v>0.34</v>
      </c>
      <c r="BP238" s="216">
        <f t="shared" si="220"/>
        <v>0</v>
      </c>
      <c r="BQ238" s="215">
        <v>0.34</v>
      </c>
      <c r="BR238" s="217">
        <v>0.34</v>
      </c>
      <c r="BS238" s="217"/>
      <c r="BT238" s="217"/>
      <c r="BU238" s="215"/>
      <c r="BV238" s="217"/>
      <c r="BW238" s="217"/>
      <c r="BX238" s="217"/>
      <c r="BY238" s="215">
        <f t="shared" si="221"/>
        <v>0.09</v>
      </c>
      <c r="BZ238" s="216">
        <f t="shared" si="222"/>
        <v>0</v>
      </c>
      <c r="CA238" s="215">
        <v>0.09</v>
      </c>
      <c r="CB238" s="217">
        <v>0.09</v>
      </c>
      <c r="CC238" s="217"/>
      <c r="CD238" s="217"/>
      <c r="CE238" s="215"/>
      <c r="CF238" s="217"/>
      <c r="CG238" s="217"/>
      <c r="CH238" s="217"/>
      <c r="CI238" s="215">
        <f t="shared" si="223"/>
        <v>0</v>
      </c>
      <c r="CJ238" s="216">
        <f t="shared" si="224"/>
        <v>0</v>
      </c>
      <c r="CK238" s="215"/>
      <c r="CL238" s="217"/>
      <c r="CM238" s="217"/>
      <c r="CN238" s="217"/>
      <c r="CO238" s="215"/>
      <c r="CP238" s="217"/>
      <c r="CQ238" s="217"/>
      <c r="CR238" s="217"/>
      <c r="CS238" s="215">
        <f t="shared" si="225"/>
        <v>0</v>
      </c>
      <c r="CT238" s="216">
        <f t="shared" si="226"/>
        <v>0</v>
      </c>
      <c r="CU238" s="215"/>
      <c r="CV238" s="217"/>
      <c r="CW238" s="217"/>
      <c r="CX238" s="217"/>
      <c r="CY238" s="215"/>
      <c r="CZ238" s="217"/>
      <c r="DA238" s="217"/>
      <c r="DB238" s="217"/>
      <c r="DC238" s="215">
        <f t="shared" si="227"/>
        <v>0</v>
      </c>
      <c r="DD238" s="216">
        <f t="shared" si="228"/>
        <v>0</v>
      </c>
      <c r="DE238" s="215"/>
      <c r="DF238" s="217"/>
      <c r="DG238" s="217"/>
      <c r="DH238" s="217"/>
      <c r="DI238" s="215"/>
      <c r="DJ238" s="217"/>
      <c r="DK238" s="217"/>
      <c r="DL238" s="217"/>
      <c r="DM238" s="215">
        <f t="shared" si="229"/>
        <v>0</v>
      </c>
      <c r="DN238" s="216">
        <f t="shared" si="230"/>
        <v>0</v>
      </c>
      <c r="DO238" s="215"/>
      <c r="DP238" s="217"/>
      <c r="DQ238" s="217"/>
      <c r="DR238" s="217"/>
      <c r="DS238" s="215"/>
      <c r="DT238" s="217"/>
      <c r="DU238" s="217"/>
      <c r="DV238" s="217"/>
      <c r="DW238" s="215">
        <f t="shared" si="231"/>
        <v>0</v>
      </c>
      <c r="DX238" s="216">
        <f t="shared" si="232"/>
        <v>0</v>
      </c>
      <c r="DY238" s="215"/>
      <c r="DZ238" s="217"/>
      <c r="EA238" s="217"/>
      <c r="EB238" s="217"/>
      <c r="EC238" s="215"/>
      <c r="ED238" s="217"/>
      <c r="EE238" s="217"/>
      <c r="EF238" s="217"/>
      <c r="EG238" s="215">
        <f t="shared" si="233"/>
        <v>0</v>
      </c>
      <c r="EH238" s="216">
        <f t="shared" si="234"/>
        <v>0</v>
      </c>
      <c r="EI238" s="215"/>
      <c r="EJ238" s="217"/>
      <c r="EK238" s="217"/>
      <c r="EL238" s="217"/>
      <c r="EM238" s="215"/>
      <c r="EN238" s="217"/>
      <c r="EO238" s="217"/>
      <c r="EP238" s="217"/>
      <c r="EQ238" s="385"/>
      <c r="ER238" s="217">
        <f>SUM(ET238:EX238)</f>
        <v>0</v>
      </c>
      <c r="ES238" s="217">
        <f>IFERROR(SUMIFS(Daily_Vol_yesterday[Order Quantity],Daily_Vol_yesterday[Cust_Cat.cust_channel],master_Daily!X238,Daily_Vol_yesterday[Map_Product.TME_Brand],"CMHD")/50000,0)</f>
        <v>0</v>
      </c>
      <c r="ET238" s="217"/>
      <c r="EU238" s="217"/>
      <c r="EV238" s="216"/>
      <c r="EW238" s="217"/>
      <c r="EX238" s="217"/>
      <c r="EY238" s="217"/>
      <c r="EZ238" s="217">
        <f>SUM(FA238:FC238)</f>
        <v>0.09</v>
      </c>
      <c r="FA238" s="217">
        <f>IFERROR(SUM(SUMIFS(Weekly_Vol[Quantity],Weekly_Vol[Cust_Cat.cust_channel],master_Daily!X238,Weekly_Vol[Map_Product.TME_Brand],"CMHD"),SUMIFS(Daily_Vol[Order Quantity],Daily_Vol[Cust_Cat.cust_channel],master_Daily!X238,Daily_Vol[Map_Product.TME_Brand],"CMHD"))/50000,0)</f>
        <v>0.09</v>
      </c>
      <c r="FB238" s="217"/>
      <c r="FC238" s="217"/>
      <c r="FD238" s="217"/>
      <c r="FE238" s="217"/>
      <c r="FF238" s="217"/>
      <c r="FG238" s="217"/>
      <c r="FH238" s="217">
        <f ca="1">SUM(FI238:FK238)</f>
        <v>1.9440000000000002</v>
      </c>
      <c r="FI238" s="217">
        <f t="shared" ca="1" si="240"/>
        <v>1.9440000000000002</v>
      </c>
      <c r="FJ238" s="217">
        <f t="shared" ca="1" si="240"/>
        <v>0</v>
      </c>
      <c r="FK238" s="217">
        <f t="shared" ca="1" si="240"/>
        <v>0</v>
      </c>
      <c r="FL238" s="217">
        <f ca="1">SUMIFS($AA238:$EP238,$AA$129:$EP$129,INDIRECT(ADDRESS(129,COLUMN())))</f>
        <v>0</v>
      </c>
      <c r="FM238" s="216">
        <f t="shared" si="243"/>
        <v>0</v>
      </c>
      <c r="FN238" s="216">
        <f t="shared" si="243"/>
        <v>0</v>
      </c>
      <c r="FO238" s="216">
        <f t="shared" si="243"/>
        <v>0</v>
      </c>
      <c r="FP238" s="218">
        <f t="shared" ca="1" si="241"/>
        <v>0.14913693901035671</v>
      </c>
      <c r="FQ238" s="219">
        <f t="shared" si="170"/>
        <v>0</v>
      </c>
      <c r="FR238" s="217">
        <f>SUMIFS(TME_MTD_Dist[Sell_WHS_QTY],TME_MTD_Dist[Dist_Name],master_Daily!$X238,TME_MTD_Dist[Brand],master_Daily!$Y238)/50000
 + SUMIFS(TME_MTD_Dist[Sell_RTL_QTY],TME_MTD_Dist[Dist_Name],master_Daily!$X238,TME_MTD_Dist[Brand],master_Daily!$Y238)/50000</f>
        <v>0</v>
      </c>
      <c r="FS238" s="219">
        <f t="shared" si="207"/>
        <v>0</v>
      </c>
    </row>
    <row r="239" spans="20:175" s="154" customFormat="1" collapsed="1">
      <c r="T239" s="155"/>
      <c r="U239" s="156"/>
      <c r="X239" s="220" t="s">
        <v>301</v>
      </c>
      <c r="Y239" s="221"/>
      <c r="Z239" s="221"/>
      <c r="AA239" s="222">
        <f t="shared" si="211"/>
        <v>2.6</v>
      </c>
      <c r="AB239" s="222">
        <f t="shared" si="212"/>
        <v>0</v>
      </c>
      <c r="AC239" s="222">
        <v>2.6</v>
      </c>
      <c r="AD239" s="222">
        <v>2.6</v>
      </c>
      <c r="AE239" s="222">
        <v>0</v>
      </c>
      <c r="AF239" s="222">
        <v>0</v>
      </c>
      <c r="AG239" s="222">
        <v>0</v>
      </c>
      <c r="AH239" s="222">
        <v>0</v>
      </c>
      <c r="AI239" s="222">
        <v>0</v>
      </c>
      <c r="AJ239" s="222">
        <v>0</v>
      </c>
      <c r="AK239" s="222">
        <f t="shared" si="213"/>
        <v>2.9</v>
      </c>
      <c r="AL239" s="222">
        <f t="shared" si="214"/>
        <v>0</v>
      </c>
      <c r="AM239" s="222">
        <v>2.9</v>
      </c>
      <c r="AN239" s="222">
        <v>2.9</v>
      </c>
      <c r="AO239" s="222">
        <v>0</v>
      </c>
      <c r="AP239" s="222">
        <v>0</v>
      </c>
      <c r="AQ239" s="222">
        <v>0</v>
      </c>
      <c r="AR239" s="222">
        <v>0</v>
      </c>
      <c r="AS239" s="222">
        <v>0</v>
      </c>
      <c r="AT239" s="222">
        <v>0</v>
      </c>
      <c r="AU239" s="222">
        <f t="shared" si="215"/>
        <v>2.5</v>
      </c>
      <c r="AV239" s="222">
        <f t="shared" si="216"/>
        <v>0</v>
      </c>
      <c r="AW239" s="222">
        <v>2.5</v>
      </c>
      <c r="AX239" s="222">
        <v>2.5</v>
      </c>
      <c r="AY239" s="222">
        <v>0</v>
      </c>
      <c r="AZ239" s="222">
        <v>0</v>
      </c>
      <c r="BA239" s="222">
        <v>0</v>
      </c>
      <c r="BB239" s="222">
        <v>0</v>
      </c>
      <c r="BC239" s="222">
        <v>0</v>
      </c>
      <c r="BD239" s="222">
        <v>0</v>
      </c>
      <c r="BE239" s="222">
        <f t="shared" si="217"/>
        <v>1.9</v>
      </c>
      <c r="BF239" s="222">
        <f t="shared" si="218"/>
        <v>0</v>
      </c>
      <c r="BG239" s="222">
        <v>1.9</v>
      </c>
      <c r="BH239" s="222">
        <v>1.9</v>
      </c>
      <c r="BI239" s="222">
        <v>0</v>
      </c>
      <c r="BJ239" s="222">
        <v>0</v>
      </c>
      <c r="BK239" s="222">
        <v>0</v>
      </c>
      <c r="BL239" s="222">
        <v>0</v>
      </c>
      <c r="BM239" s="222">
        <v>0</v>
      </c>
      <c r="BN239" s="222">
        <v>0</v>
      </c>
      <c r="BO239" s="222">
        <f t="shared" si="219"/>
        <v>2.5299999999999998</v>
      </c>
      <c r="BP239" s="222">
        <f t="shared" si="220"/>
        <v>0</v>
      </c>
      <c r="BQ239" s="222">
        <v>2.5299999999999998</v>
      </c>
      <c r="BR239" s="222">
        <v>2.5299999999999998</v>
      </c>
      <c r="BS239" s="222">
        <v>0</v>
      </c>
      <c r="BT239" s="222">
        <v>0</v>
      </c>
      <c r="BU239" s="222">
        <v>0</v>
      </c>
      <c r="BV239" s="222">
        <v>0</v>
      </c>
      <c r="BW239" s="222">
        <v>0</v>
      </c>
      <c r="BX239" s="222">
        <v>0</v>
      </c>
      <c r="BY239" s="222">
        <f t="shared" si="221"/>
        <v>0.60499999999999998</v>
      </c>
      <c r="BZ239" s="222">
        <f t="shared" si="222"/>
        <v>0</v>
      </c>
      <c r="CA239" s="222">
        <v>0.60499999999999998</v>
      </c>
      <c r="CB239" s="222">
        <v>0.60499999999999998</v>
      </c>
      <c r="CC239" s="222">
        <v>0</v>
      </c>
      <c r="CD239" s="222">
        <v>0</v>
      </c>
      <c r="CE239" s="222">
        <v>0</v>
      </c>
      <c r="CF239" s="222">
        <v>0</v>
      </c>
      <c r="CG239" s="222">
        <v>0</v>
      </c>
      <c r="CH239" s="222">
        <v>0</v>
      </c>
      <c r="CI239" s="222">
        <f t="shared" si="223"/>
        <v>0</v>
      </c>
      <c r="CJ239" s="222">
        <f t="shared" si="224"/>
        <v>0</v>
      </c>
      <c r="CK239" s="222"/>
      <c r="CL239" s="222"/>
      <c r="CM239" s="222"/>
      <c r="CN239" s="222"/>
      <c r="CO239" s="222"/>
      <c r="CP239" s="222">
        <v>0</v>
      </c>
      <c r="CQ239" s="222">
        <v>0</v>
      </c>
      <c r="CR239" s="222">
        <v>0</v>
      </c>
      <c r="CS239" s="222">
        <f t="shared" si="225"/>
        <v>0</v>
      </c>
      <c r="CT239" s="222">
        <f t="shared" si="226"/>
        <v>0</v>
      </c>
      <c r="CU239" s="222"/>
      <c r="CV239" s="222"/>
      <c r="CW239" s="222"/>
      <c r="CX239" s="222"/>
      <c r="CY239" s="222"/>
      <c r="CZ239" s="222">
        <v>0</v>
      </c>
      <c r="DA239" s="222">
        <v>0</v>
      </c>
      <c r="DB239" s="222">
        <v>0</v>
      </c>
      <c r="DC239" s="222">
        <f t="shared" si="227"/>
        <v>0</v>
      </c>
      <c r="DD239" s="222">
        <f t="shared" si="228"/>
        <v>0</v>
      </c>
      <c r="DE239" s="222"/>
      <c r="DF239" s="222"/>
      <c r="DG239" s="222"/>
      <c r="DH239" s="222"/>
      <c r="DI239" s="222"/>
      <c r="DJ239" s="222">
        <v>0</v>
      </c>
      <c r="DK239" s="222">
        <v>0</v>
      </c>
      <c r="DL239" s="222">
        <v>0</v>
      </c>
      <c r="DM239" s="222">
        <f t="shared" si="229"/>
        <v>0</v>
      </c>
      <c r="DN239" s="222">
        <f t="shared" si="230"/>
        <v>0</v>
      </c>
      <c r="DO239" s="222"/>
      <c r="DP239" s="222"/>
      <c r="DQ239" s="222"/>
      <c r="DR239" s="222"/>
      <c r="DS239" s="222"/>
      <c r="DT239" s="222">
        <v>0</v>
      </c>
      <c r="DU239" s="222">
        <v>0</v>
      </c>
      <c r="DV239" s="222">
        <v>0</v>
      </c>
      <c r="DW239" s="222">
        <f t="shared" si="231"/>
        <v>0</v>
      </c>
      <c r="DX239" s="222">
        <f t="shared" si="232"/>
        <v>0</v>
      </c>
      <c r="DY239" s="222"/>
      <c r="DZ239" s="222"/>
      <c r="EA239" s="222"/>
      <c r="EB239" s="222"/>
      <c r="EC239" s="222">
        <v>0</v>
      </c>
      <c r="ED239" s="222">
        <v>0</v>
      </c>
      <c r="EE239" s="222">
        <v>0</v>
      </c>
      <c r="EF239" s="222">
        <v>0</v>
      </c>
      <c r="EG239" s="222">
        <f t="shared" si="233"/>
        <v>0</v>
      </c>
      <c r="EH239" s="222">
        <f t="shared" si="234"/>
        <v>0</v>
      </c>
      <c r="EI239" s="222"/>
      <c r="EJ239" s="222"/>
      <c r="EK239" s="222"/>
      <c r="EL239" s="222"/>
      <c r="EM239" s="222">
        <v>0</v>
      </c>
      <c r="EN239" s="222">
        <v>0</v>
      </c>
      <c r="EO239" s="222">
        <v>0</v>
      </c>
      <c r="EP239" s="222">
        <v>0</v>
      </c>
      <c r="EQ239" s="223">
        <v>2.5499999999999998</v>
      </c>
      <c r="ER239" s="222">
        <f>SUM(ER234:ER238)</f>
        <v>0</v>
      </c>
      <c r="ES239" s="222">
        <f>SUM(ES234:ES238)</f>
        <v>0</v>
      </c>
      <c r="ET239" s="222">
        <f>SUM(ET234:ET238)</f>
        <v>0</v>
      </c>
      <c r="EU239" s="222">
        <f>SUM(EU234:EU238)</f>
        <v>0</v>
      </c>
      <c r="EV239" s="222"/>
      <c r="EW239" s="222"/>
      <c r="EX239" s="222"/>
      <c r="EY239" s="222"/>
      <c r="EZ239" s="222">
        <f t="shared" ref="EZ239:FK239" si="244">SUM(EZ234:EZ238)</f>
        <v>0.60499999999999998</v>
      </c>
      <c r="FA239" s="222">
        <f t="shared" si="244"/>
        <v>0.60499999999999998</v>
      </c>
      <c r="FB239" s="222">
        <f t="shared" si="244"/>
        <v>0</v>
      </c>
      <c r="FC239" s="222">
        <f t="shared" si="244"/>
        <v>0</v>
      </c>
      <c r="FD239" s="222">
        <f t="shared" si="244"/>
        <v>0</v>
      </c>
      <c r="FE239" s="222">
        <f t="shared" si="244"/>
        <v>0</v>
      </c>
      <c r="FF239" s="222">
        <f t="shared" si="244"/>
        <v>0</v>
      </c>
      <c r="FG239" s="222">
        <f t="shared" si="244"/>
        <v>0</v>
      </c>
      <c r="FH239" s="222">
        <f t="shared" ca="1" si="244"/>
        <v>13.035000000000002</v>
      </c>
      <c r="FI239" s="222">
        <f t="shared" ca="1" si="244"/>
        <v>13.035000000000002</v>
      </c>
      <c r="FJ239" s="222">
        <f t="shared" ca="1" si="244"/>
        <v>0</v>
      </c>
      <c r="FK239" s="222">
        <f t="shared" ca="1" si="244"/>
        <v>0</v>
      </c>
      <c r="FL239" s="222">
        <f ca="1">SUM(FL234:FL237)</f>
        <v>0</v>
      </c>
      <c r="FM239" s="223">
        <f ca="1">SUM(FM234:FM238)</f>
        <v>0</v>
      </c>
      <c r="FN239" s="223">
        <f ca="1">SUM(FN234:FN238)</f>
        <v>0</v>
      </c>
      <c r="FO239" s="223">
        <f ca="1">SUM(FO234:FO238)</f>
        <v>0</v>
      </c>
      <c r="FP239" s="224">
        <f t="shared" ca="1" si="241"/>
        <v>1</v>
      </c>
      <c r="FQ239" s="225">
        <f t="shared" si="170"/>
        <v>0.23725490196078433</v>
      </c>
      <c r="FR239" s="222">
        <f>SUM(FR234:FR238)</f>
        <v>0</v>
      </c>
      <c r="FS239" s="225">
        <f t="shared" si="207"/>
        <v>0</v>
      </c>
    </row>
    <row r="240" spans="20:175" s="154" customFormat="1" hidden="1" outlineLevel="1">
      <c r="T240" s="155"/>
      <c r="U240" s="156"/>
      <c r="X240" s="213" t="s">
        <v>302</v>
      </c>
      <c r="Y240" s="214" t="s">
        <v>44</v>
      </c>
      <c r="Z240" s="214"/>
      <c r="AA240" s="215">
        <f t="shared" si="211"/>
        <v>0</v>
      </c>
      <c r="AB240" s="216">
        <f t="shared" si="212"/>
        <v>0</v>
      </c>
      <c r="AC240" s="215">
        <v>0</v>
      </c>
      <c r="AD240" s="217">
        <v>0</v>
      </c>
      <c r="AE240" s="217"/>
      <c r="AF240" s="217"/>
      <c r="AG240" s="215"/>
      <c r="AH240" s="217"/>
      <c r="AI240" s="217"/>
      <c r="AJ240" s="217"/>
      <c r="AK240" s="215">
        <f t="shared" si="213"/>
        <v>0</v>
      </c>
      <c r="AL240" s="216">
        <f t="shared" si="214"/>
        <v>0</v>
      </c>
      <c r="AM240" s="215">
        <v>0</v>
      </c>
      <c r="AN240" s="217">
        <v>0</v>
      </c>
      <c r="AO240" s="217"/>
      <c r="AP240" s="217"/>
      <c r="AQ240" s="215"/>
      <c r="AR240" s="217"/>
      <c r="AS240" s="217"/>
      <c r="AT240" s="217"/>
      <c r="AU240" s="215">
        <f t="shared" si="215"/>
        <v>0</v>
      </c>
      <c r="AV240" s="216">
        <f t="shared" si="216"/>
        <v>0</v>
      </c>
      <c r="AW240" s="215">
        <v>0</v>
      </c>
      <c r="AX240" s="217">
        <v>0</v>
      </c>
      <c r="AY240" s="217"/>
      <c r="AZ240" s="217"/>
      <c r="BA240" s="215"/>
      <c r="BB240" s="217"/>
      <c r="BC240" s="217"/>
      <c r="BD240" s="217"/>
      <c r="BE240" s="215">
        <f t="shared" si="217"/>
        <v>0</v>
      </c>
      <c r="BF240" s="216">
        <f t="shared" si="218"/>
        <v>0</v>
      </c>
      <c r="BG240" s="215">
        <v>0</v>
      </c>
      <c r="BH240" s="217">
        <v>0</v>
      </c>
      <c r="BI240" s="217"/>
      <c r="BJ240" s="217"/>
      <c r="BK240" s="215"/>
      <c r="BL240" s="217"/>
      <c r="BM240" s="217"/>
      <c r="BN240" s="217"/>
      <c r="BO240" s="215">
        <f t="shared" si="219"/>
        <v>0</v>
      </c>
      <c r="BP240" s="216">
        <f t="shared" si="220"/>
        <v>0</v>
      </c>
      <c r="BQ240" s="215">
        <v>0</v>
      </c>
      <c r="BR240" s="217">
        <v>0</v>
      </c>
      <c r="BS240" s="217"/>
      <c r="BT240" s="217"/>
      <c r="BU240" s="215"/>
      <c r="BV240" s="217"/>
      <c r="BW240" s="217"/>
      <c r="BX240" s="217"/>
      <c r="BY240" s="215">
        <f t="shared" si="221"/>
        <v>0</v>
      </c>
      <c r="BZ240" s="216">
        <f t="shared" si="222"/>
        <v>0</v>
      </c>
      <c r="CA240" s="215">
        <v>0</v>
      </c>
      <c r="CB240" s="217">
        <v>0</v>
      </c>
      <c r="CC240" s="217"/>
      <c r="CD240" s="217"/>
      <c r="CE240" s="215"/>
      <c r="CF240" s="217"/>
      <c r="CG240" s="217"/>
      <c r="CH240" s="217"/>
      <c r="CI240" s="215">
        <f t="shared" si="223"/>
        <v>0</v>
      </c>
      <c r="CJ240" s="216">
        <f t="shared" si="224"/>
        <v>0</v>
      </c>
      <c r="CK240" s="215"/>
      <c r="CL240" s="217"/>
      <c r="CM240" s="217"/>
      <c r="CN240" s="217"/>
      <c r="CO240" s="215"/>
      <c r="CP240" s="217"/>
      <c r="CQ240" s="217"/>
      <c r="CR240" s="217"/>
      <c r="CS240" s="215">
        <f t="shared" si="225"/>
        <v>0</v>
      </c>
      <c r="CT240" s="216">
        <f t="shared" si="226"/>
        <v>0</v>
      </c>
      <c r="CU240" s="215"/>
      <c r="CV240" s="217"/>
      <c r="CW240" s="217"/>
      <c r="CX240" s="217"/>
      <c r="CY240" s="215"/>
      <c r="CZ240" s="217"/>
      <c r="DA240" s="217"/>
      <c r="DB240" s="217"/>
      <c r="DC240" s="215">
        <f t="shared" si="227"/>
        <v>0</v>
      </c>
      <c r="DD240" s="216">
        <f t="shared" si="228"/>
        <v>0</v>
      </c>
      <c r="DE240" s="215"/>
      <c r="DF240" s="217"/>
      <c r="DG240" s="217"/>
      <c r="DH240" s="217"/>
      <c r="DI240" s="215"/>
      <c r="DJ240" s="217"/>
      <c r="DK240" s="217"/>
      <c r="DL240" s="217"/>
      <c r="DM240" s="215">
        <f t="shared" si="229"/>
        <v>0</v>
      </c>
      <c r="DN240" s="216">
        <f t="shared" si="230"/>
        <v>0</v>
      </c>
      <c r="DO240" s="215"/>
      <c r="DP240" s="217"/>
      <c r="DQ240" s="217"/>
      <c r="DR240" s="217"/>
      <c r="DS240" s="215"/>
      <c r="DT240" s="217"/>
      <c r="DU240" s="217"/>
      <c r="DV240" s="217"/>
      <c r="DW240" s="215">
        <f t="shared" si="231"/>
        <v>0</v>
      </c>
      <c r="DX240" s="216">
        <f t="shared" si="232"/>
        <v>0</v>
      </c>
      <c r="DY240" s="215"/>
      <c r="DZ240" s="217"/>
      <c r="EA240" s="217"/>
      <c r="EB240" s="217"/>
      <c r="EC240" s="215"/>
      <c r="ED240" s="217"/>
      <c r="EE240" s="217"/>
      <c r="EF240" s="217"/>
      <c r="EG240" s="215">
        <f t="shared" si="233"/>
        <v>0</v>
      </c>
      <c r="EH240" s="216">
        <f t="shared" si="234"/>
        <v>0</v>
      </c>
      <c r="EI240" s="215"/>
      <c r="EJ240" s="217"/>
      <c r="EK240" s="217"/>
      <c r="EL240" s="217"/>
      <c r="EM240" s="215"/>
      <c r="EN240" s="217"/>
      <c r="EO240" s="217"/>
      <c r="EP240" s="217"/>
      <c r="EQ240" s="385"/>
      <c r="ER240" s="217">
        <f>SUM(ET240:EX240)</f>
        <v>0</v>
      </c>
      <c r="ES240" s="217">
        <f>IFERROR(SUMIFS(Daily_Vol_yesterday[Order Quantity],Daily_Vol_yesterday[Cust_Cat.cust_channel],master_Daily!X240,Daily_Vol_yesterday[Map_Product.TME_Brand],master_Daily!Y240)/50000,0)</f>
        <v>0</v>
      </c>
      <c r="ET240" s="217"/>
      <c r="EU240" s="217"/>
      <c r="EV240" s="216"/>
      <c r="EW240" s="217"/>
      <c r="EX240" s="217"/>
      <c r="EY240" s="217"/>
      <c r="EZ240" s="217">
        <f>SUM(FA240:FC240)</f>
        <v>0</v>
      </c>
      <c r="FA240" s="217">
        <f>IFERROR(SUM(SUMIFS(Weekly_Vol[Quantity],Weekly_Vol[Cust_Cat.cust_channel],master_Daily!X240,Weekly_Vol[Map_Product.TME_Brand],master_Daily!Y240),SUMIFS(Daily_Vol[Order Quantity],Daily_Vol[Cust_Cat.cust_channel],master_Daily!X240,Daily_Vol[Map_Product.TME_Brand],master_Daily!Y240))/50000,0)</f>
        <v>0</v>
      </c>
      <c r="FB240" s="217"/>
      <c r="FC240" s="217"/>
      <c r="FD240" s="217"/>
      <c r="FE240" s="217"/>
      <c r="FF240" s="217"/>
      <c r="FG240" s="217"/>
      <c r="FH240" s="217">
        <f ca="1">SUM(FI240:FK240)</f>
        <v>0</v>
      </c>
      <c r="FI240" s="217">
        <f t="shared" ref="FI240:FK244" ca="1" si="245">SUMIFS($AA240:$EP240,$AA$129:$EP$129,INDIRECT(ADDRESS(129,COLUMN())))</f>
        <v>0</v>
      </c>
      <c r="FJ240" s="217">
        <f t="shared" ca="1" si="245"/>
        <v>0</v>
      </c>
      <c r="FK240" s="217">
        <f t="shared" ca="1" si="245"/>
        <v>0</v>
      </c>
      <c r="FL240" s="217">
        <f ca="1">SUMIFS($AA240:$EP240,$AA$129:$EP$129,INDIRECT(ADDRESS(38,COLUMN())))</f>
        <v>0</v>
      </c>
      <c r="FM240" s="217">
        <f ca="1">SUMIFS($AA240:$EP240,$AA$129:$EP$129,INDIRECT(ADDRESS(38,COLUMN())))</f>
        <v>0</v>
      </c>
      <c r="FN240" s="217">
        <f ca="1">SUMIFS($AA240:$EP240,$AA$129:$EP$129,INDIRECT(ADDRESS(38,COLUMN())))</f>
        <v>0</v>
      </c>
      <c r="FO240" s="217">
        <f ca="1">SUMIFS($AA240:$EP240,$AA$129:$EP$129,INDIRECT(ADDRESS(38,COLUMN())))</f>
        <v>0</v>
      </c>
      <c r="FP240" s="218">
        <f t="shared" ref="FP240:FP245" ca="1" si="246">IFERROR(FH240/$FH$245,0)</f>
        <v>0</v>
      </c>
      <c r="FQ240" s="219">
        <f t="shared" si="170"/>
        <v>0</v>
      </c>
      <c r="FR240" s="217">
        <f>SUMIFS(TME_MTD_Dist[Sell_WHS_QTY],TME_MTD_Dist[Dist_Name],master_Daily!$X240,TME_MTD_Dist[Brand],master_Daily!$Y240)/50000
 + SUMIFS(TME_MTD_Dist[Sell_RTL_QTY],TME_MTD_Dist[Dist_Name],master_Daily!$X240,TME_MTD_Dist[Brand],master_Daily!$Y240)/50000</f>
        <v>0</v>
      </c>
      <c r="FS240" s="219">
        <f t="shared" si="207"/>
        <v>0</v>
      </c>
    </row>
    <row r="241" spans="20:175" s="154" customFormat="1" hidden="1" outlineLevel="1">
      <c r="T241" s="155"/>
      <c r="U241" s="156"/>
      <c r="X241" s="213" t="s">
        <v>302</v>
      </c>
      <c r="Y241" s="214" t="s">
        <v>45</v>
      </c>
      <c r="Z241" s="214"/>
      <c r="AA241" s="215">
        <f t="shared" si="211"/>
        <v>0</v>
      </c>
      <c r="AB241" s="216">
        <f t="shared" si="212"/>
        <v>0</v>
      </c>
      <c r="AC241" s="215">
        <v>0</v>
      </c>
      <c r="AD241" s="217">
        <v>0</v>
      </c>
      <c r="AE241" s="217"/>
      <c r="AF241" s="217"/>
      <c r="AG241" s="215"/>
      <c r="AH241" s="217"/>
      <c r="AI241" s="217"/>
      <c r="AJ241" s="217"/>
      <c r="AK241" s="215">
        <f t="shared" si="213"/>
        <v>0</v>
      </c>
      <c r="AL241" s="216">
        <f t="shared" si="214"/>
        <v>0</v>
      </c>
      <c r="AM241" s="215">
        <v>0</v>
      </c>
      <c r="AN241" s="217">
        <v>0</v>
      </c>
      <c r="AO241" s="217"/>
      <c r="AP241" s="217"/>
      <c r="AQ241" s="215"/>
      <c r="AR241" s="217"/>
      <c r="AS241" s="217"/>
      <c r="AT241" s="217"/>
      <c r="AU241" s="215">
        <f t="shared" si="215"/>
        <v>0</v>
      </c>
      <c r="AV241" s="216">
        <f t="shared" si="216"/>
        <v>0</v>
      </c>
      <c r="AW241" s="215">
        <v>0</v>
      </c>
      <c r="AX241" s="217">
        <v>0</v>
      </c>
      <c r="AY241" s="217"/>
      <c r="AZ241" s="217"/>
      <c r="BA241" s="215"/>
      <c r="BB241" s="217"/>
      <c r="BC241" s="217"/>
      <c r="BD241" s="217"/>
      <c r="BE241" s="215">
        <f t="shared" si="217"/>
        <v>0</v>
      </c>
      <c r="BF241" s="216">
        <f t="shared" si="218"/>
        <v>0</v>
      </c>
      <c r="BG241" s="215">
        <v>0</v>
      </c>
      <c r="BH241" s="217">
        <v>0</v>
      </c>
      <c r="BI241" s="217"/>
      <c r="BJ241" s="217"/>
      <c r="BK241" s="215"/>
      <c r="BL241" s="217"/>
      <c r="BM241" s="217"/>
      <c r="BN241" s="217"/>
      <c r="BO241" s="215">
        <f t="shared" si="219"/>
        <v>0</v>
      </c>
      <c r="BP241" s="216">
        <f t="shared" si="220"/>
        <v>0</v>
      </c>
      <c r="BQ241" s="215">
        <v>0</v>
      </c>
      <c r="BR241" s="217">
        <v>0</v>
      </c>
      <c r="BS241" s="217"/>
      <c r="BT241" s="217"/>
      <c r="BU241" s="215"/>
      <c r="BV241" s="217"/>
      <c r="BW241" s="217"/>
      <c r="BX241" s="217"/>
      <c r="BY241" s="215">
        <f t="shared" si="221"/>
        <v>0</v>
      </c>
      <c r="BZ241" s="216">
        <f t="shared" si="222"/>
        <v>0</v>
      </c>
      <c r="CA241" s="215">
        <v>0</v>
      </c>
      <c r="CB241" s="217">
        <v>0</v>
      </c>
      <c r="CC241" s="217"/>
      <c r="CD241" s="217"/>
      <c r="CE241" s="215"/>
      <c r="CF241" s="217"/>
      <c r="CG241" s="217"/>
      <c r="CH241" s="217"/>
      <c r="CI241" s="215">
        <f t="shared" si="223"/>
        <v>0</v>
      </c>
      <c r="CJ241" s="216">
        <f t="shared" si="224"/>
        <v>0</v>
      </c>
      <c r="CK241" s="215"/>
      <c r="CL241" s="217"/>
      <c r="CM241" s="217"/>
      <c r="CN241" s="217"/>
      <c r="CO241" s="215"/>
      <c r="CP241" s="217"/>
      <c r="CQ241" s="217"/>
      <c r="CR241" s="217"/>
      <c r="CS241" s="215">
        <f t="shared" si="225"/>
        <v>0</v>
      </c>
      <c r="CT241" s="216">
        <f t="shared" si="226"/>
        <v>0</v>
      </c>
      <c r="CU241" s="215"/>
      <c r="CV241" s="217"/>
      <c r="CW241" s="217"/>
      <c r="CX241" s="217"/>
      <c r="CY241" s="215"/>
      <c r="CZ241" s="217"/>
      <c r="DA241" s="217"/>
      <c r="DB241" s="217"/>
      <c r="DC241" s="215">
        <f t="shared" si="227"/>
        <v>0</v>
      </c>
      <c r="DD241" s="216">
        <f t="shared" si="228"/>
        <v>0</v>
      </c>
      <c r="DE241" s="215"/>
      <c r="DF241" s="217"/>
      <c r="DG241" s="217"/>
      <c r="DH241" s="217"/>
      <c r="DI241" s="215"/>
      <c r="DJ241" s="217"/>
      <c r="DK241" s="217"/>
      <c r="DL241" s="217"/>
      <c r="DM241" s="215">
        <f t="shared" si="229"/>
        <v>0</v>
      </c>
      <c r="DN241" s="216">
        <f t="shared" si="230"/>
        <v>0</v>
      </c>
      <c r="DO241" s="215"/>
      <c r="DP241" s="217"/>
      <c r="DQ241" s="217"/>
      <c r="DR241" s="217"/>
      <c r="DS241" s="215"/>
      <c r="DT241" s="217"/>
      <c r="DU241" s="217"/>
      <c r="DV241" s="217"/>
      <c r="DW241" s="215">
        <f t="shared" si="231"/>
        <v>0</v>
      </c>
      <c r="DX241" s="216">
        <f t="shared" si="232"/>
        <v>0</v>
      </c>
      <c r="DY241" s="215"/>
      <c r="DZ241" s="217"/>
      <c r="EA241" s="217"/>
      <c r="EB241" s="217"/>
      <c r="EC241" s="215"/>
      <c r="ED241" s="217"/>
      <c r="EE241" s="217"/>
      <c r="EF241" s="217"/>
      <c r="EG241" s="215">
        <f t="shared" si="233"/>
        <v>0</v>
      </c>
      <c r="EH241" s="216">
        <f t="shared" si="234"/>
        <v>0</v>
      </c>
      <c r="EI241" s="215"/>
      <c r="EJ241" s="217"/>
      <c r="EK241" s="217"/>
      <c r="EL241" s="217"/>
      <c r="EM241" s="215"/>
      <c r="EN241" s="217"/>
      <c r="EO241" s="217"/>
      <c r="EP241" s="217"/>
      <c r="EQ241" s="385"/>
      <c r="ER241" s="217">
        <f>SUM(ET241:EX241)</f>
        <v>0</v>
      </c>
      <c r="ES241" s="217">
        <f>IFERROR(SUMIFS(Daily_Vol_yesterday[Order Quantity],Daily_Vol_yesterday[Cust_Cat.cust_channel],master_Daily!X241,Daily_Vol_yesterday[Map_Product.TME_Brand],master_Daily!Y241)/50000,0)</f>
        <v>0</v>
      </c>
      <c r="ET241" s="217"/>
      <c r="EU241" s="217"/>
      <c r="EV241" s="216"/>
      <c r="EW241" s="217"/>
      <c r="EX241" s="217"/>
      <c r="EY241" s="217"/>
      <c r="EZ241" s="217">
        <f>SUM(FA241:FC241)</f>
        <v>0</v>
      </c>
      <c r="FA241" s="217">
        <f>IFERROR(SUM(SUMIFS(Weekly_Vol[Quantity],Weekly_Vol[Cust_Cat.cust_channel],master_Daily!X241,Weekly_Vol[Map_Product.TME_Brand],master_Daily!Y241),SUMIFS(Daily_Vol[Order Quantity],Daily_Vol[Cust_Cat.cust_channel],master_Daily!X241,Daily_Vol[Map_Product.TME_Brand],master_Daily!Y241))/50000,0)</f>
        <v>0</v>
      </c>
      <c r="FB241" s="217"/>
      <c r="FC241" s="217"/>
      <c r="FD241" s="217"/>
      <c r="FE241" s="217"/>
      <c r="FF241" s="217"/>
      <c r="FG241" s="217"/>
      <c r="FH241" s="217">
        <f ca="1">SUM(FI241:FK241)</f>
        <v>0</v>
      </c>
      <c r="FI241" s="217">
        <f t="shared" ca="1" si="245"/>
        <v>0</v>
      </c>
      <c r="FJ241" s="217">
        <f t="shared" ca="1" si="245"/>
        <v>0</v>
      </c>
      <c r="FK241" s="217">
        <f t="shared" ca="1" si="245"/>
        <v>0</v>
      </c>
      <c r="FL241" s="217">
        <f t="shared" ref="FL241:FO242" ca="1" si="247">SUMIFS($AA241:$EP241,$AA$129:$EP$129,INDIRECT(ADDRESS(129,COLUMN())))</f>
        <v>0</v>
      </c>
      <c r="FM241" s="216">
        <f t="shared" ca="1" si="247"/>
        <v>0</v>
      </c>
      <c r="FN241" s="216">
        <f t="shared" ca="1" si="247"/>
        <v>0</v>
      </c>
      <c r="FO241" s="216">
        <f t="shared" ca="1" si="247"/>
        <v>0</v>
      </c>
      <c r="FP241" s="218">
        <f t="shared" ca="1" si="246"/>
        <v>0</v>
      </c>
      <c r="FQ241" s="219">
        <f t="shared" si="170"/>
        <v>0</v>
      </c>
      <c r="FR241" s="217">
        <f>SUMIFS(TME_MTD_Dist[Sell_WHS_QTY],TME_MTD_Dist[Dist_Name],master_Daily!$X241,TME_MTD_Dist[Brand],master_Daily!$Y241)/50000
 + SUMIFS(TME_MTD_Dist[Sell_RTL_QTY],TME_MTD_Dist[Dist_Name],master_Daily!$X241,TME_MTD_Dist[Brand],master_Daily!$Y241)/50000</f>
        <v>0</v>
      </c>
      <c r="FS241" s="219">
        <f t="shared" si="207"/>
        <v>0</v>
      </c>
    </row>
    <row r="242" spans="20:175" s="154" customFormat="1" hidden="1" outlineLevel="1">
      <c r="T242" s="155"/>
      <c r="U242" s="156"/>
      <c r="X242" s="213" t="s">
        <v>302</v>
      </c>
      <c r="Y242" s="214" t="s">
        <v>46</v>
      </c>
      <c r="Z242" s="214"/>
      <c r="AA242" s="215">
        <f t="shared" si="211"/>
        <v>0</v>
      </c>
      <c r="AB242" s="216">
        <f t="shared" si="212"/>
        <v>0</v>
      </c>
      <c r="AC242" s="215">
        <v>0</v>
      </c>
      <c r="AD242" s="217">
        <v>0</v>
      </c>
      <c r="AE242" s="217"/>
      <c r="AF242" s="217"/>
      <c r="AG242" s="215"/>
      <c r="AH242" s="217"/>
      <c r="AI242" s="217"/>
      <c r="AJ242" s="217"/>
      <c r="AK242" s="215">
        <f t="shared" si="213"/>
        <v>0</v>
      </c>
      <c r="AL242" s="216">
        <f t="shared" si="214"/>
        <v>0</v>
      </c>
      <c r="AM242" s="215">
        <v>0</v>
      </c>
      <c r="AN242" s="217">
        <v>0</v>
      </c>
      <c r="AO242" s="217"/>
      <c r="AP242" s="217"/>
      <c r="AQ242" s="215"/>
      <c r="AR242" s="217"/>
      <c r="AS242" s="217"/>
      <c r="AT242" s="217"/>
      <c r="AU242" s="215">
        <f t="shared" si="215"/>
        <v>0</v>
      </c>
      <c r="AV242" s="216">
        <f t="shared" si="216"/>
        <v>0</v>
      </c>
      <c r="AW242" s="215">
        <v>0</v>
      </c>
      <c r="AX242" s="217">
        <v>0</v>
      </c>
      <c r="AY242" s="217"/>
      <c r="AZ242" s="217"/>
      <c r="BA242" s="215"/>
      <c r="BB242" s="217"/>
      <c r="BC242" s="217"/>
      <c r="BD242" s="217"/>
      <c r="BE242" s="215">
        <f t="shared" si="217"/>
        <v>0</v>
      </c>
      <c r="BF242" s="216">
        <f t="shared" si="218"/>
        <v>0</v>
      </c>
      <c r="BG242" s="215">
        <v>0</v>
      </c>
      <c r="BH242" s="217">
        <v>0</v>
      </c>
      <c r="BI242" s="217"/>
      <c r="BJ242" s="217"/>
      <c r="BK242" s="215"/>
      <c r="BL242" s="217"/>
      <c r="BM242" s="217"/>
      <c r="BN242" s="217"/>
      <c r="BO242" s="215">
        <f t="shared" si="219"/>
        <v>0</v>
      </c>
      <c r="BP242" s="216">
        <f t="shared" si="220"/>
        <v>0</v>
      </c>
      <c r="BQ242" s="215">
        <v>0</v>
      </c>
      <c r="BR242" s="217">
        <v>0</v>
      </c>
      <c r="BS242" s="217"/>
      <c r="BT242" s="217"/>
      <c r="BU242" s="215"/>
      <c r="BV242" s="217"/>
      <c r="BW242" s="217"/>
      <c r="BX242" s="217"/>
      <c r="BY242" s="215">
        <f t="shared" si="221"/>
        <v>0</v>
      </c>
      <c r="BZ242" s="216">
        <f t="shared" si="222"/>
        <v>0</v>
      </c>
      <c r="CA242" s="215">
        <v>0</v>
      </c>
      <c r="CB242" s="217">
        <v>0</v>
      </c>
      <c r="CC242" s="217"/>
      <c r="CD242" s="217"/>
      <c r="CE242" s="215"/>
      <c r="CF242" s="217"/>
      <c r="CG242" s="217"/>
      <c r="CH242" s="217"/>
      <c r="CI242" s="215">
        <f t="shared" si="223"/>
        <v>0</v>
      </c>
      <c r="CJ242" s="216">
        <f t="shared" si="224"/>
        <v>0</v>
      </c>
      <c r="CK242" s="215"/>
      <c r="CL242" s="217"/>
      <c r="CM242" s="217"/>
      <c r="CN242" s="217"/>
      <c r="CO242" s="215"/>
      <c r="CP242" s="217"/>
      <c r="CQ242" s="217"/>
      <c r="CR242" s="217"/>
      <c r="CS242" s="215">
        <f t="shared" si="225"/>
        <v>0</v>
      </c>
      <c r="CT242" s="216">
        <f t="shared" si="226"/>
        <v>0</v>
      </c>
      <c r="CU242" s="215"/>
      <c r="CV242" s="217"/>
      <c r="CW242" s="217"/>
      <c r="CX242" s="217"/>
      <c r="CY242" s="215"/>
      <c r="CZ242" s="217"/>
      <c r="DA242" s="217"/>
      <c r="DB242" s="217"/>
      <c r="DC242" s="215">
        <f t="shared" si="227"/>
        <v>0</v>
      </c>
      <c r="DD242" s="216">
        <f t="shared" si="228"/>
        <v>0</v>
      </c>
      <c r="DE242" s="215"/>
      <c r="DF242" s="217"/>
      <c r="DG242" s="217"/>
      <c r="DH242" s="217"/>
      <c r="DI242" s="215"/>
      <c r="DJ242" s="217"/>
      <c r="DK242" s="217"/>
      <c r="DL242" s="217"/>
      <c r="DM242" s="215">
        <f t="shared" si="229"/>
        <v>0</v>
      </c>
      <c r="DN242" s="216">
        <f t="shared" si="230"/>
        <v>0</v>
      </c>
      <c r="DO242" s="215"/>
      <c r="DP242" s="217"/>
      <c r="DQ242" s="217"/>
      <c r="DR242" s="217"/>
      <c r="DS242" s="215"/>
      <c r="DT242" s="217"/>
      <c r="DU242" s="217"/>
      <c r="DV242" s="217"/>
      <c r="DW242" s="215">
        <f t="shared" si="231"/>
        <v>0</v>
      </c>
      <c r="DX242" s="216">
        <f t="shared" si="232"/>
        <v>0</v>
      </c>
      <c r="DY242" s="215"/>
      <c r="DZ242" s="217"/>
      <c r="EA242" s="217"/>
      <c r="EB242" s="217"/>
      <c r="EC242" s="215"/>
      <c r="ED242" s="217"/>
      <c r="EE242" s="217"/>
      <c r="EF242" s="217"/>
      <c r="EG242" s="215">
        <f t="shared" si="233"/>
        <v>0</v>
      </c>
      <c r="EH242" s="216">
        <f t="shared" si="234"/>
        <v>0</v>
      </c>
      <c r="EI242" s="215"/>
      <c r="EJ242" s="217"/>
      <c r="EK242" s="217"/>
      <c r="EL242" s="217"/>
      <c r="EM242" s="215"/>
      <c r="EN242" s="217"/>
      <c r="EO242" s="217"/>
      <c r="EP242" s="217"/>
      <c r="EQ242" s="385"/>
      <c r="ER242" s="217">
        <f>SUM(ET242:EX242)</f>
        <v>0</v>
      </c>
      <c r="ES242" s="217">
        <f>IFERROR(SUMIFS(Daily_Vol_yesterday[Order Quantity],Daily_Vol_yesterday[Cust_Cat.cust_channel],master_Daily!X242,Daily_Vol_yesterday[Map_Product.TME_Brand],master_Daily!Y242)/50000,0)</f>
        <v>0</v>
      </c>
      <c r="ET242" s="217"/>
      <c r="EU242" s="217"/>
      <c r="EV242" s="216"/>
      <c r="EW242" s="217"/>
      <c r="EX242" s="217"/>
      <c r="EY242" s="217"/>
      <c r="EZ242" s="217">
        <f>SUM(FA242:FC242)</f>
        <v>0</v>
      </c>
      <c r="FA242" s="217">
        <f>IFERROR(SUM(SUMIFS(Weekly_Vol[Quantity],Weekly_Vol[Cust_Cat.cust_channel],master_Daily!X242,Weekly_Vol[Map_Product.TME_Brand],master_Daily!Y242),SUMIFS(Daily_Vol[Order Quantity],Daily_Vol[Cust_Cat.cust_channel],master_Daily!X242,Daily_Vol[Map_Product.TME_Brand],master_Daily!Y242))/50000,0)</f>
        <v>0</v>
      </c>
      <c r="FB242" s="217"/>
      <c r="FC242" s="217"/>
      <c r="FD242" s="217"/>
      <c r="FE242" s="217"/>
      <c r="FF242" s="217"/>
      <c r="FG242" s="217"/>
      <c r="FH242" s="217">
        <f ca="1">SUM(FI242:FK242)</f>
        <v>0</v>
      </c>
      <c r="FI242" s="217">
        <f t="shared" ca="1" si="245"/>
        <v>0</v>
      </c>
      <c r="FJ242" s="217">
        <f t="shared" ca="1" si="245"/>
        <v>0</v>
      </c>
      <c r="FK242" s="217">
        <f t="shared" ca="1" si="245"/>
        <v>0</v>
      </c>
      <c r="FL242" s="217">
        <f t="shared" ca="1" si="247"/>
        <v>0</v>
      </c>
      <c r="FM242" s="216">
        <f t="shared" ca="1" si="247"/>
        <v>0</v>
      </c>
      <c r="FN242" s="216">
        <f t="shared" ca="1" si="247"/>
        <v>0</v>
      </c>
      <c r="FO242" s="216">
        <f t="shared" ca="1" si="247"/>
        <v>0</v>
      </c>
      <c r="FP242" s="218">
        <f t="shared" ca="1" si="246"/>
        <v>0</v>
      </c>
      <c r="FQ242" s="219">
        <f t="shared" ref="FQ242:FQ273" si="248">IFERROR(EZ242/EQ242,0)</f>
        <v>0</v>
      </c>
      <c r="FR242" s="217">
        <f>SUMIFS(TME_MTD_Dist[Sell_WHS_QTY],TME_MTD_Dist[Dist_Name],master_Daily!$X242,TME_MTD_Dist[Brand],master_Daily!$Y242)/50000
 + SUMIFS(TME_MTD_Dist[Sell_RTL_QTY],TME_MTD_Dist[Dist_Name],master_Daily!$X242,TME_MTD_Dist[Brand],master_Daily!$Y242)/50000</f>
        <v>0</v>
      </c>
      <c r="FS242" s="219">
        <f t="shared" si="207"/>
        <v>0</v>
      </c>
    </row>
    <row r="243" spans="20:175" s="154" customFormat="1" hidden="1" outlineLevel="1">
      <c r="T243" s="155"/>
      <c r="U243" s="156"/>
      <c r="X243" s="213" t="s">
        <v>302</v>
      </c>
      <c r="Y243" s="214" t="s">
        <v>263</v>
      </c>
      <c r="Z243" s="214"/>
      <c r="AA243" s="215">
        <f t="shared" si="211"/>
        <v>0</v>
      </c>
      <c r="AB243" s="216">
        <f t="shared" si="212"/>
        <v>0</v>
      </c>
      <c r="AC243" s="215">
        <v>0</v>
      </c>
      <c r="AD243" s="217">
        <v>0</v>
      </c>
      <c r="AE243" s="217"/>
      <c r="AF243" s="217"/>
      <c r="AG243" s="215"/>
      <c r="AH243" s="217"/>
      <c r="AI243" s="217"/>
      <c r="AJ243" s="217"/>
      <c r="AK243" s="215">
        <f t="shared" si="213"/>
        <v>0</v>
      </c>
      <c r="AL243" s="216">
        <f t="shared" si="214"/>
        <v>0</v>
      </c>
      <c r="AM243" s="215">
        <v>0</v>
      </c>
      <c r="AN243" s="217">
        <v>0</v>
      </c>
      <c r="AO243" s="217"/>
      <c r="AP243" s="217"/>
      <c r="AQ243" s="215"/>
      <c r="AR243" s="217"/>
      <c r="AS243" s="217"/>
      <c r="AT243" s="217"/>
      <c r="AU243" s="215">
        <f t="shared" si="215"/>
        <v>0</v>
      </c>
      <c r="AV243" s="216">
        <f t="shared" si="216"/>
        <v>0</v>
      </c>
      <c r="AW243" s="215">
        <v>0</v>
      </c>
      <c r="AX243" s="217">
        <v>0</v>
      </c>
      <c r="AY243" s="217"/>
      <c r="AZ243" s="217"/>
      <c r="BA243" s="215"/>
      <c r="BB243" s="217"/>
      <c r="BC243" s="217"/>
      <c r="BD243" s="217"/>
      <c r="BE243" s="215">
        <f t="shared" si="217"/>
        <v>0</v>
      </c>
      <c r="BF243" s="216">
        <f t="shared" si="218"/>
        <v>0</v>
      </c>
      <c r="BG243" s="215">
        <v>0</v>
      </c>
      <c r="BH243" s="217">
        <v>0</v>
      </c>
      <c r="BI243" s="217"/>
      <c r="BJ243" s="217"/>
      <c r="BK243" s="215"/>
      <c r="BL243" s="217"/>
      <c r="BM243" s="217"/>
      <c r="BN243" s="217"/>
      <c r="BO243" s="215">
        <f t="shared" si="219"/>
        <v>0</v>
      </c>
      <c r="BP243" s="216">
        <f t="shared" si="220"/>
        <v>0</v>
      </c>
      <c r="BQ243" s="215">
        <v>0</v>
      </c>
      <c r="BR243" s="217">
        <v>0</v>
      </c>
      <c r="BS243" s="217"/>
      <c r="BT243" s="217"/>
      <c r="BU243" s="215"/>
      <c r="BV243" s="217"/>
      <c r="BW243" s="217"/>
      <c r="BX243" s="217"/>
      <c r="BY243" s="215">
        <f t="shared" si="221"/>
        <v>0</v>
      </c>
      <c r="BZ243" s="216">
        <f t="shared" si="222"/>
        <v>0</v>
      </c>
      <c r="CA243" s="215">
        <v>0</v>
      </c>
      <c r="CB243" s="217">
        <v>0</v>
      </c>
      <c r="CC243" s="217"/>
      <c r="CD243" s="217"/>
      <c r="CE243" s="215"/>
      <c r="CF243" s="217"/>
      <c r="CG243" s="217"/>
      <c r="CH243" s="217"/>
      <c r="CI243" s="215">
        <f t="shared" si="223"/>
        <v>0</v>
      </c>
      <c r="CJ243" s="216">
        <f t="shared" si="224"/>
        <v>0</v>
      </c>
      <c r="CK243" s="215"/>
      <c r="CL243" s="217"/>
      <c r="CM243" s="217"/>
      <c r="CN243" s="217"/>
      <c r="CO243" s="215"/>
      <c r="CP243" s="217"/>
      <c r="CQ243" s="217"/>
      <c r="CR243" s="217"/>
      <c r="CS243" s="215">
        <f t="shared" si="225"/>
        <v>0</v>
      </c>
      <c r="CT243" s="216">
        <f t="shared" si="226"/>
        <v>0</v>
      </c>
      <c r="CU243" s="215"/>
      <c r="CV243" s="217"/>
      <c r="CW243" s="217"/>
      <c r="CX243" s="217"/>
      <c r="CY243" s="215"/>
      <c r="CZ243" s="217"/>
      <c r="DA243" s="217"/>
      <c r="DB243" s="217"/>
      <c r="DC243" s="215">
        <f t="shared" si="227"/>
        <v>0</v>
      </c>
      <c r="DD243" s="216">
        <f t="shared" si="228"/>
        <v>0</v>
      </c>
      <c r="DE243" s="215"/>
      <c r="DF243" s="217"/>
      <c r="DG243" s="217"/>
      <c r="DH243" s="217"/>
      <c r="DI243" s="215"/>
      <c r="DJ243" s="217"/>
      <c r="DK243" s="217"/>
      <c r="DL243" s="217"/>
      <c r="DM243" s="215">
        <f t="shared" si="229"/>
        <v>0</v>
      </c>
      <c r="DN243" s="216">
        <f t="shared" si="230"/>
        <v>0</v>
      </c>
      <c r="DO243" s="215"/>
      <c r="DP243" s="217"/>
      <c r="DQ243" s="217"/>
      <c r="DR243" s="217"/>
      <c r="DS243" s="215"/>
      <c r="DT243" s="217"/>
      <c r="DU243" s="217"/>
      <c r="DV243" s="217"/>
      <c r="DW243" s="215">
        <f t="shared" si="231"/>
        <v>0</v>
      </c>
      <c r="DX243" s="216">
        <f t="shared" si="232"/>
        <v>0</v>
      </c>
      <c r="DY243" s="215"/>
      <c r="DZ243" s="217"/>
      <c r="EA243" s="217"/>
      <c r="EB243" s="217"/>
      <c r="EC243" s="215"/>
      <c r="ED243" s="217"/>
      <c r="EE243" s="217"/>
      <c r="EF243" s="217"/>
      <c r="EG243" s="215">
        <f t="shared" si="233"/>
        <v>0</v>
      </c>
      <c r="EH243" s="216">
        <f t="shared" si="234"/>
        <v>0</v>
      </c>
      <c r="EI243" s="215"/>
      <c r="EJ243" s="217"/>
      <c r="EK243" s="217"/>
      <c r="EL243" s="217"/>
      <c r="EM243" s="215"/>
      <c r="EN243" s="217"/>
      <c r="EO243" s="217"/>
      <c r="EP243" s="217"/>
      <c r="EQ243" s="385"/>
      <c r="ER243" s="217">
        <f>SUM(ET243:EX243)</f>
        <v>0</v>
      </c>
      <c r="ES243" s="217">
        <f>IFERROR(SUMIFS(Daily_Vol_yesterday[Order Quantity],Daily_Vol_yesterday[Cust_Cat.cust_channel],master_Daily!X243,Daily_Vol_yesterday[Map_Product.TME_Brand],"CM")/50000,0)</f>
        <v>0</v>
      </c>
      <c r="ET243" s="217"/>
      <c r="EU243" s="217"/>
      <c r="EV243" s="216"/>
      <c r="EW243" s="217"/>
      <c r="EX243" s="217"/>
      <c r="EY243" s="217"/>
      <c r="EZ243" s="217">
        <f>SUM(FA243:FC243)</f>
        <v>0</v>
      </c>
      <c r="FA243" s="217">
        <f>IFERROR(SUM(SUMIFS(Weekly_Vol[Quantity],Weekly_Vol[Cust_Cat.cust_channel],master_Daily!X243,Weekly_Vol[Map_Product.TME_Brand],"CM"),SUMIFS(Daily_Vol[Order Quantity],Daily_Vol[Cust_Cat.cust_channel],master_Daily!X243,Daily_Vol[Map_Product.TME_Brand],"CM"))/50000,0)</f>
        <v>0</v>
      </c>
      <c r="FB243" s="217"/>
      <c r="FC243" s="217"/>
      <c r="FD243" s="217"/>
      <c r="FE243" s="217"/>
      <c r="FF243" s="217"/>
      <c r="FG243" s="217"/>
      <c r="FH243" s="217">
        <f ca="1">SUM(FI243:FK243)</f>
        <v>0</v>
      </c>
      <c r="FI243" s="217">
        <f t="shared" ca="1" si="245"/>
        <v>0</v>
      </c>
      <c r="FJ243" s="217">
        <f t="shared" ca="1" si="245"/>
        <v>0</v>
      </c>
      <c r="FK243" s="217">
        <f t="shared" ca="1" si="245"/>
        <v>0</v>
      </c>
      <c r="FL243" s="217">
        <f ca="1">SUMIFS($AA243:$EP243,$AA$129:$EP$129,INDIRECT(ADDRESS(129,COLUMN())))</f>
        <v>0</v>
      </c>
      <c r="FM243" s="216">
        <f t="shared" ref="FM243:FO244" si="249">SUMIFS(AF243:EU243,$AA$129:$EP$129,$FH$129)</f>
        <v>0</v>
      </c>
      <c r="FN243" s="216">
        <f t="shared" si="249"/>
        <v>0</v>
      </c>
      <c r="FO243" s="216">
        <f t="shared" si="249"/>
        <v>0</v>
      </c>
      <c r="FP243" s="218">
        <f t="shared" ca="1" si="246"/>
        <v>0</v>
      </c>
      <c r="FQ243" s="219">
        <f t="shared" si="248"/>
        <v>0</v>
      </c>
      <c r="FR243" s="217">
        <f>SUMIFS(TME_MTD_Dist[Sell_WHS_QTY],TME_MTD_Dist[Dist_Name],master_Daily!$X243,TME_MTD_Dist[Brand],master_Daily!$Y243)/50000
 + SUMIFS(TME_MTD_Dist[Sell_RTL_QTY],TME_MTD_Dist[Dist_Name],master_Daily!$X243,TME_MTD_Dist[Brand],master_Daily!$Y243)/50000</f>
        <v>0</v>
      </c>
      <c r="FS243" s="219">
        <f t="shared" si="207"/>
        <v>0</v>
      </c>
    </row>
    <row r="244" spans="20:175" s="154" customFormat="1" hidden="1" outlineLevel="1">
      <c r="T244" s="155"/>
      <c r="U244" s="156"/>
      <c r="X244" s="213" t="s">
        <v>302</v>
      </c>
      <c r="Y244" s="214" t="s">
        <v>264</v>
      </c>
      <c r="Z244" s="214"/>
      <c r="AA244" s="215">
        <f t="shared" si="211"/>
        <v>0</v>
      </c>
      <c r="AB244" s="216">
        <f t="shared" si="212"/>
        <v>0</v>
      </c>
      <c r="AC244" s="215">
        <v>0</v>
      </c>
      <c r="AD244" s="217">
        <v>0</v>
      </c>
      <c r="AE244" s="217"/>
      <c r="AF244" s="217"/>
      <c r="AG244" s="215"/>
      <c r="AH244" s="217"/>
      <c r="AI244" s="217"/>
      <c r="AJ244" s="217"/>
      <c r="AK244" s="215">
        <f t="shared" si="213"/>
        <v>0</v>
      </c>
      <c r="AL244" s="216">
        <f t="shared" si="214"/>
        <v>0</v>
      </c>
      <c r="AM244" s="215">
        <v>0</v>
      </c>
      <c r="AN244" s="217">
        <v>0</v>
      </c>
      <c r="AO244" s="217"/>
      <c r="AP244" s="217"/>
      <c r="AQ244" s="215"/>
      <c r="AR244" s="217"/>
      <c r="AS244" s="217"/>
      <c r="AT244" s="217"/>
      <c r="AU244" s="215">
        <f t="shared" si="215"/>
        <v>0</v>
      </c>
      <c r="AV244" s="216">
        <f t="shared" si="216"/>
        <v>0</v>
      </c>
      <c r="AW244" s="215">
        <v>0</v>
      </c>
      <c r="AX244" s="217">
        <v>0</v>
      </c>
      <c r="AY244" s="217"/>
      <c r="AZ244" s="217"/>
      <c r="BA244" s="215"/>
      <c r="BB244" s="217"/>
      <c r="BC244" s="217"/>
      <c r="BD244" s="217"/>
      <c r="BE244" s="215">
        <f t="shared" si="217"/>
        <v>0</v>
      </c>
      <c r="BF244" s="216">
        <f t="shared" si="218"/>
        <v>0</v>
      </c>
      <c r="BG244" s="215">
        <v>0</v>
      </c>
      <c r="BH244" s="217">
        <v>0</v>
      </c>
      <c r="BI244" s="217"/>
      <c r="BJ244" s="217"/>
      <c r="BK244" s="215"/>
      <c r="BL244" s="217"/>
      <c r="BM244" s="217"/>
      <c r="BN244" s="217"/>
      <c r="BO244" s="215">
        <f t="shared" si="219"/>
        <v>0</v>
      </c>
      <c r="BP244" s="216">
        <f t="shared" si="220"/>
        <v>0</v>
      </c>
      <c r="BQ244" s="215">
        <v>0</v>
      </c>
      <c r="BR244" s="217">
        <v>0</v>
      </c>
      <c r="BS244" s="217"/>
      <c r="BT244" s="217"/>
      <c r="BU244" s="215"/>
      <c r="BV244" s="217"/>
      <c r="BW244" s="217"/>
      <c r="BX244" s="217"/>
      <c r="BY244" s="215">
        <f t="shared" si="221"/>
        <v>0</v>
      </c>
      <c r="BZ244" s="216">
        <f t="shared" si="222"/>
        <v>0</v>
      </c>
      <c r="CA244" s="215">
        <v>0</v>
      </c>
      <c r="CB244" s="217">
        <v>0</v>
      </c>
      <c r="CC244" s="217"/>
      <c r="CD244" s="217"/>
      <c r="CE244" s="215"/>
      <c r="CF244" s="217"/>
      <c r="CG244" s="217"/>
      <c r="CH244" s="217"/>
      <c r="CI244" s="215">
        <f t="shared" si="223"/>
        <v>0</v>
      </c>
      <c r="CJ244" s="216">
        <f t="shared" si="224"/>
        <v>0</v>
      </c>
      <c r="CK244" s="215"/>
      <c r="CL244" s="217"/>
      <c r="CM244" s="217"/>
      <c r="CN244" s="217"/>
      <c r="CO244" s="215"/>
      <c r="CP244" s="217"/>
      <c r="CQ244" s="217"/>
      <c r="CR244" s="217"/>
      <c r="CS244" s="215">
        <f t="shared" si="225"/>
        <v>0</v>
      </c>
      <c r="CT244" s="216">
        <f t="shared" si="226"/>
        <v>0</v>
      </c>
      <c r="CU244" s="215"/>
      <c r="CV244" s="217"/>
      <c r="CW244" s="217"/>
      <c r="CX244" s="217"/>
      <c r="CY244" s="215"/>
      <c r="CZ244" s="217"/>
      <c r="DA244" s="217"/>
      <c r="DB244" s="217"/>
      <c r="DC244" s="215">
        <f t="shared" si="227"/>
        <v>0</v>
      </c>
      <c r="DD244" s="216">
        <f t="shared" si="228"/>
        <v>0</v>
      </c>
      <c r="DE244" s="215"/>
      <c r="DF244" s="217"/>
      <c r="DG244" s="217"/>
      <c r="DH244" s="217"/>
      <c r="DI244" s="215"/>
      <c r="DJ244" s="217"/>
      <c r="DK244" s="217"/>
      <c r="DL244" s="217"/>
      <c r="DM244" s="215">
        <f t="shared" si="229"/>
        <v>0</v>
      </c>
      <c r="DN244" s="216">
        <f t="shared" si="230"/>
        <v>0</v>
      </c>
      <c r="DO244" s="215"/>
      <c r="DP244" s="217"/>
      <c r="DQ244" s="217"/>
      <c r="DR244" s="217"/>
      <c r="DS244" s="215"/>
      <c r="DT244" s="217"/>
      <c r="DU244" s="217"/>
      <c r="DV244" s="217"/>
      <c r="DW244" s="215">
        <f t="shared" si="231"/>
        <v>0</v>
      </c>
      <c r="DX244" s="216">
        <f t="shared" si="232"/>
        <v>0</v>
      </c>
      <c r="DY244" s="215"/>
      <c r="DZ244" s="217"/>
      <c r="EA244" s="217"/>
      <c r="EB244" s="217"/>
      <c r="EC244" s="215"/>
      <c r="ED244" s="217"/>
      <c r="EE244" s="217"/>
      <c r="EF244" s="217"/>
      <c r="EG244" s="215">
        <f t="shared" si="233"/>
        <v>0</v>
      </c>
      <c r="EH244" s="216">
        <f t="shared" si="234"/>
        <v>0</v>
      </c>
      <c r="EI244" s="215"/>
      <c r="EJ244" s="217"/>
      <c r="EK244" s="217"/>
      <c r="EL244" s="217"/>
      <c r="EM244" s="215"/>
      <c r="EN244" s="217"/>
      <c r="EO244" s="217"/>
      <c r="EP244" s="217"/>
      <c r="EQ244" s="385"/>
      <c r="ER244" s="217">
        <f>SUM(ET244:EX244)</f>
        <v>0</v>
      </c>
      <c r="ES244" s="217">
        <f>IFERROR(SUMIFS(Daily_Vol_yesterday[Order Quantity],Daily_Vol_yesterday[Cust_Cat.cust_channel],master_Daily!X244,Daily_Vol_yesterday[Map_Product.TME_Brand],"CMHD")/50000,0)</f>
        <v>0</v>
      </c>
      <c r="ET244" s="217"/>
      <c r="EU244" s="217"/>
      <c r="EV244" s="216"/>
      <c r="EW244" s="217"/>
      <c r="EX244" s="217"/>
      <c r="EY244" s="217"/>
      <c r="EZ244" s="217">
        <f>SUM(FA244:FC244)</f>
        <v>0</v>
      </c>
      <c r="FA244" s="217">
        <f>IFERROR(SUM(SUMIFS(Weekly_Vol[Quantity],Weekly_Vol[Cust_Cat.cust_channel],master_Daily!X244,Weekly_Vol[Map_Product.TME_Brand],"CMHD"),SUMIFS(Daily_Vol[Order Quantity],Daily_Vol[Cust_Cat.cust_channel],master_Daily!X244,Daily_Vol[Map_Product.TME_Brand],"CMHD"))/50000,0)</f>
        <v>0</v>
      </c>
      <c r="FB244" s="217"/>
      <c r="FC244" s="217"/>
      <c r="FD244" s="217"/>
      <c r="FE244" s="217"/>
      <c r="FF244" s="217"/>
      <c r="FG244" s="217"/>
      <c r="FH244" s="217">
        <f ca="1">SUM(FI244:FK244)</f>
        <v>0</v>
      </c>
      <c r="FI244" s="217">
        <f t="shared" ca="1" si="245"/>
        <v>0</v>
      </c>
      <c r="FJ244" s="217">
        <f t="shared" ca="1" si="245"/>
        <v>0</v>
      </c>
      <c r="FK244" s="217">
        <f t="shared" ca="1" si="245"/>
        <v>0</v>
      </c>
      <c r="FL244" s="217">
        <f ca="1">SUMIFS($AA244:$EP244,$AA$129:$EP$129,INDIRECT(ADDRESS(129,COLUMN())))</f>
        <v>0</v>
      </c>
      <c r="FM244" s="216">
        <f t="shared" si="249"/>
        <v>0</v>
      </c>
      <c r="FN244" s="216">
        <f t="shared" si="249"/>
        <v>0</v>
      </c>
      <c r="FO244" s="216">
        <f t="shared" si="249"/>
        <v>0</v>
      </c>
      <c r="FP244" s="218">
        <f t="shared" ca="1" si="246"/>
        <v>0</v>
      </c>
      <c r="FQ244" s="219">
        <f t="shared" si="248"/>
        <v>0</v>
      </c>
      <c r="FR244" s="217">
        <f>SUMIFS(TME_MTD_Dist[Sell_WHS_QTY],TME_MTD_Dist[Dist_Name],master_Daily!$X244,TME_MTD_Dist[Brand],master_Daily!$Y244)/50000
 + SUMIFS(TME_MTD_Dist[Sell_RTL_QTY],TME_MTD_Dist[Dist_Name],master_Daily!$X244,TME_MTD_Dist[Brand],master_Daily!$Y244)/50000</f>
        <v>0</v>
      </c>
      <c r="FS244" s="219">
        <f t="shared" si="207"/>
        <v>0</v>
      </c>
    </row>
    <row r="245" spans="20:175" s="154" customFormat="1" hidden="1" collapsed="1">
      <c r="T245" s="155"/>
      <c r="U245" s="156"/>
      <c r="X245" s="220" t="s">
        <v>303</v>
      </c>
      <c r="Y245" s="221"/>
      <c r="Z245" s="221"/>
      <c r="AA245" s="222">
        <f t="shared" si="211"/>
        <v>0</v>
      </c>
      <c r="AB245" s="222">
        <f t="shared" si="212"/>
        <v>0</v>
      </c>
      <c r="AC245" s="222">
        <v>0</v>
      </c>
      <c r="AD245" s="222">
        <v>0</v>
      </c>
      <c r="AE245" s="222">
        <v>0</v>
      </c>
      <c r="AF245" s="222">
        <v>0</v>
      </c>
      <c r="AG245" s="222">
        <v>0</v>
      </c>
      <c r="AH245" s="222">
        <v>0</v>
      </c>
      <c r="AI245" s="222">
        <v>0</v>
      </c>
      <c r="AJ245" s="222">
        <v>0</v>
      </c>
      <c r="AK245" s="222">
        <f t="shared" si="213"/>
        <v>0</v>
      </c>
      <c r="AL245" s="222">
        <f t="shared" si="214"/>
        <v>0</v>
      </c>
      <c r="AM245" s="222">
        <v>0</v>
      </c>
      <c r="AN245" s="222">
        <v>0</v>
      </c>
      <c r="AO245" s="222">
        <v>0</v>
      </c>
      <c r="AP245" s="222">
        <v>0</v>
      </c>
      <c r="AQ245" s="222">
        <v>0</v>
      </c>
      <c r="AR245" s="222">
        <v>0</v>
      </c>
      <c r="AS245" s="222">
        <v>0</v>
      </c>
      <c r="AT245" s="222">
        <v>0</v>
      </c>
      <c r="AU245" s="222">
        <f t="shared" si="215"/>
        <v>0</v>
      </c>
      <c r="AV245" s="222">
        <f t="shared" si="216"/>
        <v>0</v>
      </c>
      <c r="AW245" s="222">
        <v>0</v>
      </c>
      <c r="AX245" s="222">
        <v>0</v>
      </c>
      <c r="AY245" s="222">
        <v>0</v>
      </c>
      <c r="AZ245" s="222">
        <v>0</v>
      </c>
      <c r="BA245" s="222">
        <v>0</v>
      </c>
      <c r="BB245" s="222">
        <v>0</v>
      </c>
      <c r="BC245" s="222">
        <v>0</v>
      </c>
      <c r="BD245" s="222">
        <v>0</v>
      </c>
      <c r="BE245" s="222">
        <f t="shared" si="217"/>
        <v>0</v>
      </c>
      <c r="BF245" s="222">
        <f t="shared" si="218"/>
        <v>0</v>
      </c>
      <c r="BG245" s="222">
        <v>0</v>
      </c>
      <c r="BH245" s="222">
        <v>0</v>
      </c>
      <c r="BI245" s="222">
        <v>0</v>
      </c>
      <c r="BJ245" s="222">
        <v>0</v>
      </c>
      <c r="BK245" s="222">
        <v>0</v>
      </c>
      <c r="BL245" s="222">
        <v>0</v>
      </c>
      <c r="BM245" s="222">
        <v>0</v>
      </c>
      <c r="BN245" s="222">
        <v>0</v>
      </c>
      <c r="BO245" s="222">
        <f t="shared" si="219"/>
        <v>0</v>
      </c>
      <c r="BP245" s="222">
        <f t="shared" si="220"/>
        <v>0</v>
      </c>
      <c r="BQ245" s="222">
        <v>0</v>
      </c>
      <c r="BR245" s="222">
        <v>0</v>
      </c>
      <c r="BS245" s="222">
        <v>0</v>
      </c>
      <c r="BT245" s="222">
        <v>0</v>
      </c>
      <c r="BU245" s="222">
        <v>0</v>
      </c>
      <c r="BV245" s="222">
        <v>0</v>
      </c>
      <c r="BW245" s="222">
        <v>0</v>
      </c>
      <c r="BX245" s="222">
        <v>0</v>
      </c>
      <c r="BY245" s="222">
        <f t="shared" si="221"/>
        <v>0</v>
      </c>
      <c r="BZ245" s="222">
        <f t="shared" si="222"/>
        <v>0</v>
      </c>
      <c r="CA245" s="222">
        <v>0</v>
      </c>
      <c r="CB245" s="222">
        <v>0</v>
      </c>
      <c r="CC245" s="222">
        <v>0</v>
      </c>
      <c r="CD245" s="222">
        <v>0</v>
      </c>
      <c r="CE245" s="222">
        <v>0</v>
      </c>
      <c r="CF245" s="222">
        <v>0</v>
      </c>
      <c r="CG245" s="222">
        <v>0</v>
      </c>
      <c r="CH245" s="222">
        <v>0</v>
      </c>
      <c r="CI245" s="222">
        <f t="shared" si="223"/>
        <v>0</v>
      </c>
      <c r="CJ245" s="222">
        <f t="shared" si="224"/>
        <v>0</v>
      </c>
      <c r="CK245" s="222"/>
      <c r="CL245" s="222"/>
      <c r="CM245" s="222"/>
      <c r="CN245" s="222"/>
      <c r="CO245" s="222"/>
      <c r="CP245" s="222">
        <v>0</v>
      </c>
      <c r="CQ245" s="222">
        <v>0</v>
      </c>
      <c r="CR245" s="222">
        <v>0</v>
      </c>
      <c r="CS245" s="222">
        <f t="shared" si="225"/>
        <v>0</v>
      </c>
      <c r="CT245" s="222">
        <f t="shared" si="226"/>
        <v>0</v>
      </c>
      <c r="CU245" s="222"/>
      <c r="CV245" s="222"/>
      <c r="CW245" s="222"/>
      <c r="CX245" s="222"/>
      <c r="CY245" s="222"/>
      <c r="CZ245" s="222">
        <v>0</v>
      </c>
      <c r="DA245" s="222">
        <v>0</v>
      </c>
      <c r="DB245" s="222">
        <v>0</v>
      </c>
      <c r="DC245" s="222">
        <f t="shared" si="227"/>
        <v>0</v>
      </c>
      <c r="DD245" s="222">
        <f t="shared" si="228"/>
        <v>0</v>
      </c>
      <c r="DE245" s="222"/>
      <c r="DF245" s="222"/>
      <c r="DG245" s="222"/>
      <c r="DH245" s="222"/>
      <c r="DI245" s="222"/>
      <c r="DJ245" s="222">
        <v>0</v>
      </c>
      <c r="DK245" s="222">
        <v>0</v>
      </c>
      <c r="DL245" s="222">
        <v>0</v>
      </c>
      <c r="DM245" s="222">
        <f t="shared" si="229"/>
        <v>0</v>
      </c>
      <c r="DN245" s="222">
        <f t="shared" si="230"/>
        <v>0</v>
      </c>
      <c r="DO245" s="222"/>
      <c r="DP245" s="222"/>
      <c r="DQ245" s="222"/>
      <c r="DR245" s="222"/>
      <c r="DS245" s="222"/>
      <c r="DT245" s="222">
        <v>0</v>
      </c>
      <c r="DU245" s="222">
        <v>0</v>
      </c>
      <c r="DV245" s="222">
        <v>0</v>
      </c>
      <c r="DW245" s="222">
        <f t="shared" si="231"/>
        <v>0</v>
      </c>
      <c r="DX245" s="222">
        <f t="shared" si="232"/>
        <v>0</v>
      </c>
      <c r="DY245" s="222"/>
      <c r="DZ245" s="222"/>
      <c r="EA245" s="222"/>
      <c r="EB245" s="222"/>
      <c r="EC245" s="222">
        <v>0</v>
      </c>
      <c r="ED245" s="222">
        <v>0</v>
      </c>
      <c r="EE245" s="222">
        <v>0</v>
      </c>
      <c r="EF245" s="222">
        <v>0</v>
      </c>
      <c r="EG245" s="222">
        <f t="shared" si="233"/>
        <v>0</v>
      </c>
      <c r="EH245" s="222">
        <f t="shared" si="234"/>
        <v>0</v>
      </c>
      <c r="EI245" s="222"/>
      <c r="EJ245" s="222"/>
      <c r="EK245" s="222"/>
      <c r="EL245" s="222"/>
      <c r="EM245" s="222">
        <v>0</v>
      </c>
      <c r="EN245" s="222">
        <v>0</v>
      </c>
      <c r="EO245" s="222">
        <v>0</v>
      </c>
      <c r="EP245" s="222">
        <v>0</v>
      </c>
      <c r="EQ245" s="223"/>
      <c r="ER245" s="222">
        <f>SUM(ER240:ER244)</f>
        <v>0</v>
      </c>
      <c r="ES245" s="222">
        <f>SUM(ES240:ES244)</f>
        <v>0</v>
      </c>
      <c r="ET245" s="222">
        <f>SUM(ET240:ET244)</f>
        <v>0</v>
      </c>
      <c r="EU245" s="222">
        <f>SUM(EU240:EU244)</f>
        <v>0</v>
      </c>
      <c r="EV245" s="222"/>
      <c r="EW245" s="222"/>
      <c r="EX245" s="222"/>
      <c r="EY245" s="222"/>
      <c r="EZ245" s="222">
        <f t="shared" ref="EZ245:FK245" si="250">SUM(EZ240:EZ244)</f>
        <v>0</v>
      </c>
      <c r="FA245" s="222">
        <f t="shared" si="250"/>
        <v>0</v>
      </c>
      <c r="FB245" s="222">
        <f t="shared" si="250"/>
        <v>0</v>
      </c>
      <c r="FC245" s="222">
        <f t="shared" si="250"/>
        <v>0</v>
      </c>
      <c r="FD245" s="222">
        <f t="shared" si="250"/>
        <v>0</v>
      </c>
      <c r="FE245" s="222">
        <f t="shared" si="250"/>
        <v>0</v>
      </c>
      <c r="FF245" s="222">
        <f t="shared" si="250"/>
        <v>0</v>
      </c>
      <c r="FG245" s="222">
        <f t="shared" si="250"/>
        <v>0</v>
      </c>
      <c r="FH245" s="222">
        <f t="shared" ca="1" si="250"/>
        <v>0</v>
      </c>
      <c r="FI245" s="222">
        <f t="shared" ca="1" si="250"/>
        <v>0</v>
      </c>
      <c r="FJ245" s="222">
        <f t="shared" ca="1" si="250"/>
        <v>0</v>
      </c>
      <c r="FK245" s="222">
        <f t="shared" ca="1" si="250"/>
        <v>0</v>
      </c>
      <c r="FL245" s="222">
        <f ca="1">SUM(FL240:FL243)</f>
        <v>0</v>
      </c>
      <c r="FM245" s="223">
        <f ca="1">SUM(FM240:FM244)</f>
        <v>0</v>
      </c>
      <c r="FN245" s="223">
        <f ca="1">SUM(FN240:FN244)</f>
        <v>0</v>
      </c>
      <c r="FO245" s="223">
        <f ca="1">SUM(FO240:FO244)</f>
        <v>0</v>
      </c>
      <c r="FP245" s="224">
        <f t="shared" ca="1" si="246"/>
        <v>0</v>
      </c>
      <c r="FQ245" s="225">
        <f t="shared" si="248"/>
        <v>0</v>
      </c>
      <c r="FR245" s="222">
        <f>SUM(FR240:FR244)</f>
        <v>0</v>
      </c>
      <c r="FS245" s="225">
        <f t="shared" si="207"/>
        <v>0</v>
      </c>
    </row>
    <row r="246" spans="20:175" s="154" customFormat="1" hidden="1" outlineLevel="1">
      <c r="T246" s="155"/>
      <c r="U246" s="156"/>
      <c r="X246" s="226" t="s">
        <v>222</v>
      </c>
      <c r="Y246" s="227" t="s">
        <v>44</v>
      </c>
      <c r="Z246" s="227"/>
      <c r="AA246" s="228">
        <f t="shared" si="211"/>
        <v>0.03</v>
      </c>
      <c r="AB246" s="229">
        <f t="shared" si="212"/>
        <v>0</v>
      </c>
      <c r="AC246" s="228">
        <v>0.03</v>
      </c>
      <c r="AD246" s="230">
        <v>0.03</v>
      </c>
      <c r="AE246" s="230"/>
      <c r="AF246" s="230"/>
      <c r="AG246" s="228"/>
      <c r="AH246" s="230"/>
      <c r="AI246" s="230"/>
      <c r="AJ246" s="230"/>
      <c r="AK246" s="228">
        <f t="shared" si="213"/>
        <v>0.03</v>
      </c>
      <c r="AL246" s="229">
        <f t="shared" si="214"/>
        <v>0</v>
      </c>
      <c r="AM246" s="228">
        <v>0.03</v>
      </c>
      <c r="AN246" s="230">
        <v>0.03</v>
      </c>
      <c r="AO246" s="230"/>
      <c r="AP246" s="230"/>
      <c r="AQ246" s="228"/>
      <c r="AR246" s="230"/>
      <c r="AS246" s="230"/>
      <c r="AT246" s="230"/>
      <c r="AU246" s="228">
        <f t="shared" si="215"/>
        <v>1.4999999999999999E-2</v>
      </c>
      <c r="AV246" s="229">
        <f t="shared" si="216"/>
        <v>0</v>
      </c>
      <c r="AW246" s="228">
        <v>1.4999999999999999E-2</v>
      </c>
      <c r="AX246" s="230">
        <v>1.4999999999999999E-2</v>
      </c>
      <c r="AY246" s="230"/>
      <c r="AZ246" s="230"/>
      <c r="BA246" s="228"/>
      <c r="BB246" s="230"/>
      <c r="BC246" s="230"/>
      <c r="BD246" s="230"/>
      <c r="BE246" s="228">
        <f t="shared" si="217"/>
        <v>1.9E-2</v>
      </c>
      <c r="BF246" s="229">
        <f t="shared" si="218"/>
        <v>0</v>
      </c>
      <c r="BG246" s="228">
        <v>1.9E-2</v>
      </c>
      <c r="BH246" s="230">
        <v>1.9E-2</v>
      </c>
      <c r="BI246" s="230"/>
      <c r="BJ246" s="230"/>
      <c r="BK246" s="228"/>
      <c r="BL246" s="230"/>
      <c r="BM246" s="230"/>
      <c r="BN246" s="230"/>
      <c r="BO246" s="228">
        <f t="shared" si="219"/>
        <v>1.7000000000000001E-2</v>
      </c>
      <c r="BP246" s="229">
        <f t="shared" si="220"/>
        <v>0</v>
      </c>
      <c r="BQ246" s="228">
        <v>1.7000000000000001E-2</v>
      </c>
      <c r="BR246" s="230">
        <v>1.7000000000000001E-2</v>
      </c>
      <c r="BS246" s="230"/>
      <c r="BT246" s="230"/>
      <c r="BU246" s="228"/>
      <c r="BV246" s="230"/>
      <c r="BW246" s="230"/>
      <c r="BX246" s="230"/>
      <c r="BY246" s="228">
        <f t="shared" si="221"/>
        <v>3.1E-2</v>
      </c>
      <c r="BZ246" s="229">
        <f t="shared" si="222"/>
        <v>0</v>
      </c>
      <c r="CA246" s="228">
        <v>3.1E-2</v>
      </c>
      <c r="CB246" s="230">
        <v>3.1E-2</v>
      </c>
      <c r="CC246" s="230"/>
      <c r="CD246" s="230"/>
      <c r="CE246" s="228"/>
      <c r="CF246" s="230"/>
      <c r="CG246" s="230"/>
      <c r="CH246" s="230"/>
      <c r="CI246" s="228">
        <f t="shared" si="223"/>
        <v>0</v>
      </c>
      <c r="CJ246" s="229">
        <f t="shared" si="224"/>
        <v>0</v>
      </c>
      <c r="CK246" s="228"/>
      <c r="CL246" s="230"/>
      <c r="CM246" s="230"/>
      <c r="CN246" s="230"/>
      <c r="CO246" s="228"/>
      <c r="CP246" s="230"/>
      <c r="CQ246" s="230"/>
      <c r="CR246" s="230"/>
      <c r="CS246" s="228">
        <f t="shared" si="225"/>
        <v>0</v>
      </c>
      <c r="CT246" s="229">
        <f t="shared" si="226"/>
        <v>0</v>
      </c>
      <c r="CU246" s="228"/>
      <c r="CV246" s="230"/>
      <c r="CW246" s="230"/>
      <c r="CX246" s="230"/>
      <c r="CY246" s="228"/>
      <c r="CZ246" s="230"/>
      <c r="DA246" s="230"/>
      <c r="DB246" s="230"/>
      <c r="DC246" s="228">
        <f t="shared" si="227"/>
        <v>0</v>
      </c>
      <c r="DD246" s="229">
        <f t="shared" si="228"/>
        <v>0</v>
      </c>
      <c r="DE246" s="228"/>
      <c r="DF246" s="230"/>
      <c r="DG246" s="230"/>
      <c r="DH246" s="230"/>
      <c r="DI246" s="228"/>
      <c r="DJ246" s="230"/>
      <c r="DK246" s="230"/>
      <c r="DL246" s="230"/>
      <c r="DM246" s="228">
        <f t="shared" si="229"/>
        <v>0</v>
      </c>
      <c r="DN246" s="229">
        <f t="shared" si="230"/>
        <v>0</v>
      </c>
      <c r="DO246" s="228"/>
      <c r="DP246" s="230"/>
      <c r="DQ246" s="230"/>
      <c r="DR246" s="230"/>
      <c r="DS246" s="228"/>
      <c r="DT246" s="230"/>
      <c r="DU246" s="230"/>
      <c r="DV246" s="230"/>
      <c r="DW246" s="228">
        <f t="shared" si="231"/>
        <v>0</v>
      </c>
      <c r="DX246" s="229">
        <f t="shared" si="232"/>
        <v>0</v>
      </c>
      <c r="DY246" s="228"/>
      <c r="DZ246" s="230"/>
      <c r="EA246" s="230"/>
      <c r="EB246" s="230"/>
      <c r="EC246" s="228"/>
      <c r="ED246" s="230"/>
      <c r="EE246" s="230"/>
      <c r="EF246" s="230"/>
      <c r="EG246" s="228">
        <f t="shared" si="233"/>
        <v>0</v>
      </c>
      <c r="EH246" s="229">
        <f t="shared" si="234"/>
        <v>0</v>
      </c>
      <c r="EI246" s="228"/>
      <c r="EJ246" s="230"/>
      <c r="EK246" s="230"/>
      <c r="EL246" s="230"/>
      <c r="EM246" s="228"/>
      <c r="EN246" s="230"/>
      <c r="EO246" s="230"/>
      <c r="EP246" s="230"/>
      <c r="EQ246" s="386"/>
      <c r="ER246" s="230">
        <f>SUM(ET246:EX246)</f>
        <v>0</v>
      </c>
      <c r="ES246" s="230">
        <f>IFERROR(SUMIFS(Daily_Vol_yesterday[Order Quantity],Daily_Vol_yesterday[Cust_Cat.cust_channel],master_Daily!X246,Daily_Vol_yesterday[Map_Product.TME_Brand],master_Daily!Y246)/50000,0)</f>
        <v>0.01</v>
      </c>
      <c r="ET246" s="230"/>
      <c r="EU246" s="230"/>
      <c r="EV246" s="229"/>
      <c r="EW246" s="230"/>
      <c r="EX246" s="230"/>
      <c r="EY246" s="230"/>
      <c r="EZ246" s="230">
        <f>SUM(FA246:FC246)</f>
        <v>3.1E-2</v>
      </c>
      <c r="FA246" s="230">
        <f>IFERROR(SUM(SUMIFS(Weekly_Vol[Quantity],Weekly_Vol[Cust_Cat.cust_channel],master_Daily!X246,Weekly_Vol[Map_Product.TME_Brand],master_Daily!Y246),SUMIFS(Daily_Vol[Order Quantity],Daily_Vol[Cust_Cat.cust_channel],master_Daily!X246,Daily_Vol[Map_Product.TME_Brand],master_Daily!Y246))/50000,0)</f>
        <v>3.1E-2</v>
      </c>
      <c r="FB246" s="230"/>
      <c r="FC246" s="230"/>
      <c r="FD246" s="230"/>
      <c r="FE246" s="230"/>
      <c r="FF246" s="230"/>
      <c r="FG246" s="230"/>
      <c r="FH246" s="230">
        <f ca="1">SUM(FI246:FK246)</f>
        <v>0.14200000000000002</v>
      </c>
      <c r="FI246" s="230">
        <f t="shared" ref="FI246:FK250" ca="1" si="251">SUMIFS($AA246:$EP246,$AA$129:$EP$129,INDIRECT(ADDRESS(129,COLUMN())))</f>
        <v>0.14200000000000002</v>
      </c>
      <c r="FJ246" s="230">
        <f t="shared" ca="1" si="251"/>
        <v>0</v>
      </c>
      <c r="FK246" s="230">
        <f t="shared" ca="1" si="251"/>
        <v>0</v>
      </c>
      <c r="FL246" s="230">
        <f ca="1">SUMIFS($AA246:$EP246,$AA$129:$EP$129,INDIRECT(ADDRESS(38,COLUMN())))</f>
        <v>0</v>
      </c>
      <c r="FM246" s="230">
        <f ca="1">SUMIFS($AA246:$EP246,$AA$129:$EP$129,INDIRECT(ADDRESS(38,COLUMN())))</f>
        <v>0</v>
      </c>
      <c r="FN246" s="230">
        <f ca="1">SUMIFS($AA246:$EP246,$AA$129:$EP$129,INDIRECT(ADDRESS(38,COLUMN())))</f>
        <v>0</v>
      </c>
      <c r="FO246" s="230">
        <f ca="1">SUMIFS($AA246:$EP246,$AA$129:$EP$129,INDIRECT(ADDRESS(38,COLUMN())))</f>
        <v>0</v>
      </c>
      <c r="FP246" s="231">
        <f t="shared" ref="FP246:FP251" ca="1" si="252">IFERROR(FH246/$FH$251,0)</f>
        <v>5.3493663637870503E-3</v>
      </c>
      <c r="FQ246" s="232">
        <f t="shared" si="248"/>
        <v>0</v>
      </c>
      <c r="FR246" s="230">
        <f>SUMIFS(TME_MTD_Dist[Sell_WHS_QTY],TME_MTD_Dist[Dist_Name],master_Daily!$X246,TME_MTD_Dist[Brand],master_Daily!$Y246)/50000
 + SUMIFS(TME_MTD_Dist[Sell_RTL_QTY],TME_MTD_Dist[Dist_Name],master_Daily!$X246,TME_MTD_Dist[Brand],master_Daily!$Y246)/50000</f>
        <v>0</v>
      </c>
      <c r="FS246" s="232">
        <f t="shared" si="207"/>
        <v>0</v>
      </c>
    </row>
    <row r="247" spans="20:175" s="154" customFormat="1" hidden="1" outlineLevel="1">
      <c r="T247" s="155"/>
      <c r="U247" s="156"/>
      <c r="X247" s="226" t="s">
        <v>222</v>
      </c>
      <c r="Y247" s="227" t="s">
        <v>45</v>
      </c>
      <c r="Z247" s="227"/>
      <c r="AA247" s="228">
        <f t="shared" si="211"/>
        <v>4.5999999999999999E-2</v>
      </c>
      <c r="AB247" s="229">
        <f t="shared" si="212"/>
        <v>0</v>
      </c>
      <c r="AC247" s="228">
        <v>4.5999999999999999E-2</v>
      </c>
      <c r="AD247" s="230">
        <v>4.5999999999999999E-2</v>
      </c>
      <c r="AE247" s="230"/>
      <c r="AF247" s="230"/>
      <c r="AG247" s="228"/>
      <c r="AH247" s="230"/>
      <c r="AI247" s="230"/>
      <c r="AJ247" s="230"/>
      <c r="AK247" s="228">
        <f t="shared" si="213"/>
        <v>0.01</v>
      </c>
      <c r="AL247" s="229">
        <f t="shared" si="214"/>
        <v>0</v>
      </c>
      <c r="AM247" s="228">
        <v>0.01</v>
      </c>
      <c r="AN247" s="230">
        <v>0.01</v>
      </c>
      <c r="AO247" s="230"/>
      <c r="AP247" s="230"/>
      <c r="AQ247" s="228"/>
      <c r="AR247" s="230"/>
      <c r="AS247" s="230"/>
      <c r="AT247" s="230"/>
      <c r="AU247" s="228">
        <f t="shared" si="215"/>
        <v>1.4999999999999999E-2</v>
      </c>
      <c r="AV247" s="229">
        <f t="shared" si="216"/>
        <v>0</v>
      </c>
      <c r="AW247" s="228">
        <v>1.4999999999999999E-2</v>
      </c>
      <c r="AX247" s="230">
        <v>1.4999999999999999E-2</v>
      </c>
      <c r="AY247" s="230"/>
      <c r="AZ247" s="230"/>
      <c r="BA247" s="228"/>
      <c r="BB247" s="230"/>
      <c r="BC247" s="230"/>
      <c r="BD247" s="230"/>
      <c r="BE247" s="228">
        <f t="shared" si="217"/>
        <v>0</v>
      </c>
      <c r="BF247" s="229">
        <f t="shared" si="218"/>
        <v>0</v>
      </c>
      <c r="BG247" s="228">
        <v>0</v>
      </c>
      <c r="BH247" s="230">
        <v>0</v>
      </c>
      <c r="BI247" s="230"/>
      <c r="BJ247" s="230"/>
      <c r="BK247" s="228"/>
      <c r="BL247" s="230"/>
      <c r="BM247" s="230"/>
      <c r="BN247" s="230"/>
      <c r="BO247" s="228">
        <f t="shared" si="219"/>
        <v>1.0999999999999999E-2</v>
      </c>
      <c r="BP247" s="229">
        <f t="shared" si="220"/>
        <v>0</v>
      </c>
      <c r="BQ247" s="228">
        <v>1.0999999999999999E-2</v>
      </c>
      <c r="BR247" s="230">
        <v>1.0999999999999999E-2</v>
      </c>
      <c r="BS247" s="230"/>
      <c r="BT247" s="230"/>
      <c r="BU247" s="228"/>
      <c r="BV247" s="230"/>
      <c r="BW247" s="230"/>
      <c r="BX247" s="230"/>
      <c r="BY247" s="228">
        <f t="shared" si="221"/>
        <v>1.0999999999999999E-2</v>
      </c>
      <c r="BZ247" s="229">
        <f t="shared" si="222"/>
        <v>0</v>
      </c>
      <c r="CA247" s="228">
        <v>1.0999999999999999E-2</v>
      </c>
      <c r="CB247" s="230">
        <v>1.0999999999999999E-2</v>
      </c>
      <c r="CC247" s="230"/>
      <c r="CD247" s="230"/>
      <c r="CE247" s="228"/>
      <c r="CF247" s="230"/>
      <c r="CG247" s="230"/>
      <c r="CH247" s="230"/>
      <c r="CI247" s="228">
        <f t="shared" si="223"/>
        <v>0</v>
      </c>
      <c r="CJ247" s="229">
        <f t="shared" si="224"/>
        <v>0</v>
      </c>
      <c r="CK247" s="228"/>
      <c r="CL247" s="230"/>
      <c r="CM247" s="230"/>
      <c r="CN247" s="230"/>
      <c r="CO247" s="228"/>
      <c r="CP247" s="230"/>
      <c r="CQ247" s="230"/>
      <c r="CR247" s="230"/>
      <c r="CS247" s="228">
        <f t="shared" si="225"/>
        <v>0</v>
      </c>
      <c r="CT247" s="229">
        <f t="shared" si="226"/>
        <v>0</v>
      </c>
      <c r="CU247" s="228"/>
      <c r="CV247" s="230"/>
      <c r="CW247" s="230"/>
      <c r="CX247" s="230"/>
      <c r="CY247" s="228"/>
      <c r="CZ247" s="230"/>
      <c r="DA247" s="230"/>
      <c r="DB247" s="230"/>
      <c r="DC247" s="228">
        <f t="shared" si="227"/>
        <v>0</v>
      </c>
      <c r="DD247" s="229">
        <f t="shared" si="228"/>
        <v>0</v>
      </c>
      <c r="DE247" s="228"/>
      <c r="DF247" s="230"/>
      <c r="DG247" s="230"/>
      <c r="DH247" s="230"/>
      <c r="DI247" s="228"/>
      <c r="DJ247" s="230"/>
      <c r="DK247" s="230"/>
      <c r="DL247" s="230"/>
      <c r="DM247" s="228">
        <f t="shared" si="229"/>
        <v>0</v>
      </c>
      <c r="DN247" s="229">
        <f t="shared" si="230"/>
        <v>0</v>
      </c>
      <c r="DO247" s="228"/>
      <c r="DP247" s="230"/>
      <c r="DQ247" s="230"/>
      <c r="DR247" s="230"/>
      <c r="DS247" s="228"/>
      <c r="DT247" s="230"/>
      <c r="DU247" s="230"/>
      <c r="DV247" s="230"/>
      <c r="DW247" s="228">
        <f t="shared" si="231"/>
        <v>0</v>
      </c>
      <c r="DX247" s="229">
        <f t="shared" si="232"/>
        <v>0</v>
      </c>
      <c r="DY247" s="228"/>
      <c r="DZ247" s="230"/>
      <c r="EA247" s="230"/>
      <c r="EB247" s="230"/>
      <c r="EC247" s="228"/>
      <c r="ED247" s="230"/>
      <c r="EE247" s="230"/>
      <c r="EF247" s="230"/>
      <c r="EG247" s="228">
        <f t="shared" si="233"/>
        <v>0</v>
      </c>
      <c r="EH247" s="229">
        <f t="shared" si="234"/>
        <v>0</v>
      </c>
      <c r="EI247" s="228"/>
      <c r="EJ247" s="230"/>
      <c r="EK247" s="230"/>
      <c r="EL247" s="230"/>
      <c r="EM247" s="228"/>
      <c r="EN247" s="230"/>
      <c r="EO247" s="230"/>
      <c r="EP247" s="230"/>
      <c r="EQ247" s="386"/>
      <c r="ER247" s="230">
        <f>SUM(ET247:EX247)</f>
        <v>0</v>
      </c>
      <c r="ES247" s="230">
        <f>IFERROR(SUMIFS(Daily_Vol_yesterday[Order Quantity],Daily_Vol_yesterday[Cust_Cat.cust_channel],master_Daily!X247,Daily_Vol_yesterday[Map_Product.TME_Brand],master_Daily!Y247)/50000,0)</f>
        <v>0</v>
      </c>
      <c r="ET247" s="230"/>
      <c r="EU247" s="230"/>
      <c r="EV247" s="229"/>
      <c r="EW247" s="230"/>
      <c r="EX247" s="230"/>
      <c r="EY247" s="230"/>
      <c r="EZ247" s="230">
        <f>SUM(FA247:FC247)</f>
        <v>1.0999999999999999E-2</v>
      </c>
      <c r="FA247" s="230">
        <f>IFERROR(SUM(SUMIFS(Weekly_Vol[Quantity],Weekly_Vol[Cust_Cat.cust_channel],master_Daily!X247,Weekly_Vol[Map_Product.TME_Brand],master_Daily!Y247),SUMIFS(Daily_Vol[Order Quantity],Daily_Vol[Cust_Cat.cust_channel],master_Daily!X247,Daily_Vol[Map_Product.TME_Brand],master_Daily!Y247))/50000,0)</f>
        <v>1.0999999999999999E-2</v>
      </c>
      <c r="FB247" s="230"/>
      <c r="FC247" s="230"/>
      <c r="FD247" s="230"/>
      <c r="FE247" s="230"/>
      <c r="FF247" s="230"/>
      <c r="FG247" s="230"/>
      <c r="FH247" s="230">
        <f ca="1">SUM(FI247:FK247)</f>
        <v>9.2999999999999999E-2</v>
      </c>
      <c r="FI247" s="230">
        <f t="shared" ca="1" si="251"/>
        <v>9.2999999999999999E-2</v>
      </c>
      <c r="FJ247" s="230">
        <f t="shared" ca="1" si="251"/>
        <v>0</v>
      </c>
      <c r="FK247" s="230">
        <f t="shared" ca="1" si="251"/>
        <v>0</v>
      </c>
      <c r="FL247" s="230">
        <f t="shared" ref="FL247:FO248" ca="1" si="253">SUMIFS($AA247:$EP247,$AA$129:$EP$129,INDIRECT(ADDRESS(129,COLUMN())))</f>
        <v>0</v>
      </c>
      <c r="FM247" s="229">
        <f t="shared" ca="1" si="253"/>
        <v>0</v>
      </c>
      <c r="FN247" s="229">
        <f t="shared" ca="1" si="253"/>
        <v>0</v>
      </c>
      <c r="FO247" s="229">
        <f t="shared" ca="1" si="253"/>
        <v>0</v>
      </c>
      <c r="FP247" s="231">
        <f t="shared" ca="1" si="252"/>
        <v>3.503458252339406E-3</v>
      </c>
      <c r="FQ247" s="232">
        <f t="shared" si="248"/>
        <v>0</v>
      </c>
      <c r="FR247" s="230">
        <f>SUMIFS(TME_MTD_Dist[Sell_WHS_QTY],TME_MTD_Dist[Dist_Name],master_Daily!$X247,TME_MTD_Dist[Brand],master_Daily!$Y247)/50000
 + SUMIFS(TME_MTD_Dist[Sell_RTL_QTY],TME_MTD_Dist[Dist_Name],master_Daily!$X247,TME_MTD_Dist[Brand],master_Daily!$Y247)/50000</f>
        <v>0</v>
      </c>
      <c r="FS247" s="232">
        <f t="shared" si="207"/>
        <v>0</v>
      </c>
    </row>
    <row r="248" spans="20:175" s="154" customFormat="1" hidden="1" outlineLevel="1">
      <c r="T248" s="155"/>
      <c r="U248" s="156"/>
      <c r="X248" s="226" t="s">
        <v>222</v>
      </c>
      <c r="Y248" s="227" t="s">
        <v>46</v>
      </c>
      <c r="Z248" s="227"/>
      <c r="AA248" s="228">
        <f t="shared" si="211"/>
        <v>0.84919999999999995</v>
      </c>
      <c r="AB248" s="229">
        <f t="shared" si="212"/>
        <v>0</v>
      </c>
      <c r="AC248" s="228">
        <v>0.84919999999999995</v>
      </c>
      <c r="AD248" s="230">
        <v>0.84919999999999995</v>
      </c>
      <c r="AE248" s="230"/>
      <c r="AF248" s="230"/>
      <c r="AG248" s="228"/>
      <c r="AH248" s="230"/>
      <c r="AI248" s="230"/>
      <c r="AJ248" s="230"/>
      <c r="AK248" s="228">
        <f t="shared" si="213"/>
        <v>0.93</v>
      </c>
      <c r="AL248" s="229">
        <f t="shared" si="214"/>
        <v>0</v>
      </c>
      <c r="AM248" s="228">
        <v>0.93</v>
      </c>
      <c r="AN248" s="230">
        <v>0.93</v>
      </c>
      <c r="AO248" s="230"/>
      <c r="AP248" s="230"/>
      <c r="AQ248" s="228"/>
      <c r="AR248" s="230"/>
      <c r="AS248" s="230"/>
      <c r="AT248" s="230"/>
      <c r="AU248" s="228">
        <f t="shared" si="215"/>
        <v>0.59</v>
      </c>
      <c r="AV248" s="229">
        <f t="shared" si="216"/>
        <v>0</v>
      </c>
      <c r="AW248" s="228">
        <v>0.59</v>
      </c>
      <c r="AX248" s="230">
        <v>0.59</v>
      </c>
      <c r="AY248" s="230"/>
      <c r="AZ248" s="230"/>
      <c r="BA248" s="228"/>
      <c r="BB248" s="230"/>
      <c r="BC248" s="230"/>
      <c r="BD248" s="230"/>
      <c r="BE248" s="228">
        <f t="shared" si="217"/>
        <v>0.69</v>
      </c>
      <c r="BF248" s="229">
        <f t="shared" si="218"/>
        <v>0</v>
      </c>
      <c r="BG248" s="228">
        <v>0.69</v>
      </c>
      <c r="BH248" s="230">
        <v>0.69</v>
      </c>
      <c r="BI248" s="230"/>
      <c r="BJ248" s="230"/>
      <c r="BK248" s="228"/>
      <c r="BL248" s="230"/>
      <c r="BM248" s="230"/>
      <c r="BN248" s="230"/>
      <c r="BO248" s="228">
        <f t="shared" si="219"/>
        <v>0.79</v>
      </c>
      <c r="BP248" s="229">
        <f t="shared" si="220"/>
        <v>0</v>
      </c>
      <c r="BQ248" s="228">
        <v>0.79</v>
      </c>
      <c r="BR248" s="230">
        <v>0.79</v>
      </c>
      <c r="BS248" s="230"/>
      <c r="BT248" s="230"/>
      <c r="BU248" s="228"/>
      <c r="BV248" s="230"/>
      <c r="BW248" s="230"/>
      <c r="BX248" s="230"/>
      <c r="BY248" s="228">
        <f t="shared" si="221"/>
        <v>0.83</v>
      </c>
      <c r="BZ248" s="229">
        <f t="shared" si="222"/>
        <v>0</v>
      </c>
      <c r="CA248" s="228">
        <v>0.83</v>
      </c>
      <c r="CB248" s="230">
        <v>0.83</v>
      </c>
      <c r="CC248" s="230"/>
      <c r="CD248" s="230"/>
      <c r="CE248" s="228"/>
      <c r="CF248" s="230"/>
      <c r="CG248" s="230"/>
      <c r="CH248" s="230"/>
      <c r="CI248" s="228">
        <f t="shared" si="223"/>
        <v>0</v>
      </c>
      <c r="CJ248" s="229">
        <f t="shared" si="224"/>
        <v>0</v>
      </c>
      <c r="CK248" s="228"/>
      <c r="CL248" s="230"/>
      <c r="CM248" s="230"/>
      <c r="CN248" s="230"/>
      <c r="CO248" s="228"/>
      <c r="CP248" s="230"/>
      <c r="CQ248" s="230"/>
      <c r="CR248" s="230"/>
      <c r="CS248" s="228">
        <f t="shared" si="225"/>
        <v>0</v>
      </c>
      <c r="CT248" s="229">
        <f t="shared" si="226"/>
        <v>0</v>
      </c>
      <c r="CU248" s="228"/>
      <c r="CV248" s="230"/>
      <c r="CW248" s="230"/>
      <c r="CX248" s="230"/>
      <c r="CY248" s="228"/>
      <c r="CZ248" s="230"/>
      <c r="DA248" s="230"/>
      <c r="DB248" s="230"/>
      <c r="DC248" s="228">
        <f t="shared" si="227"/>
        <v>0</v>
      </c>
      <c r="DD248" s="229">
        <f t="shared" si="228"/>
        <v>0</v>
      </c>
      <c r="DE248" s="228"/>
      <c r="DF248" s="230"/>
      <c r="DG248" s="230"/>
      <c r="DH248" s="230"/>
      <c r="DI248" s="228"/>
      <c r="DJ248" s="230"/>
      <c r="DK248" s="230"/>
      <c r="DL248" s="230"/>
      <c r="DM248" s="228">
        <f t="shared" si="229"/>
        <v>0</v>
      </c>
      <c r="DN248" s="229">
        <f t="shared" si="230"/>
        <v>0</v>
      </c>
      <c r="DO248" s="228"/>
      <c r="DP248" s="230"/>
      <c r="DQ248" s="230"/>
      <c r="DR248" s="230"/>
      <c r="DS248" s="228"/>
      <c r="DT248" s="230"/>
      <c r="DU248" s="230"/>
      <c r="DV248" s="230"/>
      <c r="DW248" s="228">
        <f t="shared" si="231"/>
        <v>0</v>
      </c>
      <c r="DX248" s="229">
        <f t="shared" si="232"/>
        <v>0</v>
      </c>
      <c r="DY248" s="228"/>
      <c r="DZ248" s="230"/>
      <c r="EA248" s="230"/>
      <c r="EB248" s="230"/>
      <c r="EC248" s="228"/>
      <c r="ED248" s="230"/>
      <c r="EE248" s="230"/>
      <c r="EF248" s="230"/>
      <c r="EG248" s="228">
        <f t="shared" si="233"/>
        <v>0</v>
      </c>
      <c r="EH248" s="229">
        <f t="shared" si="234"/>
        <v>0</v>
      </c>
      <c r="EI248" s="228"/>
      <c r="EJ248" s="230"/>
      <c r="EK248" s="230"/>
      <c r="EL248" s="230"/>
      <c r="EM248" s="228"/>
      <c r="EN248" s="230"/>
      <c r="EO248" s="230"/>
      <c r="EP248" s="230"/>
      <c r="EQ248" s="386"/>
      <c r="ER248" s="230">
        <f>SUM(ET248:EX248)</f>
        <v>0</v>
      </c>
      <c r="ES248" s="230">
        <f>IFERROR(SUMIFS(Daily_Vol_yesterday[Order Quantity],Daily_Vol_yesterday[Cust_Cat.cust_channel],master_Daily!X248,Daily_Vol_yesterday[Map_Product.TME_Brand],master_Daily!Y248)/50000,0)</f>
        <v>0.24</v>
      </c>
      <c r="ET248" s="230"/>
      <c r="EU248" s="230"/>
      <c r="EV248" s="229"/>
      <c r="EW248" s="230"/>
      <c r="EX248" s="230"/>
      <c r="EY248" s="230"/>
      <c r="EZ248" s="230">
        <f>SUM(FA248:FC248)</f>
        <v>0.83</v>
      </c>
      <c r="FA248" s="230">
        <f>IFERROR(SUM(SUMIFS(Weekly_Vol[Quantity],Weekly_Vol[Cust_Cat.cust_channel],master_Daily!X248,Weekly_Vol[Map_Product.TME_Brand],master_Daily!Y248),SUMIFS(Daily_Vol[Order Quantity],Daily_Vol[Cust_Cat.cust_channel],master_Daily!X248,Daily_Vol[Map_Product.TME_Brand],master_Daily!Y248))/50000,0)</f>
        <v>0.83</v>
      </c>
      <c r="FB248" s="230"/>
      <c r="FC248" s="230"/>
      <c r="FD248" s="230"/>
      <c r="FE248" s="230"/>
      <c r="FF248" s="230"/>
      <c r="FG248" s="230"/>
      <c r="FH248" s="230">
        <f ca="1">SUM(FI248:FK248)</f>
        <v>4.6791999999999998</v>
      </c>
      <c r="FI248" s="230">
        <f t="shared" ca="1" si="251"/>
        <v>4.6791999999999998</v>
      </c>
      <c r="FJ248" s="230">
        <f t="shared" ca="1" si="251"/>
        <v>0</v>
      </c>
      <c r="FK248" s="230">
        <f t="shared" ca="1" si="251"/>
        <v>0</v>
      </c>
      <c r="FL248" s="230">
        <f t="shared" ca="1" si="253"/>
        <v>0</v>
      </c>
      <c r="FM248" s="229">
        <f t="shared" ca="1" si="253"/>
        <v>0</v>
      </c>
      <c r="FN248" s="229">
        <f t="shared" ca="1" si="253"/>
        <v>0</v>
      </c>
      <c r="FO248" s="229">
        <f t="shared" ca="1" si="253"/>
        <v>0</v>
      </c>
      <c r="FP248" s="231">
        <f t="shared" ca="1" si="252"/>
        <v>0.17627292316501664</v>
      </c>
      <c r="FQ248" s="232">
        <f t="shared" si="248"/>
        <v>0</v>
      </c>
      <c r="FR248" s="230">
        <f>SUMIFS(TME_MTD_Dist[Sell_WHS_QTY],TME_MTD_Dist[Dist_Name],master_Daily!$X248,TME_MTD_Dist[Brand],master_Daily!$Y248)/50000
 + SUMIFS(TME_MTD_Dist[Sell_RTL_QTY],TME_MTD_Dist[Dist_Name],master_Daily!$X248,TME_MTD_Dist[Brand],master_Daily!$Y248)/50000</f>
        <v>0</v>
      </c>
      <c r="FS248" s="232">
        <f t="shared" si="207"/>
        <v>0</v>
      </c>
    </row>
    <row r="249" spans="20:175" s="154" customFormat="1" hidden="1" outlineLevel="1">
      <c r="T249" s="155"/>
      <c r="U249" s="156"/>
      <c r="X249" s="226" t="s">
        <v>222</v>
      </c>
      <c r="Y249" s="227" t="s">
        <v>263</v>
      </c>
      <c r="Z249" s="227"/>
      <c r="AA249" s="228">
        <f t="shared" si="211"/>
        <v>3.2719999999999998</v>
      </c>
      <c r="AB249" s="229">
        <f t="shared" si="212"/>
        <v>0</v>
      </c>
      <c r="AC249" s="228">
        <v>3.2719999999999998</v>
      </c>
      <c r="AD249" s="230">
        <v>3.2719999999999998</v>
      </c>
      <c r="AE249" s="230"/>
      <c r="AF249" s="230"/>
      <c r="AG249" s="228"/>
      <c r="AH249" s="230"/>
      <c r="AI249" s="230"/>
      <c r="AJ249" s="230"/>
      <c r="AK249" s="228">
        <f t="shared" si="213"/>
        <v>3.2250000000000001</v>
      </c>
      <c r="AL249" s="229">
        <f t="shared" si="214"/>
        <v>0</v>
      </c>
      <c r="AM249" s="228">
        <v>3.2250000000000001</v>
      </c>
      <c r="AN249" s="230">
        <v>3.2250000000000001</v>
      </c>
      <c r="AO249" s="230"/>
      <c r="AP249" s="230"/>
      <c r="AQ249" s="228"/>
      <c r="AR249" s="230"/>
      <c r="AS249" s="230"/>
      <c r="AT249" s="230"/>
      <c r="AU249" s="228">
        <f t="shared" si="215"/>
        <v>2.67</v>
      </c>
      <c r="AV249" s="229">
        <f t="shared" si="216"/>
        <v>0</v>
      </c>
      <c r="AW249" s="228">
        <v>2.67</v>
      </c>
      <c r="AX249" s="230">
        <v>2.67</v>
      </c>
      <c r="AY249" s="230"/>
      <c r="AZ249" s="230"/>
      <c r="BA249" s="228"/>
      <c r="BB249" s="230"/>
      <c r="BC249" s="230"/>
      <c r="BD249" s="230"/>
      <c r="BE249" s="228">
        <f t="shared" si="217"/>
        <v>3.81</v>
      </c>
      <c r="BF249" s="229">
        <f t="shared" si="218"/>
        <v>0</v>
      </c>
      <c r="BG249" s="228">
        <v>3.81</v>
      </c>
      <c r="BH249" s="230">
        <v>3.81</v>
      </c>
      <c r="BI249" s="230"/>
      <c r="BJ249" s="230"/>
      <c r="BK249" s="228"/>
      <c r="BL249" s="230"/>
      <c r="BM249" s="230"/>
      <c r="BN249" s="230"/>
      <c r="BO249" s="228">
        <f t="shared" si="219"/>
        <v>3.75</v>
      </c>
      <c r="BP249" s="229">
        <f t="shared" si="220"/>
        <v>0</v>
      </c>
      <c r="BQ249" s="228">
        <v>3.75</v>
      </c>
      <c r="BR249" s="230">
        <v>3.75</v>
      </c>
      <c r="BS249" s="230"/>
      <c r="BT249" s="230"/>
      <c r="BU249" s="228"/>
      <c r="BV249" s="230"/>
      <c r="BW249" s="230"/>
      <c r="BX249" s="230"/>
      <c r="BY249" s="228">
        <f t="shared" si="221"/>
        <v>1.32</v>
      </c>
      <c r="BZ249" s="229">
        <f t="shared" si="222"/>
        <v>0</v>
      </c>
      <c r="CA249" s="228">
        <v>1.32</v>
      </c>
      <c r="CB249" s="230">
        <v>1.32</v>
      </c>
      <c r="CC249" s="230"/>
      <c r="CD249" s="230"/>
      <c r="CE249" s="228"/>
      <c r="CF249" s="230"/>
      <c r="CG249" s="230"/>
      <c r="CH249" s="230"/>
      <c r="CI249" s="228">
        <f t="shared" si="223"/>
        <v>0</v>
      </c>
      <c r="CJ249" s="229">
        <f t="shared" si="224"/>
        <v>0</v>
      </c>
      <c r="CK249" s="228"/>
      <c r="CL249" s="230"/>
      <c r="CM249" s="230"/>
      <c r="CN249" s="230"/>
      <c r="CO249" s="228"/>
      <c r="CP249" s="230"/>
      <c r="CQ249" s="230"/>
      <c r="CR249" s="230"/>
      <c r="CS249" s="228">
        <f t="shared" si="225"/>
        <v>0</v>
      </c>
      <c r="CT249" s="229">
        <f t="shared" si="226"/>
        <v>0</v>
      </c>
      <c r="CU249" s="228"/>
      <c r="CV249" s="230"/>
      <c r="CW249" s="230"/>
      <c r="CX249" s="230"/>
      <c r="CY249" s="228"/>
      <c r="CZ249" s="230"/>
      <c r="DA249" s="230"/>
      <c r="DB249" s="230"/>
      <c r="DC249" s="228">
        <f t="shared" si="227"/>
        <v>0</v>
      </c>
      <c r="DD249" s="229">
        <f t="shared" si="228"/>
        <v>0</v>
      </c>
      <c r="DE249" s="228"/>
      <c r="DF249" s="230"/>
      <c r="DG249" s="230"/>
      <c r="DH249" s="230"/>
      <c r="DI249" s="228"/>
      <c r="DJ249" s="230"/>
      <c r="DK249" s="230"/>
      <c r="DL249" s="230"/>
      <c r="DM249" s="228">
        <f t="shared" si="229"/>
        <v>0</v>
      </c>
      <c r="DN249" s="229">
        <f t="shared" si="230"/>
        <v>0</v>
      </c>
      <c r="DO249" s="228"/>
      <c r="DP249" s="230"/>
      <c r="DQ249" s="230"/>
      <c r="DR249" s="230"/>
      <c r="DS249" s="228"/>
      <c r="DT249" s="230"/>
      <c r="DU249" s="230"/>
      <c r="DV249" s="230"/>
      <c r="DW249" s="228">
        <f t="shared" si="231"/>
        <v>0</v>
      </c>
      <c r="DX249" s="229">
        <f t="shared" si="232"/>
        <v>0</v>
      </c>
      <c r="DY249" s="228"/>
      <c r="DZ249" s="230"/>
      <c r="EA249" s="230"/>
      <c r="EB249" s="230"/>
      <c r="EC249" s="228"/>
      <c r="ED249" s="230"/>
      <c r="EE249" s="230"/>
      <c r="EF249" s="230"/>
      <c r="EG249" s="228">
        <f t="shared" si="233"/>
        <v>0</v>
      </c>
      <c r="EH249" s="229">
        <f t="shared" si="234"/>
        <v>0</v>
      </c>
      <c r="EI249" s="228"/>
      <c r="EJ249" s="230"/>
      <c r="EK249" s="230"/>
      <c r="EL249" s="230"/>
      <c r="EM249" s="228"/>
      <c r="EN249" s="230"/>
      <c r="EO249" s="230"/>
      <c r="EP249" s="230"/>
      <c r="EQ249" s="386"/>
      <c r="ER249" s="230">
        <f>SUM(ET249:EX249)</f>
        <v>0</v>
      </c>
      <c r="ES249" s="230">
        <f>IFERROR(SUMIFS(Daily_Vol_yesterday[Order Quantity],Daily_Vol_yesterday[Cust_Cat.cust_channel],master_Daily!X249,Daily_Vol_yesterday[Map_Product.TME_Brand],"CM")/50000,0)</f>
        <v>0.77</v>
      </c>
      <c r="ET249" s="230"/>
      <c r="EU249" s="230"/>
      <c r="EV249" s="229"/>
      <c r="EW249" s="230"/>
      <c r="EX249" s="230"/>
      <c r="EY249" s="230"/>
      <c r="EZ249" s="230">
        <f>SUM(FA249:FC249)</f>
        <v>1.32</v>
      </c>
      <c r="FA249" s="230">
        <f>IFERROR(SUM(SUMIFS(Weekly_Vol[Quantity],Weekly_Vol[Cust_Cat.cust_channel],master_Daily!X249,Weekly_Vol[Map_Product.TME_Brand],"CM"),SUMIFS(Daily_Vol[Order Quantity],Daily_Vol[Cust_Cat.cust_channel],master_Daily!X249,Daily_Vol[Map_Product.TME_Brand],"CM"))/50000,0)</f>
        <v>1.32</v>
      </c>
      <c r="FB249" s="230"/>
      <c r="FC249" s="230"/>
      <c r="FD249" s="230"/>
      <c r="FE249" s="230"/>
      <c r="FF249" s="230"/>
      <c r="FG249" s="230"/>
      <c r="FH249" s="230">
        <f ca="1">SUM(FI249:FK249)</f>
        <v>18.047000000000001</v>
      </c>
      <c r="FI249" s="230">
        <f t="shared" ca="1" si="251"/>
        <v>18.047000000000001</v>
      </c>
      <c r="FJ249" s="230">
        <f t="shared" ca="1" si="251"/>
        <v>0</v>
      </c>
      <c r="FK249" s="230">
        <f t="shared" ca="1" si="251"/>
        <v>0</v>
      </c>
      <c r="FL249" s="230">
        <f ca="1">SUMIFS($AA249:$EP249,$AA$129:$EP$129,INDIRECT(ADDRESS(129,COLUMN())))</f>
        <v>0</v>
      </c>
      <c r="FM249" s="229">
        <f t="shared" ref="FM249:FO250" si="254">SUMIFS(AF249:EU249,$AA$129:$EP$129,$FH$129)</f>
        <v>0</v>
      </c>
      <c r="FN249" s="229">
        <f t="shared" si="254"/>
        <v>0</v>
      </c>
      <c r="FO249" s="229">
        <f t="shared" si="254"/>
        <v>0</v>
      </c>
      <c r="FP249" s="231">
        <f t="shared" ca="1" si="252"/>
        <v>0.67985925892440069</v>
      </c>
      <c r="FQ249" s="232">
        <f t="shared" si="248"/>
        <v>0</v>
      </c>
      <c r="FR249" s="230">
        <f>SUMIFS(TME_MTD_Dist[Sell_WHS_QTY],TME_MTD_Dist[Dist_Name],master_Daily!$X249,TME_MTD_Dist[Brand],master_Daily!$Y249)/50000
 + SUMIFS(TME_MTD_Dist[Sell_RTL_QTY],TME_MTD_Dist[Dist_Name],master_Daily!$X249,TME_MTD_Dist[Brand],master_Daily!$Y249)/50000</f>
        <v>0</v>
      </c>
      <c r="FS249" s="232">
        <f t="shared" si="207"/>
        <v>0</v>
      </c>
    </row>
    <row r="250" spans="20:175" s="154" customFormat="1" hidden="1" outlineLevel="1">
      <c r="T250" s="155"/>
      <c r="U250" s="156"/>
      <c r="X250" s="226" t="s">
        <v>222</v>
      </c>
      <c r="Y250" s="227" t="s">
        <v>264</v>
      </c>
      <c r="Z250" s="227"/>
      <c r="AA250" s="228">
        <f t="shared" si="211"/>
        <v>0.504</v>
      </c>
      <c r="AB250" s="229">
        <f t="shared" si="212"/>
        <v>0</v>
      </c>
      <c r="AC250" s="228">
        <v>0.504</v>
      </c>
      <c r="AD250" s="230">
        <v>0.504</v>
      </c>
      <c r="AE250" s="230"/>
      <c r="AF250" s="230"/>
      <c r="AG250" s="228"/>
      <c r="AH250" s="230"/>
      <c r="AI250" s="230"/>
      <c r="AJ250" s="230"/>
      <c r="AK250" s="228">
        <f t="shared" si="213"/>
        <v>0.58499999999999996</v>
      </c>
      <c r="AL250" s="229">
        <f t="shared" si="214"/>
        <v>0</v>
      </c>
      <c r="AM250" s="228">
        <v>0.58499999999999996</v>
      </c>
      <c r="AN250" s="230">
        <v>0.58499999999999996</v>
      </c>
      <c r="AO250" s="230"/>
      <c r="AP250" s="230"/>
      <c r="AQ250" s="228"/>
      <c r="AR250" s="230"/>
      <c r="AS250" s="230"/>
      <c r="AT250" s="230"/>
      <c r="AU250" s="228">
        <f t="shared" si="215"/>
        <v>0.53</v>
      </c>
      <c r="AV250" s="229">
        <f t="shared" si="216"/>
        <v>0</v>
      </c>
      <c r="AW250" s="228">
        <v>0.53</v>
      </c>
      <c r="AX250" s="230">
        <v>0.53</v>
      </c>
      <c r="AY250" s="230"/>
      <c r="AZ250" s="230"/>
      <c r="BA250" s="228"/>
      <c r="BB250" s="230"/>
      <c r="BC250" s="230"/>
      <c r="BD250" s="230"/>
      <c r="BE250" s="228">
        <f t="shared" si="217"/>
        <v>0.755</v>
      </c>
      <c r="BF250" s="229">
        <f t="shared" si="218"/>
        <v>0</v>
      </c>
      <c r="BG250" s="228">
        <v>0.755</v>
      </c>
      <c r="BH250" s="230">
        <v>0.755</v>
      </c>
      <c r="BI250" s="230"/>
      <c r="BJ250" s="230"/>
      <c r="BK250" s="228"/>
      <c r="BL250" s="230"/>
      <c r="BM250" s="230"/>
      <c r="BN250" s="230"/>
      <c r="BO250" s="228">
        <f t="shared" si="219"/>
        <v>0.86</v>
      </c>
      <c r="BP250" s="229">
        <f t="shared" si="220"/>
        <v>0</v>
      </c>
      <c r="BQ250" s="228">
        <v>0.86</v>
      </c>
      <c r="BR250" s="230">
        <v>0.86</v>
      </c>
      <c r="BS250" s="230"/>
      <c r="BT250" s="230"/>
      <c r="BU250" s="228"/>
      <c r="BV250" s="230"/>
      <c r="BW250" s="230"/>
      <c r="BX250" s="230"/>
      <c r="BY250" s="228">
        <f t="shared" si="221"/>
        <v>0.35</v>
      </c>
      <c r="BZ250" s="229">
        <f t="shared" si="222"/>
        <v>0</v>
      </c>
      <c r="CA250" s="228">
        <v>0.35</v>
      </c>
      <c r="CB250" s="230">
        <v>0.35</v>
      </c>
      <c r="CC250" s="230"/>
      <c r="CD250" s="230"/>
      <c r="CE250" s="228"/>
      <c r="CF250" s="230"/>
      <c r="CG250" s="230"/>
      <c r="CH250" s="230"/>
      <c r="CI250" s="228">
        <f t="shared" si="223"/>
        <v>0</v>
      </c>
      <c r="CJ250" s="229">
        <f t="shared" si="224"/>
        <v>0</v>
      </c>
      <c r="CK250" s="228"/>
      <c r="CL250" s="230"/>
      <c r="CM250" s="230"/>
      <c r="CN250" s="230"/>
      <c r="CO250" s="228"/>
      <c r="CP250" s="230"/>
      <c r="CQ250" s="230"/>
      <c r="CR250" s="230"/>
      <c r="CS250" s="228">
        <f t="shared" si="225"/>
        <v>0</v>
      </c>
      <c r="CT250" s="229">
        <f t="shared" si="226"/>
        <v>0</v>
      </c>
      <c r="CU250" s="228"/>
      <c r="CV250" s="230"/>
      <c r="CW250" s="230"/>
      <c r="CX250" s="230"/>
      <c r="CY250" s="228"/>
      <c r="CZ250" s="230"/>
      <c r="DA250" s="230"/>
      <c r="DB250" s="230"/>
      <c r="DC250" s="228">
        <f t="shared" si="227"/>
        <v>0</v>
      </c>
      <c r="DD250" s="229">
        <f t="shared" si="228"/>
        <v>0</v>
      </c>
      <c r="DE250" s="228"/>
      <c r="DF250" s="230"/>
      <c r="DG250" s="230"/>
      <c r="DH250" s="230"/>
      <c r="DI250" s="228"/>
      <c r="DJ250" s="230"/>
      <c r="DK250" s="230"/>
      <c r="DL250" s="230"/>
      <c r="DM250" s="228">
        <f t="shared" si="229"/>
        <v>0</v>
      </c>
      <c r="DN250" s="229">
        <f t="shared" si="230"/>
        <v>0</v>
      </c>
      <c r="DO250" s="228"/>
      <c r="DP250" s="230"/>
      <c r="DQ250" s="230"/>
      <c r="DR250" s="230"/>
      <c r="DS250" s="228"/>
      <c r="DT250" s="230"/>
      <c r="DU250" s="230"/>
      <c r="DV250" s="230"/>
      <c r="DW250" s="228">
        <f t="shared" si="231"/>
        <v>0</v>
      </c>
      <c r="DX250" s="229">
        <f t="shared" si="232"/>
        <v>0</v>
      </c>
      <c r="DY250" s="228"/>
      <c r="DZ250" s="230"/>
      <c r="EA250" s="230"/>
      <c r="EB250" s="230"/>
      <c r="EC250" s="228"/>
      <c r="ED250" s="230"/>
      <c r="EE250" s="230"/>
      <c r="EF250" s="230"/>
      <c r="EG250" s="228">
        <f t="shared" si="233"/>
        <v>0</v>
      </c>
      <c r="EH250" s="229">
        <f t="shared" si="234"/>
        <v>0</v>
      </c>
      <c r="EI250" s="228"/>
      <c r="EJ250" s="230"/>
      <c r="EK250" s="230"/>
      <c r="EL250" s="230"/>
      <c r="EM250" s="228"/>
      <c r="EN250" s="230"/>
      <c r="EO250" s="230"/>
      <c r="EP250" s="230"/>
      <c r="EQ250" s="386"/>
      <c r="ER250" s="230">
        <f>SUM(ET250:EX250)</f>
        <v>0</v>
      </c>
      <c r="ES250" s="230">
        <f>IFERROR(SUMIFS(Daily_Vol_yesterday[Order Quantity],Daily_Vol_yesterday[Cust_Cat.cust_channel],master_Daily!X250,Daily_Vol_yesterday[Map_Product.TME_Brand],"CMHD")/50000,0)</f>
        <v>0.28000000000000003</v>
      </c>
      <c r="ET250" s="230"/>
      <c r="EU250" s="230"/>
      <c r="EV250" s="229"/>
      <c r="EW250" s="230"/>
      <c r="EX250" s="230"/>
      <c r="EY250" s="230"/>
      <c r="EZ250" s="230">
        <f>SUM(FA250:FC250)</f>
        <v>0.35</v>
      </c>
      <c r="FA250" s="230">
        <f>IFERROR(SUM(SUMIFS(Weekly_Vol[Quantity],Weekly_Vol[Cust_Cat.cust_channel],master_Daily!X250,Weekly_Vol[Map_Product.TME_Brand],"CMHD"),SUMIFS(Daily_Vol[Order Quantity],Daily_Vol[Cust_Cat.cust_channel],master_Daily!X250,Daily_Vol[Map_Product.TME_Brand],"CMHD"))/50000,0)</f>
        <v>0.35</v>
      </c>
      <c r="FB250" s="230"/>
      <c r="FC250" s="230"/>
      <c r="FD250" s="230"/>
      <c r="FE250" s="230"/>
      <c r="FF250" s="230"/>
      <c r="FG250" s="230"/>
      <c r="FH250" s="230">
        <f ca="1">SUM(FI250:FK250)</f>
        <v>3.5840000000000001</v>
      </c>
      <c r="FI250" s="230">
        <f t="shared" ca="1" si="251"/>
        <v>3.5840000000000001</v>
      </c>
      <c r="FJ250" s="230">
        <f t="shared" ca="1" si="251"/>
        <v>0</v>
      </c>
      <c r="FK250" s="230">
        <f t="shared" ca="1" si="251"/>
        <v>0</v>
      </c>
      <c r="FL250" s="230">
        <f ca="1">SUMIFS($AA250:$EP250,$AA$129:$EP$129,INDIRECT(ADDRESS(129,COLUMN())))</f>
        <v>0</v>
      </c>
      <c r="FM250" s="229">
        <f t="shared" si="254"/>
        <v>0</v>
      </c>
      <c r="FN250" s="229">
        <f t="shared" si="254"/>
        <v>0</v>
      </c>
      <c r="FO250" s="229">
        <f t="shared" si="254"/>
        <v>0</v>
      </c>
      <c r="FP250" s="231">
        <f t="shared" ca="1" si="252"/>
        <v>0.13501499329445624</v>
      </c>
      <c r="FQ250" s="232">
        <f t="shared" si="248"/>
        <v>0</v>
      </c>
      <c r="FR250" s="230">
        <f>SUMIFS(TME_MTD_Dist[Sell_WHS_QTY],TME_MTD_Dist[Dist_Name],master_Daily!$X250,TME_MTD_Dist[Brand],master_Daily!$Y250)/50000
 + SUMIFS(TME_MTD_Dist[Sell_RTL_QTY],TME_MTD_Dist[Dist_Name],master_Daily!$X250,TME_MTD_Dist[Brand],master_Daily!$Y250)/50000</f>
        <v>0</v>
      </c>
      <c r="FS250" s="232">
        <f t="shared" si="207"/>
        <v>0</v>
      </c>
    </row>
    <row r="251" spans="20:175" s="154" customFormat="1" collapsed="1">
      <c r="T251" s="155"/>
      <c r="U251" s="156"/>
      <c r="X251" s="233" t="s">
        <v>304</v>
      </c>
      <c r="Y251" s="234"/>
      <c r="Z251" s="234"/>
      <c r="AA251" s="235">
        <f t="shared" si="211"/>
        <v>4.7012</v>
      </c>
      <c r="AB251" s="235">
        <f t="shared" si="212"/>
        <v>0</v>
      </c>
      <c r="AC251" s="235">
        <v>4.7012</v>
      </c>
      <c r="AD251" s="235">
        <v>4.7012</v>
      </c>
      <c r="AE251" s="235">
        <v>0</v>
      </c>
      <c r="AF251" s="235">
        <v>0</v>
      </c>
      <c r="AG251" s="235">
        <v>0</v>
      </c>
      <c r="AH251" s="235">
        <v>0</v>
      </c>
      <c r="AI251" s="235">
        <v>0</v>
      </c>
      <c r="AJ251" s="235">
        <v>0</v>
      </c>
      <c r="AK251" s="235">
        <f t="shared" si="213"/>
        <v>4.78</v>
      </c>
      <c r="AL251" s="235">
        <f t="shared" si="214"/>
        <v>0</v>
      </c>
      <c r="AM251" s="235">
        <v>4.78</v>
      </c>
      <c r="AN251" s="235">
        <v>4.78</v>
      </c>
      <c r="AO251" s="235">
        <v>0</v>
      </c>
      <c r="AP251" s="235">
        <v>0</v>
      </c>
      <c r="AQ251" s="235">
        <v>0</v>
      </c>
      <c r="AR251" s="235">
        <v>0</v>
      </c>
      <c r="AS251" s="235">
        <v>0</v>
      </c>
      <c r="AT251" s="235">
        <v>0</v>
      </c>
      <c r="AU251" s="235">
        <f t="shared" si="215"/>
        <v>3.8200000000000003</v>
      </c>
      <c r="AV251" s="235">
        <f t="shared" si="216"/>
        <v>0</v>
      </c>
      <c r="AW251" s="235">
        <v>3.8200000000000003</v>
      </c>
      <c r="AX251" s="235">
        <v>3.8200000000000003</v>
      </c>
      <c r="AY251" s="235">
        <v>0</v>
      </c>
      <c r="AZ251" s="235">
        <v>0</v>
      </c>
      <c r="BA251" s="235">
        <v>0</v>
      </c>
      <c r="BB251" s="235">
        <v>0</v>
      </c>
      <c r="BC251" s="235">
        <v>0</v>
      </c>
      <c r="BD251" s="235">
        <v>0</v>
      </c>
      <c r="BE251" s="235">
        <f t="shared" si="217"/>
        <v>5.274</v>
      </c>
      <c r="BF251" s="235">
        <f t="shared" si="218"/>
        <v>0</v>
      </c>
      <c r="BG251" s="235">
        <v>5.274</v>
      </c>
      <c r="BH251" s="235">
        <v>5.274</v>
      </c>
      <c r="BI251" s="235">
        <v>0</v>
      </c>
      <c r="BJ251" s="235">
        <v>0</v>
      </c>
      <c r="BK251" s="235">
        <v>0</v>
      </c>
      <c r="BL251" s="235">
        <v>0</v>
      </c>
      <c r="BM251" s="235">
        <v>0</v>
      </c>
      <c r="BN251" s="235">
        <v>0</v>
      </c>
      <c r="BO251" s="235">
        <f t="shared" si="219"/>
        <v>5.4279999999999999</v>
      </c>
      <c r="BP251" s="235">
        <f t="shared" si="220"/>
        <v>0</v>
      </c>
      <c r="BQ251" s="235">
        <v>5.4279999999999999</v>
      </c>
      <c r="BR251" s="235">
        <v>5.4279999999999999</v>
      </c>
      <c r="BS251" s="235">
        <v>0</v>
      </c>
      <c r="BT251" s="235">
        <v>0</v>
      </c>
      <c r="BU251" s="235">
        <v>0</v>
      </c>
      <c r="BV251" s="235">
        <v>0</v>
      </c>
      <c r="BW251" s="235">
        <v>0</v>
      </c>
      <c r="BX251" s="235">
        <v>0</v>
      </c>
      <c r="BY251" s="235">
        <f t="shared" si="221"/>
        <v>2.5420000000000003</v>
      </c>
      <c r="BZ251" s="235">
        <f t="shared" si="222"/>
        <v>0</v>
      </c>
      <c r="CA251" s="235">
        <v>2.5420000000000003</v>
      </c>
      <c r="CB251" s="235">
        <v>2.5420000000000003</v>
      </c>
      <c r="CC251" s="235">
        <v>0</v>
      </c>
      <c r="CD251" s="235">
        <v>0</v>
      </c>
      <c r="CE251" s="235">
        <v>0</v>
      </c>
      <c r="CF251" s="235">
        <v>0</v>
      </c>
      <c r="CG251" s="235">
        <v>0</v>
      </c>
      <c r="CH251" s="235">
        <v>0</v>
      </c>
      <c r="CI251" s="235">
        <f t="shared" si="223"/>
        <v>0</v>
      </c>
      <c r="CJ251" s="235">
        <f t="shared" si="224"/>
        <v>0</v>
      </c>
      <c r="CK251" s="235"/>
      <c r="CL251" s="235"/>
      <c r="CM251" s="235"/>
      <c r="CN251" s="235"/>
      <c r="CO251" s="235"/>
      <c r="CP251" s="235">
        <v>0</v>
      </c>
      <c r="CQ251" s="235">
        <v>0</v>
      </c>
      <c r="CR251" s="235">
        <v>0</v>
      </c>
      <c r="CS251" s="235">
        <f t="shared" si="225"/>
        <v>0</v>
      </c>
      <c r="CT251" s="235">
        <f t="shared" si="226"/>
        <v>0</v>
      </c>
      <c r="CU251" s="235"/>
      <c r="CV251" s="235"/>
      <c r="CW251" s="235"/>
      <c r="CX251" s="235"/>
      <c r="CY251" s="235"/>
      <c r="CZ251" s="235">
        <v>0</v>
      </c>
      <c r="DA251" s="235">
        <v>0</v>
      </c>
      <c r="DB251" s="235">
        <v>0</v>
      </c>
      <c r="DC251" s="235">
        <f t="shared" si="227"/>
        <v>0</v>
      </c>
      <c r="DD251" s="235">
        <f t="shared" si="228"/>
        <v>0</v>
      </c>
      <c r="DE251" s="235"/>
      <c r="DF251" s="235"/>
      <c r="DG251" s="235"/>
      <c r="DH251" s="235"/>
      <c r="DI251" s="235"/>
      <c r="DJ251" s="235">
        <v>0</v>
      </c>
      <c r="DK251" s="235">
        <v>0</v>
      </c>
      <c r="DL251" s="235">
        <v>0</v>
      </c>
      <c r="DM251" s="235">
        <f t="shared" si="229"/>
        <v>0</v>
      </c>
      <c r="DN251" s="235">
        <f t="shared" si="230"/>
        <v>0</v>
      </c>
      <c r="DO251" s="235"/>
      <c r="DP251" s="235"/>
      <c r="DQ251" s="235"/>
      <c r="DR251" s="235"/>
      <c r="DS251" s="235"/>
      <c r="DT251" s="235">
        <v>0</v>
      </c>
      <c r="DU251" s="235">
        <v>0</v>
      </c>
      <c r="DV251" s="235">
        <v>0</v>
      </c>
      <c r="DW251" s="235">
        <f t="shared" si="231"/>
        <v>0</v>
      </c>
      <c r="DX251" s="235">
        <f t="shared" si="232"/>
        <v>0</v>
      </c>
      <c r="DY251" s="235"/>
      <c r="DZ251" s="235"/>
      <c r="EA251" s="235"/>
      <c r="EB251" s="235"/>
      <c r="EC251" s="235">
        <v>0</v>
      </c>
      <c r="ED251" s="235">
        <v>0</v>
      </c>
      <c r="EE251" s="235">
        <v>0</v>
      </c>
      <c r="EF251" s="235">
        <v>0</v>
      </c>
      <c r="EG251" s="235">
        <f t="shared" si="233"/>
        <v>0</v>
      </c>
      <c r="EH251" s="235">
        <f t="shared" si="234"/>
        <v>0</v>
      </c>
      <c r="EI251" s="235"/>
      <c r="EJ251" s="235"/>
      <c r="EK251" s="235"/>
      <c r="EL251" s="235"/>
      <c r="EM251" s="235">
        <v>0</v>
      </c>
      <c r="EN251" s="235">
        <v>0</v>
      </c>
      <c r="EO251" s="235">
        <v>0</v>
      </c>
      <c r="EP251" s="235">
        <v>0</v>
      </c>
      <c r="EQ251" s="236">
        <v>4.7639999999999993</v>
      </c>
      <c r="ER251" s="235">
        <f>SUM(ER246:ER250)</f>
        <v>0</v>
      </c>
      <c r="ES251" s="235">
        <f>SUM(ES246:ES250)</f>
        <v>1.3</v>
      </c>
      <c r="ET251" s="235">
        <f>SUM(ET246:ET250)</f>
        <v>0</v>
      </c>
      <c r="EU251" s="235">
        <f>SUM(EU246:EU250)</f>
        <v>0</v>
      </c>
      <c r="EV251" s="235"/>
      <c r="EW251" s="235"/>
      <c r="EX251" s="235"/>
      <c r="EY251" s="235"/>
      <c r="EZ251" s="235">
        <f t="shared" ref="EZ251:FK251" si="255">SUM(EZ246:EZ250)</f>
        <v>2.5420000000000003</v>
      </c>
      <c r="FA251" s="235">
        <f t="shared" si="255"/>
        <v>2.5420000000000003</v>
      </c>
      <c r="FB251" s="235">
        <f t="shared" si="255"/>
        <v>0</v>
      </c>
      <c r="FC251" s="235">
        <f t="shared" si="255"/>
        <v>0</v>
      </c>
      <c r="FD251" s="235">
        <f t="shared" si="255"/>
        <v>0</v>
      </c>
      <c r="FE251" s="235">
        <f t="shared" si="255"/>
        <v>0</v>
      </c>
      <c r="FF251" s="235">
        <f t="shared" si="255"/>
        <v>0</v>
      </c>
      <c r="FG251" s="235">
        <f t="shared" si="255"/>
        <v>0</v>
      </c>
      <c r="FH251" s="235">
        <f t="shared" ca="1" si="255"/>
        <v>26.545200000000001</v>
      </c>
      <c r="FI251" s="235">
        <f t="shared" ca="1" si="255"/>
        <v>26.545200000000001</v>
      </c>
      <c r="FJ251" s="235">
        <f t="shared" ca="1" si="255"/>
        <v>0</v>
      </c>
      <c r="FK251" s="235">
        <f t="shared" ca="1" si="255"/>
        <v>0</v>
      </c>
      <c r="FL251" s="235">
        <f ca="1">SUM(FL246:FL249)</f>
        <v>0</v>
      </c>
      <c r="FM251" s="236">
        <f ca="1">SUM(FM246:FM250)</f>
        <v>0</v>
      </c>
      <c r="FN251" s="236">
        <f ca="1">SUM(FN246:FN250)</f>
        <v>0</v>
      </c>
      <c r="FO251" s="236">
        <f ca="1">SUM(FO246:FO250)</f>
        <v>0</v>
      </c>
      <c r="FP251" s="237">
        <f t="shared" ca="1" si="252"/>
        <v>1</v>
      </c>
      <c r="FQ251" s="238">
        <f>IFERROR(EZ251/EQ251,0)</f>
        <v>0.53358522250209917</v>
      </c>
      <c r="FR251" s="235">
        <f>SUM(FR246:FR250)</f>
        <v>0</v>
      </c>
      <c r="FS251" s="238">
        <f>IFERROR(FR251/EQ251,0)</f>
        <v>0</v>
      </c>
    </row>
    <row r="252" spans="20:175" s="154" customFormat="1" hidden="1" outlineLevel="1">
      <c r="T252" s="155"/>
      <c r="U252" s="156"/>
      <c r="X252" s="226" t="s">
        <v>225</v>
      </c>
      <c r="Y252" s="227" t="s">
        <v>44</v>
      </c>
      <c r="Z252" s="227"/>
      <c r="AA252" s="228">
        <f t="shared" ref="AA252:AA257" si="256">SUM(AD252:AF252)</f>
        <v>2.1999999999999999E-2</v>
      </c>
      <c r="AB252" s="229">
        <f t="shared" ref="AB252:AB257" si="257">SUM(AH252:AJ252)</f>
        <v>0</v>
      </c>
      <c r="AC252" s="228">
        <v>2.1999999999999999E-2</v>
      </c>
      <c r="AD252" s="230">
        <v>2.1999999999999999E-2</v>
      </c>
      <c r="AE252" s="230"/>
      <c r="AF252" s="230"/>
      <c r="AG252" s="228"/>
      <c r="AH252" s="230"/>
      <c r="AI252" s="230"/>
      <c r="AJ252" s="230"/>
      <c r="AK252" s="228">
        <f t="shared" ref="AK252:AK257" si="258">SUM(AN252:AP252)</f>
        <v>1.6E-2</v>
      </c>
      <c r="AL252" s="229">
        <f t="shared" ref="AL252:AL257" si="259">SUM(AR252:AT252)</f>
        <v>0</v>
      </c>
      <c r="AM252" s="228">
        <v>1.6E-2</v>
      </c>
      <c r="AN252" s="230">
        <v>1.6E-2</v>
      </c>
      <c r="AO252" s="230"/>
      <c r="AP252" s="230"/>
      <c r="AQ252" s="228"/>
      <c r="AR252" s="230"/>
      <c r="AS252" s="230"/>
      <c r="AT252" s="230"/>
      <c r="AU252" s="228">
        <f t="shared" ref="AU252:AU257" si="260">SUM(AX252:AZ252)</f>
        <v>2.7E-2</v>
      </c>
      <c r="AV252" s="229">
        <f t="shared" ref="AV252:AV257" si="261">SUM(BB252:BD252)</f>
        <v>0</v>
      </c>
      <c r="AW252" s="228">
        <v>2.7E-2</v>
      </c>
      <c r="AX252" s="230">
        <v>2.7E-2</v>
      </c>
      <c r="AY252" s="230"/>
      <c r="AZ252" s="230"/>
      <c r="BA252" s="228"/>
      <c r="BB252" s="230"/>
      <c r="BC252" s="230"/>
      <c r="BD252" s="230"/>
      <c r="BE252" s="228">
        <f t="shared" ref="BE252:BE257" si="262">SUM(BH252:BJ252)</f>
        <v>4.0000000000000001E-3</v>
      </c>
      <c r="BF252" s="229">
        <f t="shared" ref="BF252:BF257" si="263">SUM(BL252:BN252)</f>
        <v>0</v>
      </c>
      <c r="BG252" s="228">
        <v>4.0000000000000001E-3</v>
      </c>
      <c r="BH252" s="230">
        <v>4.0000000000000001E-3</v>
      </c>
      <c r="BI252" s="230"/>
      <c r="BJ252" s="230"/>
      <c r="BK252" s="228"/>
      <c r="BL252" s="230"/>
      <c r="BM252" s="230"/>
      <c r="BN252" s="230"/>
      <c r="BO252" s="228">
        <f t="shared" ref="BO252:BO257" si="264">SUM(BR252:BT252)</f>
        <v>0.01</v>
      </c>
      <c r="BP252" s="229">
        <f t="shared" ref="BP252:BP257" si="265">SUM(BV252:BX252)</f>
        <v>0</v>
      </c>
      <c r="BQ252" s="228">
        <v>0.01</v>
      </c>
      <c r="BR252" s="230">
        <v>0.01</v>
      </c>
      <c r="BS252" s="230"/>
      <c r="BT252" s="230"/>
      <c r="BU252" s="228"/>
      <c r="BV252" s="230"/>
      <c r="BW252" s="230"/>
      <c r="BX252" s="230"/>
      <c r="BY252" s="228">
        <f t="shared" ref="BY252:BY257" si="266">SUM(CB252:CD252)</f>
        <v>4.0000000000000001E-3</v>
      </c>
      <c r="BZ252" s="229">
        <f t="shared" ref="BZ252:BZ257" si="267">SUM(CF252:CH252)</f>
        <v>0</v>
      </c>
      <c r="CA252" s="228">
        <v>4.0000000000000001E-3</v>
      </c>
      <c r="CB252" s="230">
        <v>4.0000000000000001E-3</v>
      </c>
      <c r="CC252" s="230"/>
      <c r="CD252" s="230"/>
      <c r="CE252" s="228"/>
      <c r="CF252" s="230"/>
      <c r="CG252" s="230"/>
      <c r="CH252" s="230"/>
      <c r="CI252" s="228">
        <f t="shared" ref="CI252:CI257" si="268">SUM(CL252:CN252)</f>
        <v>0</v>
      </c>
      <c r="CJ252" s="229">
        <f t="shared" ref="CJ252:CJ257" si="269">SUM(CP252:CR252)</f>
        <v>0</v>
      </c>
      <c r="CK252" s="228"/>
      <c r="CL252" s="230"/>
      <c r="CM252" s="230"/>
      <c r="CN252" s="230"/>
      <c r="CO252" s="228"/>
      <c r="CP252" s="230"/>
      <c r="CQ252" s="230"/>
      <c r="CR252" s="230"/>
      <c r="CS252" s="228">
        <f t="shared" ref="CS252:CS257" si="270">SUM(CV252:CX252)</f>
        <v>0</v>
      </c>
      <c r="CT252" s="229">
        <f t="shared" ref="CT252:CT257" si="271">SUM(CZ252:DB252)</f>
        <v>0</v>
      </c>
      <c r="CU252" s="228"/>
      <c r="CV252" s="230"/>
      <c r="CW252" s="230"/>
      <c r="CX252" s="230"/>
      <c r="CY252" s="228"/>
      <c r="CZ252" s="230"/>
      <c r="DA252" s="230"/>
      <c r="DB252" s="230"/>
      <c r="DC252" s="228">
        <f t="shared" ref="DC252:DC257" si="272">SUM(DF252:DH252)</f>
        <v>0</v>
      </c>
      <c r="DD252" s="229">
        <f t="shared" ref="DD252:DD257" si="273">SUM(DJ252:DL252)</f>
        <v>0</v>
      </c>
      <c r="DE252" s="228"/>
      <c r="DF252" s="230"/>
      <c r="DG252" s="230"/>
      <c r="DH252" s="230"/>
      <c r="DI252" s="228"/>
      <c r="DJ252" s="230"/>
      <c r="DK252" s="230"/>
      <c r="DL252" s="230"/>
      <c r="DM252" s="228">
        <f t="shared" ref="DM252:DM257" si="274">SUM(DP252:DR252)</f>
        <v>0</v>
      </c>
      <c r="DN252" s="229">
        <f t="shared" ref="DN252:DN257" si="275">SUM(DT252:DV252)</f>
        <v>0</v>
      </c>
      <c r="DO252" s="228"/>
      <c r="DP252" s="230"/>
      <c r="DQ252" s="230"/>
      <c r="DR252" s="230"/>
      <c r="DS252" s="228"/>
      <c r="DT252" s="230"/>
      <c r="DU252" s="230"/>
      <c r="DV252" s="230"/>
      <c r="DW252" s="228">
        <f t="shared" ref="DW252:DW257" si="276">SUM(DZ252:EB252)</f>
        <v>0</v>
      </c>
      <c r="DX252" s="229">
        <f t="shared" ref="DX252:DX257" si="277">SUM(ED252:EF252)</f>
        <v>0</v>
      </c>
      <c r="DY252" s="228"/>
      <c r="DZ252" s="230"/>
      <c r="EA252" s="230"/>
      <c r="EB252" s="230"/>
      <c r="EC252" s="228"/>
      <c r="ED252" s="230"/>
      <c r="EE252" s="230"/>
      <c r="EF252" s="230"/>
      <c r="EG252" s="228">
        <f t="shared" ref="EG252:EG257" si="278">SUM(EJ252:EL252)</f>
        <v>0</v>
      </c>
      <c r="EH252" s="229">
        <f t="shared" ref="EH252:EH257" si="279">SUM(EN252:EP252)</f>
        <v>0</v>
      </c>
      <c r="EI252" s="228"/>
      <c r="EJ252" s="230"/>
      <c r="EK252" s="230"/>
      <c r="EL252" s="230"/>
      <c r="EM252" s="228"/>
      <c r="EN252" s="230"/>
      <c r="EO252" s="230"/>
      <c r="EP252" s="230"/>
      <c r="EQ252" s="386"/>
      <c r="ER252" s="230">
        <f>SUM(ET252:EX252)</f>
        <v>0</v>
      </c>
      <c r="ES252" s="230">
        <f>IFERROR(SUMIFS(Daily_Vol_yesterday[Order Quantity],Daily_Vol_yesterday[Cust_Cat.cust_channel],master_Daily!X252,Daily_Vol_yesterday[Map_Product.TME_Brand],master_Daily!Y252)/50000,0)</f>
        <v>0</v>
      </c>
      <c r="ET252" s="230"/>
      <c r="EU252" s="230"/>
      <c r="EV252" s="229"/>
      <c r="EW252" s="230"/>
      <c r="EX252" s="230"/>
      <c r="EY252" s="230"/>
      <c r="EZ252" s="230">
        <f>SUM(FA252:FC252)</f>
        <v>4.0000000000000001E-3</v>
      </c>
      <c r="FA252" s="230">
        <f>IFERROR(SUM(SUMIFS(Weekly_Vol[Quantity],Weekly_Vol[Cust_Cat.cust_channel],master_Daily!X252,Weekly_Vol[Map_Product.TME_Brand],master_Daily!Y252),SUMIFS(Daily_Vol[Order Quantity],Daily_Vol[Cust_Cat.cust_channel],master_Daily!X252,Daily_Vol[Map_Product.TME_Brand],master_Daily!Y252))/50000,0)</f>
        <v>4.0000000000000001E-3</v>
      </c>
      <c r="FB252" s="230"/>
      <c r="FC252" s="230"/>
      <c r="FD252" s="230"/>
      <c r="FE252" s="230"/>
      <c r="FF252" s="230"/>
      <c r="FG252" s="230"/>
      <c r="FH252" s="230">
        <f ca="1">SUM(FI252:FK252)</f>
        <v>8.3000000000000004E-2</v>
      </c>
      <c r="FI252" s="230">
        <f t="shared" ref="FI252:FK256" ca="1" si="280">SUMIFS($AA252:$EP252,$AA$129:$EP$129,INDIRECT(ADDRESS(129,COLUMN())))</f>
        <v>8.3000000000000004E-2</v>
      </c>
      <c r="FJ252" s="230">
        <f t="shared" ca="1" si="280"/>
        <v>0</v>
      </c>
      <c r="FK252" s="230">
        <f t="shared" ca="1" si="280"/>
        <v>0</v>
      </c>
      <c r="FL252" s="230">
        <f ca="1">SUMIFS($AA252:$EP252,$AA$129:$EP$129,INDIRECT(ADDRESS(38,COLUMN())))</f>
        <v>0</v>
      </c>
      <c r="FM252" s="230">
        <f ca="1">SUMIFS($AA252:$EP252,$AA$129:$EP$129,INDIRECT(ADDRESS(38,COLUMN())))</f>
        <v>0</v>
      </c>
      <c r="FN252" s="230">
        <f ca="1">SUMIFS($AA252:$EP252,$AA$129:$EP$129,INDIRECT(ADDRESS(38,COLUMN())))</f>
        <v>0</v>
      </c>
      <c r="FO252" s="230">
        <f ca="1">SUMIFS($AA252:$EP252,$AA$129:$EP$129,INDIRECT(ADDRESS(38,COLUMN())))</f>
        <v>0</v>
      </c>
      <c r="FP252" s="231">
        <f t="shared" ref="FP252:FP257" ca="1" si="281">IFERROR(FH252/$FH$257,0)</f>
        <v>5.4128081387765743E-3</v>
      </c>
      <c r="FQ252" s="232">
        <f t="shared" si="248"/>
        <v>0</v>
      </c>
      <c r="FR252" s="230">
        <f>SUMIFS(TME_MTD_Dist[Sell_WHS_QTY],TME_MTD_Dist[Dist_Name],master_Daily!$X252,TME_MTD_Dist[Brand],master_Daily!$Y252)/50000
 + SUMIFS(TME_MTD_Dist[Sell_RTL_QTY],TME_MTD_Dist[Dist_Name],master_Daily!$X252,TME_MTD_Dist[Brand],master_Daily!$Y252)/50000</f>
        <v>0</v>
      </c>
      <c r="FS252" s="232">
        <f t="shared" si="207"/>
        <v>0</v>
      </c>
    </row>
    <row r="253" spans="20:175" s="154" customFormat="1" hidden="1" outlineLevel="1">
      <c r="T253" s="155"/>
      <c r="U253" s="156"/>
      <c r="X253" s="226" t="s">
        <v>225</v>
      </c>
      <c r="Y253" s="227" t="s">
        <v>45</v>
      </c>
      <c r="Z253" s="227"/>
      <c r="AA253" s="228">
        <f t="shared" si="256"/>
        <v>6.0000000000000001E-3</v>
      </c>
      <c r="AB253" s="229">
        <f t="shared" si="257"/>
        <v>0</v>
      </c>
      <c r="AC253" s="228">
        <v>6.0000000000000001E-3</v>
      </c>
      <c r="AD253" s="230">
        <v>6.0000000000000001E-3</v>
      </c>
      <c r="AE253" s="230"/>
      <c r="AF253" s="230"/>
      <c r="AG253" s="228"/>
      <c r="AH253" s="230"/>
      <c r="AI253" s="230"/>
      <c r="AJ253" s="230"/>
      <c r="AK253" s="228">
        <f t="shared" si="258"/>
        <v>2E-3</v>
      </c>
      <c r="AL253" s="229">
        <f t="shared" si="259"/>
        <v>0</v>
      </c>
      <c r="AM253" s="228">
        <v>2E-3</v>
      </c>
      <c r="AN253" s="230">
        <v>2E-3</v>
      </c>
      <c r="AO253" s="230"/>
      <c r="AP253" s="230"/>
      <c r="AQ253" s="228"/>
      <c r="AR253" s="230"/>
      <c r="AS253" s="230"/>
      <c r="AT253" s="230"/>
      <c r="AU253" s="228">
        <f t="shared" si="260"/>
        <v>0</v>
      </c>
      <c r="AV253" s="229">
        <f t="shared" si="261"/>
        <v>0</v>
      </c>
      <c r="AW253" s="228">
        <v>0</v>
      </c>
      <c r="AX253" s="230">
        <v>0</v>
      </c>
      <c r="AY253" s="230"/>
      <c r="AZ253" s="230"/>
      <c r="BA253" s="228"/>
      <c r="BB253" s="230"/>
      <c r="BC253" s="230"/>
      <c r="BD253" s="230"/>
      <c r="BE253" s="228">
        <f t="shared" si="262"/>
        <v>1E-3</v>
      </c>
      <c r="BF253" s="229">
        <f t="shared" si="263"/>
        <v>0</v>
      </c>
      <c r="BG253" s="228">
        <v>1E-3</v>
      </c>
      <c r="BH253" s="230">
        <v>1E-3</v>
      </c>
      <c r="BI253" s="230"/>
      <c r="BJ253" s="230"/>
      <c r="BK253" s="228"/>
      <c r="BL253" s="230"/>
      <c r="BM253" s="230"/>
      <c r="BN253" s="230"/>
      <c r="BO253" s="228">
        <f t="shared" si="264"/>
        <v>6.0000000000000001E-3</v>
      </c>
      <c r="BP253" s="229">
        <f t="shared" si="265"/>
        <v>0</v>
      </c>
      <c r="BQ253" s="228">
        <v>6.0000000000000001E-3</v>
      </c>
      <c r="BR253" s="230">
        <v>6.0000000000000001E-3</v>
      </c>
      <c r="BS253" s="230"/>
      <c r="BT253" s="230"/>
      <c r="BU253" s="228"/>
      <c r="BV253" s="230"/>
      <c r="BW253" s="230"/>
      <c r="BX253" s="230"/>
      <c r="BY253" s="228">
        <f t="shared" si="266"/>
        <v>0</v>
      </c>
      <c r="BZ253" s="229">
        <f t="shared" si="267"/>
        <v>0</v>
      </c>
      <c r="CA253" s="228">
        <v>0</v>
      </c>
      <c r="CB253" s="230">
        <v>0</v>
      </c>
      <c r="CC253" s="230"/>
      <c r="CD253" s="230"/>
      <c r="CE253" s="228"/>
      <c r="CF253" s="230"/>
      <c r="CG253" s="230"/>
      <c r="CH253" s="230"/>
      <c r="CI253" s="228">
        <f t="shared" si="268"/>
        <v>0</v>
      </c>
      <c r="CJ253" s="229">
        <f t="shared" si="269"/>
        <v>0</v>
      </c>
      <c r="CK253" s="228"/>
      <c r="CL253" s="230"/>
      <c r="CM253" s="230"/>
      <c r="CN253" s="230"/>
      <c r="CO253" s="228"/>
      <c r="CP253" s="230"/>
      <c r="CQ253" s="230"/>
      <c r="CR253" s="230"/>
      <c r="CS253" s="228">
        <f t="shared" si="270"/>
        <v>0</v>
      </c>
      <c r="CT253" s="229">
        <f t="shared" si="271"/>
        <v>0</v>
      </c>
      <c r="CU253" s="228"/>
      <c r="CV253" s="230"/>
      <c r="CW253" s="230"/>
      <c r="CX253" s="230"/>
      <c r="CY253" s="228"/>
      <c r="CZ253" s="230"/>
      <c r="DA253" s="230"/>
      <c r="DB253" s="230"/>
      <c r="DC253" s="228">
        <f t="shared" si="272"/>
        <v>0</v>
      </c>
      <c r="DD253" s="229">
        <f t="shared" si="273"/>
        <v>0</v>
      </c>
      <c r="DE253" s="228"/>
      <c r="DF253" s="230"/>
      <c r="DG253" s="230"/>
      <c r="DH253" s="230"/>
      <c r="DI253" s="228"/>
      <c r="DJ253" s="230"/>
      <c r="DK253" s="230"/>
      <c r="DL253" s="230"/>
      <c r="DM253" s="228">
        <f t="shared" si="274"/>
        <v>0</v>
      </c>
      <c r="DN253" s="229">
        <f t="shared" si="275"/>
        <v>0</v>
      </c>
      <c r="DO253" s="228"/>
      <c r="DP253" s="230"/>
      <c r="DQ253" s="230"/>
      <c r="DR253" s="230"/>
      <c r="DS253" s="228"/>
      <c r="DT253" s="230"/>
      <c r="DU253" s="230"/>
      <c r="DV253" s="230"/>
      <c r="DW253" s="228">
        <f t="shared" si="276"/>
        <v>0</v>
      </c>
      <c r="DX253" s="229">
        <f t="shared" si="277"/>
        <v>0</v>
      </c>
      <c r="DY253" s="228"/>
      <c r="DZ253" s="230"/>
      <c r="EA253" s="230"/>
      <c r="EB253" s="230"/>
      <c r="EC253" s="228"/>
      <c r="ED253" s="230"/>
      <c r="EE253" s="230"/>
      <c r="EF253" s="230"/>
      <c r="EG253" s="228">
        <f t="shared" si="278"/>
        <v>0</v>
      </c>
      <c r="EH253" s="229">
        <f t="shared" si="279"/>
        <v>0</v>
      </c>
      <c r="EI253" s="228"/>
      <c r="EJ253" s="230"/>
      <c r="EK253" s="230"/>
      <c r="EL253" s="230"/>
      <c r="EM253" s="228"/>
      <c r="EN253" s="230"/>
      <c r="EO253" s="230"/>
      <c r="EP253" s="230"/>
      <c r="EQ253" s="386"/>
      <c r="ER253" s="230">
        <f>SUM(ET253:EX253)</f>
        <v>0</v>
      </c>
      <c r="ES253" s="230">
        <f>IFERROR(SUMIFS(Daily_Vol_yesterday[Order Quantity],Daily_Vol_yesterday[Cust_Cat.cust_channel],master_Daily!X253,Daily_Vol_yesterday[Map_Product.TME_Brand],master_Daily!Y253)/50000,0)</f>
        <v>0</v>
      </c>
      <c r="ET253" s="230"/>
      <c r="EU253" s="230"/>
      <c r="EV253" s="229"/>
      <c r="EW253" s="230"/>
      <c r="EX253" s="230"/>
      <c r="EY253" s="230"/>
      <c r="EZ253" s="230">
        <f>SUM(FA253:FC253)</f>
        <v>0</v>
      </c>
      <c r="FA253" s="230">
        <f>IFERROR(SUM(SUMIFS(Weekly_Vol[Quantity],Weekly_Vol[Cust_Cat.cust_channel],master_Daily!X253,Weekly_Vol[Map_Product.TME_Brand],master_Daily!Y253),SUMIFS(Daily_Vol[Order Quantity],Daily_Vol[Cust_Cat.cust_channel],master_Daily!X253,Daily_Vol[Map_Product.TME_Brand],master_Daily!Y253))/50000,0)</f>
        <v>0</v>
      </c>
      <c r="FB253" s="230"/>
      <c r="FC253" s="230"/>
      <c r="FD253" s="230"/>
      <c r="FE253" s="230"/>
      <c r="FF253" s="230"/>
      <c r="FG253" s="230"/>
      <c r="FH253" s="230">
        <f ca="1">SUM(FI253:FK253)</f>
        <v>1.5000000000000001E-2</v>
      </c>
      <c r="FI253" s="230">
        <f t="shared" ca="1" si="280"/>
        <v>1.5000000000000001E-2</v>
      </c>
      <c r="FJ253" s="230">
        <f t="shared" ca="1" si="280"/>
        <v>0</v>
      </c>
      <c r="FK253" s="230">
        <f t="shared" ca="1" si="280"/>
        <v>0</v>
      </c>
      <c r="FL253" s="230">
        <f t="shared" ref="FL253:FO254" ca="1" si="282">SUMIFS($AA253:$EP253,$AA$129:$EP$129,INDIRECT(ADDRESS(129,COLUMN())))</f>
        <v>0</v>
      </c>
      <c r="FM253" s="229">
        <f t="shared" ca="1" si="282"/>
        <v>0</v>
      </c>
      <c r="FN253" s="229">
        <f t="shared" ca="1" si="282"/>
        <v>0</v>
      </c>
      <c r="FO253" s="229">
        <f t="shared" ca="1" si="282"/>
        <v>0</v>
      </c>
      <c r="FP253" s="231">
        <f t="shared" ca="1" si="281"/>
        <v>9.7821833833311596E-4</v>
      </c>
      <c r="FQ253" s="232">
        <f t="shared" si="248"/>
        <v>0</v>
      </c>
      <c r="FR253" s="230">
        <f>SUMIFS(TME_MTD_Dist[Sell_WHS_QTY],TME_MTD_Dist[Dist_Name],master_Daily!$X253,TME_MTD_Dist[Brand],master_Daily!$Y253)/50000
 + SUMIFS(TME_MTD_Dist[Sell_RTL_QTY],TME_MTD_Dist[Dist_Name],master_Daily!$X253,TME_MTD_Dist[Brand],master_Daily!$Y253)/50000</f>
        <v>0</v>
      </c>
      <c r="FS253" s="232">
        <f t="shared" si="207"/>
        <v>0</v>
      </c>
    </row>
    <row r="254" spans="20:175" s="154" customFormat="1" hidden="1" outlineLevel="1">
      <c r="T254" s="155"/>
      <c r="U254" s="156"/>
      <c r="X254" s="226" t="s">
        <v>225</v>
      </c>
      <c r="Y254" s="227" t="s">
        <v>46</v>
      </c>
      <c r="Z254" s="227"/>
      <c r="AA254" s="228">
        <f t="shared" si="256"/>
        <v>0.93120000000000003</v>
      </c>
      <c r="AB254" s="229">
        <f t="shared" si="257"/>
        <v>0</v>
      </c>
      <c r="AC254" s="228">
        <v>0.93120000000000003</v>
      </c>
      <c r="AD254" s="230">
        <v>0.93120000000000003</v>
      </c>
      <c r="AE254" s="230"/>
      <c r="AF254" s="230"/>
      <c r="AG254" s="228"/>
      <c r="AH254" s="230"/>
      <c r="AI254" s="230"/>
      <c r="AJ254" s="230"/>
      <c r="AK254" s="228">
        <f t="shared" si="258"/>
        <v>0.81699999999999995</v>
      </c>
      <c r="AL254" s="229">
        <f t="shared" si="259"/>
        <v>0</v>
      </c>
      <c r="AM254" s="228">
        <v>0.81699999999999995</v>
      </c>
      <c r="AN254" s="230">
        <v>0.81699999999999995</v>
      </c>
      <c r="AO254" s="230"/>
      <c r="AP254" s="230"/>
      <c r="AQ254" s="228"/>
      <c r="AR254" s="230"/>
      <c r="AS254" s="230"/>
      <c r="AT254" s="230"/>
      <c r="AU254" s="228">
        <f t="shared" si="260"/>
        <v>0.7</v>
      </c>
      <c r="AV254" s="229">
        <f t="shared" si="261"/>
        <v>0</v>
      </c>
      <c r="AW254" s="228">
        <v>0.7</v>
      </c>
      <c r="AX254" s="230">
        <v>0.7</v>
      </c>
      <c r="AY254" s="230"/>
      <c r="AZ254" s="230"/>
      <c r="BA254" s="228"/>
      <c r="BB254" s="230"/>
      <c r="BC254" s="230"/>
      <c r="BD254" s="230"/>
      <c r="BE254" s="228">
        <f t="shared" si="262"/>
        <v>0.70899999999999996</v>
      </c>
      <c r="BF254" s="229">
        <f t="shared" si="263"/>
        <v>0</v>
      </c>
      <c r="BG254" s="228">
        <v>0.70899999999999996</v>
      </c>
      <c r="BH254" s="230">
        <v>0.70899999999999996</v>
      </c>
      <c r="BI254" s="230"/>
      <c r="BJ254" s="230"/>
      <c r="BK254" s="228"/>
      <c r="BL254" s="230"/>
      <c r="BM254" s="230"/>
      <c r="BN254" s="230"/>
      <c r="BO254" s="228">
        <f t="shared" si="264"/>
        <v>0.82799999999999996</v>
      </c>
      <c r="BP254" s="229">
        <f t="shared" si="265"/>
        <v>0</v>
      </c>
      <c r="BQ254" s="228">
        <v>0.82799999999999996</v>
      </c>
      <c r="BR254" s="230">
        <v>0.82799999999999996</v>
      </c>
      <c r="BS254" s="230"/>
      <c r="BT254" s="230"/>
      <c r="BU254" s="228"/>
      <c r="BV254" s="230"/>
      <c r="BW254" s="230"/>
      <c r="BX254" s="230"/>
      <c r="BY254" s="228">
        <f t="shared" si="266"/>
        <v>0.22</v>
      </c>
      <c r="BZ254" s="229">
        <f t="shared" si="267"/>
        <v>0</v>
      </c>
      <c r="CA254" s="228">
        <v>0.22</v>
      </c>
      <c r="CB254" s="230">
        <v>0.22</v>
      </c>
      <c r="CC254" s="230"/>
      <c r="CD254" s="230"/>
      <c r="CE254" s="228"/>
      <c r="CF254" s="230"/>
      <c r="CG254" s="230"/>
      <c r="CH254" s="230"/>
      <c r="CI254" s="228">
        <f t="shared" si="268"/>
        <v>0</v>
      </c>
      <c r="CJ254" s="229">
        <f t="shared" si="269"/>
        <v>0</v>
      </c>
      <c r="CK254" s="228"/>
      <c r="CL254" s="230"/>
      <c r="CM254" s="230"/>
      <c r="CN254" s="230"/>
      <c r="CO254" s="228"/>
      <c r="CP254" s="230"/>
      <c r="CQ254" s="230"/>
      <c r="CR254" s="230"/>
      <c r="CS254" s="228">
        <f t="shared" si="270"/>
        <v>0</v>
      </c>
      <c r="CT254" s="229">
        <f t="shared" si="271"/>
        <v>0</v>
      </c>
      <c r="CU254" s="228"/>
      <c r="CV254" s="230"/>
      <c r="CW254" s="230"/>
      <c r="CX254" s="230"/>
      <c r="CY254" s="228"/>
      <c r="CZ254" s="230"/>
      <c r="DA254" s="230"/>
      <c r="DB254" s="230"/>
      <c r="DC254" s="228">
        <f t="shared" si="272"/>
        <v>0</v>
      </c>
      <c r="DD254" s="229">
        <f t="shared" si="273"/>
        <v>0</v>
      </c>
      <c r="DE254" s="228"/>
      <c r="DF254" s="230"/>
      <c r="DG254" s="230"/>
      <c r="DH254" s="230"/>
      <c r="DI254" s="228"/>
      <c r="DJ254" s="230"/>
      <c r="DK254" s="230"/>
      <c r="DL254" s="230"/>
      <c r="DM254" s="228">
        <f t="shared" si="274"/>
        <v>0</v>
      </c>
      <c r="DN254" s="229">
        <f t="shared" si="275"/>
        <v>0</v>
      </c>
      <c r="DO254" s="228"/>
      <c r="DP254" s="230"/>
      <c r="DQ254" s="230"/>
      <c r="DR254" s="230"/>
      <c r="DS254" s="228"/>
      <c r="DT254" s="230"/>
      <c r="DU254" s="230"/>
      <c r="DV254" s="230"/>
      <c r="DW254" s="228">
        <f t="shared" si="276"/>
        <v>0</v>
      </c>
      <c r="DX254" s="229">
        <f t="shared" si="277"/>
        <v>0</v>
      </c>
      <c r="DY254" s="228"/>
      <c r="DZ254" s="230"/>
      <c r="EA254" s="230"/>
      <c r="EB254" s="230"/>
      <c r="EC254" s="228"/>
      <c r="ED254" s="230"/>
      <c r="EE254" s="230"/>
      <c r="EF254" s="230"/>
      <c r="EG254" s="228">
        <f t="shared" si="278"/>
        <v>0</v>
      </c>
      <c r="EH254" s="229">
        <f t="shared" si="279"/>
        <v>0</v>
      </c>
      <c r="EI254" s="228"/>
      <c r="EJ254" s="230"/>
      <c r="EK254" s="230"/>
      <c r="EL254" s="230"/>
      <c r="EM254" s="228"/>
      <c r="EN254" s="230"/>
      <c r="EO254" s="230"/>
      <c r="EP254" s="230"/>
      <c r="EQ254" s="386"/>
      <c r="ER254" s="230">
        <f>SUM(ET254:EX254)</f>
        <v>0</v>
      </c>
      <c r="ES254" s="230">
        <f>IFERROR(SUMIFS(Daily_Vol_yesterday[Order Quantity],Daily_Vol_yesterday[Cust_Cat.cust_channel],master_Daily!X254,Daily_Vol_yesterday[Map_Product.TME_Brand],master_Daily!Y254)/50000,0)</f>
        <v>0</v>
      </c>
      <c r="ET254" s="230"/>
      <c r="EU254" s="230"/>
      <c r="EV254" s="229"/>
      <c r="EW254" s="230"/>
      <c r="EX254" s="230"/>
      <c r="EY254" s="230"/>
      <c r="EZ254" s="230">
        <f>SUM(FA254:FC254)</f>
        <v>0.22</v>
      </c>
      <c r="FA254" s="230">
        <f>IFERROR(SUM(SUMIFS(Weekly_Vol[Quantity],Weekly_Vol[Cust_Cat.cust_channel],master_Daily!X254,Weekly_Vol[Map_Product.TME_Brand],master_Daily!Y254),SUMIFS(Daily_Vol[Order Quantity],Daily_Vol[Cust_Cat.cust_channel],master_Daily!X254,Daily_Vol[Map_Product.TME_Brand],master_Daily!Y254))/50000,0)</f>
        <v>0.22</v>
      </c>
      <c r="FB254" s="230"/>
      <c r="FC254" s="230"/>
      <c r="FD254" s="230"/>
      <c r="FE254" s="230"/>
      <c r="FF254" s="230"/>
      <c r="FG254" s="230"/>
      <c r="FH254" s="230">
        <f ca="1">SUM(FI254:FK254)</f>
        <v>4.2051999999999996</v>
      </c>
      <c r="FI254" s="230">
        <f t="shared" ca="1" si="280"/>
        <v>4.2051999999999996</v>
      </c>
      <c r="FJ254" s="230">
        <f t="shared" ca="1" si="280"/>
        <v>0</v>
      </c>
      <c r="FK254" s="230">
        <f t="shared" ca="1" si="280"/>
        <v>0</v>
      </c>
      <c r="FL254" s="230">
        <f t="shared" ca="1" si="282"/>
        <v>0</v>
      </c>
      <c r="FM254" s="229">
        <f t="shared" ca="1" si="282"/>
        <v>0</v>
      </c>
      <c r="FN254" s="229">
        <f t="shared" ca="1" si="282"/>
        <v>0</v>
      </c>
      <c r="FO254" s="229">
        <f t="shared" ca="1" si="282"/>
        <v>0</v>
      </c>
      <c r="FP254" s="231">
        <f t="shared" ca="1" si="281"/>
        <v>0.27424025042389455</v>
      </c>
      <c r="FQ254" s="232">
        <f t="shared" si="248"/>
        <v>0</v>
      </c>
      <c r="FR254" s="230">
        <f>SUMIFS(TME_MTD_Dist[Sell_WHS_QTY],TME_MTD_Dist[Dist_Name],master_Daily!$X254,TME_MTD_Dist[Brand],master_Daily!$Y254)/50000
 + SUMIFS(TME_MTD_Dist[Sell_RTL_QTY],TME_MTD_Dist[Dist_Name],master_Daily!$X254,TME_MTD_Dist[Brand],master_Daily!$Y254)/50000</f>
        <v>0</v>
      </c>
      <c r="FS254" s="232">
        <f t="shared" si="207"/>
        <v>0</v>
      </c>
    </row>
    <row r="255" spans="20:175" s="154" customFormat="1" hidden="1" outlineLevel="1">
      <c r="T255" s="155"/>
      <c r="U255" s="156"/>
      <c r="X255" s="226" t="s">
        <v>225</v>
      </c>
      <c r="Y255" s="227" t="s">
        <v>263</v>
      </c>
      <c r="Z255" s="227"/>
      <c r="AA255" s="228">
        <f t="shared" si="256"/>
        <v>1.6140000000000001</v>
      </c>
      <c r="AB255" s="229">
        <f t="shared" si="257"/>
        <v>0</v>
      </c>
      <c r="AC255" s="228">
        <v>1.6140000000000001</v>
      </c>
      <c r="AD255" s="230">
        <v>1.6140000000000001</v>
      </c>
      <c r="AE255" s="230"/>
      <c r="AF255" s="230"/>
      <c r="AG255" s="228"/>
      <c r="AH255" s="230"/>
      <c r="AI255" s="230"/>
      <c r="AJ255" s="230"/>
      <c r="AK255" s="228">
        <f t="shared" si="258"/>
        <v>1.7769999999999999</v>
      </c>
      <c r="AL255" s="229">
        <f t="shared" si="259"/>
        <v>0</v>
      </c>
      <c r="AM255" s="228">
        <v>1.7769999999999999</v>
      </c>
      <c r="AN255" s="230">
        <v>1.7769999999999999</v>
      </c>
      <c r="AO255" s="230"/>
      <c r="AP255" s="230"/>
      <c r="AQ255" s="228"/>
      <c r="AR255" s="230"/>
      <c r="AS255" s="230"/>
      <c r="AT255" s="230"/>
      <c r="AU255" s="228">
        <f t="shared" si="260"/>
        <v>1.766</v>
      </c>
      <c r="AV255" s="229">
        <f t="shared" si="261"/>
        <v>0</v>
      </c>
      <c r="AW255" s="228">
        <v>1.766</v>
      </c>
      <c r="AX255" s="230">
        <v>1.766</v>
      </c>
      <c r="AY255" s="230"/>
      <c r="AZ255" s="230"/>
      <c r="BA255" s="228"/>
      <c r="BB255" s="230"/>
      <c r="BC255" s="230"/>
      <c r="BD255" s="230"/>
      <c r="BE255" s="228">
        <f t="shared" si="262"/>
        <v>1.7270000000000001</v>
      </c>
      <c r="BF255" s="229">
        <f t="shared" si="263"/>
        <v>0</v>
      </c>
      <c r="BG255" s="228">
        <v>1.7270000000000001</v>
      </c>
      <c r="BH255" s="230">
        <v>1.7270000000000001</v>
      </c>
      <c r="BI255" s="230"/>
      <c r="BJ255" s="230"/>
      <c r="BK255" s="228"/>
      <c r="BL255" s="230"/>
      <c r="BM255" s="230"/>
      <c r="BN255" s="230"/>
      <c r="BO255" s="228">
        <f t="shared" si="264"/>
        <v>1.173</v>
      </c>
      <c r="BP255" s="229">
        <f t="shared" si="265"/>
        <v>0</v>
      </c>
      <c r="BQ255" s="228">
        <v>1.173</v>
      </c>
      <c r="BR255" s="230">
        <v>1.173</v>
      </c>
      <c r="BS255" s="230"/>
      <c r="BT255" s="230"/>
      <c r="BU255" s="228"/>
      <c r="BV255" s="230"/>
      <c r="BW255" s="230"/>
      <c r="BX255" s="230"/>
      <c r="BY255" s="228">
        <f t="shared" si="266"/>
        <v>0.53400000000000003</v>
      </c>
      <c r="BZ255" s="229">
        <f t="shared" si="267"/>
        <v>0</v>
      </c>
      <c r="CA255" s="228">
        <v>0.53400000000000003</v>
      </c>
      <c r="CB255" s="230">
        <v>0.53400000000000003</v>
      </c>
      <c r="CC255" s="230"/>
      <c r="CD255" s="230"/>
      <c r="CE255" s="228"/>
      <c r="CF255" s="230"/>
      <c r="CG255" s="230"/>
      <c r="CH255" s="230"/>
      <c r="CI255" s="228">
        <f t="shared" si="268"/>
        <v>0</v>
      </c>
      <c r="CJ255" s="229">
        <f t="shared" si="269"/>
        <v>0</v>
      </c>
      <c r="CK255" s="228"/>
      <c r="CL255" s="230"/>
      <c r="CM255" s="230"/>
      <c r="CN255" s="230"/>
      <c r="CO255" s="228"/>
      <c r="CP255" s="230"/>
      <c r="CQ255" s="230"/>
      <c r="CR255" s="230"/>
      <c r="CS255" s="228">
        <f t="shared" si="270"/>
        <v>0</v>
      </c>
      <c r="CT255" s="229">
        <f t="shared" si="271"/>
        <v>0</v>
      </c>
      <c r="CU255" s="228"/>
      <c r="CV255" s="230"/>
      <c r="CW255" s="230"/>
      <c r="CX255" s="230"/>
      <c r="CY255" s="228"/>
      <c r="CZ255" s="230"/>
      <c r="DA255" s="230"/>
      <c r="DB255" s="230"/>
      <c r="DC255" s="228">
        <f t="shared" si="272"/>
        <v>0</v>
      </c>
      <c r="DD255" s="229">
        <f t="shared" si="273"/>
        <v>0</v>
      </c>
      <c r="DE255" s="228"/>
      <c r="DF255" s="230"/>
      <c r="DG255" s="230"/>
      <c r="DH255" s="230"/>
      <c r="DI255" s="228"/>
      <c r="DJ255" s="230"/>
      <c r="DK255" s="230"/>
      <c r="DL255" s="230"/>
      <c r="DM255" s="228">
        <f t="shared" si="274"/>
        <v>0</v>
      </c>
      <c r="DN255" s="229">
        <f t="shared" si="275"/>
        <v>0</v>
      </c>
      <c r="DO255" s="228"/>
      <c r="DP255" s="230"/>
      <c r="DQ255" s="230"/>
      <c r="DR255" s="230"/>
      <c r="DS255" s="228"/>
      <c r="DT255" s="230"/>
      <c r="DU255" s="230"/>
      <c r="DV255" s="230"/>
      <c r="DW255" s="228">
        <f t="shared" si="276"/>
        <v>0</v>
      </c>
      <c r="DX255" s="229">
        <f t="shared" si="277"/>
        <v>0</v>
      </c>
      <c r="DY255" s="228"/>
      <c r="DZ255" s="230"/>
      <c r="EA255" s="230"/>
      <c r="EB255" s="230"/>
      <c r="EC255" s="228"/>
      <c r="ED255" s="230"/>
      <c r="EE255" s="230"/>
      <c r="EF255" s="230"/>
      <c r="EG255" s="228">
        <f t="shared" si="278"/>
        <v>0</v>
      </c>
      <c r="EH255" s="229">
        <f t="shared" si="279"/>
        <v>0</v>
      </c>
      <c r="EI255" s="228"/>
      <c r="EJ255" s="230"/>
      <c r="EK255" s="230"/>
      <c r="EL255" s="230"/>
      <c r="EM255" s="228"/>
      <c r="EN255" s="230"/>
      <c r="EO255" s="230"/>
      <c r="EP255" s="230"/>
      <c r="EQ255" s="386"/>
      <c r="ER255" s="230">
        <f>SUM(ET255:EX255)</f>
        <v>0</v>
      </c>
      <c r="ES255" s="230">
        <f>IFERROR(SUMIFS(Daily_Vol_yesterday[Order Quantity],Daily_Vol_yesterday[Cust_Cat.cust_channel],master_Daily!X255,Daily_Vol_yesterday[Map_Product.TME_Brand],"CM")/50000,0)</f>
        <v>0</v>
      </c>
      <c r="ET255" s="230"/>
      <c r="EU255" s="230"/>
      <c r="EV255" s="229"/>
      <c r="EW255" s="230"/>
      <c r="EX255" s="230"/>
      <c r="EY255" s="230"/>
      <c r="EZ255" s="230">
        <f>SUM(FA255:FC255)</f>
        <v>0.53400000000000003</v>
      </c>
      <c r="FA255" s="230">
        <f>IFERROR(SUM(SUMIFS(Weekly_Vol[Quantity],Weekly_Vol[Cust_Cat.cust_channel],master_Daily!X255,Weekly_Vol[Map_Product.TME_Brand],"CM"),SUMIFS(Daily_Vol[Order Quantity],Daily_Vol[Cust_Cat.cust_channel],master_Daily!X255,Daily_Vol[Map_Product.TME_Brand],"CM"))/50000,0)</f>
        <v>0.53400000000000003</v>
      </c>
      <c r="FB255" s="230"/>
      <c r="FC255" s="230"/>
      <c r="FD255" s="230"/>
      <c r="FE255" s="230"/>
      <c r="FF255" s="230"/>
      <c r="FG255" s="230"/>
      <c r="FH255" s="230">
        <f ca="1">SUM(FI255:FK255)</f>
        <v>8.5910000000000011</v>
      </c>
      <c r="FI255" s="230">
        <f t="shared" ca="1" si="280"/>
        <v>8.5910000000000011</v>
      </c>
      <c r="FJ255" s="230">
        <f t="shared" ca="1" si="280"/>
        <v>0</v>
      </c>
      <c r="FK255" s="230">
        <f t="shared" ca="1" si="280"/>
        <v>0</v>
      </c>
      <c r="FL255" s="230">
        <f ca="1">SUMIFS($AA255:$EP255,$AA$129:$EP$129,INDIRECT(ADDRESS(129,COLUMN())))</f>
        <v>0</v>
      </c>
      <c r="FM255" s="229">
        <f t="shared" ref="FM255:FO256" si="283">SUMIFS(AF255:EU255,$AA$129:$EP$129,$FH$129)</f>
        <v>0</v>
      </c>
      <c r="FN255" s="229">
        <f t="shared" si="283"/>
        <v>0</v>
      </c>
      <c r="FO255" s="229">
        <f t="shared" si="283"/>
        <v>0</v>
      </c>
      <c r="FP255" s="231">
        <f t="shared" ca="1" si="281"/>
        <v>0.56025824964131998</v>
      </c>
      <c r="FQ255" s="232">
        <f t="shared" si="248"/>
        <v>0</v>
      </c>
      <c r="FR255" s="230">
        <f>SUMIFS(TME_MTD_Dist[Sell_WHS_QTY],TME_MTD_Dist[Dist_Name],master_Daily!$X255,TME_MTD_Dist[Brand],master_Daily!$Y255)/50000
 + SUMIFS(TME_MTD_Dist[Sell_RTL_QTY],TME_MTD_Dist[Dist_Name],master_Daily!$X255,TME_MTD_Dist[Brand],master_Daily!$Y255)/50000</f>
        <v>0</v>
      </c>
      <c r="FS255" s="232">
        <f t="shared" si="207"/>
        <v>0</v>
      </c>
    </row>
    <row r="256" spans="20:175" s="154" customFormat="1" hidden="1" outlineLevel="1">
      <c r="T256" s="155"/>
      <c r="U256" s="156"/>
      <c r="X256" s="226" t="s">
        <v>225</v>
      </c>
      <c r="Y256" s="227" t="s">
        <v>264</v>
      </c>
      <c r="Z256" s="227"/>
      <c r="AA256" s="228">
        <f t="shared" si="256"/>
        <v>0.23080000000000001</v>
      </c>
      <c r="AB256" s="229">
        <f t="shared" si="257"/>
        <v>0</v>
      </c>
      <c r="AC256" s="228">
        <v>0.23080000000000001</v>
      </c>
      <c r="AD256" s="230">
        <v>0.23080000000000001</v>
      </c>
      <c r="AE256" s="230"/>
      <c r="AF256" s="230"/>
      <c r="AG256" s="228"/>
      <c r="AH256" s="230"/>
      <c r="AI256" s="230"/>
      <c r="AJ256" s="230"/>
      <c r="AK256" s="228">
        <f t="shared" si="258"/>
        <v>0.38800000000000001</v>
      </c>
      <c r="AL256" s="229">
        <f t="shared" si="259"/>
        <v>0</v>
      </c>
      <c r="AM256" s="228">
        <v>0.38800000000000001</v>
      </c>
      <c r="AN256" s="230">
        <v>0.38800000000000001</v>
      </c>
      <c r="AO256" s="230"/>
      <c r="AP256" s="230"/>
      <c r="AQ256" s="228"/>
      <c r="AR256" s="230"/>
      <c r="AS256" s="230"/>
      <c r="AT256" s="230"/>
      <c r="AU256" s="228">
        <f t="shared" si="260"/>
        <v>0.60699999999999998</v>
      </c>
      <c r="AV256" s="229">
        <f t="shared" si="261"/>
        <v>0</v>
      </c>
      <c r="AW256" s="228">
        <v>0.60699999999999998</v>
      </c>
      <c r="AX256" s="230">
        <v>0.60699999999999998</v>
      </c>
      <c r="AY256" s="230"/>
      <c r="AZ256" s="230"/>
      <c r="BA256" s="228"/>
      <c r="BB256" s="230"/>
      <c r="BC256" s="230"/>
      <c r="BD256" s="230"/>
      <c r="BE256" s="228">
        <f t="shared" si="262"/>
        <v>0.48899999999999999</v>
      </c>
      <c r="BF256" s="229">
        <f t="shared" si="263"/>
        <v>0</v>
      </c>
      <c r="BG256" s="228">
        <v>0.48899999999999999</v>
      </c>
      <c r="BH256" s="230">
        <v>0.48899999999999999</v>
      </c>
      <c r="BI256" s="230"/>
      <c r="BJ256" s="230"/>
      <c r="BK256" s="228"/>
      <c r="BL256" s="230"/>
      <c r="BM256" s="230"/>
      <c r="BN256" s="230"/>
      <c r="BO256" s="228">
        <f t="shared" si="264"/>
        <v>0.38300000000000001</v>
      </c>
      <c r="BP256" s="229">
        <f t="shared" si="265"/>
        <v>0</v>
      </c>
      <c r="BQ256" s="228">
        <v>0.38300000000000001</v>
      </c>
      <c r="BR256" s="230">
        <v>0.38300000000000001</v>
      </c>
      <c r="BS256" s="230"/>
      <c r="BT256" s="230"/>
      <c r="BU256" s="228"/>
      <c r="BV256" s="230"/>
      <c r="BW256" s="230"/>
      <c r="BX256" s="230"/>
      <c r="BY256" s="228">
        <f t="shared" si="266"/>
        <v>0.34200000000000003</v>
      </c>
      <c r="BZ256" s="229">
        <f t="shared" si="267"/>
        <v>0</v>
      </c>
      <c r="CA256" s="228">
        <v>0.34200000000000003</v>
      </c>
      <c r="CB256" s="230">
        <v>0.34200000000000003</v>
      </c>
      <c r="CC256" s="230"/>
      <c r="CD256" s="230"/>
      <c r="CE256" s="228"/>
      <c r="CF256" s="230"/>
      <c r="CG256" s="230"/>
      <c r="CH256" s="230"/>
      <c r="CI256" s="228">
        <f t="shared" si="268"/>
        <v>0</v>
      </c>
      <c r="CJ256" s="229">
        <f t="shared" si="269"/>
        <v>0</v>
      </c>
      <c r="CK256" s="228"/>
      <c r="CL256" s="230"/>
      <c r="CM256" s="230"/>
      <c r="CN256" s="230"/>
      <c r="CO256" s="228"/>
      <c r="CP256" s="230"/>
      <c r="CQ256" s="230"/>
      <c r="CR256" s="230"/>
      <c r="CS256" s="228">
        <f t="shared" si="270"/>
        <v>0</v>
      </c>
      <c r="CT256" s="229">
        <f t="shared" si="271"/>
        <v>0</v>
      </c>
      <c r="CU256" s="228"/>
      <c r="CV256" s="230"/>
      <c r="CW256" s="230"/>
      <c r="CX256" s="230"/>
      <c r="CY256" s="228"/>
      <c r="CZ256" s="230"/>
      <c r="DA256" s="230"/>
      <c r="DB256" s="230"/>
      <c r="DC256" s="228">
        <f t="shared" si="272"/>
        <v>0</v>
      </c>
      <c r="DD256" s="229">
        <f t="shared" si="273"/>
        <v>0</v>
      </c>
      <c r="DE256" s="228"/>
      <c r="DF256" s="230"/>
      <c r="DG256" s="230"/>
      <c r="DH256" s="230"/>
      <c r="DI256" s="228"/>
      <c r="DJ256" s="230"/>
      <c r="DK256" s="230"/>
      <c r="DL256" s="230"/>
      <c r="DM256" s="228">
        <f t="shared" si="274"/>
        <v>0</v>
      </c>
      <c r="DN256" s="229">
        <f t="shared" si="275"/>
        <v>0</v>
      </c>
      <c r="DO256" s="228"/>
      <c r="DP256" s="230"/>
      <c r="DQ256" s="230"/>
      <c r="DR256" s="230"/>
      <c r="DS256" s="228"/>
      <c r="DT256" s="230"/>
      <c r="DU256" s="230"/>
      <c r="DV256" s="230"/>
      <c r="DW256" s="228">
        <f t="shared" si="276"/>
        <v>0</v>
      </c>
      <c r="DX256" s="229">
        <f t="shared" si="277"/>
        <v>0</v>
      </c>
      <c r="DY256" s="228"/>
      <c r="DZ256" s="230"/>
      <c r="EA256" s="230"/>
      <c r="EB256" s="230"/>
      <c r="EC256" s="228"/>
      <c r="ED256" s="230"/>
      <c r="EE256" s="230"/>
      <c r="EF256" s="230"/>
      <c r="EG256" s="228">
        <f t="shared" si="278"/>
        <v>0</v>
      </c>
      <c r="EH256" s="229">
        <f t="shared" si="279"/>
        <v>0</v>
      </c>
      <c r="EI256" s="228"/>
      <c r="EJ256" s="230"/>
      <c r="EK256" s="230"/>
      <c r="EL256" s="230"/>
      <c r="EM256" s="228"/>
      <c r="EN256" s="230"/>
      <c r="EO256" s="230"/>
      <c r="EP256" s="230"/>
      <c r="EQ256" s="386"/>
      <c r="ER256" s="230">
        <f>SUM(ET256:EX256)</f>
        <v>0</v>
      </c>
      <c r="ES256" s="230">
        <f>IFERROR(SUMIFS(Daily_Vol_yesterday[Order Quantity],Daily_Vol_yesterday[Cust_Cat.cust_channel],master_Daily!X256,Daily_Vol_yesterday[Map_Product.TME_Brand],"CMHD")/50000,0)</f>
        <v>0</v>
      </c>
      <c r="ET256" s="230"/>
      <c r="EU256" s="230"/>
      <c r="EV256" s="229"/>
      <c r="EW256" s="230"/>
      <c r="EX256" s="230"/>
      <c r="EY256" s="230"/>
      <c r="EZ256" s="230">
        <f>SUM(FA256:FC256)</f>
        <v>0.34200000000000003</v>
      </c>
      <c r="FA256" s="230">
        <f>IFERROR(SUM(SUMIFS(Weekly_Vol[Quantity],Weekly_Vol[Cust_Cat.cust_channel],master_Daily!X256,Weekly_Vol[Map_Product.TME_Brand],"CMHD"),SUMIFS(Daily_Vol[Order Quantity],Daily_Vol[Cust_Cat.cust_channel],master_Daily!X256,Daily_Vol[Map_Product.TME_Brand],"CMHD"))/50000,0)</f>
        <v>0.34200000000000003</v>
      </c>
      <c r="FB256" s="230"/>
      <c r="FC256" s="230"/>
      <c r="FD256" s="230"/>
      <c r="FE256" s="230"/>
      <c r="FF256" s="230"/>
      <c r="FG256" s="230"/>
      <c r="FH256" s="230">
        <f ca="1">SUM(FI256:FK256)</f>
        <v>2.4398</v>
      </c>
      <c r="FI256" s="230">
        <f t="shared" ca="1" si="280"/>
        <v>2.4398</v>
      </c>
      <c r="FJ256" s="230">
        <f t="shared" ca="1" si="280"/>
        <v>0</v>
      </c>
      <c r="FK256" s="230">
        <f t="shared" ca="1" si="280"/>
        <v>0</v>
      </c>
      <c r="FL256" s="230">
        <f ca="1">SUMIFS($AA256:$EP256,$AA$129:$EP$129,INDIRECT(ADDRESS(129,COLUMN())))</f>
        <v>0</v>
      </c>
      <c r="FM256" s="229">
        <f t="shared" si="283"/>
        <v>0</v>
      </c>
      <c r="FN256" s="229">
        <f t="shared" si="283"/>
        <v>0</v>
      </c>
      <c r="FO256" s="229">
        <f t="shared" si="283"/>
        <v>0</v>
      </c>
      <c r="FP256" s="231">
        <f t="shared" ca="1" si="281"/>
        <v>0.15911047345767573</v>
      </c>
      <c r="FQ256" s="232">
        <f t="shared" si="248"/>
        <v>0</v>
      </c>
      <c r="FR256" s="230">
        <f>SUMIFS(TME_MTD_Dist[Sell_WHS_QTY],TME_MTD_Dist[Dist_Name],master_Daily!$X256,TME_MTD_Dist[Brand],master_Daily!$Y256)/50000
 + SUMIFS(TME_MTD_Dist[Sell_RTL_QTY],TME_MTD_Dist[Dist_Name],master_Daily!$X256,TME_MTD_Dist[Brand],master_Daily!$Y256)/50000</f>
        <v>0</v>
      </c>
      <c r="FS256" s="232">
        <f t="shared" si="207"/>
        <v>0</v>
      </c>
    </row>
    <row r="257" spans="20:175" s="154" customFormat="1" collapsed="1">
      <c r="T257" s="155"/>
      <c r="U257" s="156"/>
      <c r="X257" s="233" t="s">
        <v>305</v>
      </c>
      <c r="Y257" s="234"/>
      <c r="Z257" s="234"/>
      <c r="AA257" s="235">
        <f t="shared" si="256"/>
        <v>2.8039999999999998</v>
      </c>
      <c r="AB257" s="235">
        <f t="shared" si="257"/>
        <v>0</v>
      </c>
      <c r="AC257" s="235">
        <v>2.8039999999999998</v>
      </c>
      <c r="AD257" s="235">
        <v>2.8039999999999998</v>
      </c>
      <c r="AE257" s="235">
        <v>0</v>
      </c>
      <c r="AF257" s="235">
        <v>0</v>
      </c>
      <c r="AG257" s="235">
        <v>0</v>
      </c>
      <c r="AH257" s="235">
        <v>0</v>
      </c>
      <c r="AI257" s="235">
        <v>0</v>
      </c>
      <c r="AJ257" s="235">
        <v>0</v>
      </c>
      <c r="AK257" s="235">
        <f t="shared" si="258"/>
        <v>3</v>
      </c>
      <c r="AL257" s="235">
        <f t="shared" si="259"/>
        <v>0</v>
      </c>
      <c r="AM257" s="235">
        <v>3</v>
      </c>
      <c r="AN257" s="235">
        <v>3</v>
      </c>
      <c r="AO257" s="235">
        <v>0</v>
      </c>
      <c r="AP257" s="235">
        <v>0</v>
      </c>
      <c r="AQ257" s="235">
        <v>0</v>
      </c>
      <c r="AR257" s="235">
        <v>0</v>
      </c>
      <c r="AS257" s="235">
        <v>0</v>
      </c>
      <c r="AT257" s="235">
        <v>0</v>
      </c>
      <c r="AU257" s="235">
        <f t="shared" si="260"/>
        <v>3.0999999999999996</v>
      </c>
      <c r="AV257" s="235">
        <f t="shared" si="261"/>
        <v>0</v>
      </c>
      <c r="AW257" s="235">
        <v>3.0999999999999996</v>
      </c>
      <c r="AX257" s="235">
        <v>3.0999999999999996</v>
      </c>
      <c r="AY257" s="235">
        <v>0</v>
      </c>
      <c r="AZ257" s="235">
        <v>0</v>
      </c>
      <c r="BA257" s="235">
        <v>0</v>
      </c>
      <c r="BB257" s="235">
        <v>0</v>
      </c>
      <c r="BC257" s="235">
        <v>0</v>
      </c>
      <c r="BD257" s="235">
        <v>0</v>
      </c>
      <c r="BE257" s="235">
        <f t="shared" si="262"/>
        <v>2.9299999999999997</v>
      </c>
      <c r="BF257" s="235">
        <f t="shared" si="263"/>
        <v>0</v>
      </c>
      <c r="BG257" s="235">
        <v>2.9299999999999997</v>
      </c>
      <c r="BH257" s="235">
        <v>2.9299999999999997</v>
      </c>
      <c r="BI257" s="235">
        <v>0</v>
      </c>
      <c r="BJ257" s="235">
        <v>0</v>
      </c>
      <c r="BK257" s="235">
        <v>0</v>
      </c>
      <c r="BL257" s="235">
        <v>0</v>
      </c>
      <c r="BM257" s="235">
        <v>0</v>
      </c>
      <c r="BN257" s="235">
        <v>0</v>
      </c>
      <c r="BO257" s="235">
        <f t="shared" si="264"/>
        <v>2.4</v>
      </c>
      <c r="BP257" s="235">
        <f t="shared" si="265"/>
        <v>0</v>
      </c>
      <c r="BQ257" s="235">
        <v>2.4</v>
      </c>
      <c r="BR257" s="235">
        <v>2.4</v>
      </c>
      <c r="BS257" s="235">
        <v>0</v>
      </c>
      <c r="BT257" s="235">
        <v>0</v>
      </c>
      <c r="BU257" s="235">
        <v>0</v>
      </c>
      <c r="BV257" s="235">
        <v>0</v>
      </c>
      <c r="BW257" s="235">
        <v>0</v>
      </c>
      <c r="BX257" s="235">
        <v>0</v>
      </c>
      <c r="BY257" s="235">
        <f t="shared" si="266"/>
        <v>1.1000000000000001</v>
      </c>
      <c r="BZ257" s="235">
        <f t="shared" si="267"/>
        <v>0</v>
      </c>
      <c r="CA257" s="235">
        <v>1.1000000000000001</v>
      </c>
      <c r="CB257" s="235">
        <v>1.1000000000000001</v>
      </c>
      <c r="CC257" s="235">
        <v>0</v>
      </c>
      <c r="CD257" s="235">
        <v>0</v>
      </c>
      <c r="CE257" s="235">
        <v>0</v>
      </c>
      <c r="CF257" s="235">
        <v>0</v>
      </c>
      <c r="CG257" s="235">
        <v>0</v>
      </c>
      <c r="CH257" s="235">
        <v>0</v>
      </c>
      <c r="CI257" s="235">
        <f t="shared" si="268"/>
        <v>0</v>
      </c>
      <c r="CJ257" s="235">
        <f t="shared" si="269"/>
        <v>0</v>
      </c>
      <c r="CK257" s="235"/>
      <c r="CL257" s="235"/>
      <c r="CM257" s="235"/>
      <c r="CN257" s="235"/>
      <c r="CO257" s="235"/>
      <c r="CP257" s="235">
        <v>0</v>
      </c>
      <c r="CQ257" s="235">
        <v>0</v>
      </c>
      <c r="CR257" s="235">
        <v>0</v>
      </c>
      <c r="CS257" s="235">
        <f t="shared" si="270"/>
        <v>0</v>
      </c>
      <c r="CT257" s="235">
        <f t="shared" si="271"/>
        <v>0</v>
      </c>
      <c r="CU257" s="235"/>
      <c r="CV257" s="235"/>
      <c r="CW257" s="235"/>
      <c r="CX257" s="235"/>
      <c r="CY257" s="235"/>
      <c r="CZ257" s="235">
        <v>0</v>
      </c>
      <c r="DA257" s="235">
        <v>0</v>
      </c>
      <c r="DB257" s="235">
        <v>0</v>
      </c>
      <c r="DC257" s="235">
        <f t="shared" si="272"/>
        <v>0</v>
      </c>
      <c r="DD257" s="235">
        <f t="shared" si="273"/>
        <v>0</v>
      </c>
      <c r="DE257" s="235"/>
      <c r="DF257" s="235"/>
      <c r="DG257" s="235"/>
      <c r="DH257" s="235"/>
      <c r="DI257" s="235"/>
      <c r="DJ257" s="235">
        <v>0</v>
      </c>
      <c r="DK257" s="235">
        <v>0</v>
      </c>
      <c r="DL257" s="235">
        <v>0</v>
      </c>
      <c r="DM257" s="235">
        <f t="shared" si="274"/>
        <v>0</v>
      </c>
      <c r="DN257" s="235">
        <f t="shared" si="275"/>
        <v>0</v>
      </c>
      <c r="DO257" s="235"/>
      <c r="DP257" s="235"/>
      <c r="DQ257" s="235"/>
      <c r="DR257" s="235"/>
      <c r="DS257" s="235"/>
      <c r="DT257" s="235">
        <v>0</v>
      </c>
      <c r="DU257" s="235">
        <v>0</v>
      </c>
      <c r="DV257" s="235">
        <v>0</v>
      </c>
      <c r="DW257" s="235">
        <f t="shared" si="276"/>
        <v>0</v>
      </c>
      <c r="DX257" s="235">
        <f t="shared" si="277"/>
        <v>0</v>
      </c>
      <c r="DY257" s="235"/>
      <c r="DZ257" s="235"/>
      <c r="EA257" s="235"/>
      <c r="EB257" s="235"/>
      <c r="EC257" s="235">
        <v>0</v>
      </c>
      <c r="ED257" s="235">
        <v>0</v>
      </c>
      <c r="EE257" s="235">
        <v>0</v>
      </c>
      <c r="EF257" s="235">
        <v>0</v>
      </c>
      <c r="EG257" s="235">
        <f t="shared" si="278"/>
        <v>0</v>
      </c>
      <c r="EH257" s="235">
        <f t="shared" si="279"/>
        <v>0</v>
      </c>
      <c r="EI257" s="235"/>
      <c r="EJ257" s="235"/>
      <c r="EK257" s="235"/>
      <c r="EL257" s="235"/>
      <c r="EM257" s="235">
        <v>0</v>
      </c>
      <c r="EN257" s="235">
        <v>0</v>
      </c>
      <c r="EO257" s="235">
        <v>0</v>
      </c>
      <c r="EP257" s="235">
        <v>0</v>
      </c>
      <c r="EQ257" s="236">
        <v>3.004</v>
      </c>
      <c r="ER257" s="235">
        <f>SUM(ER252:ER256)</f>
        <v>0</v>
      </c>
      <c r="ES257" s="235">
        <f>SUM(ES252:ES256)</f>
        <v>0</v>
      </c>
      <c r="ET257" s="235">
        <f>SUM(ET252:ET256)</f>
        <v>0</v>
      </c>
      <c r="EU257" s="235">
        <f>SUM(EU252:EU256)</f>
        <v>0</v>
      </c>
      <c r="EV257" s="235"/>
      <c r="EW257" s="235"/>
      <c r="EX257" s="235"/>
      <c r="EY257" s="235"/>
      <c r="EZ257" s="235">
        <f t="shared" ref="EZ257:FK257" si="284">SUM(EZ252:EZ256)</f>
        <v>1.1000000000000001</v>
      </c>
      <c r="FA257" s="235">
        <f t="shared" si="284"/>
        <v>1.1000000000000001</v>
      </c>
      <c r="FB257" s="235">
        <f t="shared" si="284"/>
        <v>0</v>
      </c>
      <c r="FC257" s="235">
        <f t="shared" si="284"/>
        <v>0</v>
      </c>
      <c r="FD257" s="235">
        <f t="shared" si="284"/>
        <v>0</v>
      </c>
      <c r="FE257" s="235">
        <f t="shared" si="284"/>
        <v>0</v>
      </c>
      <c r="FF257" s="235">
        <f t="shared" si="284"/>
        <v>0</v>
      </c>
      <c r="FG257" s="235">
        <f t="shared" si="284"/>
        <v>0</v>
      </c>
      <c r="FH257" s="235">
        <f t="shared" ca="1" si="284"/>
        <v>15.334000000000001</v>
      </c>
      <c r="FI257" s="235">
        <f t="shared" ca="1" si="284"/>
        <v>15.334000000000001</v>
      </c>
      <c r="FJ257" s="235">
        <f t="shared" ca="1" si="284"/>
        <v>0</v>
      </c>
      <c r="FK257" s="235">
        <f t="shared" ca="1" si="284"/>
        <v>0</v>
      </c>
      <c r="FL257" s="235">
        <f ca="1">SUM(FL252:FL255)</f>
        <v>0</v>
      </c>
      <c r="FM257" s="236">
        <f ca="1">SUM(FM252:FM256)</f>
        <v>0</v>
      </c>
      <c r="FN257" s="236">
        <f ca="1">SUM(FN252:FN256)</f>
        <v>0</v>
      </c>
      <c r="FO257" s="236">
        <f ca="1">SUM(FO252:FO256)</f>
        <v>0</v>
      </c>
      <c r="FP257" s="237">
        <f t="shared" ca="1" si="281"/>
        <v>1</v>
      </c>
      <c r="FQ257" s="238">
        <f t="shared" si="248"/>
        <v>0.36617842876165119</v>
      </c>
      <c r="FR257" s="235">
        <f>SUM(FR252:FR256)</f>
        <v>0</v>
      </c>
      <c r="FS257" s="238">
        <f t="shared" si="207"/>
        <v>0</v>
      </c>
    </row>
    <row r="258" spans="20:175" s="154" customFormat="1" hidden="1" outlineLevel="1">
      <c r="T258" s="155"/>
      <c r="U258" s="156"/>
      <c r="X258" s="226" t="s">
        <v>228</v>
      </c>
      <c r="Y258" s="227" t="s">
        <v>44</v>
      </c>
      <c r="Z258" s="227"/>
      <c r="AA258" s="228">
        <f t="shared" ref="AA258:AA275" si="285">SUM(AD258:AF258)</f>
        <v>0</v>
      </c>
      <c r="AB258" s="229">
        <f t="shared" ref="AB258:AB275" si="286">SUM(AH258:AJ258)</f>
        <v>0</v>
      </c>
      <c r="AC258" s="228">
        <v>0</v>
      </c>
      <c r="AD258" s="230">
        <v>0</v>
      </c>
      <c r="AE258" s="230"/>
      <c r="AF258" s="230"/>
      <c r="AG258" s="228"/>
      <c r="AH258" s="230"/>
      <c r="AI258" s="230"/>
      <c r="AJ258" s="230"/>
      <c r="AK258" s="228">
        <f t="shared" ref="AK258:AK275" si="287">SUM(AN258:AP258)</f>
        <v>4.0000000000000001E-3</v>
      </c>
      <c r="AL258" s="229">
        <f t="shared" ref="AL258:AL275" si="288">SUM(AR258:AT258)</f>
        <v>0</v>
      </c>
      <c r="AM258" s="228">
        <v>4.0000000000000001E-3</v>
      </c>
      <c r="AN258" s="230">
        <v>4.0000000000000001E-3</v>
      </c>
      <c r="AO258" s="230"/>
      <c r="AP258" s="230"/>
      <c r="AQ258" s="228"/>
      <c r="AR258" s="230"/>
      <c r="AS258" s="230"/>
      <c r="AT258" s="230"/>
      <c r="AU258" s="228">
        <f t="shared" ref="AU258:AU275" si="289">SUM(AX258:AZ258)</f>
        <v>3.2000000000000002E-3</v>
      </c>
      <c r="AV258" s="229">
        <f t="shared" ref="AV258:AV275" si="290">SUM(BB258:BD258)</f>
        <v>0</v>
      </c>
      <c r="AW258" s="228">
        <v>3.2000000000000002E-3</v>
      </c>
      <c r="AX258" s="230">
        <v>3.2000000000000002E-3</v>
      </c>
      <c r="AY258" s="230"/>
      <c r="AZ258" s="230"/>
      <c r="BA258" s="228"/>
      <c r="BB258" s="230"/>
      <c r="BC258" s="230"/>
      <c r="BD258" s="230"/>
      <c r="BE258" s="228">
        <f t="shared" ref="BE258:BE275" si="291">SUM(BH258:BJ258)</f>
        <v>8.8000000000000005E-3</v>
      </c>
      <c r="BF258" s="229">
        <f t="shared" ref="BF258:BF275" si="292">SUM(BL258:BN258)</f>
        <v>0</v>
      </c>
      <c r="BG258" s="228">
        <v>8.8000000000000005E-3</v>
      </c>
      <c r="BH258" s="230">
        <v>8.8000000000000005E-3</v>
      </c>
      <c r="BI258" s="230"/>
      <c r="BJ258" s="230"/>
      <c r="BK258" s="228"/>
      <c r="BL258" s="230"/>
      <c r="BM258" s="230"/>
      <c r="BN258" s="230"/>
      <c r="BO258" s="228">
        <f t="shared" ref="BO258:BO275" si="293">SUM(BR258:BT258)</f>
        <v>2.3999999999999998E-3</v>
      </c>
      <c r="BP258" s="229">
        <f t="shared" ref="BP258:BP275" si="294">SUM(BV258:BX258)</f>
        <v>0</v>
      </c>
      <c r="BQ258" s="228">
        <v>2.3999999999999998E-3</v>
      </c>
      <c r="BR258" s="230">
        <v>2.3999999999999998E-3</v>
      </c>
      <c r="BS258" s="230"/>
      <c r="BT258" s="230"/>
      <c r="BU258" s="228"/>
      <c r="BV258" s="230"/>
      <c r="BW258" s="230"/>
      <c r="BX258" s="230"/>
      <c r="BY258" s="228">
        <f t="shared" ref="BY258:BY275" si="295">SUM(CB258:CD258)</f>
        <v>5.9999999999999995E-4</v>
      </c>
      <c r="BZ258" s="229">
        <f t="shared" ref="BZ258:BZ275" si="296">SUM(CF258:CH258)</f>
        <v>0</v>
      </c>
      <c r="CA258" s="228">
        <v>5.9999999999999995E-4</v>
      </c>
      <c r="CB258" s="230">
        <v>5.9999999999999995E-4</v>
      </c>
      <c r="CC258" s="230"/>
      <c r="CD258" s="230"/>
      <c r="CE258" s="228"/>
      <c r="CF258" s="230"/>
      <c r="CG258" s="230"/>
      <c r="CH258" s="230"/>
      <c r="CI258" s="228">
        <f t="shared" ref="CI258:CI275" si="297">SUM(CL258:CN258)</f>
        <v>0</v>
      </c>
      <c r="CJ258" s="229">
        <f t="shared" ref="CJ258:CJ275" si="298">SUM(CP258:CR258)</f>
        <v>0</v>
      </c>
      <c r="CK258" s="228"/>
      <c r="CL258" s="230"/>
      <c r="CM258" s="230"/>
      <c r="CN258" s="230"/>
      <c r="CO258" s="228"/>
      <c r="CP258" s="230"/>
      <c r="CQ258" s="230"/>
      <c r="CR258" s="230"/>
      <c r="CS258" s="228">
        <f t="shared" ref="CS258:CS275" si="299">SUM(CV258:CX258)</f>
        <v>0</v>
      </c>
      <c r="CT258" s="229">
        <f t="shared" ref="CT258:CT275" si="300">SUM(CZ258:DB258)</f>
        <v>0</v>
      </c>
      <c r="CU258" s="228"/>
      <c r="CV258" s="230"/>
      <c r="CW258" s="230"/>
      <c r="CX258" s="230"/>
      <c r="CY258" s="228"/>
      <c r="CZ258" s="230"/>
      <c r="DA258" s="230"/>
      <c r="DB258" s="230"/>
      <c r="DC258" s="228">
        <f t="shared" ref="DC258:DC275" si="301">SUM(DF258:DH258)</f>
        <v>0</v>
      </c>
      <c r="DD258" s="229">
        <f t="shared" ref="DD258:DD275" si="302">SUM(DJ258:DL258)</f>
        <v>0</v>
      </c>
      <c r="DE258" s="228"/>
      <c r="DF258" s="230"/>
      <c r="DG258" s="230"/>
      <c r="DH258" s="230"/>
      <c r="DI258" s="228"/>
      <c r="DJ258" s="230"/>
      <c r="DK258" s="230"/>
      <c r="DL258" s="230"/>
      <c r="DM258" s="228">
        <f t="shared" ref="DM258:DM275" si="303">SUM(DP258:DR258)</f>
        <v>0</v>
      </c>
      <c r="DN258" s="229">
        <f t="shared" ref="DN258:DN275" si="304">SUM(DT258:DV258)</f>
        <v>0</v>
      </c>
      <c r="DO258" s="228"/>
      <c r="DP258" s="230"/>
      <c r="DQ258" s="230"/>
      <c r="DR258" s="230"/>
      <c r="DS258" s="228"/>
      <c r="DT258" s="230"/>
      <c r="DU258" s="230"/>
      <c r="DV258" s="230"/>
      <c r="DW258" s="228">
        <f t="shared" ref="DW258:DW275" si="305">SUM(DZ258:EB258)</f>
        <v>0</v>
      </c>
      <c r="DX258" s="229">
        <f t="shared" ref="DX258:DX275" si="306">SUM(ED258:EF258)</f>
        <v>0</v>
      </c>
      <c r="DY258" s="228"/>
      <c r="DZ258" s="230"/>
      <c r="EA258" s="230"/>
      <c r="EB258" s="230"/>
      <c r="EC258" s="228"/>
      <c r="ED258" s="230"/>
      <c r="EE258" s="230"/>
      <c r="EF258" s="230"/>
      <c r="EG258" s="228">
        <f t="shared" ref="EG258:EG275" si="307">SUM(EJ258:EL258)</f>
        <v>0</v>
      </c>
      <c r="EH258" s="229">
        <f t="shared" ref="EH258:EH275" si="308">SUM(EN258:EP258)</f>
        <v>0</v>
      </c>
      <c r="EI258" s="228"/>
      <c r="EJ258" s="230"/>
      <c r="EK258" s="230"/>
      <c r="EL258" s="230"/>
      <c r="EM258" s="228"/>
      <c r="EN258" s="230"/>
      <c r="EO258" s="230"/>
      <c r="EP258" s="230"/>
      <c r="EQ258" s="236"/>
      <c r="ER258" s="230">
        <f>SUM(ET258:EX258)</f>
        <v>0</v>
      </c>
      <c r="ES258" s="230">
        <f>IFERROR(SUMIFS(Daily_Vol_yesterday[Order Quantity],Daily_Vol_yesterday[Cust_Cat.cust_channel],master_Daily!X258,Daily_Vol_yesterday[Map_Product.TME_Brand],master_Daily!Y258)/50000,0)</f>
        <v>0</v>
      </c>
      <c r="ET258" s="230"/>
      <c r="EU258" s="230"/>
      <c r="EV258" s="229"/>
      <c r="EW258" s="230"/>
      <c r="EX258" s="230"/>
      <c r="EY258" s="230"/>
      <c r="EZ258" s="230">
        <f>SUM(FA258:FC258)</f>
        <v>5.9999999999999995E-4</v>
      </c>
      <c r="FA258" s="230">
        <f>IFERROR(SUM(SUMIFS(Weekly_Vol[Quantity],Weekly_Vol[Cust_Cat.cust_channel],master_Daily!X258,Weekly_Vol[Map_Product.TME_Brand],master_Daily!Y258),SUMIFS(Daily_Vol[Order Quantity],Daily_Vol[Cust_Cat.cust_channel],master_Daily!X258,Daily_Vol[Map_Product.TME_Brand],master_Daily!Y258))/50000,0)</f>
        <v>5.9999999999999995E-4</v>
      </c>
      <c r="FB258" s="230"/>
      <c r="FC258" s="230"/>
      <c r="FD258" s="230"/>
      <c r="FE258" s="230"/>
      <c r="FF258" s="230"/>
      <c r="FG258" s="230"/>
      <c r="FH258" s="230">
        <f ca="1">SUM(FI258:FK258)</f>
        <v>1.9E-2</v>
      </c>
      <c r="FI258" s="230">
        <f t="shared" ref="FI258:FK262" ca="1" si="309">SUMIFS($AA258:$EP258,$AA$129:$EP$129,INDIRECT(ADDRESS(129,COLUMN())))</f>
        <v>1.9E-2</v>
      </c>
      <c r="FJ258" s="230">
        <f t="shared" ca="1" si="309"/>
        <v>0</v>
      </c>
      <c r="FK258" s="230">
        <f t="shared" ca="1" si="309"/>
        <v>0</v>
      </c>
      <c r="FL258" s="230">
        <f ca="1">SUMIFS($AA258:$EP258,$AA$129:$EP$129,INDIRECT(ADDRESS(38,COLUMN())))</f>
        <v>0</v>
      </c>
      <c r="FM258" s="230">
        <f ca="1">SUMIFS($AA258:$EP258,$AA$129:$EP$129,INDIRECT(ADDRESS(38,COLUMN())))</f>
        <v>0</v>
      </c>
      <c r="FN258" s="230">
        <f ca="1">SUMIFS($AA258:$EP258,$AA$129:$EP$129,INDIRECT(ADDRESS(38,COLUMN())))</f>
        <v>0</v>
      </c>
      <c r="FO258" s="230">
        <f ca="1">SUMIFS($AA258:$EP258,$AA$129:$EP$129,INDIRECT(ADDRESS(38,COLUMN())))</f>
        <v>0</v>
      </c>
      <c r="FP258" s="231">
        <f t="shared" ref="FP258:FP263" ca="1" si="310">IFERROR(FH258/$FH$263,0)</f>
        <v>3.1204835107081857E-3</v>
      </c>
      <c r="FQ258" s="232">
        <f t="shared" si="248"/>
        <v>0</v>
      </c>
      <c r="FR258" s="230">
        <f>SUMIFS(TME_MTD_Dist[Sell_WHS_QTY],TME_MTD_Dist[Dist_Name],master_Daily!$X258,TME_MTD_Dist[Brand],master_Daily!$Y258)/50000
 + SUMIFS(TME_MTD_Dist[Sell_RTL_QTY],TME_MTD_Dist[Dist_Name],master_Daily!$X258,TME_MTD_Dist[Brand],master_Daily!$Y258)/50000</f>
        <v>0</v>
      </c>
      <c r="FS258" s="232">
        <f t="shared" si="207"/>
        <v>0</v>
      </c>
    </row>
    <row r="259" spans="20:175" s="154" customFormat="1" hidden="1" outlineLevel="1">
      <c r="T259" s="155"/>
      <c r="U259" s="156"/>
      <c r="X259" s="226" t="s">
        <v>228</v>
      </c>
      <c r="Y259" s="227" t="s">
        <v>45</v>
      </c>
      <c r="Z259" s="227"/>
      <c r="AA259" s="228">
        <f t="shared" si="285"/>
        <v>0</v>
      </c>
      <c r="AB259" s="229">
        <f t="shared" si="286"/>
        <v>0</v>
      </c>
      <c r="AC259" s="228">
        <v>0</v>
      </c>
      <c r="AD259" s="230">
        <v>0</v>
      </c>
      <c r="AE259" s="230"/>
      <c r="AF259" s="230"/>
      <c r="AG259" s="228"/>
      <c r="AH259" s="230"/>
      <c r="AI259" s="230"/>
      <c r="AJ259" s="230"/>
      <c r="AK259" s="228">
        <f t="shared" si="287"/>
        <v>2E-3</v>
      </c>
      <c r="AL259" s="229">
        <f t="shared" si="288"/>
        <v>0</v>
      </c>
      <c r="AM259" s="228">
        <v>2E-3</v>
      </c>
      <c r="AN259" s="230">
        <v>2E-3</v>
      </c>
      <c r="AO259" s="230"/>
      <c r="AP259" s="230"/>
      <c r="AQ259" s="228"/>
      <c r="AR259" s="230"/>
      <c r="AS259" s="230"/>
      <c r="AT259" s="230"/>
      <c r="AU259" s="228">
        <f t="shared" si="289"/>
        <v>0</v>
      </c>
      <c r="AV259" s="229">
        <f t="shared" si="290"/>
        <v>0</v>
      </c>
      <c r="AW259" s="228">
        <v>0</v>
      </c>
      <c r="AX259" s="230">
        <v>0</v>
      </c>
      <c r="AY259" s="230"/>
      <c r="AZ259" s="230"/>
      <c r="BA259" s="228"/>
      <c r="BB259" s="230"/>
      <c r="BC259" s="230"/>
      <c r="BD259" s="230"/>
      <c r="BE259" s="228">
        <f t="shared" si="291"/>
        <v>1E-3</v>
      </c>
      <c r="BF259" s="229">
        <f t="shared" si="292"/>
        <v>0</v>
      </c>
      <c r="BG259" s="228">
        <v>1E-3</v>
      </c>
      <c r="BH259" s="230">
        <v>1E-3</v>
      </c>
      <c r="BI259" s="230"/>
      <c r="BJ259" s="230"/>
      <c r="BK259" s="228"/>
      <c r="BL259" s="230"/>
      <c r="BM259" s="230"/>
      <c r="BN259" s="230"/>
      <c r="BO259" s="228">
        <f t="shared" si="293"/>
        <v>4.0000000000000002E-4</v>
      </c>
      <c r="BP259" s="229">
        <f t="shared" si="294"/>
        <v>0</v>
      </c>
      <c r="BQ259" s="228">
        <v>4.0000000000000002E-4</v>
      </c>
      <c r="BR259" s="230">
        <v>4.0000000000000002E-4</v>
      </c>
      <c r="BS259" s="230"/>
      <c r="BT259" s="230"/>
      <c r="BU259" s="228"/>
      <c r="BV259" s="230"/>
      <c r="BW259" s="230"/>
      <c r="BX259" s="230"/>
      <c r="BY259" s="228">
        <f t="shared" si="295"/>
        <v>0</v>
      </c>
      <c r="BZ259" s="229">
        <f t="shared" si="296"/>
        <v>0</v>
      </c>
      <c r="CA259" s="228">
        <v>0</v>
      </c>
      <c r="CB259" s="230">
        <v>0</v>
      </c>
      <c r="CC259" s="230"/>
      <c r="CD259" s="230"/>
      <c r="CE259" s="228"/>
      <c r="CF259" s="230"/>
      <c r="CG259" s="230"/>
      <c r="CH259" s="230"/>
      <c r="CI259" s="228">
        <f t="shared" si="297"/>
        <v>0</v>
      </c>
      <c r="CJ259" s="229">
        <f t="shared" si="298"/>
        <v>0</v>
      </c>
      <c r="CK259" s="228"/>
      <c r="CL259" s="230"/>
      <c r="CM259" s="230"/>
      <c r="CN259" s="230"/>
      <c r="CO259" s="228"/>
      <c r="CP259" s="230"/>
      <c r="CQ259" s="230"/>
      <c r="CR259" s="230"/>
      <c r="CS259" s="228">
        <f t="shared" si="299"/>
        <v>0</v>
      </c>
      <c r="CT259" s="229">
        <f t="shared" si="300"/>
        <v>0</v>
      </c>
      <c r="CU259" s="228"/>
      <c r="CV259" s="230"/>
      <c r="CW259" s="230"/>
      <c r="CX259" s="230"/>
      <c r="CY259" s="228"/>
      <c r="CZ259" s="230"/>
      <c r="DA259" s="230"/>
      <c r="DB259" s="230"/>
      <c r="DC259" s="228">
        <f t="shared" si="301"/>
        <v>0</v>
      </c>
      <c r="DD259" s="229">
        <f t="shared" si="302"/>
        <v>0</v>
      </c>
      <c r="DE259" s="228"/>
      <c r="DF259" s="230"/>
      <c r="DG259" s="230"/>
      <c r="DH259" s="230"/>
      <c r="DI259" s="228"/>
      <c r="DJ259" s="230"/>
      <c r="DK259" s="230"/>
      <c r="DL259" s="230"/>
      <c r="DM259" s="228">
        <f t="shared" si="303"/>
        <v>0</v>
      </c>
      <c r="DN259" s="229">
        <f t="shared" si="304"/>
        <v>0</v>
      </c>
      <c r="DO259" s="228"/>
      <c r="DP259" s="230"/>
      <c r="DQ259" s="230"/>
      <c r="DR259" s="230"/>
      <c r="DS259" s="228"/>
      <c r="DT259" s="230"/>
      <c r="DU259" s="230"/>
      <c r="DV259" s="230"/>
      <c r="DW259" s="228">
        <f t="shared" si="305"/>
        <v>0</v>
      </c>
      <c r="DX259" s="229">
        <f t="shared" si="306"/>
        <v>0</v>
      </c>
      <c r="DY259" s="228"/>
      <c r="DZ259" s="230"/>
      <c r="EA259" s="230"/>
      <c r="EB259" s="230"/>
      <c r="EC259" s="228"/>
      <c r="ED259" s="230"/>
      <c r="EE259" s="230"/>
      <c r="EF259" s="230"/>
      <c r="EG259" s="228">
        <f t="shared" si="307"/>
        <v>0</v>
      </c>
      <c r="EH259" s="229">
        <f t="shared" si="308"/>
        <v>0</v>
      </c>
      <c r="EI259" s="228"/>
      <c r="EJ259" s="230"/>
      <c r="EK259" s="230"/>
      <c r="EL259" s="230"/>
      <c r="EM259" s="228"/>
      <c r="EN259" s="230"/>
      <c r="EO259" s="230"/>
      <c r="EP259" s="230"/>
      <c r="EQ259" s="236"/>
      <c r="ER259" s="230">
        <f>SUM(ET259:EX259)</f>
        <v>0</v>
      </c>
      <c r="ES259" s="230">
        <f>IFERROR(SUMIFS(Daily_Vol_yesterday[Order Quantity],Daily_Vol_yesterday[Cust_Cat.cust_channel],master_Daily!X259,Daily_Vol_yesterday[Map_Product.TME_Brand],master_Daily!Y259)/50000,0)</f>
        <v>0</v>
      </c>
      <c r="ET259" s="230"/>
      <c r="EU259" s="230"/>
      <c r="EV259" s="229"/>
      <c r="EW259" s="230"/>
      <c r="EX259" s="230"/>
      <c r="EY259" s="230"/>
      <c r="EZ259" s="230">
        <f>SUM(FA259:FC259)</f>
        <v>0</v>
      </c>
      <c r="FA259" s="230">
        <f>IFERROR(SUM(SUMIFS(Weekly_Vol[Quantity],Weekly_Vol[Cust_Cat.cust_channel],master_Daily!X259,Weekly_Vol[Map_Product.TME_Brand],master_Daily!Y259),SUMIFS(Daily_Vol[Order Quantity],Daily_Vol[Cust_Cat.cust_channel],master_Daily!X259,Daily_Vol[Map_Product.TME_Brand],master_Daily!Y259))/50000,0)</f>
        <v>0</v>
      </c>
      <c r="FB259" s="230"/>
      <c r="FC259" s="230"/>
      <c r="FD259" s="230"/>
      <c r="FE259" s="230"/>
      <c r="FF259" s="230"/>
      <c r="FG259" s="230"/>
      <c r="FH259" s="230">
        <f ca="1">SUM(FI259:FK259)</f>
        <v>3.4000000000000002E-3</v>
      </c>
      <c r="FI259" s="230">
        <f t="shared" ca="1" si="309"/>
        <v>3.4000000000000002E-3</v>
      </c>
      <c r="FJ259" s="230">
        <f t="shared" ca="1" si="309"/>
        <v>0</v>
      </c>
      <c r="FK259" s="230">
        <f t="shared" ca="1" si="309"/>
        <v>0</v>
      </c>
      <c r="FL259" s="230">
        <f t="shared" ref="FL259:FO260" ca="1" si="311">SUMIFS($AA259:$EP259,$AA$129:$EP$129,INDIRECT(ADDRESS(129,COLUMN())))</f>
        <v>0</v>
      </c>
      <c r="FM259" s="229">
        <f t="shared" ca="1" si="311"/>
        <v>0</v>
      </c>
      <c r="FN259" s="229">
        <f t="shared" ca="1" si="311"/>
        <v>0</v>
      </c>
      <c r="FO259" s="229">
        <f t="shared" ca="1" si="311"/>
        <v>0</v>
      </c>
      <c r="FP259" s="231">
        <f t="shared" ca="1" si="310"/>
        <v>5.5840231244251744E-4</v>
      </c>
      <c r="FQ259" s="232">
        <f t="shared" si="248"/>
        <v>0</v>
      </c>
      <c r="FR259" s="230">
        <f>SUMIFS(TME_MTD_Dist[Sell_WHS_QTY],TME_MTD_Dist[Dist_Name],master_Daily!$X259,TME_MTD_Dist[Brand],master_Daily!$Y259)/50000
 + SUMIFS(TME_MTD_Dist[Sell_RTL_QTY],TME_MTD_Dist[Dist_Name],master_Daily!$X259,TME_MTD_Dist[Brand],master_Daily!$Y259)/50000</f>
        <v>0</v>
      </c>
      <c r="FS259" s="232">
        <f t="shared" si="207"/>
        <v>0</v>
      </c>
    </row>
    <row r="260" spans="20:175" s="154" customFormat="1" hidden="1" outlineLevel="1">
      <c r="T260" s="155"/>
      <c r="U260" s="156"/>
      <c r="X260" s="226" t="s">
        <v>228</v>
      </c>
      <c r="Y260" s="227" t="s">
        <v>46</v>
      </c>
      <c r="Z260" s="227"/>
      <c r="AA260" s="228">
        <f t="shared" si="285"/>
        <v>0.39140000000000003</v>
      </c>
      <c r="AB260" s="229">
        <f t="shared" si="286"/>
        <v>0</v>
      </c>
      <c r="AC260" s="228">
        <v>0.39140000000000003</v>
      </c>
      <c r="AD260" s="230">
        <v>0.39140000000000003</v>
      </c>
      <c r="AE260" s="230"/>
      <c r="AF260" s="230"/>
      <c r="AG260" s="228"/>
      <c r="AH260" s="230"/>
      <c r="AI260" s="230"/>
      <c r="AJ260" s="230"/>
      <c r="AK260" s="228">
        <f t="shared" si="287"/>
        <v>0.37</v>
      </c>
      <c r="AL260" s="229">
        <f t="shared" si="288"/>
        <v>0</v>
      </c>
      <c r="AM260" s="228">
        <v>0.37</v>
      </c>
      <c r="AN260" s="230">
        <v>0.37</v>
      </c>
      <c r="AO260" s="230"/>
      <c r="AP260" s="230"/>
      <c r="AQ260" s="228"/>
      <c r="AR260" s="230"/>
      <c r="AS260" s="230"/>
      <c r="AT260" s="230"/>
      <c r="AU260" s="228">
        <f t="shared" si="289"/>
        <v>0.28999999999999998</v>
      </c>
      <c r="AV260" s="229">
        <f t="shared" si="290"/>
        <v>0</v>
      </c>
      <c r="AW260" s="228">
        <v>0.28999999999999998</v>
      </c>
      <c r="AX260" s="230">
        <v>0.28999999999999998</v>
      </c>
      <c r="AY260" s="230"/>
      <c r="AZ260" s="230"/>
      <c r="BA260" s="228"/>
      <c r="BB260" s="230"/>
      <c r="BC260" s="230"/>
      <c r="BD260" s="230"/>
      <c r="BE260" s="228">
        <f t="shared" si="291"/>
        <v>0.36</v>
      </c>
      <c r="BF260" s="229">
        <f t="shared" si="292"/>
        <v>0</v>
      </c>
      <c r="BG260" s="228">
        <v>0.36</v>
      </c>
      <c r="BH260" s="230">
        <v>0.36</v>
      </c>
      <c r="BI260" s="230"/>
      <c r="BJ260" s="230"/>
      <c r="BK260" s="228"/>
      <c r="BL260" s="230"/>
      <c r="BM260" s="230"/>
      <c r="BN260" s="230"/>
      <c r="BO260" s="228">
        <f t="shared" si="293"/>
        <v>0.37</v>
      </c>
      <c r="BP260" s="229">
        <f t="shared" si="294"/>
        <v>0</v>
      </c>
      <c r="BQ260" s="228">
        <v>0.37</v>
      </c>
      <c r="BR260" s="230">
        <v>0.37</v>
      </c>
      <c r="BS260" s="230"/>
      <c r="BT260" s="230"/>
      <c r="BU260" s="228"/>
      <c r="BV260" s="230"/>
      <c r="BW260" s="230"/>
      <c r="BX260" s="230"/>
      <c r="BY260" s="228">
        <f t="shared" si="295"/>
        <v>0.14000000000000001</v>
      </c>
      <c r="BZ260" s="229">
        <f t="shared" si="296"/>
        <v>0</v>
      </c>
      <c r="CA260" s="228">
        <v>0.14000000000000001</v>
      </c>
      <c r="CB260" s="230">
        <v>0.14000000000000001</v>
      </c>
      <c r="CC260" s="230"/>
      <c r="CD260" s="230"/>
      <c r="CE260" s="228"/>
      <c r="CF260" s="230"/>
      <c r="CG260" s="230"/>
      <c r="CH260" s="230"/>
      <c r="CI260" s="228">
        <f t="shared" si="297"/>
        <v>0</v>
      </c>
      <c r="CJ260" s="229">
        <f t="shared" si="298"/>
        <v>0</v>
      </c>
      <c r="CK260" s="228"/>
      <c r="CL260" s="230"/>
      <c r="CM260" s="230"/>
      <c r="CN260" s="230"/>
      <c r="CO260" s="228"/>
      <c r="CP260" s="230"/>
      <c r="CQ260" s="230"/>
      <c r="CR260" s="230"/>
      <c r="CS260" s="228">
        <f t="shared" si="299"/>
        <v>0</v>
      </c>
      <c r="CT260" s="229">
        <f t="shared" si="300"/>
        <v>0</v>
      </c>
      <c r="CU260" s="228"/>
      <c r="CV260" s="230"/>
      <c r="CW260" s="230"/>
      <c r="CX260" s="230"/>
      <c r="CY260" s="228"/>
      <c r="CZ260" s="230"/>
      <c r="DA260" s="230"/>
      <c r="DB260" s="230"/>
      <c r="DC260" s="228">
        <f t="shared" si="301"/>
        <v>0</v>
      </c>
      <c r="DD260" s="229">
        <f t="shared" si="302"/>
        <v>0</v>
      </c>
      <c r="DE260" s="228"/>
      <c r="DF260" s="230"/>
      <c r="DG260" s="230"/>
      <c r="DH260" s="230"/>
      <c r="DI260" s="228"/>
      <c r="DJ260" s="230"/>
      <c r="DK260" s="230"/>
      <c r="DL260" s="230"/>
      <c r="DM260" s="228">
        <f t="shared" si="303"/>
        <v>0</v>
      </c>
      <c r="DN260" s="229">
        <f t="shared" si="304"/>
        <v>0</v>
      </c>
      <c r="DO260" s="228"/>
      <c r="DP260" s="230"/>
      <c r="DQ260" s="230"/>
      <c r="DR260" s="230"/>
      <c r="DS260" s="228"/>
      <c r="DT260" s="230"/>
      <c r="DU260" s="230"/>
      <c r="DV260" s="230"/>
      <c r="DW260" s="228">
        <f t="shared" si="305"/>
        <v>0</v>
      </c>
      <c r="DX260" s="229">
        <f t="shared" si="306"/>
        <v>0</v>
      </c>
      <c r="DY260" s="228"/>
      <c r="DZ260" s="230"/>
      <c r="EA260" s="230"/>
      <c r="EB260" s="230"/>
      <c r="EC260" s="228"/>
      <c r="ED260" s="230"/>
      <c r="EE260" s="230"/>
      <c r="EF260" s="230"/>
      <c r="EG260" s="228">
        <f t="shared" si="307"/>
        <v>0</v>
      </c>
      <c r="EH260" s="229">
        <f t="shared" si="308"/>
        <v>0</v>
      </c>
      <c r="EI260" s="228"/>
      <c r="EJ260" s="230"/>
      <c r="EK260" s="230"/>
      <c r="EL260" s="230"/>
      <c r="EM260" s="228"/>
      <c r="EN260" s="230"/>
      <c r="EO260" s="230"/>
      <c r="EP260" s="230"/>
      <c r="EQ260" s="236"/>
      <c r="ER260" s="230">
        <f>SUM(ET260:EX260)</f>
        <v>0</v>
      </c>
      <c r="ES260" s="230">
        <f>IFERROR(SUMIFS(Daily_Vol_yesterday[Order Quantity],Daily_Vol_yesterday[Cust_Cat.cust_channel],master_Daily!X260,Daily_Vol_yesterday[Map_Product.TME_Brand],master_Daily!Y260)/50000,0)</f>
        <v>0</v>
      </c>
      <c r="ET260" s="230"/>
      <c r="EU260" s="230"/>
      <c r="EV260" s="229"/>
      <c r="EW260" s="230"/>
      <c r="EX260" s="230"/>
      <c r="EY260" s="230"/>
      <c r="EZ260" s="230">
        <f>SUM(FA260:FC260)</f>
        <v>0.14000000000000001</v>
      </c>
      <c r="FA260" s="230">
        <f>IFERROR(SUM(SUMIFS(Weekly_Vol[Quantity],Weekly_Vol[Cust_Cat.cust_channel],master_Daily!X260,Weekly_Vol[Map_Product.TME_Brand],master_Daily!Y260),SUMIFS(Daily_Vol[Order Quantity],Daily_Vol[Cust_Cat.cust_channel],master_Daily!X260,Daily_Vol[Map_Product.TME_Brand],master_Daily!Y260))/50000,0)</f>
        <v>0.14000000000000001</v>
      </c>
      <c r="FB260" s="230"/>
      <c r="FC260" s="230"/>
      <c r="FD260" s="230"/>
      <c r="FE260" s="230"/>
      <c r="FF260" s="230"/>
      <c r="FG260" s="230"/>
      <c r="FH260" s="230">
        <f ca="1">SUM(FI260:FK260)</f>
        <v>1.9214000000000002</v>
      </c>
      <c r="FI260" s="230">
        <f t="shared" ca="1" si="309"/>
        <v>1.9214000000000002</v>
      </c>
      <c r="FJ260" s="230">
        <f t="shared" ca="1" si="309"/>
        <v>0</v>
      </c>
      <c r="FK260" s="230">
        <f t="shared" ca="1" si="309"/>
        <v>0</v>
      </c>
      <c r="FL260" s="230">
        <f t="shared" ca="1" si="311"/>
        <v>0</v>
      </c>
      <c r="FM260" s="229">
        <f t="shared" ca="1" si="311"/>
        <v>0</v>
      </c>
      <c r="FN260" s="229">
        <f t="shared" ca="1" si="311"/>
        <v>0</v>
      </c>
      <c r="FO260" s="229">
        <f t="shared" ca="1" si="311"/>
        <v>0</v>
      </c>
      <c r="FP260" s="231">
        <f t="shared" ca="1" si="310"/>
        <v>0.3155630009197215</v>
      </c>
      <c r="FQ260" s="232">
        <f t="shared" si="248"/>
        <v>0</v>
      </c>
      <c r="FR260" s="230">
        <f>SUMIFS(TME_MTD_Dist[Sell_WHS_QTY],TME_MTD_Dist[Dist_Name],master_Daily!$X260,TME_MTD_Dist[Brand],master_Daily!$Y260)/50000
 + SUMIFS(TME_MTD_Dist[Sell_RTL_QTY],TME_MTD_Dist[Dist_Name],master_Daily!$X260,TME_MTD_Dist[Brand],master_Daily!$Y260)/50000</f>
        <v>0</v>
      </c>
      <c r="FS260" s="232">
        <f t="shared" si="207"/>
        <v>0</v>
      </c>
    </row>
    <row r="261" spans="20:175" s="154" customFormat="1" hidden="1" outlineLevel="1">
      <c r="T261" s="155"/>
      <c r="U261" s="156"/>
      <c r="X261" s="226" t="s">
        <v>228</v>
      </c>
      <c r="Y261" s="227" t="s">
        <v>263</v>
      </c>
      <c r="Z261" s="227"/>
      <c r="AA261" s="228">
        <f t="shared" si="285"/>
        <v>0.48499999999999999</v>
      </c>
      <c r="AB261" s="229">
        <f t="shared" si="286"/>
        <v>0</v>
      </c>
      <c r="AC261" s="228">
        <v>0.48499999999999999</v>
      </c>
      <c r="AD261" s="230">
        <v>0.48499999999999999</v>
      </c>
      <c r="AE261" s="230"/>
      <c r="AF261" s="230"/>
      <c r="AG261" s="228"/>
      <c r="AH261" s="230"/>
      <c r="AI261" s="230"/>
      <c r="AJ261" s="230"/>
      <c r="AK261" s="228">
        <f t="shared" si="287"/>
        <v>0.42499999999999999</v>
      </c>
      <c r="AL261" s="229">
        <f t="shared" si="288"/>
        <v>0</v>
      </c>
      <c r="AM261" s="228">
        <v>0.42499999999999999</v>
      </c>
      <c r="AN261" s="230">
        <v>0.42499999999999999</v>
      </c>
      <c r="AO261" s="230"/>
      <c r="AP261" s="230"/>
      <c r="AQ261" s="228"/>
      <c r="AR261" s="230"/>
      <c r="AS261" s="230"/>
      <c r="AT261" s="230"/>
      <c r="AU261" s="228">
        <f t="shared" si="289"/>
        <v>0.62</v>
      </c>
      <c r="AV261" s="229">
        <f t="shared" si="290"/>
        <v>0</v>
      </c>
      <c r="AW261" s="228">
        <v>0.62</v>
      </c>
      <c r="AX261" s="230">
        <v>0.62</v>
      </c>
      <c r="AY261" s="230"/>
      <c r="AZ261" s="230"/>
      <c r="BA261" s="228"/>
      <c r="BB261" s="230"/>
      <c r="BC261" s="230"/>
      <c r="BD261" s="230"/>
      <c r="BE261" s="228">
        <f t="shared" si="291"/>
        <v>0.44500000000000001</v>
      </c>
      <c r="BF261" s="229">
        <f t="shared" si="292"/>
        <v>0</v>
      </c>
      <c r="BG261" s="228">
        <v>0.44500000000000001</v>
      </c>
      <c r="BH261" s="230">
        <v>0.44500000000000001</v>
      </c>
      <c r="BI261" s="230"/>
      <c r="BJ261" s="230"/>
      <c r="BK261" s="228"/>
      <c r="BL261" s="230"/>
      <c r="BM261" s="230"/>
      <c r="BN261" s="230"/>
      <c r="BO261" s="228">
        <f t="shared" si="293"/>
        <v>0.55000000000000004</v>
      </c>
      <c r="BP261" s="229">
        <f t="shared" si="294"/>
        <v>0</v>
      </c>
      <c r="BQ261" s="228">
        <v>0.55000000000000004</v>
      </c>
      <c r="BR261" s="230">
        <v>0.55000000000000004</v>
      </c>
      <c r="BS261" s="230"/>
      <c r="BT261" s="230"/>
      <c r="BU261" s="228"/>
      <c r="BV261" s="230"/>
      <c r="BW261" s="230"/>
      <c r="BX261" s="230"/>
      <c r="BY261" s="228">
        <f t="shared" si="295"/>
        <v>0.28999999999999998</v>
      </c>
      <c r="BZ261" s="229">
        <f t="shared" si="296"/>
        <v>0</v>
      </c>
      <c r="CA261" s="228">
        <v>0.28999999999999998</v>
      </c>
      <c r="CB261" s="230">
        <v>0.28999999999999998</v>
      </c>
      <c r="CC261" s="230"/>
      <c r="CD261" s="230"/>
      <c r="CE261" s="228"/>
      <c r="CF261" s="230"/>
      <c r="CG261" s="230"/>
      <c r="CH261" s="230"/>
      <c r="CI261" s="228">
        <f t="shared" si="297"/>
        <v>0</v>
      </c>
      <c r="CJ261" s="229">
        <f t="shared" si="298"/>
        <v>0</v>
      </c>
      <c r="CK261" s="228"/>
      <c r="CL261" s="230"/>
      <c r="CM261" s="230"/>
      <c r="CN261" s="230"/>
      <c r="CO261" s="228"/>
      <c r="CP261" s="230"/>
      <c r="CQ261" s="230"/>
      <c r="CR261" s="230"/>
      <c r="CS261" s="228">
        <f t="shared" si="299"/>
        <v>0</v>
      </c>
      <c r="CT261" s="229">
        <f t="shared" si="300"/>
        <v>0</v>
      </c>
      <c r="CU261" s="228"/>
      <c r="CV261" s="230"/>
      <c r="CW261" s="230"/>
      <c r="CX261" s="230"/>
      <c r="CY261" s="228"/>
      <c r="CZ261" s="230"/>
      <c r="DA261" s="230"/>
      <c r="DB261" s="230"/>
      <c r="DC261" s="228">
        <f t="shared" si="301"/>
        <v>0</v>
      </c>
      <c r="DD261" s="229">
        <f t="shared" si="302"/>
        <v>0</v>
      </c>
      <c r="DE261" s="228"/>
      <c r="DF261" s="230"/>
      <c r="DG261" s="230"/>
      <c r="DH261" s="230"/>
      <c r="DI261" s="228"/>
      <c r="DJ261" s="230"/>
      <c r="DK261" s="230"/>
      <c r="DL261" s="230"/>
      <c r="DM261" s="228">
        <f t="shared" si="303"/>
        <v>0</v>
      </c>
      <c r="DN261" s="229">
        <f t="shared" si="304"/>
        <v>0</v>
      </c>
      <c r="DO261" s="228"/>
      <c r="DP261" s="230"/>
      <c r="DQ261" s="230"/>
      <c r="DR261" s="230"/>
      <c r="DS261" s="228"/>
      <c r="DT261" s="230"/>
      <c r="DU261" s="230"/>
      <c r="DV261" s="230"/>
      <c r="DW261" s="228">
        <f t="shared" si="305"/>
        <v>0</v>
      </c>
      <c r="DX261" s="229">
        <f t="shared" si="306"/>
        <v>0</v>
      </c>
      <c r="DY261" s="228"/>
      <c r="DZ261" s="230"/>
      <c r="EA261" s="230"/>
      <c r="EB261" s="230"/>
      <c r="EC261" s="228"/>
      <c r="ED261" s="230"/>
      <c r="EE261" s="230"/>
      <c r="EF261" s="230"/>
      <c r="EG261" s="228">
        <f t="shared" si="307"/>
        <v>0</v>
      </c>
      <c r="EH261" s="229">
        <f t="shared" si="308"/>
        <v>0</v>
      </c>
      <c r="EI261" s="228"/>
      <c r="EJ261" s="230"/>
      <c r="EK261" s="230"/>
      <c r="EL261" s="230"/>
      <c r="EM261" s="228"/>
      <c r="EN261" s="230"/>
      <c r="EO261" s="230"/>
      <c r="EP261" s="230"/>
      <c r="EQ261" s="236"/>
      <c r="ER261" s="230">
        <f>SUM(ET261:EX261)</f>
        <v>0</v>
      </c>
      <c r="ES261" s="230">
        <f>IFERROR(SUMIFS(Daily_Vol_yesterday[Order Quantity],Daily_Vol_yesterday[Cust_Cat.cust_channel],master_Daily!X261,Daily_Vol_yesterday[Map_Product.TME_Brand],"CM")/50000,0)</f>
        <v>0</v>
      </c>
      <c r="ET261" s="230"/>
      <c r="EU261" s="230"/>
      <c r="EV261" s="229"/>
      <c r="EW261" s="230"/>
      <c r="EX261" s="230"/>
      <c r="EY261" s="230"/>
      <c r="EZ261" s="230">
        <f>SUM(FA261:FC261)</f>
        <v>0.28999999999999998</v>
      </c>
      <c r="FA261" s="230">
        <f>IFERROR(SUM(SUMIFS(Weekly_Vol[Quantity],Weekly_Vol[Cust_Cat.cust_channel],master_Daily!X261,Weekly_Vol[Map_Product.TME_Brand],"CM"),SUMIFS(Daily_Vol[Order Quantity],Daily_Vol[Cust_Cat.cust_channel],master_Daily!X261,Daily_Vol[Map_Product.TME_Brand],"CM"))/50000,0)</f>
        <v>0.28999999999999998</v>
      </c>
      <c r="FB261" s="230"/>
      <c r="FC261" s="230"/>
      <c r="FD261" s="230"/>
      <c r="FE261" s="230"/>
      <c r="FF261" s="230"/>
      <c r="FG261" s="230"/>
      <c r="FH261" s="230">
        <f ca="1">SUM(FI261:FK261)</f>
        <v>2.8149999999999999</v>
      </c>
      <c r="FI261" s="230">
        <f t="shared" ca="1" si="309"/>
        <v>2.8149999999999999</v>
      </c>
      <c r="FJ261" s="230">
        <f t="shared" ca="1" si="309"/>
        <v>0</v>
      </c>
      <c r="FK261" s="230">
        <f t="shared" ca="1" si="309"/>
        <v>0</v>
      </c>
      <c r="FL261" s="230">
        <f ca="1">SUMIFS($AA261:$EP261,$AA$129:$EP$129,INDIRECT(ADDRESS(129,COLUMN())))</f>
        <v>0</v>
      </c>
      <c r="FM261" s="229">
        <f t="shared" ref="FM261:FO262" si="312">SUMIFS(AF261:EU261,$AA$129:$EP$129,$FH$129)</f>
        <v>0</v>
      </c>
      <c r="FN261" s="229">
        <f t="shared" si="312"/>
        <v>0</v>
      </c>
      <c r="FO261" s="229">
        <f t="shared" si="312"/>
        <v>0</v>
      </c>
      <c r="FP261" s="231">
        <f t="shared" ca="1" si="310"/>
        <v>0.46232426750755484</v>
      </c>
      <c r="FQ261" s="232">
        <f t="shared" si="248"/>
        <v>0</v>
      </c>
      <c r="FR261" s="230">
        <f>SUMIFS(TME_MTD_Dist[Sell_WHS_QTY],TME_MTD_Dist[Dist_Name],master_Daily!$X261,TME_MTD_Dist[Brand],master_Daily!$Y261)/50000
 + SUMIFS(TME_MTD_Dist[Sell_RTL_QTY],TME_MTD_Dist[Dist_Name],master_Daily!$X261,TME_MTD_Dist[Brand],master_Daily!$Y261)/50000</f>
        <v>0</v>
      </c>
      <c r="FS261" s="232">
        <f t="shared" si="207"/>
        <v>0</v>
      </c>
    </row>
    <row r="262" spans="20:175" s="154" customFormat="1" hidden="1" outlineLevel="1">
      <c r="T262" s="155"/>
      <c r="U262" s="156"/>
      <c r="X262" s="226" t="s">
        <v>228</v>
      </c>
      <c r="Y262" s="227" t="s">
        <v>264</v>
      </c>
      <c r="Z262" s="227"/>
      <c r="AA262" s="228">
        <f t="shared" si="285"/>
        <v>0.21</v>
      </c>
      <c r="AB262" s="229">
        <f t="shared" si="286"/>
        <v>0</v>
      </c>
      <c r="AC262" s="228">
        <v>0.21</v>
      </c>
      <c r="AD262" s="230">
        <v>0.21</v>
      </c>
      <c r="AE262" s="230"/>
      <c r="AF262" s="230"/>
      <c r="AG262" s="228"/>
      <c r="AH262" s="230"/>
      <c r="AI262" s="230"/>
      <c r="AJ262" s="230"/>
      <c r="AK262" s="228">
        <f t="shared" si="287"/>
        <v>0.2</v>
      </c>
      <c r="AL262" s="229">
        <f t="shared" si="288"/>
        <v>0</v>
      </c>
      <c r="AM262" s="228">
        <v>0.2</v>
      </c>
      <c r="AN262" s="230">
        <v>0.2</v>
      </c>
      <c r="AO262" s="230"/>
      <c r="AP262" s="230"/>
      <c r="AQ262" s="228"/>
      <c r="AR262" s="230"/>
      <c r="AS262" s="230"/>
      <c r="AT262" s="230"/>
      <c r="AU262" s="228">
        <f t="shared" si="289"/>
        <v>0.24</v>
      </c>
      <c r="AV262" s="229">
        <f t="shared" si="290"/>
        <v>0</v>
      </c>
      <c r="AW262" s="228">
        <v>0.24</v>
      </c>
      <c r="AX262" s="230">
        <v>0.24</v>
      </c>
      <c r="AY262" s="230"/>
      <c r="AZ262" s="230"/>
      <c r="BA262" s="228"/>
      <c r="BB262" s="230"/>
      <c r="BC262" s="230"/>
      <c r="BD262" s="230"/>
      <c r="BE262" s="228">
        <f t="shared" si="291"/>
        <v>0.21</v>
      </c>
      <c r="BF262" s="229">
        <f t="shared" si="292"/>
        <v>0</v>
      </c>
      <c r="BG262" s="228">
        <v>0.21</v>
      </c>
      <c r="BH262" s="230">
        <v>0.21</v>
      </c>
      <c r="BI262" s="230"/>
      <c r="BJ262" s="230"/>
      <c r="BK262" s="228"/>
      <c r="BL262" s="230"/>
      <c r="BM262" s="230"/>
      <c r="BN262" s="230"/>
      <c r="BO262" s="228">
        <f t="shared" si="293"/>
        <v>0.26</v>
      </c>
      <c r="BP262" s="229">
        <f t="shared" si="294"/>
        <v>0</v>
      </c>
      <c r="BQ262" s="228">
        <v>0.26</v>
      </c>
      <c r="BR262" s="230">
        <v>0.26</v>
      </c>
      <c r="BS262" s="230"/>
      <c r="BT262" s="230"/>
      <c r="BU262" s="228"/>
      <c r="BV262" s="230"/>
      <c r="BW262" s="230"/>
      <c r="BX262" s="230"/>
      <c r="BY262" s="228">
        <f t="shared" si="295"/>
        <v>0.21</v>
      </c>
      <c r="BZ262" s="229">
        <f t="shared" si="296"/>
        <v>0</v>
      </c>
      <c r="CA262" s="228">
        <v>0.21</v>
      </c>
      <c r="CB262" s="230">
        <v>0.21</v>
      </c>
      <c r="CC262" s="230"/>
      <c r="CD262" s="230"/>
      <c r="CE262" s="228"/>
      <c r="CF262" s="230"/>
      <c r="CG262" s="230"/>
      <c r="CH262" s="230"/>
      <c r="CI262" s="228">
        <f t="shared" si="297"/>
        <v>0</v>
      </c>
      <c r="CJ262" s="229">
        <f t="shared" si="298"/>
        <v>0</v>
      </c>
      <c r="CK262" s="228"/>
      <c r="CL262" s="230"/>
      <c r="CM262" s="230"/>
      <c r="CN262" s="230"/>
      <c r="CO262" s="228"/>
      <c r="CP262" s="230"/>
      <c r="CQ262" s="230"/>
      <c r="CR262" s="230"/>
      <c r="CS262" s="228">
        <f t="shared" si="299"/>
        <v>0</v>
      </c>
      <c r="CT262" s="229">
        <f t="shared" si="300"/>
        <v>0</v>
      </c>
      <c r="CU262" s="228"/>
      <c r="CV262" s="230"/>
      <c r="CW262" s="230"/>
      <c r="CX262" s="230"/>
      <c r="CY262" s="228"/>
      <c r="CZ262" s="230"/>
      <c r="DA262" s="230"/>
      <c r="DB262" s="230"/>
      <c r="DC262" s="228">
        <f t="shared" si="301"/>
        <v>0</v>
      </c>
      <c r="DD262" s="229">
        <f t="shared" si="302"/>
        <v>0</v>
      </c>
      <c r="DE262" s="228"/>
      <c r="DF262" s="230"/>
      <c r="DG262" s="230"/>
      <c r="DH262" s="230"/>
      <c r="DI262" s="228"/>
      <c r="DJ262" s="230"/>
      <c r="DK262" s="230"/>
      <c r="DL262" s="230"/>
      <c r="DM262" s="228">
        <f t="shared" si="303"/>
        <v>0</v>
      </c>
      <c r="DN262" s="229">
        <f t="shared" si="304"/>
        <v>0</v>
      </c>
      <c r="DO262" s="228"/>
      <c r="DP262" s="230"/>
      <c r="DQ262" s="230"/>
      <c r="DR262" s="230"/>
      <c r="DS262" s="228"/>
      <c r="DT262" s="230"/>
      <c r="DU262" s="230"/>
      <c r="DV262" s="230"/>
      <c r="DW262" s="228">
        <f t="shared" si="305"/>
        <v>0</v>
      </c>
      <c r="DX262" s="229">
        <f t="shared" si="306"/>
        <v>0</v>
      </c>
      <c r="DY262" s="228"/>
      <c r="DZ262" s="230"/>
      <c r="EA262" s="230"/>
      <c r="EB262" s="230"/>
      <c r="EC262" s="228"/>
      <c r="ED262" s="230"/>
      <c r="EE262" s="230"/>
      <c r="EF262" s="230"/>
      <c r="EG262" s="228">
        <f t="shared" si="307"/>
        <v>0</v>
      </c>
      <c r="EH262" s="229">
        <f t="shared" si="308"/>
        <v>0</v>
      </c>
      <c r="EI262" s="228"/>
      <c r="EJ262" s="230"/>
      <c r="EK262" s="230"/>
      <c r="EL262" s="230"/>
      <c r="EM262" s="228"/>
      <c r="EN262" s="230"/>
      <c r="EO262" s="230"/>
      <c r="EP262" s="230"/>
      <c r="EQ262" s="236"/>
      <c r="ER262" s="230">
        <f>SUM(ET262:EX262)</f>
        <v>0</v>
      </c>
      <c r="ES262" s="230">
        <f>IFERROR(SUMIFS(Daily_Vol_yesterday[Order Quantity],Daily_Vol_yesterday[Cust_Cat.cust_channel],master_Daily!X262,Daily_Vol_yesterday[Map_Product.TME_Brand],"CMHD")/50000,0)</f>
        <v>0</v>
      </c>
      <c r="ET262" s="230"/>
      <c r="EU262" s="230"/>
      <c r="EV262" s="229"/>
      <c r="EW262" s="230"/>
      <c r="EX262" s="230"/>
      <c r="EY262" s="230"/>
      <c r="EZ262" s="230">
        <f>SUM(FA262:FC262)</f>
        <v>0.21</v>
      </c>
      <c r="FA262" s="230">
        <f>IFERROR(SUM(SUMIFS(Weekly_Vol[Quantity],Weekly_Vol[Cust_Cat.cust_channel],master_Daily!X262,Weekly_Vol[Map_Product.TME_Brand],"CMHD"),SUMIFS(Daily_Vol[Order Quantity],Daily_Vol[Cust_Cat.cust_channel],master_Daily!X262,Daily_Vol[Map_Product.TME_Brand],"CMHD"))/50000,0)</f>
        <v>0.21</v>
      </c>
      <c r="FB262" s="230"/>
      <c r="FC262" s="230"/>
      <c r="FD262" s="230"/>
      <c r="FE262" s="230"/>
      <c r="FF262" s="230"/>
      <c r="FG262" s="230"/>
      <c r="FH262" s="230">
        <f ca="1">SUM(FI262:FK262)</f>
        <v>1.33</v>
      </c>
      <c r="FI262" s="230">
        <f t="shared" ca="1" si="309"/>
        <v>1.33</v>
      </c>
      <c r="FJ262" s="230">
        <f t="shared" ca="1" si="309"/>
        <v>0</v>
      </c>
      <c r="FK262" s="230">
        <f t="shared" ca="1" si="309"/>
        <v>0</v>
      </c>
      <c r="FL262" s="230">
        <f ca="1">SUMIFS($AA262:$EP262,$AA$129:$EP$129,INDIRECT(ADDRESS(129,COLUMN())))</f>
        <v>0</v>
      </c>
      <c r="FM262" s="229">
        <f t="shared" si="312"/>
        <v>0</v>
      </c>
      <c r="FN262" s="229">
        <f t="shared" si="312"/>
        <v>0</v>
      </c>
      <c r="FO262" s="229">
        <f t="shared" si="312"/>
        <v>0</v>
      </c>
      <c r="FP262" s="231">
        <f t="shared" ca="1" si="310"/>
        <v>0.218433845749573</v>
      </c>
      <c r="FQ262" s="232">
        <f t="shared" si="248"/>
        <v>0</v>
      </c>
      <c r="FR262" s="230">
        <f>SUMIFS(TME_MTD_Dist[Sell_WHS_QTY],TME_MTD_Dist[Dist_Name],master_Daily!$X262,TME_MTD_Dist[Brand],master_Daily!$Y262)/50000
 + SUMIFS(TME_MTD_Dist[Sell_RTL_QTY],TME_MTD_Dist[Dist_Name],master_Daily!$X262,TME_MTD_Dist[Brand],master_Daily!$Y262)/50000</f>
        <v>0</v>
      </c>
      <c r="FS262" s="232">
        <f t="shared" si="207"/>
        <v>0</v>
      </c>
    </row>
    <row r="263" spans="20:175" s="154" customFormat="1" collapsed="1">
      <c r="T263" s="155"/>
      <c r="U263" s="156"/>
      <c r="X263" s="233" t="s">
        <v>306</v>
      </c>
      <c r="Y263" s="234"/>
      <c r="Z263" s="234"/>
      <c r="AA263" s="235">
        <f t="shared" si="285"/>
        <v>1.0864</v>
      </c>
      <c r="AB263" s="235">
        <f t="shared" si="286"/>
        <v>0</v>
      </c>
      <c r="AC263" s="235">
        <v>1.0864</v>
      </c>
      <c r="AD263" s="235">
        <v>1.0864</v>
      </c>
      <c r="AE263" s="235">
        <v>0</v>
      </c>
      <c r="AF263" s="235">
        <v>0</v>
      </c>
      <c r="AG263" s="235">
        <v>0</v>
      </c>
      <c r="AH263" s="235">
        <v>0</v>
      </c>
      <c r="AI263" s="235">
        <v>0</v>
      </c>
      <c r="AJ263" s="235">
        <v>0</v>
      </c>
      <c r="AK263" s="235">
        <f t="shared" si="287"/>
        <v>1.0009999999999999</v>
      </c>
      <c r="AL263" s="235">
        <f t="shared" si="288"/>
        <v>0</v>
      </c>
      <c r="AM263" s="235">
        <v>1.0009999999999999</v>
      </c>
      <c r="AN263" s="235">
        <v>1.0009999999999999</v>
      </c>
      <c r="AO263" s="235">
        <v>0</v>
      </c>
      <c r="AP263" s="235">
        <v>0</v>
      </c>
      <c r="AQ263" s="235">
        <v>0</v>
      </c>
      <c r="AR263" s="235">
        <v>0</v>
      </c>
      <c r="AS263" s="235">
        <v>0</v>
      </c>
      <c r="AT263" s="235">
        <v>0</v>
      </c>
      <c r="AU263" s="235">
        <f t="shared" si="289"/>
        <v>1.1532</v>
      </c>
      <c r="AV263" s="235">
        <f t="shared" si="290"/>
        <v>0</v>
      </c>
      <c r="AW263" s="235">
        <v>1.1532</v>
      </c>
      <c r="AX263" s="235">
        <v>1.1532</v>
      </c>
      <c r="AY263" s="235">
        <v>0</v>
      </c>
      <c r="AZ263" s="235">
        <v>0</v>
      </c>
      <c r="BA263" s="235">
        <v>0</v>
      </c>
      <c r="BB263" s="235">
        <v>0</v>
      </c>
      <c r="BC263" s="235">
        <v>0</v>
      </c>
      <c r="BD263" s="235">
        <v>0</v>
      </c>
      <c r="BE263" s="235">
        <f t="shared" si="291"/>
        <v>1.0247999999999999</v>
      </c>
      <c r="BF263" s="235">
        <f t="shared" si="292"/>
        <v>0</v>
      </c>
      <c r="BG263" s="235">
        <v>1.0247999999999999</v>
      </c>
      <c r="BH263" s="235">
        <v>1.0247999999999999</v>
      </c>
      <c r="BI263" s="235">
        <v>0</v>
      </c>
      <c r="BJ263" s="235">
        <v>0</v>
      </c>
      <c r="BK263" s="235">
        <v>0</v>
      </c>
      <c r="BL263" s="235">
        <v>0</v>
      </c>
      <c r="BM263" s="235">
        <v>0</v>
      </c>
      <c r="BN263" s="235">
        <v>0</v>
      </c>
      <c r="BO263" s="235">
        <f t="shared" si="293"/>
        <v>1.1828000000000001</v>
      </c>
      <c r="BP263" s="235">
        <f t="shared" si="294"/>
        <v>0</v>
      </c>
      <c r="BQ263" s="235">
        <v>1.1828000000000001</v>
      </c>
      <c r="BR263" s="235">
        <v>1.1828000000000001</v>
      </c>
      <c r="BS263" s="235">
        <v>0</v>
      </c>
      <c r="BT263" s="235">
        <v>0</v>
      </c>
      <c r="BU263" s="235">
        <v>0</v>
      </c>
      <c r="BV263" s="235">
        <v>0</v>
      </c>
      <c r="BW263" s="235">
        <v>0</v>
      </c>
      <c r="BX263" s="235">
        <v>0</v>
      </c>
      <c r="BY263" s="235">
        <f t="shared" si="295"/>
        <v>0.64059999999999995</v>
      </c>
      <c r="BZ263" s="235">
        <f t="shared" si="296"/>
        <v>0</v>
      </c>
      <c r="CA263" s="235">
        <v>0.64059999999999995</v>
      </c>
      <c r="CB263" s="235">
        <v>0.64059999999999995</v>
      </c>
      <c r="CC263" s="235">
        <v>0</v>
      </c>
      <c r="CD263" s="235">
        <v>0</v>
      </c>
      <c r="CE263" s="235">
        <v>0</v>
      </c>
      <c r="CF263" s="235">
        <v>0</v>
      </c>
      <c r="CG263" s="235">
        <v>0</v>
      </c>
      <c r="CH263" s="235">
        <v>0</v>
      </c>
      <c r="CI263" s="235">
        <f t="shared" si="297"/>
        <v>0</v>
      </c>
      <c r="CJ263" s="235">
        <f t="shared" si="298"/>
        <v>0</v>
      </c>
      <c r="CK263" s="235"/>
      <c r="CL263" s="235"/>
      <c r="CM263" s="235"/>
      <c r="CN263" s="235"/>
      <c r="CO263" s="235"/>
      <c r="CP263" s="235">
        <v>0</v>
      </c>
      <c r="CQ263" s="235">
        <v>0</v>
      </c>
      <c r="CR263" s="235">
        <v>0</v>
      </c>
      <c r="CS263" s="235">
        <f t="shared" si="299"/>
        <v>0</v>
      </c>
      <c r="CT263" s="235">
        <f t="shared" si="300"/>
        <v>0</v>
      </c>
      <c r="CU263" s="235"/>
      <c r="CV263" s="235"/>
      <c r="CW263" s="235"/>
      <c r="CX263" s="235"/>
      <c r="CY263" s="235"/>
      <c r="CZ263" s="235">
        <v>0</v>
      </c>
      <c r="DA263" s="235">
        <v>0</v>
      </c>
      <c r="DB263" s="235">
        <v>0</v>
      </c>
      <c r="DC263" s="235">
        <f t="shared" si="301"/>
        <v>0</v>
      </c>
      <c r="DD263" s="235">
        <f t="shared" si="302"/>
        <v>0</v>
      </c>
      <c r="DE263" s="235"/>
      <c r="DF263" s="235"/>
      <c r="DG263" s="235"/>
      <c r="DH263" s="235"/>
      <c r="DI263" s="235"/>
      <c r="DJ263" s="235">
        <v>0</v>
      </c>
      <c r="DK263" s="235">
        <v>0</v>
      </c>
      <c r="DL263" s="235">
        <v>0</v>
      </c>
      <c r="DM263" s="235">
        <f t="shared" si="303"/>
        <v>0</v>
      </c>
      <c r="DN263" s="235">
        <f t="shared" si="304"/>
        <v>0</v>
      </c>
      <c r="DO263" s="235"/>
      <c r="DP263" s="235"/>
      <c r="DQ263" s="235"/>
      <c r="DR263" s="235"/>
      <c r="DS263" s="235"/>
      <c r="DT263" s="235">
        <v>0</v>
      </c>
      <c r="DU263" s="235">
        <v>0</v>
      </c>
      <c r="DV263" s="235">
        <v>0</v>
      </c>
      <c r="DW263" s="235">
        <f t="shared" si="305"/>
        <v>0</v>
      </c>
      <c r="DX263" s="235">
        <f t="shared" si="306"/>
        <v>0</v>
      </c>
      <c r="DY263" s="235"/>
      <c r="DZ263" s="235"/>
      <c r="EA263" s="235"/>
      <c r="EB263" s="235"/>
      <c r="EC263" s="235">
        <v>0</v>
      </c>
      <c r="ED263" s="235">
        <v>0</v>
      </c>
      <c r="EE263" s="235">
        <v>0</v>
      </c>
      <c r="EF263" s="235">
        <v>0</v>
      </c>
      <c r="EG263" s="235">
        <f t="shared" si="307"/>
        <v>0</v>
      </c>
      <c r="EH263" s="235">
        <f t="shared" si="308"/>
        <v>0</v>
      </c>
      <c r="EI263" s="235"/>
      <c r="EJ263" s="235"/>
      <c r="EK263" s="235"/>
      <c r="EL263" s="235"/>
      <c r="EM263" s="235">
        <v>0</v>
      </c>
      <c r="EN263" s="235">
        <v>0</v>
      </c>
      <c r="EO263" s="235">
        <v>0</v>
      </c>
      <c r="EP263" s="235">
        <v>0</v>
      </c>
      <c r="EQ263" s="236">
        <v>1.2850000000000001</v>
      </c>
      <c r="ER263" s="235">
        <f>SUM(ER258:ER262)</f>
        <v>0</v>
      </c>
      <c r="ES263" s="235">
        <f>SUM(ES258:ES262)</f>
        <v>0</v>
      </c>
      <c r="ET263" s="235">
        <f>SUM(ET258:ET262)</f>
        <v>0</v>
      </c>
      <c r="EU263" s="235">
        <f>SUM(EU258:EU262)</f>
        <v>0</v>
      </c>
      <c r="EV263" s="235"/>
      <c r="EW263" s="235"/>
      <c r="EX263" s="235"/>
      <c r="EY263" s="235"/>
      <c r="EZ263" s="235">
        <f t="shared" ref="EZ263:FK263" si="313">SUM(EZ258:EZ262)</f>
        <v>0.64059999999999995</v>
      </c>
      <c r="FA263" s="235">
        <f t="shared" si="313"/>
        <v>0.64059999999999995</v>
      </c>
      <c r="FB263" s="235">
        <f t="shared" si="313"/>
        <v>0</v>
      </c>
      <c r="FC263" s="235">
        <f t="shared" si="313"/>
        <v>0</v>
      </c>
      <c r="FD263" s="235">
        <f t="shared" si="313"/>
        <v>0</v>
      </c>
      <c r="FE263" s="235">
        <f t="shared" si="313"/>
        <v>0</v>
      </c>
      <c r="FF263" s="235">
        <f t="shared" si="313"/>
        <v>0</v>
      </c>
      <c r="FG263" s="235">
        <f t="shared" si="313"/>
        <v>0</v>
      </c>
      <c r="FH263" s="235">
        <f t="shared" ca="1" si="313"/>
        <v>6.0888</v>
      </c>
      <c r="FI263" s="235">
        <f t="shared" ca="1" si="313"/>
        <v>6.0888</v>
      </c>
      <c r="FJ263" s="235">
        <f t="shared" ca="1" si="313"/>
        <v>0</v>
      </c>
      <c r="FK263" s="235">
        <f t="shared" ca="1" si="313"/>
        <v>0</v>
      </c>
      <c r="FL263" s="235">
        <f ca="1">SUM(FL258:FL261)</f>
        <v>0</v>
      </c>
      <c r="FM263" s="236">
        <f ca="1">SUM(FM258:FM262)</f>
        <v>0</v>
      </c>
      <c r="FN263" s="236">
        <f ca="1">SUM(FN258:FN262)</f>
        <v>0</v>
      </c>
      <c r="FO263" s="236">
        <f ca="1">SUM(FO258:FO262)</f>
        <v>0</v>
      </c>
      <c r="FP263" s="237">
        <f t="shared" ca="1" si="310"/>
        <v>1</v>
      </c>
      <c r="FQ263" s="238">
        <f>IFERROR(EZ263/EQ263,0)</f>
        <v>0.49852140077821</v>
      </c>
      <c r="FR263" s="235">
        <f>SUM(FR258:FR262)</f>
        <v>0</v>
      </c>
      <c r="FS263" s="238">
        <f>IFERROR(FR263/EQ263,0)</f>
        <v>0</v>
      </c>
    </row>
    <row r="264" spans="20:175" s="154" customFormat="1" hidden="1" outlineLevel="1">
      <c r="T264" s="155"/>
      <c r="U264" s="156"/>
      <c r="X264" s="226" t="s">
        <v>307</v>
      </c>
      <c r="Y264" s="227" t="s">
        <v>44</v>
      </c>
      <c r="Z264" s="227"/>
      <c r="AA264" s="228">
        <f t="shared" si="285"/>
        <v>0</v>
      </c>
      <c r="AB264" s="229">
        <f t="shared" si="286"/>
        <v>0</v>
      </c>
      <c r="AC264" s="228">
        <v>0</v>
      </c>
      <c r="AD264" s="230">
        <v>0</v>
      </c>
      <c r="AE264" s="230"/>
      <c r="AF264" s="230"/>
      <c r="AG264" s="228"/>
      <c r="AH264" s="230"/>
      <c r="AI264" s="230"/>
      <c r="AJ264" s="230"/>
      <c r="AK264" s="228">
        <f t="shared" si="287"/>
        <v>0</v>
      </c>
      <c r="AL264" s="229">
        <f t="shared" si="288"/>
        <v>0</v>
      </c>
      <c r="AM264" s="228">
        <v>0</v>
      </c>
      <c r="AN264" s="230">
        <v>0</v>
      </c>
      <c r="AO264" s="230"/>
      <c r="AP264" s="230"/>
      <c r="AQ264" s="228"/>
      <c r="AR264" s="230"/>
      <c r="AS264" s="230"/>
      <c r="AT264" s="230"/>
      <c r="AU264" s="228">
        <f t="shared" si="289"/>
        <v>0</v>
      </c>
      <c r="AV264" s="229">
        <f t="shared" si="290"/>
        <v>0</v>
      </c>
      <c r="AW264" s="228">
        <v>0</v>
      </c>
      <c r="AX264" s="230">
        <v>0</v>
      </c>
      <c r="AY264" s="230"/>
      <c r="AZ264" s="230"/>
      <c r="BA264" s="228"/>
      <c r="BB264" s="230"/>
      <c r="BC264" s="230"/>
      <c r="BD264" s="230"/>
      <c r="BE264" s="228">
        <f t="shared" si="291"/>
        <v>0</v>
      </c>
      <c r="BF264" s="229">
        <f t="shared" si="292"/>
        <v>0</v>
      </c>
      <c r="BG264" s="228">
        <v>0</v>
      </c>
      <c r="BH264" s="230">
        <v>0</v>
      </c>
      <c r="BI264" s="230"/>
      <c r="BJ264" s="230"/>
      <c r="BK264" s="228"/>
      <c r="BL264" s="230"/>
      <c r="BM264" s="230"/>
      <c r="BN264" s="230"/>
      <c r="BO264" s="228">
        <f t="shared" si="293"/>
        <v>0</v>
      </c>
      <c r="BP264" s="229">
        <f t="shared" si="294"/>
        <v>0</v>
      </c>
      <c r="BQ264" s="228">
        <v>0</v>
      </c>
      <c r="BR264" s="230">
        <v>0</v>
      </c>
      <c r="BS264" s="230"/>
      <c r="BT264" s="230"/>
      <c r="BU264" s="228"/>
      <c r="BV264" s="230"/>
      <c r="BW264" s="230"/>
      <c r="BX264" s="230"/>
      <c r="BY264" s="228">
        <f t="shared" si="295"/>
        <v>0</v>
      </c>
      <c r="BZ264" s="229">
        <f t="shared" si="296"/>
        <v>0</v>
      </c>
      <c r="CA264" s="228">
        <v>0</v>
      </c>
      <c r="CB264" s="230">
        <v>0</v>
      </c>
      <c r="CC264" s="230"/>
      <c r="CD264" s="230"/>
      <c r="CE264" s="228"/>
      <c r="CF264" s="230"/>
      <c r="CG264" s="230"/>
      <c r="CH264" s="230"/>
      <c r="CI264" s="228">
        <f t="shared" si="297"/>
        <v>0</v>
      </c>
      <c r="CJ264" s="229">
        <f t="shared" si="298"/>
        <v>0</v>
      </c>
      <c r="CK264" s="228"/>
      <c r="CL264" s="230"/>
      <c r="CM264" s="230"/>
      <c r="CN264" s="230"/>
      <c r="CO264" s="228"/>
      <c r="CP264" s="230"/>
      <c r="CQ264" s="230"/>
      <c r="CR264" s="230"/>
      <c r="CS264" s="228">
        <f t="shared" si="299"/>
        <v>0</v>
      </c>
      <c r="CT264" s="229">
        <f t="shared" si="300"/>
        <v>0</v>
      </c>
      <c r="CU264" s="228"/>
      <c r="CV264" s="230"/>
      <c r="CW264" s="230"/>
      <c r="CX264" s="230"/>
      <c r="CY264" s="228"/>
      <c r="CZ264" s="230"/>
      <c r="DA264" s="230"/>
      <c r="DB264" s="230"/>
      <c r="DC264" s="228">
        <f t="shared" si="301"/>
        <v>0</v>
      </c>
      <c r="DD264" s="229">
        <f t="shared" si="302"/>
        <v>0</v>
      </c>
      <c r="DE264" s="228"/>
      <c r="DF264" s="230"/>
      <c r="DG264" s="230"/>
      <c r="DH264" s="230"/>
      <c r="DI264" s="228"/>
      <c r="DJ264" s="230"/>
      <c r="DK264" s="230"/>
      <c r="DL264" s="230"/>
      <c r="DM264" s="228">
        <f t="shared" si="303"/>
        <v>0</v>
      </c>
      <c r="DN264" s="229">
        <f t="shared" si="304"/>
        <v>0</v>
      </c>
      <c r="DO264" s="228"/>
      <c r="DP264" s="230"/>
      <c r="DQ264" s="230"/>
      <c r="DR264" s="230"/>
      <c r="DS264" s="228"/>
      <c r="DT264" s="230"/>
      <c r="DU264" s="230"/>
      <c r="DV264" s="230"/>
      <c r="DW264" s="228">
        <f t="shared" si="305"/>
        <v>0</v>
      </c>
      <c r="DX264" s="229">
        <f t="shared" si="306"/>
        <v>0</v>
      </c>
      <c r="DY264" s="228"/>
      <c r="DZ264" s="230"/>
      <c r="EA264" s="230"/>
      <c r="EB264" s="230"/>
      <c r="EC264" s="228"/>
      <c r="ED264" s="230"/>
      <c r="EE264" s="230"/>
      <c r="EF264" s="230"/>
      <c r="EG264" s="228">
        <f t="shared" si="307"/>
        <v>0</v>
      </c>
      <c r="EH264" s="229">
        <f t="shared" si="308"/>
        <v>0</v>
      </c>
      <c r="EI264" s="228"/>
      <c r="EJ264" s="230"/>
      <c r="EK264" s="230"/>
      <c r="EL264" s="230"/>
      <c r="EM264" s="228"/>
      <c r="EN264" s="230"/>
      <c r="EO264" s="230"/>
      <c r="EP264" s="230"/>
      <c r="EQ264" s="386"/>
      <c r="ER264" s="230">
        <f>SUM(ET264:EX264)</f>
        <v>0</v>
      </c>
      <c r="ES264" s="230">
        <f>IFERROR(SUMIFS(Daily_Vol_yesterday[Order Quantity],Daily_Vol_yesterday[Cust_Cat.cust_channel],master_Daily!X264,Daily_Vol_yesterday[Map_Product.TME_Brand],master_Daily!Y264)/50000,0)</f>
        <v>0</v>
      </c>
      <c r="ET264" s="230"/>
      <c r="EU264" s="230"/>
      <c r="EV264" s="229"/>
      <c r="EW264" s="230"/>
      <c r="EX264" s="230"/>
      <c r="EY264" s="230"/>
      <c r="EZ264" s="230">
        <f>SUM(FA264:FC264)</f>
        <v>0</v>
      </c>
      <c r="FA264" s="230">
        <f>IFERROR(SUM(SUMIFS(Weekly_Vol[Quantity],Weekly_Vol[Cust_Cat.cust_channel],master_Daily!X264,Weekly_Vol[Map_Product.TME_Brand],master_Daily!Y264),SUMIFS(Daily_Vol[Order Quantity],Daily_Vol[Cust_Cat.cust_channel],master_Daily!X264,Daily_Vol[Map_Product.TME_Brand],master_Daily!Y264))/50000,0)</f>
        <v>0</v>
      </c>
      <c r="FB264" s="230"/>
      <c r="FC264" s="230"/>
      <c r="FD264" s="230"/>
      <c r="FE264" s="230"/>
      <c r="FF264" s="230"/>
      <c r="FG264" s="230"/>
      <c r="FH264" s="230">
        <f ca="1">SUM(FI264:FK264)</f>
        <v>0</v>
      </c>
      <c r="FI264" s="230">
        <f t="shared" ref="FI264:FK268" ca="1" si="314">SUMIFS($AA264:$EP264,$AA$129:$EP$129,INDIRECT(ADDRESS(129,COLUMN())))</f>
        <v>0</v>
      </c>
      <c r="FJ264" s="230">
        <f t="shared" ca="1" si="314"/>
        <v>0</v>
      </c>
      <c r="FK264" s="230">
        <f t="shared" ca="1" si="314"/>
        <v>0</v>
      </c>
      <c r="FL264" s="230">
        <f ca="1">SUMIFS($AA264:$EP264,$AA$129:$EP$129,INDIRECT(ADDRESS(38,COLUMN())))</f>
        <v>0</v>
      </c>
      <c r="FM264" s="230">
        <f ca="1">SUMIFS($AA264:$EP264,$AA$129:$EP$129,INDIRECT(ADDRESS(38,COLUMN())))</f>
        <v>0</v>
      </c>
      <c r="FN264" s="230">
        <f ca="1">SUMIFS($AA264:$EP264,$AA$129:$EP$129,INDIRECT(ADDRESS(38,COLUMN())))</f>
        <v>0</v>
      </c>
      <c r="FO264" s="230">
        <f ca="1">SUMIFS($AA264:$EP264,$AA$129:$EP$129,INDIRECT(ADDRESS(38,COLUMN())))</f>
        <v>0</v>
      </c>
      <c r="FP264" s="231">
        <f t="shared" ref="FP264:FP269" ca="1" si="315">IFERROR(FH264/$FH$269,0)</f>
        <v>0</v>
      </c>
      <c r="FQ264" s="232">
        <f t="shared" si="248"/>
        <v>0</v>
      </c>
      <c r="FR264" s="230">
        <f>SUMIFS(TME_MTD_Dist[Sell_WHS_QTY],TME_MTD_Dist[Dist_Name],master_Daily!$X264,TME_MTD_Dist[Brand],master_Daily!$Y264)/50000
 + SUMIFS(TME_MTD_Dist[Sell_RTL_QTY],TME_MTD_Dist[Dist_Name],master_Daily!$X264,TME_MTD_Dist[Brand],master_Daily!$Y264)/50000</f>
        <v>0</v>
      </c>
      <c r="FS264" s="232">
        <f t="shared" si="207"/>
        <v>0</v>
      </c>
    </row>
    <row r="265" spans="20:175" s="154" customFormat="1" hidden="1" outlineLevel="1">
      <c r="T265" s="155"/>
      <c r="U265" s="156"/>
      <c r="X265" s="226" t="s">
        <v>307</v>
      </c>
      <c r="Y265" s="227" t="s">
        <v>45</v>
      </c>
      <c r="Z265" s="227"/>
      <c r="AA265" s="228">
        <f t="shared" si="285"/>
        <v>0</v>
      </c>
      <c r="AB265" s="229">
        <f t="shared" si="286"/>
        <v>0</v>
      </c>
      <c r="AC265" s="228">
        <v>0</v>
      </c>
      <c r="AD265" s="230">
        <v>0</v>
      </c>
      <c r="AE265" s="230"/>
      <c r="AF265" s="230"/>
      <c r="AG265" s="228"/>
      <c r="AH265" s="230"/>
      <c r="AI265" s="230"/>
      <c r="AJ265" s="230"/>
      <c r="AK265" s="228">
        <f t="shared" si="287"/>
        <v>0</v>
      </c>
      <c r="AL265" s="229">
        <f t="shared" si="288"/>
        <v>0</v>
      </c>
      <c r="AM265" s="228">
        <v>0</v>
      </c>
      <c r="AN265" s="230">
        <v>0</v>
      </c>
      <c r="AO265" s="230"/>
      <c r="AP265" s="230"/>
      <c r="AQ265" s="228"/>
      <c r="AR265" s="230"/>
      <c r="AS265" s="230"/>
      <c r="AT265" s="230"/>
      <c r="AU265" s="228">
        <f t="shared" si="289"/>
        <v>0</v>
      </c>
      <c r="AV265" s="229">
        <f t="shared" si="290"/>
        <v>0</v>
      </c>
      <c r="AW265" s="228">
        <v>0</v>
      </c>
      <c r="AX265" s="230">
        <v>0</v>
      </c>
      <c r="AY265" s="230"/>
      <c r="AZ265" s="230"/>
      <c r="BA265" s="228"/>
      <c r="BB265" s="230"/>
      <c r="BC265" s="230"/>
      <c r="BD265" s="230"/>
      <c r="BE265" s="228">
        <f t="shared" si="291"/>
        <v>0</v>
      </c>
      <c r="BF265" s="229">
        <f t="shared" si="292"/>
        <v>0</v>
      </c>
      <c r="BG265" s="228">
        <v>0</v>
      </c>
      <c r="BH265" s="230">
        <v>0</v>
      </c>
      <c r="BI265" s="230"/>
      <c r="BJ265" s="230"/>
      <c r="BK265" s="228"/>
      <c r="BL265" s="230"/>
      <c r="BM265" s="230"/>
      <c r="BN265" s="230"/>
      <c r="BO265" s="228">
        <f t="shared" si="293"/>
        <v>0</v>
      </c>
      <c r="BP265" s="229">
        <f t="shared" si="294"/>
        <v>0</v>
      </c>
      <c r="BQ265" s="228">
        <v>0</v>
      </c>
      <c r="BR265" s="230">
        <v>0</v>
      </c>
      <c r="BS265" s="230"/>
      <c r="BT265" s="230"/>
      <c r="BU265" s="228"/>
      <c r="BV265" s="230"/>
      <c r="BW265" s="230"/>
      <c r="BX265" s="230"/>
      <c r="BY265" s="228">
        <f t="shared" si="295"/>
        <v>0</v>
      </c>
      <c r="BZ265" s="229">
        <f t="shared" si="296"/>
        <v>0</v>
      </c>
      <c r="CA265" s="228">
        <v>0</v>
      </c>
      <c r="CB265" s="230">
        <v>0</v>
      </c>
      <c r="CC265" s="230"/>
      <c r="CD265" s="230"/>
      <c r="CE265" s="228"/>
      <c r="CF265" s="230"/>
      <c r="CG265" s="230"/>
      <c r="CH265" s="230"/>
      <c r="CI265" s="228">
        <f t="shared" si="297"/>
        <v>0</v>
      </c>
      <c r="CJ265" s="229">
        <f t="shared" si="298"/>
        <v>0</v>
      </c>
      <c r="CK265" s="228"/>
      <c r="CL265" s="230"/>
      <c r="CM265" s="230"/>
      <c r="CN265" s="230"/>
      <c r="CO265" s="228"/>
      <c r="CP265" s="230"/>
      <c r="CQ265" s="230"/>
      <c r="CR265" s="230"/>
      <c r="CS265" s="228">
        <f t="shared" si="299"/>
        <v>0</v>
      </c>
      <c r="CT265" s="229">
        <f t="shared" si="300"/>
        <v>0</v>
      </c>
      <c r="CU265" s="228"/>
      <c r="CV265" s="230"/>
      <c r="CW265" s="230"/>
      <c r="CX265" s="230"/>
      <c r="CY265" s="228"/>
      <c r="CZ265" s="230"/>
      <c r="DA265" s="230"/>
      <c r="DB265" s="230"/>
      <c r="DC265" s="228">
        <f t="shared" si="301"/>
        <v>0</v>
      </c>
      <c r="DD265" s="229">
        <f t="shared" si="302"/>
        <v>0</v>
      </c>
      <c r="DE265" s="228"/>
      <c r="DF265" s="230"/>
      <c r="DG265" s="230"/>
      <c r="DH265" s="230"/>
      <c r="DI265" s="228"/>
      <c r="DJ265" s="230"/>
      <c r="DK265" s="230"/>
      <c r="DL265" s="230"/>
      <c r="DM265" s="228">
        <f t="shared" si="303"/>
        <v>0</v>
      </c>
      <c r="DN265" s="229">
        <f t="shared" si="304"/>
        <v>0</v>
      </c>
      <c r="DO265" s="228"/>
      <c r="DP265" s="230"/>
      <c r="DQ265" s="230"/>
      <c r="DR265" s="230"/>
      <c r="DS265" s="228"/>
      <c r="DT265" s="230"/>
      <c r="DU265" s="230"/>
      <c r="DV265" s="230"/>
      <c r="DW265" s="228">
        <f t="shared" si="305"/>
        <v>0</v>
      </c>
      <c r="DX265" s="229">
        <f t="shared" si="306"/>
        <v>0</v>
      </c>
      <c r="DY265" s="228"/>
      <c r="DZ265" s="230"/>
      <c r="EA265" s="230"/>
      <c r="EB265" s="230"/>
      <c r="EC265" s="228"/>
      <c r="ED265" s="230"/>
      <c r="EE265" s="230"/>
      <c r="EF265" s="230"/>
      <c r="EG265" s="228">
        <f t="shared" si="307"/>
        <v>0</v>
      </c>
      <c r="EH265" s="229">
        <f t="shared" si="308"/>
        <v>0</v>
      </c>
      <c r="EI265" s="228"/>
      <c r="EJ265" s="230"/>
      <c r="EK265" s="230"/>
      <c r="EL265" s="230"/>
      <c r="EM265" s="228"/>
      <c r="EN265" s="230"/>
      <c r="EO265" s="230"/>
      <c r="EP265" s="230"/>
      <c r="EQ265" s="386"/>
      <c r="ER265" s="230">
        <f>SUM(ET265:EX265)</f>
        <v>0</v>
      </c>
      <c r="ES265" s="230">
        <f>IFERROR(SUMIFS(Daily_Vol_yesterday[Order Quantity],Daily_Vol_yesterday[Cust_Cat.cust_channel],master_Daily!X265,Daily_Vol_yesterday[Map_Product.TME_Brand],master_Daily!Y265)/50000,0)</f>
        <v>0</v>
      </c>
      <c r="ET265" s="230"/>
      <c r="EU265" s="230"/>
      <c r="EV265" s="229"/>
      <c r="EW265" s="230"/>
      <c r="EX265" s="230"/>
      <c r="EY265" s="230"/>
      <c r="EZ265" s="230">
        <f>SUM(FA265:FC265)</f>
        <v>0</v>
      </c>
      <c r="FA265" s="230">
        <f>IFERROR(SUM(SUMIFS(Weekly_Vol[Quantity],Weekly_Vol[Cust_Cat.cust_channel],master_Daily!X265,Weekly_Vol[Map_Product.TME_Brand],master_Daily!Y265),SUMIFS(Daily_Vol[Order Quantity],Daily_Vol[Cust_Cat.cust_channel],master_Daily!X265,Daily_Vol[Map_Product.TME_Brand],master_Daily!Y265))/50000,0)</f>
        <v>0</v>
      </c>
      <c r="FB265" s="230"/>
      <c r="FC265" s="230"/>
      <c r="FD265" s="230"/>
      <c r="FE265" s="230"/>
      <c r="FF265" s="230"/>
      <c r="FG265" s="230"/>
      <c r="FH265" s="230">
        <f ca="1">SUM(FI265:FK265)</f>
        <v>0</v>
      </c>
      <c r="FI265" s="230">
        <f t="shared" ca="1" si="314"/>
        <v>0</v>
      </c>
      <c r="FJ265" s="230">
        <f t="shared" ca="1" si="314"/>
        <v>0</v>
      </c>
      <c r="FK265" s="230">
        <f t="shared" ca="1" si="314"/>
        <v>0</v>
      </c>
      <c r="FL265" s="230">
        <f t="shared" ref="FL265:FO266" ca="1" si="316">SUMIFS($AA265:$EP265,$AA$129:$EP$129,INDIRECT(ADDRESS(129,COLUMN())))</f>
        <v>0</v>
      </c>
      <c r="FM265" s="229">
        <f t="shared" ca="1" si="316"/>
        <v>0</v>
      </c>
      <c r="FN265" s="229">
        <f t="shared" ca="1" si="316"/>
        <v>0</v>
      </c>
      <c r="FO265" s="229">
        <f t="shared" ca="1" si="316"/>
        <v>0</v>
      </c>
      <c r="FP265" s="231">
        <f t="shared" ca="1" si="315"/>
        <v>0</v>
      </c>
      <c r="FQ265" s="232">
        <f t="shared" si="248"/>
        <v>0</v>
      </c>
      <c r="FR265" s="230">
        <f>SUMIFS(TME_MTD_Dist[Sell_WHS_QTY],TME_MTD_Dist[Dist_Name],master_Daily!$X265,TME_MTD_Dist[Brand],master_Daily!$Y265)/50000
 + SUMIFS(TME_MTD_Dist[Sell_RTL_QTY],TME_MTD_Dist[Dist_Name],master_Daily!$X265,TME_MTD_Dist[Brand],master_Daily!$Y265)/50000</f>
        <v>0</v>
      </c>
      <c r="FS265" s="232">
        <f t="shared" si="207"/>
        <v>0</v>
      </c>
    </row>
    <row r="266" spans="20:175" s="154" customFormat="1" hidden="1" outlineLevel="1">
      <c r="T266" s="155"/>
      <c r="U266" s="156"/>
      <c r="X266" s="226" t="s">
        <v>307</v>
      </c>
      <c r="Y266" s="227" t="s">
        <v>46</v>
      </c>
      <c r="Z266" s="227"/>
      <c r="AA266" s="228">
        <f t="shared" si="285"/>
        <v>0</v>
      </c>
      <c r="AB266" s="229">
        <f t="shared" si="286"/>
        <v>0</v>
      </c>
      <c r="AC266" s="228">
        <v>0</v>
      </c>
      <c r="AD266" s="230">
        <v>0</v>
      </c>
      <c r="AE266" s="230"/>
      <c r="AF266" s="230"/>
      <c r="AG266" s="228"/>
      <c r="AH266" s="230"/>
      <c r="AI266" s="230"/>
      <c r="AJ266" s="230"/>
      <c r="AK266" s="228">
        <f t="shared" si="287"/>
        <v>0</v>
      </c>
      <c r="AL266" s="229">
        <f t="shared" si="288"/>
        <v>0</v>
      </c>
      <c r="AM266" s="228">
        <v>0</v>
      </c>
      <c r="AN266" s="230">
        <v>0</v>
      </c>
      <c r="AO266" s="230"/>
      <c r="AP266" s="230"/>
      <c r="AQ266" s="228"/>
      <c r="AR266" s="230"/>
      <c r="AS266" s="230"/>
      <c r="AT266" s="230"/>
      <c r="AU266" s="228">
        <f t="shared" si="289"/>
        <v>0</v>
      </c>
      <c r="AV266" s="229">
        <f t="shared" si="290"/>
        <v>0</v>
      </c>
      <c r="AW266" s="228">
        <v>0</v>
      </c>
      <c r="AX266" s="230">
        <v>0</v>
      </c>
      <c r="AY266" s="230"/>
      <c r="AZ266" s="230"/>
      <c r="BA266" s="228"/>
      <c r="BB266" s="230"/>
      <c r="BC266" s="230"/>
      <c r="BD266" s="230"/>
      <c r="BE266" s="228">
        <f t="shared" si="291"/>
        <v>0</v>
      </c>
      <c r="BF266" s="229">
        <f t="shared" si="292"/>
        <v>0</v>
      </c>
      <c r="BG266" s="228">
        <v>0</v>
      </c>
      <c r="BH266" s="230">
        <v>0</v>
      </c>
      <c r="BI266" s="230"/>
      <c r="BJ266" s="230"/>
      <c r="BK266" s="228"/>
      <c r="BL266" s="230"/>
      <c r="BM266" s="230"/>
      <c r="BN266" s="230"/>
      <c r="BO266" s="228">
        <f t="shared" si="293"/>
        <v>0</v>
      </c>
      <c r="BP266" s="229">
        <f t="shared" si="294"/>
        <v>0</v>
      </c>
      <c r="BQ266" s="228">
        <v>0</v>
      </c>
      <c r="BR266" s="230">
        <v>0</v>
      </c>
      <c r="BS266" s="230"/>
      <c r="BT266" s="230"/>
      <c r="BU266" s="228"/>
      <c r="BV266" s="230"/>
      <c r="BW266" s="230"/>
      <c r="BX266" s="230"/>
      <c r="BY266" s="228">
        <f t="shared" si="295"/>
        <v>0</v>
      </c>
      <c r="BZ266" s="229">
        <f t="shared" si="296"/>
        <v>0</v>
      </c>
      <c r="CA266" s="228">
        <v>0</v>
      </c>
      <c r="CB266" s="230">
        <v>0</v>
      </c>
      <c r="CC266" s="230"/>
      <c r="CD266" s="230"/>
      <c r="CE266" s="228"/>
      <c r="CF266" s="230"/>
      <c r="CG266" s="230"/>
      <c r="CH266" s="230"/>
      <c r="CI266" s="228">
        <f t="shared" si="297"/>
        <v>0</v>
      </c>
      <c r="CJ266" s="229">
        <f t="shared" si="298"/>
        <v>0</v>
      </c>
      <c r="CK266" s="228"/>
      <c r="CL266" s="230"/>
      <c r="CM266" s="230"/>
      <c r="CN266" s="230"/>
      <c r="CO266" s="228"/>
      <c r="CP266" s="230"/>
      <c r="CQ266" s="230"/>
      <c r="CR266" s="230"/>
      <c r="CS266" s="228">
        <f t="shared" si="299"/>
        <v>0</v>
      </c>
      <c r="CT266" s="229">
        <f t="shared" si="300"/>
        <v>0</v>
      </c>
      <c r="CU266" s="228"/>
      <c r="CV266" s="230"/>
      <c r="CW266" s="230"/>
      <c r="CX266" s="230"/>
      <c r="CY266" s="228"/>
      <c r="CZ266" s="230"/>
      <c r="DA266" s="230"/>
      <c r="DB266" s="230"/>
      <c r="DC266" s="228">
        <f t="shared" si="301"/>
        <v>0</v>
      </c>
      <c r="DD266" s="229">
        <f t="shared" si="302"/>
        <v>0</v>
      </c>
      <c r="DE266" s="228"/>
      <c r="DF266" s="230"/>
      <c r="DG266" s="230"/>
      <c r="DH266" s="230"/>
      <c r="DI266" s="228"/>
      <c r="DJ266" s="230"/>
      <c r="DK266" s="230"/>
      <c r="DL266" s="230"/>
      <c r="DM266" s="228">
        <f t="shared" si="303"/>
        <v>0</v>
      </c>
      <c r="DN266" s="229">
        <f t="shared" si="304"/>
        <v>0</v>
      </c>
      <c r="DO266" s="228"/>
      <c r="DP266" s="230"/>
      <c r="DQ266" s="230"/>
      <c r="DR266" s="230"/>
      <c r="DS266" s="228"/>
      <c r="DT266" s="230"/>
      <c r="DU266" s="230"/>
      <c r="DV266" s="230"/>
      <c r="DW266" s="228">
        <f t="shared" si="305"/>
        <v>0</v>
      </c>
      <c r="DX266" s="229">
        <f t="shared" si="306"/>
        <v>0</v>
      </c>
      <c r="DY266" s="228"/>
      <c r="DZ266" s="230"/>
      <c r="EA266" s="230"/>
      <c r="EB266" s="230"/>
      <c r="EC266" s="228"/>
      <c r="ED266" s="230"/>
      <c r="EE266" s="230"/>
      <c r="EF266" s="230"/>
      <c r="EG266" s="228">
        <f t="shared" si="307"/>
        <v>0</v>
      </c>
      <c r="EH266" s="229">
        <f t="shared" si="308"/>
        <v>0</v>
      </c>
      <c r="EI266" s="228"/>
      <c r="EJ266" s="230"/>
      <c r="EK266" s="230"/>
      <c r="EL266" s="230"/>
      <c r="EM266" s="228"/>
      <c r="EN266" s="230"/>
      <c r="EO266" s="230"/>
      <c r="EP266" s="230"/>
      <c r="EQ266" s="386"/>
      <c r="ER266" s="230">
        <f>SUM(ET266:EX266)</f>
        <v>0</v>
      </c>
      <c r="ES266" s="230">
        <f>IFERROR(SUMIFS(Daily_Vol_yesterday[Order Quantity],Daily_Vol_yesterday[Cust_Cat.cust_channel],master_Daily!X266,Daily_Vol_yesterday[Map_Product.TME_Brand],master_Daily!Y266)/50000,0)</f>
        <v>0</v>
      </c>
      <c r="ET266" s="230"/>
      <c r="EU266" s="230"/>
      <c r="EV266" s="229"/>
      <c r="EW266" s="230"/>
      <c r="EX266" s="230"/>
      <c r="EY266" s="230"/>
      <c r="EZ266" s="230">
        <f>SUM(FA266:FC266)</f>
        <v>0</v>
      </c>
      <c r="FA266" s="230">
        <f>IFERROR(SUM(SUMIFS(Weekly_Vol[Quantity],Weekly_Vol[Cust_Cat.cust_channel],master_Daily!X266,Weekly_Vol[Map_Product.TME_Brand],master_Daily!Y266),SUMIFS(Daily_Vol[Order Quantity],Daily_Vol[Cust_Cat.cust_channel],master_Daily!X266,Daily_Vol[Map_Product.TME_Brand],master_Daily!Y266))/50000,0)</f>
        <v>0</v>
      </c>
      <c r="FB266" s="230"/>
      <c r="FC266" s="230"/>
      <c r="FD266" s="230"/>
      <c r="FE266" s="230"/>
      <c r="FF266" s="230"/>
      <c r="FG266" s="230"/>
      <c r="FH266" s="230">
        <f ca="1">SUM(FI266:FK266)</f>
        <v>0</v>
      </c>
      <c r="FI266" s="230">
        <f t="shared" ca="1" si="314"/>
        <v>0</v>
      </c>
      <c r="FJ266" s="230">
        <f t="shared" ca="1" si="314"/>
        <v>0</v>
      </c>
      <c r="FK266" s="230">
        <f t="shared" ca="1" si="314"/>
        <v>0</v>
      </c>
      <c r="FL266" s="230">
        <f t="shared" ca="1" si="316"/>
        <v>0</v>
      </c>
      <c r="FM266" s="229">
        <f t="shared" ca="1" si="316"/>
        <v>0</v>
      </c>
      <c r="FN266" s="229">
        <f t="shared" ca="1" si="316"/>
        <v>0</v>
      </c>
      <c r="FO266" s="229">
        <f t="shared" ca="1" si="316"/>
        <v>0</v>
      </c>
      <c r="FP266" s="231">
        <f t="shared" ca="1" si="315"/>
        <v>0</v>
      </c>
      <c r="FQ266" s="232">
        <f t="shared" si="248"/>
        <v>0</v>
      </c>
      <c r="FR266" s="230">
        <f>SUMIFS(TME_MTD_Dist[Sell_WHS_QTY],TME_MTD_Dist[Dist_Name],master_Daily!$X266,TME_MTD_Dist[Brand],master_Daily!$Y266)/50000
 + SUMIFS(TME_MTD_Dist[Sell_RTL_QTY],TME_MTD_Dist[Dist_Name],master_Daily!$X266,TME_MTD_Dist[Brand],master_Daily!$Y266)/50000</f>
        <v>0</v>
      </c>
      <c r="FS266" s="232">
        <f t="shared" si="207"/>
        <v>0</v>
      </c>
    </row>
    <row r="267" spans="20:175" s="154" customFormat="1" hidden="1" outlineLevel="1">
      <c r="T267" s="155"/>
      <c r="U267" s="156"/>
      <c r="X267" s="226" t="s">
        <v>307</v>
      </c>
      <c r="Y267" s="227" t="s">
        <v>263</v>
      </c>
      <c r="Z267" s="227"/>
      <c r="AA267" s="228">
        <f t="shared" si="285"/>
        <v>0</v>
      </c>
      <c r="AB267" s="229">
        <f t="shared" si="286"/>
        <v>0</v>
      </c>
      <c r="AC267" s="228">
        <v>0</v>
      </c>
      <c r="AD267" s="230">
        <v>0</v>
      </c>
      <c r="AE267" s="230"/>
      <c r="AF267" s="230"/>
      <c r="AG267" s="228"/>
      <c r="AH267" s="230"/>
      <c r="AI267" s="230"/>
      <c r="AJ267" s="230"/>
      <c r="AK267" s="228">
        <f t="shared" si="287"/>
        <v>0</v>
      </c>
      <c r="AL267" s="229">
        <f t="shared" si="288"/>
        <v>0</v>
      </c>
      <c r="AM267" s="228">
        <v>0</v>
      </c>
      <c r="AN267" s="230">
        <v>0</v>
      </c>
      <c r="AO267" s="230"/>
      <c r="AP267" s="230"/>
      <c r="AQ267" s="228"/>
      <c r="AR267" s="230"/>
      <c r="AS267" s="230"/>
      <c r="AT267" s="230"/>
      <c r="AU267" s="228">
        <f t="shared" si="289"/>
        <v>0</v>
      </c>
      <c r="AV267" s="229">
        <f t="shared" si="290"/>
        <v>0</v>
      </c>
      <c r="AW267" s="228">
        <v>0</v>
      </c>
      <c r="AX267" s="230">
        <v>0</v>
      </c>
      <c r="AY267" s="230"/>
      <c r="AZ267" s="230"/>
      <c r="BA267" s="228"/>
      <c r="BB267" s="230"/>
      <c r="BC267" s="230"/>
      <c r="BD267" s="230"/>
      <c r="BE267" s="228">
        <f t="shared" si="291"/>
        <v>0</v>
      </c>
      <c r="BF267" s="229">
        <f t="shared" si="292"/>
        <v>0</v>
      </c>
      <c r="BG267" s="228">
        <v>0</v>
      </c>
      <c r="BH267" s="230">
        <v>0</v>
      </c>
      <c r="BI267" s="230"/>
      <c r="BJ267" s="230"/>
      <c r="BK267" s="228"/>
      <c r="BL267" s="230"/>
      <c r="BM267" s="230"/>
      <c r="BN267" s="230"/>
      <c r="BO267" s="228">
        <f t="shared" si="293"/>
        <v>0</v>
      </c>
      <c r="BP267" s="229">
        <f t="shared" si="294"/>
        <v>0</v>
      </c>
      <c r="BQ267" s="228">
        <v>0</v>
      </c>
      <c r="BR267" s="230">
        <v>0</v>
      </c>
      <c r="BS267" s="230"/>
      <c r="BT267" s="230"/>
      <c r="BU267" s="228"/>
      <c r="BV267" s="230"/>
      <c r="BW267" s="230"/>
      <c r="BX267" s="230"/>
      <c r="BY267" s="228">
        <f t="shared" si="295"/>
        <v>0</v>
      </c>
      <c r="BZ267" s="229">
        <f t="shared" si="296"/>
        <v>0</v>
      </c>
      <c r="CA267" s="228">
        <v>0</v>
      </c>
      <c r="CB267" s="230">
        <v>0</v>
      </c>
      <c r="CC267" s="230"/>
      <c r="CD267" s="230"/>
      <c r="CE267" s="228"/>
      <c r="CF267" s="230"/>
      <c r="CG267" s="230"/>
      <c r="CH267" s="230"/>
      <c r="CI267" s="228">
        <f t="shared" si="297"/>
        <v>0</v>
      </c>
      <c r="CJ267" s="229">
        <f t="shared" si="298"/>
        <v>0</v>
      </c>
      <c r="CK267" s="228"/>
      <c r="CL267" s="230"/>
      <c r="CM267" s="230"/>
      <c r="CN267" s="230"/>
      <c r="CO267" s="228"/>
      <c r="CP267" s="230"/>
      <c r="CQ267" s="230"/>
      <c r="CR267" s="230"/>
      <c r="CS267" s="228">
        <f t="shared" si="299"/>
        <v>0</v>
      </c>
      <c r="CT267" s="229">
        <f t="shared" si="300"/>
        <v>0</v>
      </c>
      <c r="CU267" s="228"/>
      <c r="CV267" s="230"/>
      <c r="CW267" s="230"/>
      <c r="CX267" s="230"/>
      <c r="CY267" s="228"/>
      <c r="CZ267" s="230"/>
      <c r="DA267" s="230"/>
      <c r="DB267" s="230"/>
      <c r="DC267" s="228">
        <f t="shared" si="301"/>
        <v>0</v>
      </c>
      <c r="DD267" s="229">
        <f t="shared" si="302"/>
        <v>0</v>
      </c>
      <c r="DE267" s="228"/>
      <c r="DF267" s="230"/>
      <c r="DG267" s="230"/>
      <c r="DH267" s="230"/>
      <c r="DI267" s="228"/>
      <c r="DJ267" s="230"/>
      <c r="DK267" s="230"/>
      <c r="DL267" s="230"/>
      <c r="DM267" s="228">
        <f t="shared" si="303"/>
        <v>0</v>
      </c>
      <c r="DN267" s="229">
        <f t="shared" si="304"/>
        <v>0</v>
      </c>
      <c r="DO267" s="228"/>
      <c r="DP267" s="230"/>
      <c r="DQ267" s="230"/>
      <c r="DR267" s="230"/>
      <c r="DS267" s="228"/>
      <c r="DT267" s="230"/>
      <c r="DU267" s="230"/>
      <c r="DV267" s="230"/>
      <c r="DW267" s="228">
        <f t="shared" si="305"/>
        <v>0</v>
      </c>
      <c r="DX267" s="229">
        <f t="shared" si="306"/>
        <v>0</v>
      </c>
      <c r="DY267" s="228"/>
      <c r="DZ267" s="230"/>
      <c r="EA267" s="230"/>
      <c r="EB267" s="230"/>
      <c r="EC267" s="228"/>
      <c r="ED267" s="230"/>
      <c r="EE267" s="230"/>
      <c r="EF267" s="230"/>
      <c r="EG267" s="228">
        <f t="shared" si="307"/>
        <v>0</v>
      </c>
      <c r="EH267" s="229">
        <f t="shared" si="308"/>
        <v>0</v>
      </c>
      <c r="EI267" s="228"/>
      <c r="EJ267" s="230"/>
      <c r="EK267" s="230"/>
      <c r="EL267" s="230"/>
      <c r="EM267" s="228"/>
      <c r="EN267" s="230"/>
      <c r="EO267" s="230"/>
      <c r="EP267" s="230"/>
      <c r="EQ267" s="386"/>
      <c r="ER267" s="230">
        <f>SUM(ET267:EX267)</f>
        <v>0</v>
      </c>
      <c r="ES267" s="230">
        <f>IFERROR(SUMIFS(Daily_Vol_yesterday[Order Quantity],Daily_Vol_yesterday[Cust_Cat.cust_channel],master_Daily!X267,Daily_Vol_yesterday[Map_Product.TME_Brand],"CM")/50000,0)</f>
        <v>0</v>
      </c>
      <c r="ET267" s="230"/>
      <c r="EU267" s="230"/>
      <c r="EV267" s="229"/>
      <c r="EW267" s="230"/>
      <c r="EX267" s="230"/>
      <c r="EY267" s="230"/>
      <c r="EZ267" s="230">
        <f>SUM(FA267:FC267)</f>
        <v>0</v>
      </c>
      <c r="FA267" s="230">
        <f>IFERROR(SUM(SUMIFS(Weekly_Vol[Quantity],Weekly_Vol[Cust_Cat.cust_channel],master_Daily!X267,Weekly_Vol[Map_Product.TME_Brand],"CM"),SUMIFS(Daily_Vol[Order Quantity],Daily_Vol[Cust_Cat.cust_channel],master_Daily!X267,Daily_Vol[Map_Product.TME_Brand],"CM"))/50000,0)</f>
        <v>0</v>
      </c>
      <c r="FB267" s="230"/>
      <c r="FC267" s="230"/>
      <c r="FD267" s="230"/>
      <c r="FE267" s="230"/>
      <c r="FF267" s="230"/>
      <c r="FG267" s="230"/>
      <c r="FH267" s="230">
        <f ca="1">SUM(FI267:FK267)</f>
        <v>0</v>
      </c>
      <c r="FI267" s="230">
        <f t="shared" ca="1" si="314"/>
        <v>0</v>
      </c>
      <c r="FJ267" s="230">
        <f t="shared" ca="1" si="314"/>
        <v>0</v>
      </c>
      <c r="FK267" s="230">
        <f t="shared" ca="1" si="314"/>
        <v>0</v>
      </c>
      <c r="FL267" s="230">
        <f ca="1">SUMIFS($AA267:$EP267,$AA$129:$EP$129,INDIRECT(ADDRESS(129,COLUMN())))</f>
        <v>0</v>
      </c>
      <c r="FM267" s="229">
        <f t="shared" ref="FM267:FO268" si="317">SUMIFS(AF267:EU267,$AA$129:$EP$129,$FH$129)</f>
        <v>0</v>
      </c>
      <c r="FN267" s="229">
        <f t="shared" si="317"/>
        <v>0</v>
      </c>
      <c r="FO267" s="229">
        <f t="shared" si="317"/>
        <v>0</v>
      </c>
      <c r="FP267" s="231">
        <f t="shared" ca="1" si="315"/>
        <v>0</v>
      </c>
      <c r="FQ267" s="232">
        <f t="shared" si="248"/>
        <v>0</v>
      </c>
      <c r="FR267" s="230">
        <f>SUMIFS(TME_MTD_Dist[Sell_WHS_QTY],TME_MTD_Dist[Dist_Name],master_Daily!$X267,TME_MTD_Dist[Brand],master_Daily!$Y267)/50000
 + SUMIFS(TME_MTD_Dist[Sell_RTL_QTY],TME_MTD_Dist[Dist_Name],master_Daily!$X267,TME_MTD_Dist[Brand],master_Daily!$Y267)/50000</f>
        <v>0</v>
      </c>
      <c r="FS267" s="232">
        <f t="shared" si="207"/>
        <v>0</v>
      </c>
    </row>
    <row r="268" spans="20:175" s="154" customFormat="1" hidden="1" outlineLevel="1">
      <c r="T268" s="155"/>
      <c r="U268" s="156"/>
      <c r="X268" s="226" t="s">
        <v>307</v>
      </c>
      <c r="Y268" s="227" t="s">
        <v>264</v>
      </c>
      <c r="Z268" s="227"/>
      <c r="AA268" s="228">
        <f t="shared" si="285"/>
        <v>0</v>
      </c>
      <c r="AB268" s="229">
        <f t="shared" si="286"/>
        <v>0</v>
      </c>
      <c r="AC268" s="228">
        <v>0</v>
      </c>
      <c r="AD268" s="230">
        <v>0</v>
      </c>
      <c r="AE268" s="230"/>
      <c r="AF268" s="230"/>
      <c r="AG268" s="228"/>
      <c r="AH268" s="230"/>
      <c r="AI268" s="230"/>
      <c r="AJ268" s="230"/>
      <c r="AK268" s="228">
        <f t="shared" si="287"/>
        <v>0</v>
      </c>
      <c r="AL268" s="229">
        <f t="shared" si="288"/>
        <v>0</v>
      </c>
      <c r="AM268" s="228">
        <v>0</v>
      </c>
      <c r="AN268" s="230">
        <v>0</v>
      </c>
      <c r="AO268" s="230"/>
      <c r="AP268" s="230"/>
      <c r="AQ268" s="228"/>
      <c r="AR268" s="230"/>
      <c r="AS268" s="230"/>
      <c r="AT268" s="230"/>
      <c r="AU268" s="228">
        <f t="shared" si="289"/>
        <v>0</v>
      </c>
      <c r="AV268" s="229">
        <f t="shared" si="290"/>
        <v>0</v>
      </c>
      <c r="AW268" s="228">
        <v>0</v>
      </c>
      <c r="AX268" s="230">
        <v>0</v>
      </c>
      <c r="AY268" s="230"/>
      <c r="AZ268" s="230"/>
      <c r="BA268" s="228"/>
      <c r="BB268" s="230"/>
      <c r="BC268" s="230"/>
      <c r="BD268" s="230"/>
      <c r="BE268" s="228">
        <f t="shared" si="291"/>
        <v>0</v>
      </c>
      <c r="BF268" s="229">
        <f t="shared" si="292"/>
        <v>0</v>
      </c>
      <c r="BG268" s="228">
        <v>0</v>
      </c>
      <c r="BH268" s="230">
        <v>0</v>
      </c>
      <c r="BI268" s="230"/>
      <c r="BJ268" s="230"/>
      <c r="BK268" s="228"/>
      <c r="BL268" s="230"/>
      <c r="BM268" s="230"/>
      <c r="BN268" s="230"/>
      <c r="BO268" s="228">
        <f t="shared" si="293"/>
        <v>0</v>
      </c>
      <c r="BP268" s="229">
        <f t="shared" si="294"/>
        <v>0</v>
      </c>
      <c r="BQ268" s="228">
        <v>0</v>
      </c>
      <c r="BR268" s="230">
        <v>0</v>
      </c>
      <c r="BS268" s="230"/>
      <c r="BT268" s="230"/>
      <c r="BU268" s="228"/>
      <c r="BV268" s="230"/>
      <c r="BW268" s="230"/>
      <c r="BX268" s="230"/>
      <c r="BY268" s="228">
        <f t="shared" si="295"/>
        <v>0</v>
      </c>
      <c r="BZ268" s="229">
        <f t="shared" si="296"/>
        <v>0</v>
      </c>
      <c r="CA268" s="228">
        <v>0</v>
      </c>
      <c r="CB268" s="230">
        <v>0</v>
      </c>
      <c r="CC268" s="230"/>
      <c r="CD268" s="230"/>
      <c r="CE268" s="228"/>
      <c r="CF268" s="230"/>
      <c r="CG268" s="230"/>
      <c r="CH268" s="230"/>
      <c r="CI268" s="228">
        <f t="shared" si="297"/>
        <v>0</v>
      </c>
      <c r="CJ268" s="229">
        <f t="shared" si="298"/>
        <v>0</v>
      </c>
      <c r="CK268" s="228"/>
      <c r="CL268" s="230"/>
      <c r="CM268" s="230"/>
      <c r="CN268" s="230"/>
      <c r="CO268" s="228"/>
      <c r="CP268" s="230"/>
      <c r="CQ268" s="230"/>
      <c r="CR268" s="230"/>
      <c r="CS268" s="228">
        <f t="shared" si="299"/>
        <v>0</v>
      </c>
      <c r="CT268" s="229">
        <f t="shared" si="300"/>
        <v>0</v>
      </c>
      <c r="CU268" s="228"/>
      <c r="CV268" s="230"/>
      <c r="CW268" s="230"/>
      <c r="CX268" s="230"/>
      <c r="CY268" s="228"/>
      <c r="CZ268" s="230"/>
      <c r="DA268" s="230"/>
      <c r="DB268" s="230"/>
      <c r="DC268" s="228">
        <f t="shared" si="301"/>
        <v>0</v>
      </c>
      <c r="DD268" s="229">
        <f t="shared" si="302"/>
        <v>0</v>
      </c>
      <c r="DE268" s="228"/>
      <c r="DF268" s="230"/>
      <c r="DG268" s="230"/>
      <c r="DH268" s="230"/>
      <c r="DI268" s="228"/>
      <c r="DJ268" s="230"/>
      <c r="DK268" s="230"/>
      <c r="DL268" s="230"/>
      <c r="DM268" s="228">
        <f t="shared" si="303"/>
        <v>0</v>
      </c>
      <c r="DN268" s="229">
        <f t="shared" si="304"/>
        <v>0</v>
      </c>
      <c r="DO268" s="228"/>
      <c r="DP268" s="230"/>
      <c r="DQ268" s="230"/>
      <c r="DR268" s="230"/>
      <c r="DS268" s="228"/>
      <c r="DT268" s="230"/>
      <c r="DU268" s="230"/>
      <c r="DV268" s="230"/>
      <c r="DW268" s="228">
        <f t="shared" si="305"/>
        <v>0</v>
      </c>
      <c r="DX268" s="229">
        <f t="shared" si="306"/>
        <v>0</v>
      </c>
      <c r="DY268" s="228"/>
      <c r="DZ268" s="230"/>
      <c r="EA268" s="230"/>
      <c r="EB268" s="230"/>
      <c r="EC268" s="228"/>
      <c r="ED268" s="230"/>
      <c r="EE268" s="230"/>
      <c r="EF268" s="230"/>
      <c r="EG268" s="228">
        <f t="shared" si="307"/>
        <v>0</v>
      </c>
      <c r="EH268" s="229">
        <f t="shared" si="308"/>
        <v>0</v>
      </c>
      <c r="EI268" s="228"/>
      <c r="EJ268" s="230"/>
      <c r="EK268" s="230"/>
      <c r="EL268" s="230"/>
      <c r="EM268" s="228"/>
      <c r="EN268" s="230"/>
      <c r="EO268" s="230"/>
      <c r="EP268" s="230"/>
      <c r="EQ268" s="386"/>
      <c r="ER268" s="230">
        <f>SUM(ET268:EX268)</f>
        <v>0</v>
      </c>
      <c r="ES268" s="230">
        <f>IFERROR(SUMIFS(Daily_Vol_yesterday[Order Quantity],Daily_Vol_yesterday[Cust_Cat.cust_channel],master_Daily!X268,Daily_Vol_yesterday[Map_Product.TME_Brand],"CMHD")/50000,0)</f>
        <v>0</v>
      </c>
      <c r="ET268" s="230"/>
      <c r="EU268" s="230"/>
      <c r="EV268" s="229"/>
      <c r="EW268" s="230"/>
      <c r="EX268" s="230"/>
      <c r="EY268" s="230"/>
      <c r="EZ268" s="230">
        <f>SUM(FA268:FC268)</f>
        <v>0</v>
      </c>
      <c r="FA268" s="230">
        <f>IFERROR(SUM(SUMIFS(Weekly_Vol[Quantity],Weekly_Vol[Cust_Cat.cust_channel],master_Daily!X268,Weekly_Vol[Map_Product.TME_Brand],"CMHD"),SUMIFS(Daily_Vol[Order Quantity],Daily_Vol[Cust_Cat.cust_channel],master_Daily!X268,Daily_Vol[Map_Product.TME_Brand],"CMHD"))/50000,0)</f>
        <v>0</v>
      </c>
      <c r="FB268" s="230"/>
      <c r="FC268" s="230"/>
      <c r="FD268" s="230"/>
      <c r="FE268" s="230"/>
      <c r="FF268" s="230"/>
      <c r="FG268" s="230"/>
      <c r="FH268" s="230">
        <f ca="1">SUM(FI268:FK268)</f>
        <v>0</v>
      </c>
      <c r="FI268" s="230">
        <f t="shared" ca="1" si="314"/>
        <v>0</v>
      </c>
      <c r="FJ268" s="230">
        <f t="shared" ca="1" si="314"/>
        <v>0</v>
      </c>
      <c r="FK268" s="230">
        <f t="shared" ca="1" si="314"/>
        <v>0</v>
      </c>
      <c r="FL268" s="230">
        <f ca="1">SUMIFS($AA268:$EP268,$AA$129:$EP$129,INDIRECT(ADDRESS(129,COLUMN())))</f>
        <v>0</v>
      </c>
      <c r="FM268" s="229">
        <f t="shared" si="317"/>
        <v>0</v>
      </c>
      <c r="FN268" s="229">
        <f t="shared" si="317"/>
        <v>0</v>
      </c>
      <c r="FO268" s="229">
        <f t="shared" si="317"/>
        <v>0</v>
      </c>
      <c r="FP268" s="231">
        <f t="shared" ca="1" si="315"/>
        <v>0</v>
      </c>
      <c r="FQ268" s="232">
        <f t="shared" si="248"/>
        <v>0</v>
      </c>
      <c r="FR268" s="230">
        <f>SUMIFS(TME_MTD_Dist[Sell_WHS_QTY],TME_MTD_Dist[Dist_Name],master_Daily!$X268,TME_MTD_Dist[Brand],master_Daily!$Y268)/50000
 + SUMIFS(TME_MTD_Dist[Sell_RTL_QTY],TME_MTD_Dist[Dist_Name],master_Daily!$X268,TME_MTD_Dist[Brand],master_Daily!$Y268)/50000</f>
        <v>0</v>
      </c>
      <c r="FS268" s="232">
        <f t="shared" si="207"/>
        <v>0</v>
      </c>
    </row>
    <row r="269" spans="20:175" s="154" customFormat="1" hidden="1" collapsed="1">
      <c r="T269" s="155"/>
      <c r="U269" s="156"/>
      <c r="X269" s="233" t="s">
        <v>308</v>
      </c>
      <c r="Y269" s="234"/>
      <c r="Z269" s="234"/>
      <c r="AA269" s="235">
        <f t="shared" si="285"/>
        <v>0</v>
      </c>
      <c r="AB269" s="235">
        <f t="shared" si="286"/>
        <v>0</v>
      </c>
      <c r="AC269" s="235">
        <v>0</v>
      </c>
      <c r="AD269" s="235">
        <v>0</v>
      </c>
      <c r="AE269" s="235">
        <v>0</v>
      </c>
      <c r="AF269" s="235">
        <v>0</v>
      </c>
      <c r="AG269" s="235">
        <v>0</v>
      </c>
      <c r="AH269" s="235">
        <v>0</v>
      </c>
      <c r="AI269" s="235">
        <v>0</v>
      </c>
      <c r="AJ269" s="235">
        <v>0</v>
      </c>
      <c r="AK269" s="235">
        <f t="shared" si="287"/>
        <v>0</v>
      </c>
      <c r="AL269" s="235">
        <f t="shared" si="288"/>
        <v>0</v>
      </c>
      <c r="AM269" s="235">
        <v>0</v>
      </c>
      <c r="AN269" s="235">
        <v>0</v>
      </c>
      <c r="AO269" s="235">
        <v>0</v>
      </c>
      <c r="AP269" s="235">
        <v>0</v>
      </c>
      <c r="AQ269" s="235">
        <v>0</v>
      </c>
      <c r="AR269" s="235">
        <v>0</v>
      </c>
      <c r="AS269" s="235">
        <v>0</v>
      </c>
      <c r="AT269" s="235">
        <v>0</v>
      </c>
      <c r="AU269" s="235">
        <f t="shared" si="289"/>
        <v>0</v>
      </c>
      <c r="AV269" s="235">
        <f t="shared" si="290"/>
        <v>0</v>
      </c>
      <c r="AW269" s="235">
        <v>0</v>
      </c>
      <c r="AX269" s="235">
        <v>0</v>
      </c>
      <c r="AY269" s="235">
        <v>0</v>
      </c>
      <c r="AZ269" s="235">
        <v>0</v>
      </c>
      <c r="BA269" s="235">
        <v>0</v>
      </c>
      <c r="BB269" s="235">
        <v>0</v>
      </c>
      <c r="BC269" s="235">
        <v>0</v>
      </c>
      <c r="BD269" s="235">
        <v>0</v>
      </c>
      <c r="BE269" s="235">
        <f t="shared" si="291"/>
        <v>0</v>
      </c>
      <c r="BF269" s="235">
        <f t="shared" si="292"/>
        <v>0</v>
      </c>
      <c r="BG269" s="235">
        <v>0</v>
      </c>
      <c r="BH269" s="235">
        <v>0</v>
      </c>
      <c r="BI269" s="235">
        <v>0</v>
      </c>
      <c r="BJ269" s="235">
        <v>0</v>
      </c>
      <c r="BK269" s="235">
        <v>0</v>
      </c>
      <c r="BL269" s="235">
        <v>0</v>
      </c>
      <c r="BM269" s="235">
        <v>0</v>
      </c>
      <c r="BN269" s="235">
        <v>0</v>
      </c>
      <c r="BO269" s="235">
        <f t="shared" si="293"/>
        <v>0</v>
      </c>
      <c r="BP269" s="235">
        <f t="shared" si="294"/>
        <v>0</v>
      </c>
      <c r="BQ269" s="235">
        <v>0</v>
      </c>
      <c r="BR269" s="235">
        <v>0</v>
      </c>
      <c r="BS269" s="235">
        <v>0</v>
      </c>
      <c r="BT269" s="235">
        <v>0</v>
      </c>
      <c r="BU269" s="235">
        <v>0</v>
      </c>
      <c r="BV269" s="235">
        <v>0</v>
      </c>
      <c r="BW269" s="235">
        <v>0</v>
      </c>
      <c r="BX269" s="235">
        <v>0</v>
      </c>
      <c r="BY269" s="235">
        <f t="shared" si="295"/>
        <v>0</v>
      </c>
      <c r="BZ269" s="235">
        <f t="shared" si="296"/>
        <v>0</v>
      </c>
      <c r="CA269" s="235">
        <v>0</v>
      </c>
      <c r="CB269" s="235">
        <v>0</v>
      </c>
      <c r="CC269" s="235">
        <v>0</v>
      </c>
      <c r="CD269" s="235">
        <v>0</v>
      </c>
      <c r="CE269" s="235">
        <v>0</v>
      </c>
      <c r="CF269" s="235">
        <v>0</v>
      </c>
      <c r="CG269" s="235">
        <v>0</v>
      </c>
      <c r="CH269" s="235">
        <v>0</v>
      </c>
      <c r="CI269" s="235">
        <f t="shared" si="297"/>
        <v>0</v>
      </c>
      <c r="CJ269" s="235">
        <f t="shared" si="298"/>
        <v>0</v>
      </c>
      <c r="CK269" s="235"/>
      <c r="CL269" s="235"/>
      <c r="CM269" s="235"/>
      <c r="CN269" s="235"/>
      <c r="CO269" s="235"/>
      <c r="CP269" s="235">
        <v>0</v>
      </c>
      <c r="CQ269" s="235">
        <v>0</v>
      </c>
      <c r="CR269" s="235">
        <v>0</v>
      </c>
      <c r="CS269" s="235">
        <f t="shared" si="299"/>
        <v>0</v>
      </c>
      <c r="CT269" s="235">
        <f t="shared" si="300"/>
        <v>0</v>
      </c>
      <c r="CU269" s="235"/>
      <c r="CV269" s="235"/>
      <c r="CW269" s="235"/>
      <c r="CX269" s="235"/>
      <c r="CY269" s="235"/>
      <c r="CZ269" s="235">
        <v>0</v>
      </c>
      <c r="DA269" s="235">
        <v>0</v>
      </c>
      <c r="DB269" s="235">
        <v>0</v>
      </c>
      <c r="DC269" s="235">
        <f t="shared" si="301"/>
        <v>0</v>
      </c>
      <c r="DD269" s="235">
        <f t="shared" si="302"/>
        <v>0</v>
      </c>
      <c r="DE269" s="235"/>
      <c r="DF269" s="235"/>
      <c r="DG269" s="235"/>
      <c r="DH269" s="235"/>
      <c r="DI269" s="235"/>
      <c r="DJ269" s="235">
        <v>0</v>
      </c>
      <c r="DK269" s="235">
        <v>0</v>
      </c>
      <c r="DL269" s="235">
        <v>0</v>
      </c>
      <c r="DM269" s="235">
        <f t="shared" si="303"/>
        <v>0</v>
      </c>
      <c r="DN269" s="235">
        <f t="shared" si="304"/>
        <v>0</v>
      </c>
      <c r="DO269" s="235"/>
      <c r="DP269" s="235"/>
      <c r="DQ269" s="235"/>
      <c r="DR269" s="235"/>
      <c r="DS269" s="235"/>
      <c r="DT269" s="235">
        <v>0</v>
      </c>
      <c r="DU269" s="235">
        <v>0</v>
      </c>
      <c r="DV269" s="235">
        <v>0</v>
      </c>
      <c r="DW269" s="235">
        <f t="shared" si="305"/>
        <v>0</v>
      </c>
      <c r="DX269" s="235">
        <f t="shared" si="306"/>
        <v>0</v>
      </c>
      <c r="DY269" s="235"/>
      <c r="DZ269" s="235"/>
      <c r="EA269" s="235"/>
      <c r="EB269" s="235"/>
      <c r="EC269" s="235">
        <v>0</v>
      </c>
      <c r="ED269" s="235">
        <v>0</v>
      </c>
      <c r="EE269" s="235">
        <v>0</v>
      </c>
      <c r="EF269" s="235">
        <v>0</v>
      </c>
      <c r="EG269" s="235">
        <f t="shared" si="307"/>
        <v>0</v>
      </c>
      <c r="EH269" s="235">
        <f t="shared" si="308"/>
        <v>0</v>
      </c>
      <c r="EI269" s="235"/>
      <c r="EJ269" s="235"/>
      <c r="EK269" s="235"/>
      <c r="EL269" s="235"/>
      <c r="EM269" s="235">
        <v>0</v>
      </c>
      <c r="EN269" s="235">
        <v>0</v>
      </c>
      <c r="EO269" s="235">
        <v>0</v>
      </c>
      <c r="EP269" s="235">
        <v>0</v>
      </c>
      <c r="EQ269" s="236"/>
      <c r="ER269" s="235">
        <f>SUM(ER264:ER268)</f>
        <v>0</v>
      </c>
      <c r="ES269" s="235">
        <f>SUM(ES264:ES268)</f>
        <v>0</v>
      </c>
      <c r="ET269" s="235">
        <f>SUM(ET264:ET268)</f>
        <v>0</v>
      </c>
      <c r="EU269" s="235">
        <f>SUM(EU264:EU268)</f>
        <v>0</v>
      </c>
      <c r="EV269" s="235"/>
      <c r="EW269" s="235"/>
      <c r="EX269" s="235"/>
      <c r="EY269" s="235"/>
      <c r="EZ269" s="235">
        <f t="shared" ref="EZ269:FK269" si="318">SUM(EZ264:EZ268)</f>
        <v>0</v>
      </c>
      <c r="FA269" s="235">
        <f t="shared" si="318"/>
        <v>0</v>
      </c>
      <c r="FB269" s="235">
        <f t="shared" si="318"/>
        <v>0</v>
      </c>
      <c r="FC269" s="235">
        <f t="shared" si="318"/>
        <v>0</v>
      </c>
      <c r="FD269" s="235">
        <f t="shared" si="318"/>
        <v>0</v>
      </c>
      <c r="FE269" s="235">
        <f t="shared" si="318"/>
        <v>0</v>
      </c>
      <c r="FF269" s="235">
        <f t="shared" si="318"/>
        <v>0</v>
      </c>
      <c r="FG269" s="235">
        <f t="shared" si="318"/>
        <v>0</v>
      </c>
      <c r="FH269" s="235">
        <f t="shared" ca="1" si="318"/>
        <v>0</v>
      </c>
      <c r="FI269" s="235">
        <f t="shared" ca="1" si="318"/>
        <v>0</v>
      </c>
      <c r="FJ269" s="235">
        <f t="shared" ca="1" si="318"/>
        <v>0</v>
      </c>
      <c r="FK269" s="235">
        <f t="shared" ca="1" si="318"/>
        <v>0</v>
      </c>
      <c r="FL269" s="235">
        <f ca="1">SUM(FL264:FL267)</f>
        <v>0</v>
      </c>
      <c r="FM269" s="236">
        <f ca="1">SUM(FM264:FM268)</f>
        <v>0</v>
      </c>
      <c r="FN269" s="236">
        <f ca="1">SUM(FN264:FN268)</f>
        <v>0</v>
      </c>
      <c r="FO269" s="236">
        <f ca="1">SUM(FO264:FO268)</f>
        <v>0</v>
      </c>
      <c r="FP269" s="237">
        <f t="shared" ca="1" si="315"/>
        <v>0</v>
      </c>
      <c r="FQ269" s="238">
        <f t="shared" si="248"/>
        <v>0</v>
      </c>
      <c r="FR269" s="235">
        <f>SUM(FR264:FR268)</f>
        <v>0</v>
      </c>
      <c r="FS269" s="238">
        <f t="shared" si="207"/>
        <v>0</v>
      </c>
    </row>
    <row r="270" spans="20:175" s="154" customFormat="1" hidden="1" outlineLevel="1">
      <c r="T270" s="155"/>
      <c r="U270" s="156"/>
      <c r="X270" s="239" t="s">
        <v>231</v>
      </c>
      <c r="Y270" s="240" t="s">
        <v>44</v>
      </c>
      <c r="Z270" s="240"/>
      <c r="AA270" s="241">
        <f t="shared" si="285"/>
        <v>0.03</v>
      </c>
      <c r="AB270" s="242">
        <f t="shared" si="286"/>
        <v>0</v>
      </c>
      <c r="AC270" s="241">
        <v>0.03</v>
      </c>
      <c r="AD270" s="243">
        <v>0.03</v>
      </c>
      <c r="AE270" s="243"/>
      <c r="AF270" s="243"/>
      <c r="AG270" s="241"/>
      <c r="AH270" s="243"/>
      <c r="AI270" s="243"/>
      <c r="AJ270" s="243"/>
      <c r="AK270" s="241">
        <f t="shared" si="287"/>
        <v>0</v>
      </c>
      <c r="AL270" s="242">
        <f t="shared" si="288"/>
        <v>0</v>
      </c>
      <c r="AM270" s="241">
        <v>0</v>
      </c>
      <c r="AN270" s="243">
        <v>0</v>
      </c>
      <c r="AO270" s="243"/>
      <c r="AP270" s="243"/>
      <c r="AQ270" s="241"/>
      <c r="AR270" s="243"/>
      <c r="AS270" s="243"/>
      <c r="AT270" s="243"/>
      <c r="AU270" s="241">
        <f t="shared" si="289"/>
        <v>0.01</v>
      </c>
      <c r="AV270" s="242">
        <f t="shared" si="290"/>
        <v>0</v>
      </c>
      <c r="AW270" s="241">
        <v>0.01</v>
      </c>
      <c r="AX270" s="243">
        <v>0.01</v>
      </c>
      <c r="AY270" s="243"/>
      <c r="AZ270" s="243"/>
      <c r="BA270" s="241"/>
      <c r="BB270" s="243"/>
      <c r="BC270" s="243"/>
      <c r="BD270" s="243"/>
      <c r="BE270" s="241">
        <f t="shared" si="291"/>
        <v>1.6E-2</v>
      </c>
      <c r="BF270" s="242">
        <f t="shared" si="292"/>
        <v>0</v>
      </c>
      <c r="BG270" s="241">
        <v>1.6E-2</v>
      </c>
      <c r="BH270" s="243">
        <v>1.6E-2</v>
      </c>
      <c r="BI270" s="243"/>
      <c r="BJ270" s="243"/>
      <c r="BK270" s="241"/>
      <c r="BL270" s="243"/>
      <c r="BM270" s="243"/>
      <c r="BN270" s="243"/>
      <c r="BO270" s="241">
        <f t="shared" si="293"/>
        <v>1.9599999999999999E-2</v>
      </c>
      <c r="BP270" s="242">
        <f t="shared" si="294"/>
        <v>0</v>
      </c>
      <c r="BQ270" s="241">
        <v>1.9599999999999999E-2</v>
      </c>
      <c r="BR270" s="243">
        <v>1.9599999999999999E-2</v>
      </c>
      <c r="BS270" s="243"/>
      <c r="BT270" s="243"/>
      <c r="BU270" s="241"/>
      <c r="BV270" s="243"/>
      <c r="BW270" s="243"/>
      <c r="BX270" s="243"/>
      <c r="BY270" s="241">
        <f t="shared" si="295"/>
        <v>2.46E-2</v>
      </c>
      <c r="BZ270" s="242">
        <f t="shared" si="296"/>
        <v>0</v>
      </c>
      <c r="CA270" s="241">
        <v>2.46E-2</v>
      </c>
      <c r="CB270" s="243">
        <v>2.46E-2</v>
      </c>
      <c r="CC270" s="243"/>
      <c r="CD270" s="243"/>
      <c r="CE270" s="241"/>
      <c r="CF270" s="243"/>
      <c r="CG270" s="243"/>
      <c r="CH270" s="243"/>
      <c r="CI270" s="241">
        <f t="shared" si="297"/>
        <v>0</v>
      </c>
      <c r="CJ270" s="242">
        <f t="shared" si="298"/>
        <v>0</v>
      </c>
      <c r="CK270" s="241"/>
      <c r="CL270" s="243"/>
      <c r="CM270" s="243"/>
      <c r="CN270" s="243"/>
      <c r="CO270" s="241"/>
      <c r="CP270" s="243"/>
      <c r="CQ270" s="243"/>
      <c r="CR270" s="243"/>
      <c r="CS270" s="241">
        <f t="shared" si="299"/>
        <v>0</v>
      </c>
      <c r="CT270" s="242">
        <f t="shared" si="300"/>
        <v>0</v>
      </c>
      <c r="CU270" s="241"/>
      <c r="CV270" s="243"/>
      <c r="CW270" s="243"/>
      <c r="CX270" s="243"/>
      <c r="CY270" s="241"/>
      <c r="CZ270" s="243"/>
      <c r="DA270" s="243"/>
      <c r="DB270" s="243"/>
      <c r="DC270" s="241">
        <f t="shared" si="301"/>
        <v>0</v>
      </c>
      <c r="DD270" s="242">
        <f t="shared" si="302"/>
        <v>0</v>
      </c>
      <c r="DE270" s="241"/>
      <c r="DF270" s="243"/>
      <c r="DG270" s="243"/>
      <c r="DH270" s="243"/>
      <c r="DI270" s="241"/>
      <c r="DJ270" s="243"/>
      <c r="DK270" s="243"/>
      <c r="DL270" s="243"/>
      <c r="DM270" s="241">
        <f t="shared" si="303"/>
        <v>0</v>
      </c>
      <c r="DN270" s="242">
        <f t="shared" si="304"/>
        <v>0</v>
      </c>
      <c r="DO270" s="241"/>
      <c r="DP270" s="243"/>
      <c r="DQ270" s="243"/>
      <c r="DR270" s="243"/>
      <c r="DS270" s="241"/>
      <c r="DT270" s="243"/>
      <c r="DU270" s="243"/>
      <c r="DV270" s="243"/>
      <c r="DW270" s="241">
        <f t="shared" si="305"/>
        <v>0</v>
      </c>
      <c r="DX270" s="242">
        <f t="shared" si="306"/>
        <v>0</v>
      </c>
      <c r="DY270" s="241"/>
      <c r="DZ270" s="243"/>
      <c r="EA270" s="243"/>
      <c r="EB270" s="243"/>
      <c r="EC270" s="241"/>
      <c r="ED270" s="243"/>
      <c r="EE270" s="243"/>
      <c r="EF270" s="243"/>
      <c r="EG270" s="241">
        <f t="shared" si="307"/>
        <v>0</v>
      </c>
      <c r="EH270" s="242">
        <f t="shared" si="308"/>
        <v>0</v>
      </c>
      <c r="EI270" s="241"/>
      <c r="EJ270" s="243"/>
      <c r="EK270" s="243"/>
      <c r="EL270" s="243"/>
      <c r="EM270" s="241"/>
      <c r="EN270" s="243"/>
      <c r="EO270" s="243"/>
      <c r="EP270" s="243"/>
      <c r="EQ270" s="387"/>
      <c r="ER270" s="243">
        <f>SUM(ET270:EX270)</f>
        <v>0</v>
      </c>
      <c r="ES270" s="243">
        <f>IFERROR(SUMIFS(Daily_Vol_yesterday[Order Quantity],Daily_Vol_yesterday[Cust_Cat.cust_channel],master_Daily!X270,Daily_Vol_yesterday[Map_Product.TME_Brand],master_Daily!Y270)/50000,0)</f>
        <v>0</v>
      </c>
      <c r="ET270" s="243"/>
      <c r="EU270" s="243"/>
      <c r="EV270" s="242"/>
      <c r="EW270" s="243"/>
      <c r="EX270" s="243"/>
      <c r="EY270" s="243"/>
      <c r="EZ270" s="243">
        <f>SUM(FA270:FC270)</f>
        <v>2.46E-2</v>
      </c>
      <c r="FA270" s="243">
        <f>IFERROR(SUM(SUMIFS(Weekly_Vol[Quantity],Weekly_Vol[Cust_Cat.cust_channel],master_Daily!X270,Weekly_Vol[Map_Product.TME_Brand],master_Daily!Y270),SUMIFS(Daily_Vol[Order Quantity],Daily_Vol[Cust_Cat.cust_channel],master_Daily!X270,Daily_Vol[Map_Product.TME_Brand],master_Daily!Y270))/50000,0)</f>
        <v>2.46E-2</v>
      </c>
      <c r="FB270" s="243"/>
      <c r="FC270" s="243"/>
      <c r="FD270" s="243"/>
      <c r="FE270" s="243"/>
      <c r="FF270" s="243"/>
      <c r="FG270" s="243"/>
      <c r="FH270" s="243">
        <f ca="1">SUM(FI270:FK270)</f>
        <v>0.1002</v>
      </c>
      <c r="FI270" s="243">
        <f t="shared" ref="FI270:FK274" ca="1" si="319">SUMIFS($AA270:$EP270,$AA$129:$EP$129,INDIRECT(ADDRESS(129,COLUMN())))</f>
        <v>0.1002</v>
      </c>
      <c r="FJ270" s="243">
        <f t="shared" ca="1" si="319"/>
        <v>0</v>
      </c>
      <c r="FK270" s="243">
        <f t="shared" ca="1" si="319"/>
        <v>0</v>
      </c>
      <c r="FL270" s="243">
        <f ca="1">SUMIFS($AA270:$EP270,$AA$129:$EP$129,INDIRECT(ADDRESS(38,COLUMN())))</f>
        <v>0</v>
      </c>
      <c r="FM270" s="243">
        <f ca="1">SUMIFS($AA270:$EP270,$AA$129:$EP$129,INDIRECT(ADDRESS(38,COLUMN())))</f>
        <v>0</v>
      </c>
      <c r="FN270" s="243">
        <f ca="1">SUMIFS($AA270:$EP270,$AA$129:$EP$129,INDIRECT(ADDRESS(38,COLUMN())))</f>
        <v>0</v>
      </c>
      <c r="FO270" s="243">
        <f ca="1">SUMIFS($AA270:$EP270,$AA$129:$EP$129,INDIRECT(ADDRESS(38,COLUMN())))</f>
        <v>0</v>
      </c>
      <c r="FP270" s="244">
        <f t="shared" ref="FP270:FP275" ca="1" si="320">IFERROR(FH270/$FH$275,0)</f>
        <v>6.2023373279191836E-3</v>
      </c>
      <c r="FQ270" s="245">
        <f t="shared" si="248"/>
        <v>0</v>
      </c>
      <c r="FR270" s="243">
        <f>SUMIFS(TME_MTD_Dist[Sell_WHS_QTY],TME_MTD_Dist[Dist_Name],master_Daily!$X270,TME_MTD_Dist[Brand],master_Daily!$Y270)/50000
 + SUMIFS(TME_MTD_Dist[Sell_RTL_QTY],TME_MTD_Dist[Dist_Name],master_Daily!$X270,TME_MTD_Dist[Brand],master_Daily!$Y270)/50000</f>
        <v>0</v>
      </c>
      <c r="FS270" s="245">
        <f t="shared" si="207"/>
        <v>0</v>
      </c>
    </row>
    <row r="271" spans="20:175" s="154" customFormat="1" hidden="1" outlineLevel="1">
      <c r="T271" s="155"/>
      <c r="U271" s="156"/>
      <c r="X271" s="239" t="s">
        <v>231</v>
      </c>
      <c r="Y271" s="240" t="s">
        <v>45</v>
      </c>
      <c r="Z271" s="240"/>
      <c r="AA271" s="241">
        <f t="shared" si="285"/>
        <v>2.4E-2</v>
      </c>
      <c r="AB271" s="242">
        <f t="shared" si="286"/>
        <v>0</v>
      </c>
      <c r="AC271" s="241">
        <v>2.4E-2</v>
      </c>
      <c r="AD271" s="243">
        <v>2.4E-2</v>
      </c>
      <c r="AE271" s="243"/>
      <c r="AF271" s="243"/>
      <c r="AG271" s="241"/>
      <c r="AH271" s="243"/>
      <c r="AI271" s="243"/>
      <c r="AJ271" s="243"/>
      <c r="AK271" s="241">
        <f t="shared" si="287"/>
        <v>0.01</v>
      </c>
      <c r="AL271" s="242">
        <f t="shared" si="288"/>
        <v>0</v>
      </c>
      <c r="AM271" s="241">
        <v>0.01</v>
      </c>
      <c r="AN271" s="243">
        <v>0.01</v>
      </c>
      <c r="AO271" s="243"/>
      <c r="AP271" s="243"/>
      <c r="AQ271" s="241"/>
      <c r="AR271" s="243"/>
      <c r="AS271" s="243"/>
      <c r="AT271" s="243"/>
      <c r="AU271" s="241">
        <f t="shared" si="289"/>
        <v>0.02</v>
      </c>
      <c r="AV271" s="242">
        <f t="shared" si="290"/>
        <v>0</v>
      </c>
      <c r="AW271" s="241">
        <v>0.02</v>
      </c>
      <c r="AX271" s="243">
        <v>0.02</v>
      </c>
      <c r="AY271" s="243"/>
      <c r="AZ271" s="243"/>
      <c r="BA271" s="241"/>
      <c r="BB271" s="243"/>
      <c r="BC271" s="243"/>
      <c r="BD271" s="243"/>
      <c r="BE271" s="241">
        <f t="shared" si="291"/>
        <v>0.03</v>
      </c>
      <c r="BF271" s="242">
        <f t="shared" si="292"/>
        <v>0</v>
      </c>
      <c r="BG271" s="241">
        <v>0.03</v>
      </c>
      <c r="BH271" s="243">
        <v>0.03</v>
      </c>
      <c r="BI271" s="243"/>
      <c r="BJ271" s="243"/>
      <c r="BK271" s="241"/>
      <c r="BL271" s="243"/>
      <c r="BM271" s="243"/>
      <c r="BN271" s="243"/>
      <c r="BO271" s="241">
        <f t="shared" si="293"/>
        <v>0</v>
      </c>
      <c r="BP271" s="242">
        <f t="shared" si="294"/>
        <v>0</v>
      </c>
      <c r="BQ271" s="241">
        <v>0</v>
      </c>
      <c r="BR271" s="243">
        <v>0</v>
      </c>
      <c r="BS271" s="243"/>
      <c r="BT271" s="243"/>
      <c r="BU271" s="241"/>
      <c r="BV271" s="243"/>
      <c r="BW271" s="243"/>
      <c r="BX271" s="243"/>
      <c r="BY271" s="241">
        <f t="shared" si="295"/>
        <v>1E-3</v>
      </c>
      <c r="BZ271" s="242">
        <f t="shared" si="296"/>
        <v>0</v>
      </c>
      <c r="CA271" s="241">
        <v>1E-3</v>
      </c>
      <c r="CB271" s="243">
        <v>1E-3</v>
      </c>
      <c r="CC271" s="243"/>
      <c r="CD271" s="243"/>
      <c r="CE271" s="241"/>
      <c r="CF271" s="243"/>
      <c r="CG271" s="243"/>
      <c r="CH271" s="243"/>
      <c r="CI271" s="241">
        <f t="shared" si="297"/>
        <v>0</v>
      </c>
      <c r="CJ271" s="242">
        <f t="shared" si="298"/>
        <v>0</v>
      </c>
      <c r="CK271" s="241"/>
      <c r="CL271" s="243"/>
      <c r="CM271" s="243"/>
      <c r="CN271" s="243"/>
      <c r="CO271" s="241"/>
      <c r="CP271" s="243"/>
      <c r="CQ271" s="243"/>
      <c r="CR271" s="243"/>
      <c r="CS271" s="241">
        <f t="shared" si="299"/>
        <v>0</v>
      </c>
      <c r="CT271" s="242">
        <f t="shared" si="300"/>
        <v>0</v>
      </c>
      <c r="CU271" s="241"/>
      <c r="CV271" s="243"/>
      <c r="CW271" s="243"/>
      <c r="CX271" s="243"/>
      <c r="CY271" s="241"/>
      <c r="CZ271" s="243"/>
      <c r="DA271" s="243"/>
      <c r="DB271" s="243"/>
      <c r="DC271" s="241">
        <f t="shared" si="301"/>
        <v>0</v>
      </c>
      <c r="DD271" s="242">
        <f t="shared" si="302"/>
        <v>0</v>
      </c>
      <c r="DE271" s="241"/>
      <c r="DF271" s="243"/>
      <c r="DG271" s="243"/>
      <c r="DH271" s="243"/>
      <c r="DI271" s="241"/>
      <c r="DJ271" s="243"/>
      <c r="DK271" s="243"/>
      <c r="DL271" s="243"/>
      <c r="DM271" s="241">
        <f t="shared" si="303"/>
        <v>0</v>
      </c>
      <c r="DN271" s="242">
        <f t="shared" si="304"/>
        <v>0</v>
      </c>
      <c r="DO271" s="241"/>
      <c r="DP271" s="243"/>
      <c r="DQ271" s="243"/>
      <c r="DR271" s="243"/>
      <c r="DS271" s="241"/>
      <c r="DT271" s="243"/>
      <c r="DU271" s="243"/>
      <c r="DV271" s="243"/>
      <c r="DW271" s="241">
        <f t="shared" si="305"/>
        <v>0</v>
      </c>
      <c r="DX271" s="242">
        <f t="shared" si="306"/>
        <v>0</v>
      </c>
      <c r="DY271" s="241"/>
      <c r="DZ271" s="243"/>
      <c r="EA271" s="243"/>
      <c r="EB271" s="243"/>
      <c r="EC271" s="241"/>
      <c r="ED271" s="243"/>
      <c r="EE271" s="243"/>
      <c r="EF271" s="243"/>
      <c r="EG271" s="241">
        <f t="shared" si="307"/>
        <v>0</v>
      </c>
      <c r="EH271" s="242">
        <f t="shared" si="308"/>
        <v>0</v>
      </c>
      <c r="EI271" s="241"/>
      <c r="EJ271" s="243"/>
      <c r="EK271" s="243"/>
      <c r="EL271" s="243"/>
      <c r="EM271" s="241"/>
      <c r="EN271" s="243"/>
      <c r="EO271" s="243"/>
      <c r="EP271" s="243"/>
      <c r="EQ271" s="387"/>
      <c r="ER271" s="243">
        <f>SUM(ET271:EX271)</f>
        <v>0</v>
      </c>
      <c r="ES271" s="243">
        <f>IFERROR(SUMIFS(Daily_Vol_yesterday[Order Quantity],Daily_Vol_yesterday[Cust_Cat.cust_channel],master_Daily!X271,Daily_Vol_yesterday[Map_Product.TME_Brand],master_Daily!Y271)/50000,0)</f>
        <v>0</v>
      </c>
      <c r="ET271" s="243"/>
      <c r="EU271" s="243"/>
      <c r="EV271" s="242"/>
      <c r="EW271" s="243"/>
      <c r="EX271" s="243"/>
      <c r="EY271" s="243"/>
      <c r="EZ271" s="243">
        <f>SUM(FA271:FC271)</f>
        <v>1E-3</v>
      </c>
      <c r="FA271" s="243">
        <f>IFERROR(SUM(SUMIFS(Weekly_Vol[Quantity],Weekly_Vol[Cust_Cat.cust_channel],master_Daily!X271,Weekly_Vol[Map_Product.TME_Brand],master_Daily!Y271),SUMIFS(Daily_Vol[Order Quantity],Daily_Vol[Cust_Cat.cust_channel],master_Daily!X271,Daily_Vol[Map_Product.TME_Brand],master_Daily!Y271))/50000,0)</f>
        <v>1E-3</v>
      </c>
      <c r="FB271" s="243"/>
      <c r="FC271" s="243"/>
      <c r="FD271" s="243"/>
      <c r="FE271" s="243"/>
      <c r="FF271" s="243"/>
      <c r="FG271" s="243"/>
      <c r="FH271" s="243">
        <f ca="1">SUM(FI271:FK271)</f>
        <v>8.5000000000000006E-2</v>
      </c>
      <c r="FI271" s="243">
        <f t="shared" ca="1" si="319"/>
        <v>8.5000000000000006E-2</v>
      </c>
      <c r="FJ271" s="243">
        <f t="shared" ca="1" si="319"/>
        <v>0</v>
      </c>
      <c r="FK271" s="243">
        <f t="shared" ca="1" si="319"/>
        <v>0</v>
      </c>
      <c r="FL271" s="243">
        <f t="shared" ref="FL271:FO272" ca="1" si="321">SUMIFS($AA271:$EP271,$AA$129:$EP$129,INDIRECT(ADDRESS(129,COLUMN())))</f>
        <v>0</v>
      </c>
      <c r="FM271" s="242">
        <f t="shared" ca="1" si="321"/>
        <v>0</v>
      </c>
      <c r="FN271" s="242">
        <f t="shared" ca="1" si="321"/>
        <v>0</v>
      </c>
      <c r="FO271" s="242">
        <f t="shared" ca="1" si="321"/>
        <v>0</v>
      </c>
      <c r="FP271" s="244">
        <f t="shared" ca="1" si="320"/>
        <v>5.2614638011290486E-3</v>
      </c>
      <c r="FQ271" s="245">
        <f t="shared" si="248"/>
        <v>0</v>
      </c>
      <c r="FR271" s="243">
        <f>SUMIFS(TME_MTD_Dist[Sell_WHS_QTY],TME_MTD_Dist[Dist_Name],master_Daily!$X271,TME_MTD_Dist[Brand],master_Daily!$Y271)/50000
 + SUMIFS(TME_MTD_Dist[Sell_RTL_QTY],TME_MTD_Dist[Dist_Name],master_Daily!$X271,TME_MTD_Dist[Brand],master_Daily!$Y271)/50000</f>
        <v>0</v>
      </c>
      <c r="FS271" s="245">
        <f t="shared" si="207"/>
        <v>0</v>
      </c>
    </row>
    <row r="272" spans="20:175" s="154" customFormat="1" hidden="1" outlineLevel="1">
      <c r="T272" s="155"/>
      <c r="U272" s="156"/>
      <c r="X272" s="239" t="s">
        <v>231</v>
      </c>
      <c r="Y272" s="240" t="s">
        <v>46</v>
      </c>
      <c r="Z272" s="240"/>
      <c r="AA272" s="241">
        <f t="shared" si="285"/>
        <v>0.79800000000000004</v>
      </c>
      <c r="AB272" s="242">
        <f t="shared" si="286"/>
        <v>0</v>
      </c>
      <c r="AC272" s="241">
        <v>0.79800000000000004</v>
      </c>
      <c r="AD272" s="243">
        <v>0.79800000000000004</v>
      </c>
      <c r="AE272" s="243"/>
      <c r="AF272" s="243"/>
      <c r="AG272" s="241"/>
      <c r="AH272" s="243"/>
      <c r="AI272" s="243"/>
      <c r="AJ272" s="243"/>
      <c r="AK272" s="241">
        <f t="shared" si="287"/>
        <v>0.86399999999999999</v>
      </c>
      <c r="AL272" s="242">
        <f t="shared" si="288"/>
        <v>0</v>
      </c>
      <c r="AM272" s="241">
        <v>0.86399999999999999</v>
      </c>
      <c r="AN272" s="243">
        <v>0.86399999999999999</v>
      </c>
      <c r="AO272" s="243"/>
      <c r="AP272" s="243"/>
      <c r="AQ272" s="241"/>
      <c r="AR272" s="243"/>
      <c r="AS272" s="243"/>
      <c r="AT272" s="243"/>
      <c r="AU272" s="241">
        <f t="shared" si="289"/>
        <v>0.44</v>
      </c>
      <c r="AV272" s="242">
        <f t="shared" si="290"/>
        <v>0</v>
      </c>
      <c r="AW272" s="241">
        <v>0.44</v>
      </c>
      <c r="AX272" s="243">
        <v>0.44</v>
      </c>
      <c r="AY272" s="243"/>
      <c r="AZ272" s="243"/>
      <c r="BA272" s="241"/>
      <c r="BB272" s="243"/>
      <c r="BC272" s="243"/>
      <c r="BD272" s="243"/>
      <c r="BE272" s="241">
        <f t="shared" si="291"/>
        <v>0.81</v>
      </c>
      <c r="BF272" s="242">
        <f t="shared" si="292"/>
        <v>0</v>
      </c>
      <c r="BG272" s="241">
        <v>0.81</v>
      </c>
      <c r="BH272" s="243">
        <v>0.81</v>
      </c>
      <c r="BI272" s="243"/>
      <c r="BJ272" s="243"/>
      <c r="BK272" s="241"/>
      <c r="BL272" s="243"/>
      <c r="BM272" s="243"/>
      <c r="BN272" s="243"/>
      <c r="BO272" s="241">
        <f t="shared" si="293"/>
        <v>1.18</v>
      </c>
      <c r="BP272" s="242">
        <f t="shared" si="294"/>
        <v>0</v>
      </c>
      <c r="BQ272" s="241">
        <v>1.18</v>
      </c>
      <c r="BR272" s="243">
        <v>1.18</v>
      </c>
      <c r="BS272" s="243"/>
      <c r="BT272" s="243"/>
      <c r="BU272" s="241"/>
      <c r="BV272" s="243"/>
      <c r="BW272" s="243"/>
      <c r="BX272" s="243"/>
      <c r="BY272" s="241">
        <f t="shared" si="295"/>
        <v>0.27</v>
      </c>
      <c r="BZ272" s="242">
        <f t="shared" si="296"/>
        <v>0</v>
      </c>
      <c r="CA272" s="241">
        <v>0.27</v>
      </c>
      <c r="CB272" s="243">
        <v>0.27</v>
      </c>
      <c r="CC272" s="243"/>
      <c r="CD272" s="243"/>
      <c r="CE272" s="241"/>
      <c r="CF272" s="243"/>
      <c r="CG272" s="243"/>
      <c r="CH272" s="243"/>
      <c r="CI272" s="241">
        <f t="shared" si="297"/>
        <v>0</v>
      </c>
      <c r="CJ272" s="242">
        <f t="shared" si="298"/>
        <v>0</v>
      </c>
      <c r="CK272" s="241"/>
      <c r="CL272" s="243"/>
      <c r="CM272" s="243"/>
      <c r="CN272" s="243"/>
      <c r="CO272" s="241"/>
      <c r="CP272" s="243"/>
      <c r="CQ272" s="243"/>
      <c r="CR272" s="243"/>
      <c r="CS272" s="241">
        <f t="shared" si="299"/>
        <v>0</v>
      </c>
      <c r="CT272" s="242">
        <f t="shared" si="300"/>
        <v>0</v>
      </c>
      <c r="CU272" s="241"/>
      <c r="CV272" s="243"/>
      <c r="CW272" s="243"/>
      <c r="CX272" s="243"/>
      <c r="CY272" s="241"/>
      <c r="CZ272" s="243"/>
      <c r="DA272" s="243"/>
      <c r="DB272" s="243"/>
      <c r="DC272" s="241">
        <f t="shared" si="301"/>
        <v>0</v>
      </c>
      <c r="DD272" s="242">
        <f t="shared" si="302"/>
        <v>0</v>
      </c>
      <c r="DE272" s="241"/>
      <c r="DF272" s="243"/>
      <c r="DG272" s="243"/>
      <c r="DH272" s="243"/>
      <c r="DI272" s="241"/>
      <c r="DJ272" s="243"/>
      <c r="DK272" s="243"/>
      <c r="DL272" s="243"/>
      <c r="DM272" s="241">
        <f t="shared" si="303"/>
        <v>0</v>
      </c>
      <c r="DN272" s="242">
        <f t="shared" si="304"/>
        <v>0</v>
      </c>
      <c r="DO272" s="241"/>
      <c r="DP272" s="243"/>
      <c r="DQ272" s="243"/>
      <c r="DR272" s="243"/>
      <c r="DS272" s="241"/>
      <c r="DT272" s="243"/>
      <c r="DU272" s="243"/>
      <c r="DV272" s="243"/>
      <c r="DW272" s="241">
        <f t="shared" si="305"/>
        <v>0</v>
      </c>
      <c r="DX272" s="242">
        <f t="shared" si="306"/>
        <v>0</v>
      </c>
      <c r="DY272" s="241"/>
      <c r="DZ272" s="243"/>
      <c r="EA272" s="243"/>
      <c r="EB272" s="243"/>
      <c r="EC272" s="241"/>
      <c r="ED272" s="243"/>
      <c r="EE272" s="243"/>
      <c r="EF272" s="243"/>
      <c r="EG272" s="241">
        <f t="shared" si="307"/>
        <v>0</v>
      </c>
      <c r="EH272" s="242">
        <f t="shared" si="308"/>
        <v>0</v>
      </c>
      <c r="EI272" s="241"/>
      <c r="EJ272" s="243"/>
      <c r="EK272" s="243"/>
      <c r="EL272" s="243"/>
      <c r="EM272" s="241"/>
      <c r="EN272" s="243"/>
      <c r="EO272" s="243"/>
      <c r="EP272" s="243"/>
      <c r="EQ272" s="387"/>
      <c r="ER272" s="243">
        <f>SUM(ET272:EX272)</f>
        <v>0</v>
      </c>
      <c r="ES272" s="243">
        <f>IFERROR(SUMIFS(Daily_Vol_yesterday[Order Quantity],Daily_Vol_yesterday[Cust_Cat.cust_channel],master_Daily!X272,Daily_Vol_yesterday[Map_Product.TME_Brand],master_Daily!Y272)/50000,0)</f>
        <v>0</v>
      </c>
      <c r="ET272" s="243"/>
      <c r="EU272" s="243"/>
      <c r="EV272" s="242"/>
      <c r="EW272" s="243"/>
      <c r="EX272" s="243"/>
      <c r="EY272" s="243"/>
      <c r="EZ272" s="243">
        <f>SUM(FA272:FC272)</f>
        <v>0.27</v>
      </c>
      <c r="FA272" s="243">
        <f>IFERROR(SUM(SUMIFS(Weekly_Vol[Quantity],Weekly_Vol[Cust_Cat.cust_channel],master_Daily!X272,Weekly_Vol[Map_Product.TME_Brand],master_Daily!Y272),SUMIFS(Daily_Vol[Order Quantity],Daily_Vol[Cust_Cat.cust_channel],master_Daily!X272,Daily_Vol[Map_Product.TME_Brand],master_Daily!Y272))/50000,0)</f>
        <v>0.27</v>
      </c>
      <c r="FB272" s="243"/>
      <c r="FC272" s="243"/>
      <c r="FD272" s="243"/>
      <c r="FE272" s="243"/>
      <c r="FF272" s="243"/>
      <c r="FG272" s="243"/>
      <c r="FH272" s="243">
        <f ca="1">SUM(FI272:FK272)</f>
        <v>4.3620000000000001</v>
      </c>
      <c r="FI272" s="243">
        <f t="shared" ca="1" si="319"/>
        <v>4.3620000000000001</v>
      </c>
      <c r="FJ272" s="243">
        <f t="shared" ca="1" si="319"/>
        <v>0</v>
      </c>
      <c r="FK272" s="243">
        <f t="shared" ca="1" si="319"/>
        <v>0</v>
      </c>
      <c r="FL272" s="243">
        <f t="shared" ca="1" si="321"/>
        <v>0</v>
      </c>
      <c r="FM272" s="242">
        <f t="shared" ca="1" si="321"/>
        <v>0</v>
      </c>
      <c r="FN272" s="242">
        <f t="shared" ca="1" si="321"/>
        <v>0</v>
      </c>
      <c r="FO272" s="242">
        <f t="shared" ca="1" si="321"/>
        <v>0</v>
      </c>
      <c r="FP272" s="244">
        <f t="shared" ca="1" si="320"/>
        <v>0.27000594235911657</v>
      </c>
      <c r="FQ272" s="245">
        <f t="shared" si="248"/>
        <v>0</v>
      </c>
      <c r="FR272" s="243">
        <f>SUMIFS(TME_MTD_Dist[Sell_WHS_QTY],TME_MTD_Dist[Dist_Name],master_Daily!$X272,TME_MTD_Dist[Brand],master_Daily!$Y272)/50000
 + SUMIFS(TME_MTD_Dist[Sell_RTL_QTY],TME_MTD_Dist[Dist_Name],master_Daily!$X272,TME_MTD_Dist[Brand],master_Daily!$Y272)/50000</f>
        <v>0</v>
      </c>
      <c r="FS272" s="245">
        <f t="shared" si="207"/>
        <v>0</v>
      </c>
    </row>
    <row r="273" spans="20:175" s="154" customFormat="1" hidden="1" outlineLevel="1">
      <c r="T273" s="155"/>
      <c r="U273" s="156"/>
      <c r="X273" s="239" t="s">
        <v>231</v>
      </c>
      <c r="Y273" s="240" t="s">
        <v>263</v>
      </c>
      <c r="Z273" s="240"/>
      <c r="AA273" s="241">
        <f t="shared" si="285"/>
        <v>2.2000000000000002</v>
      </c>
      <c r="AB273" s="242">
        <f t="shared" si="286"/>
        <v>0</v>
      </c>
      <c r="AC273" s="241">
        <v>2.2000000000000002</v>
      </c>
      <c r="AD273" s="243">
        <v>2.2000000000000002</v>
      </c>
      <c r="AE273" s="243"/>
      <c r="AF273" s="243"/>
      <c r="AG273" s="241"/>
      <c r="AH273" s="243"/>
      <c r="AI273" s="243"/>
      <c r="AJ273" s="243"/>
      <c r="AK273" s="241">
        <f t="shared" si="287"/>
        <v>2.37</v>
      </c>
      <c r="AL273" s="242">
        <f t="shared" si="288"/>
        <v>0</v>
      </c>
      <c r="AM273" s="241">
        <v>2.37</v>
      </c>
      <c r="AN273" s="243">
        <v>2.37</v>
      </c>
      <c r="AO273" s="243"/>
      <c r="AP273" s="243"/>
      <c r="AQ273" s="241"/>
      <c r="AR273" s="243"/>
      <c r="AS273" s="243"/>
      <c r="AT273" s="243"/>
      <c r="AU273" s="241">
        <f t="shared" si="289"/>
        <v>2.327</v>
      </c>
      <c r="AV273" s="242">
        <f t="shared" si="290"/>
        <v>0</v>
      </c>
      <c r="AW273" s="241">
        <v>2.327</v>
      </c>
      <c r="AX273" s="243">
        <v>2.327</v>
      </c>
      <c r="AY273" s="243"/>
      <c r="AZ273" s="243"/>
      <c r="BA273" s="241"/>
      <c r="BB273" s="243"/>
      <c r="BC273" s="243"/>
      <c r="BD273" s="243"/>
      <c r="BE273" s="241">
        <f t="shared" si="291"/>
        <v>1.976</v>
      </c>
      <c r="BF273" s="242">
        <f t="shared" si="292"/>
        <v>0</v>
      </c>
      <c r="BG273" s="241">
        <v>1.976</v>
      </c>
      <c r="BH273" s="243">
        <v>1.976</v>
      </c>
      <c r="BI273" s="243"/>
      <c r="BJ273" s="243"/>
      <c r="BK273" s="241"/>
      <c r="BL273" s="243"/>
      <c r="BM273" s="243"/>
      <c r="BN273" s="243"/>
      <c r="BO273" s="241">
        <f t="shared" si="293"/>
        <v>1.298</v>
      </c>
      <c r="BP273" s="242">
        <f t="shared" si="294"/>
        <v>0</v>
      </c>
      <c r="BQ273" s="241">
        <v>1.298</v>
      </c>
      <c r="BR273" s="243">
        <v>1.298</v>
      </c>
      <c r="BS273" s="243"/>
      <c r="BT273" s="243"/>
      <c r="BU273" s="241"/>
      <c r="BV273" s="243"/>
      <c r="BW273" s="243"/>
      <c r="BX273" s="243"/>
      <c r="BY273" s="241">
        <f t="shared" si="295"/>
        <v>1.01</v>
      </c>
      <c r="BZ273" s="242">
        <f t="shared" si="296"/>
        <v>0</v>
      </c>
      <c r="CA273" s="241">
        <v>1.01</v>
      </c>
      <c r="CB273" s="243">
        <v>1.01</v>
      </c>
      <c r="CC273" s="243"/>
      <c r="CD273" s="243"/>
      <c r="CE273" s="241"/>
      <c r="CF273" s="243"/>
      <c r="CG273" s="243"/>
      <c r="CH273" s="243"/>
      <c r="CI273" s="241">
        <f t="shared" si="297"/>
        <v>0</v>
      </c>
      <c r="CJ273" s="242">
        <f t="shared" si="298"/>
        <v>0</v>
      </c>
      <c r="CK273" s="241"/>
      <c r="CL273" s="243"/>
      <c r="CM273" s="243"/>
      <c r="CN273" s="243"/>
      <c r="CO273" s="241"/>
      <c r="CP273" s="243"/>
      <c r="CQ273" s="243"/>
      <c r="CR273" s="243"/>
      <c r="CS273" s="241">
        <f t="shared" si="299"/>
        <v>0</v>
      </c>
      <c r="CT273" s="242">
        <f t="shared" si="300"/>
        <v>0</v>
      </c>
      <c r="CU273" s="241"/>
      <c r="CV273" s="243"/>
      <c r="CW273" s="243"/>
      <c r="CX273" s="243"/>
      <c r="CY273" s="241"/>
      <c r="CZ273" s="243"/>
      <c r="DA273" s="243"/>
      <c r="DB273" s="243"/>
      <c r="DC273" s="241">
        <f t="shared" si="301"/>
        <v>0</v>
      </c>
      <c r="DD273" s="242">
        <f t="shared" si="302"/>
        <v>0</v>
      </c>
      <c r="DE273" s="241"/>
      <c r="DF273" s="243"/>
      <c r="DG273" s="243"/>
      <c r="DH273" s="243"/>
      <c r="DI273" s="241"/>
      <c r="DJ273" s="243"/>
      <c r="DK273" s="243"/>
      <c r="DL273" s="243"/>
      <c r="DM273" s="241">
        <f t="shared" si="303"/>
        <v>0</v>
      </c>
      <c r="DN273" s="242">
        <f t="shared" si="304"/>
        <v>0</v>
      </c>
      <c r="DO273" s="241"/>
      <c r="DP273" s="243"/>
      <c r="DQ273" s="243"/>
      <c r="DR273" s="243"/>
      <c r="DS273" s="241"/>
      <c r="DT273" s="243"/>
      <c r="DU273" s="243"/>
      <c r="DV273" s="243"/>
      <c r="DW273" s="241">
        <f t="shared" si="305"/>
        <v>0</v>
      </c>
      <c r="DX273" s="242">
        <f t="shared" si="306"/>
        <v>0</v>
      </c>
      <c r="DY273" s="241"/>
      <c r="DZ273" s="243"/>
      <c r="EA273" s="243"/>
      <c r="EB273" s="243"/>
      <c r="EC273" s="241"/>
      <c r="ED273" s="243"/>
      <c r="EE273" s="243"/>
      <c r="EF273" s="243"/>
      <c r="EG273" s="241">
        <f t="shared" si="307"/>
        <v>0</v>
      </c>
      <c r="EH273" s="242">
        <f t="shared" si="308"/>
        <v>0</v>
      </c>
      <c r="EI273" s="241"/>
      <c r="EJ273" s="243"/>
      <c r="EK273" s="243"/>
      <c r="EL273" s="243"/>
      <c r="EM273" s="241"/>
      <c r="EN273" s="243"/>
      <c r="EO273" s="243"/>
      <c r="EP273" s="243"/>
      <c r="EQ273" s="387"/>
      <c r="ER273" s="243">
        <f>SUM(ET273:EX273)</f>
        <v>0</v>
      </c>
      <c r="ES273" s="243">
        <f>IFERROR(SUMIFS(Daily_Vol_yesterday[Order Quantity],Daily_Vol_yesterday[Cust_Cat.cust_channel],master_Daily!X273,Daily_Vol_yesterday[Map_Product.TME_Brand],"CM")/50000,0)</f>
        <v>0</v>
      </c>
      <c r="ET273" s="243"/>
      <c r="EU273" s="243"/>
      <c r="EV273" s="242"/>
      <c r="EW273" s="243"/>
      <c r="EX273" s="243"/>
      <c r="EY273" s="243"/>
      <c r="EZ273" s="243">
        <f>SUM(FA273:FC273)</f>
        <v>1.01</v>
      </c>
      <c r="FA273" s="243">
        <f>IFERROR(SUM(SUMIFS(Weekly_Vol[Quantity],Weekly_Vol[Cust_Cat.cust_channel],master_Daily!X273,Weekly_Vol[Map_Product.TME_Brand],"CM"),SUMIFS(Daily_Vol[Order Quantity],Daily_Vol[Cust_Cat.cust_channel],master_Daily!X273,Daily_Vol[Map_Product.TME_Brand],"CM"))/50000,0)</f>
        <v>1.01</v>
      </c>
      <c r="FB273" s="243"/>
      <c r="FC273" s="243"/>
      <c r="FD273" s="243"/>
      <c r="FE273" s="243"/>
      <c r="FF273" s="243"/>
      <c r="FG273" s="243"/>
      <c r="FH273" s="243">
        <f ca="1">SUM(FI273:FK273)</f>
        <v>11.181000000000001</v>
      </c>
      <c r="FI273" s="243">
        <f t="shared" ca="1" si="319"/>
        <v>11.181000000000001</v>
      </c>
      <c r="FJ273" s="243">
        <f t="shared" ca="1" si="319"/>
        <v>0</v>
      </c>
      <c r="FK273" s="243">
        <f t="shared" ca="1" si="319"/>
        <v>0</v>
      </c>
      <c r="FL273" s="243">
        <f ca="1">SUMIFS($AA273:$EP273,$AA$129:$EP$129,INDIRECT(ADDRESS(129,COLUMN())))</f>
        <v>0</v>
      </c>
      <c r="FM273" s="242">
        <f t="shared" ref="FM273:FO274" si="322">SUMIFS(AF273:EU273,$AA$129:$EP$129,$FH$129)</f>
        <v>0</v>
      </c>
      <c r="FN273" s="242">
        <f t="shared" si="322"/>
        <v>0</v>
      </c>
      <c r="FO273" s="242">
        <f t="shared" si="322"/>
        <v>0</v>
      </c>
      <c r="FP273" s="244">
        <f t="shared" ca="1" si="320"/>
        <v>0.69209913835792813</v>
      </c>
      <c r="FQ273" s="245">
        <f t="shared" si="248"/>
        <v>0</v>
      </c>
      <c r="FR273" s="243">
        <f>SUMIFS(TME_MTD_Dist[Sell_WHS_QTY],TME_MTD_Dist[Dist_Name],master_Daily!$X273,TME_MTD_Dist[Brand],master_Daily!$Y273)/50000
 + SUMIFS(TME_MTD_Dist[Sell_RTL_QTY],TME_MTD_Dist[Dist_Name],master_Daily!$X273,TME_MTD_Dist[Brand],master_Daily!$Y273)/50000</f>
        <v>0</v>
      </c>
      <c r="FS273" s="245">
        <f t="shared" si="207"/>
        <v>0</v>
      </c>
    </row>
    <row r="274" spans="20:175" s="154" customFormat="1" hidden="1" outlineLevel="1">
      <c r="T274" s="155"/>
      <c r="U274" s="156"/>
      <c r="X274" s="239" t="s">
        <v>231</v>
      </c>
      <c r="Y274" s="240" t="s">
        <v>264</v>
      </c>
      <c r="Z274" s="240"/>
      <c r="AA274" s="241">
        <f t="shared" si="285"/>
        <v>0</v>
      </c>
      <c r="AB274" s="242">
        <f t="shared" si="286"/>
        <v>0</v>
      </c>
      <c r="AC274" s="241">
        <v>0</v>
      </c>
      <c r="AD274" s="243">
        <v>0</v>
      </c>
      <c r="AE274" s="243"/>
      <c r="AF274" s="243"/>
      <c r="AG274" s="241"/>
      <c r="AH274" s="243"/>
      <c r="AI274" s="243"/>
      <c r="AJ274" s="243"/>
      <c r="AK274" s="241">
        <f t="shared" si="287"/>
        <v>0.06</v>
      </c>
      <c r="AL274" s="242">
        <f t="shared" si="288"/>
        <v>0</v>
      </c>
      <c r="AM274" s="241">
        <v>0.06</v>
      </c>
      <c r="AN274" s="243">
        <v>0.06</v>
      </c>
      <c r="AO274" s="243"/>
      <c r="AP274" s="243"/>
      <c r="AQ274" s="241"/>
      <c r="AR274" s="243"/>
      <c r="AS274" s="243"/>
      <c r="AT274" s="243"/>
      <c r="AU274" s="241">
        <f t="shared" si="289"/>
        <v>0.10299999999999999</v>
      </c>
      <c r="AV274" s="242">
        <f t="shared" si="290"/>
        <v>0</v>
      </c>
      <c r="AW274" s="241">
        <v>0.10299999999999999</v>
      </c>
      <c r="AX274" s="243">
        <v>0.10299999999999999</v>
      </c>
      <c r="AY274" s="243"/>
      <c r="AZ274" s="243"/>
      <c r="BA274" s="241"/>
      <c r="BB274" s="243"/>
      <c r="BC274" s="243"/>
      <c r="BD274" s="243"/>
      <c r="BE274" s="241">
        <f t="shared" si="291"/>
        <v>7.0000000000000007E-2</v>
      </c>
      <c r="BF274" s="242">
        <f t="shared" si="292"/>
        <v>0</v>
      </c>
      <c r="BG274" s="241">
        <v>7.0000000000000007E-2</v>
      </c>
      <c r="BH274" s="243">
        <v>7.0000000000000007E-2</v>
      </c>
      <c r="BI274" s="243"/>
      <c r="BJ274" s="243"/>
      <c r="BK274" s="241"/>
      <c r="BL274" s="243"/>
      <c r="BM274" s="243"/>
      <c r="BN274" s="243"/>
      <c r="BO274" s="241">
        <f t="shared" si="293"/>
        <v>0.114</v>
      </c>
      <c r="BP274" s="242">
        <f t="shared" si="294"/>
        <v>0</v>
      </c>
      <c r="BQ274" s="241">
        <v>0.114</v>
      </c>
      <c r="BR274" s="243">
        <v>0.114</v>
      </c>
      <c r="BS274" s="243"/>
      <c r="BT274" s="243"/>
      <c r="BU274" s="241"/>
      <c r="BV274" s="243"/>
      <c r="BW274" s="243"/>
      <c r="BX274" s="243"/>
      <c r="BY274" s="241">
        <f t="shared" si="295"/>
        <v>0.08</v>
      </c>
      <c r="BZ274" s="242">
        <f t="shared" si="296"/>
        <v>0</v>
      </c>
      <c r="CA274" s="241">
        <v>0.08</v>
      </c>
      <c r="CB274" s="243">
        <v>0.08</v>
      </c>
      <c r="CC274" s="243"/>
      <c r="CD274" s="243"/>
      <c r="CE274" s="241"/>
      <c r="CF274" s="243"/>
      <c r="CG274" s="243"/>
      <c r="CH274" s="243"/>
      <c r="CI274" s="241">
        <f t="shared" si="297"/>
        <v>0</v>
      </c>
      <c r="CJ274" s="242">
        <f t="shared" si="298"/>
        <v>0</v>
      </c>
      <c r="CK274" s="241"/>
      <c r="CL274" s="243"/>
      <c r="CM274" s="243"/>
      <c r="CN274" s="243"/>
      <c r="CO274" s="241"/>
      <c r="CP274" s="243"/>
      <c r="CQ274" s="243"/>
      <c r="CR274" s="243"/>
      <c r="CS274" s="241">
        <f t="shared" si="299"/>
        <v>0</v>
      </c>
      <c r="CT274" s="242">
        <f t="shared" si="300"/>
        <v>0</v>
      </c>
      <c r="CU274" s="241"/>
      <c r="CV274" s="243"/>
      <c r="CW274" s="243"/>
      <c r="CX274" s="243"/>
      <c r="CY274" s="241"/>
      <c r="CZ274" s="243"/>
      <c r="DA274" s="243"/>
      <c r="DB274" s="243"/>
      <c r="DC274" s="241">
        <f t="shared" si="301"/>
        <v>0</v>
      </c>
      <c r="DD274" s="242">
        <f t="shared" si="302"/>
        <v>0</v>
      </c>
      <c r="DE274" s="241"/>
      <c r="DF274" s="243"/>
      <c r="DG274" s="243"/>
      <c r="DH274" s="243"/>
      <c r="DI274" s="241"/>
      <c r="DJ274" s="243"/>
      <c r="DK274" s="243"/>
      <c r="DL274" s="243"/>
      <c r="DM274" s="241">
        <f t="shared" si="303"/>
        <v>0</v>
      </c>
      <c r="DN274" s="242">
        <f t="shared" si="304"/>
        <v>0</v>
      </c>
      <c r="DO274" s="241"/>
      <c r="DP274" s="243"/>
      <c r="DQ274" s="243"/>
      <c r="DR274" s="243"/>
      <c r="DS274" s="241"/>
      <c r="DT274" s="243"/>
      <c r="DU274" s="243"/>
      <c r="DV274" s="243"/>
      <c r="DW274" s="241">
        <f t="shared" si="305"/>
        <v>0</v>
      </c>
      <c r="DX274" s="242">
        <f t="shared" si="306"/>
        <v>0</v>
      </c>
      <c r="DY274" s="241"/>
      <c r="DZ274" s="243"/>
      <c r="EA274" s="243"/>
      <c r="EB274" s="243"/>
      <c r="EC274" s="241"/>
      <c r="ED274" s="243"/>
      <c r="EE274" s="243"/>
      <c r="EF274" s="243"/>
      <c r="EG274" s="241">
        <f t="shared" si="307"/>
        <v>0</v>
      </c>
      <c r="EH274" s="242">
        <f t="shared" si="308"/>
        <v>0</v>
      </c>
      <c r="EI274" s="241"/>
      <c r="EJ274" s="243"/>
      <c r="EK274" s="243"/>
      <c r="EL274" s="243"/>
      <c r="EM274" s="241"/>
      <c r="EN274" s="243"/>
      <c r="EO274" s="243"/>
      <c r="EP274" s="243"/>
      <c r="EQ274" s="387"/>
      <c r="ER274" s="243">
        <f>SUM(ET274:EX274)</f>
        <v>0</v>
      </c>
      <c r="ES274" s="243">
        <f>IFERROR(SUMIFS(Daily_Vol_yesterday[Order Quantity],Daily_Vol_yesterday[Cust_Cat.cust_channel],master_Daily!X274,Daily_Vol_yesterday[Map_Product.TME_Brand],"CMHD")/50000,0)</f>
        <v>0</v>
      </c>
      <c r="ET274" s="243"/>
      <c r="EU274" s="243"/>
      <c r="EV274" s="242"/>
      <c r="EW274" s="243"/>
      <c r="EX274" s="243"/>
      <c r="EY274" s="243"/>
      <c r="EZ274" s="243">
        <f>SUM(FA274:FC274)</f>
        <v>0.08</v>
      </c>
      <c r="FA274" s="243">
        <f>IFERROR(SUM(SUMIFS(Weekly_Vol[Quantity],Weekly_Vol[Cust_Cat.cust_channel],master_Daily!X274,Weekly_Vol[Map_Product.TME_Brand],"CMHD"),SUMIFS(Daily_Vol[Order Quantity],Daily_Vol[Cust_Cat.cust_channel],master_Daily!X274,Daily_Vol[Map_Product.TME_Brand],"CMHD"))/50000,0)</f>
        <v>0.08</v>
      </c>
      <c r="FB274" s="243"/>
      <c r="FC274" s="243"/>
      <c r="FD274" s="243"/>
      <c r="FE274" s="243"/>
      <c r="FF274" s="243"/>
      <c r="FG274" s="243"/>
      <c r="FH274" s="243">
        <f ca="1">SUM(FI274:FK274)</f>
        <v>0.42699999999999999</v>
      </c>
      <c r="FI274" s="243">
        <f t="shared" ca="1" si="319"/>
        <v>0.42699999999999999</v>
      </c>
      <c r="FJ274" s="243">
        <f t="shared" ca="1" si="319"/>
        <v>0</v>
      </c>
      <c r="FK274" s="243">
        <f t="shared" ca="1" si="319"/>
        <v>0</v>
      </c>
      <c r="FL274" s="243">
        <f ca="1">SUMIFS($AA274:$EP274,$AA$129:$EP$129,INDIRECT(ADDRESS(129,COLUMN())))</f>
        <v>0</v>
      </c>
      <c r="FM274" s="242">
        <f t="shared" si="322"/>
        <v>0</v>
      </c>
      <c r="FN274" s="242">
        <f t="shared" si="322"/>
        <v>0</v>
      </c>
      <c r="FO274" s="242">
        <f t="shared" si="322"/>
        <v>0</v>
      </c>
      <c r="FP274" s="244">
        <f t="shared" ca="1" si="320"/>
        <v>2.6431118153907099E-2</v>
      </c>
      <c r="FQ274" s="245">
        <f t="shared" ref="FQ274:FQ305" si="323">IFERROR(EZ274/EQ274,0)</f>
        <v>0</v>
      </c>
      <c r="FR274" s="243">
        <f>SUMIFS(TME_MTD_Dist[Sell_WHS_QTY],TME_MTD_Dist[Dist_Name],master_Daily!$X274,TME_MTD_Dist[Brand],master_Daily!$Y274)/50000
 + SUMIFS(TME_MTD_Dist[Sell_RTL_QTY],TME_MTD_Dist[Dist_Name],master_Daily!$X274,TME_MTD_Dist[Brand],master_Daily!$Y274)/50000</f>
        <v>0</v>
      </c>
      <c r="FS274" s="245">
        <f t="shared" si="207"/>
        <v>0</v>
      </c>
    </row>
    <row r="275" spans="20:175" s="154" customFormat="1" collapsed="1">
      <c r="T275" s="155"/>
      <c r="U275" s="156"/>
      <c r="X275" s="246" t="s">
        <v>233</v>
      </c>
      <c r="Y275" s="247"/>
      <c r="Z275" s="247"/>
      <c r="AA275" s="248">
        <f t="shared" si="285"/>
        <v>3.0520000000000005</v>
      </c>
      <c r="AB275" s="248">
        <f t="shared" si="286"/>
        <v>0</v>
      </c>
      <c r="AC275" s="248">
        <v>3.0520000000000005</v>
      </c>
      <c r="AD275" s="248">
        <v>3.0520000000000005</v>
      </c>
      <c r="AE275" s="248">
        <v>0</v>
      </c>
      <c r="AF275" s="248">
        <v>0</v>
      </c>
      <c r="AG275" s="248">
        <v>0</v>
      </c>
      <c r="AH275" s="248">
        <v>0</v>
      </c>
      <c r="AI275" s="248">
        <v>0</v>
      </c>
      <c r="AJ275" s="248">
        <v>0</v>
      </c>
      <c r="AK275" s="248">
        <f t="shared" si="287"/>
        <v>3.3040000000000003</v>
      </c>
      <c r="AL275" s="248">
        <f t="shared" si="288"/>
        <v>0</v>
      </c>
      <c r="AM275" s="248">
        <v>3.3040000000000003</v>
      </c>
      <c r="AN275" s="248">
        <v>3.3040000000000003</v>
      </c>
      <c r="AO275" s="248">
        <v>0</v>
      </c>
      <c r="AP275" s="248">
        <v>0</v>
      </c>
      <c r="AQ275" s="248">
        <v>0</v>
      </c>
      <c r="AR275" s="248">
        <v>0</v>
      </c>
      <c r="AS275" s="248">
        <v>0</v>
      </c>
      <c r="AT275" s="248">
        <v>0</v>
      </c>
      <c r="AU275" s="248">
        <f t="shared" si="289"/>
        <v>2.9</v>
      </c>
      <c r="AV275" s="248">
        <f t="shared" si="290"/>
        <v>0</v>
      </c>
      <c r="AW275" s="248">
        <v>2.9</v>
      </c>
      <c r="AX275" s="248">
        <v>2.9</v>
      </c>
      <c r="AY275" s="248">
        <v>0</v>
      </c>
      <c r="AZ275" s="248">
        <v>0</v>
      </c>
      <c r="BA275" s="248">
        <v>0</v>
      </c>
      <c r="BB275" s="248">
        <v>0</v>
      </c>
      <c r="BC275" s="248">
        <v>0</v>
      </c>
      <c r="BD275" s="248">
        <v>0</v>
      </c>
      <c r="BE275" s="248">
        <f t="shared" si="291"/>
        <v>2.9019999999999997</v>
      </c>
      <c r="BF275" s="248">
        <f t="shared" si="292"/>
        <v>0</v>
      </c>
      <c r="BG275" s="248">
        <v>2.9019999999999997</v>
      </c>
      <c r="BH275" s="248">
        <v>2.9019999999999997</v>
      </c>
      <c r="BI275" s="248">
        <v>0</v>
      </c>
      <c r="BJ275" s="248">
        <v>0</v>
      </c>
      <c r="BK275" s="248">
        <v>0</v>
      </c>
      <c r="BL275" s="248">
        <v>0</v>
      </c>
      <c r="BM275" s="248">
        <v>0</v>
      </c>
      <c r="BN275" s="248">
        <v>0</v>
      </c>
      <c r="BO275" s="248">
        <f t="shared" si="293"/>
        <v>2.6116000000000001</v>
      </c>
      <c r="BP275" s="248">
        <f t="shared" si="294"/>
        <v>0</v>
      </c>
      <c r="BQ275" s="248">
        <v>2.6116000000000001</v>
      </c>
      <c r="BR275" s="248">
        <v>2.6116000000000001</v>
      </c>
      <c r="BS275" s="248">
        <v>0</v>
      </c>
      <c r="BT275" s="248">
        <v>0</v>
      </c>
      <c r="BU275" s="248">
        <v>0</v>
      </c>
      <c r="BV275" s="248">
        <v>0</v>
      </c>
      <c r="BW275" s="248">
        <v>0</v>
      </c>
      <c r="BX275" s="248">
        <v>0</v>
      </c>
      <c r="BY275" s="248">
        <f t="shared" si="295"/>
        <v>1.3856000000000002</v>
      </c>
      <c r="BZ275" s="248">
        <f t="shared" si="296"/>
        <v>0</v>
      </c>
      <c r="CA275" s="248">
        <v>1.3856000000000002</v>
      </c>
      <c r="CB275" s="248">
        <v>1.3856000000000002</v>
      </c>
      <c r="CC275" s="248">
        <v>0</v>
      </c>
      <c r="CD275" s="248">
        <v>0</v>
      </c>
      <c r="CE275" s="248">
        <v>0</v>
      </c>
      <c r="CF275" s="248">
        <v>0</v>
      </c>
      <c r="CG275" s="248">
        <v>0</v>
      </c>
      <c r="CH275" s="248">
        <v>0</v>
      </c>
      <c r="CI275" s="248">
        <f t="shared" si="297"/>
        <v>0</v>
      </c>
      <c r="CJ275" s="248">
        <f t="shared" si="298"/>
        <v>0</v>
      </c>
      <c r="CK275" s="248"/>
      <c r="CL275" s="248"/>
      <c r="CM275" s="248"/>
      <c r="CN275" s="248"/>
      <c r="CO275" s="248"/>
      <c r="CP275" s="248">
        <v>0</v>
      </c>
      <c r="CQ275" s="248">
        <v>0</v>
      </c>
      <c r="CR275" s="248">
        <v>0</v>
      </c>
      <c r="CS275" s="248">
        <f t="shared" si="299"/>
        <v>0</v>
      </c>
      <c r="CT275" s="248">
        <f t="shared" si="300"/>
        <v>0</v>
      </c>
      <c r="CU275" s="248"/>
      <c r="CV275" s="248"/>
      <c r="CW275" s="248"/>
      <c r="CX275" s="248"/>
      <c r="CY275" s="248"/>
      <c r="CZ275" s="248">
        <v>0</v>
      </c>
      <c r="DA275" s="248">
        <v>0</v>
      </c>
      <c r="DB275" s="248">
        <v>0</v>
      </c>
      <c r="DC275" s="248">
        <f t="shared" si="301"/>
        <v>0</v>
      </c>
      <c r="DD275" s="248">
        <f t="shared" si="302"/>
        <v>0</v>
      </c>
      <c r="DE275" s="248"/>
      <c r="DF275" s="248"/>
      <c r="DG275" s="248"/>
      <c r="DH275" s="248"/>
      <c r="DI275" s="248"/>
      <c r="DJ275" s="248">
        <v>0</v>
      </c>
      <c r="DK275" s="248">
        <v>0</v>
      </c>
      <c r="DL275" s="248">
        <v>0</v>
      </c>
      <c r="DM275" s="248">
        <f t="shared" si="303"/>
        <v>0</v>
      </c>
      <c r="DN275" s="248">
        <f t="shared" si="304"/>
        <v>0</v>
      </c>
      <c r="DO275" s="248"/>
      <c r="DP275" s="248"/>
      <c r="DQ275" s="248"/>
      <c r="DR275" s="248"/>
      <c r="DS275" s="248"/>
      <c r="DT275" s="248">
        <v>0</v>
      </c>
      <c r="DU275" s="248">
        <v>0</v>
      </c>
      <c r="DV275" s="248">
        <v>0</v>
      </c>
      <c r="DW275" s="248">
        <f t="shared" si="305"/>
        <v>0</v>
      </c>
      <c r="DX275" s="248">
        <f t="shared" si="306"/>
        <v>0</v>
      </c>
      <c r="DY275" s="248"/>
      <c r="DZ275" s="248"/>
      <c r="EA275" s="248"/>
      <c r="EB275" s="248"/>
      <c r="EC275" s="248">
        <v>0</v>
      </c>
      <c r="ED275" s="248">
        <v>0</v>
      </c>
      <c r="EE275" s="248">
        <v>0</v>
      </c>
      <c r="EF275" s="248">
        <v>0</v>
      </c>
      <c r="EG275" s="248">
        <f t="shared" si="307"/>
        <v>0</v>
      </c>
      <c r="EH275" s="248">
        <f t="shared" si="308"/>
        <v>0</v>
      </c>
      <c r="EI275" s="248"/>
      <c r="EJ275" s="248"/>
      <c r="EK275" s="248"/>
      <c r="EL275" s="248"/>
      <c r="EM275" s="248">
        <v>0</v>
      </c>
      <c r="EN275" s="248">
        <v>0</v>
      </c>
      <c r="EO275" s="248">
        <v>0</v>
      </c>
      <c r="EP275" s="248">
        <v>0</v>
      </c>
      <c r="EQ275" s="249">
        <v>2.98</v>
      </c>
      <c r="ER275" s="248">
        <f>SUM(ER270:ER274)</f>
        <v>0</v>
      </c>
      <c r="ES275" s="248">
        <f>SUM(ES270:ES274)</f>
        <v>0</v>
      </c>
      <c r="ET275" s="248">
        <f>SUM(ET270:ET274)</f>
        <v>0</v>
      </c>
      <c r="EU275" s="248">
        <f>SUM(EU270:EU274)</f>
        <v>0</v>
      </c>
      <c r="EV275" s="248"/>
      <c r="EW275" s="248"/>
      <c r="EX275" s="248"/>
      <c r="EY275" s="248"/>
      <c r="EZ275" s="248">
        <f t="shared" ref="EZ275:FK275" si="324">SUM(EZ270:EZ274)</f>
        <v>1.3856000000000002</v>
      </c>
      <c r="FA275" s="248">
        <f t="shared" si="324"/>
        <v>1.3856000000000002</v>
      </c>
      <c r="FB275" s="248">
        <f t="shared" si="324"/>
        <v>0</v>
      </c>
      <c r="FC275" s="248">
        <f t="shared" si="324"/>
        <v>0</v>
      </c>
      <c r="FD275" s="248">
        <f t="shared" si="324"/>
        <v>0</v>
      </c>
      <c r="FE275" s="248">
        <f t="shared" si="324"/>
        <v>0</v>
      </c>
      <c r="FF275" s="248">
        <f t="shared" si="324"/>
        <v>0</v>
      </c>
      <c r="FG275" s="248">
        <f t="shared" si="324"/>
        <v>0</v>
      </c>
      <c r="FH275" s="248">
        <f t="shared" ca="1" si="324"/>
        <v>16.155200000000001</v>
      </c>
      <c r="FI275" s="248">
        <f t="shared" ca="1" si="324"/>
        <v>16.155200000000001</v>
      </c>
      <c r="FJ275" s="248">
        <f t="shared" ca="1" si="324"/>
        <v>0</v>
      </c>
      <c r="FK275" s="248">
        <f t="shared" ca="1" si="324"/>
        <v>0</v>
      </c>
      <c r="FL275" s="248">
        <f ca="1">SUM(FL270:FL273)</f>
        <v>0</v>
      </c>
      <c r="FM275" s="249">
        <f ca="1">SUM(FM270:FM274)</f>
        <v>0</v>
      </c>
      <c r="FN275" s="249">
        <f ca="1">SUM(FN270:FN274)</f>
        <v>0</v>
      </c>
      <c r="FO275" s="249">
        <f ca="1">SUM(FO270:FO274)</f>
        <v>0</v>
      </c>
      <c r="FP275" s="250">
        <f t="shared" ca="1" si="320"/>
        <v>1</v>
      </c>
      <c r="FQ275" s="251">
        <f t="shared" si="323"/>
        <v>0.4649664429530202</v>
      </c>
      <c r="FR275" s="248">
        <f>SUM(FR270:FR274)</f>
        <v>0</v>
      </c>
      <c r="FS275" s="251">
        <f t="shared" si="207"/>
        <v>0</v>
      </c>
    </row>
    <row r="276" spans="20:175" s="154" customFormat="1" hidden="1" outlineLevel="1">
      <c r="T276" s="155"/>
      <c r="U276" s="156"/>
      <c r="X276" s="239" t="s">
        <v>234</v>
      </c>
      <c r="Y276" s="240" t="s">
        <v>44</v>
      </c>
      <c r="Z276" s="240"/>
      <c r="AA276" s="241">
        <f t="shared" ref="AA276:AA287" si="325">SUM(AD276:AF276)</f>
        <v>1.0999999999999999E-2</v>
      </c>
      <c r="AB276" s="242">
        <f t="shared" ref="AB276:AB287" si="326">SUM(AH276:AJ276)</f>
        <v>0</v>
      </c>
      <c r="AC276" s="241">
        <v>1.0999999999999999E-2</v>
      </c>
      <c r="AD276" s="243">
        <v>1.0999999999999999E-2</v>
      </c>
      <c r="AE276" s="243"/>
      <c r="AF276" s="243"/>
      <c r="AG276" s="241"/>
      <c r="AH276" s="243"/>
      <c r="AI276" s="243"/>
      <c r="AJ276" s="243"/>
      <c r="AK276" s="241">
        <f t="shared" ref="AK276:AK287" si="327">SUM(AN276:AP276)</f>
        <v>1.4999999999999999E-2</v>
      </c>
      <c r="AL276" s="242">
        <f t="shared" ref="AL276:AL287" si="328">SUM(AR276:AT276)</f>
        <v>0</v>
      </c>
      <c r="AM276" s="241">
        <v>1.4999999999999999E-2</v>
      </c>
      <c r="AN276" s="243">
        <v>1.4999999999999999E-2</v>
      </c>
      <c r="AO276" s="243"/>
      <c r="AP276" s="243"/>
      <c r="AQ276" s="241"/>
      <c r="AR276" s="243"/>
      <c r="AS276" s="243"/>
      <c r="AT276" s="243"/>
      <c r="AU276" s="241">
        <f t="shared" ref="AU276:AU287" si="329">SUM(AX276:AZ276)</f>
        <v>1.4E-2</v>
      </c>
      <c r="AV276" s="242">
        <f t="shared" ref="AV276:AV287" si="330">SUM(BB276:BD276)</f>
        <v>0</v>
      </c>
      <c r="AW276" s="241">
        <v>1.4E-2</v>
      </c>
      <c r="AX276" s="243">
        <v>1.4E-2</v>
      </c>
      <c r="AY276" s="243"/>
      <c r="AZ276" s="243"/>
      <c r="BA276" s="241"/>
      <c r="BB276" s="243"/>
      <c r="BC276" s="243"/>
      <c r="BD276" s="243"/>
      <c r="BE276" s="241">
        <f t="shared" ref="BE276:BE287" si="331">SUM(BH276:BJ276)</f>
        <v>1.7000000000000001E-2</v>
      </c>
      <c r="BF276" s="242">
        <f t="shared" ref="BF276:BF287" si="332">SUM(BL276:BN276)</f>
        <v>0</v>
      </c>
      <c r="BG276" s="241">
        <v>1.7000000000000001E-2</v>
      </c>
      <c r="BH276" s="243">
        <v>1.7000000000000001E-2</v>
      </c>
      <c r="BI276" s="243"/>
      <c r="BJ276" s="243"/>
      <c r="BK276" s="241"/>
      <c r="BL276" s="243"/>
      <c r="BM276" s="243"/>
      <c r="BN276" s="243"/>
      <c r="BO276" s="241">
        <f t="shared" ref="BO276:BO287" si="333">SUM(BR276:BT276)</f>
        <v>2E-3</v>
      </c>
      <c r="BP276" s="242">
        <f t="shared" ref="BP276:BP287" si="334">SUM(BV276:BX276)</f>
        <v>0</v>
      </c>
      <c r="BQ276" s="241">
        <v>2E-3</v>
      </c>
      <c r="BR276" s="243">
        <v>2E-3</v>
      </c>
      <c r="BS276" s="243"/>
      <c r="BT276" s="243"/>
      <c r="BU276" s="241"/>
      <c r="BV276" s="243"/>
      <c r="BW276" s="243"/>
      <c r="BX276" s="243"/>
      <c r="BY276" s="241">
        <f t="shared" ref="BY276:BY287" si="335">SUM(CB276:CD276)</f>
        <v>6.0000000000000001E-3</v>
      </c>
      <c r="BZ276" s="242">
        <f t="shared" ref="BZ276:BZ287" si="336">SUM(CF276:CH276)</f>
        <v>0</v>
      </c>
      <c r="CA276" s="241">
        <v>6.0000000000000001E-3</v>
      </c>
      <c r="CB276" s="243">
        <v>6.0000000000000001E-3</v>
      </c>
      <c r="CC276" s="243"/>
      <c r="CD276" s="243"/>
      <c r="CE276" s="241"/>
      <c r="CF276" s="243"/>
      <c r="CG276" s="243"/>
      <c r="CH276" s="243"/>
      <c r="CI276" s="241">
        <f t="shared" ref="CI276:CI287" si="337">SUM(CL276:CN276)</f>
        <v>0</v>
      </c>
      <c r="CJ276" s="242">
        <f t="shared" ref="CJ276:CJ287" si="338">SUM(CP276:CR276)</f>
        <v>0</v>
      </c>
      <c r="CK276" s="241"/>
      <c r="CL276" s="243"/>
      <c r="CM276" s="243"/>
      <c r="CN276" s="243"/>
      <c r="CO276" s="241"/>
      <c r="CP276" s="243"/>
      <c r="CQ276" s="243"/>
      <c r="CR276" s="243"/>
      <c r="CS276" s="241">
        <f t="shared" ref="CS276:CS287" si="339">SUM(CV276:CX276)</f>
        <v>0</v>
      </c>
      <c r="CT276" s="242">
        <f t="shared" ref="CT276:CT287" si="340">SUM(CZ276:DB276)</f>
        <v>0</v>
      </c>
      <c r="CU276" s="241"/>
      <c r="CV276" s="243"/>
      <c r="CW276" s="243"/>
      <c r="CX276" s="243"/>
      <c r="CY276" s="241"/>
      <c r="CZ276" s="243"/>
      <c r="DA276" s="243"/>
      <c r="DB276" s="243"/>
      <c r="DC276" s="241">
        <f t="shared" ref="DC276:DC287" si="341">SUM(DF276:DH276)</f>
        <v>0</v>
      </c>
      <c r="DD276" s="242">
        <f t="shared" ref="DD276:DD287" si="342">SUM(DJ276:DL276)</f>
        <v>0</v>
      </c>
      <c r="DE276" s="241"/>
      <c r="DF276" s="243"/>
      <c r="DG276" s="243"/>
      <c r="DH276" s="243"/>
      <c r="DI276" s="241"/>
      <c r="DJ276" s="243"/>
      <c r="DK276" s="243"/>
      <c r="DL276" s="243"/>
      <c r="DM276" s="241">
        <f t="shared" ref="DM276:DM287" si="343">SUM(DP276:DR276)</f>
        <v>0</v>
      </c>
      <c r="DN276" s="242">
        <f t="shared" ref="DN276:DN287" si="344">SUM(DT276:DV276)</f>
        <v>0</v>
      </c>
      <c r="DO276" s="241"/>
      <c r="DP276" s="243"/>
      <c r="DQ276" s="243"/>
      <c r="DR276" s="243"/>
      <c r="DS276" s="241"/>
      <c r="DT276" s="243"/>
      <c r="DU276" s="243"/>
      <c r="DV276" s="243"/>
      <c r="DW276" s="241">
        <f t="shared" ref="DW276:DW287" si="345">SUM(DZ276:EB276)</f>
        <v>0</v>
      </c>
      <c r="DX276" s="242">
        <f t="shared" ref="DX276:DX287" si="346">SUM(ED276:EF276)</f>
        <v>0</v>
      </c>
      <c r="DY276" s="241"/>
      <c r="DZ276" s="243"/>
      <c r="EA276" s="243"/>
      <c r="EB276" s="243"/>
      <c r="EC276" s="241"/>
      <c r="ED276" s="243"/>
      <c r="EE276" s="243"/>
      <c r="EF276" s="243"/>
      <c r="EG276" s="241">
        <f t="shared" ref="EG276:EG287" si="347">SUM(EJ276:EL276)</f>
        <v>0</v>
      </c>
      <c r="EH276" s="242">
        <f t="shared" ref="EH276:EH287" si="348">SUM(EN276:EP276)</f>
        <v>0</v>
      </c>
      <c r="EI276" s="241"/>
      <c r="EJ276" s="243"/>
      <c r="EK276" s="243"/>
      <c r="EL276" s="243"/>
      <c r="EM276" s="241"/>
      <c r="EN276" s="243"/>
      <c r="EO276" s="243"/>
      <c r="EP276" s="243"/>
      <c r="EQ276" s="387"/>
      <c r="ER276" s="243">
        <f>SUM(ET276:EX276)</f>
        <v>0</v>
      </c>
      <c r="ES276" s="243">
        <f>IFERROR(SUMIFS(Daily_Vol_yesterday[Order Quantity],Daily_Vol_yesterday[Cust_Cat.cust_channel],master_Daily!X276,Daily_Vol_yesterday[Map_Product.TME_Brand],master_Daily!Y276)/50000,0)</f>
        <v>0</v>
      </c>
      <c r="ET276" s="243"/>
      <c r="EU276" s="243"/>
      <c r="EV276" s="242"/>
      <c r="EW276" s="243"/>
      <c r="EX276" s="243"/>
      <c r="EY276" s="243"/>
      <c r="EZ276" s="325">
        <f>SUM(FA276:FC276)</f>
        <v>6.0000000000000001E-3</v>
      </c>
      <c r="FA276" s="243">
        <f>IFERROR(SUM(SUMIFS(Weekly_Vol[Quantity],Weekly_Vol[Cust_Cat.cust_channel],master_Daily!X276,Weekly_Vol[Map_Product.TME_Brand],master_Daily!Y276),SUMIFS(Daily_Vol[Order Quantity],Daily_Vol[Cust_Cat.cust_channel],master_Daily!X276,Daily_Vol[Map_Product.TME_Brand],master_Daily!Y276))/50000,0)</f>
        <v>6.0000000000000001E-3</v>
      </c>
      <c r="FB276" s="243"/>
      <c r="FC276" s="243"/>
      <c r="FD276" s="243"/>
      <c r="FE276" s="243"/>
      <c r="FF276" s="243"/>
      <c r="FG276" s="243"/>
      <c r="FH276" s="325">
        <f ca="1">SUM(FI276:FK276)</f>
        <v>6.5000000000000002E-2</v>
      </c>
      <c r="FI276" s="243">
        <f t="shared" ref="FI276:FK280" ca="1" si="349">SUMIFS($AA276:$EP276,$AA$129:$EP$129,INDIRECT(ADDRESS(129,COLUMN())))</f>
        <v>6.5000000000000002E-2</v>
      </c>
      <c r="FJ276" s="243">
        <f t="shared" ca="1" si="349"/>
        <v>0</v>
      </c>
      <c r="FK276" s="243">
        <f t="shared" ca="1" si="349"/>
        <v>0</v>
      </c>
      <c r="FL276" s="243">
        <f ca="1">SUMIFS($AA276:$EP276,$AA$129:$EP$129,INDIRECT(ADDRESS(38,COLUMN())))</f>
        <v>0</v>
      </c>
      <c r="FM276" s="243">
        <f ca="1">SUMIFS($AA276:$EP276,$AA$129:$EP$129,INDIRECT(ADDRESS(38,COLUMN())))</f>
        <v>0</v>
      </c>
      <c r="FN276" s="243">
        <f ca="1">SUMIFS($AA276:$EP276,$AA$129:$EP$129,INDIRECT(ADDRESS(38,COLUMN())))</f>
        <v>0</v>
      </c>
      <c r="FO276" s="243">
        <f ca="1">SUMIFS($AA276:$EP276,$AA$129:$EP$129,INDIRECT(ADDRESS(38,COLUMN())))</f>
        <v>0</v>
      </c>
      <c r="FP276" s="244">
        <f t="shared" ref="FP276:FP281" ca="1" si="350">IFERROR(FH276/$FH$281,0)</f>
        <v>5.1916932907348249E-3</v>
      </c>
      <c r="FQ276" s="245">
        <f t="shared" si="323"/>
        <v>0</v>
      </c>
      <c r="FR276" s="243">
        <f>SUMIFS(TME_MTD_Dist[Sell_WHS_QTY],TME_MTD_Dist[Dist_Name],master_Daily!$X276,TME_MTD_Dist[Brand],master_Daily!$Y276)/50000
 + SUMIFS(TME_MTD_Dist[Sell_RTL_QTY],TME_MTD_Dist[Dist_Name],master_Daily!$X276,TME_MTD_Dist[Brand],master_Daily!$Y276)/50000</f>
        <v>0</v>
      </c>
      <c r="FS276" s="245">
        <f t="shared" si="207"/>
        <v>0</v>
      </c>
    </row>
    <row r="277" spans="20:175" s="154" customFormat="1" hidden="1" outlineLevel="1">
      <c r="T277" s="155"/>
      <c r="U277" s="156"/>
      <c r="X277" s="239" t="s">
        <v>234</v>
      </c>
      <c r="Y277" s="240" t="s">
        <v>45</v>
      </c>
      <c r="Z277" s="240"/>
      <c r="AA277" s="241">
        <f t="shared" si="325"/>
        <v>3.7199999999999997E-2</v>
      </c>
      <c r="AB277" s="242">
        <f t="shared" si="326"/>
        <v>0</v>
      </c>
      <c r="AC277" s="241">
        <v>3.7199999999999997E-2</v>
      </c>
      <c r="AD277" s="243">
        <v>3.7199999999999997E-2</v>
      </c>
      <c r="AE277" s="243"/>
      <c r="AF277" s="243"/>
      <c r="AG277" s="241"/>
      <c r="AH277" s="243"/>
      <c r="AI277" s="243"/>
      <c r="AJ277" s="243"/>
      <c r="AK277" s="241">
        <f t="shared" si="327"/>
        <v>4.4999999999999998E-2</v>
      </c>
      <c r="AL277" s="242">
        <f t="shared" si="328"/>
        <v>0</v>
      </c>
      <c r="AM277" s="241">
        <v>4.4999999999999998E-2</v>
      </c>
      <c r="AN277" s="243">
        <v>4.4999999999999998E-2</v>
      </c>
      <c r="AO277" s="243"/>
      <c r="AP277" s="243"/>
      <c r="AQ277" s="241"/>
      <c r="AR277" s="243"/>
      <c r="AS277" s="243"/>
      <c r="AT277" s="243"/>
      <c r="AU277" s="241">
        <f t="shared" si="329"/>
        <v>5.6000000000000001E-2</v>
      </c>
      <c r="AV277" s="242">
        <f t="shared" si="330"/>
        <v>0</v>
      </c>
      <c r="AW277" s="241">
        <v>5.6000000000000001E-2</v>
      </c>
      <c r="AX277" s="243">
        <v>5.6000000000000001E-2</v>
      </c>
      <c r="AY277" s="243"/>
      <c r="AZ277" s="243"/>
      <c r="BA277" s="241"/>
      <c r="BB277" s="243"/>
      <c r="BC277" s="243"/>
      <c r="BD277" s="243"/>
      <c r="BE277" s="241">
        <f t="shared" si="331"/>
        <v>2.3E-2</v>
      </c>
      <c r="BF277" s="242">
        <f t="shared" si="332"/>
        <v>0</v>
      </c>
      <c r="BG277" s="241">
        <v>2.3E-2</v>
      </c>
      <c r="BH277" s="243">
        <v>2.3E-2</v>
      </c>
      <c r="BI277" s="243"/>
      <c r="BJ277" s="243"/>
      <c r="BK277" s="241"/>
      <c r="BL277" s="243"/>
      <c r="BM277" s="243"/>
      <c r="BN277" s="243"/>
      <c r="BO277" s="241">
        <f t="shared" si="333"/>
        <v>8.0000000000000002E-3</v>
      </c>
      <c r="BP277" s="242">
        <f t="shared" si="334"/>
        <v>0</v>
      </c>
      <c r="BQ277" s="241">
        <v>8.0000000000000002E-3</v>
      </c>
      <c r="BR277" s="243">
        <v>8.0000000000000002E-3</v>
      </c>
      <c r="BS277" s="243"/>
      <c r="BT277" s="243"/>
      <c r="BU277" s="241"/>
      <c r="BV277" s="243"/>
      <c r="BW277" s="243"/>
      <c r="BX277" s="243"/>
      <c r="BY277" s="241">
        <f t="shared" si="335"/>
        <v>4.0000000000000001E-3</v>
      </c>
      <c r="BZ277" s="242">
        <f t="shared" si="336"/>
        <v>0</v>
      </c>
      <c r="CA277" s="241">
        <v>4.0000000000000001E-3</v>
      </c>
      <c r="CB277" s="243">
        <v>4.0000000000000001E-3</v>
      </c>
      <c r="CC277" s="243"/>
      <c r="CD277" s="243"/>
      <c r="CE277" s="241"/>
      <c r="CF277" s="243"/>
      <c r="CG277" s="243"/>
      <c r="CH277" s="243"/>
      <c r="CI277" s="241">
        <f t="shared" si="337"/>
        <v>0</v>
      </c>
      <c r="CJ277" s="242">
        <f t="shared" si="338"/>
        <v>0</v>
      </c>
      <c r="CK277" s="241"/>
      <c r="CL277" s="243"/>
      <c r="CM277" s="243"/>
      <c r="CN277" s="243"/>
      <c r="CO277" s="241"/>
      <c r="CP277" s="243"/>
      <c r="CQ277" s="243"/>
      <c r="CR277" s="243"/>
      <c r="CS277" s="241">
        <f t="shared" si="339"/>
        <v>0</v>
      </c>
      <c r="CT277" s="242">
        <f t="shared" si="340"/>
        <v>0</v>
      </c>
      <c r="CU277" s="241"/>
      <c r="CV277" s="243"/>
      <c r="CW277" s="243"/>
      <c r="CX277" s="243"/>
      <c r="CY277" s="241"/>
      <c r="CZ277" s="243"/>
      <c r="DA277" s="243"/>
      <c r="DB277" s="243"/>
      <c r="DC277" s="241">
        <f t="shared" si="341"/>
        <v>0</v>
      </c>
      <c r="DD277" s="242">
        <f t="shared" si="342"/>
        <v>0</v>
      </c>
      <c r="DE277" s="241"/>
      <c r="DF277" s="243"/>
      <c r="DG277" s="243"/>
      <c r="DH277" s="243"/>
      <c r="DI277" s="241"/>
      <c r="DJ277" s="243"/>
      <c r="DK277" s="243"/>
      <c r="DL277" s="243"/>
      <c r="DM277" s="241">
        <f t="shared" si="343"/>
        <v>0</v>
      </c>
      <c r="DN277" s="242">
        <f t="shared" si="344"/>
        <v>0</v>
      </c>
      <c r="DO277" s="241"/>
      <c r="DP277" s="243"/>
      <c r="DQ277" s="243"/>
      <c r="DR277" s="243"/>
      <c r="DS277" s="241"/>
      <c r="DT277" s="243"/>
      <c r="DU277" s="243"/>
      <c r="DV277" s="243"/>
      <c r="DW277" s="241">
        <f t="shared" si="345"/>
        <v>0</v>
      </c>
      <c r="DX277" s="242">
        <f t="shared" si="346"/>
        <v>0</v>
      </c>
      <c r="DY277" s="241"/>
      <c r="DZ277" s="243"/>
      <c r="EA277" s="243"/>
      <c r="EB277" s="243"/>
      <c r="EC277" s="241"/>
      <c r="ED277" s="243"/>
      <c r="EE277" s="243"/>
      <c r="EF277" s="243"/>
      <c r="EG277" s="241">
        <f t="shared" si="347"/>
        <v>0</v>
      </c>
      <c r="EH277" s="242">
        <f t="shared" si="348"/>
        <v>0</v>
      </c>
      <c r="EI277" s="241"/>
      <c r="EJ277" s="243"/>
      <c r="EK277" s="243"/>
      <c r="EL277" s="243"/>
      <c r="EM277" s="241"/>
      <c r="EN277" s="243"/>
      <c r="EO277" s="243"/>
      <c r="EP277" s="243"/>
      <c r="EQ277" s="387"/>
      <c r="ER277" s="243">
        <f>SUM(ET277:EX277)</f>
        <v>0</v>
      </c>
      <c r="ES277" s="243">
        <f>IFERROR(SUMIFS(Daily_Vol_yesterday[Order Quantity],Daily_Vol_yesterday[Cust_Cat.cust_channel],master_Daily!X277,Daily_Vol_yesterday[Map_Product.TME_Brand],master_Daily!Y277)/50000,0)</f>
        <v>0</v>
      </c>
      <c r="ET277" s="243"/>
      <c r="EU277" s="243"/>
      <c r="EV277" s="242"/>
      <c r="EW277" s="243"/>
      <c r="EX277" s="243"/>
      <c r="EY277" s="243"/>
      <c r="EZ277" s="325">
        <f>SUM(FA277:FC277)</f>
        <v>4.0000000000000001E-3</v>
      </c>
      <c r="FA277" s="243">
        <f>IFERROR(SUM(SUMIFS(Weekly_Vol[Quantity],Weekly_Vol[Cust_Cat.cust_channel],master_Daily!X277,Weekly_Vol[Map_Product.TME_Brand],master_Daily!Y277),SUMIFS(Daily_Vol[Order Quantity],Daily_Vol[Cust_Cat.cust_channel],master_Daily!X277,Daily_Vol[Map_Product.TME_Brand],master_Daily!Y277))/50000,0)</f>
        <v>4.0000000000000001E-3</v>
      </c>
      <c r="FB277" s="243"/>
      <c r="FC277" s="243"/>
      <c r="FD277" s="243"/>
      <c r="FE277" s="243"/>
      <c r="FF277" s="243"/>
      <c r="FG277" s="243"/>
      <c r="FH277" s="325">
        <f ca="1">SUM(FI277:FK277)</f>
        <v>0.17319999999999999</v>
      </c>
      <c r="FI277" s="243">
        <f t="shared" ca="1" si="349"/>
        <v>0.17319999999999999</v>
      </c>
      <c r="FJ277" s="243">
        <f t="shared" ca="1" si="349"/>
        <v>0</v>
      </c>
      <c r="FK277" s="243">
        <f t="shared" ca="1" si="349"/>
        <v>0</v>
      </c>
      <c r="FL277" s="243">
        <f t="shared" ref="FL277:FO278" ca="1" si="351">SUMIFS($AA277:$EP277,$AA$129:$EP$129,INDIRECT(ADDRESS(129,COLUMN())))</f>
        <v>0</v>
      </c>
      <c r="FM277" s="242">
        <f t="shared" ca="1" si="351"/>
        <v>0</v>
      </c>
      <c r="FN277" s="242">
        <f t="shared" ca="1" si="351"/>
        <v>0</v>
      </c>
      <c r="FO277" s="242">
        <f t="shared" ca="1" si="351"/>
        <v>0</v>
      </c>
      <c r="FP277" s="244">
        <f t="shared" ca="1" si="350"/>
        <v>1.3833865814696486E-2</v>
      </c>
      <c r="FQ277" s="245">
        <f t="shared" si="323"/>
        <v>0</v>
      </c>
      <c r="FR277" s="243">
        <f>SUMIFS(TME_MTD_Dist[Sell_WHS_QTY],TME_MTD_Dist[Dist_Name],master_Daily!$X277,TME_MTD_Dist[Brand],master_Daily!$Y277)/50000
 + SUMIFS(TME_MTD_Dist[Sell_RTL_QTY],TME_MTD_Dist[Dist_Name],master_Daily!$X277,TME_MTD_Dist[Brand],master_Daily!$Y277)/50000</f>
        <v>0</v>
      </c>
      <c r="FS277" s="245">
        <f t="shared" si="207"/>
        <v>0</v>
      </c>
    </row>
    <row r="278" spans="20:175" s="154" customFormat="1" hidden="1" outlineLevel="1">
      <c r="T278" s="155"/>
      <c r="U278" s="156"/>
      <c r="X278" s="239" t="s">
        <v>234</v>
      </c>
      <c r="Y278" s="240" t="s">
        <v>46</v>
      </c>
      <c r="Z278" s="240"/>
      <c r="AA278" s="241">
        <f t="shared" si="325"/>
        <v>0.4904</v>
      </c>
      <c r="AB278" s="242">
        <f t="shared" si="326"/>
        <v>0</v>
      </c>
      <c r="AC278" s="241">
        <v>0.4904</v>
      </c>
      <c r="AD278" s="243">
        <v>0.4904</v>
      </c>
      <c r="AE278" s="243"/>
      <c r="AF278" s="243"/>
      <c r="AG278" s="241"/>
      <c r="AH278" s="243"/>
      <c r="AI278" s="243"/>
      <c r="AJ278" s="243"/>
      <c r="AK278" s="241">
        <f t="shared" si="327"/>
        <v>0.67</v>
      </c>
      <c r="AL278" s="242">
        <f t="shared" si="328"/>
        <v>0</v>
      </c>
      <c r="AM278" s="241">
        <v>0.67</v>
      </c>
      <c r="AN278" s="243">
        <v>0.67</v>
      </c>
      <c r="AO278" s="243"/>
      <c r="AP278" s="243"/>
      <c r="AQ278" s="241"/>
      <c r="AR278" s="243"/>
      <c r="AS278" s="243"/>
      <c r="AT278" s="243"/>
      <c r="AU278" s="241">
        <f t="shared" si="329"/>
        <v>0.44</v>
      </c>
      <c r="AV278" s="242">
        <f t="shared" si="330"/>
        <v>0</v>
      </c>
      <c r="AW278" s="241">
        <v>0.44</v>
      </c>
      <c r="AX278" s="243">
        <v>0.44</v>
      </c>
      <c r="AY278" s="243"/>
      <c r="AZ278" s="243"/>
      <c r="BA278" s="241"/>
      <c r="BB278" s="243"/>
      <c r="BC278" s="243"/>
      <c r="BD278" s="243"/>
      <c r="BE278" s="241">
        <f t="shared" si="331"/>
        <v>0.63</v>
      </c>
      <c r="BF278" s="242">
        <f t="shared" si="332"/>
        <v>0</v>
      </c>
      <c r="BG278" s="241">
        <v>0.63</v>
      </c>
      <c r="BH278" s="243">
        <v>0.63</v>
      </c>
      <c r="BI278" s="243"/>
      <c r="BJ278" s="243"/>
      <c r="BK278" s="241"/>
      <c r="BL278" s="243"/>
      <c r="BM278" s="243"/>
      <c r="BN278" s="243"/>
      <c r="BO278" s="241">
        <f t="shared" si="333"/>
        <v>0.33</v>
      </c>
      <c r="BP278" s="242">
        <f t="shared" si="334"/>
        <v>0</v>
      </c>
      <c r="BQ278" s="241">
        <v>0.33</v>
      </c>
      <c r="BR278" s="243">
        <v>0.33</v>
      </c>
      <c r="BS278" s="243"/>
      <c r="BT278" s="243"/>
      <c r="BU278" s="241"/>
      <c r="BV278" s="243"/>
      <c r="BW278" s="243"/>
      <c r="BX278" s="243"/>
      <c r="BY278" s="241">
        <f t="shared" si="335"/>
        <v>0.21</v>
      </c>
      <c r="BZ278" s="242">
        <f t="shared" si="336"/>
        <v>0</v>
      </c>
      <c r="CA278" s="241">
        <v>0.21</v>
      </c>
      <c r="CB278" s="243">
        <v>0.21</v>
      </c>
      <c r="CC278" s="243"/>
      <c r="CD278" s="243"/>
      <c r="CE278" s="241"/>
      <c r="CF278" s="243"/>
      <c r="CG278" s="243"/>
      <c r="CH278" s="243"/>
      <c r="CI278" s="241">
        <f t="shared" si="337"/>
        <v>0</v>
      </c>
      <c r="CJ278" s="242">
        <f t="shared" si="338"/>
        <v>0</v>
      </c>
      <c r="CK278" s="241"/>
      <c r="CL278" s="243"/>
      <c r="CM278" s="243"/>
      <c r="CN278" s="243"/>
      <c r="CO278" s="241"/>
      <c r="CP278" s="243"/>
      <c r="CQ278" s="243"/>
      <c r="CR278" s="243"/>
      <c r="CS278" s="241">
        <f t="shared" si="339"/>
        <v>0</v>
      </c>
      <c r="CT278" s="242">
        <f t="shared" si="340"/>
        <v>0</v>
      </c>
      <c r="CU278" s="241"/>
      <c r="CV278" s="243"/>
      <c r="CW278" s="243"/>
      <c r="CX278" s="243"/>
      <c r="CY278" s="241"/>
      <c r="CZ278" s="243"/>
      <c r="DA278" s="243"/>
      <c r="DB278" s="243"/>
      <c r="DC278" s="241">
        <f t="shared" si="341"/>
        <v>0</v>
      </c>
      <c r="DD278" s="242">
        <f t="shared" si="342"/>
        <v>0</v>
      </c>
      <c r="DE278" s="241"/>
      <c r="DF278" s="243"/>
      <c r="DG278" s="243"/>
      <c r="DH278" s="243"/>
      <c r="DI278" s="241"/>
      <c r="DJ278" s="243"/>
      <c r="DK278" s="243"/>
      <c r="DL278" s="243"/>
      <c r="DM278" s="241">
        <f t="shared" si="343"/>
        <v>0</v>
      </c>
      <c r="DN278" s="242">
        <f t="shared" si="344"/>
        <v>0</v>
      </c>
      <c r="DO278" s="241"/>
      <c r="DP278" s="243"/>
      <c r="DQ278" s="243"/>
      <c r="DR278" s="243"/>
      <c r="DS278" s="241"/>
      <c r="DT278" s="243"/>
      <c r="DU278" s="243"/>
      <c r="DV278" s="243"/>
      <c r="DW278" s="241">
        <f t="shared" si="345"/>
        <v>0</v>
      </c>
      <c r="DX278" s="242">
        <f t="shared" si="346"/>
        <v>0</v>
      </c>
      <c r="DY278" s="241"/>
      <c r="DZ278" s="243"/>
      <c r="EA278" s="243"/>
      <c r="EB278" s="243"/>
      <c r="EC278" s="241"/>
      <c r="ED278" s="243"/>
      <c r="EE278" s="243"/>
      <c r="EF278" s="243"/>
      <c r="EG278" s="241">
        <f t="shared" si="347"/>
        <v>0</v>
      </c>
      <c r="EH278" s="242">
        <f t="shared" si="348"/>
        <v>0</v>
      </c>
      <c r="EI278" s="241"/>
      <c r="EJ278" s="243"/>
      <c r="EK278" s="243"/>
      <c r="EL278" s="243"/>
      <c r="EM278" s="241"/>
      <c r="EN278" s="243"/>
      <c r="EO278" s="243"/>
      <c r="EP278" s="243"/>
      <c r="EQ278" s="387"/>
      <c r="ER278" s="243">
        <f>SUM(ET278:EX278)</f>
        <v>0</v>
      </c>
      <c r="ES278" s="243">
        <f>IFERROR(SUMIFS(Daily_Vol_yesterday[Order Quantity],Daily_Vol_yesterday[Cust_Cat.cust_channel],master_Daily!X278,Daily_Vol_yesterday[Map_Product.TME_Brand],master_Daily!Y278)/50000,0)</f>
        <v>0</v>
      </c>
      <c r="ET278" s="243"/>
      <c r="EU278" s="243"/>
      <c r="EV278" s="242"/>
      <c r="EW278" s="243"/>
      <c r="EX278" s="243"/>
      <c r="EY278" s="243"/>
      <c r="EZ278" s="325">
        <f>SUM(FA278:FC278)</f>
        <v>0.21</v>
      </c>
      <c r="FA278" s="243">
        <f>IFERROR(SUM(SUMIFS(Weekly_Vol[Quantity],Weekly_Vol[Cust_Cat.cust_channel],master_Daily!X278,Weekly_Vol[Map_Product.TME_Brand],master_Daily!Y278),SUMIFS(Daily_Vol[Order Quantity],Daily_Vol[Cust_Cat.cust_channel],master_Daily!X278,Daily_Vol[Map_Product.TME_Brand],master_Daily!Y278))/50000,0)</f>
        <v>0.21</v>
      </c>
      <c r="FB278" s="243"/>
      <c r="FC278" s="243"/>
      <c r="FD278" s="243"/>
      <c r="FE278" s="243"/>
      <c r="FF278" s="243"/>
      <c r="FG278" s="243"/>
      <c r="FH278" s="325">
        <f ca="1">SUM(FI278:FK278)</f>
        <v>2.7704</v>
      </c>
      <c r="FI278" s="243">
        <f t="shared" ca="1" si="349"/>
        <v>2.7704</v>
      </c>
      <c r="FJ278" s="243">
        <f t="shared" ca="1" si="349"/>
        <v>0</v>
      </c>
      <c r="FK278" s="243">
        <f t="shared" ca="1" si="349"/>
        <v>0</v>
      </c>
      <c r="FL278" s="243">
        <f t="shared" ca="1" si="351"/>
        <v>0</v>
      </c>
      <c r="FM278" s="242">
        <f t="shared" ca="1" si="351"/>
        <v>0</v>
      </c>
      <c r="FN278" s="242">
        <f t="shared" ca="1" si="351"/>
        <v>0</v>
      </c>
      <c r="FO278" s="242">
        <f t="shared" ca="1" si="351"/>
        <v>0</v>
      </c>
      <c r="FP278" s="244">
        <f t="shared" ca="1" si="350"/>
        <v>0.22127795527156549</v>
      </c>
      <c r="FQ278" s="245">
        <f t="shared" si="323"/>
        <v>0</v>
      </c>
      <c r="FR278" s="243">
        <f>SUMIFS(TME_MTD_Dist[Sell_WHS_QTY],TME_MTD_Dist[Dist_Name],master_Daily!$X278,TME_MTD_Dist[Brand],master_Daily!$Y278)/50000
 + SUMIFS(TME_MTD_Dist[Sell_RTL_QTY],TME_MTD_Dist[Dist_Name],master_Daily!$X278,TME_MTD_Dist[Brand],master_Daily!$Y278)/50000</f>
        <v>0</v>
      </c>
      <c r="FS278" s="245">
        <f t="shared" si="207"/>
        <v>0</v>
      </c>
    </row>
    <row r="279" spans="20:175" s="154" customFormat="1" hidden="1" outlineLevel="1">
      <c r="T279" s="155"/>
      <c r="U279" s="156"/>
      <c r="X279" s="239" t="s">
        <v>234</v>
      </c>
      <c r="Y279" s="240" t="s">
        <v>263</v>
      </c>
      <c r="Z279" s="240"/>
      <c r="AA279" s="241">
        <f t="shared" si="325"/>
        <v>1.7314000000000001</v>
      </c>
      <c r="AB279" s="242">
        <f t="shared" si="326"/>
        <v>0</v>
      </c>
      <c r="AC279" s="241">
        <v>1.7314000000000001</v>
      </c>
      <c r="AD279" s="243">
        <v>1.7314000000000001</v>
      </c>
      <c r="AE279" s="243"/>
      <c r="AF279" s="243"/>
      <c r="AG279" s="241"/>
      <c r="AH279" s="243"/>
      <c r="AI279" s="243"/>
      <c r="AJ279" s="243"/>
      <c r="AK279" s="241">
        <f t="shared" si="327"/>
        <v>1.81</v>
      </c>
      <c r="AL279" s="242">
        <f t="shared" si="328"/>
        <v>0</v>
      </c>
      <c r="AM279" s="241">
        <v>1.81</v>
      </c>
      <c r="AN279" s="243">
        <v>1.81</v>
      </c>
      <c r="AO279" s="243"/>
      <c r="AP279" s="243"/>
      <c r="AQ279" s="241"/>
      <c r="AR279" s="243"/>
      <c r="AS279" s="243"/>
      <c r="AT279" s="243"/>
      <c r="AU279" s="241">
        <f t="shared" si="329"/>
        <v>2.09</v>
      </c>
      <c r="AV279" s="242">
        <f t="shared" si="330"/>
        <v>0</v>
      </c>
      <c r="AW279" s="241">
        <v>2.09</v>
      </c>
      <c r="AX279" s="243">
        <v>2.09</v>
      </c>
      <c r="AY279" s="243"/>
      <c r="AZ279" s="243"/>
      <c r="BA279" s="241"/>
      <c r="BB279" s="243"/>
      <c r="BC279" s="243"/>
      <c r="BD279" s="243"/>
      <c r="BE279" s="241">
        <f t="shared" si="331"/>
        <v>1.86</v>
      </c>
      <c r="BF279" s="242">
        <f t="shared" si="332"/>
        <v>0</v>
      </c>
      <c r="BG279" s="241">
        <v>1.86</v>
      </c>
      <c r="BH279" s="243">
        <v>1.86</v>
      </c>
      <c r="BI279" s="243"/>
      <c r="BJ279" s="243"/>
      <c r="BK279" s="241"/>
      <c r="BL279" s="243"/>
      <c r="BM279" s="243"/>
      <c r="BN279" s="243"/>
      <c r="BO279" s="241">
        <f t="shared" si="333"/>
        <v>1.01</v>
      </c>
      <c r="BP279" s="242">
        <f t="shared" si="334"/>
        <v>0</v>
      </c>
      <c r="BQ279" s="241">
        <v>1.01</v>
      </c>
      <c r="BR279" s="243">
        <v>1.01</v>
      </c>
      <c r="BS279" s="243"/>
      <c r="BT279" s="243"/>
      <c r="BU279" s="241"/>
      <c r="BV279" s="243"/>
      <c r="BW279" s="243"/>
      <c r="BX279" s="243"/>
      <c r="BY279" s="241">
        <f t="shared" si="335"/>
        <v>0.53</v>
      </c>
      <c r="BZ279" s="242">
        <f t="shared" si="336"/>
        <v>0</v>
      </c>
      <c r="CA279" s="241">
        <v>0.53</v>
      </c>
      <c r="CB279" s="243">
        <v>0.53</v>
      </c>
      <c r="CC279" s="243"/>
      <c r="CD279" s="243"/>
      <c r="CE279" s="241"/>
      <c r="CF279" s="243"/>
      <c r="CG279" s="243"/>
      <c r="CH279" s="243"/>
      <c r="CI279" s="241">
        <f t="shared" si="337"/>
        <v>0</v>
      </c>
      <c r="CJ279" s="242">
        <f t="shared" si="338"/>
        <v>0</v>
      </c>
      <c r="CK279" s="241"/>
      <c r="CL279" s="243"/>
      <c r="CM279" s="243"/>
      <c r="CN279" s="243"/>
      <c r="CO279" s="241"/>
      <c r="CP279" s="243"/>
      <c r="CQ279" s="243"/>
      <c r="CR279" s="243"/>
      <c r="CS279" s="241">
        <f t="shared" si="339"/>
        <v>0</v>
      </c>
      <c r="CT279" s="242">
        <f t="shared" si="340"/>
        <v>0</v>
      </c>
      <c r="CU279" s="241"/>
      <c r="CV279" s="243"/>
      <c r="CW279" s="243"/>
      <c r="CX279" s="243"/>
      <c r="CY279" s="241"/>
      <c r="CZ279" s="243"/>
      <c r="DA279" s="243"/>
      <c r="DB279" s="243"/>
      <c r="DC279" s="241">
        <f t="shared" si="341"/>
        <v>0</v>
      </c>
      <c r="DD279" s="242">
        <f t="shared" si="342"/>
        <v>0</v>
      </c>
      <c r="DE279" s="241"/>
      <c r="DF279" s="243"/>
      <c r="DG279" s="243"/>
      <c r="DH279" s="243"/>
      <c r="DI279" s="241"/>
      <c r="DJ279" s="243"/>
      <c r="DK279" s="243"/>
      <c r="DL279" s="243"/>
      <c r="DM279" s="241">
        <f t="shared" si="343"/>
        <v>0</v>
      </c>
      <c r="DN279" s="242">
        <f t="shared" si="344"/>
        <v>0</v>
      </c>
      <c r="DO279" s="241"/>
      <c r="DP279" s="243"/>
      <c r="DQ279" s="243"/>
      <c r="DR279" s="243"/>
      <c r="DS279" s="241"/>
      <c r="DT279" s="243"/>
      <c r="DU279" s="243"/>
      <c r="DV279" s="243"/>
      <c r="DW279" s="241">
        <f t="shared" si="345"/>
        <v>0</v>
      </c>
      <c r="DX279" s="242">
        <f t="shared" si="346"/>
        <v>0</v>
      </c>
      <c r="DY279" s="241"/>
      <c r="DZ279" s="243"/>
      <c r="EA279" s="243"/>
      <c r="EB279" s="243"/>
      <c r="EC279" s="241"/>
      <c r="ED279" s="243"/>
      <c r="EE279" s="243"/>
      <c r="EF279" s="243"/>
      <c r="EG279" s="241">
        <f t="shared" si="347"/>
        <v>0</v>
      </c>
      <c r="EH279" s="242">
        <f t="shared" si="348"/>
        <v>0</v>
      </c>
      <c r="EI279" s="241"/>
      <c r="EJ279" s="243"/>
      <c r="EK279" s="243"/>
      <c r="EL279" s="243"/>
      <c r="EM279" s="241"/>
      <c r="EN279" s="243"/>
      <c r="EO279" s="243"/>
      <c r="EP279" s="243"/>
      <c r="EQ279" s="387"/>
      <c r="ER279" s="243">
        <f>SUM(ET279:EX279)</f>
        <v>0</v>
      </c>
      <c r="ES279" s="243">
        <f>IFERROR(SUMIFS(Daily_Vol_yesterday[Order Quantity],Daily_Vol_yesterday[Cust_Cat.cust_channel],master_Daily!X279,Daily_Vol_yesterday[Map_Product.TME_Brand],"CM")/50000,0)</f>
        <v>0</v>
      </c>
      <c r="ET279" s="243"/>
      <c r="EU279" s="243"/>
      <c r="EV279" s="242"/>
      <c r="EW279" s="243"/>
      <c r="EX279" s="243"/>
      <c r="EY279" s="243"/>
      <c r="EZ279" s="325">
        <f>SUM(FA279:FC279)</f>
        <v>0.53</v>
      </c>
      <c r="FA279" s="243">
        <f>IFERROR(SUM(SUMIFS(Weekly_Vol[Quantity],Weekly_Vol[Cust_Cat.cust_channel],master_Daily!X279,Weekly_Vol[Map_Product.TME_Brand],"CM"),SUMIFS(Daily_Vol[Order Quantity],Daily_Vol[Cust_Cat.cust_channel],master_Daily!X279,Daily_Vol[Map_Product.TME_Brand],"CM"))/50000,0)</f>
        <v>0.53</v>
      </c>
      <c r="FB279" s="243"/>
      <c r="FC279" s="243"/>
      <c r="FD279" s="243"/>
      <c r="FE279" s="243"/>
      <c r="FF279" s="243"/>
      <c r="FG279" s="243"/>
      <c r="FH279" s="325">
        <f ca="1">SUM(FI279:FK279)</f>
        <v>9.0313999999999997</v>
      </c>
      <c r="FI279" s="243">
        <f t="shared" ca="1" si="349"/>
        <v>9.0313999999999997</v>
      </c>
      <c r="FJ279" s="243">
        <f t="shared" ca="1" si="349"/>
        <v>0</v>
      </c>
      <c r="FK279" s="243">
        <f t="shared" ca="1" si="349"/>
        <v>0</v>
      </c>
      <c r="FL279" s="243">
        <f ca="1">SUMIFS($AA279:$EP279,$AA$129:$EP$129,INDIRECT(ADDRESS(129,COLUMN())))</f>
        <v>0</v>
      </c>
      <c r="FM279" s="242">
        <f t="shared" ref="FM279:FO280" si="352">SUMIFS(AF279:EU279,$AA$129:$EP$129,$FH$129)</f>
        <v>0</v>
      </c>
      <c r="FN279" s="242">
        <f t="shared" si="352"/>
        <v>0</v>
      </c>
      <c r="FO279" s="242">
        <f t="shared" si="352"/>
        <v>0</v>
      </c>
      <c r="FP279" s="244">
        <f t="shared" ca="1" si="350"/>
        <v>0.72135782747603838</v>
      </c>
      <c r="FQ279" s="245">
        <f t="shared" si="323"/>
        <v>0</v>
      </c>
      <c r="FR279" s="243">
        <f>SUMIFS(TME_MTD_Dist[Sell_WHS_QTY],TME_MTD_Dist[Dist_Name],master_Daily!$X279,TME_MTD_Dist[Brand],master_Daily!$Y279)/50000
 + SUMIFS(TME_MTD_Dist[Sell_RTL_QTY],TME_MTD_Dist[Dist_Name],master_Daily!$X279,TME_MTD_Dist[Brand],master_Daily!$Y279)/50000</f>
        <v>0</v>
      </c>
      <c r="FS279" s="245">
        <f t="shared" si="207"/>
        <v>0</v>
      </c>
    </row>
    <row r="280" spans="20:175" s="154" customFormat="1" hidden="1" outlineLevel="1">
      <c r="T280" s="155"/>
      <c r="U280" s="156"/>
      <c r="X280" s="239" t="s">
        <v>234</v>
      </c>
      <c r="Y280" s="240" t="s">
        <v>264</v>
      </c>
      <c r="Z280" s="240"/>
      <c r="AA280" s="241">
        <f t="shared" si="325"/>
        <v>7.0000000000000007E-2</v>
      </c>
      <c r="AB280" s="242">
        <f t="shared" si="326"/>
        <v>0</v>
      </c>
      <c r="AC280" s="241">
        <v>7.0000000000000007E-2</v>
      </c>
      <c r="AD280" s="243">
        <v>7.0000000000000007E-2</v>
      </c>
      <c r="AE280" s="243"/>
      <c r="AF280" s="243"/>
      <c r="AG280" s="241"/>
      <c r="AH280" s="243"/>
      <c r="AI280" s="243"/>
      <c r="AJ280" s="243"/>
      <c r="AK280" s="241">
        <f t="shared" si="327"/>
        <v>0.06</v>
      </c>
      <c r="AL280" s="242">
        <f t="shared" si="328"/>
        <v>0</v>
      </c>
      <c r="AM280" s="241">
        <v>0.06</v>
      </c>
      <c r="AN280" s="243">
        <v>0.06</v>
      </c>
      <c r="AO280" s="243"/>
      <c r="AP280" s="243"/>
      <c r="AQ280" s="241"/>
      <c r="AR280" s="243"/>
      <c r="AS280" s="243"/>
      <c r="AT280" s="243"/>
      <c r="AU280" s="241">
        <f t="shared" si="329"/>
        <v>0.16</v>
      </c>
      <c r="AV280" s="242">
        <f t="shared" si="330"/>
        <v>0</v>
      </c>
      <c r="AW280" s="241">
        <v>0.16</v>
      </c>
      <c r="AX280" s="243">
        <v>0.16</v>
      </c>
      <c r="AY280" s="243"/>
      <c r="AZ280" s="243"/>
      <c r="BA280" s="241"/>
      <c r="BB280" s="243"/>
      <c r="BC280" s="243"/>
      <c r="BD280" s="243"/>
      <c r="BE280" s="241">
        <f t="shared" si="331"/>
        <v>0.11</v>
      </c>
      <c r="BF280" s="242">
        <f t="shared" si="332"/>
        <v>0</v>
      </c>
      <c r="BG280" s="241">
        <v>0.11</v>
      </c>
      <c r="BH280" s="243">
        <v>0.11</v>
      </c>
      <c r="BI280" s="243"/>
      <c r="BJ280" s="243"/>
      <c r="BK280" s="241"/>
      <c r="BL280" s="243"/>
      <c r="BM280" s="243"/>
      <c r="BN280" s="243"/>
      <c r="BO280" s="241">
        <f t="shared" si="333"/>
        <v>0.05</v>
      </c>
      <c r="BP280" s="242">
        <f t="shared" si="334"/>
        <v>0</v>
      </c>
      <c r="BQ280" s="241">
        <v>0.05</v>
      </c>
      <c r="BR280" s="243">
        <v>0.05</v>
      </c>
      <c r="BS280" s="243"/>
      <c r="BT280" s="243"/>
      <c r="BU280" s="241"/>
      <c r="BV280" s="243"/>
      <c r="BW280" s="243"/>
      <c r="BX280" s="243"/>
      <c r="BY280" s="241">
        <f t="shared" si="335"/>
        <v>0.03</v>
      </c>
      <c r="BZ280" s="242">
        <f t="shared" si="336"/>
        <v>0</v>
      </c>
      <c r="CA280" s="241">
        <v>0.03</v>
      </c>
      <c r="CB280" s="243">
        <v>0.03</v>
      </c>
      <c r="CC280" s="243"/>
      <c r="CD280" s="243"/>
      <c r="CE280" s="241"/>
      <c r="CF280" s="243"/>
      <c r="CG280" s="243"/>
      <c r="CH280" s="243"/>
      <c r="CI280" s="241">
        <f t="shared" si="337"/>
        <v>0</v>
      </c>
      <c r="CJ280" s="242">
        <f t="shared" si="338"/>
        <v>0</v>
      </c>
      <c r="CK280" s="241"/>
      <c r="CL280" s="243"/>
      <c r="CM280" s="243"/>
      <c r="CN280" s="243"/>
      <c r="CO280" s="241"/>
      <c r="CP280" s="243"/>
      <c r="CQ280" s="243"/>
      <c r="CR280" s="243"/>
      <c r="CS280" s="241">
        <f t="shared" si="339"/>
        <v>0</v>
      </c>
      <c r="CT280" s="242">
        <f t="shared" si="340"/>
        <v>0</v>
      </c>
      <c r="CU280" s="241"/>
      <c r="CV280" s="243"/>
      <c r="CW280" s="243"/>
      <c r="CX280" s="243"/>
      <c r="CY280" s="241"/>
      <c r="CZ280" s="243"/>
      <c r="DA280" s="243"/>
      <c r="DB280" s="243"/>
      <c r="DC280" s="241">
        <f t="shared" si="341"/>
        <v>0</v>
      </c>
      <c r="DD280" s="242">
        <f t="shared" si="342"/>
        <v>0</v>
      </c>
      <c r="DE280" s="241"/>
      <c r="DF280" s="243"/>
      <c r="DG280" s="243"/>
      <c r="DH280" s="243"/>
      <c r="DI280" s="241"/>
      <c r="DJ280" s="243"/>
      <c r="DK280" s="243"/>
      <c r="DL280" s="243"/>
      <c r="DM280" s="241">
        <f t="shared" si="343"/>
        <v>0</v>
      </c>
      <c r="DN280" s="242">
        <f t="shared" si="344"/>
        <v>0</v>
      </c>
      <c r="DO280" s="241"/>
      <c r="DP280" s="243"/>
      <c r="DQ280" s="243"/>
      <c r="DR280" s="243"/>
      <c r="DS280" s="241"/>
      <c r="DT280" s="243"/>
      <c r="DU280" s="243"/>
      <c r="DV280" s="243"/>
      <c r="DW280" s="241">
        <f t="shared" si="345"/>
        <v>0</v>
      </c>
      <c r="DX280" s="242">
        <f t="shared" si="346"/>
        <v>0</v>
      </c>
      <c r="DY280" s="241"/>
      <c r="DZ280" s="243"/>
      <c r="EA280" s="243"/>
      <c r="EB280" s="243"/>
      <c r="EC280" s="241"/>
      <c r="ED280" s="243"/>
      <c r="EE280" s="243"/>
      <c r="EF280" s="243"/>
      <c r="EG280" s="241">
        <f t="shared" si="347"/>
        <v>0</v>
      </c>
      <c r="EH280" s="242">
        <f t="shared" si="348"/>
        <v>0</v>
      </c>
      <c r="EI280" s="241"/>
      <c r="EJ280" s="243"/>
      <c r="EK280" s="243"/>
      <c r="EL280" s="243"/>
      <c r="EM280" s="241"/>
      <c r="EN280" s="243"/>
      <c r="EO280" s="243"/>
      <c r="EP280" s="243"/>
      <c r="EQ280" s="387"/>
      <c r="ER280" s="243">
        <f>SUM(ET280:EX280)</f>
        <v>0</v>
      </c>
      <c r="ES280" s="243">
        <f>IFERROR(SUMIFS(Daily_Vol_yesterday[Order Quantity],Daily_Vol_yesterday[Cust_Cat.cust_channel],master_Daily!X280,Daily_Vol_yesterday[Map_Product.TME_Brand],"CMHD")/50000,0)</f>
        <v>0</v>
      </c>
      <c r="ET280" s="243"/>
      <c r="EU280" s="243"/>
      <c r="EV280" s="242"/>
      <c r="EW280" s="243"/>
      <c r="EX280" s="243"/>
      <c r="EY280" s="243"/>
      <c r="EZ280" s="325">
        <f>SUM(FA280:FC280)</f>
        <v>0.03</v>
      </c>
      <c r="FA280" s="243">
        <f>IFERROR(SUM(SUMIFS(Weekly_Vol[Quantity],Weekly_Vol[Cust_Cat.cust_channel],master_Daily!X280,Weekly_Vol[Map_Product.TME_Brand],"CMHD"),SUMIFS(Daily_Vol[Order Quantity],Daily_Vol[Cust_Cat.cust_channel],master_Daily!X280,Daily_Vol[Map_Product.TME_Brand],"CMHD"))/50000,0)</f>
        <v>0.03</v>
      </c>
      <c r="FB280" s="243"/>
      <c r="FC280" s="243"/>
      <c r="FD280" s="243"/>
      <c r="FE280" s="243"/>
      <c r="FF280" s="243"/>
      <c r="FG280" s="243"/>
      <c r="FH280" s="325">
        <f ca="1">SUM(FI280:FK280)</f>
        <v>0.48</v>
      </c>
      <c r="FI280" s="243">
        <f t="shared" ca="1" si="349"/>
        <v>0.48</v>
      </c>
      <c r="FJ280" s="243">
        <f t="shared" ca="1" si="349"/>
        <v>0</v>
      </c>
      <c r="FK280" s="243">
        <f t="shared" ca="1" si="349"/>
        <v>0</v>
      </c>
      <c r="FL280" s="243">
        <f ca="1">SUMIFS($AA280:$EP280,$AA$129:$EP$129,INDIRECT(ADDRESS(129,COLUMN())))</f>
        <v>0</v>
      </c>
      <c r="FM280" s="242">
        <f t="shared" si="352"/>
        <v>0</v>
      </c>
      <c r="FN280" s="242">
        <f t="shared" si="352"/>
        <v>0</v>
      </c>
      <c r="FO280" s="242">
        <f t="shared" si="352"/>
        <v>0</v>
      </c>
      <c r="FP280" s="244">
        <f t="shared" ca="1" si="350"/>
        <v>3.8338658146964855E-2</v>
      </c>
      <c r="FQ280" s="245">
        <f t="shared" si="323"/>
        <v>0</v>
      </c>
      <c r="FR280" s="243">
        <f>SUMIFS(TME_MTD_Dist[Sell_WHS_QTY],TME_MTD_Dist[Dist_Name],master_Daily!$X280,TME_MTD_Dist[Brand],master_Daily!$Y280)/50000
 + SUMIFS(TME_MTD_Dist[Sell_RTL_QTY],TME_MTD_Dist[Dist_Name],master_Daily!$X280,TME_MTD_Dist[Brand],master_Daily!$Y280)/50000</f>
        <v>0</v>
      </c>
      <c r="FS280" s="245">
        <f t="shared" si="207"/>
        <v>0</v>
      </c>
    </row>
    <row r="281" spans="20:175" s="154" customFormat="1" collapsed="1">
      <c r="T281" s="155"/>
      <c r="U281" s="156"/>
      <c r="X281" s="246" t="s">
        <v>309</v>
      </c>
      <c r="Y281" s="247"/>
      <c r="Z281" s="247"/>
      <c r="AA281" s="248">
        <f t="shared" si="325"/>
        <v>2.34</v>
      </c>
      <c r="AB281" s="248">
        <f t="shared" si="326"/>
        <v>0</v>
      </c>
      <c r="AC281" s="248">
        <v>2.34</v>
      </c>
      <c r="AD281" s="248">
        <v>2.34</v>
      </c>
      <c r="AE281" s="248">
        <v>0</v>
      </c>
      <c r="AF281" s="248">
        <v>0</v>
      </c>
      <c r="AG281" s="248">
        <v>0</v>
      </c>
      <c r="AH281" s="248">
        <v>0</v>
      </c>
      <c r="AI281" s="248">
        <v>0</v>
      </c>
      <c r="AJ281" s="248">
        <v>0</v>
      </c>
      <c r="AK281" s="248">
        <f t="shared" si="327"/>
        <v>2.6</v>
      </c>
      <c r="AL281" s="248">
        <f t="shared" si="328"/>
        <v>0</v>
      </c>
      <c r="AM281" s="248">
        <v>2.6</v>
      </c>
      <c r="AN281" s="248">
        <v>2.6</v>
      </c>
      <c r="AO281" s="248">
        <v>0</v>
      </c>
      <c r="AP281" s="248">
        <v>0</v>
      </c>
      <c r="AQ281" s="248">
        <v>0</v>
      </c>
      <c r="AR281" s="248">
        <v>0</v>
      </c>
      <c r="AS281" s="248">
        <v>0</v>
      </c>
      <c r="AT281" s="248">
        <v>0</v>
      </c>
      <c r="AU281" s="248">
        <f t="shared" si="329"/>
        <v>2.76</v>
      </c>
      <c r="AV281" s="248">
        <f t="shared" si="330"/>
        <v>0</v>
      </c>
      <c r="AW281" s="248">
        <v>2.76</v>
      </c>
      <c r="AX281" s="248">
        <v>2.76</v>
      </c>
      <c r="AY281" s="248">
        <v>0</v>
      </c>
      <c r="AZ281" s="248">
        <v>0</v>
      </c>
      <c r="BA281" s="248">
        <v>0</v>
      </c>
      <c r="BB281" s="248">
        <v>0</v>
      </c>
      <c r="BC281" s="248">
        <v>0</v>
      </c>
      <c r="BD281" s="248">
        <v>0</v>
      </c>
      <c r="BE281" s="248">
        <f t="shared" si="331"/>
        <v>2.64</v>
      </c>
      <c r="BF281" s="248">
        <f t="shared" si="332"/>
        <v>0</v>
      </c>
      <c r="BG281" s="248">
        <v>2.64</v>
      </c>
      <c r="BH281" s="248">
        <v>2.64</v>
      </c>
      <c r="BI281" s="248">
        <v>0</v>
      </c>
      <c r="BJ281" s="248">
        <v>0</v>
      </c>
      <c r="BK281" s="248">
        <v>0</v>
      </c>
      <c r="BL281" s="248">
        <v>0</v>
      </c>
      <c r="BM281" s="248">
        <v>0</v>
      </c>
      <c r="BN281" s="248">
        <v>0</v>
      </c>
      <c r="BO281" s="248">
        <f t="shared" si="333"/>
        <v>1.4000000000000001</v>
      </c>
      <c r="BP281" s="248">
        <f t="shared" si="334"/>
        <v>0</v>
      </c>
      <c r="BQ281" s="248">
        <v>1.4000000000000001</v>
      </c>
      <c r="BR281" s="248">
        <v>1.4000000000000001</v>
      </c>
      <c r="BS281" s="248">
        <v>0</v>
      </c>
      <c r="BT281" s="248">
        <v>0</v>
      </c>
      <c r="BU281" s="248">
        <v>0</v>
      </c>
      <c r="BV281" s="248">
        <v>0</v>
      </c>
      <c r="BW281" s="248">
        <v>0</v>
      </c>
      <c r="BX281" s="248">
        <v>0</v>
      </c>
      <c r="BY281" s="248">
        <f t="shared" si="335"/>
        <v>0.78</v>
      </c>
      <c r="BZ281" s="248">
        <f t="shared" si="336"/>
        <v>0</v>
      </c>
      <c r="CA281" s="248">
        <v>0.78</v>
      </c>
      <c r="CB281" s="248">
        <v>0.78</v>
      </c>
      <c r="CC281" s="248">
        <v>0</v>
      </c>
      <c r="CD281" s="248">
        <v>0</v>
      </c>
      <c r="CE281" s="248">
        <v>0</v>
      </c>
      <c r="CF281" s="248">
        <v>0</v>
      </c>
      <c r="CG281" s="248">
        <v>0</v>
      </c>
      <c r="CH281" s="248">
        <v>0</v>
      </c>
      <c r="CI281" s="248">
        <f t="shared" si="337"/>
        <v>0</v>
      </c>
      <c r="CJ281" s="248">
        <f t="shared" si="338"/>
        <v>0</v>
      </c>
      <c r="CK281" s="248"/>
      <c r="CL281" s="248"/>
      <c r="CM281" s="248"/>
      <c r="CN281" s="248"/>
      <c r="CO281" s="248"/>
      <c r="CP281" s="248">
        <v>0</v>
      </c>
      <c r="CQ281" s="248">
        <v>0</v>
      </c>
      <c r="CR281" s="248">
        <v>0</v>
      </c>
      <c r="CS281" s="248">
        <f t="shared" si="339"/>
        <v>0</v>
      </c>
      <c r="CT281" s="248">
        <f t="shared" si="340"/>
        <v>0</v>
      </c>
      <c r="CU281" s="248"/>
      <c r="CV281" s="248"/>
      <c r="CW281" s="248"/>
      <c r="CX281" s="248"/>
      <c r="CY281" s="248"/>
      <c r="CZ281" s="248">
        <v>0</v>
      </c>
      <c r="DA281" s="248">
        <v>0</v>
      </c>
      <c r="DB281" s="248">
        <v>0</v>
      </c>
      <c r="DC281" s="248">
        <f t="shared" si="341"/>
        <v>0</v>
      </c>
      <c r="DD281" s="248">
        <f t="shared" si="342"/>
        <v>0</v>
      </c>
      <c r="DE281" s="248"/>
      <c r="DF281" s="248"/>
      <c r="DG281" s="248"/>
      <c r="DH281" s="248"/>
      <c r="DI281" s="248"/>
      <c r="DJ281" s="248">
        <v>0</v>
      </c>
      <c r="DK281" s="248">
        <v>0</v>
      </c>
      <c r="DL281" s="248">
        <v>0</v>
      </c>
      <c r="DM281" s="248">
        <f t="shared" si="343"/>
        <v>0</v>
      </c>
      <c r="DN281" s="248">
        <f t="shared" si="344"/>
        <v>0</v>
      </c>
      <c r="DO281" s="248"/>
      <c r="DP281" s="248"/>
      <c r="DQ281" s="248"/>
      <c r="DR281" s="248"/>
      <c r="DS281" s="248"/>
      <c r="DT281" s="248">
        <v>0</v>
      </c>
      <c r="DU281" s="248">
        <v>0</v>
      </c>
      <c r="DV281" s="248">
        <v>0</v>
      </c>
      <c r="DW281" s="248">
        <f t="shared" si="345"/>
        <v>0</v>
      </c>
      <c r="DX281" s="248">
        <f t="shared" si="346"/>
        <v>0</v>
      </c>
      <c r="DY281" s="248"/>
      <c r="DZ281" s="248"/>
      <c r="EA281" s="248"/>
      <c r="EB281" s="248"/>
      <c r="EC281" s="248">
        <v>0</v>
      </c>
      <c r="ED281" s="248">
        <v>0</v>
      </c>
      <c r="EE281" s="248">
        <v>0</v>
      </c>
      <c r="EF281" s="248">
        <v>0</v>
      </c>
      <c r="EG281" s="248">
        <f t="shared" si="347"/>
        <v>0</v>
      </c>
      <c r="EH281" s="248">
        <f t="shared" si="348"/>
        <v>0</v>
      </c>
      <c r="EI281" s="248"/>
      <c r="EJ281" s="248"/>
      <c r="EK281" s="248"/>
      <c r="EL281" s="248"/>
      <c r="EM281" s="248">
        <v>0</v>
      </c>
      <c r="EN281" s="248">
        <v>0</v>
      </c>
      <c r="EO281" s="248">
        <v>0</v>
      </c>
      <c r="EP281" s="248">
        <v>0</v>
      </c>
      <c r="EQ281" s="249">
        <v>1.78</v>
      </c>
      <c r="ER281" s="248">
        <f>SUM(ER276:ER280)</f>
        <v>0</v>
      </c>
      <c r="ES281" s="248">
        <f>SUM(ES276:ES280)</f>
        <v>0</v>
      </c>
      <c r="ET281" s="248">
        <f>SUM(ET276:ET280)</f>
        <v>0</v>
      </c>
      <c r="EU281" s="248">
        <f>SUM(EU276:EU280)</f>
        <v>0</v>
      </c>
      <c r="EV281" s="248"/>
      <c r="EW281" s="248"/>
      <c r="EX281" s="248"/>
      <c r="EY281" s="248"/>
      <c r="EZ281" s="248">
        <f t="shared" ref="EZ281:FK281" si="353">SUM(EZ276:EZ280)</f>
        <v>0.78</v>
      </c>
      <c r="FA281" s="248">
        <f t="shared" si="353"/>
        <v>0.78</v>
      </c>
      <c r="FB281" s="248">
        <f t="shared" si="353"/>
        <v>0</v>
      </c>
      <c r="FC281" s="248">
        <f t="shared" si="353"/>
        <v>0</v>
      </c>
      <c r="FD281" s="248">
        <f t="shared" si="353"/>
        <v>0</v>
      </c>
      <c r="FE281" s="248">
        <f t="shared" si="353"/>
        <v>0</v>
      </c>
      <c r="FF281" s="248">
        <f t="shared" si="353"/>
        <v>0</v>
      </c>
      <c r="FG281" s="248">
        <f t="shared" si="353"/>
        <v>0</v>
      </c>
      <c r="FH281" s="248">
        <f t="shared" ca="1" si="353"/>
        <v>12.52</v>
      </c>
      <c r="FI281" s="248">
        <f t="shared" ca="1" si="353"/>
        <v>12.52</v>
      </c>
      <c r="FJ281" s="248">
        <f t="shared" ca="1" si="353"/>
        <v>0</v>
      </c>
      <c r="FK281" s="248">
        <f t="shared" ca="1" si="353"/>
        <v>0</v>
      </c>
      <c r="FL281" s="248">
        <f ca="1">SUM(FL276:FL279)</f>
        <v>0</v>
      </c>
      <c r="FM281" s="249">
        <f ca="1">SUM(FM276:FM280)</f>
        <v>0</v>
      </c>
      <c r="FN281" s="249">
        <f ca="1">SUM(FN276:FN280)</f>
        <v>0</v>
      </c>
      <c r="FO281" s="249">
        <f ca="1">SUM(FO276:FO280)</f>
        <v>0</v>
      </c>
      <c r="FP281" s="250">
        <f t="shared" ca="1" si="350"/>
        <v>1</v>
      </c>
      <c r="FQ281" s="251">
        <f t="shared" si="323"/>
        <v>0.43820224719101125</v>
      </c>
      <c r="FR281" s="248">
        <f>SUM(FR276:FR280)</f>
        <v>0</v>
      </c>
      <c r="FS281" s="251">
        <f t="shared" si="207"/>
        <v>0</v>
      </c>
    </row>
    <row r="282" spans="20:175" s="154" customFormat="1" hidden="1" outlineLevel="1">
      <c r="T282" s="155"/>
      <c r="U282" s="156"/>
      <c r="X282" s="252" t="s">
        <v>237</v>
      </c>
      <c r="Y282" s="253" t="s">
        <v>44</v>
      </c>
      <c r="Z282" s="253"/>
      <c r="AA282" s="254">
        <f t="shared" si="325"/>
        <v>2.3800000000000002E-2</v>
      </c>
      <c r="AB282" s="255">
        <f t="shared" si="326"/>
        <v>0</v>
      </c>
      <c r="AC282" s="254">
        <v>2.3800000000000002E-2</v>
      </c>
      <c r="AD282" s="256">
        <v>2.3800000000000002E-2</v>
      </c>
      <c r="AE282" s="256"/>
      <c r="AF282" s="256"/>
      <c r="AG282" s="254"/>
      <c r="AH282" s="256"/>
      <c r="AI282" s="256"/>
      <c r="AJ282" s="256"/>
      <c r="AK282" s="254">
        <f t="shared" si="327"/>
        <v>3.3000000000000002E-2</v>
      </c>
      <c r="AL282" s="255">
        <f t="shared" si="328"/>
        <v>0</v>
      </c>
      <c r="AM282" s="254">
        <v>3.3000000000000002E-2</v>
      </c>
      <c r="AN282" s="256">
        <v>3.3000000000000002E-2</v>
      </c>
      <c r="AO282" s="256"/>
      <c r="AP282" s="256"/>
      <c r="AQ282" s="254"/>
      <c r="AR282" s="256"/>
      <c r="AS282" s="256"/>
      <c r="AT282" s="256"/>
      <c r="AU282" s="254">
        <f t="shared" si="329"/>
        <v>0.02</v>
      </c>
      <c r="AV282" s="255">
        <f t="shared" si="330"/>
        <v>0</v>
      </c>
      <c r="AW282" s="254">
        <v>0.02</v>
      </c>
      <c r="AX282" s="256">
        <v>0.02</v>
      </c>
      <c r="AY282" s="256"/>
      <c r="AZ282" s="256"/>
      <c r="BA282" s="254"/>
      <c r="BB282" s="256"/>
      <c r="BC282" s="256"/>
      <c r="BD282" s="256"/>
      <c r="BE282" s="254">
        <f t="shared" si="331"/>
        <v>3.7600000000000001E-2</v>
      </c>
      <c r="BF282" s="255">
        <f t="shared" si="332"/>
        <v>0</v>
      </c>
      <c r="BG282" s="254">
        <v>3.7600000000000001E-2</v>
      </c>
      <c r="BH282" s="256">
        <v>3.7600000000000001E-2</v>
      </c>
      <c r="BI282" s="256"/>
      <c r="BJ282" s="256"/>
      <c r="BK282" s="254"/>
      <c r="BL282" s="256"/>
      <c r="BM282" s="256"/>
      <c r="BN282" s="256"/>
      <c r="BO282" s="254">
        <f t="shared" si="333"/>
        <v>1.7000000000000001E-2</v>
      </c>
      <c r="BP282" s="255">
        <f t="shared" si="334"/>
        <v>0</v>
      </c>
      <c r="BQ282" s="254">
        <v>1.7000000000000001E-2</v>
      </c>
      <c r="BR282" s="256">
        <v>1.7000000000000001E-2</v>
      </c>
      <c r="BS282" s="256"/>
      <c r="BT282" s="256"/>
      <c r="BU282" s="254"/>
      <c r="BV282" s="256"/>
      <c r="BW282" s="256"/>
      <c r="BX282" s="256"/>
      <c r="BY282" s="254">
        <f t="shared" si="335"/>
        <v>2.5000000000000001E-2</v>
      </c>
      <c r="BZ282" s="255">
        <f t="shared" si="336"/>
        <v>0</v>
      </c>
      <c r="CA282" s="254">
        <v>2.5000000000000001E-2</v>
      </c>
      <c r="CB282" s="256">
        <v>2.5000000000000001E-2</v>
      </c>
      <c r="CC282" s="256"/>
      <c r="CD282" s="256"/>
      <c r="CE282" s="254"/>
      <c r="CF282" s="256"/>
      <c r="CG282" s="256"/>
      <c r="CH282" s="256"/>
      <c r="CI282" s="254">
        <f t="shared" si="337"/>
        <v>0</v>
      </c>
      <c r="CJ282" s="255">
        <f t="shared" si="338"/>
        <v>0</v>
      </c>
      <c r="CK282" s="254"/>
      <c r="CL282" s="256"/>
      <c r="CM282" s="256"/>
      <c r="CN282" s="256"/>
      <c r="CO282" s="254"/>
      <c r="CP282" s="256"/>
      <c r="CQ282" s="256"/>
      <c r="CR282" s="256"/>
      <c r="CS282" s="254">
        <f t="shared" si="339"/>
        <v>0</v>
      </c>
      <c r="CT282" s="255">
        <f t="shared" si="340"/>
        <v>0</v>
      </c>
      <c r="CU282" s="254"/>
      <c r="CV282" s="256"/>
      <c r="CW282" s="256"/>
      <c r="CX282" s="256"/>
      <c r="CY282" s="254"/>
      <c r="CZ282" s="256"/>
      <c r="DA282" s="256"/>
      <c r="DB282" s="256"/>
      <c r="DC282" s="254">
        <f t="shared" si="341"/>
        <v>0</v>
      </c>
      <c r="DD282" s="255">
        <f t="shared" si="342"/>
        <v>0</v>
      </c>
      <c r="DE282" s="254"/>
      <c r="DF282" s="256"/>
      <c r="DG282" s="256"/>
      <c r="DH282" s="256"/>
      <c r="DI282" s="254"/>
      <c r="DJ282" s="256"/>
      <c r="DK282" s="256"/>
      <c r="DL282" s="256"/>
      <c r="DM282" s="254">
        <f t="shared" si="343"/>
        <v>0</v>
      </c>
      <c r="DN282" s="255">
        <f t="shared" si="344"/>
        <v>0</v>
      </c>
      <c r="DO282" s="254"/>
      <c r="DP282" s="256"/>
      <c r="DQ282" s="256"/>
      <c r="DR282" s="256"/>
      <c r="DS282" s="254"/>
      <c r="DT282" s="256"/>
      <c r="DU282" s="256"/>
      <c r="DV282" s="256"/>
      <c r="DW282" s="254">
        <f t="shared" si="345"/>
        <v>0</v>
      </c>
      <c r="DX282" s="255">
        <f t="shared" si="346"/>
        <v>0</v>
      </c>
      <c r="DY282" s="254"/>
      <c r="DZ282" s="256"/>
      <c r="EA282" s="256"/>
      <c r="EB282" s="256"/>
      <c r="EC282" s="254"/>
      <c r="ED282" s="256"/>
      <c r="EE282" s="256"/>
      <c r="EF282" s="256"/>
      <c r="EG282" s="254">
        <f t="shared" si="347"/>
        <v>0</v>
      </c>
      <c r="EH282" s="255">
        <f t="shared" si="348"/>
        <v>0</v>
      </c>
      <c r="EI282" s="254"/>
      <c r="EJ282" s="256"/>
      <c r="EK282" s="256"/>
      <c r="EL282" s="256"/>
      <c r="EM282" s="254"/>
      <c r="EN282" s="256"/>
      <c r="EO282" s="256"/>
      <c r="EP282" s="256"/>
      <c r="EQ282" s="388"/>
      <c r="ER282" s="256">
        <f>SUM(ET282:EX282)</f>
        <v>0</v>
      </c>
      <c r="ES282" s="256">
        <f>IFERROR(SUMIFS(Daily_Vol_yesterday[Order Quantity],Daily_Vol_yesterday[Cust_Cat.cust_channel],master_Daily!X282,Daily_Vol_yesterday[Map_Product.TME_Brand],master_Daily!Y282)/50000,0)</f>
        <v>0</v>
      </c>
      <c r="ET282" s="256"/>
      <c r="EU282" s="256"/>
      <c r="EV282" s="255"/>
      <c r="EW282" s="256"/>
      <c r="EX282" s="256"/>
      <c r="EY282" s="256"/>
      <c r="EZ282" s="256">
        <f>SUM(FA282:FC282)</f>
        <v>2.5000000000000001E-2</v>
      </c>
      <c r="FA282" s="256">
        <f>IFERROR(SUM(SUMIFS(Weekly_Vol[Quantity],Weekly_Vol[Cust_Cat.cust_channel],master_Daily!X282,Weekly_Vol[Map_Product.TME_Brand],master_Daily!Y282),SUMIFS(Daily_Vol[Order Quantity],Daily_Vol[Cust_Cat.cust_channel],master_Daily!X282,Daily_Vol[Map_Product.TME_Brand],master_Daily!Y282))/50000,0)</f>
        <v>2.5000000000000001E-2</v>
      </c>
      <c r="FB282" s="256"/>
      <c r="FC282" s="256"/>
      <c r="FD282" s="256"/>
      <c r="FE282" s="256"/>
      <c r="FF282" s="256"/>
      <c r="FG282" s="256"/>
      <c r="FH282" s="256">
        <f ca="1">SUM(FI282:FK282)</f>
        <v>0.15640000000000001</v>
      </c>
      <c r="FI282" s="256">
        <f t="shared" ref="FI282:FK286" ca="1" si="354">SUMIFS($AA282:$EP282,$AA$129:$EP$129,INDIRECT(ADDRESS(129,COLUMN())))</f>
        <v>0.15640000000000001</v>
      </c>
      <c r="FJ282" s="256">
        <f t="shared" ca="1" si="354"/>
        <v>0</v>
      </c>
      <c r="FK282" s="256">
        <f t="shared" ca="1" si="354"/>
        <v>0</v>
      </c>
      <c r="FL282" s="256">
        <f ca="1">SUMIFS($AA282:$EP282,$AA$129:$EP$129,INDIRECT(ADDRESS(38,COLUMN())))</f>
        <v>0</v>
      </c>
      <c r="FM282" s="256">
        <f ca="1">SUMIFS($AA282:$EP282,$AA$129:$EP$129,INDIRECT(ADDRESS(38,COLUMN())))</f>
        <v>0</v>
      </c>
      <c r="FN282" s="256">
        <f ca="1">SUMIFS($AA282:$EP282,$AA$129:$EP$129,INDIRECT(ADDRESS(38,COLUMN())))</f>
        <v>0</v>
      </c>
      <c r="FO282" s="256">
        <f ca="1">SUMIFS($AA282:$EP282,$AA$129:$EP$129,INDIRECT(ADDRESS(38,COLUMN())))</f>
        <v>0</v>
      </c>
      <c r="FP282" s="257">
        <f t="shared" ref="FP282:FP287" ca="1" si="355">IFERROR(FH282/$FH$287,0)</f>
        <v>6.9449378330372997E-3</v>
      </c>
      <c r="FQ282" s="258">
        <f t="shared" si="323"/>
        <v>0</v>
      </c>
      <c r="FR282" s="256">
        <f>SUMIFS(TME_MTD_Dist[Sell_WHS_QTY],TME_MTD_Dist[Dist_Name],master_Daily!$X282,TME_MTD_Dist[Brand],master_Daily!$Y282)/50000
 + SUMIFS(TME_MTD_Dist[Sell_RTL_QTY],TME_MTD_Dist[Dist_Name],master_Daily!$X282,TME_MTD_Dist[Brand],master_Daily!$Y282)/50000</f>
        <v>0</v>
      </c>
      <c r="FS282" s="258">
        <f t="shared" si="207"/>
        <v>0</v>
      </c>
    </row>
    <row r="283" spans="20:175" s="154" customFormat="1" hidden="1" outlineLevel="1">
      <c r="T283" s="155"/>
      <c r="U283" s="156"/>
      <c r="X283" s="252" t="s">
        <v>237</v>
      </c>
      <c r="Y283" s="253" t="s">
        <v>45</v>
      </c>
      <c r="Z283" s="253"/>
      <c r="AA283" s="254">
        <f t="shared" si="325"/>
        <v>6.1999999999999998E-3</v>
      </c>
      <c r="AB283" s="255">
        <f t="shared" si="326"/>
        <v>0</v>
      </c>
      <c r="AC283" s="254">
        <v>6.1999999999999998E-3</v>
      </c>
      <c r="AD283" s="256">
        <v>6.1999999999999998E-3</v>
      </c>
      <c r="AE283" s="256"/>
      <c r="AF283" s="256"/>
      <c r="AG283" s="254"/>
      <c r="AH283" s="256"/>
      <c r="AI283" s="256"/>
      <c r="AJ283" s="256"/>
      <c r="AK283" s="254">
        <f t="shared" si="327"/>
        <v>4.0000000000000001E-3</v>
      </c>
      <c r="AL283" s="255">
        <f t="shared" si="328"/>
        <v>0</v>
      </c>
      <c r="AM283" s="254">
        <v>4.0000000000000001E-3</v>
      </c>
      <c r="AN283" s="256">
        <v>4.0000000000000001E-3</v>
      </c>
      <c r="AO283" s="256"/>
      <c r="AP283" s="256"/>
      <c r="AQ283" s="254"/>
      <c r="AR283" s="256"/>
      <c r="AS283" s="256"/>
      <c r="AT283" s="256"/>
      <c r="AU283" s="254">
        <f t="shared" si="329"/>
        <v>7.0000000000000001E-3</v>
      </c>
      <c r="AV283" s="255">
        <f t="shared" si="330"/>
        <v>0</v>
      </c>
      <c r="AW283" s="254">
        <v>7.0000000000000001E-3</v>
      </c>
      <c r="AX283" s="256">
        <v>7.0000000000000001E-3</v>
      </c>
      <c r="AY283" s="256"/>
      <c r="AZ283" s="256"/>
      <c r="BA283" s="254"/>
      <c r="BB283" s="256"/>
      <c r="BC283" s="256"/>
      <c r="BD283" s="256"/>
      <c r="BE283" s="254">
        <f t="shared" si="331"/>
        <v>4.0000000000000001E-3</v>
      </c>
      <c r="BF283" s="255">
        <f t="shared" si="332"/>
        <v>0</v>
      </c>
      <c r="BG283" s="254">
        <v>4.0000000000000001E-3</v>
      </c>
      <c r="BH283" s="256">
        <v>4.0000000000000001E-3</v>
      </c>
      <c r="BI283" s="256"/>
      <c r="BJ283" s="256"/>
      <c r="BK283" s="254"/>
      <c r="BL283" s="256"/>
      <c r="BM283" s="256"/>
      <c r="BN283" s="256"/>
      <c r="BO283" s="254">
        <f t="shared" si="333"/>
        <v>5.0000000000000001E-3</v>
      </c>
      <c r="BP283" s="255">
        <f t="shared" si="334"/>
        <v>0</v>
      </c>
      <c r="BQ283" s="254">
        <v>5.0000000000000001E-3</v>
      </c>
      <c r="BR283" s="256">
        <v>5.0000000000000001E-3</v>
      </c>
      <c r="BS283" s="256"/>
      <c r="BT283" s="256"/>
      <c r="BU283" s="254"/>
      <c r="BV283" s="256"/>
      <c r="BW283" s="256"/>
      <c r="BX283" s="256"/>
      <c r="BY283" s="254">
        <f t="shared" si="335"/>
        <v>0</v>
      </c>
      <c r="BZ283" s="255">
        <f t="shared" si="336"/>
        <v>0</v>
      </c>
      <c r="CA283" s="254">
        <v>0</v>
      </c>
      <c r="CB283" s="256">
        <v>0</v>
      </c>
      <c r="CC283" s="256"/>
      <c r="CD283" s="256"/>
      <c r="CE283" s="254"/>
      <c r="CF283" s="256"/>
      <c r="CG283" s="256"/>
      <c r="CH283" s="256"/>
      <c r="CI283" s="254">
        <f t="shared" si="337"/>
        <v>0</v>
      </c>
      <c r="CJ283" s="255">
        <f t="shared" si="338"/>
        <v>0</v>
      </c>
      <c r="CK283" s="254"/>
      <c r="CL283" s="256"/>
      <c r="CM283" s="256"/>
      <c r="CN283" s="256"/>
      <c r="CO283" s="254"/>
      <c r="CP283" s="256"/>
      <c r="CQ283" s="256"/>
      <c r="CR283" s="256"/>
      <c r="CS283" s="254">
        <f t="shared" si="339"/>
        <v>0</v>
      </c>
      <c r="CT283" s="255">
        <f t="shared" si="340"/>
        <v>0</v>
      </c>
      <c r="CU283" s="254"/>
      <c r="CV283" s="256"/>
      <c r="CW283" s="256"/>
      <c r="CX283" s="256"/>
      <c r="CY283" s="254"/>
      <c r="CZ283" s="256"/>
      <c r="DA283" s="256"/>
      <c r="DB283" s="256"/>
      <c r="DC283" s="254">
        <f t="shared" si="341"/>
        <v>0</v>
      </c>
      <c r="DD283" s="255">
        <f t="shared" si="342"/>
        <v>0</v>
      </c>
      <c r="DE283" s="254"/>
      <c r="DF283" s="256"/>
      <c r="DG283" s="256"/>
      <c r="DH283" s="256"/>
      <c r="DI283" s="254"/>
      <c r="DJ283" s="256"/>
      <c r="DK283" s="256"/>
      <c r="DL283" s="256"/>
      <c r="DM283" s="254">
        <f t="shared" si="343"/>
        <v>0</v>
      </c>
      <c r="DN283" s="255">
        <f t="shared" si="344"/>
        <v>0</v>
      </c>
      <c r="DO283" s="254"/>
      <c r="DP283" s="256"/>
      <c r="DQ283" s="256"/>
      <c r="DR283" s="256"/>
      <c r="DS283" s="254"/>
      <c r="DT283" s="256"/>
      <c r="DU283" s="256"/>
      <c r="DV283" s="256"/>
      <c r="DW283" s="254">
        <f t="shared" si="345"/>
        <v>0</v>
      </c>
      <c r="DX283" s="255">
        <f t="shared" si="346"/>
        <v>0</v>
      </c>
      <c r="DY283" s="254"/>
      <c r="DZ283" s="256"/>
      <c r="EA283" s="256"/>
      <c r="EB283" s="256"/>
      <c r="EC283" s="254"/>
      <c r="ED283" s="256"/>
      <c r="EE283" s="256"/>
      <c r="EF283" s="256"/>
      <c r="EG283" s="254">
        <f t="shared" si="347"/>
        <v>0</v>
      </c>
      <c r="EH283" s="255">
        <f t="shared" si="348"/>
        <v>0</v>
      </c>
      <c r="EI283" s="254"/>
      <c r="EJ283" s="256"/>
      <c r="EK283" s="256"/>
      <c r="EL283" s="256"/>
      <c r="EM283" s="254"/>
      <c r="EN283" s="256"/>
      <c r="EO283" s="256"/>
      <c r="EP283" s="256"/>
      <c r="EQ283" s="388"/>
      <c r="ER283" s="256">
        <f>SUM(ET283:EX283)</f>
        <v>0</v>
      </c>
      <c r="ES283" s="256">
        <f>IFERROR(SUMIFS(Daily_Vol_yesterday[Order Quantity],Daily_Vol_yesterday[Cust_Cat.cust_channel],master_Daily!X283,Daily_Vol_yesterday[Map_Product.TME_Brand],master_Daily!Y283)/50000,0)</f>
        <v>0</v>
      </c>
      <c r="ET283" s="256"/>
      <c r="EU283" s="256"/>
      <c r="EV283" s="255"/>
      <c r="EW283" s="256"/>
      <c r="EX283" s="256"/>
      <c r="EY283" s="256"/>
      <c r="EZ283" s="256">
        <f>SUM(FA283:FC283)</f>
        <v>0</v>
      </c>
      <c r="FA283" s="256">
        <f>IFERROR(SUM(SUMIFS(Weekly_Vol[Quantity],Weekly_Vol[Cust_Cat.cust_channel],master_Daily!X283,Weekly_Vol[Map_Product.TME_Brand],master_Daily!Y283),SUMIFS(Daily_Vol[Order Quantity],Daily_Vol[Cust_Cat.cust_channel],master_Daily!X283,Daily_Vol[Map_Product.TME_Brand],master_Daily!Y283))/50000,0)</f>
        <v>0</v>
      </c>
      <c r="FB283" s="256"/>
      <c r="FC283" s="256"/>
      <c r="FD283" s="256"/>
      <c r="FE283" s="256"/>
      <c r="FF283" s="256"/>
      <c r="FG283" s="256"/>
      <c r="FH283" s="256">
        <f ca="1">SUM(FI283:FK283)</f>
        <v>2.6200000000000001E-2</v>
      </c>
      <c r="FI283" s="256">
        <f t="shared" ca="1" si="354"/>
        <v>2.6200000000000001E-2</v>
      </c>
      <c r="FJ283" s="256">
        <f t="shared" ca="1" si="354"/>
        <v>0</v>
      </c>
      <c r="FK283" s="256">
        <f t="shared" ca="1" si="354"/>
        <v>0</v>
      </c>
      <c r="FL283" s="256">
        <f t="shared" ref="FL283:FO284" ca="1" si="356">SUMIFS($AA283:$EP283,$AA$129:$EP$129,INDIRECT(ADDRESS(129,COLUMN())))</f>
        <v>0</v>
      </c>
      <c r="FM283" s="255">
        <f t="shared" ca="1" si="356"/>
        <v>0</v>
      </c>
      <c r="FN283" s="255">
        <f t="shared" ca="1" si="356"/>
        <v>0</v>
      </c>
      <c r="FO283" s="255">
        <f t="shared" ca="1" si="356"/>
        <v>0</v>
      </c>
      <c r="FP283" s="257">
        <f t="shared" ca="1" si="355"/>
        <v>1.1634103019538186E-3</v>
      </c>
      <c r="FQ283" s="258">
        <f t="shared" si="323"/>
        <v>0</v>
      </c>
      <c r="FR283" s="256">
        <f>SUMIFS(TME_MTD_Dist[Sell_WHS_QTY],TME_MTD_Dist[Dist_Name],master_Daily!$X283,TME_MTD_Dist[Brand],master_Daily!$Y283)/50000
 + SUMIFS(TME_MTD_Dist[Sell_RTL_QTY],TME_MTD_Dist[Dist_Name],master_Daily!$X283,TME_MTD_Dist[Brand],master_Daily!$Y283)/50000</f>
        <v>0</v>
      </c>
      <c r="FS283" s="258">
        <f t="shared" si="207"/>
        <v>0</v>
      </c>
    </row>
    <row r="284" spans="20:175" s="154" customFormat="1" hidden="1" outlineLevel="1">
      <c r="T284" s="155"/>
      <c r="U284" s="156"/>
      <c r="X284" s="252" t="s">
        <v>237</v>
      </c>
      <c r="Y284" s="253" t="s">
        <v>46</v>
      </c>
      <c r="Z284" s="253"/>
      <c r="AA284" s="254">
        <f t="shared" si="325"/>
        <v>1.7118</v>
      </c>
      <c r="AB284" s="255">
        <f t="shared" si="326"/>
        <v>0</v>
      </c>
      <c r="AC284" s="254">
        <v>1.7118</v>
      </c>
      <c r="AD284" s="256">
        <v>1.7118</v>
      </c>
      <c r="AE284" s="256"/>
      <c r="AF284" s="256"/>
      <c r="AG284" s="254"/>
      <c r="AH284" s="256"/>
      <c r="AI284" s="256"/>
      <c r="AJ284" s="256"/>
      <c r="AK284" s="254">
        <f t="shared" si="327"/>
        <v>1.74</v>
      </c>
      <c r="AL284" s="255">
        <f t="shared" si="328"/>
        <v>0</v>
      </c>
      <c r="AM284" s="254">
        <v>1.74</v>
      </c>
      <c r="AN284" s="256">
        <v>1.74</v>
      </c>
      <c r="AO284" s="256"/>
      <c r="AP284" s="256"/>
      <c r="AQ284" s="254"/>
      <c r="AR284" s="256"/>
      <c r="AS284" s="256"/>
      <c r="AT284" s="256"/>
      <c r="AU284" s="254">
        <f t="shared" si="329"/>
        <v>1.4</v>
      </c>
      <c r="AV284" s="255">
        <f t="shared" si="330"/>
        <v>0</v>
      </c>
      <c r="AW284" s="254">
        <v>1.4</v>
      </c>
      <c r="AX284" s="256">
        <v>1.4</v>
      </c>
      <c r="AY284" s="256"/>
      <c r="AZ284" s="256"/>
      <c r="BA284" s="254"/>
      <c r="BB284" s="256"/>
      <c r="BC284" s="256"/>
      <c r="BD284" s="256"/>
      <c r="BE284" s="254">
        <f t="shared" si="331"/>
        <v>1.613</v>
      </c>
      <c r="BF284" s="255">
        <f t="shared" si="332"/>
        <v>0</v>
      </c>
      <c r="BG284" s="254">
        <v>1.613</v>
      </c>
      <c r="BH284" s="256">
        <v>1.613</v>
      </c>
      <c r="BI284" s="256"/>
      <c r="BJ284" s="256"/>
      <c r="BK284" s="254"/>
      <c r="BL284" s="256"/>
      <c r="BM284" s="256"/>
      <c r="BN284" s="256"/>
      <c r="BO284" s="254">
        <f t="shared" si="333"/>
        <v>1.5629999999999999</v>
      </c>
      <c r="BP284" s="255">
        <f t="shared" si="334"/>
        <v>0</v>
      </c>
      <c r="BQ284" s="254">
        <v>1.5629999999999999</v>
      </c>
      <c r="BR284" s="256">
        <v>1.5629999999999999</v>
      </c>
      <c r="BS284" s="256"/>
      <c r="BT284" s="256"/>
      <c r="BU284" s="254"/>
      <c r="BV284" s="256"/>
      <c r="BW284" s="256"/>
      <c r="BX284" s="256"/>
      <c r="BY284" s="254">
        <f t="shared" si="335"/>
        <v>0.42499999999999999</v>
      </c>
      <c r="BZ284" s="255">
        <f t="shared" si="336"/>
        <v>0</v>
      </c>
      <c r="CA284" s="254">
        <v>0.42499999999999999</v>
      </c>
      <c r="CB284" s="256">
        <v>0.42499999999999999</v>
      </c>
      <c r="CC284" s="256"/>
      <c r="CD284" s="256"/>
      <c r="CE284" s="254"/>
      <c r="CF284" s="256"/>
      <c r="CG284" s="256"/>
      <c r="CH284" s="256"/>
      <c r="CI284" s="254">
        <f t="shared" si="337"/>
        <v>0</v>
      </c>
      <c r="CJ284" s="255">
        <f t="shared" si="338"/>
        <v>0</v>
      </c>
      <c r="CK284" s="254"/>
      <c r="CL284" s="256"/>
      <c r="CM284" s="256"/>
      <c r="CN284" s="256"/>
      <c r="CO284" s="254"/>
      <c r="CP284" s="256"/>
      <c r="CQ284" s="256"/>
      <c r="CR284" s="256"/>
      <c r="CS284" s="254">
        <f t="shared" si="339"/>
        <v>0</v>
      </c>
      <c r="CT284" s="255">
        <f t="shared" si="340"/>
        <v>0</v>
      </c>
      <c r="CU284" s="254"/>
      <c r="CV284" s="256"/>
      <c r="CW284" s="256"/>
      <c r="CX284" s="256"/>
      <c r="CY284" s="254"/>
      <c r="CZ284" s="256"/>
      <c r="DA284" s="256"/>
      <c r="DB284" s="256"/>
      <c r="DC284" s="254">
        <f t="shared" si="341"/>
        <v>0</v>
      </c>
      <c r="DD284" s="255">
        <f t="shared" si="342"/>
        <v>0</v>
      </c>
      <c r="DE284" s="254"/>
      <c r="DF284" s="256"/>
      <c r="DG284" s="256"/>
      <c r="DH284" s="256"/>
      <c r="DI284" s="254"/>
      <c r="DJ284" s="256"/>
      <c r="DK284" s="256"/>
      <c r="DL284" s="256"/>
      <c r="DM284" s="254">
        <f t="shared" si="343"/>
        <v>0</v>
      </c>
      <c r="DN284" s="255">
        <f t="shared" si="344"/>
        <v>0</v>
      </c>
      <c r="DO284" s="254"/>
      <c r="DP284" s="256"/>
      <c r="DQ284" s="256"/>
      <c r="DR284" s="256"/>
      <c r="DS284" s="254"/>
      <c r="DT284" s="256"/>
      <c r="DU284" s="256"/>
      <c r="DV284" s="256"/>
      <c r="DW284" s="254">
        <f t="shared" si="345"/>
        <v>0</v>
      </c>
      <c r="DX284" s="255">
        <f t="shared" si="346"/>
        <v>0</v>
      </c>
      <c r="DY284" s="254"/>
      <c r="DZ284" s="256"/>
      <c r="EA284" s="256"/>
      <c r="EB284" s="256"/>
      <c r="EC284" s="254"/>
      <c r="ED284" s="256"/>
      <c r="EE284" s="256"/>
      <c r="EF284" s="256"/>
      <c r="EG284" s="254">
        <f t="shared" si="347"/>
        <v>0</v>
      </c>
      <c r="EH284" s="255">
        <f t="shared" si="348"/>
        <v>0</v>
      </c>
      <c r="EI284" s="254"/>
      <c r="EJ284" s="256"/>
      <c r="EK284" s="256"/>
      <c r="EL284" s="256"/>
      <c r="EM284" s="254"/>
      <c r="EN284" s="256"/>
      <c r="EO284" s="256"/>
      <c r="EP284" s="256"/>
      <c r="EQ284" s="388"/>
      <c r="ER284" s="256">
        <f>SUM(ET284:EX284)</f>
        <v>0</v>
      </c>
      <c r="ES284" s="256">
        <f>IFERROR(SUMIFS(Daily_Vol_yesterday[Order Quantity],Daily_Vol_yesterday[Cust_Cat.cust_channel],master_Daily!X284,Daily_Vol_yesterday[Map_Product.TME_Brand],master_Daily!Y284)/50000,0)</f>
        <v>0</v>
      </c>
      <c r="ET284" s="256"/>
      <c r="EU284" s="256"/>
      <c r="EV284" s="255"/>
      <c r="EW284" s="256"/>
      <c r="EX284" s="256"/>
      <c r="EY284" s="256"/>
      <c r="EZ284" s="256">
        <f>SUM(FA284:FC284)</f>
        <v>0.42499999999999999</v>
      </c>
      <c r="FA284" s="256">
        <f>IFERROR(SUM(SUMIFS(Weekly_Vol[Quantity],Weekly_Vol[Cust_Cat.cust_channel],master_Daily!X284,Weekly_Vol[Map_Product.TME_Brand],master_Daily!Y284),SUMIFS(Daily_Vol[Order Quantity],Daily_Vol[Cust_Cat.cust_channel],master_Daily!X284,Daily_Vol[Map_Product.TME_Brand],master_Daily!Y284))/50000,0)</f>
        <v>0.42499999999999999</v>
      </c>
      <c r="FB284" s="256"/>
      <c r="FC284" s="256"/>
      <c r="FD284" s="256"/>
      <c r="FE284" s="256"/>
      <c r="FF284" s="256"/>
      <c r="FG284" s="256"/>
      <c r="FH284" s="256">
        <f ca="1">SUM(FI284:FK284)</f>
        <v>8.4528000000000016</v>
      </c>
      <c r="FI284" s="256">
        <f t="shared" ca="1" si="354"/>
        <v>8.4528000000000016</v>
      </c>
      <c r="FJ284" s="256">
        <f t="shared" ca="1" si="354"/>
        <v>0</v>
      </c>
      <c r="FK284" s="256">
        <f t="shared" ca="1" si="354"/>
        <v>0</v>
      </c>
      <c r="FL284" s="256">
        <f t="shared" ca="1" si="356"/>
        <v>0</v>
      </c>
      <c r="FM284" s="255">
        <f t="shared" ca="1" si="356"/>
        <v>0</v>
      </c>
      <c r="FN284" s="255">
        <f t="shared" ca="1" si="356"/>
        <v>0</v>
      </c>
      <c r="FO284" s="255">
        <f t="shared" ca="1" si="356"/>
        <v>0</v>
      </c>
      <c r="FP284" s="257">
        <f t="shared" ca="1" si="355"/>
        <v>0.37534635879218475</v>
      </c>
      <c r="FQ284" s="258">
        <f t="shared" si="323"/>
        <v>0</v>
      </c>
      <c r="FR284" s="256">
        <f>SUMIFS(TME_MTD_Dist[Sell_WHS_QTY],TME_MTD_Dist[Dist_Name],master_Daily!$X284,TME_MTD_Dist[Brand],master_Daily!$Y284)/50000
 + SUMIFS(TME_MTD_Dist[Sell_RTL_QTY],TME_MTD_Dist[Dist_Name],master_Daily!$X284,TME_MTD_Dist[Brand],master_Daily!$Y284)/50000</f>
        <v>0</v>
      </c>
      <c r="FS284" s="258">
        <f t="shared" si="207"/>
        <v>0</v>
      </c>
    </row>
    <row r="285" spans="20:175" s="154" customFormat="1" hidden="1" outlineLevel="1">
      <c r="T285" s="155"/>
      <c r="U285" s="156"/>
      <c r="X285" s="252" t="s">
        <v>237</v>
      </c>
      <c r="Y285" s="253" t="s">
        <v>263</v>
      </c>
      <c r="Z285" s="253"/>
      <c r="AA285" s="254">
        <f t="shared" si="325"/>
        <v>1.7612000000000001</v>
      </c>
      <c r="AB285" s="255">
        <f t="shared" si="326"/>
        <v>0</v>
      </c>
      <c r="AC285" s="254">
        <v>1.7612000000000001</v>
      </c>
      <c r="AD285" s="256">
        <v>1.7612000000000001</v>
      </c>
      <c r="AE285" s="256"/>
      <c r="AF285" s="256"/>
      <c r="AG285" s="254"/>
      <c r="AH285" s="256"/>
      <c r="AI285" s="256"/>
      <c r="AJ285" s="256"/>
      <c r="AK285" s="254">
        <f t="shared" si="327"/>
        <v>1.6659999999999999</v>
      </c>
      <c r="AL285" s="255">
        <f t="shared" si="328"/>
        <v>0</v>
      </c>
      <c r="AM285" s="254">
        <v>1.6659999999999999</v>
      </c>
      <c r="AN285" s="256">
        <v>1.6659999999999999</v>
      </c>
      <c r="AO285" s="256"/>
      <c r="AP285" s="256"/>
      <c r="AQ285" s="254"/>
      <c r="AR285" s="256"/>
      <c r="AS285" s="256"/>
      <c r="AT285" s="256"/>
      <c r="AU285" s="254">
        <f t="shared" si="329"/>
        <v>1.873</v>
      </c>
      <c r="AV285" s="255">
        <f t="shared" si="330"/>
        <v>0</v>
      </c>
      <c r="AW285" s="254">
        <v>1.873</v>
      </c>
      <c r="AX285" s="256">
        <v>1.873</v>
      </c>
      <c r="AY285" s="256"/>
      <c r="AZ285" s="256"/>
      <c r="BA285" s="254"/>
      <c r="BB285" s="256"/>
      <c r="BC285" s="256"/>
      <c r="BD285" s="256"/>
      <c r="BE285" s="254">
        <f t="shared" si="331"/>
        <v>1.5773999999999999</v>
      </c>
      <c r="BF285" s="255">
        <f t="shared" si="332"/>
        <v>0</v>
      </c>
      <c r="BG285" s="254">
        <v>1.5773999999999999</v>
      </c>
      <c r="BH285" s="256">
        <v>1.5773999999999999</v>
      </c>
      <c r="BI285" s="256"/>
      <c r="BJ285" s="256"/>
      <c r="BK285" s="254"/>
      <c r="BL285" s="256"/>
      <c r="BM285" s="256"/>
      <c r="BN285" s="256"/>
      <c r="BO285" s="254">
        <f t="shared" si="333"/>
        <v>1.67</v>
      </c>
      <c r="BP285" s="255">
        <f t="shared" si="334"/>
        <v>0</v>
      </c>
      <c r="BQ285" s="254">
        <v>1.67</v>
      </c>
      <c r="BR285" s="256">
        <v>1.67</v>
      </c>
      <c r="BS285" s="256"/>
      <c r="BT285" s="256"/>
      <c r="BU285" s="254"/>
      <c r="BV285" s="256"/>
      <c r="BW285" s="256"/>
      <c r="BX285" s="256"/>
      <c r="BY285" s="254">
        <f t="shared" si="335"/>
        <v>0.88</v>
      </c>
      <c r="BZ285" s="255">
        <f t="shared" si="336"/>
        <v>0</v>
      </c>
      <c r="CA285" s="254">
        <v>0.88</v>
      </c>
      <c r="CB285" s="256">
        <v>0.88</v>
      </c>
      <c r="CC285" s="256"/>
      <c r="CD285" s="256"/>
      <c r="CE285" s="254"/>
      <c r="CF285" s="256"/>
      <c r="CG285" s="256"/>
      <c r="CH285" s="256"/>
      <c r="CI285" s="254">
        <f t="shared" si="337"/>
        <v>0</v>
      </c>
      <c r="CJ285" s="255">
        <f t="shared" si="338"/>
        <v>0</v>
      </c>
      <c r="CK285" s="254"/>
      <c r="CL285" s="256"/>
      <c r="CM285" s="256"/>
      <c r="CN285" s="256"/>
      <c r="CO285" s="254"/>
      <c r="CP285" s="256"/>
      <c r="CQ285" s="256"/>
      <c r="CR285" s="256"/>
      <c r="CS285" s="254">
        <f t="shared" si="339"/>
        <v>0</v>
      </c>
      <c r="CT285" s="255">
        <f t="shared" si="340"/>
        <v>0</v>
      </c>
      <c r="CU285" s="254"/>
      <c r="CV285" s="256"/>
      <c r="CW285" s="256"/>
      <c r="CX285" s="256"/>
      <c r="CY285" s="254"/>
      <c r="CZ285" s="256"/>
      <c r="DA285" s="256"/>
      <c r="DB285" s="256"/>
      <c r="DC285" s="254">
        <f t="shared" si="341"/>
        <v>0</v>
      </c>
      <c r="DD285" s="255">
        <f t="shared" si="342"/>
        <v>0</v>
      </c>
      <c r="DE285" s="254"/>
      <c r="DF285" s="256"/>
      <c r="DG285" s="256"/>
      <c r="DH285" s="256"/>
      <c r="DI285" s="254"/>
      <c r="DJ285" s="256"/>
      <c r="DK285" s="256"/>
      <c r="DL285" s="256"/>
      <c r="DM285" s="254">
        <f t="shared" si="343"/>
        <v>0</v>
      </c>
      <c r="DN285" s="255">
        <f t="shared" si="344"/>
        <v>0</v>
      </c>
      <c r="DO285" s="254"/>
      <c r="DP285" s="256"/>
      <c r="DQ285" s="256"/>
      <c r="DR285" s="256"/>
      <c r="DS285" s="254"/>
      <c r="DT285" s="256"/>
      <c r="DU285" s="256"/>
      <c r="DV285" s="256"/>
      <c r="DW285" s="254">
        <f t="shared" si="345"/>
        <v>0</v>
      </c>
      <c r="DX285" s="255">
        <f t="shared" si="346"/>
        <v>0</v>
      </c>
      <c r="DY285" s="254"/>
      <c r="DZ285" s="256"/>
      <c r="EA285" s="256"/>
      <c r="EB285" s="256"/>
      <c r="EC285" s="254"/>
      <c r="ED285" s="256"/>
      <c r="EE285" s="256"/>
      <c r="EF285" s="256"/>
      <c r="EG285" s="254">
        <f t="shared" si="347"/>
        <v>0</v>
      </c>
      <c r="EH285" s="255">
        <f t="shared" si="348"/>
        <v>0</v>
      </c>
      <c r="EI285" s="254"/>
      <c r="EJ285" s="256"/>
      <c r="EK285" s="256"/>
      <c r="EL285" s="256"/>
      <c r="EM285" s="254"/>
      <c r="EN285" s="256"/>
      <c r="EO285" s="256"/>
      <c r="EP285" s="256"/>
      <c r="EQ285" s="388"/>
      <c r="ER285" s="256">
        <f>SUM(ET285:EX285)</f>
        <v>0</v>
      </c>
      <c r="ES285" s="256">
        <f>IFERROR(SUMIFS(Daily_Vol_yesterday[Order Quantity],Daily_Vol_yesterday[Cust_Cat.cust_channel],master_Daily!X285,Daily_Vol_yesterday[Map_Product.TME_Brand],"CM")/50000,0)</f>
        <v>0</v>
      </c>
      <c r="ET285" s="256"/>
      <c r="EU285" s="256"/>
      <c r="EV285" s="255"/>
      <c r="EW285" s="256"/>
      <c r="EX285" s="256"/>
      <c r="EY285" s="256"/>
      <c r="EZ285" s="256">
        <f>SUM(FA285:FC285)</f>
        <v>0.88</v>
      </c>
      <c r="FA285" s="256">
        <f>IFERROR(SUM(SUMIFS(Weekly_Vol[Quantity],Weekly_Vol[Cust_Cat.cust_channel],master_Daily!X285,Weekly_Vol[Map_Product.TME_Brand],"CM"),SUMIFS(Daily_Vol[Order Quantity],Daily_Vol[Cust_Cat.cust_channel],master_Daily!X285,Daily_Vol[Map_Product.TME_Brand],"CM"))/50000,0)</f>
        <v>0.88</v>
      </c>
      <c r="FB285" s="256"/>
      <c r="FC285" s="256"/>
      <c r="FD285" s="256"/>
      <c r="FE285" s="256"/>
      <c r="FF285" s="256"/>
      <c r="FG285" s="256"/>
      <c r="FH285" s="256">
        <f ca="1">SUM(FI285:FK285)</f>
        <v>9.4276</v>
      </c>
      <c r="FI285" s="256">
        <f t="shared" ca="1" si="354"/>
        <v>9.4276</v>
      </c>
      <c r="FJ285" s="256">
        <f t="shared" ca="1" si="354"/>
        <v>0</v>
      </c>
      <c r="FK285" s="256">
        <f t="shared" ca="1" si="354"/>
        <v>0</v>
      </c>
      <c r="FL285" s="256">
        <f ca="1">SUMIFS($AA285:$EP285,$AA$129:$EP$129,INDIRECT(ADDRESS(129,COLUMN())))</f>
        <v>0</v>
      </c>
      <c r="FM285" s="255">
        <f t="shared" ref="FM285:FO286" si="357">SUMIFS(AF285:EU285,$AA$129:$EP$129,$FH$129)</f>
        <v>0</v>
      </c>
      <c r="FN285" s="255">
        <f t="shared" si="357"/>
        <v>0</v>
      </c>
      <c r="FO285" s="255">
        <f t="shared" si="357"/>
        <v>0</v>
      </c>
      <c r="FP285" s="257">
        <f t="shared" ca="1" si="355"/>
        <v>0.41863232682060386</v>
      </c>
      <c r="FQ285" s="258">
        <f t="shared" si="323"/>
        <v>0</v>
      </c>
      <c r="FR285" s="256">
        <f>SUMIFS(TME_MTD_Dist[Sell_WHS_QTY],TME_MTD_Dist[Dist_Name],master_Daily!$X285,TME_MTD_Dist[Brand],master_Daily!$Y285)/50000
 + SUMIFS(TME_MTD_Dist[Sell_RTL_QTY],TME_MTD_Dist[Dist_Name],master_Daily!$X285,TME_MTD_Dist[Brand],master_Daily!$Y285)/50000</f>
        <v>0</v>
      </c>
      <c r="FS285" s="258">
        <f t="shared" si="207"/>
        <v>0</v>
      </c>
    </row>
    <row r="286" spans="20:175" s="154" customFormat="1" hidden="1" outlineLevel="1">
      <c r="T286" s="155"/>
      <c r="U286" s="156"/>
      <c r="X286" s="252" t="s">
        <v>237</v>
      </c>
      <c r="Y286" s="253" t="s">
        <v>264</v>
      </c>
      <c r="Z286" s="253"/>
      <c r="AA286" s="254">
        <f t="shared" si="325"/>
        <v>0.69699999999999995</v>
      </c>
      <c r="AB286" s="255">
        <f t="shared" si="326"/>
        <v>0</v>
      </c>
      <c r="AC286" s="254">
        <v>0.69699999999999995</v>
      </c>
      <c r="AD286" s="256">
        <v>0.69699999999999995</v>
      </c>
      <c r="AE286" s="256"/>
      <c r="AF286" s="256"/>
      <c r="AG286" s="254"/>
      <c r="AH286" s="256"/>
      <c r="AI286" s="256"/>
      <c r="AJ286" s="256"/>
      <c r="AK286" s="254">
        <f t="shared" si="327"/>
        <v>0.52700000000000002</v>
      </c>
      <c r="AL286" s="255">
        <f t="shared" si="328"/>
        <v>0</v>
      </c>
      <c r="AM286" s="254">
        <v>0.52700000000000002</v>
      </c>
      <c r="AN286" s="256">
        <v>0.52700000000000002</v>
      </c>
      <c r="AO286" s="256"/>
      <c r="AP286" s="256"/>
      <c r="AQ286" s="254"/>
      <c r="AR286" s="256"/>
      <c r="AS286" s="256"/>
      <c r="AT286" s="256"/>
      <c r="AU286" s="254">
        <f t="shared" si="329"/>
        <v>0.86</v>
      </c>
      <c r="AV286" s="255">
        <f t="shared" si="330"/>
        <v>0</v>
      </c>
      <c r="AW286" s="254">
        <v>0.86</v>
      </c>
      <c r="AX286" s="256">
        <v>0.86</v>
      </c>
      <c r="AY286" s="256"/>
      <c r="AZ286" s="256"/>
      <c r="BA286" s="254"/>
      <c r="BB286" s="256"/>
      <c r="BC286" s="256"/>
      <c r="BD286" s="256"/>
      <c r="BE286" s="254">
        <f t="shared" si="331"/>
        <v>0.90800000000000003</v>
      </c>
      <c r="BF286" s="255">
        <f t="shared" si="332"/>
        <v>0</v>
      </c>
      <c r="BG286" s="254">
        <v>0.90800000000000003</v>
      </c>
      <c r="BH286" s="256">
        <v>0.90800000000000003</v>
      </c>
      <c r="BI286" s="256"/>
      <c r="BJ286" s="256"/>
      <c r="BK286" s="254"/>
      <c r="BL286" s="256"/>
      <c r="BM286" s="256"/>
      <c r="BN286" s="256"/>
      <c r="BO286" s="254">
        <f t="shared" si="333"/>
        <v>0.84499999999999997</v>
      </c>
      <c r="BP286" s="255">
        <f t="shared" si="334"/>
        <v>0</v>
      </c>
      <c r="BQ286" s="254">
        <v>0.84499999999999997</v>
      </c>
      <c r="BR286" s="256">
        <v>0.84499999999999997</v>
      </c>
      <c r="BS286" s="256"/>
      <c r="BT286" s="256"/>
      <c r="BU286" s="254"/>
      <c r="BV286" s="256"/>
      <c r="BW286" s="256"/>
      <c r="BX286" s="256"/>
      <c r="BY286" s="254">
        <f t="shared" si="335"/>
        <v>0.62</v>
      </c>
      <c r="BZ286" s="255">
        <f t="shared" si="336"/>
        <v>0</v>
      </c>
      <c r="CA286" s="254">
        <v>0.62</v>
      </c>
      <c r="CB286" s="256">
        <v>0.62</v>
      </c>
      <c r="CC286" s="256"/>
      <c r="CD286" s="256"/>
      <c r="CE286" s="254"/>
      <c r="CF286" s="256"/>
      <c r="CG286" s="256"/>
      <c r="CH286" s="256"/>
      <c r="CI286" s="254">
        <f t="shared" si="337"/>
        <v>0</v>
      </c>
      <c r="CJ286" s="255">
        <f t="shared" si="338"/>
        <v>0</v>
      </c>
      <c r="CK286" s="254"/>
      <c r="CL286" s="256"/>
      <c r="CM286" s="256"/>
      <c r="CN286" s="256"/>
      <c r="CO286" s="254"/>
      <c r="CP286" s="256"/>
      <c r="CQ286" s="256"/>
      <c r="CR286" s="256"/>
      <c r="CS286" s="254">
        <f t="shared" si="339"/>
        <v>0</v>
      </c>
      <c r="CT286" s="255">
        <f t="shared" si="340"/>
        <v>0</v>
      </c>
      <c r="CU286" s="254"/>
      <c r="CV286" s="256"/>
      <c r="CW286" s="256"/>
      <c r="CX286" s="256"/>
      <c r="CY286" s="254"/>
      <c r="CZ286" s="256"/>
      <c r="DA286" s="256"/>
      <c r="DB286" s="256"/>
      <c r="DC286" s="254">
        <f t="shared" si="341"/>
        <v>0</v>
      </c>
      <c r="DD286" s="255">
        <f t="shared" si="342"/>
        <v>0</v>
      </c>
      <c r="DE286" s="254"/>
      <c r="DF286" s="256"/>
      <c r="DG286" s="256"/>
      <c r="DH286" s="256"/>
      <c r="DI286" s="254"/>
      <c r="DJ286" s="256"/>
      <c r="DK286" s="256"/>
      <c r="DL286" s="256"/>
      <c r="DM286" s="254">
        <f t="shared" si="343"/>
        <v>0</v>
      </c>
      <c r="DN286" s="255">
        <f t="shared" si="344"/>
        <v>0</v>
      </c>
      <c r="DO286" s="254"/>
      <c r="DP286" s="256"/>
      <c r="DQ286" s="256"/>
      <c r="DR286" s="256"/>
      <c r="DS286" s="254"/>
      <c r="DT286" s="256"/>
      <c r="DU286" s="256"/>
      <c r="DV286" s="256"/>
      <c r="DW286" s="254">
        <f t="shared" si="345"/>
        <v>0</v>
      </c>
      <c r="DX286" s="255">
        <f t="shared" si="346"/>
        <v>0</v>
      </c>
      <c r="DY286" s="254"/>
      <c r="DZ286" s="256"/>
      <c r="EA286" s="256"/>
      <c r="EB286" s="256"/>
      <c r="EC286" s="254"/>
      <c r="ED286" s="256"/>
      <c r="EE286" s="256"/>
      <c r="EF286" s="256"/>
      <c r="EG286" s="254">
        <f t="shared" si="347"/>
        <v>0</v>
      </c>
      <c r="EH286" s="255">
        <f t="shared" si="348"/>
        <v>0</v>
      </c>
      <c r="EI286" s="254"/>
      <c r="EJ286" s="256"/>
      <c r="EK286" s="256"/>
      <c r="EL286" s="256"/>
      <c r="EM286" s="254"/>
      <c r="EN286" s="256"/>
      <c r="EO286" s="256"/>
      <c r="EP286" s="256"/>
      <c r="EQ286" s="388"/>
      <c r="ER286" s="256">
        <f>SUM(ET286:EX286)</f>
        <v>0</v>
      </c>
      <c r="ES286" s="256">
        <f>IFERROR(SUMIFS(Daily_Vol_yesterday[Order Quantity],Daily_Vol_yesterday[Cust_Cat.cust_channel],master_Daily!X286,Daily_Vol_yesterday[Map_Product.TME_Brand],"CMHD")/50000,0)</f>
        <v>0</v>
      </c>
      <c r="ET286" s="256"/>
      <c r="EU286" s="256"/>
      <c r="EV286" s="255"/>
      <c r="EW286" s="256"/>
      <c r="EX286" s="256"/>
      <c r="EY286" s="256"/>
      <c r="EZ286" s="256">
        <f>SUM(FA286:FC286)</f>
        <v>0.62</v>
      </c>
      <c r="FA286" s="256">
        <f>IFERROR(SUM(SUMIFS(Weekly_Vol[Quantity],Weekly_Vol[Cust_Cat.cust_channel],master_Daily!X286,Weekly_Vol[Map_Product.TME_Brand],"CMHD"),SUMIFS(Daily_Vol[Order Quantity],Daily_Vol[Cust_Cat.cust_channel],master_Daily!X286,Daily_Vol[Map_Product.TME_Brand],"CMHD"))/50000,0)</f>
        <v>0.62</v>
      </c>
      <c r="FB286" s="256"/>
      <c r="FC286" s="256"/>
      <c r="FD286" s="256"/>
      <c r="FE286" s="256"/>
      <c r="FF286" s="256"/>
      <c r="FG286" s="256"/>
      <c r="FH286" s="256">
        <f ca="1">SUM(FI286:FK286)</f>
        <v>4.4569999999999999</v>
      </c>
      <c r="FI286" s="256">
        <f t="shared" ca="1" si="354"/>
        <v>4.4569999999999999</v>
      </c>
      <c r="FJ286" s="256">
        <f t="shared" ca="1" si="354"/>
        <v>0</v>
      </c>
      <c r="FK286" s="256">
        <f t="shared" ca="1" si="354"/>
        <v>0</v>
      </c>
      <c r="FL286" s="256">
        <f ca="1">SUMIFS($AA286:$EP286,$AA$129:$EP$129,INDIRECT(ADDRESS(129,COLUMN())))</f>
        <v>0</v>
      </c>
      <c r="FM286" s="255">
        <f t="shared" si="357"/>
        <v>0</v>
      </c>
      <c r="FN286" s="255">
        <f t="shared" si="357"/>
        <v>0</v>
      </c>
      <c r="FO286" s="255">
        <f t="shared" si="357"/>
        <v>0</v>
      </c>
      <c r="FP286" s="257">
        <f t="shared" ca="1" si="355"/>
        <v>0.19791296625222021</v>
      </c>
      <c r="FQ286" s="258">
        <f t="shared" si="323"/>
        <v>0</v>
      </c>
      <c r="FR286" s="256">
        <f>SUMIFS(TME_MTD_Dist[Sell_WHS_QTY],TME_MTD_Dist[Dist_Name],master_Daily!$X286,TME_MTD_Dist[Brand],master_Daily!$Y286)/50000
 + SUMIFS(TME_MTD_Dist[Sell_RTL_QTY],TME_MTD_Dist[Dist_Name],master_Daily!$X286,TME_MTD_Dist[Brand],master_Daily!$Y286)/50000</f>
        <v>0</v>
      </c>
      <c r="FS286" s="258">
        <f t="shared" ref="FS286:FS323" si="358">IFERROR(FR286/EQ286,0)</f>
        <v>0</v>
      </c>
    </row>
    <row r="287" spans="20:175" s="154" customFormat="1" collapsed="1">
      <c r="T287" s="155"/>
      <c r="U287" s="156"/>
      <c r="X287" s="259" t="s">
        <v>310</v>
      </c>
      <c r="Y287" s="260"/>
      <c r="Z287" s="260"/>
      <c r="AA287" s="261">
        <f t="shared" si="325"/>
        <v>4.2</v>
      </c>
      <c r="AB287" s="261">
        <f t="shared" si="326"/>
        <v>0</v>
      </c>
      <c r="AC287" s="261">
        <v>4.2</v>
      </c>
      <c r="AD287" s="261">
        <v>4.2</v>
      </c>
      <c r="AE287" s="261">
        <v>0</v>
      </c>
      <c r="AF287" s="261">
        <v>0</v>
      </c>
      <c r="AG287" s="261">
        <v>0</v>
      </c>
      <c r="AH287" s="261">
        <v>0</v>
      </c>
      <c r="AI287" s="261">
        <v>0</v>
      </c>
      <c r="AJ287" s="261">
        <v>0</v>
      </c>
      <c r="AK287" s="261">
        <f t="shared" si="327"/>
        <v>3.9699999999999998</v>
      </c>
      <c r="AL287" s="261">
        <f t="shared" si="328"/>
        <v>0</v>
      </c>
      <c r="AM287" s="261">
        <v>3.9699999999999998</v>
      </c>
      <c r="AN287" s="261">
        <v>3.9699999999999998</v>
      </c>
      <c r="AO287" s="261">
        <v>0</v>
      </c>
      <c r="AP287" s="261">
        <v>0</v>
      </c>
      <c r="AQ287" s="261">
        <v>0</v>
      </c>
      <c r="AR287" s="261">
        <v>0</v>
      </c>
      <c r="AS287" s="261">
        <v>0</v>
      </c>
      <c r="AT287" s="261">
        <v>0</v>
      </c>
      <c r="AU287" s="261">
        <f t="shared" si="329"/>
        <v>4.16</v>
      </c>
      <c r="AV287" s="261">
        <f t="shared" si="330"/>
        <v>0</v>
      </c>
      <c r="AW287" s="261">
        <v>4.16</v>
      </c>
      <c r="AX287" s="261">
        <v>4.16</v>
      </c>
      <c r="AY287" s="261">
        <v>0</v>
      </c>
      <c r="AZ287" s="261">
        <v>0</v>
      </c>
      <c r="BA287" s="261">
        <v>0</v>
      </c>
      <c r="BB287" s="261">
        <v>0</v>
      </c>
      <c r="BC287" s="261">
        <v>0</v>
      </c>
      <c r="BD287" s="261">
        <v>0</v>
      </c>
      <c r="BE287" s="261">
        <f t="shared" si="331"/>
        <v>4.1400000000000006</v>
      </c>
      <c r="BF287" s="261">
        <f t="shared" si="332"/>
        <v>0</v>
      </c>
      <c r="BG287" s="261">
        <v>4.1400000000000006</v>
      </c>
      <c r="BH287" s="261">
        <v>4.1400000000000006</v>
      </c>
      <c r="BI287" s="261">
        <v>0</v>
      </c>
      <c r="BJ287" s="261">
        <v>0</v>
      </c>
      <c r="BK287" s="261">
        <v>0</v>
      </c>
      <c r="BL287" s="261">
        <v>0</v>
      </c>
      <c r="BM287" s="261">
        <v>0</v>
      </c>
      <c r="BN287" s="261">
        <v>0</v>
      </c>
      <c r="BO287" s="261">
        <f t="shared" si="333"/>
        <v>4.0999999999999996</v>
      </c>
      <c r="BP287" s="261">
        <f t="shared" si="334"/>
        <v>0</v>
      </c>
      <c r="BQ287" s="261">
        <v>4.0999999999999996</v>
      </c>
      <c r="BR287" s="261">
        <v>4.0999999999999996</v>
      </c>
      <c r="BS287" s="261">
        <v>0</v>
      </c>
      <c r="BT287" s="261">
        <v>0</v>
      </c>
      <c r="BU287" s="261">
        <v>0</v>
      </c>
      <c r="BV287" s="261">
        <v>0</v>
      </c>
      <c r="BW287" s="261">
        <v>0</v>
      </c>
      <c r="BX287" s="261">
        <v>0</v>
      </c>
      <c r="BY287" s="261">
        <f t="shared" si="335"/>
        <v>1.9500000000000002</v>
      </c>
      <c r="BZ287" s="261">
        <f t="shared" si="336"/>
        <v>0</v>
      </c>
      <c r="CA287" s="261">
        <v>1.9500000000000002</v>
      </c>
      <c r="CB287" s="261">
        <v>1.9500000000000002</v>
      </c>
      <c r="CC287" s="261">
        <v>0</v>
      </c>
      <c r="CD287" s="261">
        <v>0</v>
      </c>
      <c r="CE287" s="261">
        <v>0</v>
      </c>
      <c r="CF287" s="261">
        <v>0</v>
      </c>
      <c r="CG287" s="261">
        <v>0</v>
      </c>
      <c r="CH287" s="261">
        <v>0</v>
      </c>
      <c r="CI287" s="261">
        <f t="shared" si="337"/>
        <v>0</v>
      </c>
      <c r="CJ287" s="261">
        <f t="shared" si="338"/>
        <v>0</v>
      </c>
      <c r="CK287" s="261"/>
      <c r="CL287" s="261"/>
      <c r="CM287" s="261"/>
      <c r="CN287" s="261"/>
      <c r="CO287" s="261"/>
      <c r="CP287" s="261">
        <v>0</v>
      </c>
      <c r="CQ287" s="261">
        <v>0</v>
      </c>
      <c r="CR287" s="261">
        <v>0</v>
      </c>
      <c r="CS287" s="261">
        <f t="shared" si="339"/>
        <v>0</v>
      </c>
      <c r="CT287" s="261">
        <f t="shared" si="340"/>
        <v>0</v>
      </c>
      <c r="CU287" s="261"/>
      <c r="CV287" s="261"/>
      <c r="CW287" s="261"/>
      <c r="CX287" s="261"/>
      <c r="CY287" s="261"/>
      <c r="CZ287" s="261">
        <v>0</v>
      </c>
      <c r="DA287" s="261">
        <v>0</v>
      </c>
      <c r="DB287" s="261">
        <v>0</v>
      </c>
      <c r="DC287" s="261">
        <f t="shared" si="341"/>
        <v>0</v>
      </c>
      <c r="DD287" s="261">
        <f t="shared" si="342"/>
        <v>0</v>
      </c>
      <c r="DE287" s="261"/>
      <c r="DF287" s="261"/>
      <c r="DG287" s="261"/>
      <c r="DH287" s="261"/>
      <c r="DI287" s="261"/>
      <c r="DJ287" s="261">
        <v>0</v>
      </c>
      <c r="DK287" s="261">
        <v>0</v>
      </c>
      <c r="DL287" s="261">
        <v>0</v>
      </c>
      <c r="DM287" s="261">
        <f t="shared" si="343"/>
        <v>0</v>
      </c>
      <c r="DN287" s="261">
        <f t="shared" si="344"/>
        <v>0</v>
      </c>
      <c r="DO287" s="261"/>
      <c r="DP287" s="261"/>
      <c r="DQ287" s="261"/>
      <c r="DR287" s="261"/>
      <c r="DS287" s="261"/>
      <c r="DT287" s="261">
        <v>0</v>
      </c>
      <c r="DU287" s="261">
        <v>0</v>
      </c>
      <c r="DV287" s="261">
        <v>0</v>
      </c>
      <c r="DW287" s="261">
        <f t="shared" si="345"/>
        <v>0</v>
      </c>
      <c r="DX287" s="261">
        <f t="shared" si="346"/>
        <v>0</v>
      </c>
      <c r="DY287" s="261"/>
      <c r="DZ287" s="261"/>
      <c r="EA287" s="261"/>
      <c r="EB287" s="261"/>
      <c r="EC287" s="261">
        <v>0</v>
      </c>
      <c r="ED287" s="261">
        <v>0</v>
      </c>
      <c r="EE287" s="261">
        <v>0</v>
      </c>
      <c r="EF287" s="261">
        <v>0</v>
      </c>
      <c r="EG287" s="261">
        <f t="shared" si="347"/>
        <v>0</v>
      </c>
      <c r="EH287" s="261">
        <f t="shared" si="348"/>
        <v>0</v>
      </c>
      <c r="EI287" s="261"/>
      <c r="EJ287" s="261"/>
      <c r="EK287" s="261"/>
      <c r="EL287" s="261"/>
      <c r="EM287" s="261">
        <v>0</v>
      </c>
      <c r="EN287" s="261">
        <v>0</v>
      </c>
      <c r="EO287" s="261">
        <v>0</v>
      </c>
      <c r="EP287" s="261">
        <v>0</v>
      </c>
      <c r="EQ287" s="262">
        <v>3.9</v>
      </c>
      <c r="ER287" s="261">
        <f>SUM(ER282:ER286)</f>
        <v>0</v>
      </c>
      <c r="ES287" s="261">
        <f>SUM(ES282:ES286)</f>
        <v>0</v>
      </c>
      <c r="ET287" s="261">
        <f>SUM(ET282:ET286)</f>
        <v>0</v>
      </c>
      <c r="EU287" s="261">
        <f>SUM(EU282:EU286)</f>
        <v>0</v>
      </c>
      <c r="EV287" s="261"/>
      <c r="EW287" s="261"/>
      <c r="EX287" s="261"/>
      <c r="EY287" s="261"/>
      <c r="EZ287" s="261">
        <f t="shared" ref="EZ287:FK287" si="359">SUM(EZ282:EZ286)</f>
        <v>1.9500000000000002</v>
      </c>
      <c r="FA287" s="261">
        <f t="shared" si="359"/>
        <v>1.9500000000000002</v>
      </c>
      <c r="FB287" s="261">
        <f t="shared" si="359"/>
        <v>0</v>
      </c>
      <c r="FC287" s="261">
        <f t="shared" si="359"/>
        <v>0</v>
      </c>
      <c r="FD287" s="261">
        <f t="shared" si="359"/>
        <v>0</v>
      </c>
      <c r="FE287" s="261">
        <f t="shared" si="359"/>
        <v>0</v>
      </c>
      <c r="FF287" s="261">
        <f t="shared" si="359"/>
        <v>0</v>
      </c>
      <c r="FG287" s="261">
        <f t="shared" si="359"/>
        <v>0</v>
      </c>
      <c r="FH287" s="261">
        <f t="shared" ca="1" si="359"/>
        <v>22.520000000000003</v>
      </c>
      <c r="FI287" s="261">
        <f t="shared" ca="1" si="359"/>
        <v>22.520000000000003</v>
      </c>
      <c r="FJ287" s="261">
        <f t="shared" ca="1" si="359"/>
        <v>0</v>
      </c>
      <c r="FK287" s="261">
        <f t="shared" ca="1" si="359"/>
        <v>0</v>
      </c>
      <c r="FL287" s="261">
        <f ca="1">SUM(FL282:FL285)</f>
        <v>0</v>
      </c>
      <c r="FM287" s="262">
        <f ca="1">SUM(FM282:FM286)</f>
        <v>0</v>
      </c>
      <c r="FN287" s="262">
        <f ca="1">SUM(FN282:FN286)</f>
        <v>0</v>
      </c>
      <c r="FO287" s="262">
        <f ca="1">SUM(FO282:FO286)</f>
        <v>0</v>
      </c>
      <c r="FP287" s="263">
        <f t="shared" ca="1" si="355"/>
        <v>1</v>
      </c>
      <c r="FQ287" s="264">
        <f t="shared" si="323"/>
        <v>0.50000000000000011</v>
      </c>
      <c r="FR287" s="261">
        <f>SUM(FR282:FR286)</f>
        <v>0</v>
      </c>
      <c r="FS287" s="264">
        <f t="shared" si="358"/>
        <v>0</v>
      </c>
    </row>
    <row r="288" spans="20:175" s="154" customFormat="1" hidden="1" outlineLevel="1">
      <c r="T288" s="155"/>
      <c r="U288" s="156"/>
      <c r="X288" s="252" t="s">
        <v>311</v>
      </c>
      <c r="Y288" s="253" t="s">
        <v>44</v>
      </c>
      <c r="Z288" s="253"/>
      <c r="AA288" s="254">
        <f t="shared" ref="AA288:AA293" si="360">SUM(AD288:AF288)</f>
        <v>0</v>
      </c>
      <c r="AB288" s="255">
        <f t="shared" ref="AB288:AB293" si="361">SUM(AH288:AJ288)</f>
        <v>0</v>
      </c>
      <c r="AC288" s="254">
        <v>0</v>
      </c>
      <c r="AD288" s="256">
        <v>0</v>
      </c>
      <c r="AE288" s="256"/>
      <c r="AF288" s="256"/>
      <c r="AG288" s="254"/>
      <c r="AH288" s="256"/>
      <c r="AI288" s="256"/>
      <c r="AJ288" s="256"/>
      <c r="AK288" s="254">
        <f t="shared" ref="AK288:AK293" si="362">SUM(AN288:AP288)</f>
        <v>0</v>
      </c>
      <c r="AL288" s="255">
        <f t="shared" ref="AL288:AL293" si="363">SUM(AR288:AT288)</f>
        <v>0</v>
      </c>
      <c r="AM288" s="254">
        <v>0</v>
      </c>
      <c r="AN288" s="256">
        <v>0</v>
      </c>
      <c r="AO288" s="256"/>
      <c r="AP288" s="256"/>
      <c r="AQ288" s="254"/>
      <c r="AR288" s="256"/>
      <c r="AS288" s="256"/>
      <c r="AT288" s="256"/>
      <c r="AU288" s="254">
        <f t="shared" ref="AU288:AU293" si="364">SUM(AX288:AZ288)</f>
        <v>0</v>
      </c>
      <c r="AV288" s="255">
        <f t="shared" ref="AV288:AV293" si="365">SUM(BB288:BD288)</f>
        <v>0</v>
      </c>
      <c r="AW288" s="254">
        <v>0</v>
      </c>
      <c r="AX288" s="256">
        <v>0</v>
      </c>
      <c r="AY288" s="256"/>
      <c r="AZ288" s="256"/>
      <c r="BA288" s="254"/>
      <c r="BB288" s="256"/>
      <c r="BC288" s="256"/>
      <c r="BD288" s="256"/>
      <c r="BE288" s="254">
        <f t="shared" ref="BE288:BE293" si="366">SUM(BH288:BJ288)</f>
        <v>0</v>
      </c>
      <c r="BF288" s="255">
        <f t="shared" ref="BF288:BF293" si="367">SUM(BL288:BN288)</f>
        <v>0</v>
      </c>
      <c r="BG288" s="254">
        <v>0</v>
      </c>
      <c r="BH288" s="256">
        <v>0</v>
      </c>
      <c r="BI288" s="256"/>
      <c r="BJ288" s="256"/>
      <c r="BK288" s="254"/>
      <c r="BL288" s="256"/>
      <c r="BM288" s="256"/>
      <c r="BN288" s="256"/>
      <c r="BO288" s="254">
        <f t="shared" ref="BO288:BO293" si="368">SUM(BR288:BT288)</f>
        <v>0</v>
      </c>
      <c r="BP288" s="255">
        <f t="shared" ref="BP288:BP293" si="369">SUM(BV288:BX288)</f>
        <v>0</v>
      </c>
      <c r="BQ288" s="254">
        <v>0</v>
      </c>
      <c r="BR288" s="256">
        <v>0</v>
      </c>
      <c r="BS288" s="256"/>
      <c r="BT288" s="256"/>
      <c r="BU288" s="254"/>
      <c r="BV288" s="256"/>
      <c r="BW288" s="256"/>
      <c r="BX288" s="256"/>
      <c r="BY288" s="254">
        <f t="shared" ref="BY288:BY293" si="370">SUM(CB288:CD288)</f>
        <v>0</v>
      </c>
      <c r="BZ288" s="255">
        <f t="shared" ref="BZ288:BZ293" si="371">SUM(CF288:CH288)</f>
        <v>0</v>
      </c>
      <c r="CA288" s="254">
        <v>0</v>
      </c>
      <c r="CB288" s="256">
        <v>0</v>
      </c>
      <c r="CC288" s="256"/>
      <c r="CD288" s="256"/>
      <c r="CE288" s="254"/>
      <c r="CF288" s="256"/>
      <c r="CG288" s="256"/>
      <c r="CH288" s="256"/>
      <c r="CI288" s="254">
        <f t="shared" ref="CI288:CI293" si="372">SUM(CL288:CN288)</f>
        <v>0</v>
      </c>
      <c r="CJ288" s="255">
        <f t="shared" ref="CJ288:CJ293" si="373">SUM(CP288:CR288)</f>
        <v>0</v>
      </c>
      <c r="CK288" s="254"/>
      <c r="CL288" s="256"/>
      <c r="CM288" s="256"/>
      <c r="CN288" s="256"/>
      <c r="CO288" s="254"/>
      <c r="CP288" s="256"/>
      <c r="CQ288" s="256"/>
      <c r="CR288" s="256"/>
      <c r="CS288" s="254">
        <f t="shared" ref="CS288:CS293" si="374">SUM(CV288:CX288)</f>
        <v>0</v>
      </c>
      <c r="CT288" s="255">
        <f t="shared" ref="CT288:CT293" si="375">SUM(CZ288:DB288)</f>
        <v>0</v>
      </c>
      <c r="CU288" s="254"/>
      <c r="CV288" s="256"/>
      <c r="CW288" s="256"/>
      <c r="CX288" s="256"/>
      <c r="CY288" s="254"/>
      <c r="CZ288" s="256"/>
      <c r="DA288" s="256"/>
      <c r="DB288" s="256"/>
      <c r="DC288" s="254">
        <f t="shared" ref="DC288:DC293" si="376">SUM(DF288:DH288)</f>
        <v>0</v>
      </c>
      <c r="DD288" s="255">
        <f t="shared" ref="DD288:DD293" si="377">SUM(DJ288:DL288)</f>
        <v>0</v>
      </c>
      <c r="DE288" s="254"/>
      <c r="DF288" s="256"/>
      <c r="DG288" s="256"/>
      <c r="DH288" s="256"/>
      <c r="DI288" s="254"/>
      <c r="DJ288" s="256"/>
      <c r="DK288" s="256"/>
      <c r="DL288" s="256"/>
      <c r="DM288" s="254">
        <f t="shared" ref="DM288:DM293" si="378">SUM(DP288:DR288)</f>
        <v>0</v>
      </c>
      <c r="DN288" s="255">
        <f t="shared" ref="DN288:DN293" si="379">SUM(DT288:DV288)</f>
        <v>0</v>
      </c>
      <c r="DO288" s="254"/>
      <c r="DP288" s="256"/>
      <c r="DQ288" s="256"/>
      <c r="DR288" s="256"/>
      <c r="DS288" s="254"/>
      <c r="DT288" s="256"/>
      <c r="DU288" s="256"/>
      <c r="DV288" s="256"/>
      <c r="DW288" s="254">
        <f t="shared" ref="DW288:DW293" si="380">SUM(DZ288:EB288)</f>
        <v>0</v>
      </c>
      <c r="DX288" s="255">
        <f t="shared" ref="DX288:DX293" si="381">SUM(ED288:EF288)</f>
        <v>0</v>
      </c>
      <c r="DY288" s="254"/>
      <c r="DZ288" s="256"/>
      <c r="EA288" s="256"/>
      <c r="EB288" s="256"/>
      <c r="EC288" s="254"/>
      <c r="ED288" s="256"/>
      <c r="EE288" s="256"/>
      <c r="EF288" s="256"/>
      <c r="EG288" s="254">
        <f t="shared" ref="EG288:EG293" si="382">SUM(EJ288:EL288)</f>
        <v>0</v>
      </c>
      <c r="EH288" s="255">
        <f t="shared" ref="EH288:EH293" si="383">SUM(EN288:EP288)</f>
        <v>0</v>
      </c>
      <c r="EI288" s="254"/>
      <c r="EJ288" s="256"/>
      <c r="EK288" s="256"/>
      <c r="EL288" s="256"/>
      <c r="EM288" s="254"/>
      <c r="EN288" s="256"/>
      <c r="EO288" s="256"/>
      <c r="EP288" s="256"/>
      <c r="EQ288" s="388"/>
      <c r="ER288" s="256">
        <f>SUM(ET288:EX288)</f>
        <v>0</v>
      </c>
      <c r="ES288" s="256">
        <f>IFERROR(SUMIFS(Daily_Vol_yesterday[Order Quantity],Daily_Vol_yesterday[Cust_Cat.cust_channel],master_Daily!X288,Daily_Vol_yesterday[Map_Product.TME_Brand],master_Daily!Y288)/50000,0)</f>
        <v>0</v>
      </c>
      <c r="ET288" s="256"/>
      <c r="EU288" s="256"/>
      <c r="EV288" s="255"/>
      <c r="EW288" s="256"/>
      <c r="EX288" s="256"/>
      <c r="EY288" s="256"/>
      <c r="EZ288" s="256">
        <f>SUM(FA288:FC288)</f>
        <v>0</v>
      </c>
      <c r="FA288" s="256">
        <f>IFERROR(SUM(SUMIFS(Weekly_Vol[Quantity],Weekly_Vol[Cust_Cat.cust_channel],master_Daily!X288,Weekly_Vol[Map_Product.TME_Brand],master_Daily!Y288),SUMIFS(Daily_Vol[Order Quantity],Daily_Vol[Cust_Cat.cust_channel],master_Daily!X288,Daily_Vol[Map_Product.TME_Brand],master_Daily!Y288))/50000,0)</f>
        <v>0</v>
      </c>
      <c r="FB288" s="256"/>
      <c r="FC288" s="256"/>
      <c r="FD288" s="256"/>
      <c r="FE288" s="256"/>
      <c r="FF288" s="256"/>
      <c r="FG288" s="256"/>
      <c r="FH288" s="256">
        <f ca="1">SUM(FI288:FK288)</f>
        <v>0</v>
      </c>
      <c r="FI288" s="256">
        <f t="shared" ref="FI288:FK292" ca="1" si="384">SUMIFS($AA288:$EP288,$AA$129:$EP$129,INDIRECT(ADDRESS(129,COLUMN())))</f>
        <v>0</v>
      </c>
      <c r="FJ288" s="256">
        <f t="shared" ca="1" si="384"/>
        <v>0</v>
      </c>
      <c r="FK288" s="256">
        <f t="shared" ca="1" si="384"/>
        <v>0</v>
      </c>
      <c r="FL288" s="256">
        <f ca="1">SUMIFS($AA288:$EP288,$AA$129:$EP$129,INDIRECT(ADDRESS(38,COLUMN())))</f>
        <v>0</v>
      </c>
      <c r="FM288" s="256">
        <f ca="1">SUMIFS($AA288:$EP288,$AA$129:$EP$129,INDIRECT(ADDRESS(38,COLUMN())))</f>
        <v>0</v>
      </c>
      <c r="FN288" s="256">
        <f ca="1">SUMIFS($AA288:$EP288,$AA$129:$EP$129,INDIRECT(ADDRESS(38,COLUMN())))</f>
        <v>0</v>
      </c>
      <c r="FO288" s="256">
        <f ca="1">SUMIFS($AA288:$EP288,$AA$129:$EP$129,INDIRECT(ADDRESS(38,COLUMN())))</f>
        <v>0</v>
      </c>
      <c r="FP288" s="257">
        <f t="shared" ref="FP288:FP293" ca="1" si="385">IFERROR(FH288/$FH$293,0)</f>
        <v>0</v>
      </c>
      <c r="FQ288" s="258">
        <f t="shared" si="323"/>
        <v>0</v>
      </c>
      <c r="FR288" s="256">
        <f>SUMIFS(TME_MTD_Dist[Sell_WHS_QTY],TME_MTD_Dist[Dist_Name],master_Daily!$X288,TME_MTD_Dist[Brand],master_Daily!$Y288)/50000
 + SUMIFS(TME_MTD_Dist[Sell_RTL_QTY],TME_MTD_Dist[Dist_Name],master_Daily!$X288,TME_MTD_Dist[Brand],master_Daily!$Y288)/50000</f>
        <v>0</v>
      </c>
      <c r="FS288" s="258">
        <f t="shared" si="358"/>
        <v>0</v>
      </c>
    </row>
    <row r="289" spans="20:175" s="154" customFormat="1" hidden="1" outlineLevel="1">
      <c r="T289" s="155"/>
      <c r="U289" s="156"/>
      <c r="X289" s="252" t="s">
        <v>311</v>
      </c>
      <c r="Y289" s="253" t="s">
        <v>45</v>
      </c>
      <c r="Z289" s="253"/>
      <c r="AA289" s="254">
        <f t="shared" si="360"/>
        <v>0</v>
      </c>
      <c r="AB289" s="255">
        <f t="shared" si="361"/>
        <v>0</v>
      </c>
      <c r="AC289" s="254">
        <v>0</v>
      </c>
      <c r="AD289" s="256">
        <v>0</v>
      </c>
      <c r="AE289" s="256"/>
      <c r="AF289" s="256"/>
      <c r="AG289" s="254"/>
      <c r="AH289" s="256"/>
      <c r="AI289" s="256"/>
      <c r="AJ289" s="256"/>
      <c r="AK289" s="254">
        <f t="shared" si="362"/>
        <v>0</v>
      </c>
      <c r="AL289" s="255">
        <f t="shared" si="363"/>
        <v>0</v>
      </c>
      <c r="AM289" s="254">
        <v>0</v>
      </c>
      <c r="AN289" s="256">
        <v>0</v>
      </c>
      <c r="AO289" s="256"/>
      <c r="AP289" s="256"/>
      <c r="AQ289" s="254"/>
      <c r="AR289" s="256"/>
      <c r="AS289" s="256"/>
      <c r="AT289" s="256"/>
      <c r="AU289" s="254">
        <f t="shared" si="364"/>
        <v>0</v>
      </c>
      <c r="AV289" s="255">
        <f t="shared" si="365"/>
        <v>0</v>
      </c>
      <c r="AW289" s="254">
        <v>0</v>
      </c>
      <c r="AX289" s="256">
        <v>0</v>
      </c>
      <c r="AY289" s="256"/>
      <c r="AZ289" s="256"/>
      <c r="BA289" s="254"/>
      <c r="BB289" s="256"/>
      <c r="BC289" s="256"/>
      <c r="BD289" s="256"/>
      <c r="BE289" s="254">
        <f t="shared" si="366"/>
        <v>0</v>
      </c>
      <c r="BF289" s="255">
        <f t="shared" si="367"/>
        <v>0</v>
      </c>
      <c r="BG289" s="254">
        <v>0</v>
      </c>
      <c r="BH289" s="256">
        <v>0</v>
      </c>
      <c r="BI289" s="256"/>
      <c r="BJ289" s="256"/>
      <c r="BK289" s="254"/>
      <c r="BL289" s="256"/>
      <c r="BM289" s="256"/>
      <c r="BN289" s="256"/>
      <c r="BO289" s="254">
        <f t="shared" si="368"/>
        <v>0</v>
      </c>
      <c r="BP289" s="255">
        <f t="shared" si="369"/>
        <v>0</v>
      </c>
      <c r="BQ289" s="254">
        <v>0</v>
      </c>
      <c r="BR289" s="256">
        <v>0</v>
      </c>
      <c r="BS289" s="256"/>
      <c r="BT289" s="256"/>
      <c r="BU289" s="254"/>
      <c r="BV289" s="256"/>
      <c r="BW289" s="256"/>
      <c r="BX289" s="256"/>
      <c r="BY289" s="254">
        <f t="shared" si="370"/>
        <v>0</v>
      </c>
      <c r="BZ289" s="255">
        <f t="shared" si="371"/>
        <v>0</v>
      </c>
      <c r="CA289" s="254">
        <v>0</v>
      </c>
      <c r="CB289" s="256">
        <v>0</v>
      </c>
      <c r="CC289" s="256"/>
      <c r="CD289" s="256"/>
      <c r="CE289" s="254"/>
      <c r="CF289" s="256"/>
      <c r="CG289" s="256"/>
      <c r="CH289" s="256"/>
      <c r="CI289" s="254">
        <f t="shared" si="372"/>
        <v>0</v>
      </c>
      <c r="CJ289" s="255">
        <f t="shared" si="373"/>
        <v>0</v>
      </c>
      <c r="CK289" s="254"/>
      <c r="CL289" s="256"/>
      <c r="CM289" s="256"/>
      <c r="CN289" s="256"/>
      <c r="CO289" s="254"/>
      <c r="CP289" s="256"/>
      <c r="CQ289" s="256"/>
      <c r="CR289" s="256"/>
      <c r="CS289" s="254">
        <f t="shared" si="374"/>
        <v>0</v>
      </c>
      <c r="CT289" s="255">
        <f t="shared" si="375"/>
        <v>0</v>
      </c>
      <c r="CU289" s="254"/>
      <c r="CV289" s="256"/>
      <c r="CW289" s="256"/>
      <c r="CX289" s="256"/>
      <c r="CY289" s="254"/>
      <c r="CZ289" s="256"/>
      <c r="DA289" s="256"/>
      <c r="DB289" s="256"/>
      <c r="DC289" s="254">
        <f t="shared" si="376"/>
        <v>0</v>
      </c>
      <c r="DD289" s="255">
        <f t="shared" si="377"/>
        <v>0</v>
      </c>
      <c r="DE289" s="254"/>
      <c r="DF289" s="256"/>
      <c r="DG289" s="256"/>
      <c r="DH289" s="256"/>
      <c r="DI289" s="254"/>
      <c r="DJ289" s="256"/>
      <c r="DK289" s="256"/>
      <c r="DL289" s="256"/>
      <c r="DM289" s="254">
        <f t="shared" si="378"/>
        <v>0</v>
      </c>
      <c r="DN289" s="255">
        <f t="shared" si="379"/>
        <v>0</v>
      </c>
      <c r="DO289" s="254"/>
      <c r="DP289" s="256"/>
      <c r="DQ289" s="256"/>
      <c r="DR289" s="256"/>
      <c r="DS289" s="254"/>
      <c r="DT289" s="256"/>
      <c r="DU289" s="256"/>
      <c r="DV289" s="256"/>
      <c r="DW289" s="254">
        <f t="shared" si="380"/>
        <v>0</v>
      </c>
      <c r="DX289" s="255">
        <f t="shared" si="381"/>
        <v>0</v>
      </c>
      <c r="DY289" s="254"/>
      <c r="DZ289" s="256"/>
      <c r="EA289" s="256"/>
      <c r="EB289" s="256"/>
      <c r="EC289" s="254"/>
      <c r="ED289" s="256"/>
      <c r="EE289" s="256"/>
      <c r="EF289" s="256"/>
      <c r="EG289" s="254">
        <f t="shared" si="382"/>
        <v>0</v>
      </c>
      <c r="EH289" s="255">
        <f t="shared" si="383"/>
        <v>0</v>
      </c>
      <c r="EI289" s="254"/>
      <c r="EJ289" s="256"/>
      <c r="EK289" s="256"/>
      <c r="EL289" s="256"/>
      <c r="EM289" s="254"/>
      <c r="EN289" s="256"/>
      <c r="EO289" s="256"/>
      <c r="EP289" s="256"/>
      <c r="EQ289" s="388"/>
      <c r="ER289" s="256">
        <f>SUM(ET289:EX289)</f>
        <v>0</v>
      </c>
      <c r="ES289" s="256">
        <f>IFERROR(SUMIFS(Daily_Vol_yesterday[Order Quantity],Daily_Vol_yesterday[Cust_Cat.cust_channel],master_Daily!X289,Daily_Vol_yesterday[Map_Product.TME_Brand],master_Daily!Y289)/50000,0)</f>
        <v>0</v>
      </c>
      <c r="ET289" s="256"/>
      <c r="EU289" s="256"/>
      <c r="EV289" s="255"/>
      <c r="EW289" s="256"/>
      <c r="EX289" s="256"/>
      <c r="EY289" s="256"/>
      <c r="EZ289" s="256">
        <f>SUM(FA289:FC289)</f>
        <v>0</v>
      </c>
      <c r="FA289" s="256">
        <f>IFERROR(SUM(SUMIFS(Weekly_Vol[Quantity],Weekly_Vol[Cust_Cat.cust_channel],master_Daily!X289,Weekly_Vol[Map_Product.TME_Brand],master_Daily!Y289),SUMIFS(Daily_Vol[Order Quantity],Daily_Vol[Cust_Cat.cust_channel],master_Daily!X289,Daily_Vol[Map_Product.TME_Brand],master_Daily!Y289))/50000,0)</f>
        <v>0</v>
      </c>
      <c r="FB289" s="256"/>
      <c r="FC289" s="256"/>
      <c r="FD289" s="256"/>
      <c r="FE289" s="256"/>
      <c r="FF289" s="256"/>
      <c r="FG289" s="256"/>
      <c r="FH289" s="256">
        <f ca="1">SUM(FI289:FK289)</f>
        <v>0</v>
      </c>
      <c r="FI289" s="256">
        <f t="shared" ca="1" si="384"/>
        <v>0</v>
      </c>
      <c r="FJ289" s="256">
        <f t="shared" ca="1" si="384"/>
        <v>0</v>
      </c>
      <c r="FK289" s="256">
        <f t="shared" ca="1" si="384"/>
        <v>0</v>
      </c>
      <c r="FL289" s="256">
        <f t="shared" ref="FL289:FO290" ca="1" si="386">SUMIFS($AA289:$EP289,$AA$129:$EP$129,INDIRECT(ADDRESS(129,COLUMN())))</f>
        <v>0</v>
      </c>
      <c r="FM289" s="255">
        <f t="shared" ca="1" si="386"/>
        <v>0</v>
      </c>
      <c r="FN289" s="255">
        <f t="shared" ca="1" si="386"/>
        <v>0</v>
      </c>
      <c r="FO289" s="255">
        <f t="shared" ca="1" si="386"/>
        <v>0</v>
      </c>
      <c r="FP289" s="257">
        <f t="shared" ca="1" si="385"/>
        <v>0</v>
      </c>
      <c r="FQ289" s="258">
        <f t="shared" si="323"/>
        <v>0</v>
      </c>
      <c r="FR289" s="256">
        <f>SUMIFS(TME_MTD_Dist[Sell_WHS_QTY],TME_MTD_Dist[Dist_Name],master_Daily!$X289,TME_MTD_Dist[Brand],master_Daily!$Y289)/50000
 + SUMIFS(TME_MTD_Dist[Sell_RTL_QTY],TME_MTD_Dist[Dist_Name],master_Daily!$X289,TME_MTD_Dist[Brand],master_Daily!$Y289)/50000</f>
        <v>0</v>
      </c>
      <c r="FS289" s="258">
        <f t="shared" si="358"/>
        <v>0</v>
      </c>
    </row>
    <row r="290" spans="20:175" s="154" customFormat="1" hidden="1" outlineLevel="1">
      <c r="T290" s="155"/>
      <c r="U290" s="156"/>
      <c r="X290" s="252" t="s">
        <v>311</v>
      </c>
      <c r="Y290" s="253" t="s">
        <v>46</v>
      </c>
      <c r="Z290" s="253"/>
      <c r="AA290" s="254">
        <f t="shared" si="360"/>
        <v>0</v>
      </c>
      <c r="AB290" s="255">
        <f t="shared" si="361"/>
        <v>0</v>
      </c>
      <c r="AC290" s="254">
        <v>0</v>
      </c>
      <c r="AD290" s="256">
        <v>0</v>
      </c>
      <c r="AE290" s="256"/>
      <c r="AF290" s="256"/>
      <c r="AG290" s="254"/>
      <c r="AH290" s="256"/>
      <c r="AI290" s="256"/>
      <c r="AJ290" s="256"/>
      <c r="AK290" s="254">
        <f t="shared" si="362"/>
        <v>0</v>
      </c>
      <c r="AL290" s="255">
        <f t="shared" si="363"/>
        <v>0</v>
      </c>
      <c r="AM290" s="254">
        <v>0</v>
      </c>
      <c r="AN290" s="256">
        <v>0</v>
      </c>
      <c r="AO290" s="256"/>
      <c r="AP290" s="256"/>
      <c r="AQ290" s="254"/>
      <c r="AR290" s="256"/>
      <c r="AS290" s="256"/>
      <c r="AT290" s="256"/>
      <c r="AU290" s="254">
        <f t="shared" si="364"/>
        <v>0</v>
      </c>
      <c r="AV290" s="255">
        <f t="shared" si="365"/>
        <v>0</v>
      </c>
      <c r="AW290" s="254">
        <v>0</v>
      </c>
      <c r="AX290" s="256">
        <v>0</v>
      </c>
      <c r="AY290" s="256"/>
      <c r="AZ290" s="256"/>
      <c r="BA290" s="254"/>
      <c r="BB290" s="256"/>
      <c r="BC290" s="256"/>
      <c r="BD290" s="256"/>
      <c r="BE290" s="254">
        <f t="shared" si="366"/>
        <v>0</v>
      </c>
      <c r="BF290" s="255">
        <f t="shared" si="367"/>
        <v>0</v>
      </c>
      <c r="BG290" s="254">
        <v>0</v>
      </c>
      <c r="BH290" s="256">
        <v>0</v>
      </c>
      <c r="BI290" s="256"/>
      <c r="BJ290" s="256"/>
      <c r="BK290" s="254"/>
      <c r="BL290" s="256"/>
      <c r="BM290" s="256"/>
      <c r="BN290" s="256"/>
      <c r="BO290" s="254">
        <f t="shared" si="368"/>
        <v>0</v>
      </c>
      <c r="BP290" s="255">
        <f t="shared" si="369"/>
        <v>0</v>
      </c>
      <c r="BQ290" s="254">
        <v>0</v>
      </c>
      <c r="BR290" s="256">
        <v>0</v>
      </c>
      <c r="BS290" s="256"/>
      <c r="BT290" s="256"/>
      <c r="BU290" s="254"/>
      <c r="BV290" s="256"/>
      <c r="BW290" s="256"/>
      <c r="BX290" s="256"/>
      <c r="BY290" s="254">
        <f t="shared" si="370"/>
        <v>0</v>
      </c>
      <c r="BZ290" s="255">
        <f t="shared" si="371"/>
        <v>0</v>
      </c>
      <c r="CA290" s="254">
        <v>0</v>
      </c>
      <c r="CB290" s="256">
        <v>0</v>
      </c>
      <c r="CC290" s="256"/>
      <c r="CD290" s="256"/>
      <c r="CE290" s="254"/>
      <c r="CF290" s="256"/>
      <c r="CG290" s="256"/>
      <c r="CH290" s="256"/>
      <c r="CI290" s="254">
        <f t="shared" si="372"/>
        <v>0</v>
      </c>
      <c r="CJ290" s="255">
        <f t="shared" si="373"/>
        <v>0</v>
      </c>
      <c r="CK290" s="254"/>
      <c r="CL290" s="256"/>
      <c r="CM290" s="256"/>
      <c r="CN290" s="256"/>
      <c r="CO290" s="254"/>
      <c r="CP290" s="256"/>
      <c r="CQ290" s="256"/>
      <c r="CR290" s="256"/>
      <c r="CS290" s="254">
        <f t="shared" si="374"/>
        <v>0</v>
      </c>
      <c r="CT290" s="255">
        <f t="shared" si="375"/>
        <v>0</v>
      </c>
      <c r="CU290" s="254"/>
      <c r="CV290" s="256"/>
      <c r="CW290" s="256"/>
      <c r="CX290" s="256"/>
      <c r="CY290" s="254"/>
      <c r="CZ290" s="256"/>
      <c r="DA290" s="256"/>
      <c r="DB290" s="256"/>
      <c r="DC290" s="254">
        <f t="shared" si="376"/>
        <v>0</v>
      </c>
      <c r="DD290" s="255">
        <f t="shared" si="377"/>
        <v>0</v>
      </c>
      <c r="DE290" s="254"/>
      <c r="DF290" s="256"/>
      <c r="DG290" s="256"/>
      <c r="DH290" s="256"/>
      <c r="DI290" s="254"/>
      <c r="DJ290" s="256"/>
      <c r="DK290" s="256"/>
      <c r="DL290" s="256"/>
      <c r="DM290" s="254">
        <f t="shared" si="378"/>
        <v>0</v>
      </c>
      <c r="DN290" s="255">
        <f t="shared" si="379"/>
        <v>0</v>
      </c>
      <c r="DO290" s="254"/>
      <c r="DP290" s="256"/>
      <c r="DQ290" s="256"/>
      <c r="DR290" s="256"/>
      <c r="DS290" s="254"/>
      <c r="DT290" s="256"/>
      <c r="DU290" s="256"/>
      <c r="DV290" s="256"/>
      <c r="DW290" s="254">
        <f t="shared" si="380"/>
        <v>0</v>
      </c>
      <c r="DX290" s="255">
        <f t="shared" si="381"/>
        <v>0</v>
      </c>
      <c r="DY290" s="254"/>
      <c r="DZ290" s="256"/>
      <c r="EA290" s="256"/>
      <c r="EB290" s="256"/>
      <c r="EC290" s="254"/>
      <c r="ED290" s="256"/>
      <c r="EE290" s="256"/>
      <c r="EF290" s="256"/>
      <c r="EG290" s="254">
        <f t="shared" si="382"/>
        <v>0</v>
      </c>
      <c r="EH290" s="255">
        <f t="shared" si="383"/>
        <v>0</v>
      </c>
      <c r="EI290" s="254"/>
      <c r="EJ290" s="256"/>
      <c r="EK290" s="256"/>
      <c r="EL290" s="256"/>
      <c r="EM290" s="254"/>
      <c r="EN290" s="256"/>
      <c r="EO290" s="256"/>
      <c r="EP290" s="256"/>
      <c r="EQ290" s="388"/>
      <c r="ER290" s="256">
        <f>SUM(ET290:EX290)</f>
        <v>0</v>
      </c>
      <c r="ES290" s="256">
        <f>IFERROR(SUMIFS(Daily_Vol_yesterday[Order Quantity],Daily_Vol_yesterday[Cust_Cat.cust_channel],master_Daily!X290,Daily_Vol_yesterday[Map_Product.TME_Brand],master_Daily!Y290)/50000,0)</f>
        <v>0</v>
      </c>
      <c r="ET290" s="256"/>
      <c r="EU290" s="256"/>
      <c r="EV290" s="255"/>
      <c r="EW290" s="256"/>
      <c r="EX290" s="256"/>
      <c r="EY290" s="256"/>
      <c r="EZ290" s="256">
        <f>SUM(FA290:FC290)</f>
        <v>0</v>
      </c>
      <c r="FA290" s="256">
        <f>IFERROR(SUM(SUMIFS(Weekly_Vol[Quantity],Weekly_Vol[Cust_Cat.cust_channel],master_Daily!X290,Weekly_Vol[Map_Product.TME_Brand],master_Daily!Y290),SUMIFS(Daily_Vol[Order Quantity],Daily_Vol[Cust_Cat.cust_channel],master_Daily!X290,Daily_Vol[Map_Product.TME_Brand],master_Daily!Y290))/50000,0)</f>
        <v>0</v>
      </c>
      <c r="FB290" s="256"/>
      <c r="FC290" s="256"/>
      <c r="FD290" s="256"/>
      <c r="FE290" s="256"/>
      <c r="FF290" s="256"/>
      <c r="FG290" s="256"/>
      <c r="FH290" s="256">
        <f ca="1">SUM(FI290:FK290)</f>
        <v>0</v>
      </c>
      <c r="FI290" s="256">
        <f t="shared" ca="1" si="384"/>
        <v>0</v>
      </c>
      <c r="FJ290" s="256">
        <f t="shared" ca="1" si="384"/>
        <v>0</v>
      </c>
      <c r="FK290" s="256">
        <f t="shared" ca="1" si="384"/>
        <v>0</v>
      </c>
      <c r="FL290" s="256">
        <f t="shared" ca="1" si="386"/>
        <v>0</v>
      </c>
      <c r="FM290" s="255">
        <f t="shared" ca="1" si="386"/>
        <v>0</v>
      </c>
      <c r="FN290" s="255">
        <f t="shared" ca="1" si="386"/>
        <v>0</v>
      </c>
      <c r="FO290" s="255">
        <f t="shared" ca="1" si="386"/>
        <v>0</v>
      </c>
      <c r="FP290" s="257">
        <f t="shared" ca="1" si="385"/>
        <v>0</v>
      </c>
      <c r="FQ290" s="258">
        <f t="shared" si="323"/>
        <v>0</v>
      </c>
      <c r="FR290" s="256">
        <f>SUMIFS(TME_MTD_Dist[Sell_WHS_QTY],TME_MTD_Dist[Dist_Name],master_Daily!$X290,TME_MTD_Dist[Brand],master_Daily!$Y290)/50000
 + SUMIFS(TME_MTD_Dist[Sell_RTL_QTY],TME_MTD_Dist[Dist_Name],master_Daily!$X290,TME_MTD_Dist[Brand],master_Daily!$Y290)/50000</f>
        <v>0</v>
      </c>
      <c r="FS290" s="258">
        <f t="shared" si="358"/>
        <v>0</v>
      </c>
    </row>
    <row r="291" spans="20:175" s="154" customFormat="1" hidden="1" outlineLevel="1">
      <c r="T291" s="155"/>
      <c r="U291" s="156"/>
      <c r="X291" s="252" t="s">
        <v>311</v>
      </c>
      <c r="Y291" s="253" t="s">
        <v>263</v>
      </c>
      <c r="Z291" s="253"/>
      <c r="AA291" s="254">
        <f t="shared" si="360"/>
        <v>0</v>
      </c>
      <c r="AB291" s="255">
        <f t="shared" si="361"/>
        <v>0</v>
      </c>
      <c r="AC291" s="254">
        <v>0</v>
      </c>
      <c r="AD291" s="256">
        <v>0</v>
      </c>
      <c r="AE291" s="256"/>
      <c r="AF291" s="256"/>
      <c r="AG291" s="254"/>
      <c r="AH291" s="256"/>
      <c r="AI291" s="256"/>
      <c r="AJ291" s="256"/>
      <c r="AK291" s="254">
        <f t="shared" si="362"/>
        <v>0</v>
      </c>
      <c r="AL291" s="255">
        <f t="shared" si="363"/>
        <v>0</v>
      </c>
      <c r="AM291" s="254">
        <v>0</v>
      </c>
      <c r="AN291" s="256">
        <v>0</v>
      </c>
      <c r="AO291" s="256"/>
      <c r="AP291" s="256"/>
      <c r="AQ291" s="254"/>
      <c r="AR291" s="256"/>
      <c r="AS291" s="256"/>
      <c r="AT291" s="256"/>
      <c r="AU291" s="254">
        <f t="shared" si="364"/>
        <v>0</v>
      </c>
      <c r="AV291" s="255">
        <f t="shared" si="365"/>
        <v>0</v>
      </c>
      <c r="AW291" s="254">
        <v>0</v>
      </c>
      <c r="AX291" s="256">
        <v>0</v>
      </c>
      <c r="AY291" s="256"/>
      <c r="AZ291" s="256"/>
      <c r="BA291" s="254"/>
      <c r="BB291" s="256"/>
      <c r="BC291" s="256"/>
      <c r="BD291" s="256"/>
      <c r="BE291" s="254">
        <f t="shared" si="366"/>
        <v>0</v>
      </c>
      <c r="BF291" s="255">
        <f t="shared" si="367"/>
        <v>0</v>
      </c>
      <c r="BG291" s="254">
        <v>0</v>
      </c>
      <c r="BH291" s="256">
        <v>0</v>
      </c>
      <c r="BI291" s="256"/>
      <c r="BJ291" s="256"/>
      <c r="BK291" s="254"/>
      <c r="BL291" s="256"/>
      <c r="BM291" s="256"/>
      <c r="BN291" s="256"/>
      <c r="BO291" s="254">
        <f t="shared" si="368"/>
        <v>0</v>
      </c>
      <c r="BP291" s="255">
        <f t="shared" si="369"/>
        <v>0</v>
      </c>
      <c r="BQ291" s="254">
        <v>0</v>
      </c>
      <c r="BR291" s="256">
        <v>0</v>
      </c>
      <c r="BS291" s="256"/>
      <c r="BT291" s="256"/>
      <c r="BU291" s="254"/>
      <c r="BV291" s="256"/>
      <c r="BW291" s="256"/>
      <c r="BX291" s="256"/>
      <c r="BY291" s="254">
        <f t="shared" si="370"/>
        <v>0</v>
      </c>
      <c r="BZ291" s="255">
        <f t="shared" si="371"/>
        <v>0</v>
      </c>
      <c r="CA291" s="254">
        <v>0</v>
      </c>
      <c r="CB291" s="256">
        <v>0</v>
      </c>
      <c r="CC291" s="256"/>
      <c r="CD291" s="256"/>
      <c r="CE291" s="254"/>
      <c r="CF291" s="256"/>
      <c r="CG291" s="256"/>
      <c r="CH291" s="256"/>
      <c r="CI291" s="254">
        <f t="shared" si="372"/>
        <v>0</v>
      </c>
      <c r="CJ291" s="255">
        <f t="shared" si="373"/>
        <v>0</v>
      </c>
      <c r="CK291" s="254"/>
      <c r="CL291" s="256"/>
      <c r="CM291" s="256"/>
      <c r="CN291" s="256"/>
      <c r="CO291" s="254"/>
      <c r="CP291" s="256"/>
      <c r="CQ291" s="256"/>
      <c r="CR291" s="256"/>
      <c r="CS291" s="254">
        <f t="shared" si="374"/>
        <v>0</v>
      </c>
      <c r="CT291" s="255">
        <f t="shared" si="375"/>
        <v>0</v>
      </c>
      <c r="CU291" s="254"/>
      <c r="CV291" s="256"/>
      <c r="CW291" s="256"/>
      <c r="CX291" s="256"/>
      <c r="CY291" s="254"/>
      <c r="CZ291" s="256"/>
      <c r="DA291" s="256"/>
      <c r="DB291" s="256"/>
      <c r="DC291" s="254">
        <f t="shared" si="376"/>
        <v>0</v>
      </c>
      <c r="DD291" s="255">
        <f t="shared" si="377"/>
        <v>0</v>
      </c>
      <c r="DE291" s="254"/>
      <c r="DF291" s="256"/>
      <c r="DG291" s="256"/>
      <c r="DH291" s="256"/>
      <c r="DI291" s="254"/>
      <c r="DJ291" s="256"/>
      <c r="DK291" s="256"/>
      <c r="DL291" s="256"/>
      <c r="DM291" s="254">
        <f t="shared" si="378"/>
        <v>0</v>
      </c>
      <c r="DN291" s="255">
        <f t="shared" si="379"/>
        <v>0</v>
      </c>
      <c r="DO291" s="254"/>
      <c r="DP291" s="256"/>
      <c r="DQ291" s="256"/>
      <c r="DR291" s="256"/>
      <c r="DS291" s="254"/>
      <c r="DT291" s="256"/>
      <c r="DU291" s="256"/>
      <c r="DV291" s="256"/>
      <c r="DW291" s="254">
        <f t="shared" si="380"/>
        <v>0</v>
      </c>
      <c r="DX291" s="255">
        <f t="shared" si="381"/>
        <v>0</v>
      </c>
      <c r="DY291" s="254"/>
      <c r="DZ291" s="256"/>
      <c r="EA291" s="256"/>
      <c r="EB291" s="256"/>
      <c r="EC291" s="254"/>
      <c r="ED291" s="256"/>
      <c r="EE291" s="256"/>
      <c r="EF291" s="256"/>
      <c r="EG291" s="254">
        <f t="shared" si="382"/>
        <v>0</v>
      </c>
      <c r="EH291" s="255">
        <f t="shared" si="383"/>
        <v>0</v>
      </c>
      <c r="EI291" s="254"/>
      <c r="EJ291" s="256"/>
      <c r="EK291" s="256"/>
      <c r="EL291" s="256"/>
      <c r="EM291" s="254"/>
      <c r="EN291" s="256"/>
      <c r="EO291" s="256"/>
      <c r="EP291" s="256"/>
      <c r="EQ291" s="388"/>
      <c r="ER291" s="256">
        <f>SUM(ET291:EX291)</f>
        <v>0</v>
      </c>
      <c r="ES291" s="256">
        <f>IFERROR(SUMIFS(Daily_Vol_yesterday[Order Quantity],Daily_Vol_yesterday[Cust_Cat.cust_channel],master_Daily!X291,Daily_Vol_yesterday[Map_Product.TME_Brand],"CM")/50000,0)</f>
        <v>0</v>
      </c>
      <c r="ET291" s="256"/>
      <c r="EU291" s="256"/>
      <c r="EV291" s="255"/>
      <c r="EW291" s="256"/>
      <c r="EX291" s="256"/>
      <c r="EY291" s="256"/>
      <c r="EZ291" s="256">
        <f>SUM(FA291:FC291)</f>
        <v>0</v>
      </c>
      <c r="FA291" s="256">
        <f>IFERROR(SUM(SUMIFS(Weekly_Vol[Quantity],Weekly_Vol[Cust_Cat.cust_channel],master_Daily!X291,Weekly_Vol[Map_Product.TME_Brand],"CM"),SUMIFS(Daily_Vol[Order Quantity],Daily_Vol[Cust_Cat.cust_channel],master_Daily!X291,Daily_Vol[Map_Product.TME_Brand],"CM"))/50000,0)</f>
        <v>0</v>
      </c>
      <c r="FB291" s="256"/>
      <c r="FC291" s="256"/>
      <c r="FD291" s="256"/>
      <c r="FE291" s="256"/>
      <c r="FF291" s="256"/>
      <c r="FG291" s="256"/>
      <c r="FH291" s="256">
        <f ca="1">SUM(FI291:FK291)</f>
        <v>0</v>
      </c>
      <c r="FI291" s="256">
        <f t="shared" ca="1" si="384"/>
        <v>0</v>
      </c>
      <c r="FJ291" s="256">
        <f t="shared" ca="1" si="384"/>
        <v>0</v>
      </c>
      <c r="FK291" s="256">
        <f t="shared" ca="1" si="384"/>
        <v>0</v>
      </c>
      <c r="FL291" s="256">
        <f ca="1">SUMIFS($AA291:$EP291,$AA$129:$EP$129,INDIRECT(ADDRESS(129,COLUMN())))</f>
        <v>0</v>
      </c>
      <c r="FM291" s="255">
        <f t="shared" ref="FM291:FO292" si="387">SUMIFS(AF291:EU291,$AA$129:$EP$129,$FH$129)</f>
        <v>0</v>
      </c>
      <c r="FN291" s="255">
        <f t="shared" si="387"/>
        <v>0</v>
      </c>
      <c r="FO291" s="255">
        <f t="shared" si="387"/>
        <v>0</v>
      </c>
      <c r="FP291" s="257">
        <f t="shared" ca="1" si="385"/>
        <v>0</v>
      </c>
      <c r="FQ291" s="258">
        <f t="shared" si="323"/>
        <v>0</v>
      </c>
      <c r="FR291" s="256">
        <f>SUMIFS(TME_MTD_Dist[Sell_WHS_QTY],TME_MTD_Dist[Dist_Name],master_Daily!$X291,TME_MTD_Dist[Brand],master_Daily!$Y291)/50000
 + SUMIFS(TME_MTD_Dist[Sell_RTL_QTY],TME_MTD_Dist[Dist_Name],master_Daily!$X291,TME_MTD_Dist[Brand],master_Daily!$Y291)/50000</f>
        <v>0</v>
      </c>
      <c r="FS291" s="258">
        <f t="shared" si="358"/>
        <v>0</v>
      </c>
    </row>
    <row r="292" spans="20:175" s="154" customFormat="1" hidden="1" outlineLevel="1">
      <c r="T292" s="155"/>
      <c r="U292" s="156"/>
      <c r="X292" s="252" t="s">
        <v>311</v>
      </c>
      <c r="Y292" s="253" t="s">
        <v>264</v>
      </c>
      <c r="Z292" s="253"/>
      <c r="AA292" s="254">
        <f t="shared" si="360"/>
        <v>0</v>
      </c>
      <c r="AB292" s="255">
        <f t="shared" si="361"/>
        <v>0</v>
      </c>
      <c r="AC292" s="254">
        <v>0</v>
      </c>
      <c r="AD292" s="256">
        <v>0</v>
      </c>
      <c r="AE292" s="256"/>
      <c r="AF292" s="256"/>
      <c r="AG292" s="254"/>
      <c r="AH292" s="256"/>
      <c r="AI292" s="256"/>
      <c r="AJ292" s="256"/>
      <c r="AK292" s="254">
        <f t="shared" si="362"/>
        <v>0</v>
      </c>
      <c r="AL292" s="255">
        <f t="shared" si="363"/>
        <v>0</v>
      </c>
      <c r="AM292" s="254">
        <v>0</v>
      </c>
      <c r="AN292" s="256">
        <v>0</v>
      </c>
      <c r="AO292" s="256"/>
      <c r="AP292" s="256"/>
      <c r="AQ292" s="254"/>
      <c r="AR292" s="256"/>
      <c r="AS292" s="256"/>
      <c r="AT292" s="256"/>
      <c r="AU292" s="254">
        <f t="shared" si="364"/>
        <v>0</v>
      </c>
      <c r="AV292" s="255">
        <f t="shared" si="365"/>
        <v>0</v>
      </c>
      <c r="AW292" s="254">
        <v>0</v>
      </c>
      <c r="AX292" s="256">
        <v>0</v>
      </c>
      <c r="AY292" s="256"/>
      <c r="AZ292" s="256"/>
      <c r="BA292" s="254"/>
      <c r="BB292" s="256"/>
      <c r="BC292" s="256"/>
      <c r="BD292" s="256"/>
      <c r="BE292" s="254">
        <f t="shared" si="366"/>
        <v>0</v>
      </c>
      <c r="BF292" s="255">
        <f t="shared" si="367"/>
        <v>0</v>
      </c>
      <c r="BG292" s="254">
        <v>0</v>
      </c>
      <c r="BH292" s="256">
        <v>0</v>
      </c>
      <c r="BI292" s="256"/>
      <c r="BJ292" s="256"/>
      <c r="BK292" s="254"/>
      <c r="BL292" s="256"/>
      <c r="BM292" s="256"/>
      <c r="BN292" s="256"/>
      <c r="BO292" s="254">
        <f t="shared" si="368"/>
        <v>0</v>
      </c>
      <c r="BP292" s="255">
        <f t="shared" si="369"/>
        <v>0</v>
      </c>
      <c r="BQ292" s="254">
        <v>0</v>
      </c>
      <c r="BR292" s="256">
        <v>0</v>
      </c>
      <c r="BS292" s="256"/>
      <c r="BT292" s="256"/>
      <c r="BU292" s="254"/>
      <c r="BV292" s="256"/>
      <c r="BW292" s="256"/>
      <c r="BX292" s="256"/>
      <c r="BY292" s="254">
        <f t="shared" si="370"/>
        <v>0</v>
      </c>
      <c r="BZ292" s="255">
        <f t="shared" si="371"/>
        <v>0</v>
      </c>
      <c r="CA292" s="254">
        <v>0</v>
      </c>
      <c r="CB292" s="256">
        <v>0</v>
      </c>
      <c r="CC292" s="256"/>
      <c r="CD292" s="256"/>
      <c r="CE292" s="254"/>
      <c r="CF292" s="256"/>
      <c r="CG292" s="256"/>
      <c r="CH292" s="256"/>
      <c r="CI292" s="254">
        <f t="shared" si="372"/>
        <v>0</v>
      </c>
      <c r="CJ292" s="255">
        <f t="shared" si="373"/>
        <v>0</v>
      </c>
      <c r="CK292" s="254"/>
      <c r="CL292" s="256"/>
      <c r="CM292" s="256"/>
      <c r="CN292" s="256"/>
      <c r="CO292" s="254"/>
      <c r="CP292" s="256"/>
      <c r="CQ292" s="256"/>
      <c r="CR292" s="256"/>
      <c r="CS292" s="254">
        <f t="shared" si="374"/>
        <v>0</v>
      </c>
      <c r="CT292" s="255">
        <f t="shared" si="375"/>
        <v>0</v>
      </c>
      <c r="CU292" s="254"/>
      <c r="CV292" s="256"/>
      <c r="CW292" s="256"/>
      <c r="CX292" s="256"/>
      <c r="CY292" s="254"/>
      <c r="CZ292" s="256"/>
      <c r="DA292" s="256"/>
      <c r="DB292" s="256"/>
      <c r="DC292" s="254">
        <f t="shared" si="376"/>
        <v>0</v>
      </c>
      <c r="DD292" s="255">
        <f t="shared" si="377"/>
        <v>0</v>
      </c>
      <c r="DE292" s="254"/>
      <c r="DF292" s="256"/>
      <c r="DG292" s="256"/>
      <c r="DH292" s="256"/>
      <c r="DI292" s="254"/>
      <c r="DJ292" s="256"/>
      <c r="DK292" s="256"/>
      <c r="DL292" s="256"/>
      <c r="DM292" s="254">
        <f t="shared" si="378"/>
        <v>0</v>
      </c>
      <c r="DN292" s="255">
        <f t="shared" si="379"/>
        <v>0</v>
      </c>
      <c r="DO292" s="254"/>
      <c r="DP292" s="256"/>
      <c r="DQ292" s="256"/>
      <c r="DR292" s="256"/>
      <c r="DS292" s="254"/>
      <c r="DT292" s="256"/>
      <c r="DU292" s="256"/>
      <c r="DV292" s="256"/>
      <c r="DW292" s="254">
        <f t="shared" si="380"/>
        <v>0</v>
      </c>
      <c r="DX292" s="255">
        <f t="shared" si="381"/>
        <v>0</v>
      </c>
      <c r="DY292" s="254"/>
      <c r="DZ292" s="256"/>
      <c r="EA292" s="256"/>
      <c r="EB292" s="256"/>
      <c r="EC292" s="254"/>
      <c r="ED292" s="256"/>
      <c r="EE292" s="256"/>
      <c r="EF292" s="256"/>
      <c r="EG292" s="254">
        <f t="shared" si="382"/>
        <v>0</v>
      </c>
      <c r="EH292" s="255">
        <f t="shared" si="383"/>
        <v>0</v>
      </c>
      <c r="EI292" s="254"/>
      <c r="EJ292" s="256"/>
      <c r="EK292" s="256"/>
      <c r="EL292" s="256"/>
      <c r="EM292" s="254"/>
      <c r="EN292" s="256"/>
      <c r="EO292" s="256"/>
      <c r="EP292" s="256"/>
      <c r="EQ292" s="388"/>
      <c r="ER292" s="256">
        <f>SUM(ET292:EX292)</f>
        <v>0</v>
      </c>
      <c r="ES292" s="256">
        <f>IFERROR(SUMIFS(Daily_Vol_yesterday[Order Quantity],Daily_Vol_yesterday[Cust_Cat.cust_channel],master_Daily!X292,Daily_Vol_yesterday[Map_Product.TME_Brand],"CMHD")/50000,0)</f>
        <v>0</v>
      </c>
      <c r="ET292" s="256"/>
      <c r="EU292" s="256"/>
      <c r="EV292" s="255"/>
      <c r="EW292" s="256"/>
      <c r="EX292" s="256"/>
      <c r="EY292" s="256"/>
      <c r="EZ292" s="256">
        <f>SUM(FA292:FC292)</f>
        <v>0</v>
      </c>
      <c r="FA292" s="256">
        <f>IFERROR(SUM(SUMIFS(Weekly_Vol[Quantity],Weekly_Vol[Cust_Cat.cust_channel],master_Daily!X292,Weekly_Vol[Map_Product.TME_Brand],"CMHD"),SUMIFS(Daily_Vol[Order Quantity],Daily_Vol[Cust_Cat.cust_channel],master_Daily!X292,Daily_Vol[Map_Product.TME_Brand],"CMHD"))/50000,0)</f>
        <v>0</v>
      </c>
      <c r="FB292" s="256"/>
      <c r="FC292" s="256"/>
      <c r="FD292" s="256"/>
      <c r="FE292" s="256"/>
      <c r="FF292" s="256"/>
      <c r="FG292" s="256"/>
      <c r="FH292" s="256">
        <f ca="1">SUM(FI292:FK292)</f>
        <v>0</v>
      </c>
      <c r="FI292" s="256">
        <f t="shared" ca="1" si="384"/>
        <v>0</v>
      </c>
      <c r="FJ292" s="256">
        <f t="shared" ca="1" si="384"/>
        <v>0</v>
      </c>
      <c r="FK292" s="256">
        <f t="shared" ca="1" si="384"/>
        <v>0</v>
      </c>
      <c r="FL292" s="256">
        <f ca="1">SUMIFS($AA292:$EP292,$AA$129:$EP$129,INDIRECT(ADDRESS(129,COLUMN())))</f>
        <v>0</v>
      </c>
      <c r="FM292" s="255">
        <f t="shared" si="387"/>
        <v>0</v>
      </c>
      <c r="FN292" s="255">
        <f t="shared" si="387"/>
        <v>0</v>
      </c>
      <c r="FO292" s="255">
        <f t="shared" si="387"/>
        <v>0</v>
      </c>
      <c r="FP292" s="257">
        <f t="shared" ca="1" si="385"/>
        <v>0</v>
      </c>
      <c r="FQ292" s="258">
        <f t="shared" si="323"/>
        <v>0</v>
      </c>
      <c r="FR292" s="256">
        <f>SUMIFS(TME_MTD_Dist[Sell_WHS_QTY],TME_MTD_Dist[Dist_Name],master_Daily!$X292,TME_MTD_Dist[Brand],master_Daily!$Y292)/50000
 + SUMIFS(TME_MTD_Dist[Sell_RTL_QTY],TME_MTD_Dist[Dist_Name],master_Daily!$X292,TME_MTD_Dist[Brand],master_Daily!$Y292)/50000</f>
        <v>0</v>
      </c>
      <c r="FS292" s="258">
        <f t="shared" si="358"/>
        <v>0</v>
      </c>
    </row>
    <row r="293" spans="20:175" s="154" customFormat="1" hidden="1" collapsed="1">
      <c r="T293" s="155"/>
      <c r="U293" s="156"/>
      <c r="X293" s="259" t="s">
        <v>312</v>
      </c>
      <c r="Y293" s="260"/>
      <c r="Z293" s="260"/>
      <c r="AA293" s="261">
        <f t="shared" si="360"/>
        <v>0</v>
      </c>
      <c r="AB293" s="261">
        <f t="shared" si="361"/>
        <v>0</v>
      </c>
      <c r="AC293" s="261">
        <v>0</v>
      </c>
      <c r="AD293" s="261">
        <v>0</v>
      </c>
      <c r="AE293" s="261">
        <v>0</v>
      </c>
      <c r="AF293" s="261">
        <v>0</v>
      </c>
      <c r="AG293" s="261">
        <v>0</v>
      </c>
      <c r="AH293" s="261">
        <v>0</v>
      </c>
      <c r="AI293" s="261">
        <v>0</v>
      </c>
      <c r="AJ293" s="261">
        <v>0</v>
      </c>
      <c r="AK293" s="261">
        <f t="shared" si="362"/>
        <v>0</v>
      </c>
      <c r="AL293" s="261">
        <f t="shared" si="363"/>
        <v>0</v>
      </c>
      <c r="AM293" s="261">
        <v>0</v>
      </c>
      <c r="AN293" s="261">
        <v>0</v>
      </c>
      <c r="AO293" s="261">
        <v>0</v>
      </c>
      <c r="AP293" s="261">
        <v>0</v>
      </c>
      <c r="AQ293" s="261">
        <v>0</v>
      </c>
      <c r="AR293" s="261">
        <v>0</v>
      </c>
      <c r="AS293" s="261">
        <v>0</v>
      </c>
      <c r="AT293" s="261">
        <v>0</v>
      </c>
      <c r="AU293" s="261">
        <f t="shared" si="364"/>
        <v>0</v>
      </c>
      <c r="AV293" s="261">
        <f t="shared" si="365"/>
        <v>0</v>
      </c>
      <c r="AW293" s="261">
        <v>0</v>
      </c>
      <c r="AX293" s="261">
        <v>0</v>
      </c>
      <c r="AY293" s="261">
        <v>0</v>
      </c>
      <c r="AZ293" s="261">
        <v>0</v>
      </c>
      <c r="BA293" s="261">
        <v>0</v>
      </c>
      <c r="BB293" s="261">
        <v>0</v>
      </c>
      <c r="BC293" s="261">
        <v>0</v>
      </c>
      <c r="BD293" s="261">
        <v>0</v>
      </c>
      <c r="BE293" s="261">
        <f t="shared" si="366"/>
        <v>0</v>
      </c>
      <c r="BF293" s="261">
        <f t="shared" si="367"/>
        <v>0</v>
      </c>
      <c r="BG293" s="261">
        <v>0</v>
      </c>
      <c r="BH293" s="261">
        <v>0</v>
      </c>
      <c r="BI293" s="261">
        <v>0</v>
      </c>
      <c r="BJ293" s="261">
        <v>0</v>
      </c>
      <c r="BK293" s="261">
        <v>0</v>
      </c>
      <c r="BL293" s="261">
        <v>0</v>
      </c>
      <c r="BM293" s="261">
        <v>0</v>
      </c>
      <c r="BN293" s="261">
        <v>0</v>
      </c>
      <c r="BO293" s="261">
        <f t="shared" si="368"/>
        <v>0</v>
      </c>
      <c r="BP293" s="261">
        <f t="shared" si="369"/>
        <v>0</v>
      </c>
      <c r="BQ293" s="261">
        <v>0</v>
      </c>
      <c r="BR293" s="261">
        <v>0</v>
      </c>
      <c r="BS293" s="261">
        <v>0</v>
      </c>
      <c r="BT293" s="261">
        <v>0</v>
      </c>
      <c r="BU293" s="261">
        <v>0</v>
      </c>
      <c r="BV293" s="261">
        <v>0</v>
      </c>
      <c r="BW293" s="261">
        <v>0</v>
      </c>
      <c r="BX293" s="261">
        <v>0</v>
      </c>
      <c r="BY293" s="261">
        <f t="shared" si="370"/>
        <v>0</v>
      </c>
      <c r="BZ293" s="261">
        <f t="shared" si="371"/>
        <v>0</v>
      </c>
      <c r="CA293" s="261">
        <v>0</v>
      </c>
      <c r="CB293" s="261">
        <v>0</v>
      </c>
      <c r="CC293" s="261">
        <v>0</v>
      </c>
      <c r="CD293" s="261">
        <v>0</v>
      </c>
      <c r="CE293" s="261">
        <v>0</v>
      </c>
      <c r="CF293" s="261">
        <v>0</v>
      </c>
      <c r="CG293" s="261">
        <v>0</v>
      </c>
      <c r="CH293" s="261">
        <v>0</v>
      </c>
      <c r="CI293" s="261">
        <f t="shared" si="372"/>
        <v>0</v>
      </c>
      <c r="CJ293" s="261">
        <f t="shared" si="373"/>
        <v>0</v>
      </c>
      <c r="CK293" s="261"/>
      <c r="CL293" s="261"/>
      <c r="CM293" s="261"/>
      <c r="CN293" s="261"/>
      <c r="CO293" s="261"/>
      <c r="CP293" s="261">
        <v>0</v>
      </c>
      <c r="CQ293" s="261">
        <v>0</v>
      </c>
      <c r="CR293" s="261">
        <v>0</v>
      </c>
      <c r="CS293" s="261">
        <f t="shared" si="374"/>
        <v>0</v>
      </c>
      <c r="CT293" s="261">
        <f t="shared" si="375"/>
        <v>0</v>
      </c>
      <c r="CU293" s="261"/>
      <c r="CV293" s="261"/>
      <c r="CW293" s="261"/>
      <c r="CX293" s="261"/>
      <c r="CY293" s="261"/>
      <c r="CZ293" s="261">
        <v>0</v>
      </c>
      <c r="DA293" s="261">
        <v>0</v>
      </c>
      <c r="DB293" s="261">
        <v>0</v>
      </c>
      <c r="DC293" s="261">
        <f t="shared" si="376"/>
        <v>0</v>
      </c>
      <c r="DD293" s="261">
        <f t="shared" si="377"/>
        <v>0</v>
      </c>
      <c r="DE293" s="261"/>
      <c r="DF293" s="261"/>
      <c r="DG293" s="261"/>
      <c r="DH293" s="261"/>
      <c r="DI293" s="261"/>
      <c r="DJ293" s="261">
        <v>0</v>
      </c>
      <c r="DK293" s="261">
        <v>0</v>
      </c>
      <c r="DL293" s="261">
        <v>0</v>
      </c>
      <c r="DM293" s="261">
        <f t="shared" si="378"/>
        <v>0</v>
      </c>
      <c r="DN293" s="261">
        <f t="shared" si="379"/>
        <v>0</v>
      </c>
      <c r="DO293" s="261"/>
      <c r="DP293" s="261"/>
      <c r="DQ293" s="261"/>
      <c r="DR293" s="261"/>
      <c r="DS293" s="261"/>
      <c r="DT293" s="261">
        <v>0</v>
      </c>
      <c r="DU293" s="261">
        <v>0</v>
      </c>
      <c r="DV293" s="261">
        <v>0</v>
      </c>
      <c r="DW293" s="261">
        <f t="shared" si="380"/>
        <v>0</v>
      </c>
      <c r="DX293" s="261">
        <f t="shared" si="381"/>
        <v>0</v>
      </c>
      <c r="DY293" s="261"/>
      <c r="DZ293" s="261"/>
      <c r="EA293" s="261"/>
      <c r="EB293" s="261"/>
      <c r="EC293" s="261">
        <v>0</v>
      </c>
      <c r="ED293" s="261">
        <v>0</v>
      </c>
      <c r="EE293" s="261">
        <v>0</v>
      </c>
      <c r="EF293" s="261">
        <v>0</v>
      </c>
      <c r="EG293" s="261">
        <f t="shared" si="382"/>
        <v>0</v>
      </c>
      <c r="EH293" s="261">
        <f t="shared" si="383"/>
        <v>0</v>
      </c>
      <c r="EI293" s="261"/>
      <c r="EJ293" s="261"/>
      <c r="EK293" s="261"/>
      <c r="EL293" s="261"/>
      <c r="EM293" s="261">
        <v>0</v>
      </c>
      <c r="EN293" s="261">
        <v>0</v>
      </c>
      <c r="EO293" s="261">
        <v>0</v>
      </c>
      <c r="EP293" s="261">
        <v>0</v>
      </c>
      <c r="EQ293" s="262"/>
      <c r="ER293" s="261">
        <f>SUM(ER288:ER292)</f>
        <v>0</v>
      </c>
      <c r="ES293" s="261">
        <f>SUM(ES288:ES292)</f>
        <v>0</v>
      </c>
      <c r="ET293" s="261">
        <f>SUM(ET288:ET292)</f>
        <v>0</v>
      </c>
      <c r="EU293" s="261">
        <f>SUM(EU288:EU292)</f>
        <v>0</v>
      </c>
      <c r="EV293" s="261"/>
      <c r="EW293" s="261"/>
      <c r="EX293" s="261"/>
      <c r="EY293" s="261"/>
      <c r="EZ293" s="261">
        <f t="shared" ref="EZ293:FK293" si="388">SUM(EZ288:EZ292)</f>
        <v>0</v>
      </c>
      <c r="FA293" s="261">
        <f t="shared" si="388"/>
        <v>0</v>
      </c>
      <c r="FB293" s="261">
        <f t="shared" si="388"/>
        <v>0</v>
      </c>
      <c r="FC293" s="261">
        <f t="shared" si="388"/>
        <v>0</v>
      </c>
      <c r="FD293" s="261">
        <f t="shared" si="388"/>
        <v>0</v>
      </c>
      <c r="FE293" s="261">
        <f t="shared" si="388"/>
        <v>0</v>
      </c>
      <c r="FF293" s="261">
        <f t="shared" si="388"/>
        <v>0</v>
      </c>
      <c r="FG293" s="261">
        <f t="shared" si="388"/>
        <v>0</v>
      </c>
      <c r="FH293" s="261">
        <f t="shared" ca="1" si="388"/>
        <v>0</v>
      </c>
      <c r="FI293" s="261">
        <f t="shared" ca="1" si="388"/>
        <v>0</v>
      </c>
      <c r="FJ293" s="261">
        <f t="shared" ca="1" si="388"/>
        <v>0</v>
      </c>
      <c r="FK293" s="261">
        <f t="shared" ca="1" si="388"/>
        <v>0</v>
      </c>
      <c r="FL293" s="261">
        <f ca="1">SUM(FL288:FL291)</f>
        <v>0</v>
      </c>
      <c r="FM293" s="262">
        <f ca="1">SUM(FM288:FM292)</f>
        <v>0</v>
      </c>
      <c r="FN293" s="262">
        <f ca="1">SUM(FN288:FN292)</f>
        <v>0</v>
      </c>
      <c r="FO293" s="262">
        <f ca="1">SUM(FO288:FO292)</f>
        <v>0</v>
      </c>
      <c r="FP293" s="263">
        <f t="shared" ca="1" si="385"/>
        <v>0</v>
      </c>
      <c r="FQ293" s="264">
        <f t="shared" si="323"/>
        <v>0</v>
      </c>
      <c r="FR293" s="261">
        <f>SUM(FR288:FR292)</f>
        <v>0</v>
      </c>
      <c r="FS293" s="264">
        <f t="shared" si="358"/>
        <v>0</v>
      </c>
    </row>
    <row r="294" spans="20:175" s="154" customFormat="1" hidden="1" outlineLevel="1">
      <c r="T294" s="155"/>
      <c r="U294" s="156"/>
      <c r="X294" s="252" t="s">
        <v>313</v>
      </c>
      <c r="Y294" s="253" t="s">
        <v>44</v>
      </c>
      <c r="Z294" s="253"/>
      <c r="AA294" s="254">
        <f t="shared" ref="AA294:AA299" si="389">SUM(AD294:AF294)</f>
        <v>0</v>
      </c>
      <c r="AB294" s="255">
        <f t="shared" ref="AB294:AB299" si="390">SUM(AH294:AJ294)</f>
        <v>0</v>
      </c>
      <c r="AC294" s="254">
        <v>0</v>
      </c>
      <c r="AD294" s="256">
        <v>0</v>
      </c>
      <c r="AE294" s="256"/>
      <c r="AF294" s="256"/>
      <c r="AG294" s="254"/>
      <c r="AH294" s="256"/>
      <c r="AI294" s="256"/>
      <c r="AJ294" s="256"/>
      <c r="AK294" s="254">
        <f t="shared" ref="AK294:AK299" si="391">SUM(AN294:AP294)</f>
        <v>0</v>
      </c>
      <c r="AL294" s="255">
        <f t="shared" ref="AL294:AL299" si="392">SUM(AR294:AT294)</f>
        <v>0</v>
      </c>
      <c r="AM294" s="254">
        <v>0</v>
      </c>
      <c r="AN294" s="256">
        <v>0</v>
      </c>
      <c r="AO294" s="256"/>
      <c r="AP294" s="256"/>
      <c r="AQ294" s="254"/>
      <c r="AR294" s="256"/>
      <c r="AS294" s="256"/>
      <c r="AT294" s="256"/>
      <c r="AU294" s="254">
        <f t="shared" ref="AU294:AU299" si="393">SUM(AX294:AZ294)</f>
        <v>0</v>
      </c>
      <c r="AV294" s="255">
        <f t="shared" ref="AV294:AV299" si="394">SUM(BB294:BD294)</f>
        <v>0</v>
      </c>
      <c r="AW294" s="254">
        <v>0</v>
      </c>
      <c r="AX294" s="256">
        <v>0</v>
      </c>
      <c r="AY294" s="256"/>
      <c r="AZ294" s="256"/>
      <c r="BA294" s="254"/>
      <c r="BB294" s="256"/>
      <c r="BC294" s="256"/>
      <c r="BD294" s="256"/>
      <c r="BE294" s="254">
        <f t="shared" ref="BE294:BE299" si="395">SUM(BH294:BJ294)</f>
        <v>0</v>
      </c>
      <c r="BF294" s="255">
        <f t="shared" ref="BF294:BF299" si="396">SUM(BL294:BN294)</f>
        <v>0</v>
      </c>
      <c r="BG294" s="254">
        <v>0</v>
      </c>
      <c r="BH294" s="256">
        <v>0</v>
      </c>
      <c r="BI294" s="256"/>
      <c r="BJ294" s="256"/>
      <c r="BK294" s="254"/>
      <c r="BL294" s="256"/>
      <c r="BM294" s="256"/>
      <c r="BN294" s="256"/>
      <c r="BO294" s="254">
        <f t="shared" ref="BO294:BO299" si="397">SUM(BR294:BT294)</f>
        <v>0</v>
      </c>
      <c r="BP294" s="255">
        <f t="shared" ref="BP294:BP299" si="398">SUM(BV294:BX294)</f>
        <v>0</v>
      </c>
      <c r="BQ294" s="254">
        <v>0</v>
      </c>
      <c r="BR294" s="256">
        <v>0</v>
      </c>
      <c r="BS294" s="256"/>
      <c r="BT294" s="256"/>
      <c r="BU294" s="254"/>
      <c r="BV294" s="256"/>
      <c r="BW294" s="256"/>
      <c r="BX294" s="256"/>
      <c r="BY294" s="254">
        <f t="shared" ref="BY294:BY299" si="399">SUM(CB294:CD294)</f>
        <v>0</v>
      </c>
      <c r="BZ294" s="255">
        <f t="shared" ref="BZ294:BZ299" si="400">SUM(CF294:CH294)</f>
        <v>0</v>
      </c>
      <c r="CA294" s="254">
        <v>0</v>
      </c>
      <c r="CB294" s="256">
        <v>0</v>
      </c>
      <c r="CC294" s="256"/>
      <c r="CD294" s="256"/>
      <c r="CE294" s="254"/>
      <c r="CF294" s="256"/>
      <c r="CG294" s="256"/>
      <c r="CH294" s="256"/>
      <c r="CI294" s="254">
        <f t="shared" ref="CI294:CI299" si="401">SUM(CL294:CN294)</f>
        <v>0</v>
      </c>
      <c r="CJ294" s="255">
        <f t="shared" ref="CJ294:CJ299" si="402">SUM(CP294:CR294)</f>
        <v>0</v>
      </c>
      <c r="CK294" s="254"/>
      <c r="CL294" s="256"/>
      <c r="CM294" s="256"/>
      <c r="CN294" s="256"/>
      <c r="CO294" s="254"/>
      <c r="CP294" s="256"/>
      <c r="CQ294" s="256"/>
      <c r="CR294" s="256"/>
      <c r="CS294" s="254">
        <f t="shared" ref="CS294:CS299" si="403">SUM(CV294:CX294)</f>
        <v>0</v>
      </c>
      <c r="CT294" s="255">
        <f t="shared" ref="CT294:CT299" si="404">SUM(CZ294:DB294)</f>
        <v>0</v>
      </c>
      <c r="CU294" s="254"/>
      <c r="CV294" s="256"/>
      <c r="CW294" s="256"/>
      <c r="CX294" s="256"/>
      <c r="CY294" s="254"/>
      <c r="CZ294" s="256"/>
      <c r="DA294" s="256"/>
      <c r="DB294" s="256"/>
      <c r="DC294" s="254">
        <f t="shared" ref="DC294:DC299" si="405">SUM(DF294:DH294)</f>
        <v>0</v>
      </c>
      <c r="DD294" s="255">
        <f t="shared" ref="DD294:DD299" si="406">SUM(DJ294:DL294)</f>
        <v>0</v>
      </c>
      <c r="DE294" s="254"/>
      <c r="DF294" s="256"/>
      <c r="DG294" s="256"/>
      <c r="DH294" s="256"/>
      <c r="DI294" s="254"/>
      <c r="DJ294" s="256"/>
      <c r="DK294" s="256"/>
      <c r="DL294" s="256"/>
      <c r="DM294" s="254">
        <f t="shared" ref="DM294:DM299" si="407">SUM(DP294:DR294)</f>
        <v>0</v>
      </c>
      <c r="DN294" s="255">
        <f t="shared" ref="DN294:DN299" si="408">SUM(DT294:DV294)</f>
        <v>0</v>
      </c>
      <c r="DO294" s="254"/>
      <c r="DP294" s="256"/>
      <c r="DQ294" s="256"/>
      <c r="DR294" s="256"/>
      <c r="DS294" s="254"/>
      <c r="DT294" s="256"/>
      <c r="DU294" s="256"/>
      <c r="DV294" s="256"/>
      <c r="DW294" s="254">
        <f t="shared" ref="DW294:DW299" si="409">SUM(DZ294:EB294)</f>
        <v>0</v>
      </c>
      <c r="DX294" s="255">
        <f t="shared" ref="DX294:DX299" si="410">SUM(ED294:EF294)</f>
        <v>0</v>
      </c>
      <c r="DY294" s="254"/>
      <c r="DZ294" s="256"/>
      <c r="EA294" s="256"/>
      <c r="EB294" s="256"/>
      <c r="EC294" s="254"/>
      <c r="ED294" s="256"/>
      <c r="EE294" s="256"/>
      <c r="EF294" s="256"/>
      <c r="EG294" s="254">
        <f t="shared" ref="EG294:EG299" si="411">SUM(EJ294:EL294)</f>
        <v>0</v>
      </c>
      <c r="EH294" s="255">
        <f t="shared" ref="EH294:EH299" si="412">SUM(EN294:EP294)</f>
        <v>0</v>
      </c>
      <c r="EI294" s="254"/>
      <c r="EJ294" s="256"/>
      <c r="EK294" s="256"/>
      <c r="EL294" s="256"/>
      <c r="EM294" s="254"/>
      <c r="EN294" s="256"/>
      <c r="EO294" s="256"/>
      <c r="EP294" s="256"/>
      <c r="EQ294" s="388"/>
      <c r="ER294" s="256">
        <f>SUM(ET294:EX294)</f>
        <v>0</v>
      </c>
      <c r="ES294" s="256">
        <f>IFERROR(SUMIFS(Daily_Vol_yesterday[Order Quantity],Daily_Vol_yesterday[Cust_Cat.cust_channel],master_Daily!X294,Daily_Vol_yesterday[Map_Product.TME_Brand],master_Daily!Y294)/50000,0)</f>
        <v>0</v>
      </c>
      <c r="ET294" s="256"/>
      <c r="EU294" s="256"/>
      <c r="EV294" s="255"/>
      <c r="EW294" s="256"/>
      <c r="EX294" s="256"/>
      <c r="EY294" s="256"/>
      <c r="EZ294" s="256">
        <f>SUM(FA294:FC294)</f>
        <v>0</v>
      </c>
      <c r="FA294" s="256">
        <f>IFERROR(SUM(SUMIFS(Weekly_Vol[Quantity],Weekly_Vol[Cust_Cat.cust_channel],master_Daily!X294,Weekly_Vol[Map_Product.TME_Brand],master_Daily!Y294),SUMIFS(Daily_Vol[Order Quantity],Daily_Vol[Cust_Cat.cust_channel],master_Daily!X294,Daily_Vol[Map_Product.TME_Brand],master_Daily!Y294))/50000,0)</f>
        <v>0</v>
      </c>
      <c r="FB294" s="256"/>
      <c r="FC294" s="256"/>
      <c r="FD294" s="256"/>
      <c r="FE294" s="256"/>
      <c r="FF294" s="256"/>
      <c r="FG294" s="256"/>
      <c r="FH294" s="256">
        <f ca="1">SUM(FI294:FK294)</f>
        <v>0</v>
      </c>
      <c r="FI294" s="256">
        <f t="shared" ref="FI294:FK298" ca="1" si="413">SUMIFS($AA294:$EP294,$AA$129:$EP$129,INDIRECT(ADDRESS(129,COLUMN())))</f>
        <v>0</v>
      </c>
      <c r="FJ294" s="256">
        <f t="shared" ca="1" si="413"/>
        <v>0</v>
      </c>
      <c r="FK294" s="256">
        <f t="shared" ca="1" si="413"/>
        <v>0</v>
      </c>
      <c r="FL294" s="256">
        <f ca="1">SUMIFS($AA294:$EP294,$AA$129:$EP$129,INDIRECT(ADDRESS(38,COLUMN())))</f>
        <v>0</v>
      </c>
      <c r="FM294" s="256">
        <f ca="1">SUMIFS($AA294:$EP294,$AA$129:$EP$129,INDIRECT(ADDRESS(38,COLUMN())))</f>
        <v>0</v>
      </c>
      <c r="FN294" s="256">
        <f ca="1">SUMIFS($AA294:$EP294,$AA$129:$EP$129,INDIRECT(ADDRESS(38,COLUMN())))</f>
        <v>0</v>
      </c>
      <c r="FO294" s="256">
        <f ca="1">SUMIFS($AA294:$EP294,$AA$129:$EP$129,INDIRECT(ADDRESS(38,COLUMN())))</f>
        <v>0</v>
      </c>
      <c r="FP294" s="257">
        <f t="shared" ref="FP294:FP299" ca="1" si="414">IFERROR(FH294/$FH$299,0)</f>
        <v>0</v>
      </c>
      <c r="FQ294" s="258">
        <f t="shared" si="323"/>
        <v>0</v>
      </c>
      <c r="FR294" s="256">
        <f>SUMIFS(TME_MTD_Dist[Sell_WHS_QTY],TME_MTD_Dist[Dist_Name],master_Daily!$X294,TME_MTD_Dist[Brand],master_Daily!$Y294)/50000
 + SUMIFS(TME_MTD_Dist[Sell_RTL_QTY],TME_MTD_Dist[Dist_Name],master_Daily!$X294,TME_MTD_Dist[Brand],master_Daily!$Y294)/50000</f>
        <v>0</v>
      </c>
      <c r="FS294" s="258">
        <f t="shared" si="358"/>
        <v>0</v>
      </c>
    </row>
    <row r="295" spans="20:175" s="154" customFormat="1" hidden="1" outlineLevel="1">
      <c r="T295" s="155"/>
      <c r="U295" s="156"/>
      <c r="X295" s="252" t="s">
        <v>313</v>
      </c>
      <c r="Y295" s="253" t="s">
        <v>45</v>
      </c>
      <c r="Z295" s="253"/>
      <c r="AA295" s="254">
        <f t="shared" si="389"/>
        <v>0</v>
      </c>
      <c r="AB295" s="255">
        <f t="shared" si="390"/>
        <v>0</v>
      </c>
      <c r="AC295" s="254">
        <v>0</v>
      </c>
      <c r="AD295" s="256">
        <v>0</v>
      </c>
      <c r="AE295" s="256"/>
      <c r="AF295" s="256"/>
      <c r="AG295" s="254"/>
      <c r="AH295" s="256"/>
      <c r="AI295" s="256"/>
      <c r="AJ295" s="256"/>
      <c r="AK295" s="254">
        <f t="shared" si="391"/>
        <v>0</v>
      </c>
      <c r="AL295" s="255">
        <f t="shared" si="392"/>
        <v>0</v>
      </c>
      <c r="AM295" s="254">
        <v>0</v>
      </c>
      <c r="AN295" s="256">
        <v>0</v>
      </c>
      <c r="AO295" s="256"/>
      <c r="AP295" s="256"/>
      <c r="AQ295" s="254"/>
      <c r="AR295" s="256"/>
      <c r="AS295" s="256"/>
      <c r="AT295" s="256"/>
      <c r="AU295" s="254">
        <f t="shared" si="393"/>
        <v>0</v>
      </c>
      <c r="AV295" s="255">
        <f t="shared" si="394"/>
        <v>0</v>
      </c>
      <c r="AW295" s="254">
        <v>0</v>
      </c>
      <c r="AX295" s="256">
        <v>0</v>
      </c>
      <c r="AY295" s="256"/>
      <c r="AZ295" s="256"/>
      <c r="BA295" s="254"/>
      <c r="BB295" s="256"/>
      <c r="BC295" s="256"/>
      <c r="BD295" s="256"/>
      <c r="BE295" s="254">
        <f t="shared" si="395"/>
        <v>0</v>
      </c>
      <c r="BF295" s="255">
        <f t="shared" si="396"/>
        <v>0</v>
      </c>
      <c r="BG295" s="254">
        <v>0</v>
      </c>
      <c r="BH295" s="256">
        <v>0</v>
      </c>
      <c r="BI295" s="256"/>
      <c r="BJ295" s="256"/>
      <c r="BK295" s="254"/>
      <c r="BL295" s="256"/>
      <c r="BM295" s="256"/>
      <c r="BN295" s="256"/>
      <c r="BO295" s="254">
        <f t="shared" si="397"/>
        <v>0</v>
      </c>
      <c r="BP295" s="255">
        <f t="shared" si="398"/>
        <v>0</v>
      </c>
      <c r="BQ295" s="254">
        <v>0</v>
      </c>
      <c r="BR295" s="256">
        <v>0</v>
      </c>
      <c r="BS295" s="256"/>
      <c r="BT295" s="256"/>
      <c r="BU295" s="254"/>
      <c r="BV295" s="256"/>
      <c r="BW295" s="256"/>
      <c r="BX295" s="256"/>
      <c r="BY295" s="254">
        <f t="shared" si="399"/>
        <v>0</v>
      </c>
      <c r="BZ295" s="255">
        <f t="shared" si="400"/>
        <v>0</v>
      </c>
      <c r="CA295" s="254">
        <v>0</v>
      </c>
      <c r="CB295" s="256">
        <v>0</v>
      </c>
      <c r="CC295" s="256"/>
      <c r="CD295" s="256"/>
      <c r="CE295" s="254"/>
      <c r="CF295" s="256"/>
      <c r="CG295" s="256"/>
      <c r="CH295" s="256"/>
      <c r="CI295" s="254">
        <f t="shared" si="401"/>
        <v>0</v>
      </c>
      <c r="CJ295" s="255">
        <f t="shared" si="402"/>
        <v>0</v>
      </c>
      <c r="CK295" s="254"/>
      <c r="CL295" s="256"/>
      <c r="CM295" s="256"/>
      <c r="CN295" s="256"/>
      <c r="CO295" s="254"/>
      <c r="CP295" s="256"/>
      <c r="CQ295" s="256"/>
      <c r="CR295" s="256"/>
      <c r="CS295" s="254">
        <f t="shared" si="403"/>
        <v>0</v>
      </c>
      <c r="CT295" s="255">
        <f t="shared" si="404"/>
        <v>0</v>
      </c>
      <c r="CU295" s="254"/>
      <c r="CV295" s="256"/>
      <c r="CW295" s="256"/>
      <c r="CX295" s="256"/>
      <c r="CY295" s="254"/>
      <c r="CZ295" s="256"/>
      <c r="DA295" s="256"/>
      <c r="DB295" s="256"/>
      <c r="DC295" s="254">
        <f t="shared" si="405"/>
        <v>0</v>
      </c>
      <c r="DD295" s="255">
        <f t="shared" si="406"/>
        <v>0</v>
      </c>
      <c r="DE295" s="254"/>
      <c r="DF295" s="256"/>
      <c r="DG295" s="256"/>
      <c r="DH295" s="256"/>
      <c r="DI295" s="254"/>
      <c r="DJ295" s="256"/>
      <c r="DK295" s="256"/>
      <c r="DL295" s="256"/>
      <c r="DM295" s="254">
        <f t="shared" si="407"/>
        <v>0</v>
      </c>
      <c r="DN295" s="255">
        <f t="shared" si="408"/>
        <v>0</v>
      </c>
      <c r="DO295" s="254"/>
      <c r="DP295" s="256"/>
      <c r="DQ295" s="256"/>
      <c r="DR295" s="256"/>
      <c r="DS295" s="254"/>
      <c r="DT295" s="256"/>
      <c r="DU295" s="256"/>
      <c r="DV295" s="256"/>
      <c r="DW295" s="254">
        <f t="shared" si="409"/>
        <v>0</v>
      </c>
      <c r="DX295" s="255">
        <f t="shared" si="410"/>
        <v>0</v>
      </c>
      <c r="DY295" s="254"/>
      <c r="DZ295" s="256"/>
      <c r="EA295" s="256"/>
      <c r="EB295" s="256"/>
      <c r="EC295" s="254"/>
      <c r="ED295" s="256"/>
      <c r="EE295" s="256"/>
      <c r="EF295" s="256"/>
      <c r="EG295" s="254">
        <f t="shared" si="411"/>
        <v>0</v>
      </c>
      <c r="EH295" s="255">
        <f t="shared" si="412"/>
        <v>0</v>
      </c>
      <c r="EI295" s="254"/>
      <c r="EJ295" s="256"/>
      <c r="EK295" s="256"/>
      <c r="EL295" s="256"/>
      <c r="EM295" s="254"/>
      <c r="EN295" s="256"/>
      <c r="EO295" s="256"/>
      <c r="EP295" s="256"/>
      <c r="EQ295" s="388"/>
      <c r="ER295" s="256">
        <f>SUM(ET295:EX295)</f>
        <v>0</v>
      </c>
      <c r="ES295" s="256">
        <f>IFERROR(SUMIFS(Daily_Vol_yesterday[Order Quantity],Daily_Vol_yesterday[Cust_Cat.cust_channel],master_Daily!X295,Daily_Vol_yesterday[Map_Product.TME_Brand],master_Daily!Y295)/50000,0)</f>
        <v>0</v>
      </c>
      <c r="ET295" s="256"/>
      <c r="EU295" s="256"/>
      <c r="EV295" s="255"/>
      <c r="EW295" s="256"/>
      <c r="EX295" s="256"/>
      <c r="EY295" s="256"/>
      <c r="EZ295" s="256">
        <f>SUM(FA295:FC295)</f>
        <v>0</v>
      </c>
      <c r="FA295" s="256">
        <f>IFERROR(SUM(SUMIFS(Weekly_Vol[Quantity],Weekly_Vol[Cust_Cat.cust_channel],master_Daily!X295,Weekly_Vol[Map_Product.TME_Brand],master_Daily!Y295),SUMIFS(Daily_Vol[Order Quantity],Daily_Vol[Cust_Cat.cust_channel],master_Daily!X295,Daily_Vol[Map_Product.TME_Brand],master_Daily!Y295))/50000,0)</f>
        <v>0</v>
      </c>
      <c r="FB295" s="256"/>
      <c r="FC295" s="256"/>
      <c r="FD295" s="256"/>
      <c r="FE295" s="256"/>
      <c r="FF295" s="256"/>
      <c r="FG295" s="256"/>
      <c r="FH295" s="256">
        <f ca="1">SUM(FI295:FK295)</f>
        <v>0</v>
      </c>
      <c r="FI295" s="256">
        <f t="shared" ca="1" si="413"/>
        <v>0</v>
      </c>
      <c r="FJ295" s="256">
        <f t="shared" ca="1" si="413"/>
        <v>0</v>
      </c>
      <c r="FK295" s="256">
        <f t="shared" ca="1" si="413"/>
        <v>0</v>
      </c>
      <c r="FL295" s="256">
        <f t="shared" ref="FL295:FO296" ca="1" si="415">SUMIFS($AA295:$EP295,$AA$129:$EP$129,INDIRECT(ADDRESS(129,COLUMN())))</f>
        <v>0</v>
      </c>
      <c r="FM295" s="255">
        <f t="shared" ca="1" si="415"/>
        <v>0</v>
      </c>
      <c r="FN295" s="255">
        <f t="shared" ca="1" si="415"/>
        <v>0</v>
      </c>
      <c r="FO295" s="255">
        <f t="shared" ca="1" si="415"/>
        <v>0</v>
      </c>
      <c r="FP295" s="257">
        <f t="shared" ca="1" si="414"/>
        <v>0</v>
      </c>
      <c r="FQ295" s="258">
        <f t="shared" si="323"/>
        <v>0</v>
      </c>
      <c r="FR295" s="256">
        <f>SUMIFS(TME_MTD_Dist[Sell_WHS_QTY],TME_MTD_Dist[Dist_Name],master_Daily!$X295,TME_MTD_Dist[Brand],master_Daily!$Y295)/50000
 + SUMIFS(TME_MTD_Dist[Sell_RTL_QTY],TME_MTD_Dist[Dist_Name],master_Daily!$X295,TME_MTD_Dist[Brand],master_Daily!$Y295)/50000</f>
        <v>0</v>
      </c>
      <c r="FS295" s="258">
        <f t="shared" si="358"/>
        <v>0</v>
      </c>
    </row>
    <row r="296" spans="20:175" s="154" customFormat="1" hidden="1" outlineLevel="1">
      <c r="T296" s="155"/>
      <c r="U296" s="156"/>
      <c r="X296" s="252" t="s">
        <v>313</v>
      </c>
      <c r="Y296" s="253" t="s">
        <v>46</v>
      </c>
      <c r="Z296" s="253"/>
      <c r="AA296" s="254">
        <f t="shared" si="389"/>
        <v>0</v>
      </c>
      <c r="AB296" s="255">
        <f t="shared" si="390"/>
        <v>0</v>
      </c>
      <c r="AC296" s="254">
        <v>0</v>
      </c>
      <c r="AD296" s="256">
        <v>0</v>
      </c>
      <c r="AE296" s="256"/>
      <c r="AF296" s="256"/>
      <c r="AG296" s="254"/>
      <c r="AH296" s="256"/>
      <c r="AI296" s="256"/>
      <c r="AJ296" s="256"/>
      <c r="AK296" s="254">
        <f t="shared" si="391"/>
        <v>0</v>
      </c>
      <c r="AL296" s="255">
        <f t="shared" si="392"/>
        <v>0</v>
      </c>
      <c r="AM296" s="254">
        <v>0</v>
      </c>
      <c r="AN296" s="256">
        <v>0</v>
      </c>
      <c r="AO296" s="256"/>
      <c r="AP296" s="256"/>
      <c r="AQ296" s="254"/>
      <c r="AR296" s="256"/>
      <c r="AS296" s="256"/>
      <c r="AT296" s="256"/>
      <c r="AU296" s="254">
        <f t="shared" si="393"/>
        <v>0</v>
      </c>
      <c r="AV296" s="255">
        <f t="shared" si="394"/>
        <v>0</v>
      </c>
      <c r="AW296" s="254">
        <v>0</v>
      </c>
      <c r="AX296" s="256">
        <v>0</v>
      </c>
      <c r="AY296" s="256"/>
      <c r="AZ296" s="256"/>
      <c r="BA296" s="254"/>
      <c r="BB296" s="256"/>
      <c r="BC296" s="256"/>
      <c r="BD296" s="256"/>
      <c r="BE296" s="254">
        <f t="shared" si="395"/>
        <v>0</v>
      </c>
      <c r="BF296" s="255">
        <f t="shared" si="396"/>
        <v>0</v>
      </c>
      <c r="BG296" s="254">
        <v>0</v>
      </c>
      <c r="BH296" s="256">
        <v>0</v>
      </c>
      <c r="BI296" s="256"/>
      <c r="BJ296" s="256"/>
      <c r="BK296" s="254"/>
      <c r="BL296" s="256"/>
      <c r="BM296" s="256"/>
      <c r="BN296" s="256"/>
      <c r="BO296" s="254">
        <f t="shared" si="397"/>
        <v>0</v>
      </c>
      <c r="BP296" s="255">
        <f t="shared" si="398"/>
        <v>0</v>
      </c>
      <c r="BQ296" s="254">
        <v>0</v>
      </c>
      <c r="BR296" s="256">
        <v>0</v>
      </c>
      <c r="BS296" s="256"/>
      <c r="BT296" s="256"/>
      <c r="BU296" s="254"/>
      <c r="BV296" s="256"/>
      <c r="BW296" s="256"/>
      <c r="BX296" s="256"/>
      <c r="BY296" s="254">
        <f t="shared" si="399"/>
        <v>0</v>
      </c>
      <c r="BZ296" s="255">
        <f t="shared" si="400"/>
        <v>0</v>
      </c>
      <c r="CA296" s="254">
        <v>0</v>
      </c>
      <c r="CB296" s="256">
        <v>0</v>
      </c>
      <c r="CC296" s="256"/>
      <c r="CD296" s="256"/>
      <c r="CE296" s="254"/>
      <c r="CF296" s="256"/>
      <c r="CG296" s="256"/>
      <c r="CH296" s="256"/>
      <c r="CI296" s="254">
        <f t="shared" si="401"/>
        <v>0</v>
      </c>
      <c r="CJ296" s="255">
        <f t="shared" si="402"/>
        <v>0</v>
      </c>
      <c r="CK296" s="254"/>
      <c r="CL296" s="256"/>
      <c r="CM296" s="256"/>
      <c r="CN296" s="256"/>
      <c r="CO296" s="254"/>
      <c r="CP296" s="256"/>
      <c r="CQ296" s="256"/>
      <c r="CR296" s="256"/>
      <c r="CS296" s="254">
        <f t="shared" si="403"/>
        <v>0</v>
      </c>
      <c r="CT296" s="255">
        <f t="shared" si="404"/>
        <v>0</v>
      </c>
      <c r="CU296" s="254"/>
      <c r="CV296" s="256"/>
      <c r="CW296" s="256"/>
      <c r="CX296" s="256"/>
      <c r="CY296" s="254"/>
      <c r="CZ296" s="256"/>
      <c r="DA296" s="256"/>
      <c r="DB296" s="256"/>
      <c r="DC296" s="254">
        <f t="shared" si="405"/>
        <v>0</v>
      </c>
      <c r="DD296" s="255">
        <f t="shared" si="406"/>
        <v>0</v>
      </c>
      <c r="DE296" s="254"/>
      <c r="DF296" s="256"/>
      <c r="DG296" s="256"/>
      <c r="DH296" s="256"/>
      <c r="DI296" s="254"/>
      <c r="DJ296" s="256"/>
      <c r="DK296" s="256"/>
      <c r="DL296" s="256"/>
      <c r="DM296" s="254">
        <f t="shared" si="407"/>
        <v>0</v>
      </c>
      <c r="DN296" s="255">
        <f t="shared" si="408"/>
        <v>0</v>
      </c>
      <c r="DO296" s="254"/>
      <c r="DP296" s="256"/>
      <c r="DQ296" s="256"/>
      <c r="DR296" s="256"/>
      <c r="DS296" s="254"/>
      <c r="DT296" s="256"/>
      <c r="DU296" s="256"/>
      <c r="DV296" s="256"/>
      <c r="DW296" s="254">
        <f t="shared" si="409"/>
        <v>0</v>
      </c>
      <c r="DX296" s="255">
        <f t="shared" si="410"/>
        <v>0</v>
      </c>
      <c r="DY296" s="254"/>
      <c r="DZ296" s="256"/>
      <c r="EA296" s="256"/>
      <c r="EB296" s="256"/>
      <c r="EC296" s="254"/>
      <c r="ED296" s="256"/>
      <c r="EE296" s="256"/>
      <c r="EF296" s="256"/>
      <c r="EG296" s="254">
        <f t="shared" si="411"/>
        <v>0</v>
      </c>
      <c r="EH296" s="255">
        <f t="shared" si="412"/>
        <v>0</v>
      </c>
      <c r="EI296" s="254"/>
      <c r="EJ296" s="256"/>
      <c r="EK296" s="256"/>
      <c r="EL296" s="256"/>
      <c r="EM296" s="254"/>
      <c r="EN296" s="256"/>
      <c r="EO296" s="256"/>
      <c r="EP296" s="256"/>
      <c r="EQ296" s="388"/>
      <c r="ER296" s="256">
        <f>SUM(ET296:EX296)</f>
        <v>0</v>
      </c>
      <c r="ES296" s="256">
        <f>IFERROR(SUMIFS(Daily_Vol_yesterday[Order Quantity],Daily_Vol_yesterday[Cust_Cat.cust_channel],master_Daily!X296,Daily_Vol_yesterday[Map_Product.TME_Brand],master_Daily!Y296)/50000,0)</f>
        <v>0</v>
      </c>
      <c r="ET296" s="256"/>
      <c r="EU296" s="256"/>
      <c r="EV296" s="255"/>
      <c r="EW296" s="256"/>
      <c r="EX296" s="256"/>
      <c r="EY296" s="256"/>
      <c r="EZ296" s="256">
        <f>SUM(FA296:FC296)</f>
        <v>0</v>
      </c>
      <c r="FA296" s="256">
        <f>IFERROR(SUM(SUMIFS(Weekly_Vol[Quantity],Weekly_Vol[Cust_Cat.cust_channel],master_Daily!X296,Weekly_Vol[Map_Product.TME_Brand],master_Daily!Y296),SUMIFS(Daily_Vol[Order Quantity],Daily_Vol[Cust_Cat.cust_channel],master_Daily!X296,Daily_Vol[Map_Product.TME_Brand],master_Daily!Y296))/50000,0)</f>
        <v>0</v>
      </c>
      <c r="FB296" s="256"/>
      <c r="FC296" s="256"/>
      <c r="FD296" s="256"/>
      <c r="FE296" s="256"/>
      <c r="FF296" s="256"/>
      <c r="FG296" s="256"/>
      <c r="FH296" s="256">
        <f ca="1">SUM(FI296:FK296)</f>
        <v>0</v>
      </c>
      <c r="FI296" s="256">
        <f t="shared" ca="1" si="413"/>
        <v>0</v>
      </c>
      <c r="FJ296" s="256">
        <f t="shared" ca="1" si="413"/>
        <v>0</v>
      </c>
      <c r="FK296" s="256">
        <f t="shared" ca="1" si="413"/>
        <v>0</v>
      </c>
      <c r="FL296" s="256">
        <f t="shared" ca="1" si="415"/>
        <v>0</v>
      </c>
      <c r="FM296" s="255">
        <f t="shared" ca="1" si="415"/>
        <v>0</v>
      </c>
      <c r="FN296" s="255">
        <f t="shared" ca="1" si="415"/>
        <v>0</v>
      </c>
      <c r="FO296" s="255">
        <f t="shared" ca="1" si="415"/>
        <v>0</v>
      </c>
      <c r="FP296" s="257">
        <f t="shared" ca="1" si="414"/>
        <v>0</v>
      </c>
      <c r="FQ296" s="258">
        <f t="shared" si="323"/>
        <v>0</v>
      </c>
      <c r="FR296" s="256">
        <f>SUMIFS(TME_MTD_Dist[Sell_WHS_QTY],TME_MTD_Dist[Dist_Name],master_Daily!$X296,TME_MTD_Dist[Brand],master_Daily!$Y296)/50000
 + SUMIFS(TME_MTD_Dist[Sell_RTL_QTY],TME_MTD_Dist[Dist_Name],master_Daily!$X296,TME_MTD_Dist[Brand],master_Daily!$Y296)/50000</f>
        <v>0</v>
      </c>
      <c r="FS296" s="258">
        <f t="shared" si="358"/>
        <v>0</v>
      </c>
    </row>
    <row r="297" spans="20:175" s="154" customFormat="1" hidden="1" outlineLevel="1">
      <c r="T297" s="155"/>
      <c r="U297" s="156"/>
      <c r="X297" s="252" t="s">
        <v>313</v>
      </c>
      <c r="Y297" s="253" t="s">
        <v>263</v>
      </c>
      <c r="Z297" s="253"/>
      <c r="AA297" s="254">
        <f t="shared" si="389"/>
        <v>0</v>
      </c>
      <c r="AB297" s="255">
        <f t="shared" si="390"/>
        <v>0</v>
      </c>
      <c r="AC297" s="254">
        <v>0</v>
      </c>
      <c r="AD297" s="256">
        <v>0</v>
      </c>
      <c r="AE297" s="256"/>
      <c r="AF297" s="256"/>
      <c r="AG297" s="254"/>
      <c r="AH297" s="256"/>
      <c r="AI297" s="256"/>
      <c r="AJ297" s="256"/>
      <c r="AK297" s="254">
        <f t="shared" si="391"/>
        <v>0</v>
      </c>
      <c r="AL297" s="255">
        <f t="shared" si="392"/>
        <v>0</v>
      </c>
      <c r="AM297" s="254">
        <v>0</v>
      </c>
      <c r="AN297" s="256">
        <v>0</v>
      </c>
      <c r="AO297" s="256"/>
      <c r="AP297" s="256"/>
      <c r="AQ297" s="254"/>
      <c r="AR297" s="256"/>
      <c r="AS297" s="256"/>
      <c r="AT297" s="256"/>
      <c r="AU297" s="254">
        <f t="shared" si="393"/>
        <v>0</v>
      </c>
      <c r="AV297" s="255">
        <f t="shared" si="394"/>
        <v>0</v>
      </c>
      <c r="AW297" s="254">
        <v>0</v>
      </c>
      <c r="AX297" s="256">
        <v>0</v>
      </c>
      <c r="AY297" s="256"/>
      <c r="AZ297" s="256"/>
      <c r="BA297" s="254"/>
      <c r="BB297" s="256"/>
      <c r="BC297" s="256"/>
      <c r="BD297" s="256"/>
      <c r="BE297" s="254">
        <f t="shared" si="395"/>
        <v>0</v>
      </c>
      <c r="BF297" s="255">
        <f t="shared" si="396"/>
        <v>0</v>
      </c>
      <c r="BG297" s="254">
        <v>0</v>
      </c>
      <c r="BH297" s="256">
        <v>0</v>
      </c>
      <c r="BI297" s="256"/>
      <c r="BJ297" s="256"/>
      <c r="BK297" s="254"/>
      <c r="BL297" s="256"/>
      <c r="BM297" s="256"/>
      <c r="BN297" s="256"/>
      <c r="BO297" s="254">
        <f t="shared" si="397"/>
        <v>0</v>
      </c>
      <c r="BP297" s="255">
        <f t="shared" si="398"/>
        <v>0</v>
      </c>
      <c r="BQ297" s="254">
        <v>0</v>
      </c>
      <c r="BR297" s="256">
        <v>0</v>
      </c>
      <c r="BS297" s="256"/>
      <c r="BT297" s="256"/>
      <c r="BU297" s="254"/>
      <c r="BV297" s="256"/>
      <c r="BW297" s="256"/>
      <c r="BX297" s="256"/>
      <c r="BY297" s="254">
        <f t="shared" si="399"/>
        <v>0</v>
      </c>
      <c r="BZ297" s="255">
        <f t="shared" si="400"/>
        <v>0</v>
      </c>
      <c r="CA297" s="254">
        <v>0</v>
      </c>
      <c r="CB297" s="256">
        <v>0</v>
      </c>
      <c r="CC297" s="256"/>
      <c r="CD297" s="256"/>
      <c r="CE297" s="254"/>
      <c r="CF297" s="256"/>
      <c r="CG297" s="256"/>
      <c r="CH297" s="256"/>
      <c r="CI297" s="254">
        <f t="shared" si="401"/>
        <v>0</v>
      </c>
      <c r="CJ297" s="255">
        <f t="shared" si="402"/>
        <v>0</v>
      </c>
      <c r="CK297" s="254"/>
      <c r="CL297" s="256"/>
      <c r="CM297" s="256"/>
      <c r="CN297" s="256"/>
      <c r="CO297" s="254"/>
      <c r="CP297" s="256"/>
      <c r="CQ297" s="256"/>
      <c r="CR297" s="256"/>
      <c r="CS297" s="254">
        <f t="shared" si="403"/>
        <v>0</v>
      </c>
      <c r="CT297" s="255">
        <f t="shared" si="404"/>
        <v>0</v>
      </c>
      <c r="CU297" s="254"/>
      <c r="CV297" s="256"/>
      <c r="CW297" s="256"/>
      <c r="CX297" s="256"/>
      <c r="CY297" s="254"/>
      <c r="CZ297" s="256"/>
      <c r="DA297" s="256"/>
      <c r="DB297" s="256"/>
      <c r="DC297" s="254">
        <f t="shared" si="405"/>
        <v>0</v>
      </c>
      <c r="DD297" s="255">
        <f t="shared" si="406"/>
        <v>0</v>
      </c>
      <c r="DE297" s="254"/>
      <c r="DF297" s="256"/>
      <c r="DG297" s="256"/>
      <c r="DH297" s="256"/>
      <c r="DI297" s="254"/>
      <c r="DJ297" s="256"/>
      <c r="DK297" s="256"/>
      <c r="DL297" s="256"/>
      <c r="DM297" s="254">
        <f t="shared" si="407"/>
        <v>0</v>
      </c>
      <c r="DN297" s="255">
        <f t="shared" si="408"/>
        <v>0</v>
      </c>
      <c r="DO297" s="254"/>
      <c r="DP297" s="256"/>
      <c r="DQ297" s="256"/>
      <c r="DR297" s="256"/>
      <c r="DS297" s="254"/>
      <c r="DT297" s="256"/>
      <c r="DU297" s="256"/>
      <c r="DV297" s="256"/>
      <c r="DW297" s="254">
        <f t="shared" si="409"/>
        <v>0</v>
      </c>
      <c r="DX297" s="255">
        <f t="shared" si="410"/>
        <v>0</v>
      </c>
      <c r="DY297" s="254"/>
      <c r="DZ297" s="256"/>
      <c r="EA297" s="256"/>
      <c r="EB297" s="256"/>
      <c r="EC297" s="254"/>
      <c r="ED297" s="256"/>
      <c r="EE297" s="256"/>
      <c r="EF297" s="256"/>
      <c r="EG297" s="254">
        <f t="shared" si="411"/>
        <v>0</v>
      </c>
      <c r="EH297" s="255">
        <f t="shared" si="412"/>
        <v>0</v>
      </c>
      <c r="EI297" s="254"/>
      <c r="EJ297" s="256"/>
      <c r="EK297" s="256"/>
      <c r="EL297" s="256"/>
      <c r="EM297" s="254"/>
      <c r="EN297" s="256"/>
      <c r="EO297" s="256"/>
      <c r="EP297" s="256"/>
      <c r="EQ297" s="388"/>
      <c r="ER297" s="256">
        <f>SUM(ET297:EX297)</f>
        <v>0</v>
      </c>
      <c r="ES297" s="256">
        <f>IFERROR(SUMIFS(Daily_Vol_yesterday[Order Quantity],Daily_Vol_yesterday[Cust_Cat.cust_channel],master_Daily!X297,Daily_Vol_yesterday[Map_Product.TME_Brand],"CM")/50000,0)</f>
        <v>0</v>
      </c>
      <c r="ET297" s="256"/>
      <c r="EU297" s="256"/>
      <c r="EV297" s="255"/>
      <c r="EW297" s="256"/>
      <c r="EX297" s="256"/>
      <c r="EY297" s="256"/>
      <c r="EZ297" s="256">
        <f>SUM(FA297:FC297)</f>
        <v>0</v>
      </c>
      <c r="FA297" s="256">
        <f>IFERROR(SUM(SUMIFS(Weekly_Vol[Quantity],Weekly_Vol[Cust_Cat.cust_channel],master_Daily!X297,Weekly_Vol[Map_Product.TME_Brand],"CM"),SUMIFS(Daily_Vol[Order Quantity],Daily_Vol[Cust_Cat.cust_channel],master_Daily!X297,Daily_Vol[Map_Product.TME_Brand],"CM"))/50000,0)</f>
        <v>0</v>
      </c>
      <c r="FB297" s="256"/>
      <c r="FC297" s="256"/>
      <c r="FD297" s="256"/>
      <c r="FE297" s="256"/>
      <c r="FF297" s="256"/>
      <c r="FG297" s="256"/>
      <c r="FH297" s="256">
        <f ca="1">SUM(FI297:FK297)</f>
        <v>0</v>
      </c>
      <c r="FI297" s="256">
        <f t="shared" ca="1" si="413"/>
        <v>0</v>
      </c>
      <c r="FJ297" s="256">
        <f t="shared" ca="1" si="413"/>
        <v>0</v>
      </c>
      <c r="FK297" s="256">
        <f t="shared" ca="1" si="413"/>
        <v>0</v>
      </c>
      <c r="FL297" s="256">
        <f ca="1">SUMIFS($AA297:$EP297,$AA$129:$EP$129,INDIRECT(ADDRESS(129,COLUMN())))</f>
        <v>0</v>
      </c>
      <c r="FM297" s="255">
        <f t="shared" ref="FM297:FO298" si="416">SUMIFS(AF297:EU297,$AA$129:$EP$129,$FH$129)</f>
        <v>0</v>
      </c>
      <c r="FN297" s="255">
        <f t="shared" si="416"/>
        <v>0</v>
      </c>
      <c r="FO297" s="255">
        <f t="shared" si="416"/>
        <v>0</v>
      </c>
      <c r="FP297" s="257">
        <f t="shared" ca="1" si="414"/>
        <v>0</v>
      </c>
      <c r="FQ297" s="258">
        <f t="shared" si="323"/>
        <v>0</v>
      </c>
      <c r="FR297" s="256">
        <f>SUMIFS(TME_MTD_Dist[Sell_WHS_QTY],TME_MTD_Dist[Dist_Name],master_Daily!$X297,TME_MTD_Dist[Brand],master_Daily!$Y297)/50000
 + SUMIFS(TME_MTD_Dist[Sell_RTL_QTY],TME_MTD_Dist[Dist_Name],master_Daily!$X297,TME_MTD_Dist[Brand],master_Daily!$Y297)/50000</f>
        <v>0</v>
      </c>
      <c r="FS297" s="258">
        <f t="shared" si="358"/>
        <v>0</v>
      </c>
    </row>
    <row r="298" spans="20:175" s="154" customFormat="1" hidden="1" outlineLevel="1">
      <c r="T298" s="155"/>
      <c r="U298" s="156"/>
      <c r="X298" s="252" t="s">
        <v>313</v>
      </c>
      <c r="Y298" s="253" t="s">
        <v>264</v>
      </c>
      <c r="Z298" s="253"/>
      <c r="AA298" s="254">
        <f t="shared" si="389"/>
        <v>0</v>
      </c>
      <c r="AB298" s="255">
        <f t="shared" si="390"/>
        <v>0</v>
      </c>
      <c r="AC298" s="254">
        <v>0</v>
      </c>
      <c r="AD298" s="256">
        <v>0</v>
      </c>
      <c r="AE298" s="256"/>
      <c r="AF298" s="256"/>
      <c r="AG298" s="254"/>
      <c r="AH298" s="256"/>
      <c r="AI298" s="256"/>
      <c r="AJ298" s="256"/>
      <c r="AK298" s="254">
        <f t="shared" si="391"/>
        <v>0</v>
      </c>
      <c r="AL298" s="255">
        <f t="shared" si="392"/>
        <v>0</v>
      </c>
      <c r="AM298" s="254">
        <v>0</v>
      </c>
      <c r="AN298" s="256">
        <v>0</v>
      </c>
      <c r="AO298" s="256"/>
      <c r="AP298" s="256"/>
      <c r="AQ298" s="254"/>
      <c r="AR298" s="256"/>
      <c r="AS298" s="256"/>
      <c r="AT298" s="256"/>
      <c r="AU298" s="254">
        <f t="shared" si="393"/>
        <v>0</v>
      </c>
      <c r="AV298" s="255">
        <f t="shared" si="394"/>
        <v>0</v>
      </c>
      <c r="AW298" s="254">
        <v>0</v>
      </c>
      <c r="AX298" s="256">
        <v>0</v>
      </c>
      <c r="AY298" s="256"/>
      <c r="AZ298" s="256"/>
      <c r="BA298" s="254"/>
      <c r="BB298" s="256"/>
      <c r="BC298" s="256"/>
      <c r="BD298" s="256"/>
      <c r="BE298" s="254">
        <f t="shared" si="395"/>
        <v>0</v>
      </c>
      <c r="BF298" s="255">
        <f t="shared" si="396"/>
        <v>0</v>
      </c>
      <c r="BG298" s="254">
        <v>0</v>
      </c>
      <c r="BH298" s="256">
        <v>0</v>
      </c>
      <c r="BI298" s="256"/>
      <c r="BJ298" s="256"/>
      <c r="BK298" s="254"/>
      <c r="BL298" s="256"/>
      <c r="BM298" s="256"/>
      <c r="BN298" s="256"/>
      <c r="BO298" s="254">
        <f t="shared" si="397"/>
        <v>0</v>
      </c>
      <c r="BP298" s="255">
        <f t="shared" si="398"/>
        <v>0</v>
      </c>
      <c r="BQ298" s="254">
        <v>0</v>
      </c>
      <c r="BR298" s="256">
        <v>0</v>
      </c>
      <c r="BS298" s="256"/>
      <c r="BT298" s="256"/>
      <c r="BU298" s="254"/>
      <c r="BV298" s="256"/>
      <c r="BW298" s="256"/>
      <c r="BX298" s="256"/>
      <c r="BY298" s="254">
        <f t="shared" si="399"/>
        <v>0</v>
      </c>
      <c r="BZ298" s="255">
        <f t="shared" si="400"/>
        <v>0</v>
      </c>
      <c r="CA298" s="254">
        <v>0</v>
      </c>
      <c r="CB298" s="256">
        <v>0</v>
      </c>
      <c r="CC298" s="256"/>
      <c r="CD298" s="256"/>
      <c r="CE298" s="254"/>
      <c r="CF298" s="256"/>
      <c r="CG298" s="256"/>
      <c r="CH298" s="256"/>
      <c r="CI298" s="254">
        <f t="shared" si="401"/>
        <v>0</v>
      </c>
      <c r="CJ298" s="255">
        <f t="shared" si="402"/>
        <v>0</v>
      </c>
      <c r="CK298" s="254"/>
      <c r="CL298" s="256"/>
      <c r="CM298" s="256"/>
      <c r="CN298" s="256"/>
      <c r="CO298" s="254"/>
      <c r="CP298" s="256"/>
      <c r="CQ298" s="256"/>
      <c r="CR298" s="256"/>
      <c r="CS298" s="254">
        <f t="shared" si="403"/>
        <v>0</v>
      </c>
      <c r="CT298" s="255">
        <f t="shared" si="404"/>
        <v>0</v>
      </c>
      <c r="CU298" s="254"/>
      <c r="CV298" s="256"/>
      <c r="CW298" s="256"/>
      <c r="CX298" s="256"/>
      <c r="CY298" s="254"/>
      <c r="CZ298" s="256"/>
      <c r="DA298" s="256"/>
      <c r="DB298" s="256"/>
      <c r="DC298" s="254">
        <f t="shared" si="405"/>
        <v>0</v>
      </c>
      <c r="DD298" s="255">
        <f t="shared" si="406"/>
        <v>0</v>
      </c>
      <c r="DE298" s="254"/>
      <c r="DF298" s="256"/>
      <c r="DG298" s="256"/>
      <c r="DH298" s="256"/>
      <c r="DI298" s="254"/>
      <c r="DJ298" s="256"/>
      <c r="DK298" s="256"/>
      <c r="DL298" s="256"/>
      <c r="DM298" s="254">
        <f t="shared" si="407"/>
        <v>0</v>
      </c>
      <c r="DN298" s="255">
        <f t="shared" si="408"/>
        <v>0</v>
      </c>
      <c r="DO298" s="254"/>
      <c r="DP298" s="256"/>
      <c r="DQ298" s="256"/>
      <c r="DR298" s="256"/>
      <c r="DS298" s="254"/>
      <c r="DT298" s="256"/>
      <c r="DU298" s="256"/>
      <c r="DV298" s="256"/>
      <c r="DW298" s="254">
        <f t="shared" si="409"/>
        <v>0</v>
      </c>
      <c r="DX298" s="255">
        <f t="shared" si="410"/>
        <v>0</v>
      </c>
      <c r="DY298" s="254"/>
      <c r="DZ298" s="256"/>
      <c r="EA298" s="256"/>
      <c r="EB298" s="256"/>
      <c r="EC298" s="254"/>
      <c r="ED298" s="256"/>
      <c r="EE298" s="256"/>
      <c r="EF298" s="256"/>
      <c r="EG298" s="254">
        <f t="shared" si="411"/>
        <v>0</v>
      </c>
      <c r="EH298" s="255">
        <f t="shared" si="412"/>
        <v>0</v>
      </c>
      <c r="EI298" s="254"/>
      <c r="EJ298" s="256"/>
      <c r="EK298" s="256"/>
      <c r="EL298" s="256"/>
      <c r="EM298" s="254"/>
      <c r="EN298" s="256"/>
      <c r="EO298" s="256"/>
      <c r="EP298" s="256"/>
      <c r="EQ298" s="388"/>
      <c r="ER298" s="256">
        <f>SUM(ET298:EX298)</f>
        <v>0</v>
      </c>
      <c r="ES298" s="256">
        <f>IFERROR(SUMIFS(Daily_Vol_yesterday[Order Quantity],Daily_Vol_yesterday[Cust_Cat.cust_channel],master_Daily!X298,Daily_Vol_yesterday[Map_Product.TME_Brand],"CMHD")/50000,0)</f>
        <v>0</v>
      </c>
      <c r="ET298" s="256"/>
      <c r="EU298" s="256"/>
      <c r="EV298" s="255"/>
      <c r="EW298" s="256"/>
      <c r="EX298" s="256"/>
      <c r="EY298" s="256"/>
      <c r="EZ298" s="256">
        <f>SUM(FA298:FC298)</f>
        <v>0</v>
      </c>
      <c r="FA298" s="256">
        <f>IFERROR(SUM(SUMIFS(Weekly_Vol[Quantity],Weekly_Vol[Cust_Cat.cust_channel],master_Daily!X298,Weekly_Vol[Map_Product.TME_Brand],"CMHD"),SUMIFS(Daily_Vol[Order Quantity],Daily_Vol[Cust_Cat.cust_channel],master_Daily!X298,Daily_Vol[Map_Product.TME_Brand],"CMHD"))/50000,0)</f>
        <v>0</v>
      </c>
      <c r="FB298" s="256"/>
      <c r="FC298" s="256"/>
      <c r="FD298" s="256"/>
      <c r="FE298" s="256"/>
      <c r="FF298" s="256"/>
      <c r="FG298" s="256"/>
      <c r="FH298" s="256">
        <f ca="1">SUM(FI298:FK298)</f>
        <v>0</v>
      </c>
      <c r="FI298" s="256">
        <f t="shared" ca="1" si="413"/>
        <v>0</v>
      </c>
      <c r="FJ298" s="256">
        <f t="shared" ca="1" si="413"/>
        <v>0</v>
      </c>
      <c r="FK298" s="256">
        <f t="shared" ca="1" si="413"/>
        <v>0</v>
      </c>
      <c r="FL298" s="256">
        <f ca="1">SUMIFS($AA298:$EP298,$AA$129:$EP$129,INDIRECT(ADDRESS(129,COLUMN())))</f>
        <v>0</v>
      </c>
      <c r="FM298" s="255">
        <f t="shared" si="416"/>
        <v>0</v>
      </c>
      <c r="FN298" s="255">
        <f t="shared" si="416"/>
        <v>0</v>
      </c>
      <c r="FO298" s="255">
        <f t="shared" si="416"/>
        <v>0</v>
      </c>
      <c r="FP298" s="257">
        <f t="shared" ca="1" si="414"/>
        <v>0</v>
      </c>
      <c r="FQ298" s="258">
        <f t="shared" si="323"/>
        <v>0</v>
      </c>
      <c r="FR298" s="256">
        <f>SUMIFS(TME_MTD_Dist[Sell_WHS_QTY],TME_MTD_Dist[Dist_Name],master_Daily!$X298,TME_MTD_Dist[Brand],master_Daily!$Y298)/50000
 + SUMIFS(TME_MTD_Dist[Sell_RTL_QTY],TME_MTD_Dist[Dist_Name],master_Daily!$X298,TME_MTD_Dist[Brand],master_Daily!$Y298)/50000</f>
        <v>0</v>
      </c>
      <c r="FS298" s="258">
        <f t="shared" si="358"/>
        <v>0</v>
      </c>
    </row>
    <row r="299" spans="20:175" s="154" customFormat="1" hidden="1" collapsed="1">
      <c r="T299" s="155"/>
      <c r="U299" s="156"/>
      <c r="X299" s="259" t="s">
        <v>314</v>
      </c>
      <c r="Y299" s="260"/>
      <c r="Z299" s="260"/>
      <c r="AA299" s="261">
        <f t="shared" si="389"/>
        <v>0</v>
      </c>
      <c r="AB299" s="261">
        <f t="shared" si="390"/>
        <v>0</v>
      </c>
      <c r="AC299" s="261">
        <v>0</v>
      </c>
      <c r="AD299" s="261">
        <v>0</v>
      </c>
      <c r="AE299" s="261">
        <v>0</v>
      </c>
      <c r="AF299" s="261">
        <v>0</v>
      </c>
      <c r="AG299" s="261">
        <v>0</v>
      </c>
      <c r="AH299" s="261">
        <v>0</v>
      </c>
      <c r="AI299" s="261">
        <v>0</v>
      </c>
      <c r="AJ299" s="261">
        <v>0</v>
      </c>
      <c r="AK299" s="261">
        <f t="shared" si="391"/>
        <v>0</v>
      </c>
      <c r="AL299" s="261">
        <f t="shared" si="392"/>
        <v>0</v>
      </c>
      <c r="AM299" s="261">
        <v>0</v>
      </c>
      <c r="AN299" s="261">
        <v>0</v>
      </c>
      <c r="AO299" s="261">
        <v>0</v>
      </c>
      <c r="AP299" s="261">
        <v>0</v>
      </c>
      <c r="AQ299" s="261">
        <v>0</v>
      </c>
      <c r="AR299" s="261">
        <v>0</v>
      </c>
      <c r="AS299" s="261">
        <v>0</v>
      </c>
      <c r="AT299" s="261">
        <v>0</v>
      </c>
      <c r="AU299" s="261">
        <f t="shared" si="393"/>
        <v>0</v>
      </c>
      <c r="AV299" s="261">
        <f t="shared" si="394"/>
        <v>0</v>
      </c>
      <c r="AW299" s="261">
        <v>0</v>
      </c>
      <c r="AX299" s="261">
        <v>0</v>
      </c>
      <c r="AY299" s="261">
        <v>0</v>
      </c>
      <c r="AZ299" s="261">
        <v>0</v>
      </c>
      <c r="BA299" s="261">
        <v>0</v>
      </c>
      <c r="BB299" s="261">
        <v>0</v>
      </c>
      <c r="BC299" s="261">
        <v>0</v>
      </c>
      <c r="BD299" s="261">
        <v>0</v>
      </c>
      <c r="BE299" s="261">
        <f t="shared" si="395"/>
        <v>0</v>
      </c>
      <c r="BF299" s="261">
        <f t="shared" si="396"/>
        <v>0</v>
      </c>
      <c r="BG299" s="261">
        <v>0</v>
      </c>
      <c r="BH299" s="261">
        <v>0</v>
      </c>
      <c r="BI299" s="261">
        <v>0</v>
      </c>
      <c r="BJ299" s="261">
        <v>0</v>
      </c>
      <c r="BK299" s="261">
        <v>0</v>
      </c>
      <c r="BL299" s="261">
        <v>0</v>
      </c>
      <c r="BM299" s="261">
        <v>0</v>
      </c>
      <c r="BN299" s="261">
        <v>0</v>
      </c>
      <c r="BO299" s="261">
        <f t="shared" si="397"/>
        <v>0</v>
      </c>
      <c r="BP299" s="261">
        <f t="shared" si="398"/>
        <v>0</v>
      </c>
      <c r="BQ299" s="261">
        <v>0</v>
      </c>
      <c r="BR299" s="261">
        <v>0</v>
      </c>
      <c r="BS299" s="261">
        <v>0</v>
      </c>
      <c r="BT299" s="261">
        <v>0</v>
      </c>
      <c r="BU299" s="261">
        <v>0</v>
      </c>
      <c r="BV299" s="261">
        <v>0</v>
      </c>
      <c r="BW299" s="261">
        <v>0</v>
      </c>
      <c r="BX299" s="261">
        <v>0</v>
      </c>
      <c r="BY299" s="261">
        <f t="shared" si="399"/>
        <v>0</v>
      </c>
      <c r="BZ299" s="261">
        <f t="shared" si="400"/>
        <v>0</v>
      </c>
      <c r="CA299" s="261">
        <v>0</v>
      </c>
      <c r="CB299" s="261">
        <v>0</v>
      </c>
      <c r="CC299" s="261">
        <v>0</v>
      </c>
      <c r="CD299" s="261">
        <v>0</v>
      </c>
      <c r="CE299" s="261">
        <v>0</v>
      </c>
      <c r="CF299" s="261">
        <v>0</v>
      </c>
      <c r="CG299" s="261">
        <v>0</v>
      </c>
      <c r="CH299" s="261">
        <v>0</v>
      </c>
      <c r="CI299" s="261">
        <f t="shared" si="401"/>
        <v>0</v>
      </c>
      <c r="CJ299" s="261">
        <f t="shared" si="402"/>
        <v>0</v>
      </c>
      <c r="CK299" s="261"/>
      <c r="CL299" s="261"/>
      <c r="CM299" s="261"/>
      <c r="CN299" s="261"/>
      <c r="CO299" s="261"/>
      <c r="CP299" s="261">
        <v>0</v>
      </c>
      <c r="CQ299" s="261">
        <v>0</v>
      </c>
      <c r="CR299" s="261">
        <v>0</v>
      </c>
      <c r="CS299" s="261">
        <f t="shared" si="403"/>
        <v>0</v>
      </c>
      <c r="CT299" s="261">
        <f t="shared" si="404"/>
        <v>0</v>
      </c>
      <c r="CU299" s="261"/>
      <c r="CV299" s="261"/>
      <c r="CW299" s="261"/>
      <c r="CX299" s="261"/>
      <c r="CY299" s="261"/>
      <c r="CZ299" s="261">
        <v>0</v>
      </c>
      <c r="DA299" s="261">
        <v>0</v>
      </c>
      <c r="DB299" s="261">
        <v>0</v>
      </c>
      <c r="DC299" s="261">
        <f t="shared" si="405"/>
        <v>0</v>
      </c>
      <c r="DD299" s="261">
        <f t="shared" si="406"/>
        <v>0</v>
      </c>
      <c r="DE299" s="261"/>
      <c r="DF299" s="261"/>
      <c r="DG299" s="261"/>
      <c r="DH299" s="261"/>
      <c r="DI299" s="261"/>
      <c r="DJ299" s="261">
        <v>0</v>
      </c>
      <c r="DK299" s="261">
        <v>0</v>
      </c>
      <c r="DL299" s="261">
        <v>0</v>
      </c>
      <c r="DM299" s="261">
        <f t="shared" si="407"/>
        <v>0</v>
      </c>
      <c r="DN299" s="261">
        <f t="shared" si="408"/>
        <v>0</v>
      </c>
      <c r="DO299" s="261"/>
      <c r="DP299" s="261"/>
      <c r="DQ299" s="261"/>
      <c r="DR299" s="261"/>
      <c r="DS299" s="261"/>
      <c r="DT299" s="261">
        <v>0</v>
      </c>
      <c r="DU299" s="261">
        <v>0</v>
      </c>
      <c r="DV299" s="261">
        <v>0</v>
      </c>
      <c r="DW299" s="261">
        <f t="shared" si="409"/>
        <v>0</v>
      </c>
      <c r="DX299" s="261">
        <f t="shared" si="410"/>
        <v>0</v>
      </c>
      <c r="DY299" s="261"/>
      <c r="DZ299" s="261"/>
      <c r="EA299" s="261"/>
      <c r="EB299" s="261"/>
      <c r="EC299" s="261">
        <v>0</v>
      </c>
      <c r="ED299" s="261">
        <v>0</v>
      </c>
      <c r="EE299" s="261">
        <v>0</v>
      </c>
      <c r="EF299" s="261">
        <v>0</v>
      </c>
      <c r="EG299" s="261">
        <f t="shared" si="411"/>
        <v>0</v>
      </c>
      <c r="EH299" s="261">
        <f t="shared" si="412"/>
        <v>0</v>
      </c>
      <c r="EI299" s="261"/>
      <c r="EJ299" s="261"/>
      <c r="EK299" s="261"/>
      <c r="EL299" s="261"/>
      <c r="EM299" s="261">
        <v>0</v>
      </c>
      <c r="EN299" s="261">
        <v>0</v>
      </c>
      <c r="EO299" s="261">
        <v>0</v>
      </c>
      <c r="EP299" s="261">
        <v>0</v>
      </c>
      <c r="EQ299" s="262"/>
      <c r="ER299" s="261">
        <f>SUM(ER294:ER298)</f>
        <v>0</v>
      </c>
      <c r="ES299" s="261">
        <f>SUM(ES294:ES298)</f>
        <v>0</v>
      </c>
      <c r="ET299" s="261">
        <f>SUM(ET294:ET298)</f>
        <v>0</v>
      </c>
      <c r="EU299" s="261">
        <f>SUM(EU294:EU298)</f>
        <v>0</v>
      </c>
      <c r="EV299" s="261"/>
      <c r="EW299" s="261"/>
      <c r="EX299" s="261"/>
      <c r="EY299" s="261"/>
      <c r="EZ299" s="261">
        <f t="shared" ref="EZ299:FK299" si="417">SUM(EZ294:EZ298)</f>
        <v>0</v>
      </c>
      <c r="FA299" s="261">
        <f t="shared" si="417"/>
        <v>0</v>
      </c>
      <c r="FB299" s="261">
        <f t="shared" si="417"/>
        <v>0</v>
      </c>
      <c r="FC299" s="261">
        <f t="shared" si="417"/>
        <v>0</v>
      </c>
      <c r="FD299" s="261">
        <f t="shared" si="417"/>
        <v>0</v>
      </c>
      <c r="FE299" s="261">
        <f t="shared" si="417"/>
        <v>0</v>
      </c>
      <c r="FF299" s="261">
        <f t="shared" si="417"/>
        <v>0</v>
      </c>
      <c r="FG299" s="261">
        <f t="shared" si="417"/>
        <v>0</v>
      </c>
      <c r="FH299" s="261">
        <f t="shared" ca="1" si="417"/>
        <v>0</v>
      </c>
      <c r="FI299" s="261">
        <f t="shared" ca="1" si="417"/>
        <v>0</v>
      </c>
      <c r="FJ299" s="261">
        <f t="shared" ca="1" si="417"/>
        <v>0</v>
      </c>
      <c r="FK299" s="261">
        <f t="shared" ca="1" si="417"/>
        <v>0</v>
      </c>
      <c r="FL299" s="261">
        <f ca="1">SUM(FL294:FL297)</f>
        <v>0</v>
      </c>
      <c r="FM299" s="262">
        <f ca="1">SUM(FM294:FM298)</f>
        <v>0</v>
      </c>
      <c r="FN299" s="262">
        <f ca="1">SUM(FN294:FN298)</f>
        <v>0</v>
      </c>
      <c r="FO299" s="262">
        <f ca="1">SUM(FO294:FO298)</f>
        <v>0</v>
      </c>
      <c r="FP299" s="263">
        <f t="shared" ca="1" si="414"/>
        <v>0</v>
      </c>
      <c r="FQ299" s="264">
        <f t="shared" si="323"/>
        <v>0</v>
      </c>
      <c r="FR299" s="261">
        <f>SUM(FR294:FR298)</f>
        <v>0</v>
      </c>
      <c r="FS299" s="264">
        <f t="shared" si="358"/>
        <v>0</v>
      </c>
    </row>
    <row r="300" spans="20:175" s="154" customFormat="1" hidden="1" outlineLevel="1">
      <c r="T300" s="155"/>
      <c r="U300" s="156"/>
      <c r="X300" s="169" t="s">
        <v>315</v>
      </c>
      <c r="Y300" s="157" t="s">
        <v>44</v>
      </c>
      <c r="Z300" s="157"/>
      <c r="AA300" s="158">
        <f t="shared" ref="AA300:AA311" si="418">SUM(AD300:AF300)</f>
        <v>0</v>
      </c>
      <c r="AB300" s="159">
        <f t="shared" ref="AB300:AB311" si="419">SUM(AH300:AJ300)</f>
        <v>0</v>
      </c>
      <c r="AC300" s="158">
        <v>0</v>
      </c>
      <c r="AD300" s="160">
        <v>0</v>
      </c>
      <c r="AE300" s="160"/>
      <c r="AF300" s="160"/>
      <c r="AG300" s="158"/>
      <c r="AH300" s="160"/>
      <c r="AI300" s="160"/>
      <c r="AJ300" s="160"/>
      <c r="AK300" s="158">
        <f t="shared" ref="AK300:AK311" si="420">SUM(AN300:AP300)</f>
        <v>0</v>
      </c>
      <c r="AL300" s="159">
        <f t="shared" ref="AL300:AL311" si="421">SUM(AR300:AT300)</f>
        <v>0</v>
      </c>
      <c r="AM300" s="158">
        <v>0</v>
      </c>
      <c r="AN300" s="160">
        <v>0</v>
      </c>
      <c r="AO300" s="160"/>
      <c r="AP300" s="160"/>
      <c r="AQ300" s="158"/>
      <c r="AR300" s="160"/>
      <c r="AS300" s="160"/>
      <c r="AT300" s="160"/>
      <c r="AU300" s="158">
        <f t="shared" ref="AU300:AU311" si="422">SUM(AX300:AZ300)</f>
        <v>0</v>
      </c>
      <c r="AV300" s="159">
        <f t="shared" ref="AV300:AV311" si="423">SUM(BB300:BD300)</f>
        <v>0</v>
      </c>
      <c r="AW300" s="158">
        <v>0</v>
      </c>
      <c r="AX300" s="160">
        <v>0</v>
      </c>
      <c r="AY300" s="160"/>
      <c r="AZ300" s="160"/>
      <c r="BA300" s="158"/>
      <c r="BB300" s="160"/>
      <c r="BC300" s="160"/>
      <c r="BD300" s="160"/>
      <c r="BE300" s="158">
        <f t="shared" ref="BE300:BE311" si="424">SUM(BH300:BJ300)</f>
        <v>0</v>
      </c>
      <c r="BF300" s="159">
        <f t="shared" ref="BF300:BF311" si="425">SUM(BL300:BN300)</f>
        <v>0</v>
      </c>
      <c r="BG300" s="158">
        <v>0</v>
      </c>
      <c r="BH300" s="160">
        <v>0</v>
      </c>
      <c r="BI300" s="160"/>
      <c r="BJ300" s="160"/>
      <c r="BK300" s="158"/>
      <c r="BL300" s="160"/>
      <c r="BM300" s="160"/>
      <c r="BN300" s="160"/>
      <c r="BO300" s="158">
        <f t="shared" ref="BO300:BO311" si="426">SUM(BR300:BT300)</f>
        <v>0</v>
      </c>
      <c r="BP300" s="159">
        <f t="shared" ref="BP300:BP311" si="427">SUM(BV300:BX300)</f>
        <v>0</v>
      </c>
      <c r="BQ300" s="158">
        <v>0</v>
      </c>
      <c r="BR300" s="160">
        <v>0</v>
      </c>
      <c r="BS300" s="160"/>
      <c r="BT300" s="160"/>
      <c r="BU300" s="158"/>
      <c r="BV300" s="160"/>
      <c r="BW300" s="160"/>
      <c r="BX300" s="160"/>
      <c r="BY300" s="158">
        <f t="shared" ref="BY300:BY311" si="428">SUM(CB300:CD300)</f>
        <v>0</v>
      </c>
      <c r="BZ300" s="159">
        <f t="shared" ref="BZ300:BZ311" si="429">SUM(CF300:CH300)</f>
        <v>0</v>
      </c>
      <c r="CA300" s="158">
        <v>0</v>
      </c>
      <c r="CB300" s="160">
        <v>0</v>
      </c>
      <c r="CC300" s="160"/>
      <c r="CD300" s="160"/>
      <c r="CE300" s="158"/>
      <c r="CF300" s="160"/>
      <c r="CG300" s="160"/>
      <c r="CH300" s="160"/>
      <c r="CI300" s="158">
        <f t="shared" ref="CI300:CI311" si="430">SUM(CL300:CN300)</f>
        <v>0</v>
      </c>
      <c r="CJ300" s="159">
        <f t="shared" ref="CJ300:CJ311" si="431">SUM(CP300:CR300)</f>
        <v>0</v>
      </c>
      <c r="CK300" s="158"/>
      <c r="CL300" s="160"/>
      <c r="CM300" s="160"/>
      <c r="CN300" s="160"/>
      <c r="CO300" s="158"/>
      <c r="CP300" s="160"/>
      <c r="CQ300" s="160"/>
      <c r="CR300" s="160"/>
      <c r="CS300" s="158">
        <f t="shared" ref="CS300:CS311" si="432">SUM(CV300:CX300)</f>
        <v>0</v>
      </c>
      <c r="CT300" s="159">
        <f t="shared" ref="CT300:CT311" si="433">SUM(CZ300:DB300)</f>
        <v>0</v>
      </c>
      <c r="CU300" s="158"/>
      <c r="CV300" s="160"/>
      <c r="CW300" s="160"/>
      <c r="CX300" s="160"/>
      <c r="CY300" s="158"/>
      <c r="CZ300" s="160"/>
      <c r="DA300" s="160"/>
      <c r="DB300" s="160"/>
      <c r="DC300" s="158">
        <v>0</v>
      </c>
      <c r="DD300" s="159">
        <f t="shared" ref="DD300:DD311" si="434">SUM(DJ300:DL300)</f>
        <v>0</v>
      </c>
      <c r="DE300" s="158"/>
      <c r="DF300" s="160"/>
      <c r="DG300" s="160"/>
      <c r="DH300" s="160"/>
      <c r="DI300" s="158"/>
      <c r="DJ300" s="160"/>
      <c r="DK300" s="160"/>
      <c r="DL300" s="160"/>
      <c r="DM300" s="158">
        <f t="shared" ref="DM300:DM311" si="435">SUM(DP300:DR300)</f>
        <v>0</v>
      </c>
      <c r="DN300" s="159">
        <f t="shared" ref="DN300:DN311" si="436">SUM(DT300:DV300)</f>
        <v>0</v>
      </c>
      <c r="DO300" s="158"/>
      <c r="DP300" s="160"/>
      <c r="DQ300" s="160"/>
      <c r="DR300" s="160"/>
      <c r="DS300" s="158"/>
      <c r="DT300" s="160"/>
      <c r="DU300" s="160"/>
      <c r="DV300" s="160"/>
      <c r="DW300" s="158">
        <f t="shared" ref="DW300:DW311" si="437">SUM(DZ300:EB300)</f>
        <v>0</v>
      </c>
      <c r="DX300" s="159">
        <f t="shared" ref="DX300:DX311" si="438">SUM(ED300:EF300)</f>
        <v>0</v>
      </c>
      <c r="DY300" s="158"/>
      <c r="DZ300" s="160"/>
      <c r="EA300" s="160"/>
      <c r="EB300" s="160"/>
      <c r="EC300" s="158"/>
      <c r="ED300" s="160"/>
      <c r="EE300" s="160"/>
      <c r="EF300" s="160"/>
      <c r="EG300" s="158">
        <f t="shared" ref="EG300:EG311" si="439">SUM(EJ300:EL300)</f>
        <v>0</v>
      </c>
      <c r="EH300" s="159">
        <f t="shared" ref="EH300:EH311" si="440">SUM(EN300:EP300)</f>
        <v>0</v>
      </c>
      <c r="EI300" s="158"/>
      <c r="EJ300" s="160"/>
      <c r="EK300" s="160"/>
      <c r="EL300" s="160"/>
      <c r="EM300" s="158"/>
      <c r="EN300" s="160"/>
      <c r="EO300" s="160"/>
      <c r="EP300" s="160"/>
      <c r="EQ300" s="384"/>
      <c r="ER300" s="160">
        <f>SUM(ET300:EX300)</f>
        <v>0</v>
      </c>
      <c r="ES300" s="160">
        <f>IFERROR(SUMIFS(Daily_Vol_yesterday[Order Quantity],Daily_Vol_yesterday[Cust_Cat.cust_channel],master_Daily!X300,Daily_Vol_yesterday[Map_Product.TME_Brand],master_Daily!Y300)/50000,0)</f>
        <v>0</v>
      </c>
      <c r="ET300" s="160"/>
      <c r="EU300" s="160"/>
      <c r="EV300" s="159"/>
      <c r="EW300" s="160"/>
      <c r="EX300" s="160"/>
      <c r="EY300" s="160"/>
      <c r="EZ300" s="160">
        <f>SUM(FA300:FC300)</f>
        <v>0</v>
      </c>
      <c r="FA300" s="160">
        <f>IFERROR(SUM(SUMIFS(Weekly_Vol[Quantity],Weekly_Vol[Cust_Cat.cust_channel],master_Daily!X300,Weekly_Vol[Map_Product.TME_Brand],master_Daily!Y300),SUMIFS(Daily_Vol[Order Quantity],Daily_Vol[Cust_Cat.cust_channel],master_Daily!X300,Daily_Vol[Map_Product.TME_Brand],master_Daily!Y300))/50000,0)</f>
        <v>0</v>
      </c>
      <c r="FB300" s="160"/>
      <c r="FC300" s="160"/>
      <c r="FD300" s="160"/>
      <c r="FE300" s="160"/>
      <c r="FF300" s="160"/>
      <c r="FG300" s="160"/>
      <c r="FH300" s="160">
        <f ca="1">SUM(FI300:FK300)</f>
        <v>0</v>
      </c>
      <c r="FI300" s="160">
        <f t="shared" ref="FI300:FK304" ca="1" si="441">SUMIFS($AA300:$EP300,$AA$129:$EP$129,INDIRECT(ADDRESS(129,COLUMN())))</f>
        <v>0</v>
      </c>
      <c r="FJ300" s="160">
        <f t="shared" ca="1" si="441"/>
        <v>0</v>
      </c>
      <c r="FK300" s="160">
        <f t="shared" ca="1" si="441"/>
        <v>0</v>
      </c>
      <c r="FL300" s="160">
        <f ca="1">SUMIFS($AA300:$EP300,$AA$129:$EP$129,INDIRECT(ADDRESS(38,COLUMN())))</f>
        <v>0</v>
      </c>
      <c r="FM300" s="160">
        <f ca="1">SUMIFS($AA300:$EP300,$AA$129:$EP$129,INDIRECT(ADDRESS(38,COLUMN())))</f>
        <v>0</v>
      </c>
      <c r="FN300" s="160">
        <f ca="1">SUMIFS($AA300:$EP300,$AA$129:$EP$129,INDIRECT(ADDRESS(38,COLUMN())))</f>
        <v>0</v>
      </c>
      <c r="FO300" s="160">
        <f ca="1">SUMIFS($AA300:$EP300,$AA$129:$EP$129,INDIRECT(ADDRESS(38,COLUMN())))</f>
        <v>0</v>
      </c>
      <c r="FP300" s="161">
        <f t="shared" ref="FP300:FP305" ca="1" si="442">IFERROR(FH300/$FH$305,0)</f>
        <v>0</v>
      </c>
      <c r="FQ300" s="162">
        <f t="shared" si="323"/>
        <v>0</v>
      </c>
      <c r="FR300" s="160">
        <f>SUMIFS(TME_MTD_Dist[Sell_WHS_QTY],TME_MTD_Dist[Dist_Name],master_Daily!$X300,TME_MTD_Dist[Brand],master_Daily!$Y300)/50000
 + SUMIFS(TME_MTD_Dist[Sell_RTL_QTY],TME_MTD_Dist[Dist_Name],master_Daily!$X300,TME_MTD_Dist[Brand],master_Daily!$Y300)/50000</f>
        <v>0</v>
      </c>
      <c r="FS300" s="162">
        <f t="shared" si="358"/>
        <v>0</v>
      </c>
    </row>
    <row r="301" spans="20:175" s="154" customFormat="1" hidden="1" outlineLevel="1">
      <c r="T301" s="155"/>
      <c r="U301" s="156"/>
      <c r="X301" s="169" t="s">
        <v>315</v>
      </c>
      <c r="Y301" s="157" t="s">
        <v>45</v>
      </c>
      <c r="Z301" s="157"/>
      <c r="AA301" s="158">
        <f t="shared" si="418"/>
        <v>0</v>
      </c>
      <c r="AB301" s="159">
        <f t="shared" si="419"/>
        <v>0</v>
      </c>
      <c r="AC301" s="158">
        <v>0</v>
      </c>
      <c r="AD301" s="160">
        <v>0</v>
      </c>
      <c r="AE301" s="160"/>
      <c r="AF301" s="160"/>
      <c r="AG301" s="158"/>
      <c r="AH301" s="160"/>
      <c r="AI301" s="160"/>
      <c r="AJ301" s="160"/>
      <c r="AK301" s="158">
        <f t="shared" si="420"/>
        <v>0</v>
      </c>
      <c r="AL301" s="159">
        <f t="shared" si="421"/>
        <v>0</v>
      </c>
      <c r="AM301" s="158">
        <v>0</v>
      </c>
      <c r="AN301" s="160">
        <v>0</v>
      </c>
      <c r="AO301" s="160"/>
      <c r="AP301" s="160"/>
      <c r="AQ301" s="158"/>
      <c r="AR301" s="160"/>
      <c r="AS301" s="160"/>
      <c r="AT301" s="160"/>
      <c r="AU301" s="158">
        <f t="shared" si="422"/>
        <v>0</v>
      </c>
      <c r="AV301" s="159">
        <f t="shared" si="423"/>
        <v>0</v>
      </c>
      <c r="AW301" s="158">
        <v>0</v>
      </c>
      <c r="AX301" s="160">
        <v>0</v>
      </c>
      <c r="AY301" s="160"/>
      <c r="AZ301" s="160"/>
      <c r="BA301" s="158"/>
      <c r="BB301" s="160"/>
      <c r="BC301" s="160"/>
      <c r="BD301" s="160"/>
      <c r="BE301" s="158">
        <f t="shared" si="424"/>
        <v>0</v>
      </c>
      <c r="BF301" s="159">
        <f t="shared" si="425"/>
        <v>0</v>
      </c>
      <c r="BG301" s="158">
        <v>0</v>
      </c>
      <c r="BH301" s="160">
        <v>0</v>
      </c>
      <c r="BI301" s="160"/>
      <c r="BJ301" s="160"/>
      <c r="BK301" s="158"/>
      <c r="BL301" s="160"/>
      <c r="BM301" s="160"/>
      <c r="BN301" s="160"/>
      <c r="BO301" s="158">
        <f t="shared" si="426"/>
        <v>0</v>
      </c>
      <c r="BP301" s="159">
        <f t="shared" si="427"/>
        <v>0</v>
      </c>
      <c r="BQ301" s="158">
        <v>0</v>
      </c>
      <c r="BR301" s="160">
        <v>0</v>
      </c>
      <c r="BS301" s="160"/>
      <c r="BT301" s="160"/>
      <c r="BU301" s="158"/>
      <c r="BV301" s="160"/>
      <c r="BW301" s="160"/>
      <c r="BX301" s="160"/>
      <c r="BY301" s="158">
        <f t="shared" si="428"/>
        <v>0</v>
      </c>
      <c r="BZ301" s="159">
        <f t="shared" si="429"/>
        <v>0</v>
      </c>
      <c r="CA301" s="158">
        <v>0</v>
      </c>
      <c r="CB301" s="160">
        <v>0</v>
      </c>
      <c r="CC301" s="160"/>
      <c r="CD301" s="160"/>
      <c r="CE301" s="158"/>
      <c r="CF301" s="160"/>
      <c r="CG301" s="160"/>
      <c r="CH301" s="160"/>
      <c r="CI301" s="158">
        <f t="shared" si="430"/>
        <v>0</v>
      </c>
      <c r="CJ301" s="159">
        <f t="shared" si="431"/>
        <v>0</v>
      </c>
      <c r="CK301" s="158"/>
      <c r="CL301" s="160"/>
      <c r="CM301" s="160"/>
      <c r="CN301" s="160"/>
      <c r="CO301" s="158"/>
      <c r="CP301" s="160"/>
      <c r="CQ301" s="160"/>
      <c r="CR301" s="160"/>
      <c r="CS301" s="158">
        <f t="shared" si="432"/>
        <v>0</v>
      </c>
      <c r="CT301" s="159">
        <f t="shared" si="433"/>
        <v>0</v>
      </c>
      <c r="CU301" s="158"/>
      <c r="CV301" s="160"/>
      <c r="CW301" s="160"/>
      <c r="CX301" s="160"/>
      <c r="CY301" s="158"/>
      <c r="CZ301" s="160"/>
      <c r="DA301" s="160"/>
      <c r="DB301" s="160"/>
      <c r="DC301" s="158">
        <f t="shared" ref="DC301:DC311" si="443">SUM(DF301:DH301)</f>
        <v>0</v>
      </c>
      <c r="DD301" s="159">
        <f t="shared" si="434"/>
        <v>0</v>
      </c>
      <c r="DE301" s="158"/>
      <c r="DF301" s="160"/>
      <c r="DG301" s="160"/>
      <c r="DH301" s="160"/>
      <c r="DI301" s="158"/>
      <c r="DJ301" s="160"/>
      <c r="DK301" s="160"/>
      <c r="DL301" s="160"/>
      <c r="DM301" s="158">
        <f t="shared" si="435"/>
        <v>0</v>
      </c>
      <c r="DN301" s="159">
        <f t="shared" si="436"/>
        <v>0</v>
      </c>
      <c r="DO301" s="158"/>
      <c r="DP301" s="160"/>
      <c r="DQ301" s="160"/>
      <c r="DR301" s="160"/>
      <c r="DS301" s="158"/>
      <c r="DT301" s="160"/>
      <c r="DU301" s="160"/>
      <c r="DV301" s="160"/>
      <c r="DW301" s="158">
        <f t="shared" si="437"/>
        <v>0</v>
      </c>
      <c r="DX301" s="159">
        <f t="shared" si="438"/>
        <v>0</v>
      </c>
      <c r="DY301" s="158"/>
      <c r="DZ301" s="160"/>
      <c r="EA301" s="160"/>
      <c r="EB301" s="160"/>
      <c r="EC301" s="158"/>
      <c r="ED301" s="160"/>
      <c r="EE301" s="160"/>
      <c r="EF301" s="160"/>
      <c r="EG301" s="158">
        <f t="shared" si="439"/>
        <v>0</v>
      </c>
      <c r="EH301" s="159">
        <f t="shared" si="440"/>
        <v>0</v>
      </c>
      <c r="EI301" s="158"/>
      <c r="EJ301" s="160"/>
      <c r="EK301" s="160"/>
      <c r="EL301" s="160"/>
      <c r="EM301" s="158"/>
      <c r="EN301" s="160"/>
      <c r="EO301" s="160"/>
      <c r="EP301" s="160"/>
      <c r="EQ301" s="384"/>
      <c r="ER301" s="160">
        <f>SUM(ET301:EX301)</f>
        <v>0</v>
      </c>
      <c r="ES301" s="160">
        <f>IFERROR(SUMIFS(Daily_Vol_yesterday[Order Quantity],Daily_Vol_yesterday[Cust_Cat.cust_channel],master_Daily!X301,Daily_Vol_yesterday[Map_Product.TME_Brand],master_Daily!Y301)/50000,0)</f>
        <v>0</v>
      </c>
      <c r="ET301" s="160"/>
      <c r="EU301" s="160"/>
      <c r="EV301" s="159"/>
      <c r="EW301" s="160"/>
      <c r="EX301" s="160"/>
      <c r="EY301" s="160"/>
      <c r="EZ301" s="160">
        <f>SUM(FA301:FC301)</f>
        <v>0</v>
      </c>
      <c r="FA301" s="160">
        <f>IFERROR(SUM(SUMIFS(Weekly_Vol[Quantity],Weekly_Vol[Cust_Cat.cust_channel],master_Daily!X301,Weekly_Vol[Map_Product.TME_Brand],master_Daily!Y301),SUMIFS(Daily_Vol[Order Quantity],Daily_Vol[Cust_Cat.cust_channel],master_Daily!X301,Daily_Vol[Map_Product.TME_Brand],master_Daily!Y301))/50000,0)</f>
        <v>0</v>
      </c>
      <c r="FB301" s="160"/>
      <c r="FC301" s="160"/>
      <c r="FD301" s="160"/>
      <c r="FE301" s="160"/>
      <c r="FF301" s="160"/>
      <c r="FG301" s="160"/>
      <c r="FH301" s="160">
        <f ca="1">SUM(FI301:FK301)</f>
        <v>0</v>
      </c>
      <c r="FI301" s="160">
        <f t="shared" ca="1" si="441"/>
        <v>0</v>
      </c>
      <c r="FJ301" s="160">
        <f t="shared" ca="1" si="441"/>
        <v>0</v>
      </c>
      <c r="FK301" s="160">
        <f t="shared" ca="1" si="441"/>
        <v>0</v>
      </c>
      <c r="FL301" s="160">
        <f t="shared" ref="FL301:FO302" ca="1" si="444">SUMIFS($AA301:$EP301,$AA$129:$EP$129,INDIRECT(ADDRESS(129,COLUMN())))</f>
        <v>0</v>
      </c>
      <c r="FM301" s="159">
        <f t="shared" ca="1" si="444"/>
        <v>0</v>
      </c>
      <c r="FN301" s="159">
        <f t="shared" ca="1" si="444"/>
        <v>0</v>
      </c>
      <c r="FO301" s="159">
        <f t="shared" ca="1" si="444"/>
        <v>0</v>
      </c>
      <c r="FP301" s="161">
        <f t="shared" ca="1" si="442"/>
        <v>0</v>
      </c>
      <c r="FQ301" s="162">
        <f t="shared" si="323"/>
        <v>0</v>
      </c>
      <c r="FR301" s="160">
        <f>SUMIFS(TME_MTD_Dist[Sell_WHS_QTY],TME_MTD_Dist[Dist_Name],master_Daily!$X301,TME_MTD_Dist[Brand],master_Daily!$Y301)/50000
 + SUMIFS(TME_MTD_Dist[Sell_RTL_QTY],TME_MTD_Dist[Dist_Name],master_Daily!$X301,TME_MTD_Dist[Brand],master_Daily!$Y301)/50000</f>
        <v>0</v>
      </c>
      <c r="FS301" s="162">
        <f t="shared" si="358"/>
        <v>0</v>
      </c>
    </row>
    <row r="302" spans="20:175" s="154" customFormat="1" hidden="1" outlineLevel="1">
      <c r="T302" s="155"/>
      <c r="U302" s="156"/>
      <c r="X302" s="169" t="s">
        <v>315</v>
      </c>
      <c r="Y302" s="157" t="s">
        <v>46</v>
      </c>
      <c r="Z302" s="157"/>
      <c r="AA302" s="158">
        <f t="shared" si="418"/>
        <v>0</v>
      </c>
      <c r="AB302" s="159">
        <f t="shared" si="419"/>
        <v>0</v>
      </c>
      <c r="AC302" s="158">
        <v>0</v>
      </c>
      <c r="AD302" s="160">
        <v>0</v>
      </c>
      <c r="AE302" s="160"/>
      <c r="AF302" s="160"/>
      <c r="AG302" s="158"/>
      <c r="AH302" s="160"/>
      <c r="AI302" s="160"/>
      <c r="AJ302" s="160"/>
      <c r="AK302" s="158">
        <f t="shared" si="420"/>
        <v>0</v>
      </c>
      <c r="AL302" s="159">
        <f t="shared" si="421"/>
        <v>0</v>
      </c>
      <c r="AM302" s="158">
        <v>0</v>
      </c>
      <c r="AN302" s="160">
        <v>0</v>
      </c>
      <c r="AO302" s="160"/>
      <c r="AP302" s="160"/>
      <c r="AQ302" s="158"/>
      <c r="AR302" s="160"/>
      <c r="AS302" s="160"/>
      <c r="AT302" s="160"/>
      <c r="AU302" s="158">
        <f t="shared" si="422"/>
        <v>0</v>
      </c>
      <c r="AV302" s="159">
        <f t="shared" si="423"/>
        <v>0</v>
      </c>
      <c r="AW302" s="158">
        <v>0</v>
      </c>
      <c r="AX302" s="160">
        <v>0</v>
      </c>
      <c r="AY302" s="160"/>
      <c r="AZ302" s="160"/>
      <c r="BA302" s="158"/>
      <c r="BB302" s="160"/>
      <c r="BC302" s="160"/>
      <c r="BD302" s="160"/>
      <c r="BE302" s="158">
        <f t="shared" si="424"/>
        <v>0</v>
      </c>
      <c r="BF302" s="159">
        <f t="shared" si="425"/>
        <v>0</v>
      </c>
      <c r="BG302" s="158">
        <v>0</v>
      </c>
      <c r="BH302" s="160">
        <v>0</v>
      </c>
      <c r="BI302" s="160"/>
      <c r="BJ302" s="160"/>
      <c r="BK302" s="158"/>
      <c r="BL302" s="160"/>
      <c r="BM302" s="160"/>
      <c r="BN302" s="160"/>
      <c r="BO302" s="158">
        <f t="shared" si="426"/>
        <v>0</v>
      </c>
      <c r="BP302" s="159">
        <f t="shared" si="427"/>
        <v>0</v>
      </c>
      <c r="BQ302" s="158">
        <v>0</v>
      </c>
      <c r="BR302" s="160">
        <v>0</v>
      </c>
      <c r="BS302" s="160"/>
      <c r="BT302" s="160"/>
      <c r="BU302" s="158"/>
      <c r="BV302" s="160"/>
      <c r="BW302" s="160"/>
      <c r="BX302" s="160"/>
      <c r="BY302" s="158">
        <f t="shared" si="428"/>
        <v>0</v>
      </c>
      <c r="BZ302" s="159">
        <f t="shared" si="429"/>
        <v>0</v>
      </c>
      <c r="CA302" s="158">
        <v>0</v>
      </c>
      <c r="CB302" s="160">
        <v>0</v>
      </c>
      <c r="CC302" s="160"/>
      <c r="CD302" s="160"/>
      <c r="CE302" s="158"/>
      <c r="CF302" s="160"/>
      <c r="CG302" s="160"/>
      <c r="CH302" s="160"/>
      <c r="CI302" s="158">
        <f t="shared" si="430"/>
        <v>0</v>
      </c>
      <c r="CJ302" s="159">
        <f t="shared" si="431"/>
        <v>0</v>
      </c>
      <c r="CK302" s="158"/>
      <c r="CL302" s="160"/>
      <c r="CM302" s="160"/>
      <c r="CN302" s="160"/>
      <c r="CO302" s="158"/>
      <c r="CP302" s="160"/>
      <c r="CQ302" s="160"/>
      <c r="CR302" s="160"/>
      <c r="CS302" s="158">
        <f t="shared" si="432"/>
        <v>0</v>
      </c>
      <c r="CT302" s="159">
        <f t="shared" si="433"/>
        <v>0</v>
      </c>
      <c r="CU302" s="158"/>
      <c r="CV302" s="160"/>
      <c r="CW302" s="160"/>
      <c r="CX302" s="160"/>
      <c r="CY302" s="158"/>
      <c r="CZ302" s="160"/>
      <c r="DA302" s="160"/>
      <c r="DB302" s="160"/>
      <c r="DC302" s="158">
        <f t="shared" si="443"/>
        <v>0</v>
      </c>
      <c r="DD302" s="159">
        <f t="shared" si="434"/>
        <v>0</v>
      </c>
      <c r="DE302" s="158"/>
      <c r="DF302" s="160"/>
      <c r="DG302" s="160"/>
      <c r="DH302" s="160"/>
      <c r="DI302" s="158"/>
      <c r="DJ302" s="160"/>
      <c r="DK302" s="160"/>
      <c r="DL302" s="160"/>
      <c r="DM302" s="158">
        <f t="shared" si="435"/>
        <v>0</v>
      </c>
      <c r="DN302" s="159">
        <f t="shared" si="436"/>
        <v>0</v>
      </c>
      <c r="DO302" s="158"/>
      <c r="DP302" s="160"/>
      <c r="DQ302" s="160"/>
      <c r="DR302" s="160"/>
      <c r="DS302" s="158"/>
      <c r="DT302" s="160"/>
      <c r="DU302" s="160"/>
      <c r="DV302" s="160"/>
      <c r="DW302" s="158">
        <f t="shared" si="437"/>
        <v>0</v>
      </c>
      <c r="DX302" s="159">
        <f t="shared" si="438"/>
        <v>0</v>
      </c>
      <c r="DY302" s="158"/>
      <c r="DZ302" s="160"/>
      <c r="EA302" s="160"/>
      <c r="EB302" s="160"/>
      <c r="EC302" s="158"/>
      <c r="ED302" s="160"/>
      <c r="EE302" s="160"/>
      <c r="EF302" s="160"/>
      <c r="EG302" s="158">
        <f t="shared" si="439"/>
        <v>0</v>
      </c>
      <c r="EH302" s="159">
        <f t="shared" si="440"/>
        <v>0</v>
      </c>
      <c r="EI302" s="158"/>
      <c r="EJ302" s="160"/>
      <c r="EK302" s="160"/>
      <c r="EL302" s="160"/>
      <c r="EM302" s="158"/>
      <c r="EN302" s="160"/>
      <c r="EO302" s="160"/>
      <c r="EP302" s="160"/>
      <c r="EQ302" s="384"/>
      <c r="ER302" s="160">
        <f>SUM(ET302:EX302)</f>
        <v>0</v>
      </c>
      <c r="ES302" s="160">
        <f>IFERROR(SUMIFS(Daily_Vol_yesterday[Order Quantity],Daily_Vol_yesterday[Cust_Cat.cust_channel],master_Daily!X302,Daily_Vol_yesterday[Map_Product.TME_Brand],master_Daily!Y302)/50000,0)</f>
        <v>0</v>
      </c>
      <c r="ET302" s="160"/>
      <c r="EU302" s="160"/>
      <c r="EV302" s="159"/>
      <c r="EW302" s="160"/>
      <c r="EX302" s="160"/>
      <c r="EY302" s="160"/>
      <c r="EZ302" s="160">
        <f>SUM(FA302:FC302)</f>
        <v>0</v>
      </c>
      <c r="FA302" s="160">
        <f>IFERROR(SUM(SUMIFS(Weekly_Vol[Quantity],Weekly_Vol[Cust_Cat.cust_channel],master_Daily!X302,Weekly_Vol[Map_Product.TME_Brand],master_Daily!Y302),SUMIFS(Daily_Vol[Order Quantity],Daily_Vol[Cust_Cat.cust_channel],master_Daily!X302,Daily_Vol[Map_Product.TME_Brand],master_Daily!Y302))/50000,0)</f>
        <v>0</v>
      </c>
      <c r="FB302" s="160"/>
      <c r="FC302" s="160"/>
      <c r="FD302" s="160"/>
      <c r="FE302" s="160"/>
      <c r="FF302" s="160"/>
      <c r="FG302" s="160"/>
      <c r="FH302" s="160">
        <f ca="1">SUM(FI302:FK302)</f>
        <v>0</v>
      </c>
      <c r="FI302" s="160">
        <f t="shared" ca="1" si="441"/>
        <v>0</v>
      </c>
      <c r="FJ302" s="160">
        <f t="shared" ca="1" si="441"/>
        <v>0</v>
      </c>
      <c r="FK302" s="160">
        <f t="shared" ca="1" si="441"/>
        <v>0</v>
      </c>
      <c r="FL302" s="160">
        <f t="shared" ca="1" si="444"/>
        <v>0</v>
      </c>
      <c r="FM302" s="159">
        <f t="shared" ca="1" si="444"/>
        <v>0</v>
      </c>
      <c r="FN302" s="159">
        <f t="shared" ca="1" si="444"/>
        <v>0</v>
      </c>
      <c r="FO302" s="159">
        <f t="shared" ca="1" si="444"/>
        <v>0</v>
      </c>
      <c r="FP302" s="161">
        <f t="shared" ca="1" si="442"/>
        <v>0</v>
      </c>
      <c r="FQ302" s="162">
        <f t="shared" si="323"/>
        <v>0</v>
      </c>
      <c r="FR302" s="160">
        <f>SUMIFS(TME_MTD_Dist[Sell_WHS_QTY],TME_MTD_Dist[Dist_Name],master_Daily!$X302,TME_MTD_Dist[Brand],master_Daily!$Y302)/50000
 + SUMIFS(TME_MTD_Dist[Sell_RTL_QTY],TME_MTD_Dist[Dist_Name],master_Daily!$X302,TME_MTD_Dist[Brand],master_Daily!$Y302)/50000</f>
        <v>0</v>
      </c>
      <c r="FS302" s="162">
        <f t="shared" si="358"/>
        <v>0</v>
      </c>
    </row>
    <row r="303" spans="20:175" s="154" customFormat="1" hidden="1" outlineLevel="1">
      <c r="T303" s="155"/>
      <c r="U303" s="156"/>
      <c r="X303" s="169" t="s">
        <v>315</v>
      </c>
      <c r="Y303" s="157" t="s">
        <v>263</v>
      </c>
      <c r="Z303" s="157"/>
      <c r="AA303" s="158">
        <f t="shared" si="418"/>
        <v>0</v>
      </c>
      <c r="AB303" s="159">
        <f t="shared" si="419"/>
        <v>0</v>
      </c>
      <c r="AC303" s="158">
        <v>0</v>
      </c>
      <c r="AD303" s="160">
        <v>0</v>
      </c>
      <c r="AE303" s="160"/>
      <c r="AF303" s="160"/>
      <c r="AG303" s="158"/>
      <c r="AH303" s="160"/>
      <c r="AI303" s="160"/>
      <c r="AJ303" s="160"/>
      <c r="AK303" s="158">
        <f t="shared" si="420"/>
        <v>0</v>
      </c>
      <c r="AL303" s="159">
        <f t="shared" si="421"/>
        <v>0</v>
      </c>
      <c r="AM303" s="158">
        <v>0</v>
      </c>
      <c r="AN303" s="160">
        <v>0</v>
      </c>
      <c r="AO303" s="160"/>
      <c r="AP303" s="160"/>
      <c r="AQ303" s="158"/>
      <c r="AR303" s="160"/>
      <c r="AS303" s="160"/>
      <c r="AT303" s="160"/>
      <c r="AU303" s="158">
        <f t="shared" si="422"/>
        <v>0</v>
      </c>
      <c r="AV303" s="159">
        <f t="shared" si="423"/>
        <v>0</v>
      </c>
      <c r="AW303" s="158">
        <v>0</v>
      </c>
      <c r="AX303" s="160">
        <v>0</v>
      </c>
      <c r="AY303" s="160"/>
      <c r="AZ303" s="160"/>
      <c r="BA303" s="158"/>
      <c r="BB303" s="160"/>
      <c r="BC303" s="160"/>
      <c r="BD303" s="160"/>
      <c r="BE303" s="158">
        <f t="shared" si="424"/>
        <v>0</v>
      </c>
      <c r="BF303" s="159">
        <f t="shared" si="425"/>
        <v>0</v>
      </c>
      <c r="BG303" s="158">
        <v>0</v>
      </c>
      <c r="BH303" s="160">
        <v>0</v>
      </c>
      <c r="BI303" s="160"/>
      <c r="BJ303" s="160"/>
      <c r="BK303" s="158"/>
      <c r="BL303" s="160"/>
      <c r="BM303" s="160"/>
      <c r="BN303" s="160"/>
      <c r="BO303" s="158">
        <f t="shared" si="426"/>
        <v>0</v>
      </c>
      <c r="BP303" s="159">
        <f t="shared" si="427"/>
        <v>0</v>
      </c>
      <c r="BQ303" s="158">
        <v>0</v>
      </c>
      <c r="BR303" s="160">
        <v>0</v>
      </c>
      <c r="BS303" s="160"/>
      <c r="BT303" s="160"/>
      <c r="BU303" s="158"/>
      <c r="BV303" s="160"/>
      <c r="BW303" s="160"/>
      <c r="BX303" s="160"/>
      <c r="BY303" s="158">
        <f t="shared" si="428"/>
        <v>0</v>
      </c>
      <c r="BZ303" s="159">
        <f t="shared" si="429"/>
        <v>0</v>
      </c>
      <c r="CA303" s="158">
        <v>0</v>
      </c>
      <c r="CB303" s="160">
        <v>0</v>
      </c>
      <c r="CC303" s="160"/>
      <c r="CD303" s="160"/>
      <c r="CE303" s="158"/>
      <c r="CF303" s="160"/>
      <c r="CG303" s="160"/>
      <c r="CH303" s="160"/>
      <c r="CI303" s="158">
        <f t="shared" si="430"/>
        <v>0</v>
      </c>
      <c r="CJ303" s="159">
        <f t="shared" si="431"/>
        <v>0</v>
      </c>
      <c r="CK303" s="158"/>
      <c r="CL303" s="160"/>
      <c r="CM303" s="160"/>
      <c r="CN303" s="160"/>
      <c r="CO303" s="158"/>
      <c r="CP303" s="160"/>
      <c r="CQ303" s="160"/>
      <c r="CR303" s="160"/>
      <c r="CS303" s="158">
        <f t="shared" si="432"/>
        <v>0</v>
      </c>
      <c r="CT303" s="159">
        <f t="shared" si="433"/>
        <v>0</v>
      </c>
      <c r="CU303" s="158"/>
      <c r="CV303" s="160"/>
      <c r="CW303" s="160"/>
      <c r="CX303" s="160"/>
      <c r="CY303" s="158"/>
      <c r="CZ303" s="160"/>
      <c r="DA303" s="160"/>
      <c r="DB303" s="160"/>
      <c r="DC303" s="158">
        <f t="shared" si="443"/>
        <v>0</v>
      </c>
      <c r="DD303" s="159">
        <f t="shared" si="434"/>
        <v>0</v>
      </c>
      <c r="DE303" s="158"/>
      <c r="DF303" s="160"/>
      <c r="DG303" s="160"/>
      <c r="DH303" s="160"/>
      <c r="DI303" s="158"/>
      <c r="DJ303" s="160"/>
      <c r="DK303" s="160"/>
      <c r="DL303" s="160"/>
      <c r="DM303" s="158">
        <f t="shared" si="435"/>
        <v>0</v>
      </c>
      <c r="DN303" s="159">
        <f t="shared" si="436"/>
        <v>0</v>
      </c>
      <c r="DO303" s="158"/>
      <c r="DP303" s="160"/>
      <c r="DQ303" s="160"/>
      <c r="DR303" s="160"/>
      <c r="DS303" s="158"/>
      <c r="DT303" s="160"/>
      <c r="DU303" s="160"/>
      <c r="DV303" s="160"/>
      <c r="DW303" s="158">
        <f t="shared" si="437"/>
        <v>0</v>
      </c>
      <c r="DX303" s="159">
        <f t="shared" si="438"/>
        <v>0</v>
      </c>
      <c r="DY303" s="158"/>
      <c r="DZ303" s="160"/>
      <c r="EA303" s="160"/>
      <c r="EB303" s="160"/>
      <c r="EC303" s="158"/>
      <c r="ED303" s="160"/>
      <c r="EE303" s="160"/>
      <c r="EF303" s="160"/>
      <c r="EG303" s="158">
        <f t="shared" si="439"/>
        <v>0</v>
      </c>
      <c r="EH303" s="159">
        <f t="shared" si="440"/>
        <v>0</v>
      </c>
      <c r="EI303" s="158"/>
      <c r="EJ303" s="160"/>
      <c r="EK303" s="160"/>
      <c r="EL303" s="160"/>
      <c r="EM303" s="158"/>
      <c r="EN303" s="160"/>
      <c r="EO303" s="160"/>
      <c r="EP303" s="160"/>
      <c r="EQ303" s="384"/>
      <c r="ER303" s="160">
        <f>SUM(ET303:EX303)</f>
        <v>0</v>
      </c>
      <c r="ES303" s="160">
        <f>IFERROR(SUMIFS(Daily_Vol_yesterday[Order Quantity],Daily_Vol_yesterday[Cust_Cat.cust_channel],master_Daily!X303,Daily_Vol_yesterday[Map_Product.TME_Brand],"CM")/50000,0)</f>
        <v>0</v>
      </c>
      <c r="ET303" s="160"/>
      <c r="EU303" s="160"/>
      <c r="EV303" s="159"/>
      <c r="EW303" s="160"/>
      <c r="EX303" s="160"/>
      <c r="EY303" s="160"/>
      <c r="EZ303" s="160">
        <f>SUM(FA303:FC303)</f>
        <v>0</v>
      </c>
      <c r="FA303" s="160">
        <f>IFERROR(SUM(SUMIFS(Weekly_Vol[Quantity],Weekly_Vol[Cust_Cat.cust_channel],master_Daily!X303,Weekly_Vol[Map_Product.TME_Brand],"CM"),SUMIFS(Daily_Vol[Order Quantity],Daily_Vol[Cust_Cat.cust_channel],master_Daily!X303,Daily_Vol[Map_Product.TME_Brand],"CM"))/50000,0)</f>
        <v>0</v>
      </c>
      <c r="FB303" s="160"/>
      <c r="FC303" s="160"/>
      <c r="FD303" s="160"/>
      <c r="FE303" s="160"/>
      <c r="FF303" s="160"/>
      <c r="FG303" s="160"/>
      <c r="FH303" s="160">
        <f ca="1">SUM(FI303:FK303)</f>
        <v>0</v>
      </c>
      <c r="FI303" s="160">
        <f t="shared" ca="1" si="441"/>
        <v>0</v>
      </c>
      <c r="FJ303" s="160">
        <f t="shared" ca="1" si="441"/>
        <v>0</v>
      </c>
      <c r="FK303" s="160">
        <f t="shared" ca="1" si="441"/>
        <v>0</v>
      </c>
      <c r="FL303" s="160">
        <f ca="1">SUMIFS($AA303:$EP303,$AA$129:$EP$129,INDIRECT(ADDRESS(129,COLUMN())))</f>
        <v>0</v>
      </c>
      <c r="FM303" s="159">
        <f t="shared" ref="FM303:FO304" si="445">SUMIFS(AF303:EU303,$AA$129:$EP$129,$FH$129)</f>
        <v>0</v>
      </c>
      <c r="FN303" s="159">
        <f t="shared" si="445"/>
        <v>0</v>
      </c>
      <c r="FO303" s="159">
        <f t="shared" si="445"/>
        <v>0</v>
      </c>
      <c r="FP303" s="161">
        <f t="shared" ca="1" si="442"/>
        <v>0</v>
      </c>
      <c r="FQ303" s="162">
        <f t="shared" si="323"/>
        <v>0</v>
      </c>
      <c r="FR303" s="160">
        <f>SUMIFS(TME_MTD_Dist[Sell_WHS_QTY],TME_MTD_Dist[Dist_Name],master_Daily!$X303,TME_MTD_Dist[Brand],master_Daily!$Y303)/50000
 + SUMIFS(TME_MTD_Dist[Sell_RTL_QTY],TME_MTD_Dist[Dist_Name],master_Daily!$X303,TME_MTD_Dist[Brand],master_Daily!$Y303)/50000</f>
        <v>0</v>
      </c>
      <c r="FS303" s="162">
        <f t="shared" si="358"/>
        <v>0</v>
      </c>
    </row>
    <row r="304" spans="20:175" s="154" customFormat="1" hidden="1" outlineLevel="1">
      <c r="T304" s="155"/>
      <c r="U304" s="156"/>
      <c r="X304" s="169" t="s">
        <v>315</v>
      </c>
      <c r="Y304" s="157" t="s">
        <v>264</v>
      </c>
      <c r="Z304" s="157"/>
      <c r="AA304" s="158">
        <f t="shared" si="418"/>
        <v>0</v>
      </c>
      <c r="AB304" s="159">
        <f t="shared" si="419"/>
        <v>0</v>
      </c>
      <c r="AC304" s="158">
        <v>0</v>
      </c>
      <c r="AD304" s="160">
        <v>0</v>
      </c>
      <c r="AE304" s="160"/>
      <c r="AF304" s="160"/>
      <c r="AG304" s="158"/>
      <c r="AH304" s="160"/>
      <c r="AI304" s="160"/>
      <c r="AJ304" s="160"/>
      <c r="AK304" s="158">
        <f t="shared" si="420"/>
        <v>0</v>
      </c>
      <c r="AL304" s="159">
        <f t="shared" si="421"/>
        <v>0</v>
      </c>
      <c r="AM304" s="158">
        <v>0</v>
      </c>
      <c r="AN304" s="160">
        <v>0</v>
      </c>
      <c r="AO304" s="160"/>
      <c r="AP304" s="160"/>
      <c r="AQ304" s="158"/>
      <c r="AR304" s="160"/>
      <c r="AS304" s="160"/>
      <c r="AT304" s="160"/>
      <c r="AU304" s="158">
        <f t="shared" si="422"/>
        <v>0</v>
      </c>
      <c r="AV304" s="159">
        <f t="shared" si="423"/>
        <v>0</v>
      </c>
      <c r="AW304" s="158">
        <v>0</v>
      </c>
      <c r="AX304" s="160">
        <v>0</v>
      </c>
      <c r="AY304" s="160"/>
      <c r="AZ304" s="160"/>
      <c r="BA304" s="158"/>
      <c r="BB304" s="160"/>
      <c r="BC304" s="160"/>
      <c r="BD304" s="160"/>
      <c r="BE304" s="158">
        <f t="shared" si="424"/>
        <v>0</v>
      </c>
      <c r="BF304" s="159">
        <f t="shared" si="425"/>
        <v>0</v>
      </c>
      <c r="BG304" s="158">
        <v>0</v>
      </c>
      <c r="BH304" s="160">
        <v>0</v>
      </c>
      <c r="BI304" s="160"/>
      <c r="BJ304" s="160"/>
      <c r="BK304" s="158"/>
      <c r="BL304" s="160"/>
      <c r="BM304" s="160"/>
      <c r="BN304" s="160"/>
      <c r="BO304" s="158">
        <f t="shared" si="426"/>
        <v>0</v>
      </c>
      <c r="BP304" s="159">
        <f t="shared" si="427"/>
        <v>0</v>
      </c>
      <c r="BQ304" s="158">
        <v>0</v>
      </c>
      <c r="BR304" s="160">
        <v>0</v>
      </c>
      <c r="BS304" s="160"/>
      <c r="BT304" s="160"/>
      <c r="BU304" s="158"/>
      <c r="BV304" s="160"/>
      <c r="BW304" s="160"/>
      <c r="BX304" s="160"/>
      <c r="BY304" s="158">
        <f t="shared" si="428"/>
        <v>0</v>
      </c>
      <c r="BZ304" s="159">
        <f t="shared" si="429"/>
        <v>0</v>
      </c>
      <c r="CA304" s="158">
        <v>0</v>
      </c>
      <c r="CB304" s="160">
        <v>0</v>
      </c>
      <c r="CC304" s="160"/>
      <c r="CD304" s="160"/>
      <c r="CE304" s="158"/>
      <c r="CF304" s="160"/>
      <c r="CG304" s="160"/>
      <c r="CH304" s="160"/>
      <c r="CI304" s="158">
        <f t="shared" si="430"/>
        <v>0</v>
      </c>
      <c r="CJ304" s="159">
        <f t="shared" si="431"/>
        <v>0</v>
      </c>
      <c r="CK304" s="158"/>
      <c r="CL304" s="160"/>
      <c r="CM304" s="160"/>
      <c r="CN304" s="160"/>
      <c r="CO304" s="158"/>
      <c r="CP304" s="160"/>
      <c r="CQ304" s="160"/>
      <c r="CR304" s="160"/>
      <c r="CS304" s="158">
        <f t="shared" si="432"/>
        <v>0</v>
      </c>
      <c r="CT304" s="159">
        <f t="shared" si="433"/>
        <v>0</v>
      </c>
      <c r="CU304" s="158"/>
      <c r="CV304" s="160"/>
      <c r="CW304" s="160"/>
      <c r="CX304" s="160"/>
      <c r="CY304" s="158"/>
      <c r="CZ304" s="160"/>
      <c r="DA304" s="160"/>
      <c r="DB304" s="160"/>
      <c r="DC304" s="158">
        <f t="shared" si="443"/>
        <v>0</v>
      </c>
      <c r="DD304" s="159">
        <f t="shared" si="434"/>
        <v>0</v>
      </c>
      <c r="DE304" s="158"/>
      <c r="DF304" s="160"/>
      <c r="DG304" s="160"/>
      <c r="DH304" s="160"/>
      <c r="DI304" s="158"/>
      <c r="DJ304" s="160"/>
      <c r="DK304" s="160"/>
      <c r="DL304" s="160"/>
      <c r="DM304" s="158">
        <f t="shared" si="435"/>
        <v>0</v>
      </c>
      <c r="DN304" s="159">
        <f t="shared" si="436"/>
        <v>0</v>
      </c>
      <c r="DO304" s="158"/>
      <c r="DP304" s="160"/>
      <c r="DQ304" s="160"/>
      <c r="DR304" s="160"/>
      <c r="DS304" s="158"/>
      <c r="DT304" s="160"/>
      <c r="DU304" s="160"/>
      <c r="DV304" s="160"/>
      <c r="DW304" s="158">
        <f t="shared" si="437"/>
        <v>0</v>
      </c>
      <c r="DX304" s="159">
        <f t="shared" si="438"/>
        <v>0</v>
      </c>
      <c r="DY304" s="158"/>
      <c r="DZ304" s="160"/>
      <c r="EA304" s="160"/>
      <c r="EB304" s="160"/>
      <c r="EC304" s="158"/>
      <c r="ED304" s="160"/>
      <c r="EE304" s="160"/>
      <c r="EF304" s="160"/>
      <c r="EG304" s="158">
        <f t="shared" si="439"/>
        <v>0</v>
      </c>
      <c r="EH304" s="159">
        <f t="shared" si="440"/>
        <v>0</v>
      </c>
      <c r="EI304" s="158"/>
      <c r="EJ304" s="160"/>
      <c r="EK304" s="160"/>
      <c r="EL304" s="160"/>
      <c r="EM304" s="158"/>
      <c r="EN304" s="160"/>
      <c r="EO304" s="160"/>
      <c r="EP304" s="160"/>
      <c r="EQ304" s="384"/>
      <c r="ER304" s="160">
        <f>SUM(ET304:EX304)</f>
        <v>0</v>
      </c>
      <c r="ES304" s="160">
        <f>IFERROR(SUMIFS(Daily_Vol_yesterday[Order Quantity],Daily_Vol_yesterday[Cust_Cat.cust_channel],master_Daily!X304,Daily_Vol_yesterday[Map_Product.TME_Brand],"CMHD")/50000,0)</f>
        <v>0</v>
      </c>
      <c r="ET304" s="160"/>
      <c r="EU304" s="160"/>
      <c r="EV304" s="159"/>
      <c r="EW304" s="160"/>
      <c r="EX304" s="160"/>
      <c r="EY304" s="160"/>
      <c r="EZ304" s="160">
        <f>SUM(FA304:FC304)</f>
        <v>0</v>
      </c>
      <c r="FA304" s="160">
        <f>IFERROR(SUM(SUMIFS(Weekly_Vol[Quantity],Weekly_Vol[Cust_Cat.cust_channel],master_Daily!X304,Weekly_Vol[Map_Product.TME_Brand],"CMHD"),SUMIFS(Daily_Vol[Order Quantity],Daily_Vol[Cust_Cat.cust_channel],master_Daily!X304,Daily_Vol[Map_Product.TME_Brand],"CMHD"))/50000,0)</f>
        <v>0</v>
      </c>
      <c r="FB304" s="160"/>
      <c r="FC304" s="160"/>
      <c r="FD304" s="160"/>
      <c r="FE304" s="160"/>
      <c r="FF304" s="160"/>
      <c r="FG304" s="160"/>
      <c r="FH304" s="160">
        <f ca="1">SUM(FI304:FK304)</f>
        <v>0</v>
      </c>
      <c r="FI304" s="160">
        <f t="shared" ca="1" si="441"/>
        <v>0</v>
      </c>
      <c r="FJ304" s="160">
        <f t="shared" ca="1" si="441"/>
        <v>0</v>
      </c>
      <c r="FK304" s="160">
        <f t="shared" ca="1" si="441"/>
        <v>0</v>
      </c>
      <c r="FL304" s="160">
        <f ca="1">SUMIFS($AA304:$EP304,$AA$129:$EP$129,INDIRECT(ADDRESS(129,COLUMN())))</f>
        <v>0</v>
      </c>
      <c r="FM304" s="159">
        <f t="shared" si="445"/>
        <v>0</v>
      </c>
      <c r="FN304" s="159">
        <f t="shared" si="445"/>
        <v>0</v>
      </c>
      <c r="FO304" s="159">
        <f t="shared" si="445"/>
        <v>0</v>
      </c>
      <c r="FP304" s="161">
        <f t="shared" ca="1" si="442"/>
        <v>0</v>
      </c>
      <c r="FQ304" s="162">
        <f t="shared" si="323"/>
        <v>0</v>
      </c>
      <c r="FR304" s="160">
        <f>SUMIFS(TME_MTD_Dist[Sell_WHS_QTY],TME_MTD_Dist[Dist_Name],master_Daily!$X304,TME_MTD_Dist[Brand],master_Daily!$Y304)/50000
 + SUMIFS(TME_MTD_Dist[Sell_RTL_QTY],TME_MTD_Dist[Dist_Name],master_Daily!$X304,TME_MTD_Dist[Brand],master_Daily!$Y304)/50000</f>
        <v>0</v>
      </c>
      <c r="FS304" s="162">
        <f t="shared" si="358"/>
        <v>0</v>
      </c>
    </row>
    <row r="305" spans="20:175" s="154" customFormat="1" hidden="1" collapsed="1">
      <c r="T305" s="155"/>
      <c r="U305" s="156"/>
      <c r="X305" s="163" t="s">
        <v>316</v>
      </c>
      <c r="Y305" s="164"/>
      <c r="Z305" s="164"/>
      <c r="AA305" s="165">
        <f t="shared" si="418"/>
        <v>0</v>
      </c>
      <c r="AB305" s="165">
        <f t="shared" si="419"/>
        <v>0</v>
      </c>
      <c r="AC305" s="165">
        <v>0</v>
      </c>
      <c r="AD305" s="165">
        <v>0</v>
      </c>
      <c r="AE305" s="165">
        <v>0</v>
      </c>
      <c r="AF305" s="165">
        <v>0</v>
      </c>
      <c r="AG305" s="165">
        <v>0</v>
      </c>
      <c r="AH305" s="165">
        <v>0</v>
      </c>
      <c r="AI305" s="165">
        <v>0</v>
      </c>
      <c r="AJ305" s="165">
        <v>0</v>
      </c>
      <c r="AK305" s="165">
        <f t="shared" si="420"/>
        <v>0</v>
      </c>
      <c r="AL305" s="165">
        <f t="shared" si="421"/>
        <v>0</v>
      </c>
      <c r="AM305" s="114">
        <v>0</v>
      </c>
      <c r="AN305" s="114">
        <v>0</v>
      </c>
      <c r="AO305" s="114">
        <v>0</v>
      </c>
      <c r="AP305" s="114">
        <v>0</v>
      </c>
      <c r="AQ305" s="114">
        <v>0</v>
      </c>
      <c r="AR305" s="114">
        <v>0</v>
      </c>
      <c r="AS305" s="114">
        <v>0</v>
      </c>
      <c r="AT305" s="114">
        <v>0</v>
      </c>
      <c r="AU305" s="165">
        <f t="shared" si="422"/>
        <v>0</v>
      </c>
      <c r="AV305" s="165">
        <f t="shared" si="423"/>
        <v>0</v>
      </c>
      <c r="AW305" s="63">
        <v>0</v>
      </c>
      <c r="AX305" s="63">
        <v>0</v>
      </c>
      <c r="AY305" s="63">
        <v>0</v>
      </c>
      <c r="AZ305" s="63">
        <v>0</v>
      </c>
      <c r="BA305" s="63">
        <v>0</v>
      </c>
      <c r="BB305" s="63">
        <v>0</v>
      </c>
      <c r="BC305" s="63">
        <v>0</v>
      </c>
      <c r="BD305" s="63">
        <v>0</v>
      </c>
      <c r="BE305" s="165">
        <f t="shared" si="424"/>
        <v>0</v>
      </c>
      <c r="BF305" s="165">
        <f t="shared" si="425"/>
        <v>0</v>
      </c>
      <c r="BG305" s="165">
        <v>0</v>
      </c>
      <c r="BH305" s="165">
        <v>0</v>
      </c>
      <c r="BI305" s="165">
        <v>0</v>
      </c>
      <c r="BJ305" s="165">
        <v>0</v>
      </c>
      <c r="BK305" s="165">
        <v>0</v>
      </c>
      <c r="BL305" s="165">
        <v>0</v>
      </c>
      <c r="BM305" s="165">
        <v>0</v>
      </c>
      <c r="BN305" s="165">
        <v>0</v>
      </c>
      <c r="BO305" s="165">
        <f t="shared" si="426"/>
        <v>0</v>
      </c>
      <c r="BP305" s="165">
        <f t="shared" si="427"/>
        <v>0</v>
      </c>
      <c r="BQ305" s="165">
        <v>0</v>
      </c>
      <c r="BR305" s="165">
        <v>0</v>
      </c>
      <c r="BS305" s="165">
        <v>0</v>
      </c>
      <c r="BT305" s="165">
        <v>0</v>
      </c>
      <c r="BU305" s="165">
        <v>0</v>
      </c>
      <c r="BV305" s="165">
        <v>0</v>
      </c>
      <c r="BW305" s="165">
        <v>0</v>
      </c>
      <c r="BX305" s="165">
        <v>0</v>
      </c>
      <c r="BY305" s="165">
        <f t="shared" si="428"/>
        <v>0</v>
      </c>
      <c r="BZ305" s="165">
        <f t="shared" si="429"/>
        <v>0</v>
      </c>
      <c r="CA305" s="165">
        <v>0</v>
      </c>
      <c r="CB305" s="165">
        <v>0</v>
      </c>
      <c r="CC305" s="165">
        <v>0</v>
      </c>
      <c r="CD305" s="165">
        <v>0</v>
      </c>
      <c r="CE305" s="165">
        <v>0</v>
      </c>
      <c r="CF305" s="165">
        <v>0</v>
      </c>
      <c r="CG305" s="165">
        <v>0</v>
      </c>
      <c r="CH305" s="165">
        <v>0</v>
      </c>
      <c r="CI305" s="165">
        <f t="shared" si="430"/>
        <v>0</v>
      </c>
      <c r="CJ305" s="165">
        <f t="shared" si="431"/>
        <v>0</v>
      </c>
      <c r="CK305" s="165"/>
      <c r="CL305" s="165"/>
      <c r="CM305" s="165"/>
      <c r="CN305" s="165"/>
      <c r="CO305" s="165"/>
      <c r="CP305" s="165">
        <v>0</v>
      </c>
      <c r="CQ305" s="165">
        <v>0</v>
      </c>
      <c r="CR305" s="165">
        <v>0</v>
      </c>
      <c r="CS305" s="165">
        <f t="shared" si="432"/>
        <v>0</v>
      </c>
      <c r="CT305" s="165">
        <f t="shared" si="433"/>
        <v>0</v>
      </c>
      <c r="CU305" s="165"/>
      <c r="CV305" s="165"/>
      <c r="CW305" s="165"/>
      <c r="CX305" s="165"/>
      <c r="CY305" s="165"/>
      <c r="CZ305" s="165">
        <v>0</v>
      </c>
      <c r="DA305" s="165">
        <v>0</v>
      </c>
      <c r="DB305" s="165">
        <v>0</v>
      </c>
      <c r="DC305" s="165">
        <f t="shared" si="443"/>
        <v>0</v>
      </c>
      <c r="DD305" s="165">
        <f t="shared" si="434"/>
        <v>0</v>
      </c>
      <c r="DE305" s="165"/>
      <c r="DF305" s="165"/>
      <c r="DG305" s="165"/>
      <c r="DH305" s="165"/>
      <c r="DI305" s="165"/>
      <c r="DJ305" s="165">
        <v>0</v>
      </c>
      <c r="DK305" s="165">
        <v>0</v>
      </c>
      <c r="DL305" s="165">
        <v>0</v>
      </c>
      <c r="DM305" s="165">
        <f t="shared" si="435"/>
        <v>0</v>
      </c>
      <c r="DN305" s="165">
        <f t="shared" si="436"/>
        <v>0</v>
      </c>
      <c r="DO305" s="165"/>
      <c r="DP305" s="165"/>
      <c r="DQ305" s="165"/>
      <c r="DR305" s="165"/>
      <c r="DS305" s="165"/>
      <c r="DT305" s="165">
        <v>0</v>
      </c>
      <c r="DU305" s="165">
        <v>0</v>
      </c>
      <c r="DV305" s="165">
        <v>0</v>
      </c>
      <c r="DW305" s="165">
        <f t="shared" si="437"/>
        <v>0</v>
      </c>
      <c r="DX305" s="165">
        <f t="shared" si="438"/>
        <v>0</v>
      </c>
      <c r="DY305" s="165"/>
      <c r="DZ305" s="165"/>
      <c r="EA305" s="165"/>
      <c r="EB305" s="165"/>
      <c r="EC305" s="165">
        <v>0</v>
      </c>
      <c r="ED305" s="165">
        <v>0</v>
      </c>
      <c r="EE305" s="165">
        <v>0</v>
      </c>
      <c r="EF305" s="165">
        <v>0</v>
      </c>
      <c r="EG305" s="165">
        <f t="shared" si="439"/>
        <v>0</v>
      </c>
      <c r="EH305" s="165">
        <f t="shared" si="440"/>
        <v>0</v>
      </c>
      <c r="EI305" s="165"/>
      <c r="EJ305" s="165"/>
      <c r="EK305" s="165"/>
      <c r="EL305" s="165"/>
      <c r="EM305" s="165">
        <v>0</v>
      </c>
      <c r="EN305" s="165">
        <v>0</v>
      </c>
      <c r="EO305" s="165">
        <v>0</v>
      </c>
      <c r="EP305" s="165">
        <v>0</v>
      </c>
      <c r="EQ305" s="166"/>
      <c r="ER305" s="165">
        <f>SUM(ER300:ER304)</f>
        <v>0</v>
      </c>
      <c r="ES305" s="165">
        <f>SUM(ES300:ES304)</f>
        <v>0</v>
      </c>
      <c r="ET305" s="165">
        <f>SUM(ET300:ET304)</f>
        <v>0</v>
      </c>
      <c r="EU305" s="165">
        <f>SUM(EU300:EU304)</f>
        <v>0</v>
      </c>
      <c r="EV305" s="165"/>
      <c r="EW305" s="165"/>
      <c r="EX305" s="165"/>
      <c r="EY305" s="165"/>
      <c r="EZ305" s="165">
        <f t="shared" ref="EZ305:FK305" si="446">SUM(EZ300:EZ304)</f>
        <v>0</v>
      </c>
      <c r="FA305" s="165">
        <f t="shared" si="446"/>
        <v>0</v>
      </c>
      <c r="FB305" s="165">
        <f t="shared" si="446"/>
        <v>0</v>
      </c>
      <c r="FC305" s="165">
        <f t="shared" si="446"/>
        <v>0</v>
      </c>
      <c r="FD305" s="165">
        <f t="shared" si="446"/>
        <v>0</v>
      </c>
      <c r="FE305" s="165">
        <f t="shared" si="446"/>
        <v>0</v>
      </c>
      <c r="FF305" s="165">
        <f t="shared" si="446"/>
        <v>0</v>
      </c>
      <c r="FG305" s="165">
        <f t="shared" si="446"/>
        <v>0</v>
      </c>
      <c r="FH305" s="165">
        <f t="shared" ca="1" si="446"/>
        <v>0</v>
      </c>
      <c r="FI305" s="165">
        <f t="shared" ca="1" si="446"/>
        <v>0</v>
      </c>
      <c r="FJ305" s="165">
        <f t="shared" ca="1" si="446"/>
        <v>0</v>
      </c>
      <c r="FK305" s="165">
        <f t="shared" ca="1" si="446"/>
        <v>0</v>
      </c>
      <c r="FL305" s="165">
        <f ca="1">SUM(FL300:FL303)</f>
        <v>0</v>
      </c>
      <c r="FM305" s="166">
        <f ca="1">SUM(FM300:FM304)</f>
        <v>0</v>
      </c>
      <c r="FN305" s="166">
        <f ca="1">SUM(FN300:FN304)</f>
        <v>0</v>
      </c>
      <c r="FO305" s="166">
        <f ca="1">SUM(FO300:FO304)</f>
        <v>0</v>
      </c>
      <c r="FP305" s="167">
        <f t="shared" ca="1" si="442"/>
        <v>0</v>
      </c>
      <c r="FQ305" s="168">
        <f t="shared" si="323"/>
        <v>0</v>
      </c>
      <c r="FR305" s="165">
        <f>SUM(FR300:FR304)</f>
        <v>0</v>
      </c>
      <c r="FS305" s="168">
        <f t="shared" si="358"/>
        <v>0</v>
      </c>
    </row>
    <row r="306" spans="20:175" s="154" customFormat="1" hidden="1" outlineLevel="1">
      <c r="T306" s="155"/>
      <c r="U306" s="156"/>
      <c r="X306" s="169" t="s">
        <v>317</v>
      </c>
      <c r="Y306" s="157" t="s">
        <v>44</v>
      </c>
      <c r="Z306" s="157"/>
      <c r="AA306" s="158">
        <f t="shared" si="418"/>
        <v>0</v>
      </c>
      <c r="AB306" s="159">
        <f t="shared" si="419"/>
        <v>0</v>
      </c>
      <c r="AC306" s="158">
        <v>0</v>
      </c>
      <c r="AD306" s="160">
        <v>0</v>
      </c>
      <c r="AE306" s="160"/>
      <c r="AF306" s="160"/>
      <c r="AG306" s="158"/>
      <c r="AH306" s="160"/>
      <c r="AI306" s="160"/>
      <c r="AJ306" s="160"/>
      <c r="AK306" s="158">
        <f t="shared" si="420"/>
        <v>0</v>
      </c>
      <c r="AL306" s="159">
        <f t="shared" si="421"/>
        <v>0</v>
      </c>
      <c r="AM306" s="158">
        <v>0</v>
      </c>
      <c r="AN306" s="160">
        <v>0</v>
      </c>
      <c r="AO306" s="160"/>
      <c r="AP306" s="160"/>
      <c r="AQ306" s="158"/>
      <c r="AR306" s="160"/>
      <c r="AS306" s="160"/>
      <c r="AT306" s="160"/>
      <c r="AU306" s="158">
        <f t="shared" si="422"/>
        <v>0</v>
      </c>
      <c r="AV306" s="159">
        <f t="shared" si="423"/>
        <v>0</v>
      </c>
      <c r="AW306" s="158">
        <v>0</v>
      </c>
      <c r="AX306" s="160">
        <v>0</v>
      </c>
      <c r="AY306" s="160"/>
      <c r="AZ306" s="160"/>
      <c r="BA306" s="158"/>
      <c r="BB306" s="160"/>
      <c r="BC306" s="160"/>
      <c r="BD306" s="160"/>
      <c r="BE306" s="158">
        <f t="shared" si="424"/>
        <v>0</v>
      </c>
      <c r="BF306" s="159">
        <f t="shared" si="425"/>
        <v>0</v>
      </c>
      <c r="BG306" s="158">
        <v>0</v>
      </c>
      <c r="BH306" s="160">
        <v>0</v>
      </c>
      <c r="BI306" s="160"/>
      <c r="BJ306" s="160"/>
      <c r="BK306" s="158"/>
      <c r="BL306" s="160"/>
      <c r="BM306" s="160"/>
      <c r="BN306" s="160"/>
      <c r="BO306" s="158">
        <f t="shared" si="426"/>
        <v>0</v>
      </c>
      <c r="BP306" s="159">
        <f t="shared" si="427"/>
        <v>0</v>
      </c>
      <c r="BQ306" s="158">
        <v>0</v>
      </c>
      <c r="BR306" s="160">
        <v>0</v>
      </c>
      <c r="BS306" s="160"/>
      <c r="BT306" s="160"/>
      <c r="BU306" s="158"/>
      <c r="BV306" s="160"/>
      <c r="BW306" s="160"/>
      <c r="BX306" s="160"/>
      <c r="BY306" s="158">
        <f t="shared" si="428"/>
        <v>0</v>
      </c>
      <c r="BZ306" s="159">
        <f t="shared" si="429"/>
        <v>0</v>
      </c>
      <c r="CA306" s="158">
        <v>0</v>
      </c>
      <c r="CB306" s="160">
        <v>0</v>
      </c>
      <c r="CC306" s="160"/>
      <c r="CD306" s="160"/>
      <c r="CE306" s="158"/>
      <c r="CF306" s="160"/>
      <c r="CG306" s="160"/>
      <c r="CH306" s="160"/>
      <c r="CI306" s="158">
        <f t="shared" si="430"/>
        <v>0</v>
      </c>
      <c r="CJ306" s="159">
        <f t="shared" si="431"/>
        <v>0</v>
      </c>
      <c r="CK306" s="158"/>
      <c r="CL306" s="160"/>
      <c r="CM306" s="160"/>
      <c r="CN306" s="160"/>
      <c r="CO306" s="158"/>
      <c r="CP306" s="160"/>
      <c r="CQ306" s="160"/>
      <c r="CR306" s="160"/>
      <c r="CS306" s="158">
        <f t="shared" si="432"/>
        <v>0</v>
      </c>
      <c r="CT306" s="159">
        <f t="shared" si="433"/>
        <v>0</v>
      </c>
      <c r="CU306" s="158"/>
      <c r="CV306" s="160"/>
      <c r="CW306" s="160"/>
      <c r="CX306" s="160"/>
      <c r="CY306" s="158"/>
      <c r="CZ306" s="160"/>
      <c r="DA306" s="160"/>
      <c r="DB306" s="160"/>
      <c r="DC306" s="158">
        <f t="shared" si="443"/>
        <v>0</v>
      </c>
      <c r="DD306" s="159">
        <f t="shared" si="434"/>
        <v>0</v>
      </c>
      <c r="DE306" s="158"/>
      <c r="DF306" s="160"/>
      <c r="DG306" s="160"/>
      <c r="DH306" s="160"/>
      <c r="DI306" s="158"/>
      <c r="DJ306" s="160"/>
      <c r="DK306" s="160"/>
      <c r="DL306" s="160"/>
      <c r="DM306" s="158">
        <f t="shared" si="435"/>
        <v>0</v>
      </c>
      <c r="DN306" s="159">
        <f t="shared" si="436"/>
        <v>0</v>
      </c>
      <c r="DO306" s="158"/>
      <c r="DP306" s="160"/>
      <c r="DQ306" s="160"/>
      <c r="DR306" s="160"/>
      <c r="DS306" s="158"/>
      <c r="DT306" s="160"/>
      <c r="DU306" s="160"/>
      <c r="DV306" s="160"/>
      <c r="DW306" s="158">
        <f t="shared" si="437"/>
        <v>0</v>
      </c>
      <c r="DX306" s="159">
        <f t="shared" si="438"/>
        <v>0</v>
      </c>
      <c r="DY306" s="158"/>
      <c r="DZ306" s="160"/>
      <c r="EA306" s="160"/>
      <c r="EB306" s="160"/>
      <c r="EC306" s="158"/>
      <c r="ED306" s="160"/>
      <c r="EE306" s="160"/>
      <c r="EF306" s="160"/>
      <c r="EG306" s="158">
        <f t="shared" si="439"/>
        <v>0</v>
      </c>
      <c r="EH306" s="159">
        <f t="shared" si="440"/>
        <v>0</v>
      </c>
      <c r="EI306" s="158"/>
      <c r="EJ306" s="160"/>
      <c r="EK306" s="160"/>
      <c r="EL306" s="160"/>
      <c r="EM306" s="158"/>
      <c r="EN306" s="160"/>
      <c r="EO306" s="160"/>
      <c r="EP306" s="160"/>
      <c r="EQ306" s="384"/>
      <c r="ER306" s="160">
        <f>SUM(ET306:EX306)</f>
        <v>0</v>
      </c>
      <c r="ES306" s="160">
        <f>IFERROR(SUMIFS(Daily_Vol_yesterday[Order Quantity],Daily_Vol_yesterday[Cust_Cat.cust_channel],master_Daily!X306,Daily_Vol_yesterday[Map_Product.TME_Brand],master_Daily!Y306)/50000,0)</f>
        <v>0</v>
      </c>
      <c r="ET306" s="160"/>
      <c r="EU306" s="160"/>
      <c r="EV306" s="159"/>
      <c r="EW306" s="160"/>
      <c r="EX306" s="160"/>
      <c r="EY306" s="160"/>
      <c r="EZ306" s="160">
        <f>SUM(FA306:FC306)</f>
        <v>0</v>
      </c>
      <c r="FA306" s="160">
        <f>IFERROR(SUM(SUMIFS(Weekly_Vol[Quantity],Weekly_Vol[Cust_Cat.cust_channel],master_Daily!X306,Weekly_Vol[Map_Product.TME_Brand],master_Daily!Y306),SUMIFS(Daily_Vol[Order Quantity],Daily_Vol[Cust_Cat.cust_channel],master_Daily!X306,Daily_Vol[Map_Product.TME_Brand],master_Daily!Y306))/50000,0)</f>
        <v>0</v>
      </c>
      <c r="FB306" s="160"/>
      <c r="FC306" s="160"/>
      <c r="FD306" s="160"/>
      <c r="FE306" s="160"/>
      <c r="FF306" s="160"/>
      <c r="FG306" s="160"/>
      <c r="FH306" s="160">
        <f ca="1">SUM(FI306:FK306)</f>
        <v>0</v>
      </c>
      <c r="FI306" s="160">
        <f t="shared" ref="FI306:FK310" ca="1" si="447">SUMIFS($AA306:$EP306,$AA$129:$EP$129,INDIRECT(ADDRESS(129,COLUMN())))</f>
        <v>0</v>
      </c>
      <c r="FJ306" s="160">
        <f t="shared" ca="1" si="447"/>
        <v>0</v>
      </c>
      <c r="FK306" s="160">
        <f t="shared" ca="1" si="447"/>
        <v>0</v>
      </c>
      <c r="FL306" s="160">
        <f ca="1">SUMIFS($AA306:$EP306,$AA$129:$EP$129,INDIRECT(ADDRESS(38,COLUMN())))</f>
        <v>0</v>
      </c>
      <c r="FM306" s="160">
        <f ca="1">SUMIFS($AA306:$EP306,$AA$129:$EP$129,INDIRECT(ADDRESS(38,COLUMN())))</f>
        <v>0</v>
      </c>
      <c r="FN306" s="160">
        <f ca="1">SUMIFS($AA306:$EP306,$AA$129:$EP$129,INDIRECT(ADDRESS(38,COLUMN())))</f>
        <v>0</v>
      </c>
      <c r="FO306" s="160">
        <f ca="1">SUMIFS($AA306:$EP306,$AA$129:$EP$129,INDIRECT(ADDRESS(38,COLUMN())))</f>
        <v>0</v>
      </c>
      <c r="FP306" s="161">
        <f t="shared" ref="FP306:FP311" ca="1" si="448">IFERROR(FH306/$FH$311,0)</f>
        <v>0</v>
      </c>
      <c r="FQ306" s="162">
        <f t="shared" ref="FQ306:FQ323" si="449">IFERROR(EZ306/EQ306,0)</f>
        <v>0</v>
      </c>
      <c r="FR306" s="160">
        <f>SUMIFS(TME_MTD_Dist[Sell_WHS_QTY],TME_MTD_Dist[Dist_Name],master_Daily!$X306,TME_MTD_Dist[Brand],master_Daily!$Y306)/50000
 + SUMIFS(TME_MTD_Dist[Sell_RTL_QTY],TME_MTD_Dist[Dist_Name],master_Daily!$X306,TME_MTD_Dist[Brand],master_Daily!$Y306)/50000</f>
        <v>0</v>
      </c>
      <c r="FS306" s="162">
        <f t="shared" si="358"/>
        <v>0</v>
      </c>
    </row>
    <row r="307" spans="20:175" s="154" customFormat="1" hidden="1" outlineLevel="1">
      <c r="T307" s="155"/>
      <c r="U307" s="156"/>
      <c r="X307" s="169" t="s">
        <v>317</v>
      </c>
      <c r="Y307" s="157" t="s">
        <v>45</v>
      </c>
      <c r="Z307" s="157"/>
      <c r="AA307" s="158">
        <f t="shared" si="418"/>
        <v>0</v>
      </c>
      <c r="AB307" s="159">
        <f t="shared" si="419"/>
        <v>0</v>
      </c>
      <c r="AC307" s="158">
        <v>0</v>
      </c>
      <c r="AD307" s="160">
        <v>0</v>
      </c>
      <c r="AE307" s="160"/>
      <c r="AF307" s="160"/>
      <c r="AG307" s="158"/>
      <c r="AH307" s="160"/>
      <c r="AI307" s="160"/>
      <c r="AJ307" s="160"/>
      <c r="AK307" s="158">
        <f t="shared" si="420"/>
        <v>0</v>
      </c>
      <c r="AL307" s="159">
        <f t="shared" si="421"/>
        <v>0</v>
      </c>
      <c r="AM307" s="158">
        <v>0</v>
      </c>
      <c r="AN307" s="160">
        <v>0</v>
      </c>
      <c r="AO307" s="160"/>
      <c r="AP307" s="160"/>
      <c r="AQ307" s="158"/>
      <c r="AR307" s="160"/>
      <c r="AS307" s="160"/>
      <c r="AT307" s="160"/>
      <c r="AU307" s="158">
        <f t="shared" si="422"/>
        <v>0</v>
      </c>
      <c r="AV307" s="159">
        <f t="shared" si="423"/>
        <v>0</v>
      </c>
      <c r="AW307" s="158">
        <v>0</v>
      </c>
      <c r="AX307" s="160">
        <v>0</v>
      </c>
      <c r="AY307" s="160"/>
      <c r="AZ307" s="160"/>
      <c r="BA307" s="158"/>
      <c r="BB307" s="160"/>
      <c r="BC307" s="160"/>
      <c r="BD307" s="160"/>
      <c r="BE307" s="158">
        <f t="shared" si="424"/>
        <v>0</v>
      </c>
      <c r="BF307" s="159">
        <f t="shared" si="425"/>
        <v>0</v>
      </c>
      <c r="BG307" s="158">
        <v>0</v>
      </c>
      <c r="BH307" s="160">
        <v>0</v>
      </c>
      <c r="BI307" s="160"/>
      <c r="BJ307" s="160"/>
      <c r="BK307" s="158"/>
      <c r="BL307" s="160"/>
      <c r="BM307" s="160"/>
      <c r="BN307" s="160"/>
      <c r="BO307" s="158">
        <f t="shared" si="426"/>
        <v>0</v>
      </c>
      <c r="BP307" s="159">
        <f t="shared" si="427"/>
        <v>0</v>
      </c>
      <c r="BQ307" s="158">
        <v>0</v>
      </c>
      <c r="BR307" s="160">
        <v>0</v>
      </c>
      <c r="BS307" s="160"/>
      <c r="BT307" s="160"/>
      <c r="BU307" s="158"/>
      <c r="BV307" s="160"/>
      <c r="BW307" s="160"/>
      <c r="BX307" s="160"/>
      <c r="BY307" s="158">
        <f t="shared" si="428"/>
        <v>0</v>
      </c>
      <c r="BZ307" s="159">
        <f t="shared" si="429"/>
        <v>0</v>
      </c>
      <c r="CA307" s="158">
        <v>0</v>
      </c>
      <c r="CB307" s="160">
        <v>0</v>
      </c>
      <c r="CC307" s="160"/>
      <c r="CD307" s="160"/>
      <c r="CE307" s="158"/>
      <c r="CF307" s="160"/>
      <c r="CG307" s="160"/>
      <c r="CH307" s="160"/>
      <c r="CI307" s="158">
        <f t="shared" si="430"/>
        <v>0</v>
      </c>
      <c r="CJ307" s="159">
        <f t="shared" si="431"/>
        <v>0</v>
      </c>
      <c r="CK307" s="158"/>
      <c r="CL307" s="160"/>
      <c r="CM307" s="160"/>
      <c r="CN307" s="160"/>
      <c r="CO307" s="158"/>
      <c r="CP307" s="160"/>
      <c r="CQ307" s="160"/>
      <c r="CR307" s="160"/>
      <c r="CS307" s="158">
        <f t="shared" si="432"/>
        <v>0</v>
      </c>
      <c r="CT307" s="159">
        <f t="shared" si="433"/>
        <v>0</v>
      </c>
      <c r="CU307" s="158"/>
      <c r="CV307" s="160"/>
      <c r="CW307" s="160"/>
      <c r="CX307" s="160"/>
      <c r="CY307" s="158"/>
      <c r="CZ307" s="160"/>
      <c r="DA307" s="160"/>
      <c r="DB307" s="160"/>
      <c r="DC307" s="158">
        <f t="shared" si="443"/>
        <v>0</v>
      </c>
      <c r="DD307" s="159">
        <f t="shared" si="434"/>
        <v>0</v>
      </c>
      <c r="DE307" s="158"/>
      <c r="DF307" s="160"/>
      <c r="DG307" s="160"/>
      <c r="DH307" s="160"/>
      <c r="DI307" s="158"/>
      <c r="DJ307" s="160"/>
      <c r="DK307" s="160"/>
      <c r="DL307" s="160"/>
      <c r="DM307" s="158">
        <f t="shared" si="435"/>
        <v>0</v>
      </c>
      <c r="DN307" s="159">
        <f t="shared" si="436"/>
        <v>0</v>
      </c>
      <c r="DO307" s="158"/>
      <c r="DP307" s="160"/>
      <c r="DQ307" s="160"/>
      <c r="DR307" s="160"/>
      <c r="DS307" s="158"/>
      <c r="DT307" s="160"/>
      <c r="DU307" s="160"/>
      <c r="DV307" s="160"/>
      <c r="DW307" s="158">
        <f t="shared" si="437"/>
        <v>0</v>
      </c>
      <c r="DX307" s="159">
        <f t="shared" si="438"/>
        <v>0</v>
      </c>
      <c r="DY307" s="158"/>
      <c r="DZ307" s="160"/>
      <c r="EA307" s="160"/>
      <c r="EB307" s="160"/>
      <c r="EC307" s="158"/>
      <c r="ED307" s="160"/>
      <c r="EE307" s="160"/>
      <c r="EF307" s="160"/>
      <c r="EG307" s="158">
        <f t="shared" si="439"/>
        <v>0</v>
      </c>
      <c r="EH307" s="159">
        <f t="shared" si="440"/>
        <v>0</v>
      </c>
      <c r="EI307" s="158"/>
      <c r="EJ307" s="160"/>
      <c r="EK307" s="160"/>
      <c r="EL307" s="160"/>
      <c r="EM307" s="158"/>
      <c r="EN307" s="160"/>
      <c r="EO307" s="160"/>
      <c r="EP307" s="160"/>
      <c r="EQ307" s="384"/>
      <c r="ER307" s="160">
        <f>SUM(ET307:EX307)</f>
        <v>0</v>
      </c>
      <c r="ES307" s="160">
        <f>IFERROR(SUMIFS(Daily_Vol_yesterday[Order Quantity],Daily_Vol_yesterday[Cust_Cat.cust_channel],master_Daily!X307,Daily_Vol_yesterday[Map_Product.TME_Brand],master_Daily!Y307)/50000,0)</f>
        <v>0</v>
      </c>
      <c r="ET307" s="160"/>
      <c r="EU307" s="160"/>
      <c r="EV307" s="159"/>
      <c r="EW307" s="160"/>
      <c r="EX307" s="160"/>
      <c r="EY307" s="160"/>
      <c r="EZ307" s="160">
        <f>SUM(FA307:FC307)</f>
        <v>0</v>
      </c>
      <c r="FA307" s="160">
        <f>IFERROR(SUM(SUMIFS(Weekly_Vol[Quantity],Weekly_Vol[Cust_Cat.cust_channel],master_Daily!X307,Weekly_Vol[Map_Product.TME_Brand],master_Daily!Y307),SUMIFS(Daily_Vol[Order Quantity],Daily_Vol[Cust_Cat.cust_channel],master_Daily!X307,Daily_Vol[Map_Product.TME_Brand],master_Daily!Y307))/50000,0)</f>
        <v>0</v>
      </c>
      <c r="FB307" s="160"/>
      <c r="FC307" s="160"/>
      <c r="FD307" s="160"/>
      <c r="FE307" s="160"/>
      <c r="FF307" s="160"/>
      <c r="FG307" s="160"/>
      <c r="FH307" s="160">
        <f ca="1">SUM(FI307:FK307)</f>
        <v>0</v>
      </c>
      <c r="FI307" s="160">
        <f t="shared" ca="1" si="447"/>
        <v>0</v>
      </c>
      <c r="FJ307" s="160">
        <f t="shared" ca="1" si="447"/>
        <v>0</v>
      </c>
      <c r="FK307" s="160">
        <f t="shared" ca="1" si="447"/>
        <v>0</v>
      </c>
      <c r="FL307" s="160">
        <f t="shared" ref="FL307:FO308" ca="1" si="450">SUMIFS($AA307:$EP307,$AA$129:$EP$129,INDIRECT(ADDRESS(129,COLUMN())))</f>
        <v>0</v>
      </c>
      <c r="FM307" s="159">
        <f t="shared" ca="1" si="450"/>
        <v>0</v>
      </c>
      <c r="FN307" s="159">
        <f t="shared" ca="1" si="450"/>
        <v>0</v>
      </c>
      <c r="FO307" s="159">
        <f t="shared" ca="1" si="450"/>
        <v>0</v>
      </c>
      <c r="FP307" s="161">
        <f t="shared" ca="1" si="448"/>
        <v>0</v>
      </c>
      <c r="FQ307" s="162">
        <f t="shared" si="449"/>
        <v>0</v>
      </c>
      <c r="FR307" s="160">
        <f>SUMIFS(TME_MTD_Dist[Sell_WHS_QTY],TME_MTD_Dist[Dist_Name],master_Daily!$X307,TME_MTD_Dist[Brand],master_Daily!$Y307)/50000
 + SUMIFS(TME_MTD_Dist[Sell_RTL_QTY],TME_MTD_Dist[Dist_Name],master_Daily!$X307,TME_MTD_Dist[Brand],master_Daily!$Y307)/50000</f>
        <v>0</v>
      </c>
      <c r="FS307" s="162">
        <f t="shared" si="358"/>
        <v>0</v>
      </c>
    </row>
    <row r="308" spans="20:175" s="154" customFormat="1" hidden="1" outlineLevel="1">
      <c r="T308" s="155"/>
      <c r="U308" s="156"/>
      <c r="X308" s="169" t="s">
        <v>317</v>
      </c>
      <c r="Y308" s="157" t="s">
        <v>46</v>
      </c>
      <c r="Z308" s="157"/>
      <c r="AA308" s="158">
        <f t="shared" si="418"/>
        <v>0</v>
      </c>
      <c r="AB308" s="159">
        <f t="shared" si="419"/>
        <v>0</v>
      </c>
      <c r="AC308" s="158">
        <v>0</v>
      </c>
      <c r="AD308" s="160">
        <v>0</v>
      </c>
      <c r="AE308" s="160"/>
      <c r="AF308" s="160"/>
      <c r="AG308" s="158"/>
      <c r="AH308" s="160"/>
      <c r="AI308" s="160"/>
      <c r="AJ308" s="160"/>
      <c r="AK308" s="158">
        <f t="shared" si="420"/>
        <v>0</v>
      </c>
      <c r="AL308" s="159">
        <f t="shared" si="421"/>
        <v>0</v>
      </c>
      <c r="AM308" s="158">
        <v>0</v>
      </c>
      <c r="AN308" s="160">
        <v>0</v>
      </c>
      <c r="AO308" s="160"/>
      <c r="AP308" s="160"/>
      <c r="AQ308" s="158"/>
      <c r="AR308" s="160"/>
      <c r="AS308" s="160"/>
      <c r="AT308" s="160"/>
      <c r="AU308" s="158">
        <f t="shared" si="422"/>
        <v>0</v>
      </c>
      <c r="AV308" s="159">
        <f t="shared" si="423"/>
        <v>0</v>
      </c>
      <c r="AW308" s="158">
        <v>0</v>
      </c>
      <c r="AX308" s="160">
        <v>0</v>
      </c>
      <c r="AY308" s="160"/>
      <c r="AZ308" s="160"/>
      <c r="BA308" s="158"/>
      <c r="BB308" s="160"/>
      <c r="BC308" s="160"/>
      <c r="BD308" s="160"/>
      <c r="BE308" s="158">
        <f t="shared" si="424"/>
        <v>0</v>
      </c>
      <c r="BF308" s="159">
        <f t="shared" si="425"/>
        <v>0</v>
      </c>
      <c r="BG308" s="158">
        <v>0</v>
      </c>
      <c r="BH308" s="160">
        <v>0</v>
      </c>
      <c r="BI308" s="160"/>
      <c r="BJ308" s="160"/>
      <c r="BK308" s="158"/>
      <c r="BL308" s="160"/>
      <c r="BM308" s="160"/>
      <c r="BN308" s="160"/>
      <c r="BO308" s="158">
        <f t="shared" si="426"/>
        <v>0</v>
      </c>
      <c r="BP308" s="159">
        <f t="shared" si="427"/>
        <v>0</v>
      </c>
      <c r="BQ308" s="158">
        <v>0</v>
      </c>
      <c r="BR308" s="160">
        <v>0</v>
      </c>
      <c r="BS308" s="160"/>
      <c r="BT308" s="160"/>
      <c r="BU308" s="158"/>
      <c r="BV308" s="160"/>
      <c r="BW308" s="160"/>
      <c r="BX308" s="160"/>
      <c r="BY308" s="158">
        <f t="shared" si="428"/>
        <v>0</v>
      </c>
      <c r="BZ308" s="159">
        <f t="shared" si="429"/>
        <v>0</v>
      </c>
      <c r="CA308" s="158">
        <v>0</v>
      </c>
      <c r="CB308" s="160">
        <v>0</v>
      </c>
      <c r="CC308" s="160"/>
      <c r="CD308" s="160"/>
      <c r="CE308" s="158"/>
      <c r="CF308" s="160"/>
      <c r="CG308" s="160"/>
      <c r="CH308" s="160"/>
      <c r="CI308" s="158">
        <f t="shared" si="430"/>
        <v>0</v>
      </c>
      <c r="CJ308" s="159">
        <f t="shared" si="431"/>
        <v>0</v>
      </c>
      <c r="CK308" s="158"/>
      <c r="CL308" s="160"/>
      <c r="CM308" s="160"/>
      <c r="CN308" s="160"/>
      <c r="CO308" s="158"/>
      <c r="CP308" s="160"/>
      <c r="CQ308" s="160"/>
      <c r="CR308" s="160"/>
      <c r="CS308" s="158">
        <f t="shared" si="432"/>
        <v>0</v>
      </c>
      <c r="CT308" s="159">
        <f t="shared" si="433"/>
        <v>0</v>
      </c>
      <c r="CU308" s="158"/>
      <c r="CV308" s="160"/>
      <c r="CW308" s="160"/>
      <c r="CX308" s="160"/>
      <c r="CY308" s="158"/>
      <c r="CZ308" s="160"/>
      <c r="DA308" s="160"/>
      <c r="DB308" s="160"/>
      <c r="DC308" s="158">
        <f t="shared" si="443"/>
        <v>0</v>
      </c>
      <c r="DD308" s="159">
        <f t="shared" si="434"/>
        <v>0</v>
      </c>
      <c r="DE308" s="158"/>
      <c r="DF308" s="160"/>
      <c r="DG308" s="160"/>
      <c r="DH308" s="160"/>
      <c r="DI308" s="158"/>
      <c r="DJ308" s="160"/>
      <c r="DK308" s="160"/>
      <c r="DL308" s="160"/>
      <c r="DM308" s="158">
        <f t="shared" si="435"/>
        <v>0</v>
      </c>
      <c r="DN308" s="159">
        <f t="shared" si="436"/>
        <v>0</v>
      </c>
      <c r="DO308" s="158"/>
      <c r="DP308" s="160"/>
      <c r="DQ308" s="160"/>
      <c r="DR308" s="160"/>
      <c r="DS308" s="158"/>
      <c r="DT308" s="160"/>
      <c r="DU308" s="160"/>
      <c r="DV308" s="160"/>
      <c r="DW308" s="158">
        <f t="shared" si="437"/>
        <v>0</v>
      </c>
      <c r="DX308" s="159">
        <f t="shared" si="438"/>
        <v>0</v>
      </c>
      <c r="DY308" s="158"/>
      <c r="DZ308" s="160"/>
      <c r="EA308" s="160"/>
      <c r="EB308" s="160"/>
      <c r="EC308" s="158"/>
      <c r="ED308" s="160"/>
      <c r="EE308" s="160"/>
      <c r="EF308" s="160"/>
      <c r="EG308" s="158">
        <f t="shared" si="439"/>
        <v>0</v>
      </c>
      <c r="EH308" s="159">
        <f t="shared" si="440"/>
        <v>0</v>
      </c>
      <c r="EI308" s="158"/>
      <c r="EJ308" s="160"/>
      <c r="EK308" s="160"/>
      <c r="EL308" s="160"/>
      <c r="EM308" s="158"/>
      <c r="EN308" s="160"/>
      <c r="EO308" s="160"/>
      <c r="EP308" s="160"/>
      <c r="EQ308" s="384"/>
      <c r="ER308" s="160">
        <f>SUM(ET308:EX308)</f>
        <v>0</v>
      </c>
      <c r="ES308" s="160">
        <f>IFERROR(SUMIFS(Daily_Vol_yesterday[Order Quantity],Daily_Vol_yesterday[Cust_Cat.cust_channel],master_Daily!X308,Daily_Vol_yesterday[Map_Product.TME_Brand],master_Daily!Y308)/50000,0)</f>
        <v>0</v>
      </c>
      <c r="ET308" s="160"/>
      <c r="EU308" s="160"/>
      <c r="EV308" s="159"/>
      <c r="EW308" s="160"/>
      <c r="EX308" s="160"/>
      <c r="EY308" s="160"/>
      <c r="EZ308" s="160">
        <f>SUM(FA308:FC308)</f>
        <v>0</v>
      </c>
      <c r="FA308" s="160">
        <f>IFERROR(SUM(SUMIFS(Weekly_Vol[Quantity],Weekly_Vol[Cust_Cat.cust_channel],master_Daily!X308,Weekly_Vol[Map_Product.TME_Brand],master_Daily!Y308),SUMIFS(Daily_Vol[Order Quantity],Daily_Vol[Cust_Cat.cust_channel],master_Daily!X308,Daily_Vol[Map_Product.TME_Brand],master_Daily!Y308))/50000,0)</f>
        <v>0</v>
      </c>
      <c r="FB308" s="160"/>
      <c r="FC308" s="160"/>
      <c r="FD308" s="160"/>
      <c r="FE308" s="160"/>
      <c r="FF308" s="160"/>
      <c r="FG308" s="160"/>
      <c r="FH308" s="160">
        <f ca="1">SUM(FI308:FK308)</f>
        <v>0</v>
      </c>
      <c r="FI308" s="160">
        <f t="shared" ca="1" si="447"/>
        <v>0</v>
      </c>
      <c r="FJ308" s="160">
        <f t="shared" ca="1" si="447"/>
        <v>0</v>
      </c>
      <c r="FK308" s="160">
        <f t="shared" ca="1" si="447"/>
        <v>0</v>
      </c>
      <c r="FL308" s="160">
        <f t="shared" ca="1" si="450"/>
        <v>0</v>
      </c>
      <c r="FM308" s="159">
        <f t="shared" ca="1" si="450"/>
        <v>0</v>
      </c>
      <c r="FN308" s="159">
        <f t="shared" ca="1" si="450"/>
        <v>0</v>
      </c>
      <c r="FO308" s="159">
        <f t="shared" ca="1" si="450"/>
        <v>0</v>
      </c>
      <c r="FP308" s="161">
        <f t="shared" ca="1" si="448"/>
        <v>0</v>
      </c>
      <c r="FQ308" s="162">
        <f t="shared" si="449"/>
        <v>0</v>
      </c>
      <c r="FR308" s="160">
        <f>SUMIFS(TME_MTD_Dist[Sell_WHS_QTY],TME_MTD_Dist[Dist_Name],master_Daily!$X308,TME_MTD_Dist[Brand],master_Daily!$Y308)/50000
 + SUMIFS(TME_MTD_Dist[Sell_RTL_QTY],TME_MTD_Dist[Dist_Name],master_Daily!$X308,TME_MTD_Dist[Brand],master_Daily!$Y308)/50000</f>
        <v>0</v>
      </c>
      <c r="FS308" s="162">
        <f t="shared" si="358"/>
        <v>0</v>
      </c>
    </row>
    <row r="309" spans="20:175" s="154" customFormat="1" hidden="1" outlineLevel="1">
      <c r="T309" s="155"/>
      <c r="U309" s="156"/>
      <c r="X309" s="169" t="s">
        <v>317</v>
      </c>
      <c r="Y309" s="157" t="s">
        <v>263</v>
      </c>
      <c r="Z309" s="157"/>
      <c r="AA309" s="158">
        <f t="shared" si="418"/>
        <v>0</v>
      </c>
      <c r="AB309" s="159">
        <f t="shared" si="419"/>
        <v>0</v>
      </c>
      <c r="AC309" s="158">
        <v>0</v>
      </c>
      <c r="AD309" s="160">
        <v>0</v>
      </c>
      <c r="AE309" s="160"/>
      <c r="AF309" s="160"/>
      <c r="AG309" s="158"/>
      <c r="AH309" s="160"/>
      <c r="AI309" s="160"/>
      <c r="AJ309" s="160"/>
      <c r="AK309" s="158">
        <f t="shared" si="420"/>
        <v>0</v>
      </c>
      <c r="AL309" s="159">
        <f t="shared" si="421"/>
        <v>0</v>
      </c>
      <c r="AM309" s="158">
        <v>0</v>
      </c>
      <c r="AN309" s="160">
        <v>0</v>
      </c>
      <c r="AO309" s="160"/>
      <c r="AP309" s="160"/>
      <c r="AQ309" s="158"/>
      <c r="AR309" s="160"/>
      <c r="AS309" s="160"/>
      <c r="AT309" s="160"/>
      <c r="AU309" s="158">
        <f t="shared" si="422"/>
        <v>0</v>
      </c>
      <c r="AV309" s="159">
        <f t="shared" si="423"/>
        <v>0</v>
      </c>
      <c r="AW309" s="158">
        <v>0</v>
      </c>
      <c r="AX309" s="160">
        <v>0</v>
      </c>
      <c r="AY309" s="160"/>
      <c r="AZ309" s="160"/>
      <c r="BA309" s="158"/>
      <c r="BB309" s="160"/>
      <c r="BC309" s="160"/>
      <c r="BD309" s="160"/>
      <c r="BE309" s="158">
        <f t="shared" si="424"/>
        <v>0</v>
      </c>
      <c r="BF309" s="159">
        <f t="shared" si="425"/>
        <v>0</v>
      </c>
      <c r="BG309" s="158">
        <v>0</v>
      </c>
      <c r="BH309" s="160">
        <v>0</v>
      </c>
      <c r="BI309" s="160"/>
      <c r="BJ309" s="160"/>
      <c r="BK309" s="158"/>
      <c r="BL309" s="160"/>
      <c r="BM309" s="160"/>
      <c r="BN309" s="160"/>
      <c r="BO309" s="158">
        <f t="shared" si="426"/>
        <v>0</v>
      </c>
      <c r="BP309" s="159">
        <f t="shared" si="427"/>
        <v>0</v>
      </c>
      <c r="BQ309" s="158">
        <v>0</v>
      </c>
      <c r="BR309" s="160">
        <v>0</v>
      </c>
      <c r="BS309" s="160"/>
      <c r="BT309" s="160"/>
      <c r="BU309" s="158"/>
      <c r="BV309" s="160"/>
      <c r="BW309" s="160"/>
      <c r="BX309" s="160"/>
      <c r="BY309" s="158">
        <f t="shared" si="428"/>
        <v>0</v>
      </c>
      <c r="BZ309" s="159">
        <f t="shared" si="429"/>
        <v>0</v>
      </c>
      <c r="CA309" s="158">
        <v>0</v>
      </c>
      <c r="CB309" s="160">
        <v>0</v>
      </c>
      <c r="CC309" s="160"/>
      <c r="CD309" s="160"/>
      <c r="CE309" s="158"/>
      <c r="CF309" s="160"/>
      <c r="CG309" s="160"/>
      <c r="CH309" s="160"/>
      <c r="CI309" s="158">
        <f t="shared" si="430"/>
        <v>0</v>
      </c>
      <c r="CJ309" s="159">
        <f t="shared" si="431"/>
        <v>0</v>
      </c>
      <c r="CK309" s="158"/>
      <c r="CL309" s="160"/>
      <c r="CM309" s="160"/>
      <c r="CN309" s="160"/>
      <c r="CO309" s="158"/>
      <c r="CP309" s="160"/>
      <c r="CQ309" s="160"/>
      <c r="CR309" s="160"/>
      <c r="CS309" s="158">
        <f t="shared" si="432"/>
        <v>0</v>
      </c>
      <c r="CT309" s="159">
        <f t="shared" si="433"/>
        <v>0</v>
      </c>
      <c r="CU309" s="158"/>
      <c r="CV309" s="160"/>
      <c r="CW309" s="160"/>
      <c r="CX309" s="160"/>
      <c r="CY309" s="158"/>
      <c r="CZ309" s="160"/>
      <c r="DA309" s="160"/>
      <c r="DB309" s="160"/>
      <c r="DC309" s="158">
        <f t="shared" si="443"/>
        <v>0</v>
      </c>
      <c r="DD309" s="159">
        <f t="shared" si="434"/>
        <v>0</v>
      </c>
      <c r="DE309" s="158"/>
      <c r="DF309" s="160"/>
      <c r="DG309" s="160"/>
      <c r="DH309" s="160"/>
      <c r="DI309" s="158"/>
      <c r="DJ309" s="160"/>
      <c r="DK309" s="160"/>
      <c r="DL309" s="160"/>
      <c r="DM309" s="158">
        <f t="shared" si="435"/>
        <v>0</v>
      </c>
      <c r="DN309" s="159">
        <f t="shared" si="436"/>
        <v>0</v>
      </c>
      <c r="DO309" s="158"/>
      <c r="DP309" s="160"/>
      <c r="DQ309" s="160"/>
      <c r="DR309" s="160"/>
      <c r="DS309" s="158"/>
      <c r="DT309" s="160"/>
      <c r="DU309" s="160"/>
      <c r="DV309" s="160"/>
      <c r="DW309" s="158">
        <f t="shared" si="437"/>
        <v>0</v>
      </c>
      <c r="DX309" s="159">
        <f t="shared" si="438"/>
        <v>0</v>
      </c>
      <c r="DY309" s="158"/>
      <c r="DZ309" s="160"/>
      <c r="EA309" s="160"/>
      <c r="EB309" s="160"/>
      <c r="EC309" s="158"/>
      <c r="ED309" s="160"/>
      <c r="EE309" s="160"/>
      <c r="EF309" s="160"/>
      <c r="EG309" s="158">
        <f t="shared" si="439"/>
        <v>0</v>
      </c>
      <c r="EH309" s="159">
        <f t="shared" si="440"/>
        <v>0</v>
      </c>
      <c r="EI309" s="158"/>
      <c r="EJ309" s="160"/>
      <c r="EK309" s="160"/>
      <c r="EL309" s="160"/>
      <c r="EM309" s="158"/>
      <c r="EN309" s="160"/>
      <c r="EO309" s="160"/>
      <c r="EP309" s="160"/>
      <c r="EQ309" s="384"/>
      <c r="ER309" s="160">
        <f>SUM(ET309:EX309)</f>
        <v>0</v>
      </c>
      <c r="ES309" s="160">
        <f>IFERROR(SUMIFS(Daily_Vol_yesterday[Order Quantity],Daily_Vol_yesterday[Cust_Cat.cust_channel],master_Daily!X309,Daily_Vol_yesterday[Map_Product.TME_Brand],"CM")/50000,0)</f>
        <v>0</v>
      </c>
      <c r="ET309" s="160"/>
      <c r="EU309" s="160"/>
      <c r="EV309" s="159"/>
      <c r="EW309" s="160"/>
      <c r="EX309" s="160"/>
      <c r="EY309" s="160"/>
      <c r="EZ309" s="160">
        <f>SUM(FA309:FC309)</f>
        <v>0</v>
      </c>
      <c r="FA309" s="160">
        <f>IFERROR(SUM(SUMIFS(Weekly_Vol[Quantity],Weekly_Vol[Cust_Cat.cust_channel],master_Daily!X309,Weekly_Vol[Map_Product.TME_Brand],"CM"),SUMIFS(Daily_Vol[Order Quantity],Daily_Vol[Cust_Cat.cust_channel],master_Daily!X309,Daily_Vol[Map_Product.TME_Brand],"CM"))/50000,0)</f>
        <v>0</v>
      </c>
      <c r="FB309" s="160"/>
      <c r="FC309" s="160"/>
      <c r="FD309" s="160"/>
      <c r="FE309" s="160"/>
      <c r="FF309" s="160"/>
      <c r="FG309" s="160"/>
      <c r="FH309" s="160">
        <f ca="1">SUM(FI309:FK309)</f>
        <v>0</v>
      </c>
      <c r="FI309" s="160">
        <f t="shared" ca="1" si="447"/>
        <v>0</v>
      </c>
      <c r="FJ309" s="160">
        <f t="shared" ca="1" si="447"/>
        <v>0</v>
      </c>
      <c r="FK309" s="160">
        <f t="shared" ca="1" si="447"/>
        <v>0</v>
      </c>
      <c r="FL309" s="160">
        <f ca="1">SUMIFS($AA309:$EP309,$AA$129:$EP$129,INDIRECT(ADDRESS(129,COLUMN())))</f>
        <v>0</v>
      </c>
      <c r="FM309" s="159">
        <f t="shared" ref="FM309:FO310" si="451">SUMIFS(AF309:EU309,$AA$129:$EP$129,$FH$129)</f>
        <v>0</v>
      </c>
      <c r="FN309" s="159">
        <f t="shared" si="451"/>
        <v>0</v>
      </c>
      <c r="FO309" s="159">
        <f t="shared" si="451"/>
        <v>0</v>
      </c>
      <c r="FP309" s="161">
        <f t="shared" ca="1" si="448"/>
        <v>0</v>
      </c>
      <c r="FQ309" s="162">
        <f t="shared" si="449"/>
        <v>0</v>
      </c>
      <c r="FR309" s="160">
        <f>SUMIFS(TME_MTD_Dist[Sell_WHS_QTY],TME_MTD_Dist[Dist_Name],master_Daily!$X309,TME_MTD_Dist[Brand],master_Daily!$Y309)/50000
 + SUMIFS(TME_MTD_Dist[Sell_RTL_QTY],TME_MTD_Dist[Dist_Name],master_Daily!$X309,TME_MTD_Dist[Brand],master_Daily!$Y309)/50000</f>
        <v>0</v>
      </c>
      <c r="FS309" s="162">
        <f t="shared" si="358"/>
        <v>0</v>
      </c>
    </row>
    <row r="310" spans="20:175" s="154" customFormat="1" hidden="1" outlineLevel="1">
      <c r="T310" s="155"/>
      <c r="U310" s="156"/>
      <c r="X310" s="169" t="s">
        <v>317</v>
      </c>
      <c r="Y310" s="157" t="s">
        <v>264</v>
      </c>
      <c r="Z310" s="157"/>
      <c r="AA310" s="158">
        <f t="shared" si="418"/>
        <v>0</v>
      </c>
      <c r="AB310" s="159">
        <f t="shared" si="419"/>
        <v>0</v>
      </c>
      <c r="AC310" s="158">
        <v>0</v>
      </c>
      <c r="AD310" s="160">
        <v>0</v>
      </c>
      <c r="AE310" s="160"/>
      <c r="AF310" s="160"/>
      <c r="AG310" s="158"/>
      <c r="AH310" s="160"/>
      <c r="AI310" s="160"/>
      <c r="AJ310" s="160"/>
      <c r="AK310" s="158">
        <f t="shared" si="420"/>
        <v>0</v>
      </c>
      <c r="AL310" s="159">
        <f t="shared" si="421"/>
        <v>0</v>
      </c>
      <c r="AM310" s="158">
        <v>0</v>
      </c>
      <c r="AN310" s="160">
        <v>0</v>
      </c>
      <c r="AO310" s="160"/>
      <c r="AP310" s="160"/>
      <c r="AQ310" s="158"/>
      <c r="AR310" s="160"/>
      <c r="AS310" s="160"/>
      <c r="AT310" s="160"/>
      <c r="AU310" s="158">
        <f t="shared" si="422"/>
        <v>0</v>
      </c>
      <c r="AV310" s="159">
        <f t="shared" si="423"/>
        <v>0</v>
      </c>
      <c r="AW310" s="158">
        <v>0</v>
      </c>
      <c r="AX310" s="160">
        <v>0</v>
      </c>
      <c r="AY310" s="160"/>
      <c r="AZ310" s="160"/>
      <c r="BA310" s="158"/>
      <c r="BB310" s="160"/>
      <c r="BC310" s="160"/>
      <c r="BD310" s="160"/>
      <c r="BE310" s="158">
        <f t="shared" si="424"/>
        <v>0</v>
      </c>
      <c r="BF310" s="159">
        <f t="shared" si="425"/>
        <v>0</v>
      </c>
      <c r="BG310" s="158">
        <v>0</v>
      </c>
      <c r="BH310" s="160">
        <v>0</v>
      </c>
      <c r="BI310" s="160"/>
      <c r="BJ310" s="160"/>
      <c r="BK310" s="158"/>
      <c r="BL310" s="160"/>
      <c r="BM310" s="160"/>
      <c r="BN310" s="160"/>
      <c r="BO310" s="158">
        <f t="shared" si="426"/>
        <v>0</v>
      </c>
      <c r="BP310" s="159">
        <f t="shared" si="427"/>
        <v>0</v>
      </c>
      <c r="BQ310" s="158">
        <v>0</v>
      </c>
      <c r="BR310" s="160">
        <v>0</v>
      </c>
      <c r="BS310" s="160"/>
      <c r="BT310" s="160"/>
      <c r="BU310" s="158"/>
      <c r="BV310" s="160"/>
      <c r="BW310" s="160"/>
      <c r="BX310" s="160"/>
      <c r="BY310" s="158">
        <f t="shared" si="428"/>
        <v>0</v>
      </c>
      <c r="BZ310" s="159">
        <f t="shared" si="429"/>
        <v>0</v>
      </c>
      <c r="CA310" s="158">
        <v>0</v>
      </c>
      <c r="CB310" s="160">
        <v>0</v>
      </c>
      <c r="CC310" s="160"/>
      <c r="CD310" s="160"/>
      <c r="CE310" s="158"/>
      <c r="CF310" s="160"/>
      <c r="CG310" s="160"/>
      <c r="CH310" s="160"/>
      <c r="CI310" s="158">
        <f t="shared" si="430"/>
        <v>0</v>
      </c>
      <c r="CJ310" s="159">
        <f t="shared" si="431"/>
        <v>0</v>
      </c>
      <c r="CK310" s="158"/>
      <c r="CL310" s="160"/>
      <c r="CM310" s="160"/>
      <c r="CN310" s="160"/>
      <c r="CO310" s="158"/>
      <c r="CP310" s="160"/>
      <c r="CQ310" s="160"/>
      <c r="CR310" s="160"/>
      <c r="CS310" s="158">
        <f t="shared" si="432"/>
        <v>0</v>
      </c>
      <c r="CT310" s="159">
        <f t="shared" si="433"/>
        <v>0</v>
      </c>
      <c r="CU310" s="158"/>
      <c r="CV310" s="160"/>
      <c r="CW310" s="160"/>
      <c r="CX310" s="160"/>
      <c r="CY310" s="158"/>
      <c r="CZ310" s="160"/>
      <c r="DA310" s="160"/>
      <c r="DB310" s="160"/>
      <c r="DC310" s="158">
        <f t="shared" si="443"/>
        <v>0</v>
      </c>
      <c r="DD310" s="159">
        <f t="shared" si="434"/>
        <v>0</v>
      </c>
      <c r="DE310" s="158"/>
      <c r="DF310" s="160"/>
      <c r="DG310" s="160"/>
      <c r="DH310" s="160"/>
      <c r="DI310" s="158"/>
      <c r="DJ310" s="160"/>
      <c r="DK310" s="160"/>
      <c r="DL310" s="160"/>
      <c r="DM310" s="158">
        <f t="shared" si="435"/>
        <v>0</v>
      </c>
      <c r="DN310" s="159">
        <f t="shared" si="436"/>
        <v>0</v>
      </c>
      <c r="DO310" s="158"/>
      <c r="DP310" s="160"/>
      <c r="DQ310" s="160"/>
      <c r="DR310" s="160"/>
      <c r="DS310" s="158"/>
      <c r="DT310" s="160"/>
      <c r="DU310" s="160"/>
      <c r="DV310" s="160"/>
      <c r="DW310" s="158">
        <f t="shared" si="437"/>
        <v>0</v>
      </c>
      <c r="DX310" s="159">
        <f t="shared" si="438"/>
        <v>0</v>
      </c>
      <c r="DY310" s="158"/>
      <c r="DZ310" s="160"/>
      <c r="EA310" s="160"/>
      <c r="EB310" s="160"/>
      <c r="EC310" s="158"/>
      <c r="ED310" s="160"/>
      <c r="EE310" s="160"/>
      <c r="EF310" s="160"/>
      <c r="EG310" s="158">
        <f t="shared" si="439"/>
        <v>0</v>
      </c>
      <c r="EH310" s="159">
        <f t="shared" si="440"/>
        <v>0</v>
      </c>
      <c r="EI310" s="158"/>
      <c r="EJ310" s="160"/>
      <c r="EK310" s="160"/>
      <c r="EL310" s="160"/>
      <c r="EM310" s="158"/>
      <c r="EN310" s="160"/>
      <c r="EO310" s="160"/>
      <c r="EP310" s="160"/>
      <c r="EQ310" s="384"/>
      <c r="ER310" s="160">
        <f>SUM(ET310:EX310)</f>
        <v>0</v>
      </c>
      <c r="ES310" s="160">
        <f>IFERROR(SUMIFS(Daily_Vol_yesterday[Order Quantity],Daily_Vol_yesterday[Cust_Cat.cust_channel],master_Daily!X310,Daily_Vol_yesterday[Map_Product.TME_Brand],"CMHD")/50000,0)</f>
        <v>0</v>
      </c>
      <c r="ET310" s="160"/>
      <c r="EU310" s="160"/>
      <c r="EV310" s="159"/>
      <c r="EW310" s="160"/>
      <c r="EX310" s="160"/>
      <c r="EY310" s="160"/>
      <c r="EZ310" s="160">
        <f>SUM(FA310:FC310)</f>
        <v>0</v>
      </c>
      <c r="FA310" s="160">
        <f>IFERROR(SUM(SUMIFS(Weekly_Vol[Quantity],Weekly_Vol[Cust_Cat.cust_channel],master_Daily!X310,Weekly_Vol[Map_Product.TME_Brand],"CMHD"),SUMIFS(Daily_Vol[Order Quantity],Daily_Vol[Cust_Cat.cust_channel],master_Daily!X310,Daily_Vol[Map_Product.TME_Brand],"CMHD"))/50000,0)</f>
        <v>0</v>
      </c>
      <c r="FB310" s="160"/>
      <c r="FC310" s="160"/>
      <c r="FD310" s="160"/>
      <c r="FE310" s="160"/>
      <c r="FF310" s="160"/>
      <c r="FG310" s="160"/>
      <c r="FH310" s="160">
        <f ca="1">SUM(FI310:FK310)</f>
        <v>0</v>
      </c>
      <c r="FI310" s="160">
        <f t="shared" ca="1" si="447"/>
        <v>0</v>
      </c>
      <c r="FJ310" s="160">
        <f t="shared" ca="1" si="447"/>
        <v>0</v>
      </c>
      <c r="FK310" s="160">
        <f t="shared" ca="1" si="447"/>
        <v>0</v>
      </c>
      <c r="FL310" s="160">
        <f ca="1">SUMIFS($AA310:$EP310,$AA$129:$EP$129,INDIRECT(ADDRESS(129,COLUMN())))</f>
        <v>0</v>
      </c>
      <c r="FM310" s="159">
        <f t="shared" si="451"/>
        <v>0</v>
      </c>
      <c r="FN310" s="159">
        <f t="shared" si="451"/>
        <v>0</v>
      </c>
      <c r="FO310" s="159">
        <f t="shared" si="451"/>
        <v>0</v>
      </c>
      <c r="FP310" s="161">
        <f t="shared" ca="1" si="448"/>
        <v>0</v>
      </c>
      <c r="FQ310" s="162">
        <f t="shared" si="449"/>
        <v>0</v>
      </c>
      <c r="FR310" s="160">
        <f>SUMIFS(TME_MTD_Dist[Sell_WHS_QTY],TME_MTD_Dist[Dist_Name],master_Daily!$X310,TME_MTD_Dist[Brand],master_Daily!$Y310)/50000
 + SUMIFS(TME_MTD_Dist[Sell_RTL_QTY],TME_MTD_Dist[Dist_Name],master_Daily!$X310,TME_MTD_Dist[Brand],master_Daily!$Y310)/50000</f>
        <v>0</v>
      </c>
      <c r="FS310" s="162">
        <f t="shared" si="358"/>
        <v>0</v>
      </c>
    </row>
    <row r="311" spans="20:175" s="154" customFormat="1" hidden="1" collapsed="1">
      <c r="T311" s="155"/>
      <c r="U311" s="156"/>
      <c r="X311" s="163" t="s">
        <v>318</v>
      </c>
      <c r="Y311" s="164"/>
      <c r="Z311" s="164"/>
      <c r="AA311" s="165">
        <f t="shared" si="418"/>
        <v>0</v>
      </c>
      <c r="AB311" s="165">
        <f t="shared" si="419"/>
        <v>0</v>
      </c>
      <c r="AC311" s="165">
        <v>0</v>
      </c>
      <c r="AD311" s="165">
        <v>0</v>
      </c>
      <c r="AE311" s="165">
        <v>0</v>
      </c>
      <c r="AF311" s="165">
        <v>0</v>
      </c>
      <c r="AG311" s="165">
        <v>0</v>
      </c>
      <c r="AH311" s="165">
        <v>0</v>
      </c>
      <c r="AI311" s="165">
        <v>0</v>
      </c>
      <c r="AJ311" s="165">
        <v>0</v>
      </c>
      <c r="AK311" s="165">
        <f t="shared" si="420"/>
        <v>0</v>
      </c>
      <c r="AL311" s="165">
        <f t="shared" si="421"/>
        <v>0</v>
      </c>
      <c r="AM311" s="114">
        <v>0</v>
      </c>
      <c r="AN311" s="114">
        <v>0</v>
      </c>
      <c r="AO311" s="114">
        <v>0</v>
      </c>
      <c r="AP311" s="114">
        <v>0</v>
      </c>
      <c r="AQ311" s="114">
        <v>0</v>
      </c>
      <c r="AR311" s="114">
        <v>0</v>
      </c>
      <c r="AS311" s="114">
        <v>0</v>
      </c>
      <c r="AT311" s="114">
        <v>0</v>
      </c>
      <c r="AU311" s="165">
        <f t="shared" si="422"/>
        <v>0</v>
      </c>
      <c r="AV311" s="165">
        <f t="shared" si="423"/>
        <v>0</v>
      </c>
      <c r="AW311" s="165">
        <v>0</v>
      </c>
      <c r="AX311" s="165">
        <v>0</v>
      </c>
      <c r="AY311" s="165">
        <v>0</v>
      </c>
      <c r="AZ311" s="165">
        <v>0</v>
      </c>
      <c r="BA311" s="165">
        <v>0</v>
      </c>
      <c r="BB311" s="165">
        <v>0</v>
      </c>
      <c r="BC311" s="165">
        <v>0</v>
      </c>
      <c r="BD311" s="165">
        <v>0</v>
      </c>
      <c r="BE311" s="165">
        <f t="shared" si="424"/>
        <v>0</v>
      </c>
      <c r="BF311" s="165">
        <f t="shared" si="425"/>
        <v>0</v>
      </c>
      <c r="BG311" s="165">
        <v>0</v>
      </c>
      <c r="BH311" s="165">
        <v>0</v>
      </c>
      <c r="BI311" s="165">
        <v>0</v>
      </c>
      <c r="BJ311" s="165">
        <v>0</v>
      </c>
      <c r="BK311" s="165">
        <v>0</v>
      </c>
      <c r="BL311" s="165">
        <v>0</v>
      </c>
      <c r="BM311" s="165">
        <v>0</v>
      </c>
      <c r="BN311" s="165">
        <v>0</v>
      </c>
      <c r="BO311" s="165">
        <f t="shared" si="426"/>
        <v>0</v>
      </c>
      <c r="BP311" s="165">
        <f t="shared" si="427"/>
        <v>0</v>
      </c>
      <c r="BQ311" s="165">
        <v>0</v>
      </c>
      <c r="BR311" s="165">
        <v>0</v>
      </c>
      <c r="BS311" s="165">
        <v>0</v>
      </c>
      <c r="BT311" s="165">
        <v>0</v>
      </c>
      <c r="BU311" s="165">
        <v>0</v>
      </c>
      <c r="BV311" s="165">
        <v>0</v>
      </c>
      <c r="BW311" s="165">
        <v>0</v>
      </c>
      <c r="BX311" s="165">
        <v>0</v>
      </c>
      <c r="BY311" s="165">
        <f t="shared" si="428"/>
        <v>0</v>
      </c>
      <c r="BZ311" s="165">
        <f t="shared" si="429"/>
        <v>0</v>
      </c>
      <c r="CA311" s="165">
        <v>0</v>
      </c>
      <c r="CB311" s="165">
        <v>0</v>
      </c>
      <c r="CC311" s="165">
        <v>0</v>
      </c>
      <c r="CD311" s="165">
        <v>0</v>
      </c>
      <c r="CE311" s="165">
        <v>0</v>
      </c>
      <c r="CF311" s="165">
        <v>0</v>
      </c>
      <c r="CG311" s="165">
        <v>0</v>
      </c>
      <c r="CH311" s="165">
        <v>0</v>
      </c>
      <c r="CI311" s="165">
        <f t="shared" si="430"/>
        <v>0</v>
      </c>
      <c r="CJ311" s="165">
        <f t="shared" si="431"/>
        <v>0</v>
      </c>
      <c r="CK311" s="165"/>
      <c r="CL311" s="165"/>
      <c r="CM311" s="165"/>
      <c r="CN311" s="165"/>
      <c r="CO311" s="165"/>
      <c r="CP311" s="165">
        <v>0</v>
      </c>
      <c r="CQ311" s="165">
        <v>0</v>
      </c>
      <c r="CR311" s="165">
        <v>0</v>
      </c>
      <c r="CS311" s="165">
        <f t="shared" si="432"/>
        <v>0</v>
      </c>
      <c r="CT311" s="165">
        <f t="shared" si="433"/>
        <v>0</v>
      </c>
      <c r="CU311" s="165"/>
      <c r="CV311" s="165"/>
      <c r="CW311" s="165"/>
      <c r="CX311" s="165"/>
      <c r="CY311" s="165"/>
      <c r="CZ311" s="165">
        <v>0</v>
      </c>
      <c r="DA311" s="165">
        <v>0</v>
      </c>
      <c r="DB311" s="165">
        <v>0</v>
      </c>
      <c r="DC311" s="165">
        <f t="shared" si="443"/>
        <v>0</v>
      </c>
      <c r="DD311" s="165">
        <f t="shared" si="434"/>
        <v>0</v>
      </c>
      <c r="DE311" s="165"/>
      <c r="DF311" s="165"/>
      <c r="DG311" s="165"/>
      <c r="DH311" s="165"/>
      <c r="DI311" s="165"/>
      <c r="DJ311" s="165">
        <v>0</v>
      </c>
      <c r="DK311" s="165">
        <v>0</v>
      </c>
      <c r="DL311" s="165">
        <v>0</v>
      </c>
      <c r="DM311" s="165">
        <f t="shared" si="435"/>
        <v>0</v>
      </c>
      <c r="DN311" s="165">
        <f t="shared" si="436"/>
        <v>0</v>
      </c>
      <c r="DO311" s="165"/>
      <c r="DP311" s="165"/>
      <c r="DQ311" s="165"/>
      <c r="DR311" s="165"/>
      <c r="DS311" s="165"/>
      <c r="DT311" s="165">
        <v>0</v>
      </c>
      <c r="DU311" s="165">
        <v>0</v>
      </c>
      <c r="DV311" s="165">
        <v>0</v>
      </c>
      <c r="DW311" s="165">
        <f t="shared" si="437"/>
        <v>0</v>
      </c>
      <c r="DX311" s="165">
        <f t="shared" si="438"/>
        <v>0</v>
      </c>
      <c r="DY311" s="165"/>
      <c r="DZ311" s="165"/>
      <c r="EA311" s="165"/>
      <c r="EB311" s="165"/>
      <c r="EC311" s="165">
        <v>0</v>
      </c>
      <c r="ED311" s="165">
        <v>0</v>
      </c>
      <c r="EE311" s="165">
        <v>0</v>
      </c>
      <c r="EF311" s="165">
        <v>0</v>
      </c>
      <c r="EG311" s="165">
        <f t="shared" si="439"/>
        <v>0</v>
      </c>
      <c r="EH311" s="165">
        <f t="shared" si="440"/>
        <v>0</v>
      </c>
      <c r="EI311" s="165"/>
      <c r="EJ311" s="165"/>
      <c r="EK311" s="165"/>
      <c r="EL311" s="165"/>
      <c r="EM311" s="165">
        <v>0</v>
      </c>
      <c r="EN311" s="165">
        <v>0</v>
      </c>
      <c r="EO311" s="165">
        <v>0</v>
      </c>
      <c r="EP311" s="165">
        <v>0</v>
      </c>
      <c r="EQ311" s="166"/>
      <c r="ER311" s="165">
        <f>SUM(ER306:ER310)</f>
        <v>0</v>
      </c>
      <c r="ES311" s="165">
        <f>SUM(ES306:ES310)</f>
        <v>0</v>
      </c>
      <c r="ET311" s="165">
        <f>SUM(ET306:ET310)</f>
        <v>0</v>
      </c>
      <c r="EU311" s="165">
        <f>SUM(EU306:EU310)</f>
        <v>0</v>
      </c>
      <c r="EV311" s="165"/>
      <c r="EW311" s="165"/>
      <c r="EX311" s="165"/>
      <c r="EY311" s="165"/>
      <c r="EZ311" s="165">
        <f t="shared" ref="EZ311:FK311" si="452">SUM(EZ306:EZ310)</f>
        <v>0</v>
      </c>
      <c r="FA311" s="165">
        <f t="shared" si="452"/>
        <v>0</v>
      </c>
      <c r="FB311" s="165">
        <f t="shared" si="452"/>
        <v>0</v>
      </c>
      <c r="FC311" s="165">
        <f t="shared" si="452"/>
        <v>0</v>
      </c>
      <c r="FD311" s="165">
        <f t="shared" si="452"/>
        <v>0</v>
      </c>
      <c r="FE311" s="165">
        <f t="shared" si="452"/>
        <v>0</v>
      </c>
      <c r="FF311" s="165">
        <f t="shared" si="452"/>
        <v>0</v>
      </c>
      <c r="FG311" s="165">
        <f t="shared" si="452"/>
        <v>0</v>
      </c>
      <c r="FH311" s="165">
        <f t="shared" ca="1" si="452"/>
        <v>0</v>
      </c>
      <c r="FI311" s="165">
        <f t="shared" ca="1" si="452"/>
        <v>0</v>
      </c>
      <c r="FJ311" s="165">
        <f t="shared" ca="1" si="452"/>
        <v>0</v>
      </c>
      <c r="FK311" s="165">
        <f t="shared" ca="1" si="452"/>
        <v>0</v>
      </c>
      <c r="FL311" s="165">
        <f ca="1">SUM(FL306:FL309)</f>
        <v>0</v>
      </c>
      <c r="FM311" s="166">
        <f ca="1">SUM(FM306:FM310)</f>
        <v>0</v>
      </c>
      <c r="FN311" s="166">
        <f ca="1">SUM(FN306:FN310)</f>
        <v>0</v>
      </c>
      <c r="FO311" s="166">
        <f ca="1">SUM(FO306:FO310)</f>
        <v>0</v>
      </c>
      <c r="FP311" s="167">
        <f t="shared" ca="1" si="448"/>
        <v>0</v>
      </c>
      <c r="FQ311" s="168">
        <f t="shared" si="449"/>
        <v>0</v>
      </c>
      <c r="FR311" s="165">
        <f>SUM(FR306:FR310)</f>
        <v>0</v>
      </c>
      <c r="FS311" s="168">
        <f t="shared" si="358"/>
        <v>0</v>
      </c>
    </row>
    <row r="312" spans="20:175" s="154" customFormat="1" hidden="1" outlineLevel="1">
      <c r="T312" s="155"/>
      <c r="U312" s="156"/>
      <c r="X312" s="169" t="s">
        <v>319</v>
      </c>
      <c r="Y312" s="157" t="s">
        <v>44</v>
      </c>
      <c r="Z312" s="157"/>
      <c r="AA312" s="158">
        <f t="shared" ref="AA312:AA317" si="453">SUM(AD312:AF312)</f>
        <v>0</v>
      </c>
      <c r="AB312" s="159">
        <f t="shared" ref="AB312:AB317" si="454">SUM(AH312:AJ312)</f>
        <v>0</v>
      </c>
      <c r="AC312" s="158">
        <v>0</v>
      </c>
      <c r="AD312" s="160">
        <v>0</v>
      </c>
      <c r="AE312" s="160"/>
      <c r="AF312" s="160"/>
      <c r="AG312" s="158"/>
      <c r="AH312" s="160"/>
      <c r="AI312" s="160"/>
      <c r="AJ312" s="160"/>
      <c r="AK312" s="158">
        <f t="shared" ref="AK312:AK317" si="455">SUM(AN312:AP312)</f>
        <v>0</v>
      </c>
      <c r="AL312" s="159">
        <f t="shared" ref="AL312:AL317" si="456">SUM(AR312:AT312)</f>
        <v>0</v>
      </c>
      <c r="AM312" s="158">
        <v>0</v>
      </c>
      <c r="AN312" s="160">
        <v>0</v>
      </c>
      <c r="AO312" s="160"/>
      <c r="AP312" s="160"/>
      <c r="AQ312" s="158"/>
      <c r="AR312" s="160"/>
      <c r="AS312" s="160"/>
      <c r="AT312" s="160"/>
      <c r="AU312" s="158">
        <f t="shared" ref="AU312:AU317" si="457">SUM(AX312:AZ312)</f>
        <v>0</v>
      </c>
      <c r="AV312" s="159">
        <f t="shared" ref="AV312:AV317" si="458">SUM(BB312:BD312)</f>
        <v>0</v>
      </c>
      <c r="AW312" s="158">
        <v>0</v>
      </c>
      <c r="AX312" s="160">
        <v>0</v>
      </c>
      <c r="AY312" s="160"/>
      <c r="AZ312" s="160"/>
      <c r="BA312" s="158"/>
      <c r="BB312" s="160"/>
      <c r="BC312" s="160"/>
      <c r="BD312" s="160"/>
      <c r="BE312" s="158">
        <f t="shared" ref="BE312:BE317" si="459">SUM(BH312:BJ312)</f>
        <v>0</v>
      </c>
      <c r="BF312" s="159">
        <f t="shared" ref="BF312:BF317" si="460">SUM(BL312:BN312)</f>
        <v>0</v>
      </c>
      <c r="BG312" s="158">
        <v>0</v>
      </c>
      <c r="BH312" s="160">
        <v>0</v>
      </c>
      <c r="BI312" s="160"/>
      <c r="BJ312" s="160"/>
      <c r="BK312" s="158"/>
      <c r="BL312" s="160"/>
      <c r="BM312" s="160"/>
      <c r="BN312" s="160"/>
      <c r="BO312" s="158">
        <f t="shared" ref="BO312:BO317" si="461">SUM(BR312:BT312)</f>
        <v>0</v>
      </c>
      <c r="BP312" s="159">
        <f t="shared" ref="BP312:BP317" si="462">SUM(BV312:BX312)</f>
        <v>0</v>
      </c>
      <c r="BQ312" s="158">
        <v>0</v>
      </c>
      <c r="BR312" s="160">
        <v>0</v>
      </c>
      <c r="BS312" s="160"/>
      <c r="BT312" s="160"/>
      <c r="BU312" s="158"/>
      <c r="BV312" s="160"/>
      <c r="BW312" s="160"/>
      <c r="BX312" s="160"/>
      <c r="BY312" s="158">
        <f t="shared" ref="BY312:BY317" si="463">SUM(CB312:CD312)</f>
        <v>0</v>
      </c>
      <c r="BZ312" s="159">
        <f t="shared" ref="BZ312:BZ317" si="464">SUM(CF312:CH312)</f>
        <v>0</v>
      </c>
      <c r="CA312" s="158">
        <v>0</v>
      </c>
      <c r="CB312" s="160">
        <v>0</v>
      </c>
      <c r="CC312" s="160"/>
      <c r="CD312" s="160"/>
      <c r="CE312" s="158"/>
      <c r="CF312" s="160"/>
      <c r="CG312" s="160"/>
      <c r="CH312" s="160"/>
      <c r="CI312" s="158">
        <f t="shared" ref="CI312:CI317" si="465">SUM(CL312:CN312)</f>
        <v>0</v>
      </c>
      <c r="CJ312" s="159">
        <f t="shared" ref="CJ312:CJ317" si="466">SUM(CP312:CR312)</f>
        <v>0</v>
      </c>
      <c r="CK312" s="158"/>
      <c r="CL312" s="160"/>
      <c r="CM312" s="160"/>
      <c r="CN312" s="160"/>
      <c r="CO312" s="158"/>
      <c r="CP312" s="160"/>
      <c r="CQ312" s="160"/>
      <c r="CR312" s="160"/>
      <c r="CS312" s="158">
        <f t="shared" ref="CS312:CS317" si="467">SUM(CV312:CX312)</f>
        <v>0</v>
      </c>
      <c r="CT312" s="159">
        <f t="shared" ref="CT312:CT317" si="468">SUM(CZ312:DB312)</f>
        <v>0</v>
      </c>
      <c r="CU312" s="158"/>
      <c r="CV312" s="160"/>
      <c r="CW312" s="160"/>
      <c r="CX312" s="160"/>
      <c r="CY312" s="158"/>
      <c r="CZ312" s="160"/>
      <c r="DA312" s="160"/>
      <c r="DB312" s="160"/>
      <c r="DC312" s="158">
        <f t="shared" ref="DC312:DC317" si="469">SUM(DF312:DH312)</f>
        <v>0</v>
      </c>
      <c r="DD312" s="159">
        <f t="shared" ref="DD312:DD317" si="470">SUM(DJ312:DL312)</f>
        <v>0</v>
      </c>
      <c r="DE312" s="158"/>
      <c r="DF312" s="160"/>
      <c r="DG312" s="160"/>
      <c r="DH312" s="160"/>
      <c r="DI312" s="158"/>
      <c r="DJ312" s="160"/>
      <c r="DK312" s="160"/>
      <c r="DL312" s="160"/>
      <c r="DM312" s="158">
        <f t="shared" ref="DM312:DM317" si="471">SUM(DP312:DR312)</f>
        <v>0</v>
      </c>
      <c r="DN312" s="159">
        <f t="shared" ref="DN312:DN317" si="472">SUM(DT312:DV312)</f>
        <v>0</v>
      </c>
      <c r="DO312" s="158"/>
      <c r="DP312" s="160"/>
      <c r="DQ312" s="160"/>
      <c r="DR312" s="160"/>
      <c r="DS312" s="158"/>
      <c r="DT312" s="160"/>
      <c r="DU312" s="160"/>
      <c r="DV312" s="160"/>
      <c r="DW312" s="158">
        <f t="shared" ref="DW312:DW317" si="473">SUM(DZ312:EB312)</f>
        <v>0</v>
      </c>
      <c r="DX312" s="159">
        <f t="shared" ref="DX312:DX317" si="474">SUM(ED312:EF312)</f>
        <v>0</v>
      </c>
      <c r="DY312" s="158"/>
      <c r="DZ312" s="160"/>
      <c r="EA312" s="160"/>
      <c r="EB312" s="160"/>
      <c r="EC312" s="158"/>
      <c r="ED312" s="160"/>
      <c r="EE312" s="160"/>
      <c r="EF312" s="160"/>
      <c r="EG312" s="158">
        <f t="shared" ref="EG312:EG317" si="475">SUM(EJ312:EL312)</f>
        <v>0</v>
      </c>
      <c r="EH312" s="159">
        <f t="shared" ref="EH312:EH317" si="476">SUM(EN312:EP312)</f>
        <v>0</v>
      </c>
      <c r="EI312" s="158"/>
      <c r="EJ312" s="160"/>
      <c r="EK312" s="160"/>
      <c r="EL312" s="160"/>
      <c r="EM312" s="158"/>
      <c r="EN312" s="160"/>
      <c r="EO312" s="160"/>
      <c r="EP312" s="160"/>
      <c r="EQ312" s="384"/>
      <c r="ER312" s="160">
        <f>SUM(ET312:EX312)</f>
        <v>0</v>
      </c>
      <c r="ES312" s="160">
        <f>IFERROR(SUMIFS(Daily_Vol_yesterday[Order Quantity],Daily_Vol_yesterday[Cust_Cat.cust_channel],master_Daily!X312,Daily_Vol_yesterday[Map_Product.TME_Brand],master_Daily!Y312)/50000,0)</f>
        <v>0</v>
      </c>
      <c r="ET312" s="160"/>
      <c r="EU312" s="160"/>
      <c r="EV312" s="159"/>
      <c r="EW312" s="160"/>
      <c r="EX312" s="160"/>
      <c r="EY312" s="160"/>
      <c r="EZ312" s="160">
        <f>SUM(FA312:FC312)</f>
        <v>0</v>
      </c>
      <c r="FA312" s="160">
        <f>IFERROR(SUM(SUMIFS(Weekly_Vol[Quantity],Weekly_Vol[Cust_Cat.cust_channel],master_Daily!X312,Weekly_Vol[Map_Product.TME_Brand],master_Daily!Y312),SUMIFS(Daily_Vol[Order Quantity],Daily_Vol[Cust_Cat.cust_channel],master_Daily!X312,Daily_Vol[Map_Product.TME_Brand],master_Daily!Y312))/50000,0)</f>
        <v>0</v>
      </c>
      <c r="FB312" s="160"/>
      <c r="FC312" s="160"/>
      <c r="FD312" s="160"/>
      <c r="FE312" s="160"/>
      <c r="FF312" s="160"/>
      <c r="FG312" s="160"/>
      <c r="FH312" s="160">
        <f ca="1">SUM(FI312:FK312)</f>
        <v>0</v>
      </c>
      <c r="FI312" s="160">
        <f t="shared" ref="FI312:FK316" ca="1" si="477">SUMIFS($AA312:$EP312,$AA$129:$EP$129,INDIRECT(ADDRESS(129,COLUMN())))</f>
        <v>0</v>
      </c>
      <c r="FJ312" s="160">
        <f t="shared" ca="1" si="477"/>
        <v>0</v>
      </c>
      <c r="FK312" s="160">
        <f t="shared" ca="1" si="477"/>
        <v>0</v>
      </c>
      <c r="FL312" s="160">
        <f ca="1">SUMIFS($AA312:$EP312,$AA$129:$EP$129,INDIRECT(ADDRESS(38,COLUMN())))</f>
        <v>0</v>
      </c>
      <c r="FM312" s="160">
        <f ca="1">SUMIFS($AA312:$EP312,$AA$129:$EP$129,INDIRECT(ADDRESS(38,COLUMN())))</f>
        <v>0</v>
      </c>
      <c r="FN312" s="160">
        <f ca="1">SUMIFS($AA312:$EP312,$AA$129:$EP$129,INDIRECT(ADDRESS(38,COLUMN())))</f>
        <v>0</v>
      </c>
      <c r="FO312" s="160">
        <f ca="1">SUMIFS($AA312:$EP312,$AA$129:$EP$129,INDIRECT(ADDRESS(38,COLUMN())))</f>
        <v>0</v>
      </c>
      <c r="FP312" s="161">
        <f t="shared" ref="FP312:FP317" ca="1" si="478">IFERROR(FH312/$FH$317,0)</f>
        <v>0</v>
      </c>
      <c r="FQ312" s="162">
        <f t="shared" si="449"/>
        <v>0</v>
      </c>
      <c r="FR312" s="160">
        <f>SUMIFS(TME_MTD_Dist[Sell_WHS_QTY],TME_MTD_Dist[Dist_Name],master_Daily!$X312,TME_MTD_Dist[Brand],master_Daily!$Y312)/50000
 + SUMIFS(TME_MTD_Dist[Sell_RTL_QTY],TME_MTD_Dist[Dist_Name],master_Daily!$X312,TME_MTD_Dist[Brand],master_Daily!$Y312)/50000</f>
        <v>0</v>
      </c>
      <c r="FS312" s="162">
        <f t="shared" si="358"/>
        <v>0</v>
      </c>
    </row>
    <row r="313" spans="20:175" s="154" customFormat="1" hidden="1" outlineLevel="1">
      <c r="T313" s="155"/>
      <c r="U313" s="156"/>
      <c r="X313" s="169" t="s">
        <v>319</v>
      </c>
      <c r="Y313" s="157" t="s">
        <v>45</v>
      </c>
      <c r="Z313" s="157"/>
      <c r="AA313" s="158">
        <f t="shared" si="453"/>
        <v>0</v>
      </c>
      <c r="AB313" s="159">
        <f t="shared" si="454"/>
        <v>0</v>
      </c>
      <c r="AC313" s="158">
        <v>0</v>
      </c>
      <c r="AD313" s="160">
        <v>0</v>
      </c>
      <c r="AE313" s="160"/>
      <c r="AF313" s="160"/>
      <c r="AG313" s="158"/>
      <c r="AH313" s="160"/>
      <c r="AI313" s="160"/>
      <c r="AJ313" s="160"/>
      <c r="AK313" s="158">
        <f t="shared" si="455"/>
        <v>0</v>
      </c>
      <c r="AL313" s="159">
        <f t="shared" si="456"/>
        <v>0</v>
      </c>
      <c r="AM313" s="158">
        <v>0</v>
      </c>
      <c r="AN313" s="160">
        <v>0</v>
      </c>
      <c r="AO313" s="160"/>
      <c r="AP313" s="160"/>
      <c r="AQ313" s="158"/>
      <c r="AR313" s="160"/>
      <c r="AS313" s="160"/>
      <c r="AT313" s="160"/>
      <c r="AU313" s="158">
        <f t="shared" si="457"/>
        <v>0</v>
      </c>
      <c r="AV313" s="159">
        <f t="shared" si="458"/>
        <v>0</v>
      </c>
      <c r="AW313" s="158">
        <v>0</v>
      </c>
      <c r="AX313" s="160">
        <v>0</v>
      </c>
      <c r="AY313" s="160"/>
      <c r="AZ313" s="160"/>
      <c r="BA313" s="158"/>
      <c r="BB313" s="160"/>
      <c r="BC313" s="160"/>
      <c r="BD313" s="160"/>
      <c r="BE313" s="158">
        <f t="shared" si="459"/>
        <v>0</v>
      </c>
      <c r="BF313" s="159">
        <f t="shared" si="460"/>
        <v>0</v>
      </c>
      <c r="BG313" s="158">
        <v>0</v>
      </c>
      <c r="BH313" s="160">
        <v>0</v>
      </c>
      <c r="BI313" s="160"/>
      <c r="BJ313" s="160"/>
      <c r="BK313" s="158"/>
      <c r="BL313" s="160"/>
      <c r="BM313" s="160"/>
      <c r="BN313" s="160"/>
      <c r="BO313" s="158">
        <f t="shared" si="461"/>
        <v>0</v>
      </c>
      <c r="BP313" s="159">
        <f t="shared" si="462"/>
        <v>0</v>
      </c>
      <c r="BQ313" s="158">
        <v>0</v>
      </c>
      <c r="BR313" s="160">
        <v>0</v>
      </c>
      <c r="BS313" s="160"/>
      <c r="BT313" s="160"/>
      <c r="BU313" s="158"/>
      <c r="BV313" s="160"/>
      <c r="BW313" s="160"/>
      <c r="BX313" s="160"/>
      <c r="BY313" s="158">
        <f t="shared" si="463"/>
        <v>0</v>
      </c>
      <c r="BZ313" s="159">
        <f t="shared" si="464"/>
        <v>0</v>
      </c>
      <c r="CA313" s="158">
        <v>0</v>
      </c>
      <c r="CB313" s="160">
        <v>0</v>
      </c>
      <c r="CC313" s="160"/>
      <c r="CD313" s="160"/>
      <c r="CE313" s="158"/>
      <c r="CF313" s="160"/>
      <c r="CG313" s="160"/>
      <c r="CH313" s="160"/>
      <c r="CI313" s="158">
        <f t="shared" si="465"/>
        <v>0</v>
      </c>
      <c r="CJ313" s="159">
        <f t="shared" si="466"/>
        <v>0</v>
      </c>
      <c r="CK313" s="158"/>
      <c r="CL313" s="160"/>
      <c r="CM313" s="160"/>
      <c r="CN313" s="160"/>
      <c r="CO313" s="158"/>
      <c r="CP313" s="160"/>
      <c r="CQ313" s="160"/>
      <c r="CR313" s="160"/>
      <c r="CS313" s="158">
        <f t="shared" si="467"/>
        <v>0</v>
      </c>
      <c r="CT313" s="159">
        <f t="shared" si="468"/>
        <v>0</v>
      </c>
      <c r="CU313" s="158"/>
      <c r="CV313" s="160"/>
      <c r="CW313" s="160"/>
      <c r="CX313" s="160"/>
      <c r="CY313" s="158"/>
      <c r="CZ313" s="160"/>
      <c r="DA313" s="160"/>
      <c r="DB313" s="160"/>
      <c r="DC313" s="158">
        <f t="shared" si="469"/>
        <v>0</v>
      </c>
      <c r="DD313" s="159">
        <f t="shared" si="470"/>
        <v>0</v>
      </c>
      <c r="DE313" s="158"/>
      <c r="DF313" s="160"/>
      <c r="DG313" s="160"/>
      <c r="DH313" s="160"/>
      <c r="DI313" s="158"/>
      <c r="DJ313" s="160"/>
      <c r="DK313" s="160"/>
      <c r="DL313" s="160"/>
      <c r="DM313" s="158">
        <f t="shared" si="471"/>
        <v>0</v>
      </c>
      <c r="DN313" s="159">
        <f t="shared" si="472"/>
        <v>0</v>
      </c>
      <c r="DO313" s="158"/>
      <c r="DP313" s="160"/>
      <c r="DQ313" s="160"/>
      <c r="DR313" s="160"/>
      <c r="DS313" s="158"/>
      <c r="DT313" s="160"/>
      <c r="DU313" s="160"/>
      <c r="DV313" s="160"/>
      <c r="DW313" s="158">
        <f t="shared" si="473"/>
        <v>0</v>
      </c>
      <c r="DX313" s="159">
        <f t="shared" si="474"/>
        <v>0</v>
      </c>
      <c r="DY313" s="158"/>
      <c r="DZ313" s="160"/>
      <c r="EA313" s="160"/>
      <c r="EB313" s="160"/>
      <c r="EC313" s="158"/>
      <c r="ED313" s="160"/>
      <c r="EE313" s="160"/>
      <c r="EF313" s="160"/>
      <c r="EG313" s="158">
        <f t="shared" si="475"/>
        <v>0</v>
      </c>
      <c r="EH313" s="159">
        <f t="shared" si="476"/>
        <v>0</v>
      </c>
      <c r="EI313" s="158"/>
      <c r="EJ313" s="160"/>
      <c r="EK313" s="160"/>
      <c r="EL313" s="160"/>
      <c r="EM313" s="158"/>
      <c r="EN313" s="160"/>
      <c r="EO313" s="160"/>
      <c r="EP313" s="160"/>
      <c r="EQ313" s="384"/>
      <c r="ER313" s="160">
        <f>SUM(ET313:EX313)</f>
        <v>0</v>
      </c>
      <c r="ES313" s="160">
        <f>IFERROR(SUMIFS(Daily_Vol_yesterday[Order Quantity],Daily_Vol_yesterday[Cust_Cat.cust_channel],master_Daily!X313,Daily_Vol_yesterday[Map_Product.TME_Brand],master_Daily!Y313)/50000,0)</f>
        <v>0</v>
      </c>
      <c r="ET313" s="160"/>
      <c r="EU313" s="160"/>
      <c r="EV313" s="159"/>
      <c r="EW313" s="160"/>
      <c r="EX313" s="160"/>
      <c r="EY313" s="160"/>
      <c r="EZ313" s="160">
        <f>SUM(FA313:FC313)</f>
        <v>0</v>
      </c>
      <c r="FA313" s="160">
        <f>IFERROR(SUM(SUMIFS(Weekly_Vol[Quantity],Weekly_Vol[Cust_Cat.cust_channel],master_Daily!X313,Weekly_Vol[Map_Product.TME_Brand],master_Daily!Y313),SUMIFS(Daily_Vol[Order Quantity],Daily_Vol[Cust_Cat.cust_channel],master_Daily!X313,Daily_Vol[Map_Product.TME_Brand],master_Daily!Y313))/50000,0)</f>
        <v>0</v>
      </c>
      <c r="FB313" s="160"/>
      <c r="FC313" s="160"/>
      <c r="FD313" s="160"/>
      <c r="FE313" s="160"/>
      <c r="FF313" s="160"/>
      <c r="FG313" s="160"/>
      <c r="FH313" s="160">
        <f ca="1">SUM(FI313:FK313)</f>
        <v>0</v>
      </c>
      <c r="FI313" s="160">
        <f t="shared" ca="1" si="477"/>
        <v>0</v>
      </c>
      <c r="FJ313" s="160">
        <f t="shared" ca="1" si="477"/>
        <v>0</v>
      </c>
      <c r="FK313" s="160">
        <f t="shared" ca="1" si="477"/>
        <v>0</v>
      </c>
      <c r="FL313" s="160">
        <f t="shared" ref="FL313:FO314" ca="1" si="479">SUMIFS($AA313:$EP313,$AA$129:$EP$129,INDIRECT(ADDRESS(129,COLUMN())))</f>
        <v>0</v>
      </c>
      <c r="FM313" s="159">
        <f t="shared" ca="1" si="479"/>
        <v>0</v>
      </c>
      <c r="FN313" s="159">
        <f t="shared" ca="1" si="479"/>
        <v>0</v>
      </c>
      <c r="FO313" s="159">
        <f t="shared" ca="1" si="479"/>
        <v>0</v>
      </c>
      <c r="FP313" s="161">
        <f t="shared" ca="1" si="478"/>
        <v>0</v>
      </c>
      <c r="FQ313" s="162">
        <f t="shared" si="449"/>
        <v>0</v>
      </c>
      <c r="FR313" s="160">
        <f>SUMIFS(TME_MTD_Dist[Sell_WHS_QTY],TME_MTD_Dist[Dist_Name],master_Daily!$X313,TME_MTD_Dist[Brand],master_Daily!$Y313)/50000
 + SUMIFS(TME_MTD_Dist[Sell_RTL_QTY],TME_MTD_Dist[Dist_Name],master_Daily!$X313,TME_MTD_Dist[Brand],master_Daily!$Y313)/50000</f>
        <v>0</v>
      </c>
      <c r="FS313" s="162">
        <f t="shared" si="358"/>
        <v>0</v>
      </c>
    </row>
    <row r="314" spans="20:175" s="154" customFormat="1" hidden="1" outlineLevel="1">
      <c r="T314" s="155"/>
      <c r="U314" s="156"/>
      <c r="X314" s="169" t="s">
        <v>319</v>
      </c>
      <c r="Y314" s="157" t="s">
        <v>46</v>
      </c>
      <c r="Z314" s="157"/>
      <c r="AA314" s="158">
        <f t="shared" si="453"/>
        <v>0</v>
      </c>
      <c r="AB314" s="159">
        <f t="shared" si="454"/>
        <v>0</v>
      </c>
      <c r="AC314" s="158">
        <v>0</v>
      </c>
      <c r="AD314" s="160">
        <v>0</v>
      </c>
      <c r="AE314" s="160"/>
      <c r="AF314" s="160"/>
      <c r="AG314" s="158"/>
      <c r="AH314" s="160"/>
      <c r="AI314" s="160"/>
      <c r="AJ314" s="160"/>
      <c r="AK314" s="158">
        <f t="shared" si="455"/>
        <v>0</v>
      </c>
      <c r="AL314" s="159">
        <f t="shared" si="456"/>
        <v>0</v>
      </c>
      <c r="AM314" s="158">
        <v>0</v>
      </c>
      <c r="AN314" s="160">
        <v>0</v>
      </c>
      <c r="AO314" s="160"/>
      <c r="AP314" s="160"/>
      <c r="AQ314" s="158"/>
      <c r="AR314" s="160"/>
      <c r="AS314" s="160"/>
      <c r="AT314" s="160"/>
      <c r="AU314" s="158">
        <f t="shared" si="457"/>
        <v>0</v>
      </c>
      <c r="AV314" s="159">
        <f t="shared" si="458"/>
        <v>0</v>
      </c>
      <c r="AW314" s="158">
        <v>0</v>
      </c>
      <c r="AX314" s="160">
        <v>0</v>
      </c>
      <c r="AY314" s="160"/>
      <c r="AZ314" s="160"/>
      <c r="BA314" s="158"/>
      <c r="BB314" s="160"/>
      <c r="BC314" s="160"/>
      <c r="BD314" s="160"/>
      <c r="BE314" s="158">
        <f t="shared" si="459"/>
        <v>0</v>
      </c>
      <c r="BF314" s="159">
        <f t="shared" si="460"/>
        <v>0</v>
      </c>
      <c r="BG314" s="158">
        <v>0</v>
      </c>
      <c r="BH314" s="160">
        <v>0</v>
      </c>
      <c r="BI314" s="160"/>
      <c r="BJ314" s="160"/>
      <c r="BK314" s="158"/>
      <c r="BL314" s="160"/>
      <c r="BM314" s="160"/>
      <c r="BN314" s="160"/>
      <c r="BO314" s="158">
        <f t="shared" si="461"/>
        <v>0</v>
      </c>
      <c r="BP314" s="159">
        <f t="shared" si="462"/>
        <v>0</v>
      </c>
      <c r="BQ314" s="158">
        <v>0</v>
      </c>
      <c r="BR314" s="160">
        <v>0</v>
      </c>
      <c r="BS314" s="160"/>
      <c r="BT314" s="160"/>
      <c r="BU314" s="158"/>
      <c r="BV314" s="160"/>
      <c r="BW314" s="160"/>
      <c r="BX314" s="160"/>
      <c r="BY314" s="158">
        <f t="shared" si="463"/>
        <v>0</v>
      </c>
      <c r="BZ314" s="159">
        <f t="shared" si="464"/>
        <v>0</v>
      </c>
      <c r="CA314" s="158">
        <v>0</v>
      </c>
      <c r="CB314" s="160">
        <v>0</v>
      </c>
      <c r="CC314" s="160"/>
      <c r="CD314" s="160"/>
      <c r="CE314" s="158"/>
      <c r="CF314" s="160"/>
      <c r="CG314" s="160"/>
      <c r="CH314" s="160"/>
      <c r="CI314" s="158">
        <f t="shared" si="465"/>
        <v>0</v>
      </c>
      <c r="CJ314" s="159">
        <f t="shared" si="466"/>
        <v>0</v>
      </c>
      <c r="CK314" s="158"/>
      <c r="CL314" s="160"/>
      <c r="CM314" s="160"/>
      <c r="CN314" s="160"/>
      <c r="CO314" s="158"/>
      <c r="CP314" s="160"/>
      <c r="CQ314" s="160"/>
      <c r="CR314" s="160"/>
      <c r="CS314" s="158">
        <f t="shared" si="467"/>
        <v>0</v>
      </c>
      <c r="CT314" s="159">
        <f t="shared" si="468"/>
        <v>0</v>
      </c>
      <c r="CU314" s="158"/>
      <c r="CV314" s="160"/>
      <c r="CW314" s="160"/>
      <c r="CX314" s="160"/>
      <c r="CY314" s="158"/>
      <c r="CZ314" s="160"/>
      <c r="DA314" s="160"/>
      <c r="DB314" s="160"/>
      <c r="DC314" s="158">
        <f t="shared" si="469"/>
        <v>0</v>
      </c>
      <c r="DD314" s="159">
        <f t="shared" si="470"/>
        <v>0</v>
      </c>
      <c r="DE314" s="158"/>
      <c r="DF314" s="160"/>
      <c r="DG314" s="160"/>
      <c r="DH314" s="160"/>
      <c r="DI314" s="158"/>
      <c r="DJ314" s="160"/>
      <c r="DK314" s="160"/>
      <c r="DL314" s="160"/>
      <c r="DM314" s="158">
        <f t="shared" si="471"/>
        <v>0</v>
      </c>
      <c r="DN314" s="159">
        <f t="shared" si="472"/>
        <v>0</v>
      </c>
      <c r="DO314" s="158"/>
      <c r="DP314" s="160"/>
      <c r="DQ314" s="160"/>
      <c r="DR314" s="160"/>
      <c r="DS314" s="158"/>
      <c r="DT314" s="160"/>
      <c r="DU314" s="160"/>
      <c r="DV314" s="160"/>
      <c r="DW314" s="158">
        <f t="shared" si="473"/>
        <v>0</v>
      </c>
      <c r="DX314" s="159">
        <f t="shared" si="474"/>
        <v>0</v>
      </c>
      <c r="DY314" s="158"/>
      <c r="DZ314" s="160"/>
      <c r="EA314" s="160"/>
      <c r="EB314" s="160"/>
      <c r="EC314" s="158"/>
      <c r="ED314" s="160"/>
      <c r="EE314" s="160"/>
      <c r="EF314" s="160"/>
      <c r="EG314" s="158">
        <f t="shared" si="475"/>
        <v>0</v>
      </c>
      <c r="EH314" s="159">
        <f t="shared" si="476"/>
        <v>0</v>
      </c>
      <c r="EI314" s="158"/>
      <c r="EJ314" s="160"/>
      <c r="EK314" s="160"/>
      <c r="EL314" s="160"/>
      <c r="EM314" s="158"/>
      <c r="EN314" s="160"/>
      <c r="EO314" s="160"/>
      <c r="EP314" s="160"/>
      <c r="EQ314" s="384"/>
      <c r="ER314" s="160">
        <f>SUM(ET314:EX314)</f>
        <v>0</v>
      </c>
      <c r="ES314" s="160">
        <f>IFERROR(SUMIFS(Daily_Vol_yesterday[Order Quantity],Daily_Vol_yesterday[Cust_Cat.cust_channel],master_Daily!X314,Daily_Vol_yesterday[Map_Product.TME_Brand],master_Daily!Y314)/50000,0)</f>
        <v>0</v>
      </c>
      <c r="ET314" s="160"/>
      <c r="EU314" s="160"/>
      <c r="EV314" s="159"/>
      <c r="EW314" s="160"/>
      <c r="EX314" s="160"/>
      <c r="EY314" s="160"/>
      <c r="EZ314" s="160">
        <f>SUM(FA314:FC314)</f>
        <v>0</v>
      </c>
      <c r="FA314" s="160">
        <f>IFERROR(SUM(SUMIFS(Weekly_Vol[Quantity],Weekly_Vol[Cust_Cat.cust_channel],master_Daily!X314,Weekly_Vol[Map_Product.TME_Brand],master_Daily!Y314),SUMIFS(Daily_Vol[Order Quantity],Daily_Vol[Cust_Cat.cust_channel],master_Daily!X314,Daily_Vol[Map_Product.TME_Brand],master_Daily!Y314))/50000,0)</f>
        <v>0</v>
      </c>
      <c r="FB314" s="160"/>
      <c r="FC314" s="160"/>
      <c r="FD314" s="160"/>
      <c r="FE314" s="160"/>
      <c r="FF314" s="160"/>
      <c r="FG314" s="160"/>
      <c r="FH314" s="160">
        <f ca="1">SUM(FI314:FK314)</f>
        <v>0</v>
      </c>
      <c r="FI314" s="160">
        <f t="shared" ca="1" si="477"/>
        <v>0</v>
      </c>
      <c r="FJ314" s="160">
        <f t="shared" ca="1" si="477"/>
        <v>0</v>
      </c>
      <c r="FK314" s="160">
        <f t="shared" ca="1" si="477"/>
        <v>0</v>
      </c>
      <c r="FL314" s="160">
        <f t="shared" ca="1" si="479"/>
        <v>0</v>
      </c>
      <c r="FM314" s="159">
        <f t="shared" ca="1" si="479"/>
        <v>0</v>
      </c>
      <c r="FN314" s="159">
        <f t="shared" ca="1" si="479"/>
        <v>0</v>
      </c>
      <c r="FO314" s="159">
        <f t="shared" ca="1" si="479"/>
        <v>0</v>
      </c>
      <c r="FP314" s="161">
        <f t="shared" ca="1" si="478"/>
        <v>0</v>
      </c>
      <c r="FQ314" s="162">
        <f t="shared" si="449"/>
        <v>0</v>
      </c>
      <c r="FR314" s="160">
        <f>SUMIFS(TME_MTD_Dist[Sell_WHS_QTY],TME_MTD_Dist[Dist_Name],master_Daily!$X314,TME_MTD_Dist[Brand],master_Daily!$Y314)/50000
 + SUMIFS(TME_MTD_Dist[Sell_RTL_QTY],TME_MTD_Dist[Dist_Name],master_Daily!$X314,TME_MTD_Dist[Brand],master_Daily!$Y314)/50000</f>
        <v>0</v>
      </c>
      <c r="FS314" s="162">
        <f t="shared" si="358"/>
        <v>0</v>
      </c>
    </row>
    <row r="315" spans="20:175" s="154" customFormat="1" hidden="1" outlineLevel="1">
      <c r="T315" s="155"/>
      <c r="U315" s="156"/>
      <c r="X315" s="169" t="s">
        <v>319</v>
      </c>
      <c r="Y315" s="157" t="s">
        <v>263</v>
      </c>
      <c r="Z315" s="157"/>
      <c r="AA315" s="158">
        <f t="shared" si="453"/>
        <v>0</v>
      </c>
      <c r="AB315" s="159">
        <f t="shared" si="454"/>
        <v>0</v>
      </c>
      <c r="AC315" s="158">
        <v>0</v>
      </c>
      <c r="AD315" s="160">
        <v>0</v>
      </c>
      <c r="AE315" s="160"/>
      <c r="AF315" s="160"/>
      <c r="AG315" s="158"/>
      <c r="AH315" s="160"/>
      <c r="AI315" s="160"/>
      <c r="AJ315" s="160"/>
      <c r="AK315" s="158">
        <f t="shared" si="455"/>
        <v>0</v>
      </c>
      <c r="AL315" s="159">
        <f t="shared" si="456"/>
        <v>0</v>
      </c>
      <c r="AM315" s="158">
        <v>0</v>
      </c>
      <c r="AN315" s="160">
        <v>0</v>
      </c>
      <c r="AO315" s="160"/>
      <c r="AP315" s="160"/>
      <c r="AQ315" s="158"/>
      <c r="AR315" s="160"/>
      <c r="AS315" s="160"/>
      <c r="AT315" s="160"/>
      <c r="AU315" s="158">
        <f t="shared" si="457"/>
        <v>0</v>
      </c>
      <c r="AV315" s="159">
        <f t="shared" si="458"/>
        <v>0</v>
      </c>
      <c r="AW315" s="158">
        <v>0</v>
      </c>
      <c r="AX315" s="160">
        <v>0</v>
      </c>
      <c r="AY315" s="160"/>
      <c r="AZ315" s="160"/>
      <c r="BA315" s="158"/>
      <c r="BB315" s="160"/>
      <c r="BC315" s="160"/>
      <c r="BD315" s="160"/>
      <c r="BE315" s="158">
        <f t="shared" si="459"/>
        <v>0</v>
      </c>
      <c r="BF315" s="159">
        <f t="shared" si="460"/>
        <v>0</v>
      </c>
      <c r="BG315" s="158">
        <v>0</v>
      </c>
      <c r="BH315" s="160">
        <v>0</v>
      </c>
      <c r="BI315" s="160"/>
      <c r="BJ315" s="160"/>
      <c r="BK315" s="158"/>
      <c r="BL315" s="160"/>
      <c r="BM315" s="160"/>
      <c r="BN315" s="160"/>
      <c r="BO315" s="158">
        <f t="shared" si="461"/>
        <v>0</v>
      </c>
      <c r="BP315" s="159">
        <f t="shared" si="462"/>
        <v>0</v>
      </c>
      <c r="BQ315" s="158">
        <v>0</v>
      </c>
      <c r="BR315" s="160">
        <v>0</v>
      </c>
      <c r="BS315" s="160"/>
      <c r="BT315" s="160"/>
      <c r="BU315" s="158"/>
      <c r="BV315" s="160"/>
      <c r="BW315" s="160"/>
      <c r="BX315" s="160"/>
      <c r="BY315" s="158">
        <f t="shared" si="463"/>
        <v>0</v>
      </c>
      <c r="BZ315" s="159">
        <f t="shared" si="464"/>
        <v>0</v>
      </c>
      <c r="CA315" s="158">
        <v>0</v>
      </c>
      <c r="CB315" s="160">
        <v>0</v>
      </c>
      <c r="CC315" s="160"/>
      <c r="CD315" s="160"/>
      <c r="CE315" s="158"/>
      <c r="CF315" s="160"/>
      <c r="CG315" s="160"/>
      <c r="CH315" s="160"/>
      <c r="CI315" s="158">
        <f t="shared" si="465"/>
        <v>0</v>
      </c>
      <c r="CJ315" s="159">
        <f t="shared" si="466"/>
        <v>0</v>
      </c>
      <c r="CK315" s="158"/>
      <c r="CL315" s="160"/>
      <c r="CM315" s="160"/>
      <c r="CN315" s="160"/>
      <c r="CO315" s="158"/>
      <c r="CP315" s="160"/>
      <c r="CQ315" s="160"/>
      <c r="CR315" s="160"/>
      <c r="CS315" s="158">
        <f t="shared" si="467"/>
        <v>0</v>
      </c>
      <c r="CT315" s="159">
        <f t="shared" si="468"/>
        <v>0</v>
      </c>
      <c r="CU315" s="158"/>
      <c r="CV315" s="160"/>
      <c r="CW315" s="160"/>
      <c r="CX315" s="160"/>
      <c r="CY315" s="158"/>
      <c r="CZ315" s="160"/>
      <c r="DA315" s="160"/>
      <c r="DB315" s="160"/>
      <c r="DC315" s="158">
        <f t="shared" si="469"/>
        <v>0</v>
      </c>
      <c r="DD315" s="159">
        <f t="shared" si="470"/>
        <v>0</v>
      </c>
      <c r="DE315" s="158"/>
      <c r="DF315" s="160"/>
      <c r="DG315" s="160"/>
      <c r="DH315" s="160"/>
      <c r="DI315" s="158"/>
      <c r="DJ315" s="160"/>
      <c r="DK315" s="160"/>
      <c r="DL315" s="160"/>
      <c r="DM315" s="158">
        <f t="shared" si="471"/>
        <v>0</v>
      </c>
      <c r="DN315" s="159">
        <f t="shared" si="472"/>
        <v>0</v>
      </c>
      <c r="DO315" s="158"/>
      <c r="DP315" s="160"/>
      <c r="DQ315" s="160"/>
      <c r="DR315" s="160"/>
      <c r="DS315" s="158"/>
      <c r="DT315" s="160"/>
      <c r="DU315" s="160"/>
      <c r="DV315" s="160"/>
      <c r="DW315" s="158">
        <f t="shared" si="473"/>
        <v>0</v>
      </c>
      <c r="DX315" s="159">
        <f t="shared" si="474"/>
        <v>0</v>
      </c>
      <c r="DY315" s="158"/>
      <c r="DZ315" s="160"/>
      <c r="EA315" s="160"/>
      <c r="EB315" s="160"/>
      <c r="EC315" s="158"/>
      <c r="ED315" s="160"/>
      <c r="EE315" s="160"/>
      <c r="EF315" s="160"/>
      <c r="EG315" s="158">
        <f t="shared" si="475"/>
        <v>0</v>
      </c>
      <c r="EH315" s="159">
        <f t="shared" si="476"/>
        <v>0</v>
      </c>
      <c r="EI315" s="158"/>
      <c r="EJ315" s="160"/>
      <c r="EK315" s="160"/>
      <c r="EL315" s="160"/>
      <c r="EM315" s="158"/>
      <c r="EN315" s="160"/>
      <c r="EO315" s="160"/>
      <c r="EP315" s="160"/>
      <c r="EQ315" s="384"/>
      <c r="ER315" s="160">
        <f>SUM(ET315:EX315)</f>
        <v>0</v>
      </c>
      <c r="ES315" s="160">
        <f>IFERROR(SUMIFS(Daily_Vol_yesterday[Order Quantity],Daily_Vol_yesterday[Cust_Cat.cust_channel],master_Daily!X315,Daily_Vol_yesterday[Map_Product.TME_Brand],"CM")/50000,0)</f>
        <v>0</v>
      </c>
      <c r="ET315" s="160"/>
      <c r="EU315" s="160"/>
      <c r="EV315" s="159"/>
      <c r="EW315" s="160"/>
      <c r="EX315" s="160"/>
      <c r="EY315" s="160"/>
      <c r="EZ315" s="160">
        <f>SUM(FA315:FC315)</f>
        <v>0</v>
      </c>
      <c r="FA315" s="160">
        <f>IFERROR(SUM(SUMIFS(Weekly_Vol[Quantity],Weekly_Vol[Cust_Cat.cust_channel],master_Daily!X315,Weekly_Vol[Map_Product.TME_Brand],"CM"),SUMIFS(Daily_Vol[Order Quantity],Daily_Vol[Cust_Cat.cust_channel],master_Daily!X315,Daily_Vol[Map_Product.TME_Brand],"CM"))/50000,0)</f>
        <v>0</v>
      </c>
      <c r="FB315" s="160"/>
      <c r="FC315" s="160"/>
      <c r="FD315" s="160"/>
      <c r="FE315" s="160"/>
      <c r="FF315" s="160"/>
      <c r="FG315" s="160"/>
      <c r="FH315" s="160">
        <f ca="1">SUM(FI315:FK315)</f>
        <v>0</v>
      </c>
      <c r="FI315" s="160">
        <f t="shared" ca="1" si="477"/>
        <v>0</v>
      </c>
      <c r="FJ315" s="160">
        <f t="shared" ca="1" si="477"/>
        <v>0</v>
      </c>
      <c r="FK315" s="160">
        <f t="shared" ca="1" si="477"/>
        <v>0</v>
      </c>
      <c r="FL315" s="160">
        <f ca="1">SUMIFS($AA315:$EP315,$AA$129:$EP$129,INDIRECT(ADDRESS(129,COLUMN())))</f>
        <v>0</v>
      </c>
      <c r="FM315" s="159">
        <f t="shared" ref="FM315:FO316" si="480">SUMIFS(AF315:EU315,$AA$129:$EP$129,$FH$129)</f>
        <v>0</v>
      </c>
      <c r="FN315" s="159">
        <f t="shared" si="480"/>
        <v>0</v>
      </c>
      <c r="FO315" s="159">
        <f t="shared" si="480"/>
        <v>0</v>
      </c>
      <c r="FP315" s="161">
        <f t="shared" ca="1" si="478"/>
        <v>0</v>
      </c>
      <c r="FQ315" s="162">
        <f t="shared" si="449"/>
        <v>0</v>
      </c>
      <c r="FR315" s="160">
        <f>SUMIFS(TME_MTD_Dist[Sell_WHS_QTY],TME_MTD_Dist[Dist_Name],master_Daily!$X315,TME_MTD_Dist[Brand],master_Daily!$Y315)/50000
 + SUMIFS(TME_MTD_Dist[Sell_RTL_QTY],TME_MTD_Dist[Dist_Name],master_Daily!$X315,TME_MTD_Dist[Brand],master_Daily!$Y315)/50000</f>
        <v>0</v>
      </c>
      <c r="FS315" s="162">
        <f t="shared" si="358"/>
        <v>0</v>
      </c>
    </row>
    <row r="316" spans="20:175" s="154" customFormat="1" hidden="1" outlineLevel="1">
      <c r="T316" s="155"/>
      <c r="U316" s="156"/>
      <c r="X316" s="169" t="s">
        <v>319</v>
      </c>
      <c r="Y316" s="157" t="s">
        <v>264</v>
      </c>
      <c r="Z316" s="157"/>
      <c r="AA316" s="158">
        <f t="shared" si="453"/>
        <v>0</v>
      </c>
      <c r="AB316" s="159">
        <f t="shared" si="454"/>
        <v>0</v>
      </c>
      <c r="AC316" s="158">
        <v>0</v>
      </c>
      <c r="AD316" s="160">
        <v>0</v>
      </c>
      <c r="AE316" s="160"/>
      <c r="AF316" s="160"/>
      <c r="AG316" s="158"/>
      <c r="AH316" s="160"/>
      <c r="AI316" s="160"/>
      <c r="AJ316" s="160"/>
      <c r="AK316" s="158">
        <f t="shared" si="455"/>
        <v>0</v>
      </c>
      <c r="AL316" s="159">
        <f t="shared" si="456"/>
        <v>0</v>
      </c>
      <c r="AM316" s="158">
        <v>0</v>
      </c>
      <c r="AN316" s="160">
        <v>0</v>
      </c>
      <c r="AO316" s="160"/>
      <c r="AP316" s="160"/>
      <c r="AQ316" s="158"/>
      <c r="AR316" s="160"/>
      <c r="AS316" s="160"/>
      <c r="AT316" s="160"/>
      <c r="AU316" s="158">
        <f t="shared" si="457"/>
        <v>0</v>
      </c>
      <c r="AV316" s="159">
        <f t="shared" si="458"/>
        <v>0</v>
      </c>
      <c r="AW316" s="158">
        <v>0</v>
      </c>
      <c r="AX316" s="160">
        <v>0</v>
      </c>
      <c r="AY316" s="160"/>
      <c r="AZ316" s="160"/>
      <c r="BA316" s="158"/>
      <c r="BB316" s="160"/>
      <c r="BC316" s="160"/>
      <c r="BD316" s="160"/>
      <c r="BE316" s="158">
        <f t="shared" si="459"/>
        <v>0</v>
      </c>
      <c r="BF316" s="159">
        <f t="shared" si="460"/>
        <v>0</v>
      </c>
      <c r="BG316" s="158">
        <v>0</v>
      </c>
      <c r="BH316" s="160">
        <v>0</v>
      </c>
      <c r="BI316" s="160"/>
      <c r="BJ316" s="160"/>
      <c r="BK316" s="158"/>
      <c r="BL316" s="160"/>
      <c r="BM316" s="160"/>
      <c r="BN316" s="160"/>
      <c r="BO316" s="158">
        <f t="shared" si="461"/>
        <v>0</v>
      </c>
      <c r="BP316" s="159">
        <f t="shared" si="462"/>
        <v>0</v>
      </c>
      <c r="BQ316" s="158">
        <v>0</v>
      </c>
      <c r="BR316" s="160">
        <v>0</v>
      </c>
      <c r="BS316" s="160"/>
      <c r="BT316" s="160"/>
      <c r="BU316" s="158"/>
      <c r="BV316" s="160"/>
      <c r="BW316" s="160"/>
      <c r="BX316" s="160"/>
      <c r="BY316" s="158">
        <f t="shared" si="463"/>
        <v>0</v>
      </c>
      <c r="BZ316" s="159">
        <f t="shared" si="464"/>
        <v>0</v>
      </c>
      <c r="CA316" s="158">
        <v>0</v>
      </c>
      <c r="CB316" s="160">
        <v>0</v>
      </c>
      <c r="CC316" s="160"/>
      <c r="CD316" s="160"/>
      <c r="CE316" s="158"/>
      <c r="CF316" s="160"/>
      <c r="CG316" s="160"/>
      <c r="CH316" s="160"/>
      <c r="CI316" s="158">
        <f t="shared" si="465"/>
        <v>0</v>
      </c>
      <c r="CJ316" s="159">
        <f t="shared" si="466"/>
        <v>0</v>
      </c>
      <c r="CK316" s="158"/>
      <c r="CL316" s="160"/>
      <c r="CM316" s="160"/>
      <c r="CN316" s="160"/>
      <c r="CO316" s="158"/>
      <c r="CP316" s="160"/>
      <c r="CQ316" s="160"/>
      <c r="CR316" s="160"/>
      <c r="CS316" s="158">
        <f t="shared" si="467"/>
        <v>0</v>
      </c>
      <c r="CT316" s="159">
        <f t="shared" si="468"/>
        <v>0</v>
      </c>
      <c r="CU316" s="158"/>
      <c r="CV316" s="160"/>
      <c r="CW316" s="160"/>
      <c r="CX316" s="160"/>
      <c r="CY316" s="158"/>
      <c r="CZ316" s="160"/>
      <c r="DA316" s="160"/>
      <c r="DB316" s="160"/>
      <c r="DC316" s="158">
        <f t="shared" si="469"/>
        <v>0</v>
      </c>
      <c r="DD316" s="159">
        <f t="shared" si="470"/>
        <v>0</v>
      </c>
      <c r="DE316" s="158"/>
      <c r="DF316" s="160"/>
      <c r="DG316" s="160"/>
      <c r="DH316" s="160"/>
      <c r="DI316" s="158"/>
      <c r="DJ316" s="160"/>
      <c r="DK316" s="160"/>
      <c r="DL316" s="160"/>
      <c r="DM316" s="158">
        <f t="shared" si="471"/>
        <v>0</v>
      </c>
      <c r="DN316" s="159">
        <f t="shared" si="472"/>
        <v>0</v>
      </c>
      <c r="DO316" s="158"/>
      <c r="DP316" s="160"/>
      <c r="DQ316" s="160"/>
      <c r="DR316" s="160"/>
      <c r="DS316" s="158"/>
      <c r="DT316" s="160"/>
      <c r="DU316" s="160"/>
      <c r="DV316" s="160"/>
      <c r="DW316" s="158">
        <f t="shared" si="473"/>
        <v>0</v>
      </c>
      <c r="DX316" s="159">
        <f t="shared" si="474"/>
        <v>0</v>
      </c>
      <c r="DY316" s="158"/>
      <c r="DZ316" s="160"/>
      <c r="EA316" s="160"/>
      <c r="EB316" s="160"/>
      <c r="EC316" s="158"/>
      <c r="ED316" s="160"/>
      <c r="EE316" s="160"/>
      <c r="EF316" s="160"/>
      <c r="EG316" s="158">
        <f t="shared" si="475"/>
        <v>0</v>
      </c>
      <c r="EH316" s="159">
        <f t="shared" si="476"/>
        <v>0</v>
      </c>
      <c r="EI316" s="158"/>
      <c r="EJ316" s="160"/>
      <c r="EK316" s="160"/>
      <c r="EL316" s="160"/>
      <c r="EM316" s="158"/>
      <c r="EN316" s="160"/>
      <c r="EO316" s="160"/>
      <c r="EP316" s="160"/>
      <c r="EQ316" s="384"/>
      <c r="ER316" s="160">
        <f>SUM(ET316:EX316)</f>
        <v>0</v>
      </c>
      <c r="ES316" s="160">
        <f>IFERROR(SUMIFS(Daily_Vol_yesterday[Order Quantity],Daily_Vol_yesterday[Cust_Cat.cust_channel],master_Daily!X316,Daily_Vol_yesterday[Map_Product.TME_Brand],"CMHD")/50000,0)</f>
        <v>0</v>
      </c>
      <c r="ET316" s="160"/>
      <c r="EU316" s="160"/>
      <c r="EV316" s="159"/>
      <c r="EW316" s="160"/>
      <c r="EX316" s="160"/>
      <c r="EY316" s="160"/>
      <c r="EZ316" s="160">
        <f>SUM(FA316:FC316)</f>
        <v>0</v>
      </c>
      <c r="FA316" s="160">
        <f>IFERROR(SUM(SUMIFS(Weekly_Vol[Quantity],Weekly_Vol[Cust_Cat.cust_channel],master_Daily!X316,Weekly_Vol[Map_Product.TME_Brand],"CMHD"),SUMIFS(Daily_Vol[Order Quantity],Daily_Vol[Cust_Cat.cust_channel],master_Daily!X316,Daily_Vol[Map_Product.TME_Brand],"CMHD"))/50000,0)</f>
        <v>0</v>
      </c>
      <c r="FB316" s="160"/>
      <c r="FC316" s="160"/>
      <c r="FD316" s="160"/>
      <c r="FE316" s="160"/>
      <c r="FF316" s="160"/>
      <c r="FG316" s="160"/>
      <c r="FH316" s="160">
        <f ca="1">SUM(FI316:FK316)</f>
        <v>0</v>
      </c>
      <c r="FI316" s="160">
        <f t="shared" ca="1" si="477"/>
        <v>0</v>
      </c>
      <c r="FJ316" s="160">
        <f t="shared" ca="1" si="477"/>
        <v>0</v>
      </c>
      <c r="FK316" s="160">
        <f t="shared" ca="1" si="477"/>
        <v>0</v>
      </c>
      <c r="FL316" s="160">
        <f ca="1">SUMIFS($AA316:$EP316,$AA$129:$EP$129,INDIRECT(ADDRESS(129,COLUMN())))</f>
        <v>0</v>
      </c>
      <c r="FM316" s="159">
        <f t="shared" si="480"/>
        <v>0</v>
      </c>
      <c r="FN316" s="159">
        <f t="shared" si="480"/>
        <v>0</v>
      </c>
      <c r="FO316" s="159">
        <f t="shared" si="480"/>
        <v>0</v>
      </c>
      <c r="FP316" s="161">
        <f t="shared" ca="1" si="478"/>
        <v>0</v>
      </c>
      <c r="FQ316" s="162">
        <f t="shared" si="449"/>
        <v>0</v>
      </c>
      <c r="FR316" s="160">
        <f>SUMIFS(TME_MTD_Dist[Sell_WHS_QTY],TME_MTD_Dist[Dist_Name],master_Daily!$X316,TME_MTD_Dist[Brand],master_Daily!$Y316)/50000
 + SUMIFS(TME_MTD_Dist[Sell_RTL_QTY],TME_MTD_Dist[Dist_Name],master_Daily!$X316,TME_MTD_Dist[Brand],master_Daily!$Y316)/50000</f>
        <v>0</v>
      </c>
      <c r="FS316" s="162">
        <f t="shared" si="358"/>
        <v>0</v>
      </c>
    </row>
    <row r="317" spans="20:175" s="154" customFormat="1" hidden="1" collapsed="1">
      <c r="T317" s="155"/>
      <c r="U317" s="156"/>
      <c r="X317" s="163" t="s">
        <v>320</v>
      </c>
      <c r="Y317" s="164"/>
      <c r="Z317" s="164"/>
      <c r="AA317" s="165">
        <f t="shared" si="453"/>
        <v>0</v>
      </c>
      <c r="AB317" s="165">
        <f t="shared" si="454"/>
        <v>0</v>
      </c>
      <c r="AC317" s="165">
        <v>0</v>
      </c>
      <c r="AD317" s="165">
        <v>0</v>
      </c>
      <c r="AE317" s="165">
        <v>0</v>
      </c>
      <c r="AF317" s="165">
        <v>0</v>
      </c>
      <c r="AG317" s="165">
        <v>0</v>
      </c>
      <c r="AH317" s="165">
        <v>0</v>
      </c>
      <c r="AI317" s="165">
        <v>0</v>
      </c>
      <c r="AJ317" s="165">
        <v>0</v>
      </c>
      <c r="AK317" s="165">
        <f t="shared" si="455"/>
        <v>0</v>
      </c>
      <c r="AL317" s="165">
        <f t="shared" si="456"/>
        <v>0</v>
      </c>
      <c r="AM317" s="114">
        <v>0</v>
      </c>
      <c r="AN317" s="114">
        <v>0</v>
      </c>
      <c r="AO317" s="114">
        <v>0</v>
      </c>
      <c r="AP317" s="114">
        <v>0</v>
      </c>
      <c r="AQ317" s="114">
        <v>0</v>
      </c>
      <c r="AR317" s="114">
        <v>0</v>
      </c>
      <c r="AS317" s="114">
        <v>0</v>
      </c>
      <c r="AT317" s="114">
        <v>0</v>
      </c>
      <c r="AU317" s="165">
        <f t="shared" si="457"/>
        <v>0</v>
      </c>
      <c r="AV317" s="165">
        <f t="shared" si="458"/>
        <v>0</v>
      </c>
      <c r="AW317" s="165">
        <v>0</v>
      </c>
      <c r="AX317" s="165">
        <v>0</v>
      </c>
      <c r="AY317" s="165">
        <v>0</v>
      </c>
      <c r="AZ317" s="165">
        <v>0</v>
      </c>
      <c r="BA317" s="165">
        <v>0</v>
      </c>
      <c r="BB317" s="165">
        <v>0</v>
      </c>
      <c r="BC317" s="165">
        <v>0</v>
      </c>
      <c r="BD317" s="165">
        <v>0</v>
      </c>
      <c r="BE317" s="165">
        <f t="shared" si="459"/>
        <v>0</v>
      </c>
      <c r="BF317" s="165">
        <f t="shared" si="460"/>
        <v>0</v>
      </c>
      <c r="BG317" s="165">
        <v>0</v>
      </c>
      <c r="BH317" s="165">
        <v>0</v>
      </c>
      <c r="BI317" s="165">
        <v>0</v>
      </c>
      <c r="BJ317" s="165">
        <v>0</v>
      </c>
      <c r="BK317" s="165">
        <v>0</v>
      </c>
      <c r="BL317" s="165">
        <v>0</v>
      </c>
      <c r="BM317" s="165">
        <v>0</v>
      </c>
      <c r="BN317" s="165">
        <v>0</v>
      </c>
      <c r="BO317" s="165">
        <f t="shared" si="461"/>
        <v>0</v>
      </c>
      <c r="BP317" s="165">
        <f t="shared" si="462"/>
        <v>0</v>
      </c>
      <c r="BQ317" s="165">
        <v>0</v>
      </c>
      <c r="BR317" s="165">
        <v>0</v>
      </c>
      <c r="BS317" s="165">
        <v>0</v>
      </c>
      <c r="BT317" s="165">
        <v>0</v>
      </c>
      <c r="BU317" s="165">
        <v>0</v>
      </c>
      <c r="BV317" s="165">
        <v>0</v>
      </c>
      <c r="BW317" s="165">
        <v>0</v>
      </c>
      <c r="BX317" s="165">
        <v>0</v>
      </c>
      <c r="BY317" s="165">
        <f t="shared" si="463"/>
        <v>0</v>
      </c>
      <c r="BZ317" s="165">
        <f t="shared" si="464"/>
        <v>0</v>
      </c>
      <c r="CA317" s="165">
        <v>0</v>
      </c>
      <c r="CB317" s="165">
        <v>0</v>
      </c>
      <c r="CC317" s="165">
        <v>0</v>
      </c>
      <c r="CD317" s="165">
        <v>0</v>
      </c>
      <c r="CE317" s="165">
        <v>0</v>
      </c>
      <c r="CF317" s="165">
        <v>0</v>
      </c>
      <c r="CG317" s="165">
        <v>0</v>
      </c>
      <c r="CH317" s="165">
        <v>0</v>
      </c>
      <c r="CI317" s="165">
        <f t="shared" si="465"/>
        <v>0</v>
      </c>
      <c r="CJ317" s="165">
        <f t="shared" si="466"/>
        <v>0</v>
      </c>
      <c r="CK317" s="165"/>
      <c r="CL317" s="165"/>
      <c r="CM317" s="165"/>
      <c r="CN317" s="165"/>
      <c r="CO317" s="165"/>
      <c r="CP317" s="165">
        <v>0</v>
      </c>
      <c r="CQ317" s="165">
        <v>0</v>
      </c>
      <c r="CR317" s="165">
        <v>0</v>
      </c>
      <c r="CS317" s="165">
        <f t="shared" si="467"/>
        <v>0</v>
      </c>
      <c r="CT317" s="165">
        <f t="shared" si="468"/>
        <v>0</v>
      </c>
      <c r="CU317" s="165"/>
      <c r="CV317" s="165"/>
      <c r="CW317" s="165"/>
      <c r="CX317" s="165"/>
      <c r="CY317" s="165"/>
      <c r="CZ317" s="165">
        <v>0</v>
      </c>
      <c r="DA317" s="165">
        <v>0</v>
      </c>
      <c r="DB317" s="165">
        <v>0</v>
      </c>
      <c r="DC317" s="165">
        <f t="shared" si="469"/>
        <v>0</v>
      </c>
      <c r="DD317" s="165">
        <f t="shared" si="470"/>
        <v>0</v>
      </c>
      <c r="DE317" s="165"/>
      <c r="DF317" s="165"/>
      <c r="DG317" s="165"/>
      <c r="DH317" s="165"/>
      <c r="DI317" s="165"/>
      <c r="DJ317" s="165">
        <v>0</v>
      </c>
      <c r="DK317" s="165">
        <v>0</v>
      </c>
      <c r="DL317" s="165">
        <v>0</v>
      </c>
      <c r="DM317" s="165">
        <f t="shared" si="471"/>
        <v>0</v>
      </c>
      <c r="DN317" s="165">
        <f t="shared" si="472"/>
        <v>0</v>
      </c>
      <c r="DO317" s="165"/>
      <c r="DP317" s="165"/>
      <c r="DQ317" s="165"/>
      <c r="DR317" s="165"/>
      <c r="DS317" s="165"/>
      <c r="DT317" s="165">
        <v>0</v>
      </c>
      <c r="DU317" s="165">
        <v>0</v>
      </c>
      <c r="DV317" s="165">
        <v>0</v>
      </c>
      <c r="DW317" s="165">
        <f t="shared" si="473"/>
        <v>0</v>
      </c>
      <c r="DX317" s="165">
        <f t="shared" si="474"/>
        <v>0</v>
      </c>
      <c r="DY317" s="165"/>
      <c r="DZ317" s="165"/>
      <c r="EA317" s="165"/>
      <c r="EB317" s="165"/>
      <c r="EC317" s="165">
        <v>0</v>
      </c>
      <c r="ED317" s="165">
        <v>0</v>
      </c>
      <c r="EE317" s="165">
        <v>0</v>
      </c>
      <c r="EF317" s="165">
        <v>0</v>
      </c>
      <c r="EG317" s="165">
        <f t="shared" si="475"/>
        <v>0</v>
      </c>
      <c r="EH317" s="165">
        <f t="shared" si="476"/>
        <v>0</v>
      </c>
      <c r="EI317" s="165"/>
      <c r="EJ317" s="165"/>
      <c r="EK317" s="165"/>
      <c r="EL317" s="165"/>
      <c r="EM317" s="165">
        <v>0</v>
      </c>
      <c r="EN317" s="165">
        <v>0</v>
      </c>
      <c r="EO317" s="165">
        <v>0</v>
      </c>
      <c r="EP317" s="165">
        <v>0</v>
      </c>
      <c r="EQ317" s="166"/>
      <c r="ER317" s="165">
        <f>SUM(ER312:ER316)</f>
        <v>0</v>
      </c>
      <c r="ES317" s="165">
        <f>SUM(ES312:ES316)</f>
        <v>0</v>
      </c>
      <c r="ET317" s="165">
        <f>SUM(ET312:ET316)</f>
        <v>0</v>
      </c>
      <c r="EU317" s="165">
        <f>SUM(EU312:EU316)</f>
        <v>0</v>
      </c>
      <c r="EV317" s="165"/>
      <c r="EW317" s="165"/>
      <c r="EX317" s="165"/>
      <c r="EY317" s="165"/>
      <c r="EZ317" s="165">
        <f t="shared" ref="EZ317:FK317" si="481">SUM(EZ312:EZ316)</f>
        <v>0</v>
      </c>
      <c r="FA317" s="165">
        <f t="shared" si="481"/>
        <v>0</v>
      </c>
      <c r="FB317" s="165">
        <f t="shared" si="481"/>
        <v>0</v>
      </c>
      <c r="FC317" s="165">
        <f t="shared" si="481"/>
        <v>0</v>
      </c>
      <c r="FD317" s="165">
        <f t="shared" si="481"/>
        <v>0</v>
      </c>
      <c r="FE317" s="165">
        <f t="shared" si="481"/>
        <v>0</v>
      </c>
      <c r="FF317" s="165">
        <f t="shared" si="481"/>
        <v>0</v>
      </c>
      <c r="FG317" s="165">
        <f t="shared" si="481"/>
        <v>0</v>
      </c>
      <c r="FH317" s="165">
        <f t="shared" ca="1" si="481"/>
        <v>0</v>
      </c>
      <c r="FI317" s="165">
        <f t="shared" ca="1" si="481"/>
        <v>0</v>
      </c>
      <c r="FJ317" s="165">
        <f t="shared" ca="1" si="481"/>
        <v>0</v>
      </c>
      <c r="FK317" s="165">
        <f t="shared" ca="1" si="481"/>
        <v>0</v>
      </c>
      <c r="FL317" s="165">
        <f ca="1">SUM(FL312:FL315)</f>
        <v>0</v>
      </c>
      <c r="FM317" s="166">
        <f ca="1">SUM(FM312:FM316)</f>
        <v>0</v>
      </c>
      <c r="FN317" s="166">
        <f ca="1">SUM(FN312:FN316)</f>
        <v>0</v>
      </c>
      <c r="FO317" s="166">
        <f ca="1">SUM(FO312:FO316)</f>
        <v>0</v>
      </c>
      <c r="FP317" s="167">
        <f t="shared" ca="1" si="478"/>
        <v>0</v>
      </c>
      <c r="FQ317" s="168">
        <f t="shared" si="449"/>
        <v>0</v>
      </c>
      <c r="FR317" s="165">
        <f>SUM(FR312:FR316)</f>
        <v>0</v>
      </c>
      <c r="FS317" s="168">
        <f t="shared" si="358"/>
        <v>0</v>
      </c>
    </row>
    <row r="318" spans="20:175" hidden="1" outlineLevel="1">
      <c r="X318" s="169" t="s">
        <v>240</v>
      </c>
      <c r="Y318" s="157" t="s">
        <v>44</v>
      </c>
      <c r="Z318" s="157"/>
      <c r="AA318" s="254">
        <f t="shared" ref="AA318:AA323" si="482">SUM(AD318:AF318)</f>
        <v>5.1999999999999998E-3</v>
      </c>
      <c r="AB318" s="255">
        <f t="shared" ref="AB318:AB323" si="483">SUM(AH318:AJ318)</f>
        <v>0</v>
      </c>
      <c r="AC318" s="254">
        <v>5.1999999999999998E-3</v>
      </c>
      <c r="AD318" s="256">
        <v>5.1999999999999998E-3</v>
      </c>
      <c r="AE318" s="256"/>
      <c r="AF318" s="256"/>
      <c r="AG318" s="254"/>
      <c r="AH318" s="256"/>
      <c r="AI318" s="256"/>
      <c r="AJ318" s="256"/>
      <c r="AK318" s="254">
        <f t="shared" ref="AK318:AK323" si="484">SUM(AN318:AP318)</f>
        <v>1.4E-3</v>
      </c>
      <c r="AL318" s="255">
        <f t="shared" ref="AL318:AL323" si="485">SUM(AR318:AT318)</f>
        <v>0</v>
      </c>
      <c r="AM318" s="254">
        <v>1.4E-3</v>
      </c>
      <c r="AN318" s="256">
        <v>1.4E-3</v>
      </c>
      <c r="AO318" s="256"/>
      <c r="AP318" s="256"/>
      <c r="AQ318" s="254"/>
      <c r="AR318" s="256"/>
      <c r="AS318" s="256"/>
      <c r="AT318" s="256"/>
      <c r="AU318" s="254">
        <f t="shared" ref="AU318:AU323" si="486">SUM(AX318:AZ318)</f>
        <v>0.01</v>
      </c>
      <c r="AV318" s="255">
        <f t="shared" ref="AV318:AV323" si="487">SUM(BB318:BD318)</f>
        <v>0</v>
      </c>
      <c r="AW318" s="254">
        <v>0.01</v>
      </c>
      <c r="AX318" s="256">
        <v>0.01</v>
      </c>
      <c r="AY318" s="256"/>
      <c r="AZ318" s="256"/>
      <c r="BA318" s="254"/>
      <c r="BB318" s="256"/>
      <c r="BC318" s="256"/>
      <c r="BD318" s="256"/>
      <c r="BE318" s="254">
        <f t="shared" ref="BE318:BE323" si="488">SUM(BH318:BJ318)</f>
        <v>1.4E-3</v>
      </c>
      <c r="BF318" s="255">
        <f t="shared" ref="BF318:BF323" si="489">SUM(BL318:BN318)</f>
        <v>0</v>
      </c>
      <c r="BG318" s="254">
        <v>1.4E-3</v>
      </c>
      <c r="BH318" s="256">
        <v>1.4E-3</v>
      </c>
      <c r="BI318" s="256"/>
      <c r="BJ318" s="256"/>
      <c r="BK318" s="254"/>
      <c r="BL318" s="256"/>
      <c r="BM318" s="256"/>
      <c r="BN318" s="256"/>
      <c r="BO318" s="254">
        <f t="shared" ref="BO318:BO323" si="490">SUM(BR318:BT318)</f>
        <v>1.14E-2</v>
      </c>
      <c r="BP318" s="255">
        <f t="shared" ref="BP318:BP323" si="491">SUM(BV318:BX318)</f>
        <v>0</v>
      </c>
      <c r="BQ318" s="254">
        <v>1.14E-2</v>
      </c>
      <c r="BR318" s="256">
        <v>1.14E-2</v>
      </c>
      <c r="BS318" s="256"/>
      <c r="BT318" s="256"/>
      <c r="BU318" s="254"/>
      <c r="BV318" s="256"/>
      <c r="BW318" s="256"/>
      <c r="BX318" s="256"/>
      <c r="BY318" s="254">
        <f t="shared" ref="BY318:BY323" si="492">SUM(CB318:CD318)</f>
        <v>8.0000000000000004E-4</v>
      </c>
      <c r="BZ318" s="255">
        <f t="shared" ref="BZ318:BZ323" si="493">SUM(CF318:CH318)</f>
        <v>0</v>
      </c>
      <c r="CA318" s="254">
        <v>8.0000000000000004E-4</v>
      </c>
      <c r="CB318" s="256">
        <v>8.0000000000000004E-4</v>
      </c>
      <c r="CC318" s="256"/>
      <c r="CD318" s="256"/>
      <c r="CE318" s="254"/>
      <c r="CF318" s="256"/>
      <c r="CG318" s="256"/>
      <c r="CH318" s="256"/>
      <c r="CI318" s="254">
        <f t="shared" ref="CI318:CI323" si="494">SUM(CL318:CN318)</f>
        <v>0</v>
      </c>
      <c r="CJ318" s="255">
        <f t="shared" ref="CJ318:CJ323" si="495">SUM(CP318:CR318)</f>
        <v>0</v>
      </c>
      <c r="CK318" s="254"/>
      <c r="CL318" s="256"/>
      <c r="CM318" s="256"/>
      <c r="CN318" s="256"/>
      <c r="CO318" s="254"/>
      <c r="CP318" s="256"/>
      <c r="CQ318" s="256"/>
      <c r="CR318" s="256"/>
      <c r="CS318" s="254">
        <f t="shared" ref="CS318:CS323" si="496">SUM(CV318:CX318)</f>
        <v>0</v>
      </c>
      <c r="CT318" s="255">
        <f t="shared" ref="CT318:CT323" si="497">SUM(CZ318:DB318)</f>
        <v>0</v>
      </c>
      <c r="CU318" s="254"/>
      <c r="CV318" s="256"/>
      <c r="CW318" s="256"/>
      <c r="CX318" s="256"/>
      <c r="CY318" s="254"/>
      <c r="CZ318" s="256"/>
      <c r="DA318" s="256"/>
      <c r="DB318" s="256"/>
      <c r="DC318" s="254">
        <f t="shared" ref="DC318:DC323" si="498">SUM(DF318:DH318)</f>
        <v>0</v>
      </c>
      <c r="DD318" s="255">
        <f t="shared" ref="DD318:DD323" si="499">SUM(DJ318:DL318)</f>
        <v>0</v>
      </c>
      <c r="DE318" s="254"/>
      <c r="DF318" s="256"/>
      <c r="DG318" s="256"/>
      <c r="DH318" s="256"/>
      <c r="DI318" s="254"/>
      <c r="DJ318" s="256"/>
      <c r="DK318" s="256"/>
      <c r="DL318" s="256"/>
      <c r="DM318" s="254">
        <f t="shared" ref="DM318:DM323" si="500">SUM(DP318:DR318)</f>
        <v>0</v>
      </c>
      <c r="DN318" s="255">
        <f t="shared" ref="DN318:DN323" si="501">SUM(DT318:DV318)</f>
        <v>0</v>
      </c>
      <c r="DO318" s="254"/>
      <c r="DP318" s="256"/>
      <c r="DQ318" s="256"/>
      <c r="DR318" s="256"/>
      <c r="DS318" s="254"/>
      <c r="DT318" s="256"/>
      <c r="DU318" s="256"/>
      <c r="DV318" s="256"/>
      <c r="DW318" s="254">
        <f t="shared" ref="DW318:DW323" si="502">SUM(DZ318:EB318)</f>
        <v>0</v>
      </c>
      <c r="DX318" s="255">
        <f t="shared" ref="DX318:DX323" si="503">SUM(ED318:EF318)</f>
        <v>0</v>
      </c>
      <c r="DY318" s="254"/>
      <c r="DZ318" s="256"/>
      <c r="EA318" s="256"/>
      <c r="EB318" s="256"/>
      <c r="EC318" s="254"/>
      <c r="ED318" s="256"/>
      <c r="EE318" s="256"/>
      <c r="EF318" s="256"/>
      <c r="EG318" s="254">
        <f t="shared" ref="EG318:EG323" si="504">SUM(EJ318:EL318)</f>
        <v>0</v>
      </c>
      <c r="EH318" s="255">
        <f t="shared" ref="EH318:EH323" si="505">SUM(EN318:EP318)</f>
        <v>0</v>
      </c>
      <c r="EI318" s="254"/>
      <c r="EJ318" s="256"/>
      <c r="EK318" s="256"/>
      <c r="EL318" s="256"/>
      <c r="EM318" s="254"/>
      <c r="EN318" s="256"/>
      <c r="EO318" s="256"/>
      <c r="EP318" s="256"/>
      <c r="EQ318" s="388"/>
      <c r="ER318" s="256">
        <f>SUM(ET318:EX318)</f>
        <v>0</v>
      </c>
      <c r="ES318" s="256">
        <f>IFERROR(SUMIFS(Daily_Vol_yesterday[Order Quantity],Daily_Vol_yesterday[Cust_Cat.cust_channel],master_Daily!X318,Daily_Vol_yesterday[Map_Product.TME_Brand],master_Daily!Y318)/50000,0)</f>
        <v>0</v>
      </c>
      <c r="ET318" s="256"/>
      <c r="EU318" s="256"/>
      <c r="EV318" s="255"/>
      <c r="EW318" s="256"/>
      <c r="EX318" s="256"/>
      <c r="EY318" s="256"/>
      <c r="EZ318" s="256">
        <f>SUM(FA318:FC318)</f>
        <v>8.0000000000000004E-4</v>
      </c>
      <c r="FA318" s="256">
        <f>IFERROR(SUM(SUMIFS(Weekly_Vol[Quantity],Weekly_Vol[Cust_Cat.cust_channel],master_Daily!X318,Weekly_Vol[Map_Product.TME_Brand],master_Daily!Y318),SUMIFS(Daily_Vol[Order Quantity],Daily_Vol[Cust_Cat.cust_channel],master_Daily!X318,Daily_Vol[Map_Product.TME_Brand],master_Daily!Y318))/50000,0)</f>
        <v>8.0000000000000004E-4</v>
      </c>
      <c r="FB318" s="256"/>
      <c r="FC318" s="256"/>
      <c r="FD318" s="256"/>
      <c r="FE318" s="256"/>
      <c r="FF318" s="256"/>
      <c r="FG318" s="256"/>
      <c r="FH318" s="256">
        <f ca="1">SUM(FI318:FK318)</f>
        <v>3.0199999999999998E-2</v>
      </c>
      <c r="FI318" s="256">
        <f t="shared" ref="FI318:FK322" ca="1" si="506">SUMIFS($AA318:$EP318,$AA$129:$EP$129,INDIRECT(ADDRESS(129,COLUMN())))</f>
        <v>3.0199999999999998E-2</v>
      </c>
      <c r="FJ318" s="256">
        <f t="shared" ca="1" si="506"/>
        <v>0</v>
      </c>
      <c r="FK318" s="256">
        <f t="shared" ca="1" si="506"/>
        <v>0</v>
      </c>
      <c r="FL318" s="256">
        <f ca="1">SUMIFS($AA318:$EP318,$AA$129:$EP$129,INDIRECT(ADDRESS(38,COLUMN())))</f>
        <v>0</v>
      </c>
      <c r="FM318" s="256">
        <f ca="1">SUMIFS($AA318:$EP318,$AA$129:$EP$129,INDIRECT(ADDRESS(38,COLUMN())))</f>
        <v>0</v>
      </c>
      <c r="FN318" s="256">
        <f ca="1">SUMIFS($AA318:$EP318,$AA$129:$EP$129,INDIRECT(ADDRESS(38,COLUMN())))</f>
        <v>0</v>
      </c>
      <c r="FO318" s="256">
        <f ca="1">SUMIFS($AA318:$EP318,$AA$129:$EP$129,INDIRECT(ADDRESS(38,COLUMN())))</f>
        <v>0</v>
      </c>
      <c r="FP318" s="257">
        <f t="shared" ref="FP318:FP323" ca="1" si="507">IFERROR(FH318/$FH$323,0)</f>
        <v>2.4413904607922389E-3</v>
      </c>
      <c r="FQ318" s="258">
        <f t="shared" si="449"/>
        <v>0</v>
      </c>
      <c r="FR318" s="256">
        <f>SUMIFS(TME_MTD_Dist[Sell_WHS_QTY],TME_MTD_Dist[Dist_Name],master_Daily!$X318,TME_MTD_Dist[Brand],master_Daily!$Y318)/50000
 + SUMIFS(TME_MTD_Dist[Sell_RTL_QTY],TME_MTD_Dist[Dist_Name],master_Daily!$X318,TME_MTD_Dist[Brand],master_Daily!$Y318)/50000</f>
        <v>0</v>
      </c>
      <c r="FS318" s="258">
        <f t="shared" si="358"/>
        <v>0</v>
      </c>
    </row>
    <row r="319" spans="20:175" hidden="1" outlineLevel="1">
      <c r="X319" s="169" t="s">
        <v>240</v>
      </c>
      <c r="Y319" s="157" t="s">
        <v>45</v>
      </c>
      <c r="Z319" s="157"/>
      <c r="AA319" s="254">
        <f t="shared" si="482"/>
        <v>0</v>
      </c>
      <c r="AB319" s="255">
        <f t="shared" si="483"/>
        <v>0</v>
      </c>
      <c r="AC319" s="254">
        <v>0</v>
      </c>
      <c r="AD319" s="256">
        <v>0</v>
      </c>
      <c r="AE319" s="256"/>
      <c r="AF319" s="256"/>
      <c r="AG319" s="254"/>
      <c r="AH319" s="256"/>
      <c r="AI319" s="256"/>
      <c r="AJ319" s="256"/>
      <c r="AK319" s="254">
        <f t="shared" si="484"/>
        <v>0</v>
      </c>
      <c r="AL319" s="255">
        <f t="shared" si="485"/>
        <v>0</v>
      </c>
      <c r="AM319" s="254">
        <v>0</v>
      </c>
      <c r="AN319" s="256">
        <v>0</v>
      </c>
      <c r="AO319" s="256"/>
      <c r="AP319" s="256"/>
      <c r="AQ319" s="254"/>
      <c r="AR319" s="256"/>
      <c r="AS319" s="256"/>
      <c r="AT319" s="256"/>
      <c r="AU319" s="254">
        <f t="shared" si="486"/>
        <v>0</v>
      </c>
      <c r="AV319" s="255">
        <f t="shared" si="487"/>
        <v>0</v>
      </c>
      <c r="AW319" s="254">
        <v>0</v>
      </c>
      <c r="AX319" s="256">
        <v>0</v>
      </c>
      <c r="AY319" s="256"/>
      <c r="AZ319" s="256"/>
      <c r="BA319" s="254"/>
      <c r="BB319" s="256"/>
      <c r="BC319" s="256"/>
      <c r="BD319" s="256"/>
      <c r="BE319" s="254">
        <f t="shared" si="488"/>
        <v>0</v>
      </c>
      <c r="BF319" s="255">
        <f t="shared" si="489"/>
        <v>0</v>
      </c>
      <c r="BG319" s="254">
        <v>0</v>
      </c>
      <c r="BH319" s="256">
        <v>0</v>
      </c>
      <c r="BI319" s="256"/>
      <c r="BJ319" s="256"/>
      <c r="BK319" s="254"/>
      <c r="BL319" s="256"/>
      <c r="BM319" s="256"/>
      <c r="BN319" s="256"/>
      <c r="BO319" s="254">
        <f t="shared" si="490"/>
        <v>0</v>
      </c>
      <c r="BP319" s="255">
        <f t="shared" si="491"/>
        <v>0</v>
      </c>
      <c r="BQ319" s="254">
        <v>0</v>
      </c>
      <c r="BR319" s="256">
        <v>0</v>
      </c>
      <c r="BS319" s="256"/>
      <c r="BT319" s="256"/>
      <c r="BU319" s="254"/>
      <c r="BV319" s="256"/>
      <c r="BW319" s="256"/>
      <c r="BX319" s="256"/>
      <c r="BY319" s="254">
        <f t="shared" si="492"/>
        <v>0</v>
      </c>
      <c r="BZ319" s="255">
        <f t="shared" si="493"/>
        <v>0</v>
      </c>
      <c r="CA319" s="254">
        <v>0</v>
      </c>
      <c r="CB319" s="256">
        <v>0</v>
      </c>
      <c r="CC319" s="256"/>
      <c r="CD319" s="256"/>
      <c r="CE319" s="254"/>
      <c r="CF319" s="256"/>
      <c r="CG319" s="256"/>
      <c r="CH319" s="256"/>
      <c r="CI319" s="254">
        <f t="shared" si="494"/>
        <v>0</v>
      </c>
      <c r="CJ319" s="255">
        <f t="shared" si="495"/>
        <v>0</v>
      </c>
      <c r="CK319" s="254"/>
      <c r="CL319" s="256"/>
      <c r="CM319" s="256"/>
      <c r="CN319" s="256"/>
      <c r="CO319" s="254"/>
      <c r="CP319" s="256"/>
      <c r="CQ319" s="256"/>
      <c r="CR319" s="256"/>
      <c r="CS319" s="254">
        <f t="shared" si="496"/>
        <v>0</v>
      </c>
      <c r="CT319" s="255">
        <f t="shared" si="497"/>
        <v>0</v>
      </c>
      <c r="CU319" s="254"/>
      <c r="CV319" s="256"/>
      <c r="CW319" s="256"/>
      <c r="CX319" s="256"/>
      <c r="CY319" s="254"/>
      <c r="CZ319" s="256"/>
      <c r="DA319" s="256"/>
      <c r="DB319" s="256"/>
      <c r="DC319" s="254">
        <f t="shared" si="498"/>
        <v>0</v>
      </c>
      <c r="DD319" s="255">
        <f t="shared" si="499"/>
        <v>0</v>
      </c>
      <c r="DE319" s="254"/>
      <c r="DF319" s="256"/>
      <c r="DG319" s="256"/>
      <c r="DH319" s="256"/>
      <c r="DI319" s="254"/>
      <c r="DJ319" s="256"/>
      <c r="DK319" s="256"/>
      <c r="DL319" s="256"/>
      <c r="DM319" s="254">
        <f t="shared" si="500"/>
        <v>0</v>
      </c>
      <c r="DN319" s="255">
        <f t="shared" si="501"/>
        <v>0</v>
      </c>
      <c r="DO319" s="254"/>
      <c r="DP319" s="256"/>
      <c r="DQ319" s="256"/>
      <c r="DR319" s="256"/>
      <c r="DS319" s="254"/>
      <c r="DT319" s="256"/>
      <c r="DU319" s="256"/>
      <c r="DV319" s="256"/>
      <c r="DW319" s="254">
        <f t="shared" si="502"/>
        <v>0</v>
      </c>
      <c r="DX319" s="255">
        <f t="shared" si="503"/>
        <v>0</v>
      </c>
      <c r="DY319" s="254"/>
      <c r="DZ319" s="256"/>
      <c r="EA319" s="256"/>
      <c r="EB319" s="256"/>
      <c r="EC319" s="254"/>
      <c r="ED319" s="256"/>
      <c r="EE319" s="256"/>
      <c r="EF319" s="256"/>
      <c r="EG319" s="254">
        <f t="shared" si="504"/>
        <v>0</v>
      </c>
      <c r="EH319" s="255">
        <f t="shared" si="505"/>
        <v>0</v>
      </c>
      <c r="EI319" s="254"/>
      <c r="EJ319" s="256"/>
      <c r="EK319" s="256"/>
      <c r="EL319" s="256"/>
      <c r="EM319" s="254"/>
      <c r="EN319" s="256"/>
      <c r="EO319" s="256"/>
      <c r="EP319" s="256"/>
      <c r="EQ319" s="388"/>
      <c r="ER319" s="256">
        <f>SUM(ET319:EX319)</f>
        <v>0</v>
      </c>
      <c r="ES319" s="256">
        <f>IFERROR(SUMIFS(Daily_Vol_yesterday[Order Quantity],Daily_Vol_yesterday[Cust_Cat.cust_channel],master_Daily!X319,Daily_Vol_yesterday[Map_Product.TME_Brand],master_Daily!Y319)/50000,0)</f>
        <v>0</v>
      </c>
      <c r="ET319" s="256"/>
      <c r="EU319" s="256"/>
      <c r="EV319" s="255"/>
      <c r="EW319" s="256"/>
      <c r="EX319" s="256"/>
      <c r="EY319" s="256"/>
      <c r="EZ319" s="256">
        <f>SUM(FA319:FC319)</f>
        <v>0</v>
      </c>
      <c r="FA319" s="256">
        <f>IFERROR(SUM(SUMIFS(Weekly_Vol[Quantity],Weekly_Vol[Cust_Cat.cust_channel],master_Daily!X319,Weekly_Vol[Map_Product.TME_Brand],master_Daily!Y319),SUMIFS(Daily_Vol[Order Quantity],Daily_Vol[Cust_Cat.cust_channel],master_Daily!X319,Daily_Vol[Map_Product.TME_Brand],master_Daily!Y319))/50000,0)</f>
        <v>0</v>
      </c>
      <c r="FB319" s="256"/>
      <c r="FC319" s="256"/>
      <c r="FD319" s="256"/>
      <c r="FE319" s="256"/>
      <c r="FF319" s="256"/>
      <c r="FG319" s="256"/>
      <c r="FH319" s="256">
        <f ca="1">SUM(FI319:FK319)</f>
        <v>0</v>
      </c>
      <c r="FI319" s="256">
        <f t="shared" ca="1" si="506"/>
        <v>0</v>
      </c>
      <c r="FJ319" s="256">
        <f t="shared" ca="1" si="506"/>
        <v>0</v>
      </c>
      <c r="FK319" s="256">
        <f t="shared" ca="1" si="506"/>
        <v>0</v>
      </c>
      <c r="FL319" s="256">
        <f t="shared" ref="FL319:FO320" ca="1" si="508">SUMIFS($AA319:$EP319,$AA$129:$EP$129,INDIRECT(ADDRESS(129,COLUMN())))</f>
        <v>0</v>
      </c>
      <c r="FM319" s="255">
        <f t="shared" ca="1" si="508"/>
        <v>0</v>
      </c>
      <c r="FN319" s="255">
        <f t="shared" ca="1" si="508"/>
        <v>0</v>
      </c>
      <c r="FO319" s="255">
        <f t="shared" ca="1" si="508"/>
        <v>0</v>
      </c>
      <c r="FP319" s="257">
        <f t="shared" ca="1" si="507"/>
        <v>0</v>
      </c>
      <c r="FQ319" s="258">
        <f t="shared" si="449"/>
        <v>0</v>
      </c>
      <c r="FR319" s="256">
        <f>SUMIFS(TME_MTD_Dist[Sell_WHS_QTY],TME_MTD_Dist[Dist_Name],master_Daily!$X319,TME_MTD_Dist[Brand],master_Daily!$Y319)/50000
 + SUMIFS(TME_MTD_Dist[Sell_RTL_QTY],TME_MTD_Dist[Dist_Name],master_Daily!$X319,TME_MTD_Dist[Brand],master_Daily!$Y319)/50000</f>
        <v>0</v>
      </c>
      <c r="FS319" s="258">
        <f t="shared" si="358"/>
        <v>0</v>
      </c>
    </row>
    <row r="320" spans="20:175" hidden="1" outlineLevel="1">
      <c r="X320" s="169" t="s">
        <v>240</v>
      </c>
      <c r="Y320" s="157" t="s">
        <v>46</v>
      </c>
      <c r="Z320" s="157"/>
      <c r="AA320" s="254">
        <f t="shared" si="482"/>
        <v>0.62819999999999998</v>
      </c>
      <c r="AB320" s="255">
        <f t="shared" si="483"/>
        <v>0</v>
      </c>
      <c r="AC320" s="254">
        <v>0.62819999999999998</v>
      </c>
      <c r="AD320" s="256">
        <v>0.62819999999999998</v>
      </c>
      <c r="AE320" s="256"/>
      <c r="AF320" s="256"/>
      <c r="AG320" s="254"/>
      <c r="AH320" s="256"/>
      <c r="AI320" s="256"/>
      <c r="AJ320" s="256"/>
      <c r="AK320" s="254">
        <f t="shared" si="484"/>
        <v>0.69499999999999995</v>
      </c>
      <c r="AL320" s="255">
        <f t="shared" si="485"/>
        <v>0</v>
      </c>
      <c r="AM320" s="254">
        <v>0.69499999999999995</v>
      </c>
      <c r="AN320" s="256">
        <v>0.69499999999999995</v>
      </c>
      <c r="AO320" s="256"/>
      <c r="AP320" s="256"/>
      <c r="AQ320" s="254"/>
      <c r="AR320" s="256"/>
      <c r="AS320" s="256"/>
      <c r="AT320" s="256"/>
      <c r="AU320" s="254">
        <f t="shared" si="486"/>
        <v>0.45500000000000002</v>
      </c>
      <c r="AV320" s="255">
        <f t="shared" si="487"/>
        <v>0</v>
      </c>
      <c r="AW320" s="254">
        <v>0.45500000000000002</v>
      </c>
      <c r="AX320" s="256">
        <v>0.45500000000000002</v>
      </c>
      <c r="AY320" s="256"/>
      <c r="AZ320" s="256"/>
      <c r="BA320" s="254"/>
      <c r="BB320" s="256"/>
      <c r="BC320" s="256"/>
      <c r="BD320" s="256"/>
      <c r="BE320" s="254">
        <f t="shared" si="488"/>
        <v>0.39500000000000002</v>
      </c>
      <c r="BF320" s="255">
        <f t="shared" si="489"/>
        <v>0</v>
      </c>
      <c r="BG320" s="254">
        <v>0.39500000000000002</v>
      </c>
      <c r="BH320" s="256">
        <v>0.39500000000000002</v>
      </c>
      <c r="BI320" s="256"/>
      <c r="BJ320" s="256"/>
      <c r="BK320" s="254"/>
      <c r="BL320" s="256"/>
      <c r="BM320" s="256"/>
      <c r="BN320" s="256"/>
      <c r="BO320" s="254">
        <f t="shared" si="490"/>
        <v>0.48859999999999998</v>
      </c>
      <c r="BP320" s="255">
        <f t="shared" si="491"/>
        <v>0</v>
      </c>
      <c r="BQ320" s="254">
        <v>0.48859999999999998</v>
      </c>
      <c r="BR320" s="256">
        <v>0.48859999999999998</v>
      </c>
      <c r="BS320" s="256"/>
      <c r="BT320" s="256"/>
      <c r="BU320" s="254"/>
      <c r="BV320" s="256"/>
      <c r="BW320" s="256"/>
      <c r="BX320" s="256"/>
      <c r="BY320" s="254">
        <f t="shared" si="492"/>
        <v>0.185</v>
      </c>
      <c r="BZ320" s="255">
        <f t="shared" si="493"/>
        <v>0</v>
      </c>
      <c r="CA320" s="254">
        <v>0.185</v>
      </c>
      <c r="CB320" s="256">
        <v>0.185</v>
      </c>
      <c r="CC320" s="256"/>
      <c r="CD320" s="256"/>
      <c r="CE320" s="254"/>
      <c r="CF320" s="256"/>
      <c r="CG320" s="256"/>
      <c r="CH320" s="256"/>
      <c r="CI320" s="254">
        <f t="shared" si="494"/>
        <v>0</v>
      </c>
      <c r="CJ320" s="255">
        <f t="shared" si="495"/>
        <v>0</v>
      </c>
      <c r="CK320" s="254"/>
      <c r="CL320" s="256"/>
      <c r="CM320" s="256"/>
      <c r="CN320" s="256"/>
      <c r="CO320" s="254"/>
      <c r="CP320" s="256"/>
      <c r="CQ320" s="256"/>
      <c r="CR320" s="256"/>
      <c r="CS320" s="254">
        <f t="shared" si="496"/>
        <v>0</v>
      </c>
      <c r="CT320" s="255">
        <f t="shared" si="497"/>
        <v>0</v>
      </c>
      <c r="CU320" s="254"/>
      <c r="CV320" s="256"/>
      <c r="CW320" s="256"/>
      <c r="CX320" s="256"/>
      <c r="CY320" s="254"/>
      <c r="CZ320" s="256"/>
      <c r="DA320" s="256"/>
      <c r="DB320" s="256"/>
      <c r="DC320" s="254">
        <f t="shared" si="498"/>
        <v>0</v>
      </c>
      <c r="DD320" s="255">
        <f t="shared" si="499"/>
        <v>0</v>
      </c>
      <c r="DE320" s="254"/>
      <c r="DF320" s="256"/>
      <c r="DG320" s="256"/>
      <c r="DH320" s="256"/>
      <c r="DI320" s="254"/>
      <c r="DJ320" s="256"/>
      <c r="DK320" s="256"/>
      <c r="DL320" s="256"/>
      <c r="DM320" s="254">
        <f t="shared" si="500"/>
        <v>0</v>
      </c>
      <c r="DN320" s="255">
        <f t="shared" si="501"/>
        <v>0</v>
      </c>
      <c r="DO320" s="254"/>
      <c r="DP320" s="256"/>
      <c r="DQ320" s="256"/>
      <c r="DR320" s="256"/>
      <c r="DS320" s="254"/>
      <c r="DT320" s="256"/>
      <c r="DU320" s="256"/>
      <c r="DV320" s="256"/>
      <c r="DW320" s="254">
        <f t="shared" si="502"/>
        <v>0</v>
      </c>
      <c r="DX320" s="255">
        <f t="shared" si="503"/>
        <v>0</v>
      </c>
      <c r="DY320" s="254"/>
      <c r="DZ320" s="256"/>
      <c r="EA320" s="256"/>
      <c r="EB320" s="256"/>
      <c r="EC320" s="254"/>
      <c r="ED320" s="256"/>
      <c r="EE320" s="256"/>
      <c r="EF320" s="256"/>
      <c r="EG320" s="254">
        <f t="shared" si="504"/>
        <v>0</v>
      </c>
      <c r="EH320" s="255">
        <f t="shared" si="505"/>
        <v>0</v>
      </c>
      <c r="EI320" s="254"/>
      <c r="EJ320" s="256"/>
      <c r="EK320" s="256"/>
      <c r="EL320" s="256"/>
      <c r="EM320" s="254"/>
      <c r="EN320" s="256"/>
      <c r="EO320" s="256"/>
      <c r="EP320" s="256"/>
      <c r="EQ320" s="388"/>
      <c r="ER320" s="256">
        <f>SUM(ET320:EX320)</f>
        <v>0</v>
      </c>
      <c r="ES320" s="256">
        <f>IFERROR(SUMIFS(Daily_Vol_yesterday[Order Quantity],Daily_Vol_yesterday[Cust_Cat.cust_channel],master_Daily!X320,Daily_Vol_yesterday[Map_Product.TME_Brand],master_Daily!Y320)/50000,0)</f>
        <v>0</v>
      </c>
      <c r="ET320" s="256"/>
      <c r="EU320" s="256"/>
      <c r="EV320" s="255"/>
      <c r="EW320" s="256"/>
      <c r="EX320" s="256"/>
      <c r="EY320" s="256"/>
      <c r="EZ320" s="256">
        <f>SUM(FA320:FC320)</f>
        <v>0.185</v>
      </c>
      <c r="FA320" s="256">
        <f>IFERROR(SUM(SUMIFS(Weekly_Vol[Quantity],Weekly_Vol[Cust_Cat.cust_channel],master_Daily!X320,Weekly_Vol[Map_Product.TME_Brand],master_Daily!Y320),SUMIFS(Daily_Vol[Order Quantity],Daily_Vol[Cust_Cat.cust_channel],master_Daily!X320,Daily_Vol[Map_Product.TME_Brand],master_Daily!Y320))/50000,0)</f>
        <v>0.185</v>
      </c>
      <c r="FB320" s="256"/>
      <c r="FC320" s="256"/>
      <c r="FD320" s="256"/>
      <c r="FE320" s="256"/>
      <c r="FF320" s="256"/>
      <c r="FG320" s="256"/>
      <c r="FH320" s="256">
        <f ca="1">SUM(FI320:FK320)</f>
        <v>2.8468</v>
      </c>
      <c r="FI320" s="256">
        <f t="shared" ca="1" si="506"/>
        <v>2.8468</v>
      </c>
      <c r="FJ320" s="256">
        <f t="shared" ca="1" si="506"/>
        <v>0</v>
      </c>
      <c r="FK320" s="256">
        <f t="shared" ca="1" si="506"/>
        <v>0</v>
      </c>
      <c r="FL320" s="256">
        <f t="shared" ca="1" si="508"/>
        <v>0</v>
      </c>
      <c r="FM320" s="255">
        <f t="shared" ca="1" si="508"/>
        <v>0</v>
      </c>
      <c r="FN320" s="255">
        <f t="shared" ca="1" si="508"/>
        <v>0</v>
      </c>
      <c r="FO320" s="255">
        <f t="shared" ca="1" si="508"/>
        <v>0</v>
      </c>
      <c r="FP320" s="257">
        <f t="shared" ca="1" si="507"/>
        <v>0.23013742926434921</v>
      </c>
      <c r="FQ320" s="258">
        <f t="shared" si="449"/>
        <v>0</v>
      </c>
      <c r="FR320" s="256">
        <f>SUMIFS(TME_MTD_Dist[Sell_WHS_QTY],TME_MTD_Dist[Dist_Name],master_Daily!$X320,TME_MTD_Dist[Brand],master_Daily!$Y320)/50000
 + SUMIFS(TME_MTD_Dist[Sell_RTL_QTY],TME_MTD_Dist[Dist_Name],master_Daily!$X320,TME_MTD_Dist[Brand],master_Daily!$Y320)/50000</f>
        <v>0</v>
      </c>
      <c r="FS320" s="258">
        <f t="shared" si="358"/>
        <v>0</v>
      </c>
    </row>
    <row r="321" spans="24:175" hidden="1" outlineLevel="1">
      <c r="X321" s="169" t="s">
        <v>240</v>
      </c>
      <c r="Y321" s="157" t="s">
        <v>263</v>
      </c>
      <c r="Z321" s="157"/>
      <c r="AA321" s="254">
        <f t="shared" si="482"/>
        <v>1.0706</v>
      </c>
      <c r="AB321" s="255">
        <f t="shared" si="483"/>
        <v>0</v>
      </c>
      <c r="AC321" s="254">
        <v>1.0706</v>
      </c>
      <c r="AD321" s="256">
        <v>1.0706</v>
      </c>
      <c r="AE321" s="256"/>
      <c r="AF321" s="256"/>
      <c r="AG321" s="254"/>
      <c r="AH321" s="256"/>
      <c r="AI321" s="256"/>
      <c r="AJ321" s="256"/>
      <c r="AK321" s="254">
        <f t="shared" si="484"/>
        <v>0.94359999999999999</v>
      </c>
      <c r="AL321" s="255">
        <f t="shared" si="485"/>
        <v>0</v>
      </c>
      <c r="AM321" s="254">
        <v>0.94359999999999999</v>
      </c>
      <c r="AN321" s="256">
        <v>0.94359999999999999</v>
      </c>
      <c r="AO321" s="256"/>
      <c r="AP321" s="256"/>
      <c r="AQ321" s="254"/>
      <c r="AR321" s="256"/>
      <c r="AS321" s="256"/>
      <c r="AT321" s="256"/>
      <c r="AU321" s="254">
        <f t="shared" si="486"/>
        <v>0.84</v>
      </c>
      <c r="AV321" s="255">
        <f t="shared" si="487"/>
        <v>0</v>
      </c>
      <c r="AW321" s="254">
        <v>0.84</v>
      </c>
      <c r="AX321" s="256">
        <v>0.84</v>
      </c>
      <c r="AY321" s="256"/>
      <c r="AZ321" s="256"/>
      <c r="BA321" s="254"/>
      <c r="BB321" s="256"/>
      <c r="BC321" s="256"/>
      <c r="BD321" s="256"/>
      <c r="BE321" s="254">
        <f t="shared" si="488"/>
        <v>1.0085999999999999</v>
      </c>
      <c r="BF321" s="255">
        <f t="shared" si="489"/>
        <v>0</v>
      </c>
      <c r="BG321" s="254">
        <v>1.0085999999999999</v>
      </c>
      <c r="BH321" s="256">
        <v>1.0085999999999999</v>
      </c>
      <c r="BI321" s="256"/>
      <c r="BJ321" s="256"/>
      <c r="BK321" s="254"/>
      <c r="BL321" s="256"/>
      <c r="BM321" s="256"/>
      <c r="BN321" s="256"/>
      <c r="BO321" s="254">
        <f t="shared" si="490"/>
        <v>1.1466000000000001</v>
      </c>
      <c r="BP321" s="255">
        <f t="shared" si="491"/>
        <v>0</v>
      </c>
      <c r="BQ321" s="254">
        <v>1.1466000000000001</v>
      </c>
      <c r="BR321" s="256">
        <v>1.1466000000000001</v>
      </c>
      <c r="BS321" s="256"/>
      <c r="BT321" s="256"/>
      <c r="BU321" s="254"/>
      <c r="BV321" s="256"/>
      <c r="BW321" s="256"/>
      <c r="BX321" s="256"/>
      <c r="BY321" s="254">
        <f t="shared" si="492"/>
        <v>0.49919999999999998</v>
      </c>
      <c r="BZ321" s="255">
        <f t="shared" si="493"/>
        <v>0</v>
      </c>
      <c r="CA321" s="254">
        <v>0.49919999999999998</v>
      </c>
      <c r="CB321" s="256">
        <v>0.49919999999999998</v>
      </c>
      <c r="CC321" s="256"/>
      <c r="CD321" s="256"/>
      <c r="CE321" s="254"/>
      <c r="CF321" s="256"/>
      <c r="CG321" s="256"/>
      <c r="CH321" s="256"/>
      <c r="CI321" s="254">
        <f t="shared" si="494"/>
        <v>0</v>
      </c>
      <c r="CJ321" s="255">
        <f t="shared" si="495"/>
        <v>0</v>
      </c>
      <c r="CK321" s="254"/>
      <c r="CL321" s="256"/>
      <c r="CM321" s="256"/>
      <c r="CN321" s="256"/>
      <c r="CO321" s="254"/>
      <c r="CP321" s="256"/>
      <c r="CQ321" s="256"/>
      <c r="CR321" s="256"/>
      <c r="CS321" s="254">
        <f t="shared" si="496"/>
        <v>0</v>
      </c>
      <c r="CT321" s="255">
        <f t="shared" si="497"/>
        <v>0</v>
      </c>
      <c r="CU321" s="254"/>
      <c r="CV321" s="256"/>
      <c r="CW321" s="256"/>
      <c r="CX321" s="256"/>
      <c r="CY321" s="254"/>
      <c r="CZ321" s="256"/>
      <c r="DA321" s="256"/>
      <c r="DB321" s="256"/>
      <c r="DC321" s="254">
        <f t="shared" si="498"/>
        <v>0</v>
      </c>
      <c r="DD321" s="255">
        <f t="shared" si="499"/>
        <v>0</v>
      </c>
      <c r="DE321" s="254"/>
      <c r="DF321" s="256"/>
      <c r="DG321" s="256"/>
      <c r="DH321" s="256"/>
      <c r="DI321" s="254"/>
      <c r="DJ321" s="256"/>
      <c r="DK321" s="256"/>
      <c r="DL321" s="256"/>
      <c r="DM321" s="254">
        <f t="shared" si="500"/>
        <v>0</v>
      </c>
      <c r="DN321" s="255">
        <f t="shared" si="501"/>
        <v>0</v>
      </c>
      <c r="DO321" s="254"/>
      <c r="DP321" s="256"/>
      <c r="DQ321" s="256"/>
      <c r="DR321" s="256"/>
      <c r="DS321" s="254"/>
      <c r="DT321" s="256"/>
      <c r="DU321" s="256"/>
      <c r="DV321" s="256"/>
      <c r="DW321" s="254">
        <f t="shared" si="502"/>
        <v>0</v>
      </c>
      <c r="DX321" s="255">
        <f t="shared" si="503"/>
        <v>0</v>
      </c>
      <c r="DY321" s="254"/>
      <c r="DZ321" s="256"/>
      <c r="EA321" s="256"/>
      <c r="EB321" s="256"/>
      <c r="EC321" s="254"/>
      <c r="ED321" s="256"/>
      <c r="EE321" s="256"/>
      <c r="EF321" s="256"/>
      <c r="EG321" s="254">
        <f t="shared" si="504"/>
        <v>0</v>
      </c>
      <c r="EH321" s="255">
        <f t="shared" si="505"/>
        <v>0</v>
      </c>
      <c r="EI321" s="254"/>
      <c r="EJ321" s="256"/>
      <c r="EK321" s="256"/>
      <c r="EL321" s="256"/>
      <c r="EM321" s="254"/>
      <c r="EN321" s="256"/>
      <c r="EO321" s="256"/>
      <c r="EP321" s="256"/>
      <c r="EQ321" s="388"/>
      <c r="ER321" s="256">
        <f>SUM(ET321:EX321)</f>
        <v>0</v>
      </c>
      <c r="ES321" s="256">
        <f>IFERROR(SUMIFS(Daily_Vol_yesterday[Order Quantity],Daily_Vol_yesterday[Cust_Cat.cust_channel],master_Daily!X321,Daily_Vol_yesterday[Map_Product.TME_Brand],"CM")/50000,0)</f>
        <v>0</v>
      </c>
      <c r="ET321" s="256"/>
      <c r="EU321" s="256"/>
      <c r="EV321" s="255"/>
      <c r="EW321" s="256"/>
      <c r="EX321" s="256"/>
      <c r="EY321" s="256"/>
      <c r="EZ321" s="256">
        <f>SUM(FA321:FC321)</f>
        <v>0.49919999999999998</v>
      </c>
      <c r="FA321" s="256">
        <f>IFERROR(SUM(SUMIFS(Weekly_Vol[Quantity],Weekly_Vol[Cust_Cat.cust_channel],master_Daily!X321,Weekly_Vol[Map_Product.TME_Brand],"CM"),SUMIFS(Daily_Vol[Order Quantity],Daily_Vol[Cust_Cat.cust_channel],master_Daily!X321,Daily_Vol[Map_Product.TME_Brand],"CM"))/50000,0)</f>
        <v>0.49919999999999998</v>
      </c>
      <c r="FB321" s="256"/>
      <c r="FC321" s="256"/>
      <c r="FD321" s="256"/>
      <c r="FE321" s="256"/>
      <c r="FF321" s="256"/>
      <c r="FG321" s="256"/>
      <c r="FH321" s="256">
        <f ca="1">SUM(FI321:FK321)</f>
        <v>5.5085999999999995</v>
      </c>
      <c r="FI321" s="256">
        <f t="shared" ca="1" si="506"/>
        <v>5.5085999999999995</v>
      </c>
      <c r="FJ321" s="256">
        <f t="shared" ca="1" si="506"/>
        <v>0</v>
      </c>
      <c r="FK321" s="256">
        <f t="shared" ca="1" si="506"/>
        <v>0</v>
      </c>
      <c r="FL321" s="256">
        <f ca="1">SUMIFS($AA321:$EP321,$AA$129:$EP$129,INDIRECT(ADDRESS(129,COLUMN())))</f>
        <v>0</v>
      </c>
      <c r="FM321" s="255">
        <f t="shared" ref="FM321:FO322" si="509">SUMIFS(AF321:EU321,$AA$129:$EP$129,$FH$129)</f>
        <v>0</v>
      </c>
      <c r="FN321" s="255">
        <f t="shared" si="509"/>
        <v>0</v>
      </c>
      <c r="FO321" s="255">
        <f t="shared" si="509"/>
        <v>0</v>
      </c>
      <c r="FP321" s="257">
        <f t="shared" ca="1" si="507"/>
        <v>0.44531932093775256</v>
      </c>
      <c r="FQ321" s="258">
        <f t="shared" si="449"/>
        <v>0</v>
      </c>
      <c r="FR321" s="256">
        <f>SUMIFS(TME_MTD_Dist[Sell_WHS_QTY],TME_MTD_Dist[Dist_Name],master_Daily!$X321,TME_MTD_Dist[Brand],master_Daily!$Y321)/50000
 + SUMIFS(TME_MTD_Dist[Sell_RTL_QTY],TME_MTD_Dist[Dist_Name],master_Daily!$X321,TME_MTD_Dist[Brand],master_Daily!$Y321)/50000</f>
        <v>0</v>
      </c>
      <c r="FS321" s="258">
        <f t="shared" si="358"/>
        <v>0</v>
      </c>
    </row>
    <row r="322" spans="24:175" hidden="1" outlineLevel="1">
      <c r="X322" s="169" t="s">
        <v>240</v>
      </c>
      <c r="Y322" s="157" t="s">
        <v>264</v>
      </c>
      <c r="Z322" s="157"/>
      <c r="AA322" s="254">
        <f t="shared" si="482"/>
        <v>0.59599999999999997</v>
      </c>
      <c r="AB322" s="255">
        <f t="shared" si="483"/>
        <v>0</v>
      </c>
      <c r="AC322" s="254">
        <v>0.59599999999999997</v>
      </c>
      <c r="AD322" s="256">
        <v>0.59599999999999997</v>
      </c>
      <c r="AE322" s="256"/>
      <c r="AF322" s="256"/>
      <c r="AG322" s="254"/>
      <c r="AH322" s="256"/>
      <c r="AI322" s="256"/>
      <c r="AJ322" s="256"/>
      <c r="AK322" s="254">
        <f t="shared" si="484"/>
        <v>0.46</v>
      </c>
      <c r="AL322" s="255">
        <f t="shared" si="485"/>
        <v>0</v>
      </c>
      <c r="AM322" s="254">
        <v>0.46</v>
      </c>
      <c r="AN322" s="256">
        <v>0.46</v>
      </c>
      <c r="AO322" s="256"/>
      <c r="AP322" s="256"/>
      <c r="AQ322" s="254"/>
      <c r="AR322" s="256"/>
      <c r="AS322" s="256"/>
      <c r="AT322" s="256"/>
      <c r="AU322" s="254">
        <f t="shared" si="486"/>
        <v>0.78</v>
      </c>
      <c r="AV322" s="255">
        <f t="shared" si="487"/>
        <v>0</v>
      </c>
      <c r="AW322" s="254">
        <v>0.78</v>
      </c>
      <c r="AX322" s="256">
        <v>0.78</v>
      </c>
      <c r="AY322" s="256"/>
      <c r="AZ322" s="256"/>
      <c r="BA322" s="254"/>
      <c r="BB322" s="256"/>
      <c r="BC322" s="256"/>
      <c r="BD322" s="256"/>
      <c r="BE322" s="254">
        <f t="shared" si="488"/>
        <v>0.86499999999999999</v>
      </c>
      <c r="BF322" s="255">
        <f t="shared" si="489"/>
        <v>0</v>
      </c>
      <c r="BG322" s="254">
        <v>0.86499999999999999</v>
      </c>
      <c r="BH322" s="256">
        <v>0.86499999999999999</v>
      </c>
      <c r="BI322" s="256"/>
      <c r="BJ322" s="256"/>
      <c r="BK322" s="254"/>
      <c r="BL322" s="256"/>
      <c r="BM322" s="256"/>
      <c r="BN322" s="256"/>
      <c r="BO322" s="254">
        <f t="shared" si="490"/>
        <v>0.85340000000000005</v>
      </c>
      <c r="BP322" s="255">
        <f t="shared" si="491"/>
        <v>0</v>
      </c>
      <c r="BQ322" s="254">
        <v>0.85340000000000005</v>
      </c>
      <c r="BR322" s="256">
        <v>0.85340000000000005</v>
      </c>
      <c r="BS322" s="256"/>
      <c r="BT322" s="256"/>
      <c r="BU322" s="254"/>
      <c r="BV322" s="256"/>
      <c r="BW322" s="256"/>
      <c r="BX322" s="256"/>
      <c r="BY322" s="254">
        <f t="shared" si="492"/>
        <v>0.43</v>
      </c>
      <c r="BZ322" s="255">
        <f t="shared" si="493"/>
        <v>0</v>
      </c>
      <c r="CA322" s="254">
        <v>0.43</v>
      </c>
      <c r="CB322" s="256">
        <v>0.43</v>
      </c>
      <c r="CC322" s="256"/>
      <c r="CD322" s="256"/>
      <c r="CE322" s="254"/>
      <c r="CF322" s="256"/>
      <c r="CG322" s="256"/>
      <c r="CH322" s="256"/>
      <c r="CI322" s="254">
        <f t="shared" si="494"/>
        <v>0</v>
      </c>
      <c r="CJ322" s="255">
        <f t="shared" si="495"/>
        <v>0</v>
      </c>
      <c r="CK322" s="254"/>
      <c r="CL322" s="256"/>
      <c r="CM322" s="256"/>
      <c r="CN322" s="256"/>
      <c r="CO322" s="254"/>
      <c r="CP322" s="256"/>
      <c r="CQ322" s="256"/>
      <c r="CR322" s="256"/>
      <c r="CS322" s="254">
        <f t="shared" si="496"/>
        <v>0</v>
      </c>
      <c r="CT322" s="255">
        <f t="shared" si="497"/>
        <v>0</v>
      </c>
      <c r="CU322" s="254"/>
      <c r="CV322" s="256"/>
      <c r="CW322" s="256"/>
      <c r="CX322" s="256"/>
      <c r="CY322" s="254"/>
      <c r="CZ322" s="256"/>
      <c r="DA322" s="256"/>
      <c r="DB322" s="256"/>
      <c r="DC322" s="254">
        <f t="shared" si="498"/>
        <v>0</v>
      </c>
      <c r="DD322" s="255">
        <f t="shared" si="499"/>
        <v>0</v>
      </c>
      <c r="DE322" s="254"/>
      <c r="DF322" s="256"/>
      <c r="DG322" s="256"/>
      <c r="DH322" s="256"/>
      <c r="DI322" s="254"/>
      <c r="DJ322" s="256"/>
      <c r="DK322" s="256"/>
      <c r="DL322" s="256"/>
      <c r="DM322" s="254">
        <f t="shared" si="500"/>
        <v>0</v>
      </c>
      <c r="DN322" s="255">
        <f t="shared" si="501"/>
        <v>0</v>
      </c>
      <c r="DO322" s="254"/>
      <c r="DP322" s="256"/>
      <c r="DQ322" s="256"/>
      <c r="DR322" s="256"/>
      <c r="DS322" s="254"/>
      <c r="DT322" s="256"/>
      <c r="DU322" s="256"/>
      <c r="DV322" s="256"/>
      <c r="DW322" s="254">
        <f t="shared" si="502"/>
        <v>0</v>
      </c>
      <c r="DX322" s="255">
        <f t="shared" si="503"/>
        <v>0</v>
      </c>
      <c r="DY322" s="254"/>
      <c r="DZ322" s="256"/>
      <c r="EA322" s="256"/>
      <c r="EB322" s="256"/>
      <c r="EC322" s="254"/>
      <c r="ED322" s="256"/>
      <c r="EE322" s="256"/>
      <c r="EF322" s="256"/>
      <c r="EG322" s="254">
        <f t="shared" si="504"/>
        <v>0</v>
      </c>
      <c r="EH322" s="255">
        <f t="shared" si="505"/>
        <v>0</v>
      </c>
      <c r="EI322" s="254"/>
      <c r="EJ322" s="256"/>
      <c r="EK322" s="256"/>
      <c r="EL322" s="256"/>
      <c r="EM322" s="254"/>
      <c r="EN322" s="256"/>
      <c r="EO322" s="256"/>
      <c r="EP322" s="256"/>
      <c r="EQ322" s="388"/>
      <c r="ER322" s="256">
        <f>SUM(ET322:EX322)</f>
        <v>0</v>
      </c>
      <c r="ES322" s="256">
        <f>IFERROR(SUMIFS(Daily_Vol_yesterday[Order Quantity],Daily_Vol_yesterday[Cust_Cat.cust_channel],master_Daily!X322,Daily_Vol_yesterday[Map_Product.TME_Brand],"CMHD")/50000,0)</f>
        <v>0</v>
      </c>
      <c r="ET322" s="256"/>
      <c r="EU322" s="256"/>
      <c r="EV322" s="255"/>
      <c r="EW322" s="256"/>
      <c r="EX322" s="256"/>
      <c r="EY322" s="256"/>
      <c r="EZ322" s="256">
        <f>SUM(FA322:FC322)</f>
        <v>0.43</v>
      </c>
      <c r="FA322" s="256">
        <f>IFERROR(SUM(SUMIFS(Weekly_Vol[Quantity],Weekly_Vol[Cust_Cat.cust_channel],master_Daily!X322,Weekly_Vol[Map_Product.TME_Brand],"CMHD"),SUMIFS(Daily_Vol[Order Quantity],Daily_Vol[Cust_Cat.cust_channel],master_Daily!X322,Daily_Vol[Map_Product.TME_Brand],"CMHD"))/50000,0)</f>
        <v>0.43</v>
      </c>
      <c r="FB322" s="256"/>
      <c r="FC322" s="256"/>
      <c r="FD322" s="256"/>
      <c r="FE322" s="256"/>
      <c r="FF322" s="256"/>
      <c r="FG322" s="256"/>
      <c r="FH322" s="256">
        <f ca="1">SUM(FI322:FK322)</f>
        <v>3.9844000000000004</v>
      </c>
      <c r="FI322" s="256">
        <f t="shared" ca="1" si="506"/>
        <v>3.9844000000000004</v>
      </c>
      <c r="FJ322" s="256">
        <f t="shared" ca="1" si="506"/>
        <v>0</v>
      </c>
      <c r="FK322" s="256">
        <f t="shared" ca="1" si="506"/>
        <v>0</v>
      </c>
      <c r="FL322" s="256">
        <f ca="1">SUMIFS($AA322:$EP322,$AA$129:$EP$129,INDIRECT(ADDRESS(129,COLUMN())))</f>
        <v>0</v>
      </c>
      <c r="FM322" s="255">
        <f t="shared" si="509"/>
        <v>0</v>
      </c>
      <c r="FN322" s="255">
        <f t="shared" si="509"/>
        <v>0</v>
      </c>
      <c r="FO322" s="255">
        <f t="shared" si="509"/>
        <v>0</v>
      </c>
      <c r="FP322" s="257">
        <f t="shared" ca="1" si="507"/>
        <v>0.32210185933710589</v>
      </c>
      <c r="FQ322" s="258">
        <f t="shared" si="449"/>
        <v>0</v>
      </c>
      <c r="FR322" s="256">
        <f>SUMIFS(TME_MTD_Dist[Sell_WHS_QTY],TME_MTD_Dist[Dist_Name],master_Daily!$X322,TME_MTD_Dist[Brand],master_Daily!$Y322)/50000
 + SUMIFS(TME_MTD_Dist[Sell_RTL_QTY],TME_MTD_Dist[Dist_Name],master_Daily!$X322,TME_MTD_Dist[Brand],master_Daily!$Y322)/50000</f>
        <v>0</v>
      </c>
      <c r="FS322" s="258">
        <f t="shared" si="358"/>
        <v>0</v>
      </c>
    </row>
    <row r="323" spans="24:175" collapsed="1">
      <c r="X323" s="163" t="s">
        <v>321</v>
      </c>
      <c r="Y323" s="260"/>
      <c r="Z323" s="260"/>
      <c r="AA323" s="165">
        <f t="shared" si="482"/>
        <v>2.2999999999999998</v>
      </c>
      <c r="AB323" s="165">
        <f t="shared" si="483"/>
        <v>0</v>
      </c>
      <c r="AC323" s="165">
        <v>2.2999999999999998</v>
      </c>
      <c r="AD323" s="165">
        <v>2.2999999999999998</v>
      </c>
      <c r="AE323" s="165">
        <v>0</v>
      </c>
      <c r="AF323" s="165">
        <v>0</v>
      </c>
      <c r="AG323" s="165">
        <v>0</v>
      </c>
      <c r="AH323" s="165">
        <v>0</v>
      </c>
      <c r="AI323" s="165">
        <v>0</v>
      </c>
      <c r="AJ323" s="165">
        <v>0</v>
      </c>
      <c r="AK323" s="165">
        <f t="shared" si="484"/>
        <v>2.1</v>
      </c>
      <c r="AL323" s="165">
        <f t="shared" si="485"/>
        <v>0</v>
      </c>
      <c r="AM323" s="114">
        <v>2.1</v>
      </c>
      <c r="AN323" s="114">
        <v>2.1</v>
      </c>
      <c r="AO323" s="114">
        <v>0</v>
      </c>
      <c r="AP323" s="114">
        <v>0</v>
      </c>
      <c r="AQ323" s="114">
        <v>0</v>
      </c>
      <c r="AR323" s="114">
        <v>0</v>
      </c>
      <c r="AS323" s="114">
        <v>0</v>
      </c>
      <c r="AT323" s="114">
        <v>0</v>
      </c>
      <c r="AU323" s="165">
        <f t="shared" si="486"/>
        <v>2.085</v>
      </c>
      <c r="AV323" s="165">
        <f t="shared" si="487"/>
        <v>0</v>
      </c>
      <c r="AW323" s="165">
        <v>2.085</v>
      </c>
      <c r="AX323" s="165">
        <v>2.085</v>
      </c>
      <c r="AY323" s="165">
        <v>0</v>
      </c>
      <c r="AZ323" s="165">
        <v>0</v>
      </c>
      <c r="BA323" s="165">
        <v>0</v>
      </c>
      <c r="BB323" s="165">
        <v>0</v>
      </c>
      <c r="BC323" s="165">
        <v>0</v>
      </c>
      <c r="BD323" s="165">
        <v>0</v>
      </c>
      <c r="BE323" s="165">
        <f t="shared" si="488"/>
        <v>2.27</v>
      </c>
      <c r="BF323" s="165">
        <f t="shared" si="489"/>
        <v>0</v>
      </c>
      <c r="BG323" s="165">
        <v>2.27</v>
      </c>
      <c r="BH323" s="165">
        <v>2.27</v>
      </c>
      <c r="BI323" s="165">
        <v>0</v>
      </c>
      <c r="BJ323" s="165">
        <v>0</v>
      </c>
      <c r="BK323" s="165">
        <v>0</v>
      </c>
      <c r="BL323" s="165">
        <v>0</v>
      </c>
      <c r="BM323" s="165">
        <v>0</v>
      </c>
      <c r="BN323" s="165">
        <v>0</v>
      </c>
      <c r="BO323" s="165">
        <f t="shared" si="490"/>
        <v>2.5</v>
      </c>
      <c r="BP323" s="165">
        <f t="shared" si="491"/>
        <v>0</v>
      </c>
      <c r="BQ323" s="165">
        <v>2.5</v>
      </c>
      <c r="BR323" s="165">
        <v>2.5</v>
      </c>
      <c r="BS323" s="165">
        <v>0</v>
      </c>
      <c r="BT323" s="165">
        <v>0</v>
      </c>
      <c r="BU323" s="165">
        <v>0</v>
      </c>
      <c r="BV323" s="165">
        <v>0</v>
      </c>
      <c r="BW323" s="165">
        <v>0</v>
      </c>
      <c r="BX323" s="165">
        <v>0</v>
      </c>
      <c r="BY323" s="165">
        <f t="shared" si="492"/>
        <v>1.115</v>
      </c>
      <c r="BZ323" s="165">
        <f t="shared" si="493"/>
        <v>0</v>
      </c>
      <c r="CA323" s="165">
        <v>1.115</v>
      </c>
      <c r="CB323" s="165">
        <v>1.115</v>
      </c>
      <c r="CC323" s="165">
        <v>0</v>
      </c>
      <c r="CD323" s="165">
        <v>0</v>
      </c>
      <c r="CE323" s="165">
        <v>0</v>
      </c>
      <c r="CF323" s="165">
        <v>0</v>
      </c>
      <c r="CG323" s="165">
        <v>0</v>
      </c>
      <c r="CH323" s="165">
        <v>0</v>
      </c>
      <c r="CI323" s="165">
        <f t="shared" si="494"/>
        <v>0</v>
      </c>
      <c r="CJ323" s="165">
        <f t="shared" si="495"/>
        <v>0</v>
      </c>
      <c r="CK323" s="165"/>
      <c r="CL323" s="165"/>
      <c r="CM323" s="165"/>
      <c r="CN323" s="165"/>
      <c r="CO323" s="165"/>
      <c r="CP323" s="165">
        <v>0</v>
      </c>
      <c r="CQ323" s="165">
        <v>0</v>
      </c>
      <c r="CR323" s="165">
        <v>0</v>
      </c>
      <c r="CS323" s="165">
        <f t="shared" si="496"/>
        <v>0</v>
      </c>
      <c r="CT323" s="165">
        <f t="shared" si="497"/>
        <v>0</v>
      </c>
      <c r="CU323" s="165"/>
      <c r="CV323" s="165"/>
      <c r="CW323" s="165"/>
      <c r="CX323" s="165"/>
      <c r="CY323" s="165"/>
      <c r="CZ323" s="165">
        <v>0</v>
      </c>
      <c r="DA323" s="165">
        <v>0</v>
      </c>
      <c r="DB323" s="165">
        <v>0</v>
      </c>
      <c r="DC323" s="165">
        <f t="shared" si="498"/>
        <v>0</v>
      </c>
      <c r="DD323" s="165">
        <f t="shared" si="499"/>
        <v>0</v>
      </c>
      <c r="DE323" s="165"/>
      <c r="DF323" s="165"/>
      <c r="DG323" s="165"/>
      <c r="DH323" s="165"/>
      <c r="DI323" s="165"/>
      <c r="DJ323" s="165">
        <v>0</v>
      </c>
      <c r="DK323" s="165">
        <v>0</v>
      </c>
      <c r="DL323" s="165">
        <v>0</v>
      </c>
      <c r="DM323" s="165">
        <f t="shared" si="500"/>
        <v>0</v>
      </c>
      <c r="DN323" s="165">
        <f t="shared" si="501"/>
        <v>0</v>
      </c>
      <c r="DO323" s="165"/>
      <c r="DP323" s="165"/>
      <c r="DQ323" s="165"/>
      <c r="DR323" s="165"/>
      <c r="DS323" s="165"/>
      <c r="DT323" s="165">
        <v>0</v>
      </c>
      <c r="DU323" s="165">
        <v>0</v>
      </c>
      <c r="DV323" s="165">
        <v>0</v>
      </c>
      <c r="DW323" s="165">
        <f t="shared" si="502"/>
        <v>0</v>
      </c>
      <c r="DX323" s="165">
        <f t="shared" si="503"/>
        <v>0</v>
      </c>
      <c r="DY323" s="165"/>
      <c r="DZ323" s="165"/>
      <c r="EA323" s="165"/>
      <c r="EB323" s="165"/>
      <c r="EC323" s="165">
        <v>0</v>
      </c>
      <c r="ED323" s="165">
        <v>0</v>
      </c>
      <c r="EE323" s="165">
        <v>0</v>
      </c>
      <c r="EF323" s="165">
        <v>0</v>
      </c>
      <c r="EG323" s="165">
        <f t="shared" si="504"/>
        <v>0</v>
      </c>
      <c r="EH323" s="165">
        <f t="shared" si="505"/>
        <v>0</v>
      </c>
      <c r="EI323" s="165"/>
      <c r="EJ323" s="165"/>
      <c r="EK323" s="165"/>
      <c r="EL323" s="165"/>
      <c r="EM323" s="165">
        <v>0</v>
      </c>
      <c r="EN323" s="165">
        <v>0</v>
      </c>
      <c r="EO323" s="165">
        <v>0</v>
      </c>
      <c r="EP323" s="165">
        <v>0</v>
      </c>
      <c r="EQ323" s="166">
        <v>2.48</v>
      </c>
      <c r="ER323" s="165">
        <f>SUM(ER318:ER322)</f>
        <v>0</v>
      </c>
      <c r="ES323" s="165">
        <f>SUM(ES318:ES322)</f>
        <v>0</v>
      </c>
      <c r="ET323" s="165">
        <f>SUM(ET318:ET322)</f>
        <v>0</v>
      </c>
      <c r="EU323" s="165">
        <f>SUM(EU318:EU322)</f>
        <v>0</v>
      </c>
      <c r="EV323" s="165"/>
      <c r="EW323" s="165"/>
      <c r="EX323" s="165"/>
      <c r="EY323" s="165"/>
      <c r="EZ323" s="165">
        <f t="shared" ref="EZ323:FK323" si="510">SUM(EZ318:EZ322)</f>
        <v>1.115</v>
      </c>
      <c r="FA323" s="165">
        <f t="shared" si="510"/>
        <v>1.115</v>
      </c>
      <c r="FB323" s="165">
        <f t="shared" si="510"/>
        <v>0</v>
      </c>
      <c r="FC323" s="165">
        <f t="shared" si="510"/>
        <v>0</v>
      </c>
      <c r="FD323" s="165">
        <f t="shared" si="510"/>
        <v>0</v>
      </c>
      <c r="FE323" s="165">
        <f t="shared" si="510"/>
        <v>0</v>
      </c>
      <c r="FF323" s="165">
        <f t="shared" si="510"/>
        <v>0</v>
      </c>
      <c r="FG323" s="165">
        <f t="shared" si="510"/>
        <v>0</v>
      </c>
      <c r="FH323" s="165">
        <f t="shared" ca="1" si="510"/>
        <v>12.370000000000001</v>
      </c>
      <c r="FI323" s="165">
        <f t="shared" ca="1" si="510"/>
        <v>12.370000000000001</v>
      </c>
      <c r="FJ323" s="165">
        <f t="shared" ca="1" si="510"/>
        <v>0</v>
      </c>
      <c r="FK323" s="165">
        <f t="shared" ca="1" si="510"/>
        <v>0</v>
      </c>
      <c r="FL323" s="165">
        <f ca="1">SUM(FL318:FL321)</f>
        <v>0</v>
      </c>
      <c r="FM323" s="166">
        <f ca="1">SUM(FM318:FM322)</f>
        <v>0</v>
      </c>
      <c r="FN323" s="166">
        <f ca="1">SUM(FN318:FN322)</f>
        <v>0</v>
      </c>
      <c r="FO323" s="166">
        <f ca="1">SUM(FO318:FO322)</f>
        <v>0</v>
      </c>
      <c r="FP323" s="167">
        <f t="shared" ca="1" si="507"/>
        <v>1</v>
      </c>
      <c r="FQ323" s="168">
        <f t="shared" si="449"/>
        <v>0.44959677419354838</v>
      </c>
      <c r="FR323" s="165">
        <f>SUM(FR318:FR322)</f>
        <v>0</v>
      </c>
      <c r="FS323" s="168">
        <f t="shared" si="358"/>
        <v>0</v>
      </c>
    </row>
    <row r="324" spans="24:175">
      <c r="X324" s="15"/>
      <c r="Y324" s="53"/>
      <c r="Z324" s="53"/>
      <c r="EQ324" s="650">
        <f>SUM(EQ209:EQ323)</f>
        <v>27.493000000000002</v>
      </c>
    </row>
    <row r="325" spans="24:175">
      <c r="X325" s="15"/>
      <c r="Y325" s="53"/>
      <c r="Z325" s="53"/>
    </row>
    <row r="326" spans="24:175">
      <c r="X326" s="15"/>
      <c r="Y326" s="53"/>
      <c r="EF326" s="288"/>
    </row>
    <row r="327" spans="24:175">
      <c r="X327" s="15"/>
      <c r="Y327" s="53"/>
      <c r="Z327" s="94"/>
      <c r="AJ327" s="94"/>
      <c r="AK327" s="94"/>
      <c r="AL327" s="94"/>
      <c r="AM327" s="94"/>
      <c r="AN327" s="94"/>
      <c r="AO327" s="94"/>
      <c r="AP327" s="94"/>
      <c r="AQ327" s="94"/>
      <c r="AR327" s="94"/>
      <c r="AS327" s="94"/>
      <c r="AT327" s="94"/>
      <c r="AU327" s="94"/>
      <c r="AV327" s="94"/>
      <c r="AW327" s="94"/>
      <c r="AX327" s="94"/>
      <c r="AY327" s="94"/>
      <c r="AZ327" s="94"/>
      <c r="BA327" s="94"/>
      <c r="BB327" s="94"/>
      <c r="BC327" s="94"/>
      <c r="BD327" s="94"/>
      <c r="BE327" s="94"/>
      <c r="BF327" s="94"/>
      <c r="BG327" s="94"/>
      <c r="BH327" s="94"/>
      <c r="BI327" s="94"/>
      <c r="BJ327" s="94"/>
      <c r="BK327" s="94"/>
      <c r="BL327" s="94"/>
      <c r="BM327" s="94"/>
      <c r="BN327" s="94"/>
      <c r="BO327" s="94"/>
      <c r="BP327" s="94"/>
      <c r="BQ327" s="94"/>
      <c r="BR327" s="94"/>
      <c r="BS327" s="94"/>
      <c r="BT327" s="94"/>
      <c r="BU327" s="94"/>
      <c r="BV327" s="94"/>
      <c r="BW327" s="94"/>
      <c r="BX327" s="94"/>
      <c r="BY327" s="94"/>
      <c r="BZ327" s="94"/>
      <c r="CA327" s="94"/>
      <c r="CB327" s="94"/>
      <c r="CC327" s="94"/>
      <c r="CD327" s="94"/>
      <c r="CE327" s="94"/>
      <c r="CF327" s="94"/>
      <c r="CG327" s="94"/>
      <c r="CH327" s="94"/>
      <c r="CI327" s="94"/>
      <c r="CJ327" s="94"/>
      <c r="CK327" s="94"/>
      <c r="CL327" s="94"/>
      <c r="CM327" s="94"/>
      <c r="CN327" s="94"/>
      <c r="CO327" s="94"/>
      <c r="CP327" s="94"/>
      <c r="CQ327" s="94"/>
      <c r="CR327" s="94"/>
      <c r="CS327" s="94"/>
      <c r="CT327" s="94"/>
      <c r="CU327" s="94"/>
      <c r="CV327" s="94"/>
      <c r="CW327" s="94"/>
      <c r="CX327" s="94"/>
      <c r="CY327" s="94"/>
      <c r="CZ327" s="94"/>
      <c r="DA327" s="94"/>
      <c r="DB327" s="94"/>
      <c r="EF327" s="288"/>
      <c r="EX327" s="94"/>
      <c r="EY327" s="300"/>
      <c r="FF327" s="94"/>
      <c r="FG327" s="300"/>
    </row>
    <row r="328" spans="24:175">
      <c r="Y328" s="94"/>
      <c r="AI328" s="94"/>
      <c r="AJ328" s="94"/>
      <c r="AK328" s="94"/>
      <c r="AL328" s="94"/>
      <c r="AM328" s="94"/>
      <c r="AN328" s="94"/>
      <c r="AO328" s="94"/>
      <c r="AP328" s="94"/>
      <c r="AQ328" s="94"/>
      <c r="AR328" s="94"/>
      <c r="AS328" s="94"/>
      <c r="AT328" s="94"/>
      <c r="AU328" s="94"/>
      <c r="AV328" s="94"/>
      <c r="AW328" s="94"/>
      <c r="AX328" s="94"/>
      <c r="AY328" s="94"/>
      <c r="AZ328" s="94"/>
      <c r="BA328" s="94"/>
      <c r="BB328" s="94"/>
      <c r="BC328" s="94"/>
      <c r="BD328" s="94"/>
      <c r="BE328" s="94"/>
      <c r="BF328" s="94"/>
      <c r="BG328" s="94"/>
      <c r="BH328" s="94"/>
      <c r="BI328" s="94"/>
      <c r="BJ328" s="94"/>
      <c r="BK328" s="94"/>
      <c r="BL328" s="94"/>
      <c r="BM328" s="94"/>
      <c r="BN328" s="94"/>
      <c r="BO328" s="94"/>
      <c r="BP328" s="94"/>
      <c r="BQ328" s="94"/>
      <c r="BR328" s="94"/>
      <c r="BS328" s="94"/>
      <c r="BT328" s="94"/>
      <c r="BU328" s="94"/>
      <c r="BV328" s="94"/>
      <c r="BW328" s="94"/>
      <c r="BX328" s="94"/>
      <c r="BY328" s="94"/>
      <c r="BZ328" s="94"/>
      <c r="CA328" s="94"/>
      <c r="CB328" s="94"/>
      <c r="CC328" s="94"/>
      <c r="CD328" s="94"/>
      <c r="CE328" s="94"/>
      <c r="CF328" s="94"/>
      <c r="CG328" s="94"/>
      <c r="CH328" s="94"/>
      <c r="CI328" s="94"/>
      <c r="CJ328" s="94"/>
      <c r="CK328" s="94"/>
      <c r="CL328" s="94"/>
      <c r="CM328" s="94"/>
      <c r="CN328" s="94"/>
      <c r="CO328" s="94"/>
      <c r="CP328" s="94"/>
      <c r="CQ328" s="94"/>
      <c r="CR328" s="94"/>
      <c r="CS328" s="94"/>
      <c r="CT328" s="94"/>
      <c r="CU328" s="94"/>
      <c r="CV328" s="94"/>
      <c r="CW328" s="94"/>
      <c r="CX328" s="94"/>
      <c r="CY328" s="94"/>
      <c r="CZ328" s="94"/>
      <c r="DA328" s="94"/>
      <c r="EE328" s="288"/>
      <c r="EO328" s="289"/>
      <c r="EX328" s="94"/>
      <c r="EY328" s="300"/>
      <c r="FF328" s="94"/>
      <c r="FG328" s="300"/>
    </row>
    <row r="329" spans="24:175">
      <c r="Y329" s="94"/>
      <c r="AI329" s="94"/>
      <c r="AJ329" s="94"/>
      <c r="AK329" s="94"/>
      <c r="AL329" s="94"/>
      <c r="AM329" s="94"/>
      <c r="AN329" s="94"/>
      <c r="AO329" s="94"/>
      <c r="AP329" s="94"/>
      <c r="AQ329" s="94"/>
      <c r="AR329" s="94"/>
      <c r="AS329" s="94"/>
      <c r="AT329" s="94"/>
      <c r="AU329" s="94"/>
      <c r="AV329" s="94"/>
      <c r="AW329" s="94"/>
      <c r="AX329" s="94"/>
      <c r="AY329" s="94"/>
      <c r="AZ329" s="94"/>
      <c r="BA329" s="94"/>
      <c r="BB329" s="94"/>
      <c r="BC329" s="94"/>
      <c r="BD329" s="94"/>
      <c r="BE329" s="94"/>
      <c r="BF329" s="94"/>
      <c r="BG329" s="94"/>
      <c r="BH329" s="94"/>
      <c r="BI329" s="94"/>
      <c r="BJ329" s="94"/>
      <c r="BK329" s="94"/>
      <c r="BL329" s="94"/>
      <c r="BM329" s="94"/>
      <c r="BN329" s="94"/>
      <c r="BO329" s="94"/>
      <c r="BP329" s="94"/>
      <c r="BQ329" s="94"/>
      <c r="BR329" s="94"/>
      <c r="BS329" s="94"/>
      <c r="BT329" s="94"/>
      <c r="BU329" s="94"/>
      <c r="BV329" s="94"/>
      <c r="BW329" s="94"/>
      <c r="BX329" s="94"/>
      <c r="BY329" s="94"/>
      <c r="BZ329" s="94"/>
      <c r="CA329" s="94"/>
      <c r="CB329" s="94"/>
      <c r="CC329" s="94"/>
      <c r="CD329" s="94"/>
      <c r="CE329" s="94"/>
      <c r="CF329" s="94"/>
      <c r="CG329" s="94"/>
      <c r="CH329" s="94"/>
      <c r="CI329" s="94"/>
      <c r="CJ329" s="94"/>
      <c r="CK329" s="94"/>
      <c r="CL329" s="94"/>
      <c r="CM329" s="94"/>
      <c r="CN329" s="94"/>
      <c r="CO329" s="94"/>
      <c r="CP329" s="94"/>
      <c r="CQ329" s="94"/>
      <c r="CR329" s="94"/>
      <c r="CS329" s="94"/>
      <c r="CT329" s="94"/>
      <c r="CU329" s="94"/>
      <c r="CV329" s="94"/>
      <c r="CW329" s="94"/>
      <c r="CX329" s="94"/>
      <c r="CY329" s="94"/>
      <c r="CZ329" s="94"/>
      <c r="DA329" s="94"/>
      <c r="EX329" s="94"/>
      <c r="EY329" s="300"/>
      <c r="FF329" s="94"/>
      <c r="FG329" s="300"/>
    </row>
    <row r="330" spans="24:175">
      <c r="Y330" s="94"/>
      <c r="AI330" s="94"/>
      <c r="AJ330" s="94"/>
      <c r="AK330" s="94"/>
      <c r="AL330" s="94"/>
      <c r="AM330" s="94"/>
      <c r="AN330" s="94"/>
      <c r="AO330" s="94"/>
      <c r="AP330" s="94"/>
      <c r="AQ330" s="94"/>
      <c r="AR330" s="94"/>
      <c r="AS330" s="94"/>
      <c r="AT330" s="94"/>
      <c r="AU330" s="94"/>
      <c r="AV330" s="94"/>
      <c r="AW330" s="94"/>
      <c r="AX330" s="94"/>
      <c r="AY330" s="94"/>
      <c r="AZ330" s="94"/>
      <c r="BA330" s="94"/>
      <c r="BB330" s="94"/>
      <c r="BC330" s="94"/>
      <c r="BD330" s="94"/>
      <c r="BE330" s="94"/>
      <c r="BF330" s="94"/>
      <c r="BG330" s="94"/>
      <c r="BH330" s="94"/>
      <c r="BI330" s="94"/>
      <c r="BJ330" s="94"/>
      <c r="BK330" s="94"/>
      <c r="BL330" s="94"/>
      <c r="BM330" s="94"/>
      <c r="BN330" s="94"/>
      <c r="BO330" s="94"/>
      <c r="BP330" s="94"/>
      <c r="BQ330" s="94"/>
      <c r="BR330" s="94"/>
      <c r="BS330" s="94"/>
      <c r="BT330" s="94"/>
      <c r="BU330" s="94"/>
      <c r="BV330" s="94"/>
      <c r="BW330" s="94"/>
      <c r="BX330" s="94"/>
      <c r="BY330" s="94"/>
      <c r="BZ330" s="94"/>
      <c r="CA330" s="94"/>
      <c r="CB330" s="94"/>
      <c r="CC330" s="94"/>
      <c r="CD330" s="94"/>
      <c r="CE330" s="94"/>
      <c r="CF330" s="94"/>
      <c r="CG330" s="94"/>
      <c r="CH330" s="94"/>
      <c r="CI330" s="94"/>
      <c r="CJ330" s="94"/>
      <c r="CK330" s="94"/>
      <c r="CL330" s="94"/>
      <c r="CM330" s="94"/>
      <c r="CN330" s="94"/>
      <c r="CO330" s="94"/>
      <c r="CP330" s="94"/>
      <c r="CQ330" s="94"/>
      <c r="CR330" s="94"/>
      <c r="CS330" s="94"/>
      <c r="CT330" s="94"/>
      <c r="CU330" s="94"/>
      <c r="CV330" s="94"/>
      <c r="CW330" s="94"/>
      <c r="CX330" s="94"/>
      <c r="CY330" s="94"/>
      <c r="CZ330" s="94"/>
      <c r="DA330" s="94"/>
      <c r="EX330" s="94"/>
      <c r="EY330" s="300"/>
      <c r="FF330" s="94"/>
      <c r="FG330" s="300"/>
    </row>
    <row r="331" spans="24:175">
      <c r="Y331" s="94"/>
      <c r="AI331" s="94"/>
      <c r="AJ331" s="94"/>
      <c r="AK331" s="94"/>
      <c r="AL331" s="94"/>
      <c r="AM331" s="94"/>
      <c r="AN331" s="94"/>
      <c r="AO331" s="94"/>
      <c r="AP331" s="94"/>
      <c r="AQ331" s="94"/>
      <c r="AR331" s="94"/>
      <c r="AS331" s="94"/>
      <c r="AT331" s="94"/>
      <c r="AU331" s="94"/>
      <c r="AV331" s="94"/>
      <c r="AW331" s="94"/>
      <c r="AX331" s="94"/>
      <c r="AY331" s="94"/>
      <c r="AZ331" s="94"/>
      <c r="BA331" s="94"/>
      <c r="BB331" s="94"/>
      <c r="BC331" s="94"/>
      <c r="BD331" s="94"/>
      <c r="BE331" s="94"/>
      <c r="BF331" s="94"/>
      <c r="BG331" s="94"/>
      <c r="BH331" s="94"/>
      <c r="BI331" s="94"/>
      <c r="BJ331" s="94"/>
      <c r="BK331" s="94"/>
      <c r="BL331" s="94"/>
      <c r="BM331" s="94"/>
      <c r="BN331" s="94"/>
      <c r="BO331" s="94"/>
      <c r="BP331" s="94"/>
      <c r="BQ331" s="94"/>
      <c r="BR331" s="94"/>
      <c r="BS331" s="94"/>
      <c r="BT331" s="94"/>
      <c r="BU331" s="94"/>
      <c r="BV331" s="94"/>
      <c r="BW331" s="94"/>
      <c r="BX331" s="94"/>
      <c r="BY331" s="94"/>
      <c r="BZ331" s="94"/>
      <c r="CA331" s="94"/>
      <c r="CB331" s="94"/>
      <c r="CC331" s="94"/>
      <c r="CD331" s="94"/>
      <c r="CE331" s="94"/>
      <c r="CF331" s="94"/>
      <c r="CG331" s="94"/>
      <c r="CH331" s="94"/>
      <c r="CI331" s="94"/>
      <c r="CJ331" s="94"/>
      <c r="CK331" s="94"/>
      <c r="CL331" s="94"/>
      <c r="CM331" s="94"/>
      <c r="CN331" s="94"/>
      <c r="CO331" s="94"/>
      <c r="CP331" s="94"/>
      <c r="CQ331" s="94"/>
      <c r="CR331" s="94"/>
      <c r="CS331" s="94"/>
      <c r="CT331" s="94"/>
      <c r="CU331" s="94"/>
      <c r="CV331" s="94"/>
      <c r="CW331" s="94"/>
      <c r="CX331" s="94"/>
      <c r="CY331" s="94"/>
      <c r="CZ331" s="94"/>
      <c r="DA331" s="94"/>
      <c r="EX331" s="94"/>
      <c r="EY331" s="300"/>
      <c r="FF331" s="94"/>
      <c r="FG331" s="300"/>
    </row>
    <row r="332" spans="24:175">
      <c r="Y332" s="94"/>
      <c r="AI332" s="94"/>
      <c r="AJ332" s="94"/>
      <c r="AK332" s="94"/>
      <c r="AL332" s="94"/>
      <c r="AM332" s="94"/>
      <c r="AN332" s="94"/>
      <c r="AO332" s="94"/>
      <c r="AP332" s="94"/>
      <c r="AQ332" s="94"/>
      <c r="AR332" s="94"/>
      <c r="AS332" s="94"/>
      <c r="AT332" s="94"/>
      <c r="AU332" s="94"/>
      <c r="AV332" s="94"/>
      <c r="AW332" s="94"/>
      <c r="AX332" s="94"/>
      <c r="AY332" s="94"/>
      <c r="AZ332" s="94"/>
      <c r="BA332" s="94"/>
      <c r="BB332" s="94"/>
      <c r="BC332" s="94"/>
      <c r="BD332" s="94"/>
      <c r="BE332" s="94"/>
      <c r="BF332" s="94"/>
      <c r="BG332" s="94"/>
      <c r="BH332" s="94"/>
      <c r="BI332" s="94"/>
      <c r="BJ332" s="94"/>
      <c r="BK332" s="94"/>
      <c r="BL332" s="94"/>
      <c r="BM332" s="94"/>
      <c r="BN332" s="94"/>
      <c r="BO332" s="94"/>
      <c r="BP332" s="94"/>
      <c r="BQ332" s="94"/>
      <c r="BR332" s="94"/>
      <c r="BS332" s="94"/>
      <c r="BT332" s="94"/>
      <c r="BU332" s="94"/>
      <c r="BV332" s="94"/>
      <c r="BW332" s="94"/>
      <c r="BX332" s="94"/>
      <c r="BY332" s="94"/>
      <c r="BZ332" s="94"/>
      <c r="CA332" s="94"/>
      <c r="CB332" s="94"/>
      <c r="CC332" s="94"/>
      <c r="CD332" s="94"/>
      <c r="CE332" s="94"/>
      <c r="CF332" s="94"/>
      <c r="CG332" s="94"/>
      <c r="CH332" s="94"/>
      <c r="CI332" s="94"/>
      <c r="CJ332" s="94"/>
      <c r="CK332" s="94"/>
      <c r="CL332" s="94"/>
      <c r="CM332" s="94"/>
      <c r="CN332" s="94"/>
      <c r="CO332" s="94"/>
      <c r="CP332" s="94"/>
      <c r="CQ332" s="94"/>
      <c r="CR332" s="94"/>
      <c r="CS332" s="94"/>
      <c r="CT332" s="94"/>
      <c r="CU332" s="94"/>
      <c r="CV332" s="94"/>
      <c r="CW332" s="94"/>
      <c r="CX332" s="94"/>
      <c r="CY332" s="94"/>
      <c r="CZ332" s="94"/>
      <c r="DA332" s="94"/>
      <c r="EX332" s="94"/>
      <c r="EY332" s="300"/>
      <c r="FF332" s="94"/>
      <c r="FG332" s="300"/>
    </row>
    <row r="383" spans="47:47">
      <c r="AU383" s="15">
        <f>SUM(AU378:AU382)</f>
        <v>0</v>
      </c>
    </row>
  </sheetData>
  <mergeCells count="155">
    <mergeCell ref="X153:Y153"/>
    <mergeCell ref="X128:X129"/>
    <mergeCell ref="Y128:Y129"/>
    <mergeCell ref="X126:FP126"/>
    <mergeCell ref="ER127:FB127"/>
    <mergeCell ref="FQ128:FQ129"/>
    <mergeCell ref="CJ128:CJ129"/>
    <mergeCell ref="FH128:FK128"/>
    <mergeCell ref="K107:K108"/>
    <mergeCell ref="T107:T108"/>
    <mergeCell ref="EV128:EY128"/>
    <mergeCell ref="EG128:EG129"/>
    <mergeCell ref="S128:S129"/>
    <mergeCell ref="EI128:EL128"/>
    <mergeCell ref="CK128:CN128"/>
    <mergeCell ref="CO128:CR128"/>
    <mergeCell ref="DO128:DR128"/>
    <mergeCell ref="DS128:DV128"/>
    <mergeCell ref="BP128:BP129"/>
    <mergeCell ref="BK128:BN128"/>
    <mergeCell ref="BQ128:BT128"/>
    <mergeCell ref="BU128:BX128"/>
    <mergeCell ref="DE128:DH128"/>
    <mergeCell ref="DI128:DL128"/>
    <mergeCell ref="ER128:EU128"/>
    <mergeCell ref="EQ128:EQ129"/>
    <mergeCell ref="EM128:EP128"/>
    <mergeCell ref="P128:P129"/>
    <mergeCell ref="B126:U126"/>
    <mergeCell ref="N128:N129"/>
    <mergeCell ref="O128:O129"/>
    <mergeCell ref="Q128:Q129"/>
    <mergeCell ref="R128:R129"/>
    <mergeCell ref="B128:B129"/>
    <mergeCell ref="G128:G129"/>
    <mergeCell ref="T128:T129"/>
    <mergeCell ref="F128:F129"/>
    <mergeCell ref="BA128:BD128"/>
    <mergeCell ref="BG128:BJ128"/>
    <mergeCell ref="BF128:BF129"/>
    <mergeCell ref="CA128:CD128"/>
    <mergeCell ref="D128:D129"/>
    <mergeCell ref="Z128:Z129"/>
    <mergeCell ref="U107:U108"/>
    <mergeCell ref="P117:P118"/>
    <mergeCell ref="S107:S108"/>
    <mergeCell ref="N117:N118"/>
    <mergeCell ref="FL128:FO128"/>
    <mergeCell ref="V128:V129"/>
    <mergeCell ref="I117:K118"/>
    <mergeCell ref="M117:M118"/>
    <mergeCell ref="U128:U129"/>
    <mergeCell ref="EH128:EH129"/>
    <mergeCell ref="DN128:DN129"/>
    <mergeCell ref="DW128:DW129"/>
    <mergeCell ref="DX128:DX129"/>
    <mergeCell ref="CY128:DB128"/>
    <mergeCell ref="DY128:EB128"/>
    <mergeCell ref="EC128:EF128"/>
    <mergeCell ref="BY128:BY129"/>
    <mergeCell ref="BZ128:BZ129"/>
    <mergeCell ref="CE128:CH128"/>
    <mergeCell ref="BO128:BO129"/>
    <mergeCell ref="BE128:BE129"/>
    <mergeCell ref="AM128:AP128"/>
    <mergeCell ref="AQ128:AT128"/>
    <mergeCell ref="AW128:AZ128"/>
    <mergeCell ref="X183:Y183"/>
    <mergeCell ref="B3:B4"/>
    <mergeCell ref="C3:C4"/>
    <mergeCell ref="E3:E4"/>
    <mergeCell ref="F3:F4"/>
    <mergeCell ref="G3:G4"/>
    <mergeCell ref="H3:H4"/>
    <mergeCell ref="I3:I4"/>
    <mergeCell ref="Q3:Q4"/>
    <mergeCell ref="R3:R4"/>
    <mergeCell ref="S3:S4"/>
    <mergeCell ref="T3:T4"/>
    <mergeCell ref="U3:U4"/>
    <mergeCell ref="C107:C108"/>
    <mergeCell ref="L3:L4"/>
    <mergeCell ref="X159:Y159"/>
    <mergeCell ref="M3:M4"/>
    <mergeCell ref="R107:R108"/>
    <mergeCell ref="O117:O118"/>
    <mergeCell ref="F107:F108"/>
    <mergeCell ref="N3:N4"/>
    <mergeCell ref="I119:K119"/>
    <mergeCell ref="X165:Y165"/>
    <mergeCell ref="B117:B118"/>
    <mergeCell ref="B189:C189"/>
    <mergeCell ref="FP127:FQ127"/>
    <mergeCell ref="B177:C177"/>
    <mergeCell ref="B171:C171"/>
    <mergeCell ref="B165:C165"/>
    <mergeCell ref="B159:C159"/>
    <mergeCell ref="B153:C153"/>
    <mergeCell ref="H128:H129"/>
    <mergeCell ref="I128:I129"/>
    <mergeCell ref="J128:J129"/>
    <mergeCell ref="K128:K129"/>
    <mergeCell ref="L128:L129"/>
    <mergeCell ref="M128:M129"/>
    <mergeCell ref="C128:C129"/>
    <mergeCell ref="E128:E129"/>
    <mergeCell ref="FP128:FP129"/>
    <mergeCell ref="DC128:DC129"/>
    <mergeCell ref="DD128:DD129"/>
    <mergeCell ref="DM128:DM129"/>
    <mergeCell ref="CS128:CS129"/>
    <mergeCell ref="FD128:FG128"/>
    <mergeCell ref="EZ128:FC128"/>
    <mergeCell ref="AA128:AA129"/>
    <mergeCell ref="AB128:AB129"/>
    <mergeCell ref="B183:C183"/>
    <mergeCell ref="M107:M108"/>
    <mergeCell ref="D107:D108"/>
    <mergeCell ref="E107:E108"/>
    <mergeCell ref="N107:N108"/>
    <mergeCell ref="O107:O108"/>
    <mergeCell ref="H107:H108"/>
    <mergeCell ref="I107:I108"/>
    <mergeCell ref="J107:J108"/>
    <mergeCell ref="C117:C118"/>
    <mergeCell ref="D117:D118"/>
    <mergeCell ref="E117:E118"/>
    <mergeCell ref="F117:F118"/>
    <mergeCell ref="I120:K120"/>
    <mergeCell ref="I121:K121"/>
    <mergeCell ref="H117:H118"/>
    <mergeCell ref="X171:Y171"/>
    <mergeCell ref="X177:Y177"/>
    <mergeCell ref="W3:W4"/>
    <mergeCell ref="X3:X4"/>
    <mergeCell ref="FR128:FR129"/>
    <mergeCell ref="FS128:FS129"/>
    <mergeCell ref="B1:V1"/>
    <mergeCell ref="D3:D4"/>
    <mergeCell ref="C101:D101"/>
    <mergeCell ref="J3:J4"/>
    <mergeCell ref="K3:K4"/>
    <mergeCell ref="O3:O4"/>
    <mergeCell ref="P3:P4"/>
    <mergeCell ref="V3:V4"/>
    <mergeCell ref="P107:P108"/>
    <mergeCell ref="AC128:AF128"/>
    <mergeCell ref="AG128:AJ128"/>
    <mergeCell ref="AK128:AK129"/>
    <mergeCell ref="CI128:CI129"/>
    <mergeCell ref="CU128:CX128"/>
    <mergeCell ref="CT128:CT129"/>
    <mergeCell ref="AL128:AL129"/>
    <mergeCell ref="AU128:AU129"/>
    <mergeCell ref="AV128:AV129"/>
  </mergeCells>
  <conditionalFormatting sqref="FQ130:FQ151">
    <cfRule type="cellIs" dxfId="227" priority="56" operator="greaterThan">
      <formula>0.9</formula>
    </cfRule>
    <cfRule type="cellIs" dxfId="226" priority="57" operator="greaterThan">
      <formula>0.9</formula>
    </cfRule>
  </conditionalFormatting>
  <conditionalFormatting sqref="FQ154:FQ157 V49:V90 V5:V37">
    <cfRule type="cellIs" dxfId="225" priority="55" operator="greaterThan">
      <formula>0.9</formula>
    </cfRule>
  </conditionalFormatting>
  <conditionalFormatting sqref="FQ160:FQ163">
    <cfRule type="cellIs" dxfId="224" priority="54" operator="greaterThan">
      <formula>0.9</formula>
    </cfRule>
  </conditionalFormatting>
  <conditionalFormatting sqref="V38 V43:V48">
    <cfRule type="cellIs" dxfId="223" priority="51" operator="greaterThan">
      <formula>0.9</formula>
    </cfRule>
  </conditionalFormatting>
  <conditionalFormatting sqref="FQ153:FQ157 FQ159:FQ163 FQ165:FQ169 FQ171:FQ175 FQ177:FQ181 FQ183 FQ130:FQ151">
    <cfRule type="cellIs" dxfId="222" priority="50" operator="greaterThan">
      <formula>0.9</formula>
    </cfRule>
  </conditionalFormatting>
  <conditionalFormatting sqref="V159:V163 V165:V169 V171:V175 V177 V130:V157">
    <cfRule type="cellIs" dxfId="221" priority="49" operator="greaterThan">
      <formula>0.9</formula>
    </cfRule>
  </conditionalFormatting>
  <conditionalFormatting sqref="FQ152">
    <cfRule type="cellIs" dxfId="220" priority="46" operator="greaterThan">
      <formula>0.9</formula>
    </cfRule>
    <cfRule type="cellIs" dxfId="219" priority="47" operator="greaterThan">
      <formula>0.9</formula>
    </cfRule>
  </conditionalFormatting>
  <conditionalFormatting sqref="FQ152">
    <cfRule type="cellIs" dxfId="218" priority="45" operator="greaterThan">
      <formula>0.9</formula>
    </cfRule>
  </conditionalFormatting>
  <conditionalFormatting sqref="FQ158">
    <cfRule type="cellIs" dxfId="217" priority="41" operator="greaterThan">
      <formula>0.9</formula>
    </cfRule>
  </conditionalFormatting>
  <conditionalFormatting sqref="V158">
    <cfRule type="cellIs" dxfId="216" priority="43" operator="greaterThan">
      <formula>0.9</formula>
    </cfRule>
  </conditionalFormatting>
  <conditionalFormatting sqref="FQ158">
    <cfRule type="cellIs" dxfId="215" priority="42" operator="greaterThan">
      <formula>0.9</formula>
    </cfRule>
  </conditionalFormatting>
  <conditionalFormatting sqref="FQ164">
    <cfRule type="cellIs" dxfId="214" priority="39" operator="greaterThan">
      <formula>0.9</formula>
    </cfRule>
  </conditionalFormatting>
  <conditionalFormatting sqref="V164">
    <cfRule type="cellIs" dxfId="213" priority="40" operator="greaterThan">
      <formula>0.9</formula>
    </cfRule>
  </conditionalFormatting>
  <conditionalFormatting sqref="V170">
    <cfRule type="cellIs" dxfId="212" priority="37" operator="greaterThan">
      <formula>0.9</formula>
    </cfRule>
  </conditionalFormatting>
  <conditionalFormatting sqref="FQ164">
    <cfRule type="cellIs" dxfId="211" priority="38" operator="greaterThan">
      <formula>0.9</formula>
    </cfRule>
  </conditionalFormatting>
  <conditionalFormatting sqref="FQ170">
    <cfRule type="cellIs" dxfId="210" priority="36" operator="greaterThan">
      <formula>0.9</formula>
    </cfRule>
  </conditionalFormatting>
  <conditionalFormatting sqref="FQ176">
    <cfRule type="cellIs" dxfId="209" priority="35" operator="greaterThan">
      <formula>0.9</formula>
    </cfRule>
  </conditionalFormatting>
  <conditionalFormatting sqref="V176">
    <cfRule type="cellIs" dxfId="208" priority="34" operator="greaterThan">
      <formula>0.9</formula>
    </cfRule>
  </conditionalFormatting>
  <conditionalFormatting sqref="FQ182">
    <cfRule type="cellIs" dxfId="207" priority="33" operator="greaterThan">
      <formula>0.9</formula>
    </cfRule>
  </conditionalFormatting>
  <conditionalFormatting sqref="V178:V181 V183">
    <cfRule type="cellIs" dxfId="206" priority="32" operator="greaterThan">
      <formula>0.9</formula>
    </cfRule>
  </conditionalFormatting>
  <conditionalFormatting sqref="V182">
    <cfRule type="cellIs" dxfId="205" priority="31" operator="greaterThan">
      <formula>0.9</formula>
    </cfRule>
  </conditionalFormatting>
  <conditionalFormatting sqref="V184:V187 V189">
    <cfRule type="cellIs" dxfId="204" priority="28" operator="greaterThan">
      <formula>0.9</formula>
    </cfRule>
  </conditionalFormatting>
  <conditionalFormatting sqref="V188">
    <cfRule type="cellIs" dxfId="203" priority="27" operator="greaterThan">
      <formula>0.9</formula>
    </cfRule>
  </conditionalFormatting>
  <conditionalFormatting sqref="V101">
    <cfRule type="cellIs" dxfId="202" priority="26" operator="greaterThan">
      <formula>1</formula>
    </cfRule>
  </conditionalFormatting>
  <conditionalFormatting sqref="V17:V26">
    <cfRule type="cellIs" dxfId="201" priority="25" operator="greaterThan">
      <formula>0.9</formula>
    </cfRule>
  </conditionalFormatting>
  <conditionalFormatting sqref="V28:V36">
    <cfRule type="cellIs" dxfId="200" priority="24" operator="greaterThan">
      <formula>0.9</formula>
    </cfRule>
  </conditionalFormatting>
  <conditionalFormatting sqref="V48">
    <cfRule type="cellIs" dxfId="199" priority="23" operator="greaterThan">
      <formula>0.9</formula>
    </cfRule>
  </conditionalFormatting>
  <conditionalFormatting sqref="V43:V47">
    <cfRule type="cellIs" dxfId="198" priority="22" operator="greaterThan">
      <formula>0.9</formula>
    </cfRule>
  </conditionalFormatting>
  <conditionalFormatting sqref="V100">
    <cfRule type="cellIs" dxfId="197" priority="21" operator="greaterThan">
      <formula>0.9</formula>
    </cfRule>
  </conditionalFormatting>
  <conditionalFormatting sqref="V91:V99">
    <cfRule type="cellIs" dxfId="196" priority="20" operator="greaterThan">
      <formula>0.9</formula>
    </cfRule>
  </conditionalFormatting>
  <conditionalFormatting sqref="FS154:FS158 FS160:FS164 FS166:FS170 FS172:FS176 FS178:FS182 FS130:FS152">
    <cfRule type="cellIs" dxfId="195" priority="18" operator="greaterThan">
      <formula>0.9</formula>
    </cfRule>
    <cfRule type="cellIs" dxfId="194" priority="19" operator="greaterThan">
      <formula>0.9</formula>
    </cfRule>
  </conditionalFormatting>
  <conditionalFormatting sqref="FS154:FS158 FS160:FS164 FS166:FS170 FS172:FS176 FS178:FS182 FS130:FS152">
    <cfRule type="cellIs" dxfId="193" priority="17" operator="greaterThan">
      <formula>0.9</formula>
    </cfRule>
  </conditionalFormatting>
  <conditionalFormatting sqref="FS153">
    <cfRule type="cellIs" dxfId="192" priority="16" operator="greaterThan">
      <formula>0.9</formula>
    </cfRule>
  </conditionalFormatting>
  <conditionalFormatting sqref="FS159">
    <cfRule type="cellIs" dxfId="191" priority="15" operator="greaterThan">
      <formula>0.9</formula>
    </cfRule>
  </conditionalFormatting>
  <conditionalFormatting sqref="FS165">
    <cfRule type="cellIs" dxfId="190" priority="14" operator="greaterThan">
      <formula>0.9</formula>
    </cfRule>
  </conditionalFormatting>
  <conditionalFormatting sqref="FS171">
    <cfRule type="cellIs" dxfId="189" priority="13" operator="greaterThan">
      <formula>0.9</formula>
    </cfRule>
  </conditionalFormatting>
  <conditionalFormatting sqref="FS177">
    <cfRule type="cellIs" dxfId="188" priority="12" operator="greaterThan">
      <formula>0.9</formula>
    </cfRule>
  </conditionalFormatting>
  <conditionalFormatting sqref="FS183">
    <cfRule type="cellIs" dxfId="187" priority="11" operator="greaterThan">
      <formula>0.9</formula>
    </cfRule>
  </conditionalFormatting>
  <conditionalFormatting sqref="X16">
    <cfRule type="cellIs" dxfId="186" priority="7" operator="greaterThan">
      <formula>0.9</formula>
    </cfRule>
  </conditionalFormatting>
  <conditionalFormatting sqref="X27">
    <cfRule type="cellIs" dxfId="185" priority="6" operator="greaterThan">
      <formula>0.9</formula>
    </cfRule>
  </conditionalFormatting>
  <conditionalFormatting sqref="X38">
    <cfRule type="cellIs" dxfId="184" priority="5" operator="greaterThan">
      <formula>0.9</formula>
    </cfRule>
  </conditionalFormatting>
  <conditionalFormatting sqref="X49">
    <cfRule type="cellIs" dxfId="183" priority="4" operator="greaterThan">
      <formula>0.9</formula>
    </cfRule>
  </conditionalFormatting>
  <conditionalFormatting sqref="X60">
    <cfRule type="cellIs" dxfId="182" priority="3" operator="greaterThan">
      <formula>0.9</formula>
    </cfRule>
  </conditionalFormatting>
  <conditionalFormatting sqref="X101">
    <cfRule type="cellIs" dxfId="181" priority="2" operator="greaterThan">
      <formula>1</formula>
    </cfRule>
  </conditionalFormatting>
  <conditionalFormatting sqref="V39:V42">
    <cfRule type="cellIs" dxfId="180" priority="1" operator="greaterThan">
      <formula>0.9</formula>
    </cfRule>
  </conditionalFormatting>
  <pageMargins left="0.7" right="0.7" top="0.75" bottom="0.75" header="0.3" footer="0.3"/>
  <pageSetup orientation="portrait" horizontalDpi="300" r:id="rId1"/>
  <customProperties>
    <customPr name="_pios_id" r:id="rId2"/>
  </customProperties>
  <ignoredErrors>
    <ignoredError sqref="U113 T27:T49 ER197:ER317 ER159:ER177 EZ197:EZ221 FH197:FK203 FP197:FP215 EQ152 EZ159:EZ177 FH154:FH177 FJ154:FK177 Q101 FI155:FI177 FH227:FK227 FJ222:FK222 FI223:FK226 EZ223:EZ317 FH209:FK221 FI204:FK208 FH233:FK233 FI228:FK232 FH239:FK239 FI234:FK238 FH245:FK245 FI240:FK244 FH251:FK251 FI246:FK250 FH257:FK257 FI252:FK256 FH263:FK263 FI258:FK262 FH269:FK269 FI264:FK268 FH275:FK275 FI270:FK274 FH281:FK281 FI276:FK280 FH287:FK287 FI282:FK286 FH293:FK293 FI288:FK292 FH299:FK299 FI294:FK298 FH305:FK305 FI300:FK304 FH311:FK311 FI306:FK310 FH317:FK317 FI312:FK316 EQ137 EQ142 EQ148 FK153" formula="1"/>
    <ignoredError sqref="EG197:EG203 DW197:DW323 DM197:DM323 AA203:AB203 AA158:AB158 AK165:AK183 AU183:AV183 AU164:AV164 AA221:AB221 AA204:AB208 AK208:AL208 AA209:AB209 AK209:AL209 AA276:AB323 AA222:AB275 AK275:AL275 AK323:AL323 AU203:AV203 AU221:AV221 AU208:AV208 AU209:AV209 AU275:AV275 AU323:AV323 BE221:BF221 BE208:BF208 BE209:BF209 BE275:BF275 BE323:BF323 BO221:BP221 BO208:BP208 BO209:BP209 BO275:BP275 BO323:BP323 BY221:BZ221 BY208:BZ208 BY209:BZ209 BY275:BZ275 BY323:BZ323 CS221:CT221 CS208:CT208 CS209:CT209 CS275:CT275 CS323:CT323 CI275:CJ275 CI323:CJ323 DC221 DC208 DC209 DC275 DC323 AB154 AK154:AL154 AA155:AB155 AK155:AL155 AA156:AB156 AK156:AL156 AA157:AB157 AK157:AL157 AK158:AL158 AA197:AB197 AK197:AL197 AA198:AB198 AK198:AL198 AA199:AB199 AK199:AL199 AA200:AB200 AK200:AL200 AA201:AB201 AK201:AL201 AA202:AB202 AK202:AL202 AK203:AL203 AK204:AL204 AK205:AL205 AK206:AL206 AK207:AL207 AA210:AB210 AK210:AL210 AA211:AB211 AK211:AL211 AA212:AB212 AK212:AL212 AA213:AB213 AK213:AL213 AA214:AB214 AK214:AL214 AA215:AB215 AK215:AL215 AA216:AB216 AK216:AL216 AA217:AB217 AK217:AL217 AA218:AB218 AK218:AL218 AA219:AB219 AK219:AL219 AA220:AB220 AK220:AL220 AK221:AL221 AK222:AL222 AK223:AL223 AK224:AL224 AK225:AL225 AK226:AL226 AK227:AL227 AK228:AL228 AK229:AL229 AK230:AL230 AK231:AL231 AK232:AL232 AK233:AL233 AK234:AL234 AK235:AL235 AK236:AL236 AK237:AL237 AK238:AL238 AK239:AL239 AK240:AL240 AK241:AL241 AK242:AL242 AK243:AL243 AK244:AL244 AK245:AL245 AK246:AL246 AK247:AL247 AK248:AL248 AK249:AL249 AK250:AL250 AK251:AL251 AK252:AL252 AK253:AL253 AK254:AL254 AK255:AL255 AK256:AL256 AK257:AL257 AK258:AL258 AK259:AL259 AK260:AL260 AK261:AL261 AK262:AL262 AK263:AL263 AK264:AL264 AK265:AL265 AK266:AL266 AK267:AL267 AK268:AL268 AK269:AL269 AK270:AL270 AK271:AL271 AK272:AL272 AK273:AL273 AK274:AL274 AK276:AL276 AK277:AL277 AK278:AL278 AK279:AL279 AK280:AL280 AK281:AL281 AK282:AL282 AK283:AL283 AK284:AL284 AK285:AL285 AK286:AL286 AK287:AL287 AK288:AL288 AK289:AL289 AK290:AL290 AK291:AL291 AK292:AL292 AK293:AL293 AK294:AL294 AK295:AL295 AK296:AL296 AK297:AL297 AK298:AL298 AK299:AL299 AK300:AL300 AK301:AL301 AK302:AL302 AK303:AL303 AK304:AL304 AK305:AL305 AK306:AL306 AK307:AL307 AK308:AL308 AK309:AL309 AK310:AL310 AK311:AL311 AK312:AL312 AK313:AL313 AK314:AL314 AK315:AL315 AK316:AL316 AK317:AL317 AK318:AL318 AK319:AL319 AK320:AL320 AK321:AL321 AK322:AL322 AU154:AV154 AU155:AV155 AU156:AV156 AU157:AV157 AU158:AV158 AU197:AV197 AU198:AV198 AU199:AV199 AU200:AV200 AU201:AV201 AU202:AV202 AU204:AV204 AU205:AV205 AU206:AV206 AU207:AV207 AU210:AV210 AU211:AV211 AU212:AV212 AU213:AV213 AU214:AV214 AU215:AV215 AU216:AV216 AU217:AV217 AU218:AV218 AU219:AV219 AU220:AV220 AU222:AV222 AU223:AV223 AU224:AV224 AU225:AV225 AU226:AV226 AU227:AV227 AU228:AV228 AU229:AV229 AU230:AV230 AU231:AV231 AU232:AV232 AU233:AV233 AU234:AV234 AU235:AV235 AU236:AV236 AU237:AV237 AU238:AV238 AU239:AV239 AU240:AV240 AU241:AV241 AU242:AV242 AU243:AV243 AU244:AV244 AU245:AV245 AU246:AV246 AU247:AV247 AU248:AV248 AU249:AV249 AU250:AV250 AU251:AV251 AU252:AV252 AU253:AV253 AU254:AV254 AU255:AV255 AU256:AV256 AU257:AV257 AU258:AV258 AU259:AV259 AU260:AV260 AU261:AV261 AU262:AV262 AU263:AV263 AU264:AV264 AU265:AV265 AU266:AV266 AU267:AV267 AU268:AV268 AU269:AV269 AU270:AV270 AU271:AV271 AU272:AV272 AU273:AV273 AU274:AV274 AU276:AV276 AU277:AV277 AU278:AV278 AU279:AV279 AU280:AV280 AU281:AV281 AU282:AV282 AU283:AV283 AU284:AV284 AU285:AV285 AU286:AV286 AU287:AV287 AU288:AV288 AU289:AV289 AU290:AV290 AU291:AV291 AU292:AV292 AU293:AV293 AU294:AV294 AU295:AV295 AU296:AV296 AU297:AV297 AU298:AV298 AU299:AV299 AU300:AV300 AU301:AV301 AU302:AV302 AU303:AV303 AU304:AV304 AU305:AV305 AU306:AV306 AU307:AV307 AU308:AV308 AU309:AV309 AU310:AV310 AU311:AV311 AU312:AV312 AU313:AV313 AU314:AV314 AU315:AV315 AU316:AV316 AU317:AV317 AU318:AV318 AU319:AV319 AU320:AV320 AU321:AV321 AU322:AV322 BE154:BF154 BE155:BF155 BE156:BF156 BE157:BF157 BE158:BF158 AU159:AV159 BE159:BF159 AU160:AV160 BE160:BF160 AU161:AV161 BE161:BF161 AU162:AV162 BE162:BF162 AU163:AV163 BE163:BF163 BE164:BF164 AU165:AV165 BE165:BF165 AU166:AV166 BE166:BF166 AU167:AV167 BE167:BF167 AU168:AV168 BE168:BF168 AU169:AV169 BE169:BF169 AU170:AV170 BE170:BF170 AU171:AV171 BE171:BF171 AU172:AV172 BE172:BF172 AU173:AV173 BE173:BF173 AU174:AV174 BE174:BF174 AU175:AV175 BE175:BF175 AU176:AV176 BE176:BF176 AU177:AV177 BE177:BF177 AU178:AV178 BE178:BF178 AU179:AV179 BE179:BF179 AU180:AV180 BE180:BF180 AU181:AV181 BE181:BF181 AU182:AV182 BE182:BF182 BE183:BF183 BE197:BF197 BE198:BF198 BE199:BF199 BE200:BF200 BE201:BF201 BE202:BF202 BE203:BF203 BE204:BF204 BE205:BF205 BE206:BF206 BE207:BF207 BE210:BF210 BE211:BF211 BE212:BF212 BE213:BF213 BE214:BF214 BE215:BF215 BE216:BF216 BE217:BF217 BE218:BF218 BE219:BF219 BE220:BF220 BE222:BF222 BE223:BF223 BE224:BF224 BE225:BF225 BE226:BF226 BE227:BF227 BE228:BF228 BE229:BF229 BE230:BF230 BE231:BF231 BE232:BF232 BE233:BF233 BE234:BF234 BE235:BF235 BE236:BF236 BE237:BF237 BE238:BF238 BE239:BF239 BE240:BF240 BE241:BF241 BE242:BF242 BE243:BF243 BE244:BF244 BE245:BF245 BE246:BF246 BE247:BF247 BE248:BF248 BE249:BF249 BE250:BF250 BE251:BF251 BE252:BF252 BE253:BF253 BE254:BF254 BE255:BF255 BE256:BF256 BE257:BF257 BE258:BF258 BE259:BF259 BE260:BF260 BE261:BF261 BE262:BF262 BE263:BF263 BE264:BF264 BE265:BF265 BE266:BF266 BE267:BF267 BE268:BF268 BE269:BF269 BE270:BF270 BE271:BF271 BE272:BF272 BE273:BF273 BE274:BF274 BE276:BF276 BE277:BF277 BE278:BF278 BE279:BF279 BE280:BF280 BE281:BF281 BE282:BF282 BE283:BF283 BE284:BF284 BE285:BF285 BE286:BF286 BE287:BF287 BE288:BF288 BE289:BF289 BE290:BF290 BE291:BF291 BE292:BF292 BE293:BF293 BE294:BF294 BE295:BF295 BE296:BF296 BE297:BF297 BE298:BF298 BE299:BF299 BE300:BF300 BE301:BF301 BE302:BF302 BE303:BF303 BE304:BF304 BE305:BF305 BE306:BF306 BE307:BF307 BE308:BF308 BE309:BF309 BE310:BF310 BE311:BF311 BE312:BF312 BE313:BF313 BE314:BF314 BE315:BF315 BE316:BF316 BE317:BF317 BE318:BF318 BE319:BF319 BE320:BF320 BE321:BF321 BE322:BF322 BO154:BP154 BO155:BP155 BO156:BP156 BO157:BP157 BO158:BP158 BO159:BP159 BO160:BP160 BO161:BP161 BO162:BP162 BO163:BP163 BO164:BP164 BO165:BP165 BO166:BP166 BO167:BP167 BO168:BP168 BO169:BP169 BO170:BP170 BO171:BP171 BO172:BP172 BO173:BP173 BO174:BP174 BO175:BP175 BO176:BP176 BO177:BP177 BO178:BP178 BO179:BP179 BO180:BP180 BO181:BP181 BO182:BP182 BO183:BP183 BO197:BP197 BO198:BP198 BO199:BP199 BO200:BP200 BO201:BP201 BO202:BP202 BO203:BP203 BO204:BP204 BO205:BP205 BO206:BP206 BO207:BP207 BO210:BP210 BO211:BP211 BO212:BP212 BO213:BP213 BO214:BP214 BO215:BP215 BO216:BP216 BO217:BP217 BO218:BP218 BO219:BP219 BO220:BP220 BO222:BP222 BO223:BP223 BO224:BP224 BO225:BP225 BO226:BP226 BO227:BP227 BO228:BP228 BO229:BP229 BO230:BP230 BO231:BP231 BO232:BP232 BO233:BP233 BO234:BP234 BO235:BP235 BO236:BP236 BO237:BP237 BO238:BP238 BO239:BP239 BO240:BP240 BO241:BP241 BO242:BP242 BO243:BP243 BO244:BP244 BO245:BP245 BO246:BP246 BO247:BP247 BO248:BP248 BO249:BP249 BO250:BP250 BO251:BP251 BO252:BP252 BO253:BP253 BO254:BP254 BO255:BP255 BO256:BP256 BO257:BP257 BO258:BP258 BO259:BP259 BO260:BP260 BO261:BP261 BO262:BP262 BO263:BP263 BO264:BP264 BO265:BP265 BO266:BP266 BO267:BP267 BO268:BP268 BO269:BP269 BO270:BP270 BO271:BP271 BO272:BP272 BO273:BP273 BO274:BP274 BO276:BP276 BO277:BP277 BO278:BP278 BO279:BP279 BO280:BP280 BO281:BP281 BO282:BP282 BO283:BP283 BO284:BP284 BO285:BP285 BO286:BP286 BO287:BP287 BO288:BP288 BO289:BP289 BO290:BP290 BO291:BP291 BO292:BP292 BO293:BP293 BO294:BP294 BO295:BP295 BO296:BP296 BO297:BP297 BO298:BP298 BO299:BP299 BO300:BP300 BO301:BP301 BO302:BP302 BO303:BP303 BO304:BP304 BO305:BP305 BO306:BP306 BO307:BP307 BO308:BP308 BO309:BP309 BO310:BP310 BO311:BP311 BO312:BP312 BO313:BP313 BO314:BP314 BO315:BP315 BO316:BP316 BO317:BP317 BO318:BP318 BO319:BP319 BO320:BP320 BO321:BP321 BO322:BP322 BY154:BZ154 BY155:BZ155 BY156:BZ156 BY157:BZ157 BY158:BZ158 BY159:BZ159 BY160:BZ160 BY161:BZ161 BY162:BZ162 BY163:BZ163 BY164:BZ164 BY165:BZ165 BY166:BZ166 BY167:BZ167 BY168:BZ168 BY169:BZ169 BY170:BZ170 BY171:BZ171 BY172:BZ172 BY173:BZ173 BY174:BZ174 BY175:BZ175 BY176:BZ176 BY177:BZ177 BY178:BZ178 BY179:BZ179 BY180:BZ180 BY181:BZ181 BY182:BZ182 BY183:BZ183 BY197:BZ197 BY198:BZ198 BY199:BZ199 BY200:BZ200 BY201:BZ201 BY202:BZ202 BY203:BZ203 BY204:BZ204 BY205:BZ205 BY206:BZ206 BY207:BZ207 BY210:BZ210 BY211:BZ211 BY212:BZ212 BY213:BZ213 BY214:BZ214 BY215:BZ215 BY216:BZ216 BY217:BZ217 BY218:BZ218 BY219:BZ219 BY220:BZ220 BY222:BZ222 BY223:BZ223 BY224:BZ224 BY225:BZ225 BY226:BZ226 BY227:BZ227 BY228:BZ228 BY229:BZ229 BY230:BZ230 BY231:BZ231 BY232:BZ232 BY233:BZ233 BY234:BZ234 BY235:BZ235 BY236:BZ236 BY237:BZ237 BY238:BZ238 BY239:BZ239 BY240:BZ240 BY241:BZ241 BY242:BZ242 BY243:BZ243 BY244:BZ244 BY245:BZ245 BY246:BZ246 BY247:BZ247 BY248:BZ248 BY249:BZ249 BY250:BZ250 BY251:BZ251 BY252:BZ252 BY253:BZ253 BY254:BZ254 BY255:BZ255 BY256:BZ256 BY257:BZ257 BY258:BZ258 BY259:BZ259 BY260:BZ260 BY261:BZ261 BY262:BZ262 BY263:BZ263 BY264:BZ264 BY265:BZ265 BY266:BZ266 BY267:BZ267 BY268:BZ268 BY269:BZ269 BY270:BZ270 BY271:BZ271 BY272:BZ272 BY273:BZ273 BY274:BZ274 BY276:BZ276 BY277:BZ277 BY278:BZ278 BY279:BZ279 BY280:BZ280 BY281:BZ281 BY282:BZ282 BY283:BZ283 BY284:BZ284 BY285:BZ285 BY286:BZ286 BY287:BZ287 BY288:BZ288 BY289:BZ289 BY290:BZ290 BY291:BZ291 BY292:BZ292 BY293:BZ293 BY294:BZ294 BY295:BZ295 BY296:BZ296 BY297:BZ297 BY298:BZ298 BY299:BZ299 BY300:BZ300 BY301:BZ301 BY302:BZ302 BY303:BZ303 BY304:BZ304 BY305:BZ305 BY306:BZ306 BY307:BZ307 BY308:BZ308 BY309:BZ309 BY310:BZ310 BY311:BZ311 BY312:BZ312 BY313:BZ313 BY314:BZ314 BY315:BZ315 BY316:BZ316 BY317:BZ317 BY318:BZ318 BY319:BZ319 BY320:BZ320 BY321:BZ321 BY322:BZ322 CI154:CJ154 CI155:CJ155 CI156:CJ156 CI157:CJ157 CI158:CJ158 CI159:CJ159 CI160:CJ160 CI161:CJ161 CI162:CJ162 CI163:CJ163 CI164:CJ164 CI165:CJ165 CI166:CJ166 CI167:CJ167 CI168:CJ168 CI169:CJ169 CI170:CJ170 CI171:CJ171 CI172:CJ172 CI173:CJ173 CI174:CJ174 CI175:CJ175 CI176:CJ176 CI177:CJ177 CI178:CJ178 CI179:CJ179 CI180:CJ180 CI181:CJ181 CI182:CJ182 CI183:CJ183 CI197:CJ197 CI198:CJ198 CI199:CJ199 CI200:CJ200 CI201:CJ201 CI202:CJ202 CI203:CJ203 CI204:CJ204 CI205:CJ205 CI206:CJ206 CI207:CJ207 CI208:CJ208 CI209:CJ209 CI210:CJ210 CI211:CJ211 CI212:CJ212 CI213:CJ213 CI214:CJ214 CI215:CJ215 CI216:CJ216 CI217:CJ217 CI218:CJ218 CI219:CJ219 CI220:CJ220 CI221:CJ221 CI222:CJ222 CI223:CJ223 CI224:CJ224 CI225:CJ225 CI226:CJ226 CI227:CJ227 CI228:CJ228 CI229:CJ229 CI230:CJ230 CI231:CJ231 CI232:CJ232 CI233:CJ233 CI234:CJ234 CI235:CJ235 CI236:CJ236 CI237:CJ237 CI238:CJ238 CI239:CJ239 CI240:CJ240 CI241:CJ241 CI242:CJ242 CI243:CJ243 CI244:CJ244 CI245:CJ245 CI246:CJ246 CI247:CJ247 CI248:CJ248 CI249:CJ249 CI250:CJ250 CI251:CJ251 CI252:CJ252 CI253:CJ253 CI254:CJ254 CI255:CJ255 CI256:CJ256 CI257:CJ257 CI258:CJ258 CI259:CJ259 CI260:CJ260 CI261:CJ261 CI262:CJ262 CI263:CJ263 CI264:CJ264 CI265:CJ265 CI266:CJ266 CI267:CJ267 CI268:CJ268 CI269:CJ269 CI270:CJ270 CI271:CJ271 CI272:CJ272 CI273:CJ273 CI274:CJ274 CI276:CJ276 CI277:CJ277 CI278:CJ278 CI279:CJ279 CI280:CJ280 CI281:CJ281 CI282:CJ282 CI283:CJ283 CI284:CJ284 CI285:CJ285 CI286:CJ286 CI287:CJ287 CI288:CJ288 CI289:CJ289 CI290:CJ290 CI291:CJ291 CI292:CJ292 CI293:CJ293 CI294:CJ294 CI295:CJ295 CI296:CJ296 CI297:CJ297 CI298:CJ298 CI299:CJ299 CI300:CJ300 CI301:CJ301 CI302:CJ302 CI303:CJ303 CI304:CJ304 CI305:CJ305 CI306:CJ306 CI307:CJ307 CI308:CJ308 CI309:CJ309 CI310:CJ310 CI311:CJ311 CI312:CJ312 CI313:CJ313 CI314:CJ314 CI315:CJ315 CI316:CJ316 CI317:CJ317 CI318:CJ318 CI319:CJ319 CI320:CJ320 CI321:CJ321 CI322:CJ322 CS154:CT154 CS155:CT155 CS156:CT156 CS157:CT157 CS158:CT158 CS159:CT159 CS160:CT160 CS161:CT161 CS162:CT162 CS163:CT163 CS164:CT164 CS165:CT165 CS166:CT166 CS167:CT167 CS168:CT168 CS169:CT169 CS170:CT170 CS171:CT171 CS172:CT172 CS173:CT173 CS174:CT174 CS175:CT175 CS176:CT176 CS177:CT177 CS178:CT178 CS179:CT179 CS180:CT180 CS181:CT181 CS182:CT182 CS183:CT183 CS197:CT197 CS198:CT198 CS199:CT199 CS200:CT200 CS201:CT201 CS202:CT202 CS203:CT203 CS204:CT204 CS205:CT205 CS206:CT206 CS207:CT207 CS210:CT210 CS211:CT211 CS212:CT212 CS213:CT213 CS214:CT214 CS215:CT215 CS216:CT216 CS217:CT217 CS218:CT218 CS219:CT219 CS220:CT220 CS222:CT222 CS223:CT223 CS224:CT224 CS225:CT225 CS226:CT226 CS227:CT227 CS228:CT228 CS229:CT229 CS230:CT230 CS231:CT231 CS232:CT232 CS233:CT233 CS234:CT234 CS235:CT235 CS236:CT236 CS237:CT237 CS238:CT238 CS239:CT239 CS240:CT240 CS241:CT241 CS242:CT242 CS243:CT243 CS244:CT244 CS245:CT245 CS246:CT246 CS247:CT247 CS248:CT248 CS249:CT249 CS250:CT250 CS251:CT251 CS252:CT252 CS253:CT253 CS254:CT254 CS255:CT255 CS256:CT256 CS257:CT257 CS258:CT258 CS259:CT259 CS260:CT260 CS261:CT261 CS262:CT262 CS263:CT263 CS264:CT264 CS265:CT265 CS266:CT266 CS267:CT267 CS268:CT268 CS269:CT269 CS270:CT270 CS271:CT271 CS272:CT272 CS273:CT273 CS274:CT274 CS276:CT276 CS277:CT277 CS278:CT278 CS279:CT279 CS280:CT280 CS281:CT281 CS282:CT282 CS283:CT283 CS284:CT284 CS285:CT285 CS286:CT286 CS287:CT287 CS288:CT288 CS289:CT289 CS290:CT290 CS291:CT291 CS292:CT292 CS293:CT293 CS294:CT294 CS295:CT295 CS296:CT296 CS297:CT297 CS298:CT298 CS299:CT299 CS300:CT300 CS301:CT301 CS302:CT302 CS303:CT303 CS304:CT304 CS305:CT305 CS306:CT306 CS307:CT307 CS308:CT308 CS309:CT309 CS310:CT310 CS311:CT311 CS312:CT312 CS313:CT313 CS314:CT314 CS315:CT315 CS316:CT316 CS317:CT317 CS318:CT318 CS319:CT319 CS320:CT320 CS321:CT321 CS322:CT322 DC154:DD154 DC155:DD155 DC156:DD156 DC157:DD157 DC158:DD158 DC159:DD159 DC160:DD160 DC161:DD161 DC162:DD162 DC163:DD163 DC164:DD164 DC165:DD165 DC166:DD166 DC167:DD167 DC168:DD168 DC169:DD169 DC170:DD170 DC171:DD171 DC172:DD172 DC173:DD173 DC174:DD174 DC175:DD175 DC176:DD176 DC177:DD177 DC178:DD178 DC179:DD179 DC180:DD180 DC181:DD181 DC182:DD182 DC183:DD183 DC197 DC198 DC199 DC200 DC201 DC202 DC203 DC204 DC205 DC206 DC207 DC210 DC211 DC212 DC213 DC214 DC215 DC222 DC223 DC224 DC225 DC226 DC227 DC228 DC229 DC230 DC231 DC232 DC233 DC234 DC235 DC236 DC237 DC238 DC239 DC240 DC241 DC242 DC243 DC244 DC245 DC246 DC247 DC248 DC249 DC250 DC251 DC252 DC253 DC254 DC255 DC256 DC257 DC258 DC259 DC260 DC261 DC262 DC263 DC264 DC265 DC266 DC267 DC268 DC269 DC270 DC271 DC272 DC273 DC274 DC276 DC277 DC278 DC279 DC280 DC281 DC282 DC283 DC284 DC285 DC286 DC287 DC288 DC289 DC290 DC291 DC292 DC293 DC294 DC295 DC296 DC297 DC298 DC299 DC300 DC301 DC302 DC303 DC304 DC305 DC306 DC307 DC308 DC309 DC310 DC311 DC312 DC313 DC314 DC315 DC316 DC317 DC318 DC319 DC320 DC321 DC322 T154:T158 T160:T164 T168:T169 T174:T175 T179:T181 T184:T187 DM154:DN154 DM155:DN155 DM156:DN156 DM157:DN157 DM158:DN158 DM159:DN159 DM160:DN160 DM161:DN161 DM162:DN162 DM163:DN163 DM164:DN164 DM165:DN165 DM166:DN166 DM167:DN167 DM168:DN168 DM169:DN169 DM170:DN170 DM171:DN171 DM172:DN172 DM173:DN173 DM174:DN174 DM175:DN175 DM176:DN176 DM177:DN177 DM178:DN178 DM179:DN179 DM180:DN180 DM181:DN181 DM182:DN182 DM183:DN183 DW154:DX154 DW155:DX155 DW156:DX156 DW157:DX157 DW158:DX158 DW159:DX159 DW160:DX160 DW161:DX161 DW162:DX162 DW163:DX163 DW164:DX164 DW165:DX165 DW166:DX166 DW167:DX167 DW168:DX168 DW169:DX169 DW170:DX170 DW171:DX171 DW172:DX172 DW173:DX173 DW174:DX174 DW175:DX175 DW176:DX176 DW177:DX177 DW178:DX178 DW179:DX179 DW180:DX180 DW181:DX181 DW182:DX182 DW183:DX183 EG154 EG155 EG156 EG157 EG158 EG159 EG160 EG161 EG162 EG163 EG164 EG165 EG166 EG167 EG168 EG169 EG170 EG171 EG172 EG173 EG174 EG175 EG176 EG177 EG178 EG179 EG180 EG181 EG182 EG183 EG209:EG323" formulaRange="1"/>
    <ignoredError sqref="AK164:AL164 AL165:AL183 AA166:AB183 AA159:AB164 AK159:AL159 AK160:AL160 AK161:AL161 AK162:AL162 AK163:AL163 AB165" formula="1" formulaRange="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19D13-E2A5-4637-BCD3-AF1679C21E9D}">
  <sheetPr codeName="Sheet23"/>
  <dimension ref="A1:U16"/>
  <sheetViews>
    <sheetView zoomScale="80" zoomScaleNormal="80" workbookViewId="0">
      <selection activeCell="M18" sqref="M18"/>
    </sheetView>
  </sheetViews>
  <sheetFormatPr defaultRowHeight="15"/>
  <cols>
    <col min="4" max="4" width="9.85546875" customWidth="1"/>
    <col min="16" max="17" width="9.85546875" bestFit="1" customWidth="1"/>
  </cols>
  <sheetData>
    <row r="1" spans="1:21">
      <c r="A1" s="740" t="s">
        <v>26</v>
      </c>
      <c r="B1" s="741"/>
      <c r="C1" s="741"/>
      <c r="D1" s="741"/>
      <c r="E1" s="741"/>
      <c r="F1" s="741"/>
      <c r="G1" s="741"/>
      <c r="H1" s="741"/>
      <c r="I1" s="741"/>
      <c r="J1" s="741"/>
      <c r="K1" s="741"/>
      <c r="L1" s="741"/>
      <c r="M1" s="741"/>
      <c r="N1" s="741"/>
      <c r="O1" s="741"/>
      <c r="P1" s="741"/>
      <c r="Q1" s="741"/>
      <c r="R1" s="741"/>
      <c r="S1" s="741"/>
      <c r="T1" s="741"/>
      <c r="U1" s="742"/>
    </row>
    <row r="2" spans="1:21">
      <c r="A2" s="709" t="s">
        <v>25</v>
      </c>
      <c r="B2" s="752" t="s">
        <v>27</v>
      </c>
      <c r="C2" s="752"/>
      <c r="D2" s="709" t="s">
        <v>28</v>
      </c>
      <c r="E2" s="709" t="s">
        <v>29</v>
      </c>
      <c r="F2" s="709" t="s">
        <v>30</v>
      </c>
      <c r="G2" s="709" t="s">
        <v>31</v>
      </c>
      <c r="H2" s="709" t="s">
        <v>32</v>
      </c>
      <c r="I2" s="709" t="s">
        <v>33</v>
      </c>
      <c r="J2" s="709" t="s">
        <v>34</v>
      </c>
      <c r="K2" s="709" t="s">
        <v>35</v>
      </c>
      <c r="L2" s="709" t="s">
        <v>36</v>
      </c>
      <c r="M2" s="709" t="s">
        <v>37</v>
      </c>
      <c r="N2" s="709" t="s">
        <v>38</v>
      </c>
      <c r="O2" s="709" t="s">
        <v>39</v>
      </c>
      <c r="P2" s="709" t="s">
        <v>40</v>
      </c>
      <c r="Q2" s="709" t="s">
        <v>41</v>
      </c>
      <c r="R2" s="711" t="s">
        <v>42</v>
      </c>
      <c r="S2" s="712"/>
      <c r="T2" s="711" t="s">
        <v>43</v>
      </c>
      <c r="U2" s="712"/>
    </row>
    <row r="3" spans="1:21">
      <c r="A3" s="710"/>
      <c r="B3" s="752"/>
      <c r="C3" s="752"/>
      <c r="D3" s="710"/>
      <c r="E3" s="710"/>
      <c r="F3" s="710"/>
      <c r="G3" s="710"/>
      <c r="H3" s="710"/>
      <c r="I3" s="710"/>
      <c r="J3" s="710"/>
      <c r="K3" s="710"/>
      <c r="L3" s="710"/>
      <c r="M3" s="710"/>
      <c r="N3" s="710"/>
      <c r="O3" s="710"/>
      <c r="P3" s="710"/>
      <c r="Q3" s="710"/>
      <c r="R3" s="713"/>
      <c r="S3" s="714"/>
      <c r="T3" s="713"/>
      <c r="U3" s="714"/>
    </row>
    <row r="4" spans="1:21">
      <c r="A4" s="24" t="s">
        <v>25</v>
      </c>
      <c r="B4" s="716" t="s">
        <v>25</v>
      </c>
      <c r="C4" s="716"/>
      <c r="D4" s="338">
        <v>210.50677999999999</v>
      </c>
      <c r="E4" s="338">
        <v>171.8321</v>
      </c>
      <c r="F4" s="338">
        <v>178.95599999999999</v>
      </c>
      <c r="G4" s="338">
        <v>146.39529999999999</v>
      </c>
      <c r="H4" s="338">
        <v>162.05006</v>
      </c>
      <c r="I4" s="338">
        <v>168.11011999999999</v>
      </c>
      <c r="J4" s="338">
        <v>179.4957</v>
      </c>
      <c r="K4" s="338">
        <v>177.21834000000001</v>
      </c>
      <c r="L4" s="338">
        <v>172.66398000000001</v>
      </c>
      <c r="M4" s="338">
        <v>170.96181999999999</v>
      </c>
      <c r="N4" s="338">
        <v>145.73607999999999</v>
      </c>
      <c r="O4" s="338">
        <v>136.30878000000001</v>
      </c>
      <c r="P4" s="338">
        <f t="shared" ref="P4" si="0">SUM(D4:O4)</f>
        <v>2020.2350600000002</v>
      </c>
      <c r="Q4" s="407">
        <v>1888.9617600000001</v>
      </c>
      <c r="R4" s="745">
        <f t="shared" ref="R4" si="1">IFERROR(P4/$Q$10,0)</f>
        <v>0</v>
      </c>
      <c r="S4" s="746"/>
      <c r="T4" s="745">
        <f>P4/Q4-1</f>
        <v>6.9494948378415078E-2</v>
      </c>
      <c r="U4" s="746"/>
    </row>
    <row r="5" spans="1:21">
      <c r="A5" s="728" t="s">
        <v>49</v>
      </c>
      <c r="B5" s="729"/>
      <c r="C5" s="729"/>
      <c r="D5" s="729"/>
      <c r="E5" s="729"/>
      <c r="F5" s="729"/>
      <c r="G5" s="729"/>
      <c r="H5" s="729"/>
      <c r="I5" s="729"/>
      <c r="J5" s="729"/>
      <c r="K5" s="729"/>
      <c r="L5" s="729"/>
      <c r="M5" s="729"/>
      <c r="N5" s="729"/>
      <c r="O5" s="729"/>
      <c r="P5" s="729"/>
      <c r="Q5" s="729"/>
      <c r="R5" s="729"/>
      <c r="S5" s="729"/>
      <c r="T5" s="729"/>
      <c r="U5" s="730"/>
    </row>
    <row r="6" spans="1:21">
      <c r="A6" s="724" t="s">
        <v>25</v>
      </c>
      <c r="B6" s="716" t="s">
        <v>27</v>
      </c>
      <c r="C6" s="716"/>
      <c r="D6" s="724" t="s">
        <v>28</v>
      </c>
      <c r="E6" s="724" t="s">
        <v>29</v>
      </c>
      <c r="F6" s="724" t="s">
        <v>30</v>
      </c>
      <c r="G6" s="724" t="s">
        <v>31</v>
      </c>
      <c r="H6" s="724" t="s">
        <v>32</v>
      </c>
      <c r="I6" s="724" t="s">
        <v>33</v>
      </c>
      <c r="J6" s="724" t="s">
        <v>34</v>
      </c>
      <c r="K6" s="724" t="s">
        <v>35</v>
      </c>
      <c r="L6" s="724" t="s">
        <v>36</v>
      </c>
      <c r="M6" s="724" t="s">
        <v>37</v>
      </c>
      <c r="N6" s="724" t="s">
        <v>38</v>
      </c>
      <c r="O6" s="724" t="s">
        <v>39</v>
      </c>
      <c r="P6" s="724" t="s">
        <v>50</v>
      </c>
      <c r="Q6" s="724" t="s">
        <v>40</v>
      </c>
      <c r="R6" s="786" t="s">
        <v>51</v>
      </c>
      <c r="S6" s="787"/>
      <c r="T6" s="786" t="s">
        <v>52</v>
      </c>
      <c r="U6" s="787"/>
    </row>
    <row r="7" spans="1:21">
      <c r="A7" s="725"/>
      <c r="B7" s="716"/>
      <c r="C7" s="716"/>
      <c r="D7" s="725"/>
      <c r="E7" s="725"/>
      <c r="F7" s="725"/>
      <c r="G7" s="725"/>
      <c r="H7" s="725"/>
      <c r="I7" s="725"/>
      <c r="J7" s="725"/>
      <c r="K7" s="725"/>
      <c r="L7" s="725"/>
      <c r="M7" s="725"/>
      <c r="N7" s="725"/>
      <c r="O7" s="725"/>
      <c r="P7" s="725"/>
      <c r="Q7" s="725"/>
      <c r="R7" s="788"/>
      <c r="S7" s="789"/>
      <c r="T7" s="788"/>
      <c r="U7" s="789"/>
    </row>
    <row r="8" spans="1:21">
      <c r="A8" s="24" t="s">
        <v>25</v>
      </c>
      <c r="B8" s="716" t="s">
        <v>25</v>
      </c>
      <c r="C8" s="716"/>
      <c r="D8" s="338">
        <v>177.35910000000001</v>
      </c>
      <c r="E8" s="338">
        <v>150.15062000000003</v>
      </c>
      <c r="F8" s="338">
        <v>172.24418</v>
      </c>
      <c r="G8" s="338">
        <v>168.08052000000001</v>
      </c>
      <c r="H8" s="338">
        <v>143.89768000000001</v>
      </c>
      <c r="I8" s="338">
        <v>152.89738000000003</v>
      </c>
      <c r="J8" s="338">
        <v>139.27712000000002</v>
      </c>
      <c r="K8" s="338">
        <v>140.71781999999999</v>
      </c>
      <c r="L8" s="338">
        <v>150.12982</v>
      </c>
      <c r="M8" s="338">
        <v>155.02054000000001</v>
      </c>
      <c r="N8" s="338">
        <v>165.08667999999997</v>
      </c>
      <c r="O8" s="338">
        <v>149.00874000000002</v>
      </c>
      <c r="P8" s="338">
        <f t="shared" ref="P8" si="2">SUM(D8:O8)</f>
        <v>1863.8702000000001</v>
      </c>
      <c r="Q8" s="407">
        <v>2020.2350600000002</v>
      </c>
      <c r="R8" s="745">
        <f t="shared" ref="R8" si="3">IFERROR(P8/$Q$21,0)</f>
        <v>0</v>
      </c>
      <c r="S8" s="746"/>
      <c r="T8" s="745">
        <f t="shared" ref="T8" si="4">P8/Q8-1</f>
        <v>-7.7399339857016525E-2</v>
      </c>
      <c r="U8" s="746"/>
    </row>
    <row r="9" spans="1:21">
      <c r="A9" s="728" t="s">
        <v>53</v>
      </c>
      <c r="B9" s="729"/>
      <c r="C9" s="729"/>
      <c r="D9" s="729"/>
      <c r="E9" s="729"/>
      <c r="F9" s="729"/>
      <c r="G9" s="729"/>
      <c r="H9" s="729"/>
      <c r="I9" s="729"/>
      <c r="J9" s="729"/>
      <c r="K9" s="729"/>
      <c r="L9" s="729"/>
      <c r="M9" s="729"/>
      <c r="N9" s="729"/>
      <c r="O9" s="729"/>
      <c r="P9" s="729"/>
      <c r="Q9" s="729"/>
      <c r="R9" s="729"/>
      <c r="S9" s="729"/>
      <c r="T9" s="729"/>
      <c r="U9" s="730"/>
    </row>
    <row r="10" spans="1:21">
      <c r="A10" s="724" t="s">
        <v>25</v>
      </c>
      <c r="B10" s="716" t="s">
        <v>27</v>
      </c>
      <c r="C10" s="716"/>
      <c r="D10" s="724" t="s">
        <v>28</v>
      </c>
      <c r="E10" s="724" t="s">
        <v>29</v>
      </c>
      <c r="F10" s="724" t="s">
        <v>30</v>
      </c>
      <c r="G10" s="724" t="s">
        <v>31</v>
      </c>
      <c r="H10" s="724" t="s">
        <v>32</v>
      </c>
      <c r="I10" s="724" t="s">
        <v>33</v>
      </c>
      <c r="J10" s="724" t="s">
        <v>34</v>
      </c>
      <c r="K10" s="724" t="s">
        <v>35</v>
      </c>
      <c r="L10" s="724" t="s">
        <v>36</v>
      </c>
      <c r="M10" s="724" t="s">
        <v>37</v>
      </c>
      <c r="N10" s="724" t="s">
        <v>38</v>
      </c>
      <c r="O10" s="724" t="s">
        <v>39</v>
      </c>
      <c r="P10" s="724" t="s">
        <v>54</v>
      </c>
      <c r="Q10" s="724" t="s">
        <v>50</v>
      </c>
      <c r="R10" s="786" t="s">
        <v>51</v>
      </c>
      <c r="S10" s="787"/>
      <c r="T10" s="786" t="s">
        <v>52</v>
      </c>
      <c r="U10" s="787"/>
    </row>
    <row r="11" spans="1:21">
      <c r="A11" s="725"/>
      <c r="B11" s="716"/>
      <c r="C11" s="716"/>
      <c r="D11" s="725"/>
      <c r="E11" s="725"/>
      <c r="F11" s="725"/>
      <c r="G11" s="725"/>
      <c r="H11" s="725"/>
      <c r="I11" s="725"/>
      <c r="J11" s="725"/>
      <c r="K11" s="725"/>
      <c r="L11" s="725"/>
      <c r="M11" s="725"/>
      <c r="N11" s="725"/>
      <c r="O11" s="725"/>
      <c r="P11" s="725"/>
      <c r="Q11" s="725"/>
      <c r="R11" s="788"/>
      <c r="S11" s="789"/>
      <c r="T11" s="788"/>
      <c r="U11" s="789"/>
    </row>
    <row r="12" spans="1:21">
      <c r="A12" s="24" t="s">
        <v>25</v>
      </c>
      <c r="B12" s="716" t="s">
        <v>25</v>
      </c>
      <c r="C12" s="716"/>
      <c r="D12" s="338">
        <v>168.36898000000002</v>
      </c>
      <c r="E12" s="338">
        <v>130.7114</v>
      </c>
      <c r="F12" s="338">
        <v>141.03548000000001</v>
      </c>
      <c r="G12" s="338">
        <v>138.48874000000001</v>
      </c>
      <c r="H12" s="338">
        <v>132.29128</v>
      </c>
      <c r="I12" s="338">
        <v>124.2677</v>
      </c>
      <c r="J12" s="338">
        <v>126.67394000000002</v>
      </c>
      <c r="K12" s="338"/>
      <c r="L12" s="338"/>
      <c r="M12" s="338"/>
      <c r="N12" s="338"/>
      <c r="O12" s="338"/>
      <c r="P12" s="338"/>
      <c r="Q12" s="407"/>
    </row>
    <row r="15" spans="1:21">
      <c r="C15" s="839" t="s">
        <v>322</v>
      </c>
      <c r="D15" s="211" t="s">
        <v>323</v>
      </c>
      <c r="E15" s="517">
        <f>SUM(D12:I12,J8:O8)</f>
        <v>1734.4042999999999</v>
      </c>
      <c r="F15" s="518">
        <f>E15/E16-1</f>
        <v>-0.10919791041275317</v>
      </c>
    </row>
    <row r="16" spans="1:21">
      <c r="C16" s="839"/>
      <c r="D16" s="211" t="s">
        <v>324</v>
      </c>
      <c r="E16" s="517">
        <f>SUM(D8:I8,J4:O4)</f>
        <v>1947.0141799999999</v>
      </c>
      <c r="F16" s="211"/>
    </row>
  </sheetData>
  <mergeCells count="65">
    <mergeCell ref="A1:U1"/>
    <mergeCell ref="A2:A3"/>
    <mergeCell ref="B2:C3"/>
    <mergeCell ref="D2:D3"/>
    <mergeCell ref="E2:E3"/>
    <mergeCell ref="F2:F3"/>
    <mergeCell ref="G2:G3"/>
    <mergeCell ref="H2:H3"/>
    <mergeCell ref="I2:I3"/>
    <mergeCell ref="J2:J3"/>
    <mergeCell ref="Q2:Q3"/>
    <mergeCell ref="R2:S3"/>
    <mergeCell ref="T2:U3"/>
    <mergeCell ref="B4:C4"/>
    <mergeCell ref="R4:S4"/>
    <mergeCell ref="T4:U4"/>
    <mergeCell ref="K2:K3"/>
    <mergeCell ref="L2:L3"/>
    <mergeCell ref="M2:M3"/>
    <mergeCell ref="N2:N3"/>
    <mergeCell ref="O2:O3"/>
    <mergeCell ref="P2:P3"/>
    <mergeCell ref="A5:U5"/>
    <mergeCell ref="A6:A7"/>
    <mergeCell ref="B6:C7"/>
    <mergeCell ref="D6:D7"/>
    <mergeCell ref="E6:E7"/>
    <mergeCell ref="F6:F7"/>
    <mergeCell ref="G6:G7"/>
    <mergeCell ref="H6:H7"/>
    <mergeCell ref="I6:I7"/>
    <mergeCell ref="J6:J7"/>
    <mergeCell ref="Q6:Q7"/>
    <mergeCell ref="R6:S7"/>
    <mergeCell ref="T6:U7"/>
    <mergeCell ref="B8:C8"/>
    <mergeCell ref="R8:S8"/>
    <mergeCell ref="T8:U8"/>
    <mergeCell ref="K6:K7"/>
    <mergeCell ref="L6:L7"/>
    <mergeCell ref="M6:M7"/>
    <mergeCell ref="N6:N7"/>
    <mergeCell ref="O6:O7"/>
    <mergeCell ref="P6:P7"/>
    <mergeCell ref="A9:U9"/>
    <mergeCell ref="A10:A11"/>
    <mergeCell ref="B10:C11"/>
    <mergeCell ref="D10:D11"/>
    <mergeCell ref="E10:E11"/>
    <mergeCell ref="F10:F11"/>
    <mergeCell ref="G10:G11"/>
    <mergeCell ref="H10:H11"/>
    <mergeCell ref="I10:I11"/>
    <mergeCell ref="J10:J11"/>
    <mergeCell ref="Q10:Q11"/>
    <mergeCell ref="R10:S11"/>
    <mergeCell ref="T10:U11"/>
    <mergeCell ref="N10:N11"/>
    <mergeCell ref="O10:O11"/>
    <mergeCell ref="P10:P11"/>
    <mergeCell ref="B12:C12"/>
    <mergeCell ref="C15:C16"/>
    <mergeCell ref="K10:K11"/>
    <mergeCell ref="L10:L11"/>
    <mergeCell ref="M10:M11"/>
  </mergeCells>
  <pageMargins left="0.7" right="0.7" top="0.75" bottom="0.75" header="0.3" footer="0.3"/>
  <pageSetup orientation="portrait" r:id="rId1"/>
  <customProperties>
    <customPr name="_pios_id" r:id="rId2"/>
  </customProperties>
  <ignoredErrors>
    <ignoredError sqref="E15:E16"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C09B1-BBF4-4899-A326-1587FB7E2D87}">
  <sheetPr codeName="Sheet19">
    <tabColor rgb="FF00B0F0"/>
  </sheetPr>
  <dimension ref="A7:X44"/>
  <sheetViews>
    <sheetView showGridLines="0" topLeftCell="A4" zoomScale="70" zoomScaleNormal="70" workbookViewId="0">
      <selection activeCell="L19" sqref="L19"/>
    </sheetView>
  </sheetViews>
  <sheetFormatPr defaultRowHeight="15"/>
  <cols>
    <col min="1" max="1" width="20.7109375" bestFit="1" customWidth="1"/>
    <col min="2" max="3" width="18.140625" bestFit="1" customWidth="1"/>
    <col min="4" max="4" width="12.140625" bestFit="1" customWidth="1"/>
    <col min="5" max="5" width="11" bestFit="1" customWidth="1"/>
    <col min="6" max="6" width="20.5703125" bestFit="1" customWidth="1"/>
    <col min="7" max="7" width="11" customWidth="1"/>
    <col min="8" max="8" width="14.140625" bestFit="1" customWidth="1"/>
    <col min="9" max="9" width="11.42578125" bestFit="1" customWidth="1"/>
    <col min="10" max="10" width="34.85546875" bestFit="1" customWidth="1"/>
    <col min="11" max="12" width="18.140625" bestFit="1" customWidth="1"/>
    <col min="13" max="13" width="12.140625" bestFit="1" customWidth="1"/>
    <col min="14" max="14" width="11" bestFit="1" customWidth="1"/>
    <col min="15" max="15" width="20.5703125" bestFit="1" customWidth="1"/>
    <col min="16" max="16" width="9" style="76" bestFit="1" customWidth="1"/>
    <col min="17" max="17" width="14.140625" hidden="1" customWidth="1"/>
    <col min="18" max="18" width="18.28515625" hidden="1" customWidth="1"/>
    <col min="19" max="19" width="13.140625" hidden="1" customWidth="1"/>
    <col min="20" max="20" width="8.42578125" hidden="1" customWidth="1"/>
    <col min="21" max="21" width="8" hidden="1" customWidth="1"/>
    <col min="22" max="22" width="14.42578125" hidden="1" customWidth="1"/>
    <col min="23" max="23" width="14.42578125" bestFit="1" customWidth="1"/>
  </cols>
  <sheetData>
    <row r="7" spans="1:24" ht="15.75">
      <c r="A7" s="436" t="s">
        <v>325</v>
      </c>
      <c r="B7" s="437" t="str">
        <f>'Daily Sales Volume'!T53</f>
        <v>14/6/2025</v>
      </c>
    </row>
    <row r="8" spans="1:24" ht="15.75">
      <c r="D8" s="434"/>
      <c r="E8" s="435"/>
      <c r="H8" s="502" t="s">
        <v>69</v>
      </c>
      <c r="I8" t="s">
        <v>326</v>
      </c>
      <c r="Q8" s="502" t="s">
        <v>69</v>
      </c>
      <c r="R8" t="s">
        <v>327</v>
      </c>
    </row>
    <row r="9" spans="1:24" ht="15.75">
      <c r="A9" s="298"/>
      <c r="B9" s="299"/>
      <c r="G9" s="433"/>
      <c r="H9" s="432"/>
      <c r="Q9" s="432"/>
    </row>
    <row r="10" spans="1:24" s="296" customFormat="1" ht="45">
      <c r="A10" s="482" t="s">
        <v>328</v>
      </c>
      <c r="B10" s="494" t="s">
        <v>329</v>
      </c>
      <c r="C10" s="496" t="s">
        <v>330</v>
      </c>
      <c r="D10" s="497" t="s">
        <v>331</v>
      </c>
      <c r="E10" s="499" t="s">
        <v>332</v>
      </c>
      <c r="F10" s="489" t="s">
        <v>333</v>
      </c>
      <c r="G10"/>
      <c r="H10" s="492" t="s">
        <v>119</v>
      </c>
      <c r="I10" s="493" t="s">
        <v>334</v>
      </c>
      <c r="J10" s="493" t="s">
        <v>335</v>
      </c>
      <c r="K10" s="494" t="s">
        <v>329</v>
      </c>
      <c r="L10" s="496" t="s">
        <v>330</v>
      </c>
      <c r="M10" s="497" t="s">
        <v>331</v>
      </c>
      <c r="N10" s="499" t="s">
        <v>332</v>
      </c>
      <c r="O10" s="489" t="s">
        <v>333</v>
      </c>
      <c r="P10" s="76"/>
      <c r="Q10" s="492" t="s">
        <v>119</v>
      </c>
      <c r="R10" s="494" t="s">
        <v>329</v>
      </c>
      <c r="S10" s="496" t="s">
        <v>330</v>
      </c>
      <c r="T10" s="497" t="s">
        <v>331</v>
      </c>
      <c r="U10" s="499" t="s">
        <v>332</v>
      </c>
      <c r="V10" s="489" t="s">
        <v>333</v>
      </c>
      <c r="W10"/>
      <c r="X10"/>
    </row>
    <row r="11" spans="1:24">
      <c r="A11" s="10" t="s">
        <v>44</v>
      </c>
      <c r="B11" s="495">
        <v>0.108</v>
      </c>
      <c r="C11" s="496">
        <v>0.18659999999999999</v>
      </c>
      <c r="D11" s="498">
        <v>0.16250000000000001</v>
      </c>
      <c r="E11" s="500">
        <v>6.8175344399999992E-3</v>
      </c>
      <c r="F11" s="501">
        <v>23.835596494617782</v>
      </c>
      <c r="H11" t="s">
        <v>124</v>
      </c>
      <c r="I11" t="s">
        <v>336</v>
      </c>
      <c r="J11" t="s">
        <v>337</v>
      </c>
      <c r="K11" s="495">
        <v>0.3</v>
      </c>
      <c r="L11" s="496">
        <v>1.7728200000000001</v>
      </c>
      <c r="M11" s="498">
        <v>0.90473999999999999</v>
      </c>
      <c r="N11" s="500">
        <v>7.2136734579999987E-2</v>
      </c>
      <c r="O11" s="501">
        <v>12.542014900835841</v>
      </c>
      <c r="Q11" t="s">
        <v>124</v>
      </c>
      <c r="R11" s="495">
        <v>1.76</v>
      </c>
      <c r="S11" s="496">
        <v>7.1784400000000002</v>
      </c>
      <c r="T11" s="498">
        <v>2.3995799999999998</v>
      </c>
      <c r="U11" s="500">
        <v>0.28805714251999998</v>
      </c>
      <c r="V11" s="501">
        <v>8.3302221878889728</v>
      </c>
    </row>
    <row r="12" spans="1:24">
      <c r="A12" s="481" t="s">
        <v>83</v>
      </c>
      <c r="B12" s="495">
        <v>2.4E-2</v>
      </c>
      <c r="C12" s="496">
        <v>5.1999999999999998E-2</v>
      </c>
      <c r="D12" s="498">
        <v>6.4799999999999996E-2</v>
      </c>
      <c r="E12" s="500">
        <v>1.8359019800000002E-3</v>
      </c>
      <c r="F12" s="501">
        <v>35.296002022940243</v>
      </c>
      <c r="I12" t="s">
        <v>338</v>
      </c>
      <c r="J12" t="s">
        <v>339</v>
      </c>
      <c r="K12" s="495">
        <v>0.85499999999999998</v>
      </c>
      <c r="L12" s="496">
        <v>2.8159399999999999</v>
      </c>
      <c r="M12" s="498">
        <v>0.45173999999999997</v>
      </c>
      <c r="N12" s="500">
        <v>0.10955632642</v>
      </c>
      <c r="O12" s="501">
        <v>4.1233584107976515</v>
      </c>
      <c r="Q12" t="s">
        <v>194</v>
      </c>
      <c r="R12" s="495">
        <v>4.2826000000000004</v>
      </c>
      <c r="S12" s="496">
        <v>8.4630200000000002</v>
      </c>
      <c r="T12" s="498">
        <v>5.6308199999999999</v>
      </c>
      <c r="U12" s="500">
        <v>0.33611673435999995</v>
      </c>
      <c r="V12" s="501">
        <v>16.75257261653945</v>
      </c>
    </row>
    <row r="13" spans="1:24">
      <c r="A13" s="481" t="s">
        <v>84</v>
      </c>
      <c r="B13" s="495">
        <v>1.7000000000000001E-2</v>
      </c>
      <c r="C13" s="496">
        <v>1.4500000000000001E-2</v>
      </c>
      <c r="D13" s="498">
        <v>1.746E-2</v>
      </c>
      <c r="E13" s="500">
        <v>6.0081624000000002E-4</v>
      </c>
      <c r="F13" s="501">
        <v>29.060466141860612</v>
      </c>
      <c r="I13" t="s">
        <v>340</v>
      </c>
      <c r="J13" t="s">
        <v>341</v>
      </c>
      <c r="K13" s="495">
        <v>0.60499999999999998</v>
      </c>
      <c r="L13" s="496">
        <v>2.58968</v>
      </c>
      <c r="M13" s="498">
        <v>1.0430999999999999</v>
      </c>
      <c r="N13" s="500">
        <v>0.10636408152</v>
      </c>
      <c r="O13" s="501">
        <v>9.8068820328586437</v>
      </c>
      <c r="Q13" t="s">
        <v>197</v>
      </c>
      <c r="R13" s="495">
        <v>2.1656</v>
      </c>
      <c r="S13" s="496">
        <v>4.2638800000000003</v>
      </c>
      <c r="T13" s="498">
        <v>3.28382</v>
      </c>
      <c r="U13" s="500">
        <v>0.17001061204000001</v>
      </c>
      <c r="V13" s="501">
        <v>19.315382496401956</v>
      </c>
    </row>
    <row r="14" spans="1:24">
      <c r="A14" s="481" t="s">
        <v>85</v>
      </c>
      <c r="B14" s="495">
        <v>6.7000000000000004E-2</v>
      </c>
      <c r="C14" s="496">
        <v>0.1201</v>
      </c>
      <c r="D14" s="498">
        <v>8.0240000000000006E-2</v>
      </c>
      <c r="E14" s="500">
        <v>4.38081622E-3</v>
      </c>
      <c r="F14" s="501">
        <v>18.316221446057373</v>
      </c>
      <c r="H14" t="s">
        <v>342</v>
      </c>
      <c r="K14" s="495">
        <v>1.76</v>
      </c>
      <c r="L14" s="496">
        <v>7.1784400000000002</v>
      </c>
      <c r="M14" s="498">
        <v>2.3995799999999998</v>
      </c>
      <c r="N14" s="500">
        <v>0.28805714251999998</v>
      </c>
      <c r="O14" s="501">
        <v>8.3302221878889728</v>
      </c>
      <c r="Q14" t="s">
        <v>200</v>
      </c>
      <c r="R14" s="495">
        <v>1.95</v>
      </c>
      <c r="S14" s="496">
        <v>3.9325999999999999</v>
      </c>
      <c r="T14" s="498">
        <v>2.2478799999999999</v>
      </c>
      <c r="U14" s="500">
        <v>0.16365959999999999</v>
      </c>
      <c r="V14" s="501">
        <v>13.735094061087771</v>
      </c>
    </row>
    <row r="15" spans="1:24">
      <c r="A15" s="10" t="s">
        <v>45</v>
      </c>
      <c r="B15" s="495">
        <v>1.7000000000000001E-2</v>
      </c>
      <c r="C15" s="496">
        <v>5.1400000000000001E-2</v>
      </c>
      <c r="D15" s="498">
        <v>4.8779999999999997E-2</v>
      </c>
      <c r="E15" s="500">
        <v>2.3622693199999998E-3</v>
      </c>
      <c r="F15" s="501">
        <v>20.649635326085512</v>
      </c>
      <c r="H15" t="s">
        <v>194</v>
      </c>
      <c r="I15" t="s">
        <v>343</v>
      </c>
      <c r="J15" t="s">
        <v>344</v>
      </c>
      <c r="K15" s="495">
        <v>0.64059999999999995</v>
      </c>
      <c r="L15" s="496">
        <v>1.17004</v>
      </c>
      <c r="M15" s="498">
        <v>0.81898000000000004</v>
      </c>
      <c r="N15" s="500">
        <v>4.7894285620000011E-2</v>
      </c>
      <c r="O15" s="501">
        <v>17.099743516333085</v>
      </c>
      <c r="Q15" t="s">
        <v>204</v>
      </c>
      <c r="R15" s="495">
        <v>1.115</v>
      </c>
      <c r="S15" s="496">
        <v>2.5349200000000001</v>
      </c>
      <c r="T15" s="498">
        <v>1.32772</v>
      </c>
      <c r="U15" s="500">
        <v>0.10654122414000002</v>
      </c>
      <c r="V15" s="501">
        <v>12.462030643230788</v>
      </c>
    </row>
    <row r="16" spans="1:24">
      <c r="A16" s="481" t="s">
        <v>88</v>
      </c>
      <c r="B16" s="495">
        <v>1.7000000000000001E-2</v>
      </c>
      <c r="C16" s="496">
        <v>5.1400000000000001E-2</v>
      </c>
      <c r="D16" s="498">
        <v>4.8779999999999997E-2</v>
      </c>
      <c r="E16" s="500">
        <v>2.3622693199999998E-3</v>
      </c>
      <c r="F16" s="501">
        <v>20.649635326085512</v>
      </c>
      <c r="I16" t="s">
        <v>345</v>
      </c>
      <c r="J16" t="s">
        <v>346</v>
      </c>
      <c r="K16" s="495">
        <v>2.5419999999999998</v>
      </c>
      <c r="L16" s="496">
        <v>4.6200400000000004</v>
      </c>
      <c r="M16" s="498">
        <v>1.7504599999999999</v>
      </c>
      <c r="N16" s="500">
        <v>0.18249836722000001</v>
      </c>
      <c r="O16" s="501">
        <v>9.5916474578089659</v>
      </c>
      <c r="Q16" t="s">
        <v>347</v>
      </c>
      <c r="R16" s="495">
        <v>11.273199999999999</v>
      </c>
      <c r="S16" s="496">
        <v>26.372859999999999</v>
      </c>
      <c r="T16" s="498">
        <v>14.88982</v>
      </c>
      <c r="U16" s="500">
        <v>1.0643853130600001</v>
      </c>
      <c r="V16" s="501">
        <v>13.989125758597019</v>
      </c>
    </row>
    <row r="17" spans="1:15">
      <c r="A17" s="10" t="s">
        <v>46</v>
      </c>
      <c r="B17" s="495">
        <v>2.5099999999999998</v>
      </c>
      <c r="C17" s="496">
        <v>6.2729600000000003</v>
      </c>
      <c r="D17" s="498">
        <v>4.9332399999999996</v>
      </c>
      <c r="E17" s="500">
        <v>0.24880550170000007</v>
      </c>
      <c r="F17" s="501">
        <v>19.827696599524185</v>
      </c>
      <c r="I17" t="s">
        <v>348</v>
      </c>
      <c r="J17" t="s">
        <v>349</v>
      </c>
      <c r="K17" s="495">
        <v>1.1000000000000001</v>
      </c>
      <c r="L17" s="496">
        <v>2.6726000000000001</v>
      </c>
      <c r="M17" s="498">
        <v>3.0609799999999998</v>
      </c>
      <c r="N17" s="500">
        <v>0.10572408152</v>
      </c>
      <c r="O17" s="501">
        <v>28.952533386832492</v>
      </c>
    </row>
    <row r="18" spans="1:15">
      <c r="A18" s="481" t="s">
        <v>92</v>
      </c>
      <c r="B18" s="495">
        <v>0.76</v>
      </c>
      <c r="C18" s="496">
        <v>1.61154</v>
      </c>
      <c r="D18" s="498">
        <v>1.46974</v>
      </c>
      <c r="E18" s="500">
        <v>6.7390244779999997E-2</v>
      </c>
      <c r="F18" s="501">
        <v>21.809388061997186</v>
      </c>
      <c r="H18" t="s">
        <v>350</v>
      </c>
      <c r="K18" s="495">
        <v>4.2826000000000004</v>
      </c>
      <c r="L18" s="496">
        <v>8.4626800000000006</v>
      </c>
      <c r="M18" s="498">
        <v>5.63042</v>
      </c>
      <c r="N18" s="500">
        <v>0.33611673435999995</v>
      </c>
      <c r="O18" s="501">
        <v>16.751382553804962</v>
      </c>
    </row>
    <row r="19" spans="1:15">
      <c r="A19" s="481" t="s">
        <v>93</v>
      </c>
      <c r="B19" s="495">
        <v>0.67500000000000004</v>
      </c>
      <c r="C19" s="496">
        <v>2.01118</v>
      </c>
      <c r="D19" s="498">
        <v>1.4119999999999999</v>
      </c>
      <c r="E19" s="500">
        <v>7.5043436599999999E-2</v>
      </c>
      <c r="F19" s="501">
        <v>18.815769425996677</v>
      </c>
      <c r="H19" t="s">
        <v>197</v>
      </c>
      <c r="I19" t="s">
        <v>351</v>
      </c>
      <c r="J19" t="s">
        <v>352</v>
      </c>
      <c r="K19" s="495">
        <v>0.78</v>
      </c>
      <c r="L19" s="496">
        <v>1.7478199999999999</v>
      </c>
      <c r="M19" s="498">
        <v>1.0306599999999999</v>
      </c>
      <c r="N19" s="500">
        <v>6.4797959079999995E-2</v>
      </c>
      <c r="O19" s="501">
        <v>15.905747875909798</v>
      </c>
    </row>
    <row r="20" spans="1:15">
      <c r="A20" s="481" t="s">
        <v>94</v>
      </c>
      <c r="B20" s="495">
        <v>1.075</v>
      </c>
      <c r="C20" s="496">
        <v>2.6502400000000002</v>
      </c>
      <c r="D20" s="498">
        <v>2.0514999999999999</v>
      </c>
      <c r="E20" s="500">
        <v>0.10637182032</v>
      </c>
      <c r="F20" s="501">
        <v>19.286122901990776</v>
      </c>
      <c r="I20" t="s">
        <v>353</v>
      </c>
      <c r="J20" t="s">
        <v>354</v>
      </c>
      <c r="K20" s="495">
        <v>1.3855999999999999</v>
      </c>
      <c r="L20" s="496">
        <v>2.51606</v>
      </c>
      <c r="M20" s="498">
        <v>2.2531599999999998</v>
      </c>
      <c r="N20" s="500">
        <v>0.10521265295999997</v>
      </c>
      <c r="O20" s="501">
        <v>21.415294991721311</v>
      </c>
    </row>
    <row r="21" spans="1:15">
      <c r="A21" s="10" t="s">
        <v>263</v>
      </c>
      <c r="B21" s="495">
        <v>6.2862</v>
      </c>
      <c r="C21" s="496">
        <v>15.2546</v>
      </c>
      <c r="D21" s="498">
        <v>7.5498200000000004</v>
      </c>
      <c r="E21" s="500">
        <v>0.59693441599999986</v>
      </c>
      <c r="F21" s="501">
        <v>12.647654076624727</v>
      </c>
      <c r="H21" t="s">
        <v>355</v>
      </c>
      <c r="K21" s="495">
        <v>2.1656</v>
      </c>
      <c r="L21" s="496">
        <v>4.2638800000000003</v>
      </c>
      <c r="M21" s="498">
        <v>3.28382</v>
      </c>
      <c r="N21" s="500">
        <v>0.17001061204000001</v>
      </c>
      <c r="O21" s="501">
        <v>19.315382496401956</v>
      </c>
    </row>
    <row r="22" spans="1:15">
      <c r="A22" s="481" t="s">
        <v>184</v>
      </c>
      <c r="B22" s="495">
        <v>0.95920000000000005</v>
      </c>
      <c r="C22" s="496">
        <v>3.0382600000000002</v>
      </c>
      <c r="D22" s="498">
        <v>1.79138</v>
      </c>
      <c r="E22" s="500">
        <v>0.11849314275999999</v>
      </c>
      <c r="F22" s="501">
        <v>15.118005635383657</v>
      </c>
      <c r="H22" t="s">
        <v>200</v>
      </c>
      <c r="I22" t="s">
        <v>356</v>
      </c>
      <c r="J22" t="s">
        <v>357</v>
      </c>
      <c r="K22" s="495">
        <v>1.95</v>
      </c>
      <c r="L22" s="496">
        <v>3.9325999999999999</v>
      </c>
      <c r="M22" s="498">
        <v>2.24756</v>
      </c>
      <c r="N22" s="500">
        <v>0.16365959999999999</v>
      </c>
      <c r="O22" s="501">
        <v>13.733138783181678</v>
      </c>
    </row>
    <row r="23" spans="1:15">
      <c r="A23" s="481" t="s">
        <v>186</v>
      </c>
      <c r="B23" s="495">
        <v>4.7370000000000001</v>
      </c>
      <c r="C23" s="496">
        <v>10.720319999999999</v>
      </c>
      <c r="D23" s="498">
        <v>4.6148199999999999</v>
      </c>
      <c r="E23" s="500">
        <v>0.41990704480000002</v>
      </c>
      <c r="F23" s="501">
        <v>10.990099016314479</v>
      </c>
      <c r="H23" t="s">
        <v>358</v>
      </c>
      <c r="K23" s="495">
        <v>1.95</v>
      </c>
      <c r="L23" s="496">
        <v>3.9325999999999999</v>
      </c>
      <c r="M23" s="498">
        <v>2.24756</v>
      </c>
      <c r="N23" s="500">
        <v>0.16365959999999999</v>
      </c>
      <c r="O23" s="501">
        <v>13.733138783181678</v>
      </c>
    </row>
    <row r="24" spans="1:15">
      <c r="A24" s="481" t="s">
        <v>187</v>
      </c>
      <c r="B24" s="495">
        <v>0.59</v>
      </c>
      <c r="C24" s="496">
        <v>1.4960199999999999</v>
      </c>
      <c r="D24" s="498">
        <v>1.1436200000000001</v>
      </c>
      <c r="E24" s="500">
        <v>5.8534228439999988E-2</v>
      </c>
      <c r="F24" s="501">
        <v>19.5376283326645</v>
      </c>
      <c r="H24" t="s">
        <v>204</v>
      </c>
      <c r="I24" t="s">
        <v>359</v>
      </c>
      <c r="J24" t="s">
        <v>360</v>
      </c>
      <c r="K24" s="495">
        <v>1.115</v>
      </c>
      <c r="L24" s="496">
        <v>2.5349200000000001</v>
      </c>
      <c r="M24" s="498">
        <v>1.32772</v>
      </c>
      <c r="N24" s="500">
        <v>0.10654122414000002</v>
      </c>
      <c r="O24" s="501">
        <v>12.462030643230788</v>
      </c>
    </row>
    <row r="25" spans="1:15">
      <c r="A25" s="10" t="s">
        <v>264</v>
      </c>
      <c r="B25" s="495">
        <v>2.3519999999999999</v>
      </c>
      <c r="C25" s="496">
        <v>4.6069599999999999</v>
      </c>
      <c r="D25" s="498">
        <v>2.19476</v>
      </c>
      <c r="E25" s="500">
        <v>0.2094655916</v>
      </c>
      <c r="F25" s="501">
        <v>10.477902280920491</v>
      </c>
      <c r="H25" t="s">
        <v>361</v>
      </c>
      <c r="K25" s="495">
        <v>1.115</v>
      </c>
      <c r="L25" s="496">
        <v>2.5349200000000001</v>
      </c>
      <c r="M25" s="498">
        <v>1.32772</v>
      </c>
      <c r="N25" s="500">
        <v>0.10654122414000002</v>
      </c>
      <c r="O25" s="501">
        <v>12.462030643230788</v>
      </c>
    </row>
    <row r="26" spans="1:15">
      <c r="A26" s="481" t="s">
        <v>188</v>
      </c>
      <c r="B26" s="495">
        <v>1.9670000000000001</v>
      </c>
      <c r="C26" s="496">
        <v>3.9047999999999998</v>
      </c>
      <c r="D26" s="498">
        <v>1.5949</v>
      </c>
      <c r="E26" s="500">
        <v>0.17552452232000004</v>
      </c>
      <c r="F26" s="501">
        <v>9.0864796492214701</v>
      </c>
      <c r="H26" t="s">
        <v>347</v>
      </c>
      <c r="K26" s="495">
        <v>11.273199999999999</v>
      </c>
      <c r="L26" s="496">
        <v>26.372520000000002</v>
      </c>
      <c r="M26" s="498">
        <v>14.889099999999999</v>
      </c>
      <c r="N26" s="500">
        <v>1.0643853130600001</v>
      </c>
      <c r="O26" s="501">
        <v>13.988449311833648</v>
      </c>
    </row>
    <row r="27" spans="1:15">
      <c r="A27" s="481" t="s">
        <v>189</v>
      </c>
      <c r="B27" s="495">
        <v>0.38500000000000001</v>
      </c>
      <c r="C27" s="496">
        <v>0.70211999999999997</v>
      </c>
      <c r="D27" s="498">
        <v>0.59952000000000005</v>
      </c>
      <c r="E27" s="500">
        <v>3.3936987660000001E-2</v>
      </c>
      <c r="F27" s="501">
        <v>17.66568105591255</v>
      </c>
    </row>
    <row r="28" spans="1:15">
      <c r="A28" s="481" t="s">
        <v>190</v>
      </c>
      <c r="B28" s="495">
        <v>0</v>
      </c>
      <c r="C28" s="496">
        <v>4.0000000000000003E-5</v>
      </c>
      <c r="D28" s="498">
        <v>3.4000000000000002E-4</v>
      </c>
      <c r="E28" s="500">
        <v>4.0816200000000006E-6</v>
      </c>
      <c r="F28" s="501">
        <v>83.300258230800509</v>
      </c>
    </row>
    <row r="29" spans="1:15">
      <c r="A29" s="10" t="s">
        <v>347</v>
      </c>
      <c r="B29" s="495">
        <v>11.273199999999999</v>
      </c>
      <c r="C29" s="496">
        <v>26.372520000000002</v>
      </c>
      <c r="D29" s="498">
        <v>14.889099999999999</v>
      </c>
      <c r="E29" s="500">
        <v>1.0643853130600003</v>
      </c>
      <c r="F29" s="501">
        <v>13.988449311833644</v>
      </c>
    </row>
    <row r="36" spans="1:5">
      <c r="C36" s="77"/>
    </row>
    <row r="38" spans="1:5" ht="21">
      <c r="A38" s="434" t="s">
        <v>362</v>
      </c>
      <c r="B38" s="446" t="s">
        <v>363</v>
      </c>
      <c r="D38" s="284"/>
      <c r="E38" s="284"/>
    </row>
    <row r="39" spans="1:5" ht="21">
      <c r="A39" s="434"/>
      <c r="B39" s="446" t="s">
        <v>364</v>
      </c>
    </row>
    <row r="40" spans="1:5" ht="21">
      <c r="A40" s="434"/>
      <c r="B40" s="446" t="s">
        <v>365</v>
      </c>
    </row>
    <row r="41" spans="1:5" ht="21">
      <c r="A41" s="434"/>
      <c r="B41" s="446" t="s">
        <v>366</v>
      </c>
    </row>
    <row r="43" spans="1:5">
      <c r="B43" s="77"/>
      <c r="C43" s="77"/>
      <c r="D43" s="77"/>
      <c r="E43" s="77"/>
    </row>
    <row r="44" spans="1:5">
      <c r="B44" s="77"/>
    </row>
  </sheetData>
  <pageMargins left="0.7" right="0.7" top="0.75" bottom="0.75" header="0.3" footer="0.3"/>
  <pageSetup paperSize="9" orientation="portrait" r:id="rId4"/>
  <customProperties>
    <customPr name="_pios_id" r:id="rId5"/>
  </customProperties>
  <drawing r:id="rId6"/>
  <extLst>
    <ext xmlns:x14="http://schemas.microsoft.com/office/spreadsheetml/2009/9/main" uri="{A8765BA9-456A-4dab-B4F3-ACF838C121DE}">
      <x14:slicerList>
        <x14:slicer r:id="rId7"/>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7A3FB-C310-4884-995D-1069F1556D68}">
  <sheetPr codeName="Sheet16">
    <tabColor rgb="FF00CCFF"/>
  </sheetPr>
  <dimension ref="A9:P46"/>
  <sheetViews>
    <sheetView showGridLines="0" zoomScale="60" zoomScaleNormal="60" workbookViewId="0">
      <selection activeCell="A10" sqref="A10"/>
    </sheetView>
  </sheetViews>
  <sheetFormatPr defaultRowHeight="15"/>
  <cols>
    <col min="1" max="1" width="22.7109375" bestFit="1" customWidth="1"/>
    <col min="2" max="2" width="20.140625" bestFit="1" customWidth="1"/>
    <col min="3" max="3" width="18.42578125" bestFit="1" customWidth="1"/>
    <col min="4" max="4" width="13.28515625" bestFit="1" customWidth="1"/>
    <col min="5" max="5" width="11.85546875" bestFit="1" customWidth="1"/>
    <col min="6" max="6" width="23" bestFit="1" customWidth="1"/>
    <col min="7" max="7" width="14.42578125" bestFit="1" customWidth="1"/>
    <col min="8" max="8" width="14.140625" bestFit="1" customWidth="1"/>
    <col min="9" max="9" width="11.42578125" bestFit="1" customWidth="1"/>
    <col min="10" max="10" width="36.140625" bestFit="1" customWidth="1"/>
    <col min="11" max="11" width="20.140625" bestFit="1" customWidth="1"/>
    <col min="12" max="12" width="18.42578125" bestFit="1" customWidth="1"/>
    <col min="13" max="13" width="13.28515625" bestFit="1" customWidth="1"/>
    <col min="14" max="14" width="11.85546875" bestFit="1" customWidth="1"/>
    <col min="15" max="15" width="23" bestFit="1" customWidth="1"/>
    <col min="16" max="16" width="14.42578125" bestFit="1" customWidth="1"/>
  </cols>
  <sheetData>
    <row r="9" spans="1:16" ht="15.75">
      <c r="A9" s="436" t="s">
        <v>325</v>
      </c>
      <c r="B9" s="437" t="str">
        <f>'Daily Sales Volume'!T53</f>
        <v>14/6/2025</v>
      </c>
      <c r="D9" s="434"/>
      <c r="E9" s="435"/>
      <c r="H9" s="502" t="s">
        <v>69</v>
      </c>
      <c r="I9" t="s">
        <v>326</v>
      </c>
    </row>
    <row r="10" spans="1:16" ht="15.75">
      <c r="A10" s="298"/>
      <c r="B10" s="299"/>
      <c r="G10" s="433"/>
      <c r="H10" s="432"/>
    </row>
    <row r="11" spans="1:16" s="296" customFormat="1" ht="30">
      <c r="A11" s="482" t="s">
        <v>328</v>
      </c>
      <c r="B11" s="483" t="s">
        <v>329</v>
      </c>
      <c r="C11" s="490" t="s">
        <v>330</v>
      </c>
      <c r="D11" s="484" t="s">
        <v>331</v>
      </c>
      <c r="E11" s="485" t="s">
        <v>332</v>
      </c>
      <c r="F11" s="489" t="s">
        <v>333</v>
      </c>
      <c r="G11"/>
      <c r="H11" s="492" t="s">
        <v>119</v>
      </c>
      <c r="I11" s="493" t="s">
        <v>334</v>
      </c>
      <c r="J11" s="493" t="s">
        <v>335</v>
      </c>
      <c r="K11" s="483" t="s">
        <v>329</v>
      </c>
      <c r="L11" s="490" t="s">
        <v>330</v>
      </c>
      <c r="M11" s="484" t="s">
        <v>331</v>
      </c>
      <c r="N11" s="485" t="s">
        <v>332</v>
      </c>
      <c r="O11" s="489" t="s">
        <v>333</v>
      </c>
      <c r="P11"/>
    </row>
    <row r="12" spans="1:16">
      <c r="A12" s="10" t="s">
        <v>44</v>
      </c>
      <c r="B12" s="486">
        <v>5400</v>
      </c>
      <c r="C12" s="491">
        <v>9330</v>
      </c>
      <c r="D12" s="487">
        <v>8125</v>
      </c>
      <c r="E12" s="488">
        <v>340.87672200000003</v>
      </c>
      <c r="F12" s="501">
        <v>23.835596494617782</v>
      </c>
      <c r="H12" t="s">
        <v>124</v>
      </c>
      <c r="I12" t="s">
        <v>336</v>
      </c>
      <c r="J12" t="s">
        <v>337</v>
      </c>
      <c r="K12" s="486">
        <v>15000</v>
      </c>
      <c r="L12" s="491">
        <v>88641</v>
      </c>
      <c r="M12" s="487">
        <v>45237</v>
      </c>
      <c r="N12" s="488">
        <v>3606.8367289999997</v>
      </c>
      <c r="O12" s="501">
        <v>12.542014900835841</v>
      </c>
    </row>
    <row r="13" spans="1:16">
      <c r="A13" s="481" t="s">
        <v>83</v>
      </c>
      <c r="B13" s="486">
        <v>1200</v>
      </c>
      <c r="C13" s="491">
        <v>2600</v>
      </c>
      <c r="D13" s="487">
        <v>3240</v>
      </c>
      <c r="E13" s="488">
        <v>91.795099000000008</v>
      </c>
      <c r="F13" s="501">
        <v>35.296002022940243</v>
      </c>
      <c r="I13" t="s">
        <v>338</v>
      </c>
      <c r="J13" t="s">
        <v>339</v>
      </c>
      <c r="K13" s="486">
        <v>42750</v>
      </c>
      <c r="L13" s="491">
        <v>140797</v>
      </c>
      <c r="M13" s="487">
        <v>22587</v>
      </c>
      <c r="N13" s="488">
        <v>5477.8163210000002</v>
      </c>
      <c r="O13" s="501">
        <v>4.1233584107976515</v>
      </c>
    </row>
    <row r="14" spans="1:16">
      <c r="A14" s="481" t="s">
        <v>84</v>
      </c>
      <c r="B14" s="486">
        <v>850</v>
      </c>
      <c r="C14" s="491">
        <v>725</v>
      </c>
      <c r="D14" s="487">
        <v>873</v>
      </c>
      <c r="E14" s="488">
        <v>30.040811999999999</v>
      </c>
      <c r="F14" s="501">
        <v>29.060466141860612</v>
      </c>
      <c r="I14" t="s">
        <v>340</v>
      </c>
      <c r="J14" t="s">
        <v>341</v>
      </c>
      <c r="K14" s="486">
        <v>30250</v>
      </c>
      <c r="L14" s="491">
        <v>129484</v>
      </c>
      <c r="M14" s="487">
        <v>52155</v>
      </c>
      <c r="N14" s="488">
        <v>5318.204076</v>
      </c>
      <c r="O14" s="501">
        <v>9.8068820328586437</v>
      </c>
    </row>
    <row r="15" spans="1:16">
      <c r="A15" s="481" t="s">
        <v>85</v>
      </c>
      <c r="B15" s="486">
        <v>3350</v>
      </c>
      <c r="C15" s="491">
        <v>6005</v>
      </c>
      <c r="D15" s="487">
        <v>4012</v>
      </c>
      <c r="E15" s="488">
        <v>219.04081100000002</v>
      </c>
      <c r="F15" s="501">
        <v>18.316221446057373</v>
      </c>
      <c r="H15" t="s">
        <v>342</v>
      </c>
      <c r="K15" s="486">
        <v>88000</v>
      </c>
      <c r="L15" s="491">
        <v>358922</v>
      </c>
      <c r="M15" s="487">
        <v>119979</v>
      </c>
      <c r="N15" s="488">
        <v>14402.857126000001</v>
      </c>
      <c r="O15" s="501">
        <v>8.3302221878889728</v>
      </c>
    </row>
    <row r="16" spans="1:16">
      <c r="A16" s="10" t="s">
        <v>45</v>
      </c>
      <c r="B16" s="486">
        <v>850</v>
      </c>
      <c r="C16" s="491">
        <v>2570</v>
      </c>
      <c r="D16" s="487">
        <v>2439</v>
      </c>
      <c r="E16" s="488">
        <v>118.11346599999999</v>
      </c>
      <c r="F16" s="501">
        <v>20.649635326085512</v>
      </c>
      <c r="H16" t="s">
        <v>194</v>
      </c>
      <c r="I16" t="s">
        <v>343</v>
      </c>
      <c r="J16" t="s">
        <v>344</v>
      </c>
      <c r="K16" s="486">
        <v>32030</v>
      </c>
      <c r="L16" s="491">
        <v>58502</v>
      </c>
      <c r="M16" s="487">
        <v>40949</v>
      </c>
      <c r="N16" s="488">
        <v>2394.7142810000005</v>
      </c>
      <c r="O16" s="501">
        <v>17.099743516333085</v>
      </c>
    </row>
    <row r="17" spans="1:15">
      <c r="A17" s="481" t="s">
        <v>88</v>
      </c>
      <c r="B17" s="486">
        <v>850</v>
      </c>
      <c r="C17" s="491">
        <v>2570</v>
      </c>
      <c r="D17" s="487">
        <v>2439</v>
      </c>
      <c r="E17" s="488">
        <v>118.11346599999999</v>
      </c>
      <c r="F17" s="501">
        <v>20.649635326085512</v>
      </c>
      <c r="I17" t="s">
        <v>345</v>
      </c>
      <c r="J17" t="s">
        <v>346</v>
      </c>
      <c r="K17" s="486">
        <v>127100</v>
      </c>
      <c r="L17" s="491">
        <v>231002</v>
      </c>
      <c r="M17" s="487">
        <v>87523</v>
      </c>
      <c r="N17" s="488">
        <v>9124.918361</v>
      </c>
      <c r="O17" s="501">
        <v>9.5916474578089659</v>
      </c>
    </row>
    <row r="18" spans="1:15">
      <c r="A18" s="10" t="s">
        <v>46</v>
      </c>
      <c r="B18" s="486">
        <v>125500</v>
      </c>
      <c r="C18" s="491">
        <v>313648</v>
      </c>
      <c r="D18" s="487">
        <v>246662</v>
      </c>
      <c r="E18" s="488">
        <v>12440.275084999999</v>
      </c>
      <c r="F18" s="501">
        <v>19.827696599524185</v>
      </c>
      <c r="I18" t="s">
        <v>348</v>
      </c>
      <c r="J18" t="s">
        <v>349</v>
      </c>
      <c r="K18" s="486">
        <v>55000</v>
      </c>
      <c r="L18" s="491">
        <v>133630</v>
      </c>
      <c r="M18" s="487">
        <v>153049</v>
      </c>
      <c r="N18" s="488">
        <v>5286.204076</v>
      </c>
      <c r="O18" s="501">
        <v>28.952533386832492</v>
      </c>
    </row>
    <row r="19" spans="1:15">
      <c r="A19" s="481" t="s">
        <v>92</v>
      </c>
      <c r="B19" s="486">
        <v>38000</v>
      </c>
      <c r="C19" s="491">
        <v>80577</v>
      </c>
      <c r="D19" s="487">
        <v>73487</v>
      </c>
      <c r="E19" s="488">
        <v>3369.5122389999997</v>
      </c>
      <c r="F19" s="501">
        <v>21.809388061997186</v>
      </c>
      <c r="H19" t="s">
        <v>350</v>
      </c>
      <c r="K19" s="486">
        <v>214130</v>
      </c>
      <c r="L19" s="491">
        <v>423134</v>
      </c>
      <c r="M19" s="487">
        <v>281521</v>
      </c>
      <c r="N19" s="488">
        <v>16805.836717999999</v>
      </c>
      <c r="O19" s="501">
        <v>16.751382553804962</v>
      </c>
    </row>
    <row r="20" spans="1:15">
      <c r="A20" s="481" t="s">
        <v>93</v>
      </c>
      <c r="B20" s="486">
        <v>33750</v>
      </c>
      <c r="C20" s="491">
        <v>100559</v>
      </c>
      <c r="D20" s="487">
        <v>70600</v>
      </c>
      <c r="E20" s="488">
        <v>3752.1718299999998</v>
      </c>
      <c r="F20" s="501">
        <v>18.815769425996677</v>
      </c>
      <c r="H20" t="s">
        <v>197</v>
      </c>
      <c r="I20" t="s">
        <v>351</v>
      </c>
      <c r="J20" t="s">
        <v>352</v>
      </c>
      <c r="K20" s="486">
        <v>39000</v>
      </c>
      <c r="L20" s="491">
        <v>87391</v>
      </c>
      <c r="M20" s="487">
        <v>51533</v>
      </c>
      <c r="N20" s="488">
        <v>3239.897954</v>
      </c>
      <c r="O20" s="501">
        <v>15.905747875909798</v>
      </c>
    </row>
    <row r="21" spans="1:15">
      <c r="A21" s="481" t="s">
        <v>94</v>
      </c>
      <c r="B21" s="486">
        <v>53750</v>
      </c>
      <c r="C21" s="491">
        <v>132512</v>
      </c>
      <c r="D21" s="487">
        <v>102575</v>
      </c>
      <c r="E21" s="488">
        <v>5318.5910160000003</v>
      </c>
      <c r="F21" s="501">
        <v>19.286122901990776</v>
      </c>
      <c r="I21" t="s">
        <v>353</v>
      </c>
      <c r="J21" t="s">
        <v>354</v>
      </c>
      <c r="K21" s="486">
        <v>69280</v>
      </c>
      <c r="L21" s="491">
        <v>125803</v>
      </c>
      <c r="M21" s="487">
        <v>112658</v>
      </c>
      <c r="N21" s="488">
        <v>5260.6326479999989</v>
      </c>
      <c r="O21" s="501">
        <v>21.415294991721311</v>
      </c>
    </row>
    <row r="22" spans="1:15">
      <c r="A22" s="10" t="s">
        <v>263</v>
      </c>
      <c r="B22" s="486">
        <v>314310</v>
      </c>
      <c r="C22" s="491">
        <v>762730</v>
      </c>
      <c r="D22" s="487">
        <v>377491</v>
      </c>
      <c r="E22" s="488">
        <v>29846.720799999999</v>
      </c>
      <c r="F22" s="501">
        <v>12.647654076624727</v>
      </c>
      <c r="H22" t="s">
        <v>355</v>
      </c>
      <c r="K22" s="486">
        <v>108280</v>
      </c>
      <c r="L22" s="491">
        <v>213194</v>
      </c>
      <c r="M22" s="487">
        <v>164191</v>
      </c>
      <c r="N22" s="488">
        <v>8500.5306019999989</v>
      </c>
      <c r="O22" s="501">
        <v>19.315382496401956</v>
      </c>
    </row>
    <row r="23" spans="1:15">
      <c r="A23" s="481" t="s">
        <v>184</v>
      </c>
      <c r="B23" s="486">
        <v>47960</v>
      </c>
      <c r="C23" s="491">
        <v>151913</v>
      </c>
      <c r="D23" s="487">
        <v>89569</v>
      </c>
      <c r="E23" s="488">
        <v>5924.6571379999996</v>
      </c>
      <c r="F23" s="501">
        <v>15.118005635383657</v>
      </c>
      <c r="H23" t="s">
        <v>200</v>
      </c>
      <c r="I23" t="s">
        <v>356</v>
      </c>
      <c r="J23" t="s">
        <v>357</v>
      </c>
      <c r="K23" s="486">
        <v>97500</v>
      </c>
      <c r="L23" s="491">
        <v>196630</v>
      </c>
      <c r="M23" s="487">
        <v>112378</v>
      </c>
      <c r="N23" s="488">
        <v>8182.98</v>
      </c>
      <c r="O23" s="501">
        <v>13.733138783181678</v>
      </c>
    </row>
    <row r="24" spans="1:15">
      <c r="A24" s="481" t="s">
        <v>186</v>
      </c>
      <c r="B24" s="486">
        <v>236850</v>
      </c>
      <c r="C24" s="491">
        <v>536016</v>
      </c>
      <c r="D24" s="487">
        <v>230741</v>
      </c>
      <c r="E24" s="488">
        <v>20995.35224</v>
      </c>
      <c r="F24" s="501">
        <v>10.990099016314479</v>
      </c>
      <c r="H24" t="s">
        <v>358</v>
      </c>
      <c r="K24" s="486">
        <v>97500</v>
      </c>
      <c r="L24" s="491">
        <v>196630</v>
      </c>
      <c r="M24" s="487">
        <v>112378</v>
      </c>
      <c r="N24" s="488">
        <v>8182.98</v>
      </c>
      <c r="O24" s="501">
        <v>13.733138783181678</v>
      </c>
    </row>
    <row r="25" spans="1:15">
      <c r="A25" s="481" t="s">
        <v>187</v>
      </c>
      <c r="B25" s="486">
        <v>29500</v>
      </c>
      <c r="C25" s="491">
        <v>74801</v>
      </c>
      <c r="D25" s="487">
        <v>57181</v>
      </c>
      <c r="E25" s="488">
        <v>2926.7114219999994</v>
      </c>
      <c r="F25" s="501">
        <v>19.5376283326645</v>
      </c>
      <c r="H25" t="s">
        <v>204</v>
      </c>
      <c r="I25" t="s">
        <v>359</v>
      </c>
      <c r="J25" t="s">
        <v>360</v>
      </c>
      <c r="K25" s="486">
        <v>55750</v>
      </c>
      <c r="L25" s="491">
        <v>126746</v>
      </c>
      <c r="M25" s="487">
        <v>66386</v>
      </c>
      <c r="N25" s="488">
        <v>5327.0612070000006</v>
      </c>
      <c r="O25" s="501">
        <v>12.462030643230788</v>
      </c>
    </row>
    <row r="26" spans="1:15">
      <c r="A26" s="10" t="s">
        <v>264</v>
      </c>
      <c r="B26" s="486">
        <v>117600</v>
      </c>
      <c r="C26" s="491">
        <v>230348</v>
      </c>
      <c r="D26" s="487">
        <v>109738</v>
      </c>
      <c r="E26" s="488">
        <v>10473.279580000002</v>
      </c>
      <c r="F26" s="501">
        <v>10.477902280920491</v>
      </c>
      <c r="H26" t="s">
        <v>361</v>
      </c>
      <c r="K26" s="486">
        <v>55750</v>
      </c>
      <c r="L26" s="491">
        <v>126746</v>
      </c>
      <c r="M26" s="487">
        <v>66386</v>
      </c>
      <c r="N26" s="488">
        <v>5327.0612070000006</v>
      </c>
      <c r="O26" s="501">
        <v>12.462030643230788</v>
      </c>
    </row>
    <row r="27" spans="1:15">
      <c r="A27" s="481" t="s">
        <v>188</v>
      </c>
      <c r="B27" s="486">
        <v>98350</v>
      </c>
      <c r="C27" s="491">
        <v>195240</v>
      </c>
      <c r="D27" s="487">
        <v>79745</v>
      </c>
      <c r="E27" s="488">
        <v>8776.2261160000016</v>
      </c>
      <c r="F27" s="501">
        <v>9.0864796492214701</v>
      </c>
      <c r="H27" t="s">
        <v>347</v>
      </c>
      <c r="K27" s="486">
        <v>563660</v>
      </c>
      <c r="L27" s="491">
        <v>1318626</v>
      </c>
      <c r="M27" s="487">
        <v>744455</v>
      </c>
      <c r="N27" s="488">
        <v>53219.265653000002</v>
      </c>
      <c r="O27" s="501">
        <v>13.988449311833648</v>
      </c>
    </row>
    <row r="28" spans="1:15">
      <c r="A28" s="481" t="s">
        <v>189</v>
      </c>
      <c r="B28" s="486">
        <v>19250</v>
      </c>
      <c r="C28" s="491">
        <v>35106</v>
      </c>
      <c r="D28" s="487">
        <v>29976</v>
      </c>
      <c r="E28" s="488">
        <v>1696.849383</v>
      </c>
      <c r="F28" s="501">
        <v>17.66568105591255</v>
      </c>
    </row>
    <row r="29" spans="1:15">
      <c r="A29" s="481" t="s">
        <v>190</v>
      </c>
      <c r="B29" s="486">
        <v>0</v>
      </c>
      <c r="C29" s="491">
        <v>2</v>
      </c>
      <c r="D29" s="487">
        <v>17</v>
      </c>
      <c r="E29" s="488">
        <v>0.20408100000000001</v>
      </c>
      <c r="F29" s="501">
        <v>83.300258230800509</v>
      </c>
    </row>
    <row r="30" spans="1:15">
      <c r="A30" s="10" t="s">
        <v>347</v>
      </c>
      <c r="B30" s="486">
        <v>563660</v>
      </c>
      <c r="C30" s="491">
        <v>1318626</v>
      </c>
      <c r="D30" s="487">
        <v>744455</v>
      </c>
      <c r="E30" s="488">
        <v>53219.265653000002</v>
      </c>
      <c r="F30" s="501">
        <v>13.988449311833644</v>
      </c>
    </row>
    <row r="37" spans="1:6">
      <c r="B37" s="77"/>
      <c r="C37" s="77"/>
    </row>
    <row r="38" spans="1:6">
      <c r="B38" s="440"/>
      <c r="C38" s="440"/>
      <c r="D38" s="440"/>
      <c r="E38" s="440"/>
      <c r="F38" s="76"/>
    </row>
    <row r="39" spans="1:6" ht="21">
      <c r="A39" s="434" t="s">
        <v>362</v>
      </c>
      <c r="B39" s="446" t="s">
        <v>363</v>
      </c>
      <c r="D39" s="284"/>
      <c r="E39" s="284"/>
    </row>
    <row r="40" spans="1:6" ht="21">
      <c r="A40" s="434"/>
      <c r="B40" s="446" t="s">
        <v>364</v>
      </c>
    </row>
    <row r="41" spans="1:6" ht="21">
      <c r="A41" s="434"/>
      <c r="B41" s="446" t="s">
        <v>365</v>
      </c>
    </row>
    <row r="42" spans="1:6" ht="21">
      <c r="A42" s="434"/>
      <c r="B42" s="446" t="s">
        <v>366</v>
      </c>
    </row>
    <row r="46" spans="1:6">
      <c r="B46" s="445"/>
      <c r="C46" s="445"/>
      <c r="D46" s="445"/>
      <c r="E46" s="445"/>
    </row>
  </sheetData>
  <pageMargins left="0.7" right="0.7" top="0.75" bottom="0.75" header="0.3" footer="0.3"/>
  <pageSetup paperSize="9" orientation="portrait" r:id="rId3"/>
  <customProperties>
    <customPr name="_pios_id" r:id="rId4"/>
  </customProperties>
  <drawing r:id="rId5"/>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F6D31C-55C6-4D7A-A5A9-E0FB04EA168E}">
  <sheetPr codeName="Sheet18"/>
  <dimension ref="A1:FQ124"/>
  <sheetViews>
    <sheetView workbookViewId="0">
      <selection activeCell="K96" sqref="K96"/>
    </sheetView>
  </sheetViews>
  <sheetFormatPr defaultRowHeight="15"/>
  <cols>
    <col min="1" max="1" width="9.42578125" bestFit="1" customWidth="1"/>
    <col min="2" max="2" width="10.5703125" bestFit="1" customWidth="1"/>
    <col min="3" max="3" width="31.42578125" bestFit="1" customWidth="1"/>
    <col min="4" max="4" width="8.42578125" bestFit="1" customWidth="1"/>
    <col min="5" max="5" width="9.85546875" bestFit="1" customWidth="1"/>
    <col min="6" max="6" width="12.42578125" bestFit="1" customWidth="1"/>
    <col min="7" max="7" width="14.42578125" bestFit="1" customWidth="1"/>
    <col min="8" max="8" width="13.140625" bestFit="1" customWidth="1"/>
    <col min="9" max="9" width="9.85546875" bestFit="1" customWidth="1"/>
    <col min="10" max="10" width="14" bestFit="1" customWidth="1"/>
    <col min="11" max="12" width="6.7109375" bestFit="1" customWidth="1"/>
    <col min="13" max="13" width="13.28515625" bestFit="1" customWidth="1"/>
    <col min="14" max="14" width="21.42578125" bestFit="1" customWidth="1"/>
    <col min="15" max="15" width="14.85546875" bestFit="1" customWidth="1"/>
    <col min="16" max="16" width="47.5703125" bestFit="1" customWidth="1"/>
    <col min="17" max="17" width="80.7109375" bestFit="1" customWidth="1"/>
    <col min="18" max="18" width="19.5703125" bestFit="1" customWidth="1"/>
    <col min="19" max="19" width="13.140625" bestFit="1" customWidth="1"/>
    <col min="20" max="21" width="16.7109375" bestFit="1" customWidth="1"/>
    <col min="22" max="23" width="14.7109375" bestFit="1" customWidth="1"/>
    <col min="24" max="24" width="13.5703125" bestFit="1" customWidth="1"/>
    <col min="25" max="25" width="11.28515625" bestFit="1" customWidth="1"/>
    <col min="26" max="26" width="12.85546875" bestFit="1" customWidth="1"/>
    <col min="27" max="27" width="16.140625" bestFit="1" customWidth="1"/>
    <col min="28" max="28" width="23.5703125" bestFit="1" customWidth="1"/>
    <col min="29" max="29" width="11.140625" bestFit="1" customWidth="1"/>
    <col min="30" max="30" width="14.28515625" bestFit="1" customWidth="1"/>
    <col min="31" max="31" width="17" bestFit="1" customWidth="1"/>
    <col min="32" max="32" width="12.5703125" bestFit="1" customWidth="1"/>
    <col min="33" max="33" width="21.5703125" bestFit="1" customWidth="1"/>
    <col min="34" max="34" width="24.140625" bestFit="1" customWidth="1"/>
    <col min="35" max="35" width="20.42578125" bestFit="1" customWidth="1"/>
    <col min="36" max="36" width="21.7109375" bestFit="1" customWidth="1"/>
    <col min="37" max="37" width="24.42578125" bestFit="1" customWidth="1"/>
    <col min="38" max="38" width="25.5703125" bestFit="1" customWidth="1"/>
    <col min="39" max="39" width="11.140625" bestFit="1" customWidth="1"/>
    <col min="40" max="40" width="16.140625" bestFit="1" customWidth="1"/>
    <col min="41" max="41" width="10.7109375" bestFit="1" customWidth="1"/>
    <col min="42" max="42" width="12.140625" bestFit="1" customWidth="1"/>
    <col min="43" max="43" width="12.5703125" bestFit="1" customWidth="1"/>
    <col min="44" max="44" width="10.5703125" bestFit="1" customWidth="1"/>
    <col min="45" max="45" width="13.140625" bestFit="1" customWidth="1"/>
    <col min="46" max="46" width="14.140625" bestFit="1" customWidth="1" collapsed="1"/>
    <col min="47" max="47" width="14.28515625" bestFit="1" customWidth="1"/>
    <col min="48" max="48" width="15.28515625" bestFit="1" customWidth="1"/>
    <col min="49" max="49" width="14" bestFit="1" customWidth="1"/>
    <col min="50" max="50" width="13.7109375" bestFit="1" customWidth="1"/>
    <col min="51" max="51" width="14.5703125" bestFit="1" customWidth="1"/>
    <col min="52" max="52" width="15" bestFit="1" customWidth="1"/>
    <col min="53" max="53" width="16.140625" bestFit="1" customWidth="1"/>
    <col min="54" max="54" width="15" bestFit="1" customWidth="1"/>
    <col min="55" max="55" width="15.42578125" bestFit="1" customWidth="1"/>
    <col min="56" max="56" width="15.5703125" bestFit="1" customWidth="1"/>
    <col min="57" max="57" width="16.140625" bestFit="1" customWidth="1"/>
    <col min="58" max="59" width="15.85546875" bestFit="1" customWidth="1"/>
    <col min="60" max="60" width="13.5703125" bestFit="1" customWidth="1"/>
    <col min="61" max="61" width="13.7109375" bestFit="1" customWidth="1"/>
    <col min="62" max="62" width="13.42578125" bestFit="1" customWidth="1"/>
    <col min="63" max="63" width="14.5703125" bestFit="1" customWidth="1"/>
    <col min="64" max="64" width="17.28515625" bestFit="1" customWidth="1"/>
    <col min="65" max="66" width="16.140625" bestFit="1" customWidth="1"/>
    <col min="67" max="67" width="16.5703125" bestFit="1" customWidth="1"/>
    <col min="68" max="68" width="10.5703125" bestFit="1" customWidth="1"/>
    <col min="69" max="69" width="15.5703125" bestFit="1" customWidth="1"/>
    <col min="70" max="70" width="10.140625" bestFit="1" customWidth="1"/>
    <col min="71" max="71" width="11.5703125" bestFit="1" customWidth="1"/>
    <col min="72" max="72" width="12.140625" bestFit="1" customWidth="1"/>
    <col min="73" max="73" width="10.140625" bestFit="1" customWidth="1" collapsed="1"/>
    <col min="74" max="74" width="12.5703125" bestFit="1" customWidth="1"/>
    <col min="75" max="75" width="13.5703125" bestFit="1" customWidth="1"/>
    <col min="76" max="76" width="13.7109375" bestFit="1" customWidth="1"/>
    <col min="77" max="77" width="14.7109375" bestFit="1" customWidth="1"/>
    <col min="78" max="78" width="13.5703125" bestFit="1" customWidth="1"/>
    <col min="79" max="79" width="13.140625" bestFit="1" customWidth="1"/>
    <col min="80" max="80" width="14.140625" bestFit="1" customWidth="1"/>
    <col min="81" max="81" width="14.5703125" bestFit="1" customWidth="1"/>
    <col min="82" max="82" width="15.42578125" bestFit="1" customWidth="1"/>
    <col min="83" max="83" width="14.5703125" bestFit="1" customWidth="1"/>
    <col min="84" max="84" width="14.85546875" bestFit="1" customWidth="1"/>
    <col min="85" max="85" width="15" bestFit="1" customWidth="1"/>
    <col min="86" max="86" width="15.5703125" bestFit="1" customWidth="1"/>
    <col min="87" max="87" width="15.28515625" bestFit="1" customWidth="1"/>
    <col min="88" max="88" width="15.42578125" bestFit="1" customWidth="1"/>
    <col min="89" max="89" width="13" bestFit="1" customWidth="1"/>
    <col min="90" max="90" width="13.140625" bestFit="1" customWidth="1"/>
    <col min="91" max="91" width="12.85546875" bestFit="1" customWidth="1"/>
    <col min="92" max="92" width="14.140625" bestFit="1" customWidth="1"/>
    <col min="93" max="93" width="16.7109375" bestFit="1" customWidth="1" collapsed="1"/>
    <col min="94" max="94" width="15.42578125" bestFit="1" customWidth="1"/>
    <col min="95" max="95" width="15.5703125" bestFit="1" customWidth="1"/>
    <col min="96" max="96" width="16.140625" bestFit="1" customWidth="1"/>
    <col min="97" max="97" width="19.140625" bestFit="1" customWidth="1"/>
    <col min="98" max="98" width="13.7109375" bestFit="1" customWidth="1"/>
    <col min="99" max="99" width="15.140625" bestFit="1" customWidth="1"/>
    <col min="100" max="100" width="15.7109375" bestFit="1" customWidth="1"/>
    <col min="101" max="101" width="13.5703125" bestFit="1" customWidth="1" collapsed="1"/>
    <col min="102" max="102" width="16.28515625" bestFit="1" customWidth="1"/>
    <col min="103" max="103" width="17.28515625" bestFit="1" customWidth="1"/>
    <col min="104" max="104" width="17.42578125" bestFit="1" customWidth="1"/>
    <col min="105" max="105" width="18.42578125" bestFit="1" customWidth="1"/>
    <col min="106" max="106" width="17.140625" bestFit="1" customWidth="1"/>
    <col min="107" max="107" width="16.85546875" bestFit="1" customWidth="1"/>
    <col min="108" max="108" width="17.7109375" bestFit="1" customWidth="1"/>
    <col min="109" max="109" width="18.140625" bestFit="1" customWidth="1"/>
    <col min="110" max="110" width="19.140625" bestFit="1" customWidth="1"/>
    <col min="111" max="111" width="18.140625" bestFit="1" customWidth="1"/>
    <col min="112" max="112" width="18.42578125" bestFit="1" customWidth="1"/>
    <col min="113" max="113" width="18.5703125" bestFit="1" customWidth="1"/>
    <col min="114" max="114" width="19.140625" bestFit="1" customWidth="1"/>
    <col min="115" max="115" width="18.85546875" bestFit="1" customWidth="1"/>
    <col min="116" max="116" width="19" bestFit="1" customWidth="1"/>
    <col min="117" max="117" width="16.5703125" bestFit="1" customWidth="1"/>
    <col min="118" max="118" width="16.85546875" bestFit="1" customWidth="1"/>
    <col min="119" max="119" width="16.5703125" bestFit="1" customWidth="1"/>
    <col min="120" max="120" width="17.7109375" bestFit="1" customWidth="1"/>
    <col min="121" max="121" width="20.42578125" bestFit="1" customWidth="1" collapsed="1"/>
    <col min="122" max="123" width="19.140625" bestFit="1" customWidth="1"/>
    <col min="124" max="124" width="19.85546875" bestFit="1" customWidth="1"/>
    <col min="125" max="125" width="24.85546875" bestFit="1" customWidth="1"/>
    <col min="126" max="126" width="19.28515625" bestFit="1" customWidth="1"/>
    <col min="127" max="127" width="20.85546875" bestFit="1" customWidth="1"/>
    <col min="128" max="128" width="21.28515625" bestFit="1" customWidth="1"/>
    <col min="129" max="129" width="19.140625" bestFit="1" customWidth="1" collapsed="1"/>
    <col min="130" max="130" width="21.85546875" bestFit="1" customWidth="1"/>
    <col min="131" max="132" width="22.85546875" bestFit="1" customWidth="1"/>
    <col min="133" max="133" width="24" bestFit="1" customWidth="1"/>
    <col min="134" max="134" width="22.7109375" bestFit="1" customWidth="1"/>
    <col min="135" max="135" width="22.42578125" bestFit="1" customWidth="1"/>
    <col min="136" max="136" width="23.42578125" bestFit="1" customWidth="1"/>
    <col min="137" max="137" width="23.7109375" bestFit="1" customWidth="1"/>
    <col min="138" max="138" width="24.7109375" bestFit="1" customWidth="1"/>
    <col min="139" max="139" width="23.7109375" bestFit="1" customWidth="1"/>
    <col min="140" max="140" width="24.140625" bestFit="1" customWidth="1"/>
    <col min="141" max="141" width="24.42578125" bestFit="1" customWidth="1"/>
    <col min="142" max="142" width="24.85546875" bestFit="1" customWidth="1"/>
    <col min="143" max="144" width="24.5703125" bestFit="1" customWidth="1"/>
    <col min="145" max="146" width="22.140625" bestFit="1" customWidth="1"/>
    <col min="147" max="147" width="22.42578125" bestFit="1" customWidth="1"/>
    <col min="148" max="148" width="23.42578125" bestFit="1" customWidth="1"/>
    <col min="149" max="149" width="25.85546875" bestFit="1" customWidth="1" collapsed="1"/>
    <col min="150" max="150" width="24.7109375" bestFit="1" customWidth="1"/>
    <col min="151" max="151" width="24.85546875" bestFit="1" customWidth="1"/>
    <col min="152" max="152" width="25.42578125" bestFit="1" customWidth="1"/>
    <col min="153" max="153" width="15.85546875" bestFit="1" customWidth="1"/>
    <col min="154" max="154" width="10.5703125" bestFit="1" customWidth="1"/>
    <col min="155" max="155" width="17.85546875" bestFit="1" customWidth="1"/>
    <col min="156" max="156" width="14.42578125" bestFit="1" customWidth="1"/>
    <col min="157" max="157" width="16.140625" bestFit="1" customWidth="1"/>
    <col min="158" max="158" width="14.85546875" bestFit="1" customWidth="1"/>
    <col min="159" max="159" width="10.140625" bestFit="1" customWidth="1"/>
    <col min="160" max="160" width="24.42578125" bestFit="1" customWidth="1"/>
    <col min="161" max="161" width="13.7109375" bestFit="1" customWidth="1"/>
    <col min="167" max="167" width="24.7109375" bestFit="1" customWidth="1"/>
    <col min="170" max="170" width="19.85546875" bestFit="1" customWidth="1"/>
    <col min="171" max="171" width="25.42578125" bestFit="1" customWidth="1"/>
    <col min="172" max="172" width="19.140625" bestFit="1" customWidth="1"/>
    <col min="174" max="174" width="15.5703125" bestFit="1" customWidth="1"/>
    <col min="176" max="176" width="24.85546875" bestFit="1" customWidth="1"/>
    <col min="177" max="177" width="16.140625" bestFit="1" customWidth="1"/>
    <col min="178" max="178" width="19.85546875" bestFit="1" customWidth="1"/>
    <col min="179" max="179" width="25.42578125" bestFit="1" customWidth="1"/>
    <col min="180" max="180" width="16.140625" bestFit="1" customWidth="1"/>
    <col min="182" max="182" width="19.140625" bestFit="1" customWidth="1"/>
    <col min="183" max="183" width="24.85546875" bestFit="1" customWidth="1"/>
    <col min="184" max="184" width="16.5703125" bestFit="1" customWidth="1"/>
    <col min="185" max="185" width="16.140625" bestFit="1" customWidth="1"/>
    <col min="186" max="186" width="19.85546875" bestFit="1" customWidth="1"/>
    <col min="187" max="187" width="25.42578125" bestFit="1" customWidth="1"/>
    <col min="192" max="192" width="13.5703125" bestFit="1" customWidth="1"/>
    <col min="193" max="193" width="17.140625" bestFit="1" customWidth="1"/>
    <col min="194" max="194" width="22.7109375" bestFit="1" customWidth="1"/>
    <col min="195" max="195" width="13.140625" customWidth="1"/>
    <col min="196" max="200" width="10.28515625" customWidth="1"/>
    <col min="201" max="201" width="9.28515625" customWidth="1"/>
    <col min="202" max="206" width="14.28515625" customWidth="1"/>
    <col min="207" max="207" width="13.28515625" customWidth="1"/>
    <col min="208" max="208" width="17.7109375" bestFit="1" customWidth="1"/>
    <col min="209" max="209" width="19.85546875" customWidth="1"/>
    <col min="210" max="210" width="14.28515625" customWidth="1"/>
    <col min="211" max="211" width="31" customWidth="1"/>
    <col min="212" max="212" width="11.5703125" bestFit="1" customWidth="1"/>
    <col min="213" max="213" width="19.140625" bestFit="1" customWidth="1"/>
    <col min="214" max="214" width="46.5703125" customWidth="1"/>
    <col min="215" max="215" width="49" customWidth="1"/>
    <col min="216" max="216" width="46.5703125" customWidth="1"/>
    <col min="217" max="217" width="22.42578125" customWidth="1"/>
    <col min="218" max="218" width="16.28515625" customWidth="1"/>
    <col min="219" max="219" width="14.7109375" customWidth="1"/>
    <col min="220" max="220" width="20.7109375" customWidth="1"/>
    <col min="221" max="221" width="15.7109375" customWidth="1"/>
    <col min="222" max="222" width="20.5703125" customWidth="1"/>
    <col min="223" max="223" width="9.5703125" customWidth="1"/>
    <col min="224" max="224" width="7.7109375" customWidth="1"/>
    <col min="225" max="225" width="13.7109375" customWidth="1"/>
    <col min="227" max="227" width="10.5703125" customWidth="1"/>
    <col min="228" max="228" width="12.42578125" customWidth="1"/>
    <col min="229" max="230" width="11.7109375" customWidth="1"/>
    <col min="231" max="231" width="13.42578125" customWidth="1"/>
    <col min="232" max="232" width="13" customWidth="1"/>
    <col min="233" max="233" width="14.7109375" customWidth="1"/>
    <col min="234" max="234" width="15.5703125" customWidth="1"/>
    <col min="235" max="235" width="16.7109375" customWidth="1"/>
    <col min="236" max="236" width="17.42578125" customWidth="1"/>
    <col min="237" max="237" width="18.5703125" customWidth="1"/>
    <col min="238" max="238" width="14.7109375" customWidth="1"/>
    <col min="239" max="239" width="13.85546875" customWidth="1"/>
    <col min="240" max="240" width="16.5703125" customWidth="1"/>
    <col min="241" max="241" width="16.7109375" customWidth="1"/>
    <col min="242" max="242" width="12.28515625" bestFit="1" customWidth="1"/>
    <col min="243" max="244" width="11.42578125" bestFit="1" customWidth="1"/>
    <col min="245" max="245" width="14.42578125" bestFit="1" customWidth="1"/>
    <col min="246" max="246" width="15.42578125" bestFit="1" customWidth="1"/>
    <col min="247" max="248" width="11.85546875" bestFit="1" customWidth="1"/>
    <col min="249" max="249" width="16.42578125" bestFit="1" customWidth="1"/>
    <col min="250" max="250" width="13.28515625" bestFit="1" customWidth="1"/>
    <col min="251" max="252" width="12.85546875" bestFit="1" customWidth="1"/>
  </cols>
  <sheetData>
    <row r="1" spans="1:173">
      <c r="F1">
        <f>SUBTOTAL(9,Table_ExternalData_1141214[Dist_Stock])</f>
        <v>112658</v>
      </c>
      <c r="G1">
        <f>SUBTOTAL(9,Table_ExternalData_1141214[Dist_Receipt])</f>
        <v>122780</v>
      </c>
      <c r="K1">
        <f>SUM(Table_ExternalData_1141214[SAP])/50000</f>
        <v>11.273199999999999</v>
      </c>
      <c r="M1">
        <f>SUBTOTAL(9,Table_ExternalData_1141214[Final_Stock])</f>
        <v>112658</v>
      </c>
      <c r="FF1" s="294"/>
      <c r="FG1" s="294"/>
      <c r="FH1" s="294"/>
      <c r="FI1" s="294"/>
      <c r="FJ1" s="294"/>
      <c r="FK1" s="294"/>
      <c r="FL1" s="294"/>
      <c r="FM1" s="294"/>
      <c r="FN1" s="294"/>
      <c r="FO1" s="294"/>
      <c r="FP1" s="294"/>
      <c r="FQ1" s="294"/>
    </row>
    <row r="2" spans="1:173">
      <c r="A2" t="s">
        <v>119</v>
      </c>
      <c r="B2" t="s">
        <v>334</v>
      </c>
      <c r="C2" t="s">
        <v>335</v>
      </c>
      <c r="D2" t="s">
        <v>27</v>
      </c>
      <c r="E2" t="s">
        <v>69</v>
      </c>
      <c r="F2" t="s">
        <v>367</v>
      </c>
      <c r="G2" t="s">
        <v>368</v>
      </c>
      <c r="H2" t="s">
        <v>369</v>
      </c>
      <c r="I2" t="s">
        <v>370</v>
      </c>
      <c r="J2" t="s">
        <v>371</v>
      </c>
      <c r="K2" t="s">
        <v>243</v>
      </c>
      <c r="L2" t="s">
        <v>372</v>
      </c>
      <c r="M2" t="s">
        <v>373</v>
      </c>
    </row>
    <row r="3" spans="1:173" hidden="1">
      <c r="A3" s="295" t="s">
        <v>124</v>
      </c>
      <c r="B3" t="s">
        <v>336</v>
      </c>
      <c r="C3" t="s">
        <v>337</v>
      </c>
      <c r="D3" t="s">
        <v>44</v>
      </c>
      <c r="E3" t="s">
        <v>85</v>
      </c>
      <c r="F3">
        <v>577</v>
      </c>
      <c r="G3">
        <v>500</v>
      </c>
      <c r="H3">
        <v>26.877551</v>
      </c>
      <c r="I3">
        <v>456</v>
      </c>
      <c r="J3" t="str">
        <f>Table_ExternalData_1141214[[#This Row],[DIST_CD]]&amp;Table_ExternalData_1141214[[#This Row],[SKU]]</f>
        <v>S102MV_SB</v>
      </c>
      <c r="K3">
        <f>IFERROR(VLOOKUP(Table_ExternalData_1141214[[#This Row],[Chk]],'Weekly by Dist'!A:B,2,0),0)</f>
        <v>0</v>
      </c>
      <c r="L3">
        <f>Table_ExternalData_1141214[[#This Row],[SAP]]-Table_ExternalData_1141214[[#This Row],[Dist_Receipt]]</f>
        <v>-500</v>
      </c>
      <c r="M3">
        <f>IF(Table_ExternalData_1141214[[#This Row],[Diff]]&gt;0,Table_ExternalData_1141214[[#This Row],[Dist_Stock]]+Table_ExternalData_1141214[[#This Row],[Diff]],Table_ExternalData_1141214[[#This Row],[Dist_Stock]])</f>
        <v>577</v>
      </c>
    </row>
    <row r="4" spans="1:173" hidden="1">
      <c r="A4" s="295" t="s">
        <v>124</v>
      </c>
      <c r="B4" t="s">
        <v>336</v>
      </c>
      <c r="C4" t="s">
        <v>337</v>
      </c>
      <c r="D4" t="s">
        <v>263</v>
      </c>
      <c r="E4" t="s">
        <v>186</v>
      </c>
      <c r="F4">
        <v>15193</v>
      </c>
      <c r="G4">
        <v>30150</v>
      </c>
      <c r="H4">
        <v>1645.6326529999999</v>
      </c>
      <c r="I4">
        <v>41281</v>
      </c>
      <c r="J4" t="str">
        <f>Table_ExternalData_1141214[[#This Row],[DIST_CD]]&amp;Table_ExternalData_1141214[[#This Row],[SKU]]</f>
        <v>S102CM_FF</v>
      </c>
      <c r="K4">
        <f>IFERROR(VLOOKUP(Table_ExternalData_1141214[[#This Row],[Chk]],'Weekly by Dist'!A:B,2,0),0)</f>
        <v>10150</v>
      </c>
      <c r="L4">
        <f>Table_ExternalData_1141214[[#This Row],[SAP]]-Table_ExternalData_1141214[[#This Row],[Dist_Receipt]]</f>
        <v>-20000</v>
      </c>
      <c r="M4">
        <f>IF(Table_ExternalData_1141214[[#This Row],[Diff]]&gt;0,Table_ExternalData_1141214[[#This Row],[Dist_Stock]]+Table_ExternalData_1141214[[#This Row],[Diff]],Table_ExternalData_1141214[[#This Row],[Dist_Stock]])</f>
        <v>15193</v>
      </c>
    </row>
    <row r="5" spans="1:173" hidden="1">
      <c r="A5" s="295" t="s">
        <v>124</v>
      </c>
      <c r="B5" t="s">
        <v>336</v>
      </c>
      <c r="C5" t="s">
        <v>337</v>
      </c>
      <c r="D5" t="s">
        <v>264</v>
      </c>
      <c r="E5" t="s">
        <v>189</v>
      </c>
      <c r="F5">
        <v>937</v>
      </c>
      <c r="G5">
        <v>1000</v>
      </c>
      <c r="H5">
        <v>79.367345999999998</v>
      </c>
      <c r="I5">
        <v>1856</v>
      </c>
      <c r="J5" t="str">
        <f>Table_ExternalData_1141214[[#This Row],[DIST_CD]]&amp;Table_ExternalData_1141214[[#This Row],[SKU]]</f>
        <v>S102CMHD_GR</v>
      </c>
      <c r="K5">
        <f>IFERROR(VLOOKUP(Table_ExternalData_1141214[[#This Row],[Chk]],'Weekly by Dist'!A:B,2,0),0)</f>
        <v>0</v>
      </c>
      <c r="L5">
        <f>Table_ExternalData_1141214[[#This Row],[SAP]]-Table_ExternalData_1141214[[#This Row],[Dist_Receipt]]</f>
        <v>-1000</v>
      </c>
      <c r="M5">
        <f>IF(Table_ExternalData_1141214[[#This Row],[Diff]]&gt;0,Table_ExternalData_1141214[[#This Row],[Dist_Stock]]+Table_ExternalData_1141214[[#This Row],[Diff]],Table_ExternalData_1141214[[#This Row],[Dist_Stock]])</f>
        <v>937</v>
      </c>
    </row>
    <row r="6" spans="1:173" hidden="1">
      <c r="A6" s="295" t="s">
        <v>124</v>
      </c>
      <c r="B6" t="s">
        <v>336</v>
      </c>
      <c r="C6" t="s">
        <v>337</v>
      </c>
      <c r="D6" t="s">
        <v>264</v>
      </c>
      <c r="E6" t="s">
        <v>188</v>
      </c>
      <c r="F6">
        <v>3105</v>
      </c>
      <c r="G6">
        <v>8000</v>
      </c>
      <c r="H6">
        <v>356.16326500000002</v>
      </c>
      <c r="I6">
        <v>7530</v>
      </c>
      <c r="J6" t="str">
        <f>Table_ExternalData_1141214[[#This Row],[DIST_CD]]&amp;Table_ExternalData_1141214[[#This Row],[SKU]]</f>
        <v>S102CMHD_YL</v>
      </c>
      <c r="K6">
        <f>IFERROR(VLOOKUP(Table_ExternalData_1141214[[#This Row],[Chk]],'Weekly by Dist'!A:B,2,0),0)</f>
        <v>2500</v>
      </c>
      <c r="L6">
        <f>Table_ExternalData_1141214[[#This Row],[SAP]]-Table_ExternalData_1141214[[#This Row],[Dist_Receipt]]</f>
        <v>-5500</v>
      </c>
      <c r="M6">
        <f>IF(Table_ExternalData_1141214[[#This Row],[Diff]]&gt;0,Table_ExternalData_1141214[[#This Row],[Dist_Stock]]+Table_ExternalData_1141214[[#This Row],[Diff]],Table_ExternalData_1141214[[#This Row],[Dist_Stock]])</f>
        <v>3105</v>
      </c>
    </row>
    <row r="7" spans="1:173" hidden="1">
      <c r="A7" s="295" t="s">
        <v>124</v>
      </c>
      <c r="B7" t="s">
        <v>336</v>
      </c>
      <c r="C7" t="s">
        <v>337</v>
      </c>
      <c r="D7" t="s">
        <v>46</v>
      </c>
      <c r="E7" t="s">
        <v>93</v>
      </c>
      <c r="F7">
        <v>4131</v>
      </c>
      <c r="G7">
        <v>5500</v>
      </c>
      <c r="H7">
        <v>272.10203999999999</v>
      </c>
      <c r="I7">
        <v>7099</v>
      </c>
      <c r="J7" t="str">
        <f>Table_ExternalData_1141214[[#This Row],[DIST_CD]]&amp;Table_ExternalData_1141214[[#This Row],[SKU]]</f>
        <v>S102WICO_GR</v>
      </c>
      <c r="K7">
        <f>IFERROR(VLOOKUP(Table_ExternalData_1141214[[#This Row],[Chk]],'Weekly by Dist'!A:B,2,0),0)</f>
        <v>0</v>
      </c>
      <c r="L7">
        <f>Table_ExternalData_1141214[[#This Row],[SAP]]-Table_ExternalData_1141214[[#This Row],[Dist_Receipt]]</f>
        <v>-5500</v>
      </c>
      <c r="M7">
        <f>IF(Table_ExternalData_1141214[[#This Row],[Diff]]&gt;0,Table_ExternalData_1141214[[#This Row],[Dist_Stock]]+Table_ExternalData_1141214[[#This Row],[Diff]],Table_ExternalData_1141214[[#This Row],[Dist_Stock]])</f>
        <v>4131</v>
      </c>
    </row>
    <row r="8" spans="1:173" hidden="1">
      <c r="A8" s="295" t="s">
        <v>124</v>
      </c>
      <c r="B8" t="s">
        <v>336</v>
      </c>
      <c r="C8" t="s">
        <v>337</v>
      </c>
      <c r="D8" t="s">
        <v>44</v>
      </c>
      <c r="E8" t="s">
        <v>83</v>
      </c>
      <c r="F8">
        <v>250</v>
      </c>
      <c r="G8">
        <v>350</v>
      </c>
      <c r="H8">
        <v>12.857142</v>
      </c>
      <c r="I8">
        <v>389</v>
      </c>
      <c r="J8" t="str">
        <f>Table_ExternalData_1141214[[#This Row],[DIST_CD]]&amp;Table_ExternalData_1141214[[#This Row],[SKU]]</f>
        <v>S102MV_OB</v>
      </c>
      <c r="K8">
        <f>IFERROR(VLOOKUP(Table_ExternalData_1141214[[#This Row],[Chk]],'Weekly by Dist'!A:B,2,0),0)</f>
        <v>150</v>
      </c>
      <c r="L8">
        <f>Table_ExternalData_1141214[[#This Row],[SAP]]-Table_ExternalData_1141214[[#This Row],[Dist_Receipt]]</f>
        <v>-200</v>
      </c>
      <c r="M8">
        <f>IF(Table_ExternalData_1141214[[#This Row],[Diff]]&gt;0,Table_ExternalData_1141214[[#This Row],[Dist_Stock]]+Table_ExternalData_1141214[[#This Row],[Diff]],Table_ExternalData_1141214[[#This Row],[Dist_Stock]])</f>
        <v>250</v>
      </c>
    </row>
    <row r="9" spans="1:173" hidden="1">
      <c r="A9" s="295" t="s">
        <v>124</v>
      </c>
      <c r="B9" t="s">
        <v>336</v>
      </c>
      <c r="C9" t="s">
        <v>337</v>
      </c>
      <c r="D9" t="s">
        <v>263</v>
      </c>
      <c r="E9" t="s">
        <v>187</v>
      </c>
      <c r="F9">
        <v>5234</v>
      </c>
      <c r="G9">
        <v>6500</v>
      </c>
      <c r="H9">
        <v>302.65306099999998</v>
      </c>
      <c r="I9">
        <v>7088</v>
      </c>
      <c r="J9" t="str">
        <f>Table_ExternalData_1141214[[#This Row],[DIST_CD]]&amp;Table_ExternalData_1141214[[#This Row],[SKU]]</f>
        <v>S102CM_MN</v>
      </c>
      <c r="K9">
        <f>IFERROR(VLOOKUP(Table_ExternalData_1141214[[#This Row],[Chk]],'Weekly by Dist'!A:B,2,0),0)</f>
        <v>2000</v>
      </c>
      <c r="L9">
        <f>Table_ExternalData_1141214[[#This Row],[SAP]]-Table_ExternalData_1141214[[#This Row],[Dist_Receipt]]</f>
        <v>-4500</v>
      </c>
      <c r="M9">
        <f>IF(Table_ExternalData_1141214[[#This Row],[Diff]]&gt;0,Table_ExternalData_1141214[[#This Row],[Dist_Stock]]+Table_ExternalData_1141214[[#This Row],[Diff]],Table_ExternalData_1141214[[#This Row],[Dist_Stock]])</f>
        <v>5234</v>
      </c>
    </row>
    <row r="10" spans="1:173" hidden="1">
      <c r="A10" s="295" t="s">
        <v>124</v>
      </c>
      <c r="B10" t="s">
        <v>336</v>
      </c>
      <c r="C10" t="s">
        <v>337</v>
      </c>
      <c r="D10" t="s">
        <v>263</v>
      </c>
      <c r="E10" t="s">
        <v>184</v>
      </c>
      <c r="F10">
        <v>4487</v>
      </c>
      <c r="G10">
        <v>7500</v>
      </c>
      <c r="H10">
        <v>407.73469299999999</v>
      </c>
      <c r="I10">
        <v>10656</v>
      </c>
      <c r="J10" t="str">
        <f>Table_ExternalData_1141214[[#This Row],[DIST_CD]]&amp;Table_ExternalData_1141214[[#This Row],[SKU]]</f>
        <v>S102CM_BL</v>
      </c>
      <c r="K10">
        <f>IFERROR(VLOOKUP(Table_ExternalData_1141214[[#This Row],[Chk]],'Weekly by Dist'!A:B,2,0),0)</f>
        <v>0</v>
      </c>
      <c r="L10">
        <f>Table_ExternalData_1141214[[#This Row],[SAP]]-Table_ExternalData_1141214[[#This Row],[Dist_Receipt]]</f>
        <v>-7500</v>
      </c>
      <c r="M10">
        <f>IF(Table_ExternalData_1141214[[#This Row],[Diff]]&gt;0,Table_ExternalData_1141214[[#This Row],[Dist_Stock]]+Table_ExternalData_1141214[[#This Row],[Diff]],Table_ExternalData_1141214[[#This Row],[Dist_Stock]])</f>
        <v>4487</v>
      </c>
    </row>
    <row r="11" spans="1:173" hidden="1">
      <c r="A11" s="295" t="s">
        <v>124</v>
      </c>
      <c r="B11" t="s">
        <v>336</v>
      </c>
      <c r="C11" t="s">
        <v>337</v>
      </c>
      <c r="D11" t="s">
        <v>45</v>
      </c>
      <c r="E11" t="s">
        <v>88</v>
      </c>
      <c r="F11">
        <v>340</v>
      </c>
      <c r="G11">
        <v>500</v>
      </c>
      <c r="H11">
        <v>6.32653</v>
      </c>
      <c r="I11">
        <v>150</v>
      </c>
      <c r="J11" t="str">
        <f>Table_ExternalData_1141214[[#This Row],[DIST_CD]]&amp;Table_ExternalData_1141214[[#This Row],[SKU]]</f>
        <v>S102WIKS_BL</v>
      </c>
      <c r="K11">
        <f>IFERROR(VLOOKUP(Table_ExternalData_1141214[[#This Row],[Chk]],'Weekly by Dist'!A:B,2,0),0)</f>
        <v>0</v>
      </c>
      <c r="L11">
        <f>Table_ExternalData_1141214[[#This Row],[SAP]]-Table_ExternalData_1141214[[#This Row],[Dist_Receipt]]</f>
        <v>-500</v>
      </c>
      <c r="M11">
        <f>IF(Table_ExternalData_1141214[[#This Row],[Diff]]&gt;0,Table_ExternalData_1141214[[#This Row],[Dist_Stock]]+Table_ExternalData_1141214[[#This Row],[Diff]],Table_ExternalData_1141214[[#This Row],[Dist_Stock]])</f>
        <v>340</v>
      </c>
    </row>
    <row r="12" spans="1:173" hidden="1">
      <c r="A12" s="295" t="s">
        <v>124</v>
      </c>
      <c r="B12" t="s">
        <v>336</v>
      </c>
      <c r="C12" t="s">
        <v>337</v>
      </c>
      <c r="D12" t="s">
        <v>46</v>
      </c>
      <c r="E12" t="s">
        <v>92</v>
      </c>
      <c r="F12">
        <v>3501</v>
      </c>
      <c r="G12">
        <v>5000</v>
      </c>
      <c r="H12">
        <v>197.91836699999999</v>
      </c>
      <c r="I12">
        <v>4848</v>
      </c>
      <c r="J12" t="str">
        <f>Table_ExternalData_1141214[[#This Row],[DIST_CD]]&amp;Table_ExternalData_1141214[[#This Row],[SKU]]</f>
        <v>S102WICO_BL</v>
      </c>
      <c r="K12">
        <f>IFERROR(VLOOKUP(Table_ExternalData_1141214[[#This Row],[Chk]],'Weekly by Dist'!A:B,2,0),0)</f>
        <v>0</v>
      </c>
      <c r="L12">
        <f>Table_ExternalData_1141214[[#This Row],[SAP]]-Table_ExternalData_1141214[[#This Row],[Dist_Receipt]]</f>
        <v>-5000</v>
      </c>
      <c r="M12">
        <f>IF(Table_ExternalData_1141214[[#This Row],[Diff]]&gt;0,Table_ExternalData_1141214[[#This Row],[Dist_Stock]]+Table_ExternalData_1141214[[#This Row],[Diff]],Table_ExternalData_1141214[[#This Row],[Dist_Stock]])</f>
        <v>3501</v>
      </c>
    </row>
    <row r="13" spans="1:173" hidden="1">
      <c r="A13" s="295" t="s">
        <v>124</v>
      </c>
      <c r="B13" t="s">
        <v>336</v>
      </c>
      <c r="C13" t="s">
        <v>337</v>
      </c>
      <c r="D13" t="s">
        <v>44</v>
      </c>
      <c r="E13" t="s">
        <v>84</v>
      </c>
      <c r="F13">
        <v>185</v>
      </c>
      <c r="G13">
        <v>200</v>
      </c>
      <c r="H13">
        <v>6.32653</v>
      </c>
      <c r="I13">
        <v>185</v>
      </c>
      <c r="J13" t="str">
        <f>Table_ExternalData_1141214[[#This Row],[DIST_CD]]&amp;Table_ExternalData_1141214[[#This Row],[SKU]]</f>
        <v>S102MV_OPT</v>
      </c>
      <c r="K13">
        <f>IFERROR(VLOOKUP(Table_ExternalData_1141214[[#This Row],[Chk]],'Weekly by Dist'!A:B,2,0),0)</f>
        <v>200</v>
      </c>
      <c r="L13">
        <f>Table_ExternalData_1141214[[#This Row],[SAP]]-Table_ExternalData_1141214[[#This Row],[Dist_Receipt]]</f>
        <v>0</v>
      </c>
      <c r="M13">
        <f>IF(Table_ExternalData_1141214[[#This Row],[Diff]]&gt;0,Table_ExternalData_1141214[[#This Row],[Dist_Stock]]+Table_ExternalData_1141214[[#This Row],[Diff]],Table_ExternalData_1141214[[#This Row],[Dist_Stock]])</f>
        <v>185</v>
      </c>
    </row>
    <row r="14" spans="1:173" hidden="1">
      <c r="A14" s="295" t="s">
        <v>124</v>
      </c>
      <c r="B14" t="s">
        <v>336</v>
      </c>
      <c r="C14" t="s">
        <v>337</v>
      </c>
      <c r="D14" t="s">
        <v>46</v>
      </c>
      <c r="E14" t="s">
        <v>94</v>
      </c>
      <c r="F14">
        <v>7297</v>
      </c>
      <c r="G14">
        <v>6000</v>
      </c>
      <c r="H14">
        <v>292.87755099999998</v>
      </c>
      <c r="I14">
        <v>7103</v>
      </c>
      <c r="J14" t="str">
        <f>Table_ExternalData_1141214[[#This Row],[DIST_CD]]&amp;Table_ExternalData_1141214[[#This Row],[SKU]]</f>
        <v>S102WICO_RE</v>
      </c>
      <c r="K14">
        <f>IFERROR(VLOOKUP(Table_ExternalData_1141214[[#This Row],[Chk]],'Weekly by Dist'!A:B,2,0),0)</f>
        <v>0</v>
      </c>
      <c r="L14">
        <f>Table_ExternalData_1141214[[#This Row],[SAP]]-Table_ExternalData_1141214[[#This Row],[Dist_Receipt]]</f>
        <v>-6000</v>
      </c>
      <c r="M14">
        <f>IF(Table_ExternalData_1141214[[#This Row],[Diff]]&gt;0,Table_ExternalData_1141214[[#This Row],[Dist_Stock]]+Table_ExternalData_1141214[[#This Row],[Diff]],Table_ExternalData_1141214[[#This Row],[Dist_Stock]])</f>
        <v>7297</v>
      </c>
    </row>
    <row r="15" spans="1:173" hidden="1">
      <c r="A15" s="295" t="s">
        <v>124</v>
      </c>
      <c r="B15" t="s">
        <v>338</v>
      </c>
      <c r="C15" t="s">
        <v>339</v>
      </c>
      <c r="D15" t="s">
        <v>46</v>
      </c>
      <c r="E15" t="s">
        <v>92</v>
      </c>
      <c r="F15">
        <v>1863</v>
      </c>
      <c r="G15">
        <v>6500</v>
      </c>
      <c r="H15">
        <v>277.75510200000002</v>
      </c>
      <c r="I15">
        <v>6393</v>
      </c>
      <c r="J15" t="str">
        <f>Table_ExternalData_1141214[[#This Row],[DIST_CD]]&amp;Table_ExternalData_1141214[[#This Row],[SKU]]</f>
        <v>S104WICO_BL</v>
      </c>
      <c r="K15">
        <f>IFERROR(VLOOKUP(Table_ExternalData_1141214[[#This Row],[Chk]],'Weekly by Dist'!A:B,2,0),0)</f>
        <v>1500</v>
      </c>
      <c r="L15">
        <f>Table_ExternalData_1141214[[#This Row],[SAP]]-Table_ExternalData_1141214[[#This Row],[Dist_Receipt]]</f>
        <v>-5000</v>
      </c>
      <c r="M15">
        <f>IF(Table_ExternalData_1141214[[#This Row],[Diff]]&gt;0,Table_ExternalData_1141214[[#This Row],[Dist_Stock]]+Table_ExternalData_1141214[[#This Row],[Diff]],Table_ExternalData_1141214[[#This Row],[Dist_Stock]])</f>
        <v>1863</v>
      </c>
    </row>
    <row r="16" spans="1:173" hidden="1">
      <c r="A16" s="295" t="s">
        <v>124</v>
      </c>
      <c r="B16" t="s">
        <v>338</v>
      </c>
      <c r="C16" t="s">
        <v>339</v>
      </c>
      <c r="D16" t="s">
        <v>46</v>
      </c>
      <c r="E16" t="s">
        <v>94</v>
      </c>
      <c r="F16">
        <v>2269</v>
      </c>
      <c r="G16">
        <v>10000</v>
      </c>
      <c r="H16">
        <v>374.57142800000003</v>
      </c>
      <c r="I16">
        <v>8169</v>
      </c>
      <c r="J16" t="str">
        <f>Table_ExternalData_1141214[[#This Row],[DIST_CD]]&amp;Table_ExternalData_1141214[[#This Row],[SKU]]</f>
        <v>S104WICO_RE</v>
      </c>
      <c r="K16">
        <f>IFERROR(VLOOKUP(Table_ExternalData_1141214[[#This Row],[Chk]],'Weekly by Dist'!A:B,2,0),0)</f>
        <v>2500</v>
      </c>
      <c r="L16">
        <f>Table_ExternalData_1141214[[#This Row],[SAP]]-Table_ExternalData_1141214[[#This Row],[Dist_Receipt]]</f>
        <v>-7500</v>
      </c>
      <c r="M16">
        <f>IF(Table_ExternalData_1141214[[#This Row],[Diff]]&gt;0,Table_ExternalData_1141214[[#This Row],[Dist_Stock]]+Table_ExternalData_1141214[[#This Row],[Diff]],Table_ExternalData_1141214[[#This Row],[Dist_Stock]])</f>
        <v>2269</v>
      </c>
    </row>
    <row r="17" spans="1:13" hidden="1">
      <c r="A17" s="295" t="s">
        <v>124</v>
      </c>
      <c r="B17" t="s">
        <v>338</v>
      </c>
      <c r="C17" t="s">
        <v>339</v>
      </c>
      <c r="D17" t="s">
        <v>44</v>
      </c>
      <c r="E17" t="s">
        <v>83</v>
      </c>
      <c r="F17">
        <v>50</v>
      </c>
      <c r="G17">
        <v>150</v>
      </c>
      <c r="H17">
        <v>8.1632650000000009</v>
      </c>
      <c r="I17">
        <v>150</v>
      </c>
      <c r="J17" t="str">
        <f>Table_ExternalData_1141214[[#This Row],[DIST_CD]]&amp;Table_ExternalData_1141214[[#This Row],[SKU]]</f>
        <v>S104MV_OB</v>
      </c>
      <c r="K17">
        <f>IFERROR(VLOOKUP(Table_ExternalData_1141214[[#This Row],[Chk]],'Weekly by Dist'!A:B,2,0),0)</f>
        <v>0</v>
      </c>
      <c r="L17">
        <f>Table_ExternalData_1141214[[#This Row],[SAP]]-Table_ExternalData_1141214[[#This Row],[Dist_Receipt]]</f>
        <v>-150</v>
      </c>
      <c r="M17">
        <f>IF(Table_ExternalData_1141214[[#This Row],[Diff]]&gt;0,Table_ExternalData_1141214[[#This Row],[Dist_Stock]]+Table_ExternalData_1141214[[#This Row],[Diff]],Table_ExternalData_1141214[[#This Row],[Dist_Stock]])</f>
        <v>50</v>
      </c>
    </row>
    <row r="18" spans="1:13" hidden="1">
      <c r="A18" s="295" t="s">
        <v>124</v>
      </c>
      <c r="B18" t="s">
        <v>338</v>
      </c>
      <c r="C18" t="s">
        <v>339</v>
      </c>
      <c r="D18" t="s">
        <v>44</v>
      </c>
      <c r="E18" t="s">
        <v>84</v>
      </c>
      <c r="F18">
        <v>50</v>
      </c>
      <c r="G18">
        <v>50</v>
      </c>
      <c r="H18">
        <v>1</v>
      </c>
      <c r="I18">
        <v>40</v>
      </c>
      <c r="J18" t="str">
        <f>Table_ExternalData_1141214[[#This Row],[DIST_CD]]&amp;Table_ExternalData_1141214[[#This Row],[SKU]]</f>
        <v>S104MV_OPT</v>
      </c>
      <c r="K18">
        <f>IFERROR(VLOOKUP(Table_ExternalData_1141214[[#This Row],[Chk]],'Weekly by Dist'!A:B,2,0),0)</f>
        <v>50</v>
      </c>
      <c r="L18">
        <f>Table_ExternalData_1141214[[#This Row],[SAP]]-Table_ExternalData_1141214[[#This Row],[Dist_Receipt]]</f>
        <v>0</v>
      </c>
      <c r="M18">
        <f>IF(Table_ExternalData_1141214[[#This Row],[Diff]]&gt;0,Table_ExternalData_1141214[[#This Row],[Dist_Stock]]+Table_ExternalData_1141214[[#This Row],[Diff]],Table_ExternalData_1141214[[#This Row],[Dist_Stock]])</f>
        <v>50</v>
      </c>
    </row>
    <row r="19" spans="1:13" hidden="1">
      <c r="A19" s="295" t="s">
        <v>124</v>
      </c>
      <c r="B19" t="s">
        <v>338</v>
      </c>
      <c r="C19" t="s">
        <v>339</v>
      </c>
      <c r="D19" t="s">
        <v>44</v>
      </c>
      <c r="E19" t="s">
        <v>85</v>
      </c>
      <c r="F19">
        <v>210</v>
      </c>
      <c r="G19">
        <v>500</v>
      </c>
      <c r="H19">
        <v>18.469387000000001</v>
      </c>
      <c r="I19">
        <v>560</v>
      </c>
      <c r="J19" t="str">
        <f>Table_ExternalData_1141214[[#This Row],[DIST_CD]]&amp;Table_ExternalData_1141214[[#This Row],[SKU]]</f>
        <v>S104MV_SB</v>
      </c>
      <c r="K19">
        <f>IFERROR(VLOOKUP(Table_ExternalData_1141214[[#This Row],[Chk]],'Weekly by Dist'!A:B,2,0),0)</f>
        <v>200</v>
      </c>
      <c r="L19">
        <f>Table_ExternalData_1141214[[#This Row],[SAP]]-Table_ExternalData_1141214[[#This Row],[Dist_Receipt]]</f>
        <v>-300</v>
      </c>
      <c r="M19">
        <f>IF(Table_ExternalData_1141214[[#This Row],[Diff]]&gt;0,Table_ExternalData_1141214[[#This Row],[Dist_Stock]]+Table_ExternalData_1141214[[#This Row],[Diff]],Table_ExternalData_1141214[[#This Row],[Dist_Stock]])</f>
        <v>210</v>
      </c>
    </row>
    <row r="20" spans="1:13" hidden="1">
      <c r="A20" s="295" t="s">
        <v>124</v>
      </c>
      <c r="B20" t="s">
        <v>338</v>
      </c>
      <c r="C20" t="s">
        <v>339</v>
      </c>
      <c r="D20" t="s">
        <v>263</v>
      </c>
      <c r="E20" t="s">
        <v>187</v>
      </c>
      <c r="F20">
        <v>2209</v>
      </c>
      <c r="G20">
        <v>6500</v>
      </c>
      <c r="H20">
        <v>261.183673</v>
      </c>
      <c r="I20">
        <v>8097</v>
      </c>
      <c r="J20" t="str">
        <f>Table_ExternalData_1141214[[#This Row],[DIST_CD]]&amp;Table_ExternalData_1141214[[#This Row],[SKU]]</f>
        <v>S104CM_MN</v>
      </c>
      <c r="K20">
        <f>IFERROR(VLOOKUP(Table_ExternalData_1141214[[#This Row],[Chk]],'Weekly by Dist'!A:B,2,0),0)</f>
        <v>1000</v>
      </c>
      <c r="L20">
        <f>Table_ExternalData_1141214[[#This Row],[SAP]]-Table_ExternalData_1141214[[#This Row],[Dist_Receipt]]</f>
        <v>-5500</v>
      </c>
      <c r="M20">
        <f>IF(Table_ExternalData_1141214[[#This Row],[Diff]]&gt;0,Table_ExternalData_1141214[[#This Row],[Dist_Stock]]+Table_ExternalData_1141214[[#This Row],[Diff]],Table_ExternalData_1141214[[#This Row],[Dist_Stock]])</f>
        <v>2209</v>
      </c>
    </row>
    <row r="21" spans="1:13" hidden="1">
      <c r="A21" s="295" t="s">
        <v>124</v>
      </c>
      <c r="B21" t="s">
        <v>338</v>
      </c>
      <c r="C21" t="s">
        <v>339</v>
      </c>
      <c r="D21" t="s">
        <v>46</v>
      </c>
      <c r="E21" t="s">
        <v>93</v>
      </c>
      <c r="F21">
        <v>2306</v>
      </c>
      <c r="G21">
        <v>9000</v>
      </c>
      <c r="H21">
        <v>355.26530600000001</v>
      </c>
      <c r="I21">
        <v>7069</v>
      </c>
      <c r="J21" t="str">
        <f>Table_ExternalData_1141214[[#This Row],[DIST_CD]]&amp;Table_ExternalData_1141214[[#This Row],[SKU]]</f>
        <v>S104WICO_GR</v>
      </c>
      <c r="K21">
        <f>IFERROR(VLOOKUP(Table_ExternalData_1141214[[#This Row],[Chk]],'Weekly by Dist'!A:B,2,0),0)</f>
        <v>2500</v>
      </c>
      <c r="L21">
        <f>Table_ExternalData_1141214[[#This Row],[SAP]]-Table_ExternalData_1141214[[#This Row],[Dist_Receipt]]</f>
        <v>-6500</v>
      </c>
      <c r="M21">
        <f>IF(Table_ExternalData_1141214[[#This Row],[Diff]]&gt;0,Table_ExternalData_1141214[[#This Row],[Dist_Stock]]+Table_ExternalData_1141214[[#This Row],[Diff]],Table_ExternalData_1141214[[#This Row],[Dist_Stock]])</f>
        <v>2306</v>
      </c>
    </row>
    <row r="22" spans="1:13" hidden="1">
      <c r="A22" s="295" t="s">
        <v>124</v>
      </c>
      <c r="B22" t="s">
        <v>338</v>
      </c>
      <c r="C22" t="s">
        <v>339</v>
      </c>
      <c r="D22" t="s">
        <v>264</v>
      </c>
      <c r="E22" t="s">
        <v>189</v>
      </c>
      <c r="F22">
        <v>714</v>
      </c>
      <c r="G22">
        <v>2950</v>
      </c>
      <c r="H22">
        <v>112.83673400000001</v>
      </c>
      <c r="I22">
        <v>2889</v>
      </c>
      <c r="J22" t="str">
        <f>Table_ExternalData_1141214[[#This Row],[DIST_CD]]&amp;Table_ExternalData_1141214[[#This Row],[SKU]]</f>
        <v>S104CMHD_GR</v>
      </c>
      <c r="K22">
        <f>IFERROR(VLOOKUP(Table_ExternalData_1141214[[#This Row],[Chk]],'Weekly by Dist'!A:B,2,0),0)</f>
        <v>500</v>
      </c>
      <c r="L22">
        <f>Table_ExternalData_1141214[[#This Row],[SAP]]-Table_ExternalData_1141214[[#This Row],[Dist_Receipt]]</f>
        <v>-2450</v>
      </c>
      <c r="M22">
        <f>IF(Table_ExternalData_1141214[[#This Row],[Diff]]&gt;0,Table_ExternalData_1141214[[#This Row],[Dist_Stock]]+Table_ExternalData_1141214[[#This Row],[Diff]],Table_ExternalData_1141214[[#This Row],[Dist_Stock]])</f>
        <v>714</v>
      </c>
    </row>
    <row r="23" spans="1:13" hidden="1">
      <c r="A23" s="295" t="s">
        <v>124</v>
      </c>
      <c r="B23" t="s">
        <v>338</v>
      </c>
      <c r="C23" t="s">
        <v>339</v>
      </c>
      <c r="D23" t="s">
        <v>263</v>
      </c>
      <c r="E23" t="s">
        <v>186</v>
      </c>
      <c r="F23">
        <v>9894</v>
      </c>
      <c r="G23">
        <v>68000</v>
      </c>
      <c r="H23">
        <v>2907.367346</v>
      </c>
      <c r="I23">
        <v>76756</v>
      </c>
      <c r="J23" t="str">
        <f>Table_ExternalData_1141214[[#This Row],[DIST_CD]]&amp;Table_ExternalData_1141214[[#This Row],[SKU]]</f>
        <v>S104CM_FF</v>
      </c>
      <c r="K23">
        <f>IFERROR(VLOOKUP(Table_ExternalData_1141214[[#This Row],[Chk]],'Weekly by Dist'!A:B,2,0),0)</f>
        <v>23500</v>
      </c>
      <c r="L23">
        <f>Table_ExternalData_1141214[[#This Row],[SAP]]-Table_ExternalData_1141214[[#This Row],[Dist_Receipt]]</f>
        <v>-44500</v>
      </c>
      <c r="M23">
        <f>IF(Table_ExternalData_1141214[[#This Row],[Diff]]&gt;0,Table_ExternalData_1141214[[#This Row],[Dist_Stock]]+Table_ExternalData_1141214[[#This Row],[Diff]],Table_ExternalData_1141214[[#This Row],[Dist_Stock]])</f>
        <v>9894</v>
      </c>
    </row>
    <row r="24" spans="1:13" hidden="1">
      <c r="A24" s="295" t="s">
        <v>124</v>
      </c>
      <c r="B24" t="s">
        <v>338</v>
      </c>
      <c r="C24" t="s">
        <v>339</v>
      </c>
      <c r="D24" t="s">
        <v>264</v>
      </c>
      <c r="E24" t="s">
        <v>188</v>
      </c>
      <c r="F24">
        <v>952</v>
      </c>
      <c r="G24">
        <v>19350</v>
      </c>
      <c r="H24">
        <v>687.61224400000003</v>
      </c>
      <c r="I24">
        <v>19191</v>
      </c>
      <c r="J24" t="str">
        <f>Table_ExternalData_1141214[[#This Row],[DIST_CD]]&amp;Table_ExternalData_1141214[[#This Row],[SKU]]</f>
        <v>S104CMHD_YL</v>
      </c>
      <c r="K24">
        <f>IFERROR(VLOOKUP(Table_ExternalData_1141214[[#This Row],[Chk]],'Weekly by Dist'!A:B,2,0),0)</f>
        <v>7000</v>
      </c>
      <c r="L24">
        <f>Table_ExternalData_1141214[[#This Row],[SAP]]-Table_ExternalData_1141214[[#This Row],[Dist_Receipt]]</f>
        <v>-12350</v>
      </c>
      <c r="M24">
        <f>IF(Table_ExternalData_1141214[[#This Row],[Diff]]&gt;0,Table_ExternalData_1141214[[#This Row],[Dist_Stock]]+Table_ExternalData_1141214[[#This Row],[Diff]],Table_ExternalData_1141214[[#This Row],[Dist_Stock]])</f>
        <v>952</v>
      </c>
    </row>
    <row r="25" spans="1:13" hidden="1">
      <c r="A25" s="295" t="s">
        <v>124</v>
      </c>
      <c r="B25" t="s">
        <v>338</v>
      </c>
      <c r="C25" t="s">
        <v>339</v>
      </c>
      <c r="D25" t="s">
        <v>263</v>
      </c>
      <c r="E25" t="s">
        <v>184</v>
      </c>
      <c r="F25">
        <v>2020</v>
      </c>
      <c r="G25">
        <v>10000</v>
      </c>
      <c r="H25">
        <v>472.57142800000003</v>
      </c>
      <c r="I25">
        <v>11443</v>
      </c>
      <c r="J25" t="str">
        <f>Table_ExternalData_1141214[[#This Row],[DIST_CD]]&amp;Table_ExternalData_1141214[[#This Row],[SKU]]</f>
        <v>S104CM_BL</v>
      </c>
      <c r="K25">
        <f>IFERROR(VLOOKUP(Table_ExternalData_1141214[[#This Row],[Chk]],'Weekly by Dist'!A:B,2,0),0)</f>
        <v>4000</v>
      </c>
      <c r="L25">
        <f>Table_ExternalData_1141214[[#This Row],[SAP]]-Table_ExternalData_1141214[[#This Row],[Dist_Receipt]]</f>
        <v>-6000</v>
      </c>
      <c r="M25">
        <f>IF(Table_ExternalData_1141214[[#This Row],[Diff]]&gt;0,Table_ExternalData_1141214[[#This Row],[Dist_Stock]]+Table_ExternalData_1141214[[#This Row],[Diff]],Table_ExternalData_1141214[[#This Row],[Dist_Stock]])</f>
        <v>2020</v>
      </c>
    </row>
    <row r="26" spans="1:13" hidden="1">
      <c r="A26" s="295" t="s">
        <v>124</v>
      </c>
      <c r="B26" t="s">
        <v>338</v>
      </c>
      <c r="C26" t="s">
        <v>339</v>
      </c>
      <c r="D26" t="s">
        <v>45</v>
      </c>
      <c r="E26" t="s">
        <v>88</v>
      </c>
      <c r="F26">
        <v>50</v>
      </c>
      <c r="G26">
        <v>0</v>
      </c>
      <c r="H26">
        <v>1.020408</v>
      </c>
      <c r="I26">
        <v>40</v>
      </c>
      <c r="J26" t="str">
        <f>Table_ExternalData_1141214[[#This Row],[DIST_CD]]&amp;Table_ExternalData_1141214[[#This Row],[SKU]]</f>
        <v>S104WIKS_BL</v>
      </c>
      <c r="K26">
        <f>IFERROR(VLOOKUP(Table_ExternalData_1141214[[#This Row],[Chk]],'Weekly by Dist'!A:B,2,0),0)</f>
        <v>0</v>
      </c>
      <c r="L26">
        <f>Table_ExternalData_1141214[[#This Row],[SAP]]-Table_ExternalData_1141214[[#This Row],[Dist_Receipt]]</f>
        <v>0</v>
      </c>
      <c r="M26">
        <f>IF(Table_ExternalData_1141214[[#This Row],[Diff]]&gt;0,Table_ExternalData_1141214[[#This Row],[Dist_Stock]]+Table_ExternalData_1141214[[#This Row],[Diff]],Table_ExternalData_1141214[[#This Row],[Dist_Stock]])</f>
        <v>50</v>
      </c>
    </row>
    <row r="27" spans="1:13" hidden="1">
      <c r="A27" s="295" t="s">
        <v>124</v>
      </c>
      <c r="B27" t="s">
        <v>340</v>
      </c>
      <c r="C27" t="s">
        <v>341</v>
      </c>
      <c r="D27" t="s">
        <v>46</v>
      </c>
      <c r="E27" t="s">
        <v>92</v>
      </c>
      <c r="F27">
        <v>2513</v>
      </c>
      <c r="G27">
        <v>4000</v>
      </c>
      <c r="H27">
        <v>263.816326</v>
      </c>
      <c r="I27">
        <v>6123</v>
      </c>
      <c r="J27" t="str">
        <f>Table_ExternalData_1141214[[#This Row],[DIST_CD]]&amp;Table_ExternalData_1141214[[#This Row],[SKU]]</f>
        <v>S105WICO_BL</v>
      </c>
      <c r="K27">
        <f>IFERROR(VLOOKUP(Table_ExternalData_1141214[[#This Row],[Chk]],'Weekly by Dist'!A:B,2,0),0)</f>
        <v>2000</v>
      </c>
      <c r="L27">
        <f>Table_ExternalData_1141214[[#This Row],[SAP]]-Table_ExternalData_1141214[[#This Row],[Dist_Receipt]]</f>
        <v>-2000</v>
      </c>
      <c r="M27">
        <f>IF(Table_ExternalData_1141214[[#This Row],[Diff]]&gt;0,Table_ExternalData_1141214[[#This Row],[Dist_Stock]]+Table_ExternalData_1141214[[#This Row],[Diff]],Table_ExternalData_1141214[[#This Row],[Dist_Stock]])</f>
        <v>2513</v>
      </c>
    </row>
    <row r="28" spans="1:13" hidden="1">
      <c r="A28" s="295" t="s">
        <v>124</v>
      </c>
      <c r="B28" t="s">
        <v>340</v>
      </c>
      <c r="C28" t="s">
        <v>341</v>
      </c>
      <c r="D28" t="s">
        <v>44</v>
      </c>
      <c r="E28" t="s">
        <v>85</v>
      </c>
      <c r="F28">
        <v>191</v>
      </c>
      <c r="G28">
        <v>200</v>
      </c>
      <c r="H28">
        <v>24.693877000000001</v>
      </c>
      <c r="I28">
        <v>610</v>
      </c>
      <c r="J28" t="str">
        <f>Table_ExternalData_1141214[[#This Row],[DIST_CD]]&amp;Table_ExternalData_1141214[[#This Row],[SKU]]</f>
        <v>S105MV_SB</v>
      </c>
      <c r="K28">
        <f>IFERROR(VLOOKUP(Table_ExternalData_1141214[[#This Row],[Chk]],'Weekly by Dist'!A:B,2,0),0)</f>
        <v>200</v>
      </c>
      <c r="L28">
        <f>Table_ExternalData_1141214[[#This Row],[SAP]]-Table_ExternalData_1141214[[#This Row],[Dist_Receipt]]</f>
        <v>0</v>
      </c>
      <c r="M28">
        <f>IF(Table_ExternalData_1141214[[#This Row],[Diff]]&gt;0,Table_ExternalData_1141214[[#This Row],[Dist_Stock]]+Table_ExternalData_1141214[[#This Row],[Diff]],Table_ExternalData_1141214[[#This Row],[Dist_Stock]])</f>
        <v>191</v>
      </c>
    </row>
    <row r="29" spans="1:13" hidden="1">
      <c r="A29" s="295" t="s">
        <v>124</v>
      </c>
      <c r="B29" t="s">
        <v>340</v>
      </c>
      <c r="C29" t="s">
        <v>341</v>
      </c>
      <c r="D29" t="s">
        <v>264</v>
      </c>
      <c r="E29" t="s">
        <v>189</v>
      </c>
      <c r="F29">
        <v>1851</v>
      </c>
      <c r="G29">
        <v>2500</v>
      </c>
      <c r="H29">
        <v>191.408163</v>
      </c>
      <c r="I29">
        <v>3373</v>
      </c>
      <c r="J29" t="str">
        <f>Table_ExternalData_1141214[[#This Row],[DIST_CD]]&amp;Table_ExternalData_1141214[[#This Row],[SKU]]</f>
        <v>S105CMHD_GR</v>
      </c>
      <c r="K29">
        <f>IFERROR(VLOOKUP(Table_ExternalData_1141214[[#This Row],[Chk]],'Weekly by Dist'!A:B,2,0),0)</f>
        <v>1000</v>
      </c>
      <c r="L29">
        <f>Table_ExternalData_1141214[[#This Row],[SAP]]-Table_ExternalData_1141214[[#This Row],[Dist_Receipt]]</f>
        <v>-1500</v>
      </c>
      <c r="M29">
        <f>IF(Table_ExternalData_1141214[[#This Row],[Diff]]&gt;0,Table_ExternalData_1141214[[#This Row],[Dist_Stock]]+Table_ExternalData_1141214[[#This Row],[Diff]],Table_ExternalData_1141214[[#This Row],[Dist_Stock]])</f>
        <v>1851</v>
      </c>
    </row>
    <row r="30" spans="1:13" hidden="1">
      <c r="A30" s="295" t="s">
        <v>124</v>
      </c>
      <c r="B30" t="s">
        <v>340</v>
      </c>
      <c r="C30" t="s">
        <v>341</v>
      </c>
      <c r="D30" t="s">
        <v>264</v>
      </c>
      <c r="E30" t="s">
        <v>188</v>
      </c>
      <c r="F30">
        <v>6700</v>
      </c>
      <c r="G30">
        <v>10500</v>
      </c>
      <c r="H30">
        <v>829.16326500000002</v>
      </c>
      <c r="I30">
        <v>16615</v>
      </c>
      <c r="J30" t="str">
        <f>Table_ExternalData_1141214[[#This Row],[DIST_CD]]&amp;Table_ExternalData_1141214[[#This Row],[SKU]]</f>
        <v>S105CMHD_YL</v>
      </c>
      <c r="K30">
        <f>IFERROR(VLOOKUP(Table_ExternalData_1141214[[#This Row],[Chk]],'Weekly by Dist'!A:B,2,0),0)</f>
        <v>3500</v>
      </c>
      <c r="L30">
        <f>Table_ExternalData_1141214[[#This Row],[SAP]]-Table_ExternalData_1141214[[#This Row],[Dist_Receipt]]</f>
        <v>-7000</v>
      </c>
      <c r="M30">
        <f>IF(Table_ExternalData_1141214[[#This Row],[Diff]]&gt;0,Table_ExternalData_1141214[[#This Row],[Dist_Stock]]+Table_ExternalData_1141214[[#This Row],[Diff]],Table_ExternalData_1141214[[#This Row],[Dist_Stock]])</f>
        <v>6700</v>
      </c>
    </row>
    <row r="31" spans="1:13" hidden="1">
      <c r="A31" s="295" t="s">
        <v>124</v>
      </c>
      <c r="B31" t="s">
        <v>340</v>
      </c>
      <c r="C31" t="s">
        <v>341</v>
      </c>
      <c r="D31" t="s">
        <v>263</v>
      </c>
      <c r="E31" t="s">
        <v>184</v>
      </c>
      <c r="F31">
        <v>4536</v>
      </c>
      <c r="G31">
        <v>5500</v>
      </c>
      <c r="H31">
        <v>412</v>
      </c>
      <c r="I31">
        <v>9388</v>
      </c>
      <c r="J31" t="str">
        <f>Table_ExternalData_1141214[[#This Row],[DIST_CD]]&amp;Table_ExternalData_1141214[[#This Row],[SKU]]</f>
        <v>S105CM_BL</v>
      </c>
      <c r="K31">
        <f>IFERROR(VLOOKUP(Table_ExternalData_1141214[[#This Row],[Chk]],'Weekly by Dist'!A:B,2,0),0)</f>
        <v>1500</v>
      </c>
      <c r="L31">
        <f>Table_ExternalData_1141214[[#This Row],[SAP]]-Table_ExternalData_1141214[[#This Row],[Dist_Receipt]]</f>
        <v>-4000</v>
      </c>
      <c r="M31">
        <f>IF(Table_ExternalData_1141214[[#This Row],[Diff]]&gt;0,Table_ExternalData_1141214[[#This Row],[Dist_Stock]]+Table_ExternalData_1141214[[#This Row],[Diff]],Table_ExternalData_1141214[[#This Row],[Dist_Stock]])</f>
        <v>4536</v>
      </c>
    </row>
    <row r="32" spans="1:13" hidden="1">
      <c r="A32" s="295" t="s">
        <v>124</v>
      </c>
      <c r="B32" t="s">
        <v>340</v>
      </c>
      <c r="C32" t="s">
        <v>341</v>
      </c>
      <c r="D32" t="s">
        <v>263</v>
      </c>
      <c r="E32" t="s">
        <v>187</v>
      </c>
      <c r="F32">
        <v>3511</v>
      </c>
      <c r="G32">
        <v>4000</v>
      </c>
      <c r="H32">
        <v>346.91836699999999</v>
      </c>
      <c r="I32">
        <v>7738</v>
      </c>
      <c r="J32" t="str">
        <f>Table_ExternalData_1141214[[#This Row],[DIST_CD]]&amp;Table_ExternalData_1141214[[#This Row],[SKU]]</f>
        <v>S105CM_MN</v>
      </c>
      <c r="K32">
        <f>IFERROR(VLOOKUP(Table_ExternalData_1141214[[#This Row],[Chk]],'Weekly by Dist'!A:B,2,0),0)</f>
        <v>1000</v>
      </c>
      <c r="L32">
        <f>Table_ExternalData_1141214[[#This Row],[SAP]]-Table_ExternalData_1141214[[#This Row],[Dist_Receipt]]</f>
        <v>-3000</v>
      </c>
      <c r="M32">
        <f>IF(Table_ExternalData_1141214[[#This Row],[Diff]]&gt;0,Table_ExternalData_1141214[[#This Row],[Dist_Stock]]+Table_ExternalData_1141214[[#This Row],[Diff]],Table_ExternalData_1141214[[#This Row],[Dist_Stock]])</f>
        <v>3511</v>
      </c>
    </row>
    <row r="33" spans="1:13" hidden="1">
      <c r="A33" s="295" t="s">
        <v>124</v>
      </c>
      <c r="B33" t="s">
        <v>340</v>
      </c>
      <c r="C33" t="s">
        <v>341</v>
      </c>
      <c r="D33" t="s">
        <v>46</v>
      </c>
      <c r="E33" t="s">
        <v>94</v>
      </c>
      <c r="F33">
        <v>4143</v>
      </c>
      <c r="G33">
        <v>6000</v>
      </c>
      <c r="H33">
        <v>364.22448900000001</v>
      </c>
      <c r="I33">
        <v>8541</v>
      </c>
      <c r="J33" t="str">
        <f>Table_ExternalData_1141214[[#This Row],[DIST_CD]]&amp;Table_ExternalData_1141214[[#This Row],[SKU]]</f>
        <v>S105WICO_RE</v>
      </c>
      <c r="K33">
        <f>IFERROR(VLOOKUP(Table_ExternalData_1141214[[#This Row],[Chk]],'Weekly by Dist'!A:B,2,0),0)</f>
        <v>2000</v>
      </c>
      <c r="L33">
        <f>Table_ExternalData_1141214[[#This Row],[SAP]]-Table_ExternalData_1141214[[#This Row],[Dist_Receipt]]</f>
        <v>-4000</v>
      </c>
      <c r="M33">
        <f>IF(Table_ExternalData_1141214[[#This Row],[Diff]]&gt;0,Table_ExternalData_1141214[[#This Row],[Dist_Stock]]+Table_ExternalData_1141214[[#This Row],[Diff]],Table_ExternalData_1141214[[#This Row],[Dist_Stock]])</f>
        <v>4143</v>
      </c>
    </row>
    <row r="34" spans="1:13" hidden="1">
      <c r="A34" s="295" t="s">
        <v>124</v>
      </c>
      <c r="B34" t="s">
        <v>340</v>
      </c>
      <c r="C34" t="s">
        <v>341</v>
      </c>
      <c r="D34" t="s">
        <v>263</v>
      </c>
      <c r="E34" t="s">
        <v>186</v>
      </c>
      <c r="F34">
        <v>24713</v>
      </c>
      <c r="G34">
        <v>51000</v>
      </c>
      <c r="H34">
        <v>2573.836734</v>
      </c>
      <c r="I34">
        <v>69316</v>
      </c>
      <c r="J34" t="str">
        <f>Table_ExternalData_1141214[[#This Row],[DIST_CD]]&amp;Table_ExternalData_1141214[[#This Row],[SKU]]</f>
        <v>S105CM_FF</v>
      </c>
      <c r="K34">
        <f>IFERROR(VLOOKUP(Table_ExternalData_1141214[[#This Row],[Chk]],'Weekly by Dist'!A:B,2,0),0)</f>
        <v>18000</v>
      </c>
      <c r="L34">
        <f>Table_ExternalData_1141214[[#This Row],[SAP]]-Table_ExternalData_1141214[[#This Row],[Dist_Receipt]]</f>
        <v>-33000</v>
      </c>
      <c r="M34">
        <f>IF(Table_ExternalData_1141214[[#This Row],[Diff]]&gt;0,Table_ExternalData_1141214[[#This Row],[Dist_Stock]]+Table_ExternalData_1141214[[#This Row],[Diff]],Table_ExternalData_1141214[[#This Row],[Dist_Stock]])</f>
        <v>24713</v>
      </c>
    </row>
    <row r="35" spans="1:13" hidden="1">
      <c r="A35" s="295" t="s">
        <v>124</v>
      </c>
      <c r="B35" t="s">
        <v>340</v>
      </c>
      <c r="C35" t="s">
        <v>341</v>
      </c>
      <c r="D35" t="s">
        <v>44</v>
      </c>
      <c r="E35" t="s">
        <v>83</v>
      </c>
      <c r="F35">
        <v>1</v>
      </c>
      <c r="G35">
        <v>300</v>
      </c>
      <c r="H35">
        <v>13.469386999999999</v>
      </c>
      <c r="I35">
        <v>300</v>
      </c>
      <c r="J35" t="str">
        <f>Table_ExternalData_1141214[[#This Row],[DIST_CD]]&amp;Table_ExternalData_1141214[[#This Row],[SKU]]</f>
        <v>S105MV_OB</v>
      </c>
      <c r="K35">
        <f>IFERROR(VLOOKUP(Table_ExternalData_1141214[[#This Row],[Chk]],'Weekly by Dist'!A:B,2,0),0)</f>
        <v>0</v>
      </c>
      <c r="L35">
        <f>Table_ExternalData_1141214[[#This Row],[SAP]]-Table_ExternalData_1141214[[#This Row],[Dist_Receipt]]</f>
        <v>-300</v>
      </c>
      <c r="M35">
        <f>IF(Table_ExternalData_1141214[[#This Row],[Diff]]&gt;0,Table_ExternalData_1141214[[#This Row],[Dist_Stock]]+Table_ExternalData_1141214[[#This Row],[Diff]],Table_ExternalData_1141214[[#This Row],[Dist_Stock]])</f>
        <v>1</v>
      </c>
    </row>
    <row r="36" spans="1:13" hidden="1">
      <c r="A36" s="295" t="s">
        <v>124</v>
      </c>
      <c r="B36" t="s">
        <v>340</v>
      </c>
      <c r="C36" t="s">
        <v>341</v>
      </c>
      <c r="D36" t="s">
        <v>44</v>
      </c>
      <c r="E36" t="s">
        <v>84</v>
      </c>
      <c r="F36">
        <v>80</v>
      </c>
      <c r="G36">
        <v>100</v>
      </c>
      <c r="H36">
        <v>4.2857139999999996</v>
      </c>
      <c r="I36">
        <v>80</v>
      </c>
      <c r="J36" t="str">
        <f>Table_ExternalData_1141214[[#This Row],[DIST_CD]]&amp;Table_ExternalData_1141214[[#This Row],[SKU]]</f>
        <v>S105MV_OPT</v>
      </c>
      <c r="K36">
        <f>IFERROR(VLOOKUP(Table_ExternalData_1141214[[#This Row],[Chk]],'Weekly by Dist'!A:B,2,0),0)</f>
        <v>0</v>
      </c>
      <c r="L36">
        <f>Table_ExternalData_1141214[[#This Row],[SAP]]-Table_ExternalData_1141214[[#This Row],[Dist_Receipt]]</f>
        <v>-100</v>
      </c>
      <c r="M36">
        <f>IF(Table_ExternalData_1141214[[#This Row],[Diff]]&gt;0,Table_ExternalData_1141214[[#This Row],[Dist_Stock]]+Table_ExternalData_1141214[[#This Row],[Diff]],Table_ExternalData_1141214[[#This Row],[Dist_Stock]])</f>
        <v>80</v>
      </c>
    </row>
    <row r="37" spans="1:13" hidden="1">
      <c r="A37" s="295" t="s">
        <v>124</v>
      </c>
      <c r="B37" t="s">
        <v>340</v>
      </c>
      <c r="C37" t="s">
        <v>341</v>
      </c>
      <c r="D37" t="s">
        <v>46</v>
      </c>
      <c r="E37" t="s">
        <v>93</v>
      </c>
      <c r="F37">
        <v>3876</v>
      </c>
      <c r="G37">
        <v>3500</v>
      </c>
      <c r="H37">
        <v>293.16326500000002</v>
      </c>
      <c r="I37">
        <v>7350</v>
      </c>
      <c r="J37" t="str">
        <f>Table_ExternalData_1141214[[#This Row],[DIST_CD]]&amp;Table_ExternalData_1141214[[#This Row],[SKU]]</f>
        <v>S105WICO_GR</v>
      </c>
      <c r="K37">
        <f>IFERROR(VLOOKUP(Table_ExternalData_1141214[[#This Row],[Chk]],'Weekly by Dist'!A:B,2,0),0)</f>
        <v>1000</v>
      </c>
      <c r="L37">
        <f>Table_ExternalData_1141214[[#This Row],[SAP]]-Table_ExternalData_1141214[[#This Row],[Dist_Receipt]]</f>
        <v>-2500</v>
      </c>
      <c r="M37">
        <f>IF(Table_ExternalData_1141214[[#This Row],[Diff]]&gt;0,Table_ExternalData_1141214[[#This Row],[Dist_Stock]]+Table_ExternalData_1141214[[#This Row],[Diff]],Table_ExternalData_1141214[[#This Row],[Dist_Stock]])</f>
        <v>3876</v>
      </c>
    </row>
    <row r="38" spans="1:13" hidden="1">
      <c r="A38" s="295" t="s">
        <v>124</v>
      </c>
      <c r="B38" t="s">
        <v>340</v>
      </c>
      <c r="C38" t="s">
        <v>341</v>
      </c>
      <c r="D38" t="s">
        <v>264</v>
      </c>
      <c r="E38" t="s">
        <v>190</v>
      </c>
      <c r="F38">
        <v>17</v>
      </c>
      <c r="G38">
        <v>0</v>
      </c>
      <c r="H38">
        <v>0.20408100000000001</v>
      </c>
      <c r="I38">
        <v>0</v>
      </c>
      <c r="J38" t="str">
        <f>Table_ExternalData_1141214[[#This Row],[DIST_CD]]&amp;Table_ExternalData_1141214[[#This Row],[SKU]]</f>
        <v>S105CMHD_BL</v>
      </c>
      <c r="K38">
        <f>IFERROR(VLOOKUP(Table_ExternalData_1141214[[#This Row],[Chk]],'Weekly by Dist'!A:B,2,0),0)</f>
        <v>0</v>
      </c>
      <c r="L38">
        <f>Table_ExternalData_1141214[[#This Row],[SAP]]-Table_ExternalData_1141214[[#This Row],[Dist_Receipt]]</f>
        <v>0</v>
      </c>
      <c r="M38">
        <f>IF(Table_ExternalData_1141214[[#This Row],[Diff]]&gt;0,Table_ExternalData_1141214[[#This Row],[Dist_Stock]]+Table_ExternalData_1141214[[#This Row],[Diff]],Table_ExternalData_1141214[[#This Row],[Dist_Stock]])</f>
        <v>17</v>
      </c>
    </row>
    <row r="39" spans="1:13" hidden="1">
      <c r="A39" s="295" t="s">
        <v>124</v>
      </c>
      <c r="B39" t="s">
        <v>340</v>
      </c>
      <c r="C39" t="s">
        <v>341</v>
      </c>
      <c r="D39" t="s">
        <v>45</v>
      </c>
      <c r="E39" t="s">
        <v>88</v>
      </c>
      <c r="F39">
        <v>23</v>
      </c>
      <c r="G39">
        <v>50</v>
      </c>
      <c r="H39">
        <v>1.020408</v>
      </c>
      <c r="I39">
        <v>50</v>
      </c>
      <c r="J39" t="str">
        <f>Table_ExternalData_1141214[[#This Row],[DIST_CD]]&amp;Table_ExternalData_1141214[[#This Row],[SKU]]</f>
        <v>S105WIKS_BL</v>
      </c>
      <c r="K39">
        <f>IFERROR(VLOOKUP(Table_ExternalData_1141214[[#This Row],[Chk]],'Weekly by Dist'!A:B,2,0),0)</f>
        <v>50</v>
      </c>
      <c r="L39">
        <f>Table_ExternalData_1141214[[#This Row],[SAP]]-Table_ExternalData_1141214[[#This Row],[Dist_Receipt]]</f>
        <v>0</v>
      </c>
      <c r="M39">
        <f>IF(Table_ExternalData_1141214[[#This Row],[Diff]]&gt;0,Table_ExternalData_1141214[[#This Row],[Dist_Stock]]+Table_ExternalData_1141214[[#This Row],[Diff]],Table_ExternalData_1141214[[#This Row],[Dist_Stock]])</f>
        <v>23</v>
      </c>
    </row>
    <row r="40" spans="1:13" hidden="1">
      <c r="A40" s="295" t="s">
        <v>194</v>
      </c>
      <c r="B40" t="s">
        <v>343</v>
      </c>
      <c r="C40" t="s">
        <v>344</v>
      </c>
      <c r="D40" t="s">
        <v>44</v>
      </c>
      <c r="E40" t="s">
        <v>85</v>
      </c>
      <c r="F40">
        <v>260</v>
      </c>
      <c r="G40">
        <v>110</v>
      </c>
      <c r="H40">
        <v>6.9387749999999997</v>
      </c>
      <c r="I40">
        <v>152</v>
      </c>
      <c r="J40" t="str">
        <f>Table_ExternalData_1141214[[#This Row],[DIST_CD]]&amp;Table_ExternalData_1141214[[#This Row],[SKU]]</f>
        <v>S201MV_SB</v>
      </c>
      <c r="K40">
        <f>IFERROR(VLOOKUP(Table_ExternalData_1141214[[#This Row],[Chk]],'Weekly by Dist'!A:B,2,0),0)</f>
        <v>10</v>
      </c>
      <c r="L40">
        <f>Table_ExternalData_1141214[[#This Row],[SAP]]-Table_ExternalData_1141214[[#This Row],[Dist_Receipt]]</f>
        <v>-100</v>
      </c>
      <c r="M40">
        <f>IF(Table_ExternalData_1141214[[#This Row],[Diff]]&gt;0,Table_ExternalData_1141214[[#This Row],[Dist_Stock]]+Table_ExternalData_1141214[[#This Row],[Diff]],Table_ExternalData_1141214[[#This Row],[Dist_Stock]])</f>
        <v>260</v>
      </c>
    </row>
    <row r="41" spans="1:13" hidden="1">
      <c r="A41" s="295" t="s">
        <v>194</v>
      </c>
      <c r="B41" t="s">
        <v>343</v>
      </c>
      <c r="C41" t="s">
        <v>344</v>
      </c>
      <c r="D41" t="s">
        <v>263</v>
      </c>
      <c r="E41" t="s">
        <v>187</v>
      </c>
      <c r="F41">
        <v>4852</v>
      </c>
      <c r="G41">
        <v>4500</v>
      </c>
      <c r="H41">
        <v>205.32652999999999</v>
      </c>
      <c r="I41">
        <v>7189</v>
      </c>
      <c r="J41" t="str">
        <f>Table_ExternalData_1141214[[#This Row],[DIST_CD]]&amp;Table_ExternalData_1141214[[#This Row],[SKU]]</f>
        <v>S201CM_MN</v>
      </c>
      <c r="K41">
        <f>IFERROR(VLOOKUP(Table_ExternalData_1141214[[#This Row],[Chk]],'Weekly by Dist'!A:B,2,0),0)</f>
        <v>3000</v>
      </c>
      <c r="L41">
        <f>Table_ExternalData_1141214[[#This Row],[SAP]]-Table_ExternalData_1141214[[#This Row],[Dist_Receipt]]</f>
        <v>-1500</v>
      </c>
      <c r="M41">
        <f>IF(Table_ExternalData_1141214[[#This Row],[Diff]]&gt;0,Table_ExternalData_1141214[[#This Row],[Dist_Stock]]+Table_ExternalData_1141214[[#This Row],[Diff]],Table_ExternalData_1141214[[#This Row],[Dist_Stock]])</f>
        <v>4852</v>
      </c>
    </row>
    <row r="42" spans="1:13" hidden="1">
      <c r="A42" s="295" t="s">
        <v>194</v>
      </c>
      <c r="B42" t="s">
        <v>343</v>
      </c>
      <c r="C42" t="s">
        <v>344</v>
      </c>
      <c r="D42" t="s">
        <v>44</v>
      </c>
      <c r="E42" t="s">
        <v>83</v>
      </c>
      <c r="F42">
        <v>0</v>
      </c>
      <c r="G42">
        <v>0</v>
      </c>
      <c r="H42">
        <v>0</v>
      </c>
      <c r="I42">
        <v>21</v>
      </c>
      <c r="J42" t="str">
        <f>Table_ExternalData_1141214[[#This Row],[DIST_CD]]&amp;Table_ExternalData_1141214[[#This Row],[SKU]]</f>
        <v>S201MV_OB</v>
      </c>
      <c r="K42">
        <f>IFERROR(VLOOKUP(Table_ExternalData_1141214[[#This Row],[Chk]],'Weekly by Dist'!A:B,2,0),0)</f>
        <v>0</v>
      </c>
      <c r="L42">
        <f>Table_ExternalData_1141214[[#This Row],[SAP]]-Table_ExternalData_1141214[[#This Row],[Dist_Receipt]]</f>
        <v>0</v>
      </c>
      <c r="M42">
        <f>IF(Table_ExternalData_1141214[[#This Row],[Diff]]&gt;0,Table_ExternalData_1141214[[#This Row],[Dist_Stock]]+Table_ExternalData_1141214[[#This Row],[Diff]],Table_ExternalData_1141214[[#This Row],[Dist_Stock]])</f>
        <v>0</v>
      </c>
    </row>
    <row r="43" spans="1:13" hidden="1">
      <c r="A43" s="295" t="s">
        <v>194</v>
      </c>
      <c r="B43" t="s">
        <v>343</v>
      </c>
      <c r="C43" t="s">
        <v>344</v>
      </c>
      <c r="D43" t="s">
        <v>263</v>
      </c>
      <c r="E43" t="s">
        <v>186</v>
      </c>
      <c r="F43">
        <v>9344</v>
      </c>
      <c r="G43">
        <v>18000</v>
      </c>
      <c r="H43">
        <v>780.46938699999998</v>
      </c>
      <c r="I43">
        <v>18256</v>
      </c>
      <c r="J43" t="str">
        <f>Table_ExternalData_1141214[[#This Row],[DIST_CD]]&amp;Table_ExternalData_1141214[[#This Row],[SKU]]</f>
        <v>S201CM_FF</v>
      </c>
      <c r="K43">
        <f>IFERROR(VLOOKUP(Table_ExternalData_1141214[[#This Row],[Chk]],'Weekly by Dist'!A:B,2,0),0)</f>
        <v>10000</v>
      </c>
      <c r="L43">
        <f>Table_ExternalData_1141214[[#This Row],[SAP]]-Table_ExternalData_1141214[[#This Row],[Dist_Receipt]]</f>
        <v>-8000</v>
      </c>
      <c r="M43">
        <f>IF(Table_ExternalData_1141214[[#This Row],[Diff]]&gt;0,Table_ExternalData_1141214[[#This Row],[Dist_Stock]]+Table_ExternalData_1141214[[#This Row],[Diff]],Table_ExternalData_1141214[[#This Row],[Dist_Stock]])</f>
        <v>9344</v>
      </c>
    </row>
    <row r="44" spans="1:13" hidden="1">
      <c r="A44" s="295" t="s">
        <v>194</v>
      </c>
      <c r="B44" t="s">
        <v>343</v>
      </c>
      <c r="C44" t="s">
        <v>344</v>
      </c>
      <c r="D44" t="s">
        <v>263</v>
      </c>
      <c r="E44" t="s">
        <v>184</v>
      </c>
      <c r="F44">
        <v>3024</v>
      </c>
      <c r="G44">
        <v>2500</v>
      </c>
      <c r="H44">
        <v>95.632653000000005</v>
      </c>
      <c r="I44">
        <v>3143</v>
      </c>
      <c r="J44" t="str">
        <f>Table_ExternalData_1141214[[#This Row],[DIST_CD]]&amp;Table_ExternalData_1141214[[#This Row],[SKU]]</f>
        <v>S201CM_BL</v>
      </c>
      <c r="K44">
        <f>IFERROR(VLOOKUP(Table_ExternalData_1141214[[#This Row],[Chk]],'Weekly by Dist'!A:B,2,0),0)</f>
        <v>1500</v>
      </c>
      <c r="L44">
        <f>Table_ExternalData_1141214[[#This Row],[SAP]]-Table_ExternalData_1141214[[#This Row],[Dist_Receipt]]</f>
        <v>-1000</v>
      </c>
      <c r="M44">
        <f>IF(Table_ExternalData_1141214[[#This Row],[Diff]]&gt;0,Table_ExternalData_1141214[[#This Row],[Dist_Stock]]+Table_ExternalData_1141214[[#This Row],[Diff]],Table_ExternalData_1141214[[#This Row],[Dist_Stock]])</f>
        <v>3024</v>
      </c>
    </row>
    <row r="45" spans="1:13" hidden="1">
      <c r="A45" s="295" t="s">
        <v>194</v>
      </c>
      <c r="B45" t="s">
        <v>343</v>
      </c>
      <c r="C45" t="s">
        <v>344</v>
      </c>
      <c r="D45" t="s">
        <v>46</v>
      </c>
      <c r="E45" t="s">
        <v>94</v>
      </c>
      <c r="F45">
        <v>4597</v>
      </c>
      <c r="G45">
        <v>6500</v>
      </c>
      <c r="H45">
        <v>256.85714200000001</v>
      </c>
      <c r="I45">
        <v>6808</v>
      </c>
      <c r="J45" t="str">
        <f>Table_ExternalData_1141214[[#This Row],[DIST_CD]]&amp;Table_ExternalData_1141214[[#This Row],[SKU]]</f>
        <v>S201WICO_RE</v>
      </c>
      <c r="K45">
        <f>IFERROR(VLOOKUP(Table_ExternalData_1141214[[#This Row],[Chk]],'Weekly by Dist'!A:B,2,0),0)</f>
        <v>2500</v>
      </c>
      <c r="L45">
        <f>Table_ExternalData_1141214[[#This Row],[SAP]]-Table_ExternalData_1141214[[#This Row],[Dist_Receipt]]</f>
        <v>-4000</v>
      </c>
      <c r="M45">
        <f>IF(Table_ExternalData_1141214[[#This Row],[Diff]]&gt;0,Table_ExternalData_1141214[[#This Row],[Dist_Stock]]+Table_ExternalData_1141214[[#This Row],[Diff]],Table_ExternalData_1141214[[#This Row],[Dist_Stock]])</f>
        <v>4597</v>
      </c>
    </row>
    <row r="46" spans="1:13" hidden="1">
      <c r="A46" s="295" t="s">
        <v>194</v>
      </c>
      <c r="B46" t="s">
        <v>343</v>
      </c>
      <c r="C46" t="s">
        <v>344</v>
      </c>
      <c r="D46" t="s">
        <v>46</v>
      </c>
      <c r="E46" t="s">
        <v>93</v>
      </c>
      <c r="F46">
        <v>5432</v>
      </c>
      <c r="G46">
        <v>7500</v>
      </c>
      <c r="H46">
        <v>300.89795900000001</v>
      </c>
      <c r="I46">
        <v>8534</v>
      </c>
      <c r="J46" t="str">
        <f>Table_ExternalData_1141214[[#This Row],[DIST_CD]]&amp;Table_ExternalData_1141214[[#This Row],[SKU]]</f>
        <v>S201WICO_GR</v>
      </c>
      <c r="K46">
        <f>IFERROR(VLOOKUP(Table_ExternalData_1141214[[#This Row],[Chk]],'Weekly by Dist'!A:B,2,0),0)</f>
        <v>3000</v>
      </c>
      <c r="L46">
        <f>Table_ExternalData_1141214[[#This Row],[SAP]]-Table_ExternalData_1141214[[#This Row],[Dist_Receipt]]</f>
        <v>-4500</v>
      </c>
      <c r="M46">
        <f>IF(Table_ExternalData_1141214[[#This Row],[Diff]]&gt;0,Table_ExternalData_1141214[[#This Row],[Dist_Stock]]+Table_ExternalData_1141214[[#This Row],[Diff]],Table_ExternalData_1141214[[#This Row],[Dist_Stock]])</f>
        <v>5432</v>
      </c>
    </row>
    <row r="47" spans="1:13" hidden="1">
      <c r="A47" s="295" t="s">
        <v>194</v>
      </c>
      <c r="B47" t="s">
        <v>343</v>
      </c>
      <c r="C47" t="s">
        <v>344</v>
      </c>
      <c r="D47" t="s">
        <v>46</v>
      </c>
      <c r="E47" t="s">
        <v>92</v>
      </c>
      <c r="F47">
        <v>2810</v>
      </c>
      <c r="G47">
        <v>2000</v>
      </c>
      <c r="H47">
        <v>95.020408000000003</v>
      </c>
      <c r="I47">
        <v>1883</v>
      </c>
      <c r="J47" t="str">
        <f>Table_ExternalData_1141214[[#This Row],[DIST_CD]]&amp;Table_ExternalData_1141214[[#This Row],[SKU]]</f>
        <v>S201WICO_BL</v>
      </c>
      <c r="K47">
        <f>IFERROR(VLOOKUP(Table_ExternalData_1141214[[#This Row],[Chk]],'Weekly by Dist'!A:B,2,0),0)</f>
        <v>1500</v>
      </c>
      <c r="L47">
        <f>Table_ExternalData_1141214[[#This Row],[SAP]]-Table_ExternalData_1141214[[#This Row],[Dist_Receipt]]</f>
        <v>-500</v>
      </c>
      <c r="M47">
        <f>IF(Table_ExternalData_1141214[[#This Row],[Diff]]&gt;0,Table_ExternalData_1141214[[#This Row],[Dist_Stock]]+Table_ExternalData_1141214[[#This Row],[Diff]],Table_ExternalData_1141214[[#This Row],[Dist_Stock]])</f>
        <v>2810</v>
      </c>
    </row>
    <row r="48" spans="1:13" hidden="1">
      <c r="A48" s="295" t="s">
        <v>194</v>
      </c>
      <c r="B48" t="s">
        <v>343</v>
      </c>
      <c r="C48" t="s">
        <v>344</v>
      </c>
      <c r="D48" t="s">
        <v>44</v>
      </c>
      <c r="E48" t="s">
        <v>84</v>
      </c>
      <c r="F48">
        <v>40</v>
      </c>
      <c r="G48">
        <v>20</v>
      </c>
      <c r="H48">
        <v>0.408163</v>
      </c>
      <c r="I48">
        <v>20</v>
      </c>
      <c r="J48" t="str">
        <f>Table_ExternalData_1141214[[#This Row],[DIST_CD]]&amp;Table_ExternalData_1141214[[#This Row],[SKU]]</f>
        <v>S201MV_OPT</v>
      </c>
      <c r="K48">
        <f>IFERROR(VLOOKUP(Table_ExternalData_1141214[[#This Row],[Chk]],'Weekly by Dist'!A:B,2,0),0)</f>
        <v>20</v>
      </c>
      <c r="L48">
        <f>Table_ExternalData_1141214[[#This Row],[SAP]]-Table_ExternalData_1141214[[#This Row],[Dist_Receipt]]</f>
        <v>0</v>
      </c>
      <c r="M48">
        <f>IF(Table_ExternalData_1141214[[#This Row],[Diff]]&gt;0,Table_ExternalData_1141214[[#This Row],[Dist_Stock]]+Table_ExternalData_1141214[[#This Row],[Diff]],Table_ExternalData_1141214[[#This Row],[Dist_Stock]])</f>
        <v>40</v>
      </c>
    </row>
    <row r="49" spans="1:13" hidden="1">
      <c r="A49" s="295" t="s">
        <v>194</v>
      </c>
      <c r="B49" t="s">
        <v>343</v>
      </c>
      <c r="C49" t="s">
        <v>344</v>
      </c>
      <c r="D49" t="s">
        <v>264</v>
      </c>
      <c r="E49" t="s">
        <v>189</v>
      </c>
      <c r="F49">
        <v>3631</v>
      </c>
      <c r="G49">
        <v>2500</v>
      </c>
      <c r="H49">
        <v>154.959183</v>
      </c>
      <c r="I49">
        <v>2789</v>
      </c>
      <c r="J49" t="str">
        <f>Table_ExternalData_1141214[[#This Row],[DIST_CD]]&amp;Table_ExternalData_1141214[[#This Row],[SKU]]</f>
        <v>S201CMHD_GR</v>
      </c>
      <c r="K49">
        <f>IFERROR(VLOOKUP(Table_ExternalData_1141214[[#This Row],[Chk]],'Weekly by Dist'!A:B,2,0),0)</f>
        <v>2500</v>
      </c>
      <c r="L49">
        <f>Table_ExternalData_1141214[[#This Row],[SAP]]-Table_ExternalData_1141214[[#This Row],[Dist_Receipt]]</f>
        <v>0</v>
      </c>
      <c r="M49">
        <f>IF(Table_ExternalData_1141214[[#This Row],[Diff]]&gt;0,Table_ExternalData_1141214[[#This Row],[Dist_Stock]]+Table_ExternalData_1141214[[#This Row],[Diff]],Table_ExternalData_1141214[[#This Row],[Dist_Stock]])</f>
        <v>3631</v>
      </c>
    </row>
    <row r="50" spans="1:13" hidden="1">
      <c r="A50" s="295" t="s">
        <v>194</v>
      </c>
      <c r="B50" t="s">
        <v>343</v>
      </c>
      <c r="C50" t="s">
        <v>344</v>
      </c>
      <c r="D50" t="s">
        <v>263</v>
      </c>
      <c r="E50" t="s">
        <v>185</v>
      </c>
      <c r="F50">
        <v>20</v>
      </c>
      <c r="G50">
        <v>0</v>
      </c>
      <c r="H50">
        <v>0</v>
      </c>
      <c r="I50">
        <v>0</v>
      </c>
      <c r="J50" t="str">
        <f>Table_ExternalData_1141214[[#This Row],[DIST_CD]]&amp;Table_ExternalData_1141214[[#This Row],[SKU]]</f>
        <v>S201CM_EC</v>
      </c>
      <c r="K50">
        <f>IFERROR(VLOOKUP(Table_ExternalData_1141214[[#This Row],[Chk]],'Weekly by Dist'!A:B,2,0),0)</f>
        <v>0</v>
      </c>
      <c r="L50">
        <f>Table_ExternalData_1141214[[#This Row],[SAP]]-Table_ExternalData_1141214[[#This Row],[Dist_Receipt]]</f>
        <v>0</v>
      </c>
      <c r="M50">
        <f>IF(Table_ExternalData_1141214[[#This Row],[Diff]]&gt;0,Table_ExternalData_1141214[[#This Row],[Dist_Stock]]+Table_ExternalData_1141214[[#This Row],[Diff]],Table_ExternalData_1141214[[#This Row],[Dist_Stock]])</f>
        <v>20</v>
      </c>
    </row>
    <row r="51" spans="1:13" hidden="1">
      <c r="A51" s="295" t="s">
        <v>194</v>
      </c>
      <c r="B51" t="s">
        <v>343</v>
      </c>
      <c r="C51" t="s">
        <v>344</v>
      </c>
      <c r="D51" t="s">
        <v>264</v>
      </c>
      <c r="E51" t="s">
        <v>190</v>
      </c>
      <c r="F51">
        <v>0</v>
      </c>
      <c r="G51">
        <v>0</v>
      </c>
      <c r="H51">
        <v>0</v>
      </c>
      <c r="I51">
        <v>2</v>
      </c>
      <c r="J51" t="str">
        <f>Table_ExternalData_1141214[[#This Row],[DIST_CD]]&amp;Table_ExternalData_1141214[[#This Row],[SKU]]</f>
        <v>S201CMHD_BL</v>
      </c>
      <c r="K51">
        <f>IFERROR(VLOOKUP(Table_ExternalData_1141214[[#This Row],[Chk]],'Weekly by Dist'!A:B,2,0),0)</f>
        <v>0</v>
      </c>
      <c r="L51">
        <f>Table_ExternalData_1141214[[#This Row],[SAP]]-Table_ExternalData_1141214[[#This Row],[Dist_Receipt]]</f>
        <v>0</v>
      </c>
      <c r="M51">
        <f>IF(Table_ExternalData_1141214[[#This Row],[Diff]]&gt;0,Table_ExternalData_1141214[[#This Row],[Dist_Stock]]+Table_ExternalData_1141214[[#This Row],[Diff]],Table_ExternalData_1141214[[#This Row],[Dist_Stock]])</f>
        <v>0</v>
      </c>
    </row>
    <row r="52" spans="1:13" hidden="1">
      <c r="A52" s="295" t="s">
        <v>194</v>
      </c>
      <c r="B52" t="s">
        <v>343</v>
      </c>
      <c r="C52" t="s">
        <v>344</v>
      </c>
      <c r="D52" t="s">
        <v>45</v>
      </c>
      <c r="E52" t="s">
        <v>88</v>
      </c>
      <c r="F52">
        <v>23</v>
      </c>
      <c r="G52">
        <v>0</v>
      </c>
      <c r="H52">
        <v>2.040816</v>
      </c>
      <c r="I52">
        <v>0</v>
      </c>
      <c r="J52" t="str">
        <f>Table_ExternalData_1141214[[#This Row],[DIST_CD]]&amp;Table_ExternalData_1141214[[#This Row],[SKU]]</f>
        <v>S201WIKS_BL</v>
      </c>
      <c r="K52">
        <f>IFERROR(VLOOKUP(Table_ExternalData_1141214[[#This Row],[Chk]],'Weekly by Dist'!A:B,2,0),0)</f>
        <v>0</v>
      </c>
      <c r="L52">
        <f>Table_ExternalData_1141214[[#This Row],[SAP]]-Table_ExternalData_1141214[[#This Row],[Dist_Receipt]]</f>
        <v>0</v>
      </c>
      <c r="M52">
        <f>IF(Table_ExternalData_1141214[[#This Row],[Diff]]&gt;0,Table_ExternalData_1141214[[#This Row],[Dist_Stock]]+Table_ExternalData_1141214[[#This Row],[Diff]],Table_ExternalData_1141214[[#This Row],[Dist_Stock]])</f>
        <v>23</v>
      </c>
    </row>
    <row r="53" spans="1:13" hidden="1">
      <c r="A53" s="295" t="s">
        <v>194</v>
      </c>
      <c r="B53" t="s">
        <v>343</v>
      </c>
      <c r="C53" t="s">
        <v>344</v>
      </c>
      <c r="D53" t="s">
        <v>264</v>
      </c>
      <c r="E53" t="s">
        <v>188</v>
      </c>
      <c r="F53">
        <v>6936</v>
      </c>
      <c r="G53">
        <v>12500</v>
      </c>
      <c r="H53">
        <v>496.16326500000002</v>
      </c>
      <c r="I53">
        <v>9705</v>
      </c>
      <c r="J53" t="str">
        <f>Table_ExternalData_1141214[[#This Row],[DIST_CD]]&amp;Table_ExternalData_1141214[[#This Row],[SKU]]</f>
        <v>S201CMHD_YL</v>
      </c>
      <c r="K53">
        <f>IFERROR(VLOOKUP(Table_ExternalData_1141214[[#This Row],[Chk]],'Weekly by Dist'!A:B,2,0),0)</f>
        <v>8000</v>
      </c>
      <c r="L53">
        <f>Table_ExternalData_1141214[[#This Row],[SAP]]-Table_ExternalData_1141214[[#This Row],[Dist_Receipt]]</f>
        <v>-4500</v>
      </c>
      <c r="M53">
        <f>IF(Table_ExternalData_1141214[[#This Row],[Diff]]&gt;0,Table_ExternalData_1141214[[#This Row],[Dist_Stock]]+Table_ExternalData_1141214[[#This Row],[Diff]],Table_ExternalData_1141214[[#This Row],[Dist_Stock]])</f>
        <v>6936</v>
      </c>
    </row>
    <row r="54" spans="1:13" hidden="1">
      <c r="A54" s="295" t="s">
        <v>194</v>
      </c>
      <c r="B54" t="s">
        <v>345</v>
      </c>
      <c r="C54" t="s">
        <v>346</v>
      </c>
      <c r="D54" t="s">
        <v>45</v>
      </c>
      <c r="E54" t="s">
        <v>88</v>
      </c>
      <c r="F54">
        <v>270</v>
      </c>
      <c r="G54">
        <v>550</v>
      </c>
      <c r="H54">
        <v>29.591836000000001</v>
      </c>
      <c r="I54">
        <v>780</v>
      </c>
      <c r="J54" t="str">
        <f>Table_ExternalData_1141214[[#This Row],[DIST_CD]]&amp;Table_ExternalData_1141214[[#This Row],[SKU]]</f>
        <v>S202WIKS_BL</v>
      </c>
      <c r="K54">
        <f>IFERROR(VLOOKUP(Table_ExternalData_1141214[[#This Row],[Chk]],'Weekly by Dist'!A:B,2,0),0)</f>
        <v>550</v>
      </c>
      <c r="L54">
        <f>Table_ExternalData_1141214[[#This Row],[SAP]]-Table_ExternalData_1141214[[#This Row],[Dist_Receipt]]</f>
        <v>0</v>
      </c>
      <c r="M54">
        <f>IF(Table_ExternalData_1141214[[#This Row],[Diff]]&gt;0,Table_ExternalData_1141214[[#This Row],[Dist_Stock]]+Table_ExternalData_1141214[[#This Row],[Diff]],Table_ExternalData_1141214[[#This Row],[Dist_Stock]])</f>
        <v>270</v>
      </c>
    </row>
    <row r="55" spans="1:13" hidden="1">
      <c r="A55" s="295" t="s">
        <v>194</v>
      </c>
      <c r="B55" t="s">
        <v>345</v>
      </c>
      <c r="C55" t="s">
        <v>346</v>
      </c>
      <c r="D55" t="s">
        <v>263</v>
      </c>
      <c r="E55" t="s">
        <v>184</v>
      </c>
      <c r="F55">
        <v>10094</v>
      </c>
      <c r="G55">
        <v>23500</v>
      </c>
      <c r="H55">
        <v>1042.7755099999999</v>
      </c>
      <c r="I55">
        <v>25527</v>
      </c>
      <c r="J55" t="str">
        <f>Table_ExternalData_1141214[[#This Row],[DIST_CD]]&amp;Table_ExternalData_1141214[[#This Row],[SKU]]</f>
        <v>S202CM_BL</v>
      </c>
      <c r="K55">
        <f>IFERROR(VLOOKUP(Table_ExternalData_1141214[[#This Row],[Chk]],'Weekly by Dist'!A:B,2,0),0)</f>
        <v>10000</v>
      </c>
      <c r="L55">
        <f>Table_ExternalData_1141214[[#This Row],[SAP]]-Table_ExternalData_1141214[[#This Row],[Dist_Receipt]]</f>
        <v>-13500</v>
      </c>
      <c r="M55">
        <f>IF(Table_ExternalData_1141214[[#This Row],[Diff]]&gt;0,Table_ExternalData_1141214[[#This Row],[Dist_Stock]]+Table_ExternalData_1141214[[#This Row],[Diff]],Table_ExternalData_1141214[[#This Row],[Dist_Stock]])</f>
        <v>10094</v>
      </c>
    </row>
    <row r="56" spans="1:13" hidden="1">
      <c r="A56" s="295" t="s">
        <v>194</v>
      </c>
      <c r="B56" t="s">
        <v>345</v>
      </c>
      <c r="C56" t="s">
        <v>346</v>
      </c>
      <c r="D56" t="s">
        <v>44</v>
      </c>
      <c r="E56" t="s">
        <v>84</v>
      </c>
      <c r="F56">
        <v>70</v>
      </c>
      <c r="G56">
        <v>500</v>
      </c>
      <c r="H56">
        <v>6.5306119999999996</v>
      </c>
      <c r="I56">
        <v>180</v>
      </c>
      <c r="J56" t="str">
        <f>Table_ExternalData_1141214[[#This Row],[DIST_CD]]&amp;Table_ExternalData_1141214[[#This Row],[SKU]]</f>
        <v>S202MV_OPT</v>
      </c>
      <c r="K56">
        <f>IFERROR(VLOOKUP(Table_ExternalData_1141214[[#This Row],[Chk]],'Weekly by Dist'!A:B,2,0),0)</f>
        <v>500</v>
      </c>
      <c r="L56">
        <f>Table_ExternalData_1141214[[#This Row],[SAP]]-Table_ExternalData_1141214[[#This Row],[Dist_Receipt]]</f>
        <v>0</v>
      </c>
      <c r="M56">
        <f>IF(Table_ExternalData_1141214[[#This Row],[Diff]]&gt;0,Table_ExternalData_1141214[[#This Row],[Dist_Stock]]+Table_ExternalData_1141214[[#This Row],[Diff]],Table_ExternalData_1141214[[#This Row],[Dist_Stock]])</f>
        <v>70</v>
      </c>
    </row>
    <row r="57" spans="1:13" hidden="1">
      <c r="A57" s="295" t="s">
        <v>194</v>
      </c>
      <c r="B57" t="s">
        <v>345</v>
      </c>
      <c r="C57" t="s">
        <v>346</v>
      </c>
      <c r="D57" t="s">
        <v>46</v>
      </c>
      <c r="E57" t="s">
        <v>93</v>
      </c>
      <c r="F57">
        <v>5928</v>
      </c>
      <c r="G57">
        <v>16500</v>
      </c>
      <c r="H57">
        <v>509.30612200000002</v>
      </c>
      <c r="I57">
        <v>14481</v>
      </c>
      <c r="J57" t="str">
        <f>Table_ExternalData_1141214[[#This Row],[DIST_CD]]&amp;Table_ExternalData_1141214[[#This Row],[SKU]]</f>
        <v>S202WICO_GR</v>
      </c>
      <c r="K57">
        <f>IFERROR(VLOOKUP(Table_ExternalData_1141214[[#This Row],[Chk]],'Weekly by Dist'!A:B,2,0),0)</f>
        <v>13500</v>
      </c>
      <c r="L57">
        <f>Table_ExternalData_1141214[[#This Row],[SAP]]-Table_ExternalData_1141214[[#This Row],[Dist_Receipt]]</f>
        <v>-3000</v>
      </c>
      <c r="M57">
        <f>IF(Table_ExternalData_1141214[[#This Row],[Diff]]&gt;0,Table_ExternalData_1141214[[#This Row],[Dist_Stock]]+Table_ExternalData_1141214[[#This Row],[Diff]],Table_ExternalData_1141214[[#This Row],[Dist_Stock]])</f>
        <v>5928</v>
      </c>
    </row>
    <row r="58" spans="1:13" hidden="1">
      <c r="A58" s="295" t="s">
        <v>194</v>
      </c>
      <c r="B58" t="s">
        <v>345</v>
      </c>
      <c r="C58" t="s">
        <v>346</v>
      </c>
      <c r="D58" t="s">
        <v>46</v>
      </c>
      <c r="E58" t="s">
        <v>92</v>
      </c>
      <c r="F58">
        <v>9176</v>
      </c>
      <c r="G58">
        <v>13000</v>
      </c>
      <c r="H58">
        <v>450.367346</v>
      </c>
      <c r="I58">
        <v>9352</v>
      </c>
      <c r="J58" t="str">
        <f>Table_ExternalData_1141214[[#This Row],[DIST_CD]]&amp;Table_ExternalData_1141214[[#This Row],[SKU]]</f>
        <v>S202WICO_BL</v>
      </c>
      <c r="K58">
        <f>IFERROR(VLOOKUP(Table_ExternalData_1141214[[#This Row],[Chk]],'Weekly by Dist'!A:B,2,0),0)</f>
        <v>13000</v>
      </c>
      <c r="L58">
        <f>Table_ExternalData_1141214[[#This Row],[SAP]]-Table_ExternalData_1141214[[#This Row],[Dist_Receipt]]</f>
        <v>0</v>
      </c>
      <c r="M58">
        <f>IF(Table_ExternalData_1141214[[#This Row],[Diff]]&gt;0,Table_ExternalData_1141214[[#This Row],[Dist_Stock]]+Table_ExternalData_1141214[[#This Row],[Diff]],Table_ExternalData_1141214[[#This Row],[Dist_Stock]])</f>
        <v>9176</v>
      </c>
    </row>
    <row r="59" spans="1:13" hidden="1">
      <c r="A59" s="295" t="s">
        <v>194</v>
      </c>
      <c r="B59" t="s">
        <v>345</v>
      </c>
      <c r="C59" t="s">
        <v>346</v>
      </c>
      <c r="D59" t="s">
        <v>264</v>
      </c>
      <c r="E59" t="s">
        <v>188</v>
      </c>
      <c r="F59">
        <v>5406</v>
      </c>
      <c r="G59">
        <v>32500</v>
      </c>
      <c r="H59">
        <v>1468.5510200000001</v>
      </c>
      <c r="I59">
        <v>37771</v>
      </c>
      <c r="J59" t="str">
        <f>Table_ExternalData_1141214[[#This Row],[DIST_CD]]&amp;Table_ExternalData_1141214[[#This Row],[SKU]]</f>
        <v>S202CMHD_YL</v>
      </c>
      <c r="K59">
        <f>IFERROR(VLOOKUP(Table_ExternalData_1141214[[#This Row],[Chk]],'Weekly by Dist'!A:B,2,0),0)</f>
        <v>15000</v>
      </c>
      <c r="L59">
        <f>Table_ExternalData_1141214[[#This Row],[SAP]]-Table_ExternalData_1141214[[#This Row],[Dist_Receipt]]</f>
        <v>-17500</v>
      </c>
      <c r="M59">
        <f>IF(Table_ExternalData_1141214[[#This Row],[Diff]]&gt;0,Table_ExternalData_1141214[[#This Row],[Dist_Stock]]+Table_ExternalData_1141214[[#This Row],[Diff]],Table_ExternalData_1141214[[#This Row],[Dist_Stock]])</f>
        <v>5406</v>
      </c>
    </row>
    <row r="60" spans="1:13" hidden="1">
      <c r="A60" s="295" t="s">
        <v>194</v>
      </c>
      <c r="B60" t="s">
        <v>345</v>
      </c>
      <c r="C60" t="s">
        <v>346</v>
      </c>
      <c r="D60" t="s">
        <v>263</v>
      </c>
      <c r="E60" t="s">
        <v>186</v>
      </c>
      <c r="F60">
        <v>33442</v>
      </c>
      <c r="G60">
        <v>90000</v>
      </c>
      <c r="H60">
        <v>4256.3265300000003</v>
      </c>
      <c r="I60">
        <v>108804</v>
      </c>
      <c r="J60" t="str">
        <f>Table_ExternalData_1141214[[#This Row],[DIST_CD]]&amp;Table_ExternalData_1141214[[#This Row],[SKU]]</f>
        <v>S202CM_FF</v>
      </c>
      <c r="K60">
        <f>IFERROR(VLOOKUP(Table_ExternalData_1141214[[#This Row],[Chk]],'Weekly by Dist'!A:B,2,0),0)</f>
        <v>46500</v>
      </c>
      <c r="L60">
        <f>Table_ExternalData_1141214[[#This Row],[SAP]]-Table_ExternalData_1141214[[#This Row],[Dist_Receipt]]</f>
        <v>-43500</v>
      </c>
      <c r="M60">
        <f>IF(Table_ExternalData_1141214[[#This Row],[Diff]]&gt;0,Table_ExternalData_1141214[[#This Row],[Dist_Stock]]+Table_ExternalData_1141214[[#This Row],[Diff]],Table_ExternalData_1141214[[#This Row],[Dist_Stock]])</f>
        <v>33442</v>
      </c>
    </row>
    <row r="61" spans="1:13" hidden="1">
      <c r="A61" s="295" t="s">
        <v>194</v>
      </c>
      <c r="B61" t="s">
        <v>345</v>
      </c>
      <c r="C61" t="s">
        <v>346</v>
      </c>
      <c r="D61" t="s">
        <v>264</v>
      </c>
      <c r="E61" t="s">
        <v>189</v>
      </c>
      <c r="F61">
        <v>4595</v>
      </c>
      <c r="G61">
        <v>3000</v>
      </c>
      <c r="H61">
        <v>201.632653</v>
      </c>
      <c r="I61">
        <v>4296</v>
      </c>
      <c r="J61" t="str">
        <f>Table_ExternalData_1141214[[#This Row],[DIST_CD]]&amp;Table_ExternalData_1141214[[#This Row],[SKU]]</f>
        <v>S202CMHD_GR</v>
      </c>
      <c r="K61">
        <f>IFERROR(VLOOKUP(Table_ExternalData_1141214[[#This Row],[Chk]],'Weekly by Dist'!A:B,2,0),0)</f>
        <v>2500</v>
      </c>
      <c r="L61">
        <f>Table_ExternalData_1141214[[#This Row],[SAP]]-Table_ExternalData_1141214[[#This Row],[Dist_Receipt]]</f>
        <v>-500</v>
      </c>
      <c r="M61">
        <f>IF(Table_ExternalData_1141214[[#This Row],[Diff]]&gt;0,Table_ExternalData_1141214[[#This Row],[Dist_Stock]]+Table_ExternalData_1141214[[#This Row],[Diff]],Table_ExternalData_1141214[[#This Row],[Dist_Stock]])</f>
        <v>4595</v>
      </c>
    </row>
    <row r="62" spans="1:13" hidden="1">
      <c r="A62" s="295" t="s">
        <v>194</v>
      </c>
      <c r="B62" t="s">
        <v>345</v>
      </c>
      <c r="C62" t="s">
        <v>346</v>
      </c>
      <c r="D62" t="s">
        <v>44</v>
      </c>
      <c r="E62" t="s">
        <v>85</v>
      </c>
      <c r="F62">
        <v>120</v>
      </c>
      <c r="G62">
        <v>1050</v>
      </c>
      <c r="H62">
        <v>48.979590999999999</v>
      </c>
      <c r="I62">
        <v>1140</v>
      </c>
      <c r="J62" t="str">
        <f>Table_ExternalData_1141214[[#This Row],[DIST_CD]]&amp;Table_ExternalData_1141214[[#This Row],[SKU]]</f>
        <v>S202MV_SB</v>
      </c>
      <c r="K62">
        <f>IFERROR(VLOOKUP(Table_ExternalData_1141214[[#This Row],[Chk]],'Weekly by Dist'!A:B,2,0),0)</f>
        <v>1050</v>
      </c>
      <c r="L62">
        <f>Table_ExternalData_1141214[[#This Row],[SAP]]-Table_ExternalData_1141214[[#This Row],[Dist_Receipt]]</f>
        <v>0</v>
      </c>
      <c r="M62">
        <f>IF(Table_ExternalData_1141214[[#This Row],[Diff]]&gt;0,Table_ExternalData_1141214[[#This Row],[Dist_Stock]]+Table_ExternalData_1141214[[#This Row],[Diff]],Table_ExternalData_1141214[[#This Row],[Dist_Stock]])</f>
        <v>120</v>
      </c>
    </row>
    <row r="63" spans="1:13" hidden="1">
      <c r="A63" s="295" t="s">
        <v>194</v>
      </c>
      <c r="B63" t="s">
        <v>345</v>
      </c>
      <c r="C63" t="s">
        <v>346</v>
      </c>
      <c r="D63" t="s">
        <v>263</v>
      </c>
      <c r="E63" t="s">
        <v>187</v>
      </c>
      <c r="F63">
        <v>6757</v>
      </c>
      <c r="G63">
        <v>17500</v>
      </c>
      <c r="H63">
        <v>582.816326</v>
      </c>
      <c r="I63">
        <v>14914</v>
      </c>
      <c r="J63" t="str">
        <f>Table_ExternalData_1141214[[#This Row],[DIST_CD]]&amp;Table_ExternalData_1141214[[#This Row],[SKU]]</f>
        <v>S202CM_MN</v>
      </c>
      <c r="K63">
        <f>IFERROR(VLOOKUP(Table_ExternalData_1141214[[#This Row],[Chk]],'Weekly by Dist'!A:B,2,0),0)</f>
        <v>9500</v>
      </c>
      <c r="L63">
        <f>Table_ExternalData_1141214[[#This Row],[SAP]]-Table_ExternalData_1141214[[#This Row],[Dist_Receipt]]</f>
        <v>-8000</v>
      </c>
      <c r="M63">
        <f>IF(Table_ExternalData_1141214[[#This Row],[Diff]]&gt;0,Table_ExternalData_1141214[[#This Row],[Dist_Stock]]+Table_ExternalData_1141214[[#This Row],[Diff]],Table_ExternalData_1141214[[#This Row],[Dist_Stock]])</f>
        <v>6757</v>
      </c>
    </row>
    <row r="64" spans="1:13" hidden="1">
      <c r="A64" s="295" t="s">
        <v>194</v>
      </c>
      <c r="B64" t="s">
        <v>345</v>
      </c>
      <c r="C64" t="s">
        <v>346</v>
      </c>
      <c r="D64" t="s">
        <v>44</v>
      </c>
      <c r="E64" t="s">
        <v>83</v>
      </c>
      <c r="F64">
        <v>220</v>
      </c>
      <c r="G64">
        <v>0</v>
      </c>
      <c r="H64">
        <v>4.6938769999999996</v>
      </c>
      <c r="I64">
        <v>180</v>
      </c>
      <c r="J64" t="str">
        <f>Table_ExternalData_1141214[[#This Row],[DIST_CD]]&amp;Table_ExternalData_1141214[[#This Row],[SKU]]</f>
        <v>S202MV_OB</v>
      </c>
      <c r="K64">
        <f>IFERROR(VLOOKUP(Table_ExternalData_1141214[[#This Row],[Chk]],'Weekly by Dist'!A:B,2,0),0)</f>
        <v>0</v>
      </c>
      <c r="L64">
        <f>Table_ExternalData_1141214[[#This Row],[SAP]]-Table_ExternalData_1141214[[#This Row],[Dist_Receipt]]</f>
        <v>0</v>
      </c>
      <c r="M64">
        <f>IF(Table_ExternalData_1141214[[#This Row],[Diff]]&gt;0,Table_ExternalData_1141214[[#This Row],[Dist_Stock]]+Table_ExternalData_1141214[[#This Row],[Diff]],Table_ExternalData_1141214[[#This Row],[Dist_Stock]])</f>
        <v>220</v>
      </c>
    </row>
    <row r="65" spans="1:13" hidden="1">
      <c r="A65" s="295" t="s">
        <v>194</v>
      </c>
      <c r="B65" t="s">
        <v>345</v>
      </c>
      <c r="C65" t="s">
        <v>346</v>
      </c>
      <c r="D65" t="s">
        <v>46</v>
      </c>
      <c r="E65" t="s">
        <v>94</v>
      </c>
      <c r="F65">
        <v>11445</v>
      </c>
      <c r="G65">
        <v>18000</v>
      </c>
      <c r="H65">
        <v>523.34693800000002</v>
      </c>
      <c r="I65">
        <v>13577</v>
      </c>
      <c r="J65" t="str">
        <f>Table_ExternalData_1141214[[#This Row],[DIST_CD]]&amp;Table_ExternalData_1141214[[#This Row],[SKU]]</f>
        <v>S202WICO_RE</v>
      </c>
      <c r="K65">
        <f>IFERROR(VLOOKUP(Table_ExternalData_1141214[[#This Row],[Chk]],'Weekly by Dist'!A:B,2,0),0)</f>
        <v>15000</v>
      </c>
      <c r="L65">
        <f>Table_ExternalData_1141214[[#This Row],[SAP]]-Table_ExternalData_1141214[[#This Row],[Dist_Receipt]]</f>
        <v>-3000</v>
      </c>
      <c r="M65">
        <f>IF(Table_ExternalData_1141214[[#This Row],[Diff]]&gt;0,Table_ExternalData_1141214[[#This Row],[Dist_Stock]]+Table_ExternalData_1141214[[#This Row],[Diff]],Table_ExternalData_1141214[[#This Row],[Dist_Stock]])</f>
        <v>11445</v>
      </c>
    </row>
    <row r="66" spans="1:13" hidden="1">
      <c r="A66" s="295" t="s">
        <v>194</v>
      </c>
      <c r="B66" t="s">
        <v>348</v>
      </c>
      <c r="C66" t="s">
        <v>349</v>
      </c>
      <c r="D66" t="s">
        <v>46</v>
      </c>
      <c r="E66" t="s">
        <v>94</v>
      </c>
      <c r="F66">
        <v>21211</v>
      </c>
      <c r="G66">
        <v>18000</v>
      </c>
      <c r="H66">
        <v>758.02040799999997</v>
      </c>
      <c r="I66">
        <v>19508</v>
      </c>
      <c r="J66" t="str">
        <f>Table_ExternalData_1141214[[#This Row],[DIST_CD]]&amp;Table_ExternalData_1141214[[#This Row],[SKU]]</f>
        <v>S203WICO_RE</v>
      </c>
      <c r="K66">
        <f>IFERROR(VLOOKUP(Table_ExternalData_1141214[[#This Row],[Chk]],'Weekly by Dist'!A:B,2,0),0)</f>
        <v>5500</v>
      </c>
      <c r="L66">
        <f>Table_ExternalData_1141214[[#This Row],[SAP]]-Table_ExternalData_1141214[[#This Row],[Dist_Receipt]]</f>
        <v>-12500</v>
      </c>
      <c r="M66">
        <f>IF(Table_ExternalData_1141214[[#This Row],[Diff]]&gt;0,Table_ExternalData_1141214[[#This Row],[Dist_Stock]]+Table_ExternalData_1141214[[#This Row],[Diff]],Table_ExternalData_1141214[[#This Row],[Dist_Stock]])</f>
        <v>21211</v>
      </c>
    </row>
    <row r="67" spans="1:13" hidden="1">
      <c r="A67" s="295" t="s">
        <v>194</v>
      </c>
      <c r="B67" t="s">
        <v>348</v>
      </c>
      <c r="C67" t="s">
        <v>349</v>
      </c>
      <c r="D67" t="s">
        <v>46</v>
      </c>
      <c r="E67" t="s">
        <v>93</v>
      </c>
      <c r="F67">
        <v>14584</v>
      </c>
      <c r="G67">
        <v>10500</v>
      </c>
      <c r="H67">
        <v>363.367346</v>
      </c>
      <c r="I67">
        <v>11222</v>
      </c>
      <c r="J67" t="str">
        <f>Table_ExternalData_1141214[[#This Row],[DIST_CD]]&amp;Table_ExternalData_1141214[[#This Row],[SKU]]</f>
        <v>S203WICO_GR</v>
      </c>
      <c r="K67">
        <f>IFERROR(VLOOKUP(Table_ExternalData_1141214[[#This Row],[Chk]],'Weekly by Dist'!A:B,2,0),0)</f>
        <v>3500</v>
      </c>
      <c r="L67">
        <f>Table_ExternalData_1141214[[#This Row],[SAP]]-Table_ExternalData_1141214[[#This Row],[Dist_Receipt]]</f>
        <v>-7000</v>
      </c>
      <c r="M67">
        <f>IF(Table_ExternalData_1141214[[#This Row],[Diff]]&gt;0,Table_ExternalData_1141214[[#This Row],[Dist_Stock]]+Table_ExternalData_1141214[[#This Row],[Diff]],Table_ExternalData_1141214[[#This Row],[Dist_Stock]])</f>
        <v>14584</v>
      </c>
    </row>
    <row r="68" spans="1:13" hidden="1">
      <c r="A68" s="295" t="s">
        <v>194</v>
      </c>
      <c r="B68" t="s">
        <v>348</v>
      </c>
      <c r="C68" t="s">
        <v>349</v>
      </c>
      <c r="D68" t="s">
        <v>44</v>
      </c>
      <c r="E68" t="s">
        <v>85</v>
      </c>
      <c r="F68">
        <v>530</v>
      </c>
      <c r="G68">
        <v>100</v>
      </c>
      <c r="H68">
        <v>11.836734</v>
      </c>
      <c r="I68">
        <v>290</v>
      </c>
      <c r="J68" t="str">
        <f>Table_ExternalData_1141214[[#This Row],[DIST_CD]]&amp;Table_ExternalData_1141214[[#This Row],[SKU]]</f>
        <v>S203MV_SB</v>
      </c>
      <c r="K68">
        <f>IFERROR(VLOOKUP(Table_ExternalData_1141214[[#This Row],[Chk]],'Weekly by Dist'!A:B,2,0),0)</f>
        <v>0</v>
      </c>
      <c r="L68">
        <f>Table_ExternalData_1141214[[#This Row],[SAP]]-Table_ExternalData_1141214[[#This Row],[Dist_Receipt]]</f>
        <v>-100</v>
      </c>
      <c r="M68">
        <f>IF(Table_ExternalData_1141214[[#This Row],[Diff]]&gt;0,Table_ExternalData_1141214[[#This Row],[Dist_Stock]]+Table_ExternalData_1141214[[#This Row],[Diff]],Table_ExternalData_1141214[[#This Row],[Dist_Stock]])</f>
        <v>530</v>
      </c>
    </row>
    <row r="69" spans="1:13" hidden="1">
      <c r="A69" s="295" t="s">
        <v>194</v>
      </c>
      <c r="B69" t="s">
        <v>348</v>
      </c>
      <c r="C69" t="s">
        <v>349</v>
      </c>
      <c r="D69" t="s">
        <v>263</v>
      </c>
      <c r="E69" t="s">
        <v>184</v>
      </c>
      <c r="F69">
        <v>16378</v>
      </c>
      <c r="G69">
        <v>11000</v>
      </c>
      <c r="H69">
        <v>442.591836</v>
      </c>
      <c r="I69">
        <v>11971</v>
      </c>
      <c r="J69" t="str">
        <f>Table_ExternalData_1141214[[#This Row],[DIST_CD]]&amp;Table_ExternalData_1141214[[#This Row],[SKU]]</f>
        <v>S203CM_BL</v>
      </c>
      <c r="K69">
        <f>IFERROR(VLOOKUP(Table_ExternalData_1141214[[#This Row],[Chk]],'Weekly by Dist'!A:B,2,0),0)</f>
        <v>2500</v>
      </c>
      <c r="L69">
        <f>Table_ExternalData_1141214[[#This Row],[SAP]]-Table_ExternalData_1141214[[#This Row],[Dist_Receipt]]</f>
        <v>-8500</v>
      </c>
      <c r="M69">
        <f>IF(Table_ExternalData_1141214[[#This Row],[Diff]]&gt;0,Table_ExternalData_1141214[[#This Row],[Dist_Stock]]+Table_ExternalData_1141214[[#This Row],[Diff]],Table_ExternalData_1141214[[#This Row],[Dist_Stock]])</f>
        <v>16378</v>
      </c>
    </row>
    <row r="70" spans="1:13" hidden="1">
      <c r="A70" s="295" t="s">
        <v>194</v>
      </c>
      <c r="B70" t="s">
        <v>348</v>
      </c>
      <c r="C70" t="s">
        <v>349</v>
      </c>
      <c r="D70" t="s">
        <v>46</v>
      </c>
      <c r="E70" t="s">
        <v>92</v>
      </c>
      <c r="F70">
        <v>14228</v>
      </c>
      <c r="G70">
        <v>8000</v>
      </c>
      <c r="H70">
        <v>384.20408099999997</v>
      </c>
      <c r="I70">
        <v>9178</v>
      </c>
      <c r="J70" t="str">
        <f>Table_ExternalData_1141214[[#This Row],[DIST_CD]]&amp;Table_ExternalData_1141214[[#This Row],[SKU]]</f>
        <v>S203WICO_BL</v>
      </c>
      <c r="K70">
        <f>IFERROR(VLOOKUP(Table_ExternalData_1141214[[#This Row],[Chk]],'Weekly by Dist'!A:B,2,0),0)</f>
        <v>2000</v>
      </c>
      <c r="L70">
        <f>Table_ExternalData_1141214[[#This Row],[SAP]]-Table_ExternalData_1141214[[#This Row],[Dist_Receipt]]</f>
        <v>-6000</v>
      </c>
      <c r="M70">
        <f>IF(Table_ExternalData_1141214[[#This Row],[Diff]]&gt;0,Table_ExternalData_1141214[[#This Row],[Dist_Stock]]+Table_ExternalData_1141214[[#This Row],[Diff]],Table_ExternalData_1141214[[#This Row],[Dist_Stock]])</f>
        <v>14228</v>
      </c>
    </row>
    <row r="71" spans="1:13" hidden="1">
      <c r="A71" s="295" t="s">
        <v>194</v>
      </c>
      <c r="B71" t="s">
        <v>348</v>
      </c>
      <c r="C71" t="s">
        <v>349</v>
      </c>
      <c r="D71" t="s">
        <v>264</v>
      </c>
      <c r="E71" t="s">
        <v>188</v>
      </c>
      <c r="F71">
        <v>15004</v>
      </c>
      <c r="G71">
        <v>21250</v>
      </c>
      <c r="H71">
        <v>766.08163200000001</v>
      </c>
      <c r="I71">
        <v>19104</v>
      </c>
      <c r="J71" t="str">
        <f>Table_ExternalData_1141214[[#This Row],[DIST_CD]]&amp;Table_ExternalData_1141214[[#This Row],[SKU]]</f>
        <v>S203CMHD_YL</v>
      </c>
      <c r="K71">
        <f>IFERROR(VLOOKUP(Table_ExternalData_1141214[[#This Row],[Chk]],'Weekly by Dist'!A:B,2,0),0)</f>
        <v>11850</v>
      </c>
      <c r="L71">
        <f>Table_ExternalData_1141214[[#This Row],[SAP]]-Table_ExternalData_1141214[[#This Row],[Dist_Receipt]]</f>
        <v>-9400</v>
      </c>
      <c r="M71">
        <f>IF(Table_ExternalData_1141214[[#This Row],[Diff]]&gt;0,Table_ExternalData_1141214[[#This Row],[Dist_Stock]]+Table_ExternalData_1141214[[#This Row],[Diff]],Table_ExternalData_1141214[[#This Row],[Dist_Stock]])</f>
        <v>15004</v>
      </c>
    </row>
    <row r="72" spans="1:13" hidden="1">
      <c r="A72" s="295" t="s">
        <v>194</v>
      </c>
      <c r="B72" t="s">
        <v>348</v>
      </c>
      <c r="C72" t="s">
        <v>349</v>
      </c>
      <c r="D72" t="s">
        <v>264</v>
      </c>
      <c r="E72" t="s">
        <v>189</v>
      </c>
      <c r="F72">
        <v>7077</v>
      </c>
      <c r="G72">
        <v>8000</v>
      </c>
      <c r="H72">
        <v>221.26530600000001</v>
      </c>
      <c r="I72">
        <v>5032</v>
      </c>
      <c r="J72" t="str">
        <f>Table_ExternalData_1141214[[#This Row],[DIST_CD]]&amp;Table_ExternalData_1141214[[#This Row],[SKU]]</f>
        <v>S203CMHD_GR</v>
      </c>
      <c r="K72">
        <f>IFERROR(VLOOKUP(Table_ExternalData_1141214[[#This Row],[Chk]],'Weekly by Dist'!A:B,2,0),0)</f>
        <v>5250</v>
      </c>
      <c r="L72">
        <f>Table_ExternalData_1141214[[#This Row],[SAP]]-Table_ExternalData_1141214[[#This Row],[Dist_Receipt]]</f>
        <v>-2750</v>
      </c>
      <c r="M72">
        <f>IF(Table_ExternalData_1141214[[#This Row],[Diff]]&gt;0,Table_ExternalData_1141214[[#This Row],[Dist_Stock]]+Table_ExternalData_1141214[[#This Row],[Diff]],Table_ExternalData_1141214[[#This Row],[Dist_Stock]])</f>
        <v>7077</v>
      </c>
    </row>
    <row r="73" spans="1:13" hidden="1">
      <c r="A73" s="295" t="s">
        <v>194</v>
      </c>
      <c r="B73" t="s">
        <v>348</v>
      </c>
      <c r="C73" t="s">
        <v>349</v>
      </c>
      <c r="D73" t="s">
        <v>263</v>
      </c>
      <c r="E73" t="s">
        <v>186</v>
      </c>
      <c r="F73">
        <v>48755</v>
      </c>
      <c r="G73">
        <v>57900</v>
      </c>
      <c r="H73">
        <v>2092.4081630000001</v>
      </c>
      <c r="I73">
        <v>51405</v>
      </c>
      <c r="J73" t="str">
        <f>Table_ExternalData_1141214[[#This Row],[DIST_CD]]&amp;Table_ExternalData_1141214[[#This Row],[SKU]]</f>
        <v>S203CM_FF</v>
      </c>
      <c r="K73">
        <f>IFERROR(VLOOKUP(Table_ExternalData_1141214[[#This Row],[Chk]],'Weekly by Dist'!A:B,2,0),0)</f>
        <v>22700</v>
      </c>
      <c r="L73">
        <f>Table_ExternalData_1141214[[#This Row],[SAP]]-Table_ExternalData_1141214[[#This Row],[Dist_Receipt]]</f>
        <v>-35200</v>
      </c>
      <c r="M73">
        <f>IF(Table_ExternalData_1141214[[#This Row],[Diff]]&gt;0,Table_ExternalData_1141214[[#This Row],[Dist_Stock]]+Table_ExternalData_1141214[[#This Row],[Diff]],Table_ExternalData_1141214[[#This Row],[Dist_Stock]])</f>
        <v>48755</v>
      </c>
    </row>
    <row r="74" spans="1:13" hidden="1">
      <c r="A74" s="295" t="s">
        <v>194</v>
      </c>
      <c r="B74" t="s">
        <v>348</v>
      </c>
      <c r="C74" t="s">
        <v>349</v>
      </c>
      <c r="D74" t="s">
        <v>44</v>
      </c>
      <c r="E74" t="s">
        <v>83</v>
      </c>
      <c r="F74">
        <v>700</v>
      </c>
      <c r="G74">
        <v>400</v>
      </c>
      <c r="H74">
        <v>15.510204</v>
      </c>
      <c r="I74">
        <v>360</v>
      </c>
      <c r="J74" t="str">
        <f>Table_ExternalData_1141214[[#This Row],[DIST_CD]]&amp;Table_ExternalData_1141214[[#This Row],[SKU]]</f>
        <v>S203MV_OB</v>
      </c>
      <c r="K74">
        <f>IFERROR(VLOOKUP(Table_ExternalData_1141214[[#This Row],[Chk]],'Weekly by Dist'!A:B,2,0),0)</f>
        <v>200</v>
      </c>
      <c r="L74">
        <f>Table_ExternalData_1141214[[#This Row],[SAP]]-Table_ExternalData_1141214[[#This Row],[Dist_Receipt]]</f>
        <v>-200</v>
      </c>
      <c r="M74">
        <f>IF(Table_ExternalData_1141214[[#This Row],[Diff]]&gt;0,Table_ExternalData_1141214[[#This Row],[Dist_Stock]]+Table_ExternalData_1141214[[#This Row],[Diff]],Table_ExternalData_1141214[[#This Row],[Dist_Stock]])</f>
        <v>700</v>
      </c>
    </row>
    <row r="75" spans="1:13" hidden="1">
      <c r="A75" s="295" t="s">
        <v>194</v>
      </c>
      <c r="B75" t="s">
        <v>348</v>
      </c>
      <c r="C75" t="s">
        <v>349</v>
      </c>
      <c r="D75" t="s">
        <v>44</v>
      </c>
      <c r="E75" t="s">
        <v>84</v>
      </c>
      <c r="F75">
        <v>200</v>
      </c>
      <c r="G75">
        <v>0</v>
      </c>
      <c r="H75">
        <v>0.55101999999999995</v>
      </c>
      <c r="I75">
        <v>70</v>
      </c>
      <c r="J75" t="str">
        <f>Table_ExternalData_1141214[[#This Row],[DIST_CD]]&amp;Table_ExternalData_1141214[[#This Row],[SKU]]</f>
        <v>S203MV_OPT</v>
      </c>
      <c r="K75">
        <f>IFERROR(VLOOKUP(Table_ExternalData_1141214[[#This Row],[Chk]],'Weekly by Dist'!A:B,2,0),0)</f>
        <v>0</v>
      </c>
      <c r="L75">
        <f>Table_ExternalData_1141214[[#This Row],[SAP]]-Table_ExternalData_1141214[[#This Row],[Dist_Receipt]]</f>
        <v>0</v>
      </c>
      <c r="M75">
        <f>IF(Table_ExternalData_1141214[[#This Row],[Diff]]&gt;0,Table_ExternalData_1141214[[#This Row],[Dist_Stock]]+Table_ExternalData_1141214[[#This Row],[Diff]],Table_ExternalData_1141214[[#This Row],[Dist_Stock]])</f>
        <v>200</v>
      </c>
    </row>
    <row r="76" spans="1:13" hidden="1">
      <c r="A76" s="295" t="s">
        <v>194</v>
      </c>
      <c r="B76" t="s">
        <v>348</v>
      </c>
      <c r="C76" t="s">
        <v>349</v>
      </c>
      <c r="D76" t="s">
        <v>263</v>
      </c>
      <c r="E76" t="s">
        <v>185</v>
      </c>
      <c r="F76">
        <v>0</v>
      </c>
      <c r="G76">
        <v>0</v>
      </c>
      <c r="H76">
        <v>0</v>
      </c>
      <c r="I76">
        <v>17</v>
      </c>
      <c r="J76" t="str">
        <f>Table_ExternalData_1141214[[#This Row],[DIST_CD]]&amp;Table_ExternalData_1141214[[#This Row],[SKU]]</f>
        <v>S203CM_EC</v>
      </c>
      <c r="K76">
        <f>IFERROR(VLOOKUP(Table_ExternalData_1141214[[#This Row],[Chk]],'Weekly by Dist'!A:B,2,0),0)</f>
        <v>0</v>
      </c>
      <c r="L76">
        <f>Table_ExternalData_1141214[[#This Row],[SAP]]-Table_ExternalData_1141214[[#This Row],[Dist_Receipt]]</f>
        <v>0</v>
      </c>
      <c r="M76">
        <f>IF(Table_ExternalData_1141214[[#This Row],[Diff]]&gt;0,Table_ExternalData_1141214[[#This Row],[Dist_Stock]]+Table_ExternalData_1141214[[#This Row],[Diff]],Table_ExternalData_1141214[[#This Row],[Dist_Stock]])</f>
        <v>0</v>
      </c>
    </row>
    <row r="77" spans="1:13" hidden="1">
      <c r="A77" s="295" t="s">
        <v>194</v>
      </c>
      <c r="B77" t="s">
        <v>348</v>
      </c>
      <c r="C77" t="s">
        <v>349</v>
      </c>
      <c r="D77" t="s">
        <v>263</v>
      </c>
      <c r="E77" t="s">
        <v>187</v>
      </c>
      <c r="F77">
        <v>14252</v>
      </c>
      <c r="G77">
        <v>4750</v>
      </c>
      <c r="H77">
        <v>226.89795899999999</v>
      </c>
      <c r="I77">
        <v>5370</v>
      </c>
      <c r="J77" t="str">
        <f>Table_ExternalData_1141214[[#This Row],[DIST_CD]]&amp;Table_ExternalData_1141214[[#This Row],[SKU]]</f>
        <v>S203CM_MN</v>
      </c>
      <c r="K77">
        <f>IFERROR(VLOOKUP(Table_ExternalData_1141214[[#This Row],[Chk]],'Weekly by Dist'!A:B,2,0),0)</f>
        <v>1500</v>
      </c>
      <c r="L77">
        <f>Table_ExternalData_1141214[[#This Row],[SAP]]-Table_ExternalData_1141214[[#This Row],[Dist_Receipt]]</f>
        <v>-3250</v>
      </c>
      <c r="M77">
        <f>IF(Table_ExternalData_1141214[[#This Row],[Diff]]&gt;0,Table_ExternalData_1141214[[#This Row],[Dist_Stock]]+Table_ExternalData_1141214[[#This Row],[Diff]],Table_ExternalData_1141214[[#This Row],[Dist_Stock]])</f>
        <v>14252</v>
      </c>
    </row>
    <row r="78" spans="1:13" hidden="1">
      <c r="A78" s="295" t="s">
        <v>194</v>
      </c>
      <c r="B78" t="s">
        <v>348</v>
      </c>
      <c r="C78" t="s">
        <v>349</v>
      </c>
      <c r="D78" t="s">
        <v>45</v>
      </c>
      <c r="E78" t="s">
        <v>88</v>
      </c>
      <c r="F78">
        <v>130</v>
      </c>
      <c r="G78">
        <v>100</v>
      </c>
      <c r="H78">
        <v>3.4693870000000002</v>
      </c>
      <c r="I78">
        <v>120</v>
      </c>
      <c r="J78" t="str">
        <f>Table_ExternalData_1141214[[#This Row],[DIST_CD]]&amp;Table_ExternalData_1141214[[#This Row],[SKU]]</f>
        <v>S203WIKS_BL</v>
      </c>
      <c r="K78">
        <f>IFERROR(VLOOKUP(Table_ExternalData_1141214[[#This Row],[Chk]],'Weekly by Dist'!A:B,2,0),0)</f>
        <v>0</v>
      </c>
      <c r="L78">
        <f>Table_ExternalData_1141214[[#This Row],[SAP]]-Table_ExternalData_1141214[[#This Row],[Dist_Receipt]]</f>
        <v>-100</v>
      </c>
      <c r="M78">
        <f>IF(Table_ExternalData_1141214[[#This Row],[Diff]]&gt;0,Table_ExternalData_1141214[[#This Row],[Dist_Stock]]+Table_ExternalData_1141214[[#This Row],[Diff]],Table_ExternalData_1141214[[#This Row],[Dist_Stock]])</f>
        <v>130</v>
      </c>
    </row>
    <row r="79" spans="1:13" hidden="1">
      <c r="A79" s="295" t="s">
        <v>197</v>
      </c>
      <c r="B79" t="s">
        <v>351</v>
      </c>
      <c r="C79" t="s">
        <v>352</v>
      </c>
      <c r="D79" t="s">
        <v>44</v>
      </c>
      <c r="E79" t="s">
        <v>85</v>
      </c>
      <c r="F79">
        <v>544</v>
      </c>
      <c r="G79">
        <v>400</v>
      </c>
      <c r="H79">
        <v>14.795918</v>
      </c>
      <c r="I79">
        <v>702</v>
      </c>
      <c r="J79" t="str">
        <f>Table_ExternalData_1141214[[#This Row],[DIST_CD]]&amp;Table_ExternalData_1141214[[#This Row],[SKU]]</f>
        <v>S301MV_SB</v>
      </c>
      <c r="K79">
        <f>IFERROR(VLOOKUP(Table_ExternalData_1141214[[#This Row],[Chk]],'Weekly by Dist'!A:B,2,0),0)</f>
        <v>200</v>
      </c>
      <c r="L79">
        <f>Table_ExternalData_1141214[[#This Row],[SAP]]-Table_ExternalData_1141214[[#This Row],[Dist_Receipt]]</f>
        <v>-200</v>
      </c>
      <c r="M79">
        <f>IF(Table_ExternalData_1141214[[#This Row],[Diff]]&gt;0,Table_ExternalData_1141214[[#This Row],[Dist_Stock]]+Table_ExternalData_1141214[[#This Row],[Diff]],Table_ExternalData_1141214[[#This Row],[Dist_Stock]])</f>
        <v>544</v>
      </c>
    </row>
    <row r="80" spans="1:13" hidden="1">
      <c r="A80" s="295" t="s">
        <v>197</v>
      </c>
      <c r="B80" t="s">
        <v>351</v>
      </c>
      <c r="C80" t="s">
        <v>352</v>
      </c>
      <c r="D80" t="s">
        <v>46</v>
      </c>
      <c r="E80" t="s">
        <v>93</v>
      </c>
      <c r="F80">
        <v>3687</v>
      </c>
      <c r="G80">
        <v>3000</v>
      </c>
      <c r="H80">
        <v>70.673468999999997</v>
      </c>
      <c r="I80">
        <v>1872</v>
      </c>
      <c r="J80" t="str">
        <f>Table_ExternalData_1141214[[#This Row],[DIST_CD]]&amp;Table_ExternalData_1141214[[#This Row],[SKU]]</f>
        <v>S301WICO_GR</v>
      </c>
      <c r="K80">
        <f>IFERROR(VLOOKUP(Table_ExternalData_1141214[[#This Row],[Chk]],'Weekly by Dist'!A:B,2,0),0)</f>
        <v>500</v>
      </c>
      <c r="L80">
        <f>Table_ExternalData_1141214[[#This Row],[SAP]]-Table_ExternalData_1141214[[#This Row],[Dist_Receipt]]</f>
        <v>-2500</v>
      </c>
      <c r="M80">
        <f>IF(Table_ExternalData_1141214[[#This Row],[Diff]]&gt;0,Table_ExternalData_1141214[[#This Row],[Dist_Stock]]+Table_ExternalData_1141214[[#This Row],[Diff]],Table_ExternalData_1141214[[#This Row],[Dist_Stock]])</f>
        <v>3687</v>
      </c>
    </row>
    <row r="81" spans="1:13" hidden="1">
      <c r="A81" s="295" t="s">
        <v>197</v>
      </c>
      <c r="B81" t="s">
        <v>351</v>
      </c>
      <c r="C81" t="s">
        <v>352</v>
      </c>
      <c r="D81" t="s">
        <v>46</v>
      </c>
      <c r="E81" t="s">
        <v>92</v>
      </c>
      <c r="F81">
        <v>7049</v>
      </c>
      <c r="G81">
        <v>16500</v>
      </c>
      <c r="H81">
        <v>453.73469299999999</v>
      </c>
      <c r="I81">
        <v>11238</v>
      </c>
      <c r="J81" t="str">
        <f>Table_ExternalData_1141214[[#This Row],[DIST_CD]]&amp;Table_ExternalData_1141214[[#This Row],[SKU]]</f>
        <v>S301WICO_BL</v>
      </c>
      <c r="K81">
        <f>IFERROR(VLOOKUP(Table_ExternalData_1141214[[#This Row],[Chk]],'Weekly by Dist'!A:B,2,0),0)</f>
        <v>7000</v>
      </c>
      <c r="L81">
        <f>Table_ExternalData_1141214[[#This Row],[SAP]]-Table_ExternalData_1141214[[#This Row],[Dist_Receipt]]</f>
        <v>-9500</v>
      </c>
      <c r="M81">
        <f>IF(Table_ExternalData_1141214[[#This Row],[Diff]]&gt;0,Table_ExternalData_1141214[[#This Row],[Dist_Stock]]+Table_ExternalData_1141214[[#This Row],[Diff]],Table_ExternalData_1141214[[#This Row],[Dist_Stock]])</f>
        <v>7049</v>
      </c>
    </row>
    <row r="82" spans="1:13" hidden="1">
      <c r="A82" s="295" t="s">
        <v>197</v>
      </c>
      <c r="B82" t="s">
        <v>351</v>
      </c>
      <c r="C82" t="s">
        <v>352</v>
      </c>
      <c r="D82" t="s">
        <v>45</v>
      </c>
      <c r="E82" t="s">
        <v>88</v>
      </c>
      <c r="F82">
        <v>540</v>
      </c>
      <c r="G82">
        <v>400</v>
      </c>
      <c r="H82">
        <v>31.020408</v>
      </c>
      <c r="I82">
        <v>510</v>
      </c>
      <c r="J82" t="str">
        <f>Table_ExternalData_1141214[[#This Row],[DIST_CD]]&amp;Table_ExternalData_1141214[[#This Row],[SKU]]</f>
        <v>S301WIKS_BL</v>
      </c>
      <c r="K82">
        <f>IFERROR(VLOOKUP(Table_ExternalData_1141214[[#This Row],[Chk]],'Weekly by Dist'!A:B,2,0),0)</f>
        <v>200</v>
      </c>
      <c r="L82">
        <f>Table_ExternalData_1141214[[#This Row],[SAP]]-Table_ExternalData_1141214[[#This Row],[Dist_Receipt]]</f>
        <v>-200</v>
      </c>
      <c r="M82">
        <f>IF(Table_ExternalData_1141214[[#This Row],[Diff]]&gt;0,Table_ExternalData_1141214[[#This Row],[Dist_Stock]]+Table_ExternalData_1141214[[#This Row],[Diff]],Table_ExternalData_1141214[[#This Row],[Dist_Stock]])</f>
        <v>540</v>
      </c>
    </row>
    <row r="83" spans="1:13" hidden="1">
      <c r="A83" s="295" t="s">
        <v>197</v>
      </c>
      <c r="B83" t="s">
        <v>351</v>
      </c>
      <c r="C83" t="s">
        <v>352</v>
      </c>
      <c r="D83" t="s">
        <v>263</v>
      </c>
      <c r="E83" t="s">
        <v>187</v>
      </c>
      <c r="F83">
        <v>4045</v>
      </c>
      <c r="G83">
        <v>5500</v>
      </c>
      <c r="H83">
        <v>161.612244</v>
      </c>
      <c r="I83">
        <v>3846</v>
      </c>
      <c r="J83" t="str">
        <f>Table_ExternalData_1141214[[#This Row],[DIST_CD]]&amp;Table_ExternalData_1141214[[#This Row],[SKU]]</f>
        <v>S301CM_MN</v>
      </c>
      <c r="K83">
        <f>IFERROR(VLOOKUP(Table_ExternalData_1141214[[#This Row],[Chk]],'Weekly by Dist'!A:B,2,0),0)</f>
        <v>1000</v>
      </c>
      <c r="L83">
        <f>Table_ExternalData_1141214[[#This Row],[SAP]]-Table_ExternalData_1141214[[#This Row],[Dist_Receipt]]</f>
        <v>-4500</v>
      </c>
      <c r="M83">
        <f>IF(Table_ExternalData_1141214[[#This Row],[Diff]]&gt;0,Table_ExternalData_1141214[[#This Row],[Dist_Stock]]+Table_ExternalData_1141214[[#This Row],[Diff]],Table_ExternalData_1141214[[#This Row],[Dist_Stock]])</f>
        <v>4045</v>
      </c>
    </row>
    <row r="84" spans="1:13" hidden="1">
      <c r="A84" s="295" t="s">
        <v>197</v>
      </c>
      <c r="B84" t="s">
        <v>351</v>
      </c>
      <c r="C84" t="s">
        <v>352</v>
      </c>
      <c r="D84" t="s">
        <v>264</v>
      </c>
      <c r="E84" t="s">
        <v>188</v>
      </c>
      <c r="F84">
        <v>2360</v>
      </c>
      <c r="G84">
        <v>5000</v>
      </c>
      <c r="H84">
        <v>169.71428499999999</v>
      </c>
      <c r="I84">
        <v>3466</v>
      </c>
      <c r="J84" t="str">
        <f>Table_ExternalData_1141214[[#This Row],[DIST_CD]]&amp;Table_ExternalData_1141214[[#This Row],[SKU]]</f>
        <v>S301CMHD_YL</v>
      </c>
      <c r="K84">
        <f>IFERROR(VLOOKUP(Table_ExternalData_1141214[[#This Row],[Chk]],'Weekly by Dist'!A:B,2,0),0)</f>
        <v>1500</v>
      </c>
      <c r="L84">
        <f>Table_ExternalData_1141214[[#This Row],[SAP]]-Table_ExternalData_1141214[[#This Row],[Dist_Receipt]]</f>
        <v>-3500</v>
      </c>
      <c r="M84">
        <f>IF(Table_ExternalData_1141214[[#This Row],[Diff]]&gt;0,Table_ExternalData_1141214[[#This Row],[Dist_Stock]]+Table_ExternalData_1141214[[#This Row],[Diff]],Table_ExternalData_1141214[[#This Row],[Dist_Stock]])</f>
        <v>2360</v>
      </c>
    </row>
    <row r="85" spans="1:13" hidden="1">
      <c r="A85" s="295" t="s">
        <v>197</v>
      </c>
      <c r="B85" t="s">
        <v>351</v>
      </c>
      <c r="C85" t="s">
        <v>352</v>
      </c>
      <c r="D85" t="s">
        <v>44</v>
      </c>
      <c r="E85" t="s">
        <v>83</v>
      </c>
      <c r="F85">
        <v>380</v>
      </c>
      <c r="G85">
        <v>150</v>
      </c>
      <c r="H85">
        <v>7.1428570000000002</v>
      </c>
      <c r="I85">
        <v>219</v>
      </c>
      <c r="J85" t="str">
        <f>Table_ExternalData_1141214[[#This Row],[DIST_CD]]&amp;Table_ExternalData_1141214[[#This Row],[SKU]]</f>
        <v>S301MV_OB</v>
      </c>
      <c r="K85">
        <f>IFERROR(VLOOKUP(Table_ExternalData_1141214[[#This Row],[Chk]],'Weekly by Dist'!A:B,2,0),0)</f>
        <v>100</v>
      </c>
      <c r="L85">
        <f>Table_ExternalData_1141214[[#This Row],[SAP]]-Table_ExternalData_1141214[[#This Row],[Dist_Receipt]]</f>
        <v>-50</v>
      </c>
      <c r="M85">
        <f>IF(Table_ExternalData_1141214[[#This Row],[Diff]]&gt;0,Table_ExternalData_1141214[[#This Row],[Dist_Stock]]+Table_ExternalData_1141214[[#This Row],[Diff]],Table_ExternalData_1141214[[#This Row],[Dist_Stock]])</f>
        <v>380</v>
      </c>
    </row>
    <row r="86" spans="1:13" hidden="1">
      <c r="A86" s="295" t="s">
        <v>197</v>
      </c>
      <c r="B86" t="s">
        <v>351</v>
      </c>
      <c r="C86" t="s">
        <v>352</v>
      </c>
      <c r="D86" t="s">
        <v>263</v>
      </c>
      <c r="E86" t="s">
        <v>186</v>
      </c>
      <c r="F86">
        <v>14597</v>
      </c>
      <c r="G86">
        <v>46000</v>
      </c>
      <c r="H86">
        <v>1191</v>
      </c>
      <c r="I86">
        <v>34688</v>
      </c>
      <c r="J86" t="str">
        <f>Table_ExternalData_1141214[[#This Row],[DIST_CD]]&amp;Table_ExternalData_1141214[[#This Row],[SKU]]</f>
        <v>S301CM_FF</v>
      </c>
      <c r="K86">
        <f>IFERROR(VLOOKUP(Table_ExternalData_1141214[[#This Row],[Chk]],'Weekly by Dist'!A:B,2,0),0)</f>
        <v>15000</v>
      </c>
      <c r="L86">
        <f>Table_ExternalData_1141214[[#This Row],[SAP]]-Table_ExternalData_1141214[[#This Row],[Dist_Receipt]]</f>
        <v>-31000</v>
      </c>
      <c r="M86">
        <f>IF(Table_ExternalData_1141214[[#This Row],[Diff]]&gt;0,Table_ExternalData_1141214[[#This Row],[Dist_Stock]]+Table_ExternalData_1141214[[#This Row],[Diff]],Table_ExternalData_1141214[[#This Row],[Dist_Stock]])</f>
        <v>14597</v>
      </c>
    </row>
    <row r="87" spans="1:13" hidden="1">
      <c r="A87" s="295" t="s">
        <v>197</v>
      </c>
      <c r="B87" t="s">
        <v>351</v>
      </c>
      <c r="C87" t="s">
        <v>352</v>
      </c>
      <c r="D87" t="s">
        <v>46</v>
      </c>
      <c r="E87" t="s">
        <v>94</v>
      </c>
      <c r="F87">
        <v>5063</v>
      </c>
      <c r="G87">
        <v>10000</v>
      </c>
      <c r="H87">
        <v>280.83673399999998</v>
      </c>
      <c r="I87">
        <v>6922</v>
      </c>
      <c r="J87" t="str">
        <f>Table_ExternalData_1141214[[#This Row],[DIST_CD]]&amp;Table_ExternalData_1141214[[#This Row],[SKU]]</f>
        <v>S301WICO_RE</v>
      </c>
      <c r="K87">
        <f>IFERROR(VLOOKUP(Table_ExternalData_1141214[[#This Row],[Chk]],'Weekly by Dist'!A:B,2,0),0)</f>
        <v>3000</v>
      </c>
      <c r="L87">
        <f>Table_ExternalData_1141214[[#This Row],[SAP]]-Table_ExternalData_1141214[[#This Row],[Dist_Receipt]]</f>
        <v>-7000</v>
      </c>
      <c r="M87">
        <f>IF(Table_ExternalData_1141214[[#This Row],[Diff]]&gt;0,Table_ExternalData_1141214[[#This Row],[Dist_Stock]]+Table_ExternalData_1141214[[#This Row],[Diff]],Table_ExternalData_1141214[[#This Row],[Dist_Stock]])</f>
        <v>5063</v>
      </c>
    </row>
    <row r="88" spans="1:13" hidden="1">
      <c r="A88" s="295" t="s">
        <v>197</v>
      </c>
      <c r="B88" t="s">
        <v>351</v>
      </c>
      <c r="C88" t="s">
        <v>352</v>
      </c>
      <c r="D88" t="s">
        <v>44</v>
      </c>
      <c r="E88" t="s">
        <v>84</v>
      </c>
      <c r="F88">
        <v>160</v>
      </c>
      <c r="G88">
        <v>50</v>
      </c>
      <c r="H88">
        <v>5.5102039999999999</v>
      </c>
      <c r="I88">
        <v>80</v>
      </c>
      <c r="J88" t="str">
        <f>Table_ExternalData_1141214[[#This Row],[DIST_CD]]&amp;Table_ExternalData_1141214[[#This Row],[SKU]]</f>
        <v>S301MV_OPT</v>
      </c>
      <c r="K88">
        <f>IFERROR(VLOOKUP(Table_ExternalData_1141214[[#This Row],[Chk]],'Weekly by Dist'!A:B,2,0),0)</f>
        <v>0</v>
      </c>
      <c r="L88">
        <f>Table_ExternalData_1141214[[#This Row],[SAP]]-Table_ExternalData_1141214[[#This Row],[Dist_Receipt]]</f>
        <v>-50</v>
      </c>
      <c r="M88">
        <f>IF(Table_ExternalData_1141214[[#This Row],[Diff]]&gt;0,Table_ExternalData_1141214[[#This Row],[Dist_Stock]]+Table_ExternalData_1141214[[#This Row],[Diff]],Table_ExternalData_1141214[[#This Row],[Dist_Stock]])</f>
        <v>160</v>
      </c>
    </row>
    <row r="89" spans="1:13" hidden="1">
      <c r="A89" s="295" t="s">
        <v>197</v>
      </c>
      <c r="B89" t="s">
        <v>351</v>
      </c>
      <c r="C89" t="s">
        <v>352</v>
      </c>
      <c r="D89" t="s">
        <v>263</v>
      </c>
      <c r="E89" t="s">
        <v>184</v>
      </c>
      <c r="F89">
        <v>13108</v>
      </c>
      <c r="G89">
        <v>33500</v>
      </c>
      <c r="H89">
        <v>853.85714199999995</v>
      </c>
      <c r="I89">
        <v>23848</v>
      </c>
      <c r="J89" t="str">
        <f>Table_ExternalData_1141214[[#This Row],[DIST_CD]]&amp;Table_ExternalData_1141214[[#This Row],[SKU]]</f>
        <v>S301CM_BL</v>
      </c>
      <c r="K89">
        <f>IFERROR(VLOOKUP(Table_ExternalData_1141214[[#This Row],[Chk]],'Weekly by Dist'!A:B,2,0),0)</f>
        <v>10500</v>
      </c>
      <c r="L89">
        <f>Table_ExternalData_1141214[[#This Row],[SAP]]-Table_ExternalData_1141214[[#This Row],[Dist_Receipt]]</f>
        <v>-23000</v>
      </c>
      <c r="M89">
        <f>IF(Table_ExternalData_1141214[[#This Row],[Diff]]&gt;0,Table_ExternalData_1141214[[#This Row],[Dist_Stock]]+Table_ExternalData_1141214[[#This Row],[Diff]],Table_ExternalData_1141214[[#This Row],[Dist_Stock]])</f>
        <v>13108</v>
      </c>
    </row>
    <row r="90" spans="1:13">
      <c r="A90" s="295" t="s">
        <v>197</v>
      </c>
      <c r="B90" t="s">
        <v>353</v>
      </c>
      <c r="C90" t="s">
        <v>354</v>
      </c>
      <c r="D90" t="s">
        <v>46</v>
      </c>
      <c r="E90" t="s">
        <v>92</v>
      </c>
      <c r="F90">
        <v>18453</v>
      </c>
      <c r="G90">
        <v>12500</v>
      </c>
      <c r="H90">
        <v>655.632653</v>
      </c>
      <c r="I90">
        <v>17827</v>
      </c>
      <c r="J90" t="str">
        <f>Table_ExternalData_1141214[[#This Row],[DIST_CD]]&amp;Table_ExternalData_1141214[[#This Row],[SKU]]</f>
        <v>S302WICO_BL</v>
      </c>
      <c r="K90">
        <f>IFERROR(VLOOKUP(Table_ExternalData_1141214[[#This Row],[Chk]],'Weekly by Dist'!A:B,2,0),0)</f>
        <v>7500</v>
      </c>
      <c r="L90">
        <f>Table_ExternalData_1141214[[#This Row],[SAP]]-Table_ExternalData_1141214[[#This Row],[Dist_Receipt]]</f>
        <v>-5000</v>
      </c>
      <c r="M90">
        <f>IF(Table_ExternalData_1141214[[#This Row],[Diff]]&gt;0,Table_ExternalData_1141214[[#This Row],[Dist_Stock]]+Table_ExternalData_1141214[[#This Row],[Diff]],Table_ExternalData_1141214[[#This Row],[Dist_Stock]])</f>
        <v>18453</v>
      </c>
    </row>
    <row r="91" spans="1:13">
      <c r="A91" s="295" t="s">
        <v>197</v>
      </c>
      <c r="B91" t="s">
        <v>353</v>
      </c>
      <c r="C91" t="s">
        <v>354</v>
      </c>
      <c r="D91" t="s">
        <v>44</v>
      </c>
      <c r="E91" t="s">
        <v>83</v>
      </c>
      <c r="F91">
        <v>1409</v>
      </c>
      <c r="G91">
        <v>750</v>
      </c>
      <c r="H91">
        <v>26.918367</v>
      </c>
      <c r="I91">
        <v>771</v>
      </c>
      <c r="J91" t="str">
        <f>Table_ExternalData_1141214[[#This Row],[DIST_CD]]&amp;Table_ExternalData_1141214[[#This Row],[SKU]]</f>
        <v>S302MV_OB</v>
      </c>
      <c r="K91">
        <f>IFERROR(VLOOKUP(Table_ExternalData_1141214[[#This Row],[Chk]],'Weekly by Dist'!A:B,2,0),0)</f>
        <v>750</v>
      </c>
      <c r="L91">
        <f>Table_ExternalData_1141214[[#This Row],[SAP]]-Table_ExternalData_1141214[[#This Row],[Dist_Receipt]]</f>
        <v>0</v>
      </c>
      <c r="M91">
        <f>IF(Table_ExternalData_1141214[[#This Row],[Diff]]&gt;0,Table_ExternalData_1141214[[#This Row],[Dist_Stock]]+Table_ExternalData_1141214[[#This Row],[Diff]],Table_ExternalData_1141214[[#This Row],[Dist_Stock]])</f>
        <v>1409</v>
      </c>
    </row>
    <row r="92" spans="1:13">
      <c r="A92" s="295" t="s">
        <v>197</v>
      </c>
      <c r="B92" t="s">
        <v>353</v>
      </c>
      <c r="C92" t="s">
        <v>354</v>
      </c>
      <c r="D92" t="s">
        <v>263</v>
      </c>
      <c r="E92" t="s">
        <v>187</v>
      </c>
      <c r="F92">
        <v>4428</v>
      </c>
      <c r="G92">
        <v>2500</v>
      </c>
      <c r="H92">
        <v>145.14285699999999</v>
      </c>
      <c r="I92">
        <v>3588</v>
      </c>
      <c r="J92" t="str">
        <f>Table_ExternalData_1141214[[#This Row],[DIST_CD]]&amp;Table_ExternalData_1141214[[#This Row],[SKU]]</f>
        <v>S302CM_MN</v>
      </c>
      <c r="K92">
        <f>IFERROR(VLOOKUP(Table_ExternalData_1141214[[#This Row],[Chk]],'Weekly by Dist'!A:B,2,0),0)</f>
        <v>2500</v>
      </c>
      <c r="L92">
        <f>Table_ExternalData_1141214[[#This Row],[SAP]]-Table_ExternalData_1141214[[#This Row],[Dist_Receipt]]</f>
        <v>0</v>
      </c>
      <c r="M92">
        <f>IF(Table_ExternalData_1141214[[#This Row],[Diff]]&gt;0,Table_ExternalData_1141214[[#This Row],[Dist_Stock]]+Table_ExternalData_1141214[[#This Row],[Diff]],Table_ExternalData_1141214[[#This Row],[Dist_Stock]])</f>
        <v>4428</v>
      </c>
    </row>
    <row r="93" spans="1:13">
      <c r="A93" s="295" t="s">
        <v>197</v>
      </c>
      <c r="B93" t="s">
        <v>353</v>
      </c>
      <c r="C93" t="s">
        <v>354</v>
      </c>
      <c r="D93" t="s">
        <v>44</v>
      </c>
      <c r="E93" t="s">
        <v>84</v>
      </c>
      <c r="F93">
        <v>20</v>
      </c>
      <c r="G93">
        <v>80</v>
      </c>
      <c r="H93">
        <v>0.61224400000000001</v>
      </c>
      <c r="I93">
        <v>60</v>
      </c>
      <c r="J93" t="str">
        <f>Table_ExternalData_1141214[[#This Row],[DIST_CD]]&amp;Table_ExternalData_1141214[[#This Row],[SKU]]</f>
        <v>S302MV_OPT</v>
      </c>
      <c r="K93">
        <f>IFERROR(VLOOKUP(Table_ExternalData_1141214[[#This Row],[Chk]],'Weekly by Dist'!A:B,2,0),0)</f>
        <v>80</v>
      </c>
      <c r="L93">
        <f>Table_ExternalData_1141214[[#This Row],[SAP]]-Table_ExternalData_1141214[[#This Row],[Dist_Receipt]]</f>
        <v>0</v>
      </c>
      <c r="M93">
        <f>IF(Table_ExternalData_1141214[[#This Row],[Diff]]&gt;0,Table_ExternalData_1141214[[#This Row],[Dist_Stock]]+Table_ExternalData_1141214[[#This Row],[Diff]],Table_ExternalData_1141214[[#This Row],[Dist_Stock]])</f>
        <v>20</v>
      </c>
    </row>
    <row r="94" spans="1:13">
      <c r="A94" s="295" t="s">
        <v>197</v>
      </c>
      <c r="B94" t="s">
        <v>353</v>
      </c>
      <c r="C94" t="s">
        <v>354</v>
      </c>
      <c r="D94" t="s">
        <v>263</v>
      </c>
      <c r="E94" t="s">
        <v>184</v>
      </c>
      <c r="F94">
        <v>24612</v>
      </c>
      <c r="G94">
        <v>32000</v>
      </c>
      <c r="H94">
        <v>1288.0408159999999</v>
      </c>
      <c r="I94">
        <v>32238</v>
      </c>
      <c r="J94" t="str">
        <f>Table_ExternalData_1141214[[#This Row],[DIST_CD]]&amp;Table_ExternalData_1141214[[#This Row],[SKU]]</f>
        <v>S302CM_BL</v>
      </c>
      <c r="K94">
        <f>IFERROR(VLOOKUP(Table_ExternalData_1141214[[#This Row],[Chk]],'Weekly by Dist'!A:B,2,0),0)</f>
        <v>7000</v>
      </c>
      <c r="L94">
        <f>Table_ExternalData_1141214[[#This Row],[SAP]]-Table_ExternalData_1141214[[#This Row],[Dist_Receipt]]</f>
        <v>-25000</v>
      </c>
      <c r="M94">
        <f>IF(Table_ExternalData_1141214[[#This Row],[Diff]]&gt;0,Table_ExternalData_1141214[[#This Row],[Dist_Stock]]+Table_ExternalData_1141214[[#This Row],[Diff]],Table_ExternalData_1141214[[#This Row],[Dist_Stock]])</f>
        <v>24612</v>
      </c>
    </row>
    <row r="95" spans="1:13">
      <c r="A95" s="295" t="s">
        <v>197</v>
      </c>
      <c r="B95" t="s">
        <v>353</v>
      </c>
      <c r="C95" t="s">
        <v>354</v>
      </c>
      <c r="D95" t="s">
        <v>46</v>
      </c>
      <c r="E95" t="s">
        <v>94</v>
      </c>
      <c r="F95">
        <v>18206</v>
      </c>
      <c r="G95">
        <v>19000</v>
      </c>
      <c r="H95">
        <v>776.89795900000001</v>
      </c>
      <c r="I95">
        <v>16249</v>
      </c>
      <c r="J95" t="str">
        <f>Table_ExternalData_1141214[[#This Row],[DIST_CD]]&amp;Table_ExternalData_1141214[[#This Row],[SKU]]</f>
        <v>S302WICO_RE</v>
      </c>
      <c r="K95">
        <f>IFERROR(VLOOKUP(Table_ExternalData_1141214[[#This Row],[Chk]],'Weekly by Dist'!A:B,2,0),0)</f>
        <v>6000</v>
      </c>
      <c r="L95">
        <f>Table_ExternalData_1141214[[#This Row],[SAP]]-Table_ExternalData_1141214[[#This Row],[Dist_Receipt]]</f>
        <v>-13000</v>
      </c>
      <c r="M95">
        <f>IF(Table_ExternalData_1141214[[#This Row],[Diff]]&gt;0,Table_ExternalData_1141214[[#This Row],[Dist_Stock]]+Table_ExternalData_1141214[[#This Row],[Diff]],Table_ExternalData_1141214[[#This Row],[Dist_Stock]])</f>
        <v>18206</v>
      </c>
    </row>
    <row r="96" spans="1:13">
      <c r="A96" s="295" t="s">
        <v>197</v>
      </c>
      <c r="B96" t="s">
        <v>353</v>
      </c>
      <c r="C96" t="s">
        <v>354</v>
      </c>
      <c r="D96" t="s">
        <v>264</v>
      </c>
      <c r="E96" t="s">
        <v>188</v>
      </c>
      <c r="F96">
        <v>4469</v>
      </c>
      <c r="G96">
        <v>4000</v>
      </c>
      <c r="H96">
        <v>186.48979499999999</v>
      </c>
      <c r="I96">
        <v>4030</v>
      </c>
      <c r="J96" t="str">
        <f>Table_ExternalData_1141214[[#This Row],[DIST_CD]]&amp;Table_ExternalData_1141214[[#This Row],[SKU]]</f>
        <v>S302CMHD_YL</v>
      </c>
      <c r="K96">
        <f>IFERROR(VLOOKUP(Table_ExternalData_1141214[[#This Row],[Chk]],'Weekly by Dist'!A:B,2,0),0)</f>
        <v>4000</v>
      </c>
      <c r="L96">
        <f>Table_ExternalData_1141214[[#This Row],[SAP]]-Table_ExternalData_1141214[[#This Row],[Dist_Receipt]]</f>
        <v>0</v>
      </c>
      <c r="M96">
        <f>IF(Table_ExternalData_1141214[[#This Row],[Diff]]&gt;0,Table_ExternalData_1141214[[#This Row],[Dist_Stock]]+Table_ExternalData_1141214[[#This Row],[Diff]],Table_ExternalData_1141214[[#This Row],[Dist_Stock]])</f>
        <v>4469</v>
      </c>
    </row>
    <row r="97" spans="1:13">
      <c r="A97" s="295" t="s">
        <v>197</v>
      </c>
      <c r="B97" t="s">
        <v>353</v>
      </c>
      <c r="C97" t="s">
        <v>354</v>
      </c>
      <c r="D97" t="s">
        <v>44</v>
      </c>
      <c r="E97" t="s">
        <v>85</v>
      </c>
      <c r="F97">
        <v>920</v>
      </c>
      <c r="G97">
        <v>400</v>
      </c>
      <c r="H97">
        <v>25.734693</v>
      </c>
      <c r="I97">
        <v>580</v>
      </c>
      <c r="J97" t="str">
        <f>Table_ExternalData_1141214[[#This Row],[DIST_CD]]&amp;Table_ExternalData_1141214[[#This Row],[SKU]]</f>
        <v>S302MV_SB</v>
      </c>
      <c r="K97">
        <f>IFERROR(VLOOKUP(Table_ExternalData_1141214[[#This Row],[Chk]],'Weekly by Dist'!A:B,2,0),0)</f>
        <v>400</v>
      </c>
      <c r="L97">
        <f>Table_ExternalData_1141214[[#This Row],[SAP]]-Table_ExternalData_1141214[[#This Row],[Dist_Receipt]]</f>
        <v>0</v>
      </c>
      <c r="M97">
        <f>IF(Table_ExternalData_1141214[[#This Row],[Diff]]&gt;0,Table_ExternalData_1141214[[#This Row],[Dist_Stock]]+Table_ExternalData_1141214[[#This Row],[Diff]],Table_ExternalData_1141214[[#This Row],[Dist_Stock]])</f>
        <v>920</v>
      </c>
    </row>
    <row r="98" spans="1:13">
      <c r="A98" s="295" t="s">
        <v>197</v>
      </c>
      <c r="B98" t="s">
        <v>353</v>
      </c>
      <c r="C98" t="s">
        <v>354</v>
      </c>
      <c r="D98" t="s">
        <v>46</v>
      </c>
      <c r="E98" t="s">
        <v>93</v>
      </c>
      <c r="F98">
        <v>3983</v>
      </c>
      <c r="G98">
        <v>0</v>
      </c>
      <c r="H98">
        <v>129.591836</v>
      </c>
      <c r="I98">
        <v>2966</v>
      </c>
      <c r="J98" t="str">
        <f>Table_ExternalData_1141214[[#This Row],[DIST_CD]]&amp;Table_ExternalData_1141214[[#This Row],[SKU]]</f>
        <v>S302WICO_GR</v>
      </c>
      <c r="K98">
        <f>IFERROR(VLOOKUP(Table_ExternalData_1141214[[#This Row],[Chk]],'Weekly by Dist'!A:B,2,0),0)</f>
        <v>0</v>
      </c>
      <c r="L98">
        <f>Table_ExternalData_1141214[[#This Row],[SAP]]-Table_ExternalData_1141214[[#This Row],[Dist_Receipt]]</f>
        <v>0</v>
      </c>
      <c r="M98">
        <f>IF(Table_ExternalData_1141214[[#This Row],[Diff]]&gt;0,Table_ExternalData_1141214[[#This Row],[Dist_Stock]]+Table_ExternalData_1141214[[#This Row],[Diff]],Table_ExternalData_1141214[[#This Row],[Dist_Stock]])</f>
        <v>3983</v>
      </c>
    </row>
    <row r="99" spans="1:13">
      <c r="A99" s="295" t="s">
        <v>197</v>
      </c>
      <c r="B99" t="s">
        <v>353</v>
      </c>
      <c r="C99" t="s">
        <v>354</v>
      </c>
      <c r="D99" t="s">
        <v>263</v>
      </c>
      <c r="E99" t="s">
        <v>186</v>
      </c>
      <c r="F99">
        <v>35293</v>
      </c>
      <c r="G99">
        <v>51000</v>
      </c>
      <c r="H99">
        <v>1991.387755</v>
      </c>
      <c r="I99">
        <v>46804</v>
      </c>
      <c r="J99" t="str">
        <f>Table_ExternalData_1141214[[#This Row],[DIST_CD]]&amp;Table_ExternalData_1141214[[#This Row],[SKU]]</f>
        <v>S302CM_FF</v>
      </c>
      <c r="K99">
        <f>IFERROR(VLOOKUP(Table_ExternalData_1141214[[#This Row],[Chk]],'Weekly by Dist'!A:B,2,0),0)</f>
        <v>41000</v>
      </c>
      <c r="L99">
        <f>Table_ExternalData_1141214[[#This Row],[SAP]]-Table_ExternalData_1141214[[#This Row],[Dist_Receipt]]</f>
        <v>-10000</v>
      </c>
      <c r="M99">
        <f>IF(Table_ExternalData_1141214[[#This Row],[Diff]]&gt;0,Table_ExternalData_1141214[[#This Row],[Dist_Stock]]+Table_ExternalData_1141214[[#This Row],[Diff]],Table_ExternalData_1141214[[#This Row],[Dist_Stock]])</f>
        <v>35293</v>
      </c>
    </row>
    <row r="100" spans="1:13">
      <c r="A100" s="295" t="s">
        <v>197</v>
      </c>
      <c r="B100" t="s">
        <v>353</v>
      </c>
      <c r="C100" t="s">
        <v>354</v>
      </c>
      <c r="D100" t="s">
        <v>45</v>
      </c>
      <c r="E100" t="s">
        <v>88</v>
      </c>
      <c r="F100">
        <v>865</v>
      </c>
      <c r="G100">
        <v>550</v>
      </c>
      <c r="H100">
        <v>34.183672999999999</v>
      </c>
      <c r="I100">
        <v>690</v>
      </c>
      <c r="J100" t="str">
        <f>Table_ExternalData_1141214[[#This Row],[DIST_CD]]&amp;Table_ExternalData_1141214[[#This Row],[SKU]]</f>
        <v>S302WIKS_BL</v>
      </c>
      <c r="K100">
        <f>IFERROR(VLOOKUP(Table_ExternalData_1141214[[#This Row],[Chk]],'Weekly by Dist'!A:B,2,0),0)</f>
        <v>50</v>
      </c>
      <c r="L100">
        <f>Table_ExternalData_1141214[[#This Row],[SAP]]-Table_ExternalData_1141214[[#This Row],[Dist_Receipt]]</f>
        <v>-500</v>
      </c>
      <c r="M100">
        <f>IF(Table_ExternalData_1141214[[#This Row],[Diff]]&gt;0,Table_ExternalData_1141214[[#This Row],[Dist_Stock]]+Table_ExternalData_1141214[[#This Row],[Diff]],Table_ExternalData_1141214[[#This Row],[Dist_Stock]])</f>
        <v>865</v>
      </c>
    </row>
    <row r="101" spans="1:13" hidden="1">
      <c r="A101" s="295" t="s">
        <v>200</v>
      </c>
      <c r="B101" t="s">
        <v>356</v>
      </c>
      <c r="C101" t="s">
        <v>357</v>
      </c>
      <c r="D101" t="s">
        <v>264</v>
      </c>
      <c r="E101" t="s">
        <v>189</v>
      </c>
      <c r="F101">
        <v>4274</v>
      </c>
      <c r="G101">
        <v>5500</v>
      </c>
      <c r="H101">
        <v>295.38</v>
      </c>
      <c r="I101">
        <v>4956</v>
      </c>
      <c r="J101" t="str">
        <f>Table_ExternalData_1141214[[#This Row],[DIST_CD]]&amp;Table_ExternalData_1141214[[#This Row],[SKU]]</f>
        <v>S401CMHD_GR</v>
      </c>
      <c r="K101">
        <f>IFERROR(VLOOKUP(Table_ExternalData_1141214[[#This Row],[Chk]],'Weekly by Dist'!A:B,2,0),0)</f>
        <v>4000</v>
      </c>
      <c r="L101">
        <f>Table_ExternalData_1141214[[#This Row],[SAP]]-Table_ExternalData_1141214[[#This Row],[Dist_Receipt]]</f>
        <v>-1500</v>
      </c>
      <c r="M101">
        <f>IF(Table_ExternalData_1141214[[#This Row],[Diff]]&gt;0,Table_ExternalData_1141214[[#This Row],[Dist_Stock]]+Table_ExternalData_1141214[[#This Row],[Diff]],Table_ExternalData_1141214[[#This Row],[Dist_Stock]])</f>
        <v>4274</v>
      </c>
    </row>
    <row r="102" spans="1:13" hidden="1">
      <c r="A102" s="295" t="s">
        <v>200</v>
      </c>
      <c r="B102" t="s">
        <v>356</v>
      </c>
      <c r="C102" t="s">
        <v>357</v>
      </c>
      <c r="D102" t="s">
        <v>263</v>
      </c>
      <c r="E102" t="s">
        <v>185</v>
      </c>
      <c r="F102">
        <v>16</v>
      </c>
      <c r="G102">
        <v>0</v>
      </c>
      <c r="H102">
        <v>0</v>
      </c>
      <c r="I102">
        <v>0</v>
      </c>
      <c r="J102" t="str">
        <f>Table_ExternalData_1141214[[#This Row],[DIST_CD]]&amp;Table_ExternalData_1141214[[#This Row],[SKU]]</f>
        <v>S401CM_EC</v>
      </c>
      <c r="K102">
        <f>IFERROR(VLOOKUP(Table_ExternalData_1141214[[#This Row],[Chk]],'Weekly by Dist'!A:B,2,0),0)</f>
        <v>0</v>
      </c>
      <c r="L102">
        <f>Table_ExternalData_1141214[[#This Row],[SAP]]-Table_ExternalData_1141214[[#This Row],[Dist_Receipt]]</f>
        <v>0</v>
      </c>
      <c r="M102">
        <f>IF(Table_ExternalData_1141214[[#This Row],[Diff]]&gt;0,Table_ExternalData_1141214[[#This Row],[Dist_Stock]]+Table_ExternalData_1141214[[#This Row],[Diff]],Table_ExternalData_1141214[[#This Row],[Dist_Stock]])</f>
        <v>16</v>
      </c>
    </row>
    <row r="103" spans="1:13" hidden="1">
      <c r="A103" s="295" t="s">
        <v>200</v>
      </c>
      <c r="B103" t="s">
        <v>356</v>
      </c>
      <c r="C103" t="s">
        <v>357</v>
      </c>
      <c r="D103" t="s">
        <v>44</v>
      </c>
      <c r="E103" t="s">
        <v>83</v>
      </c>
      <c r="F103">
        <v>230</v>
      </c>
      <c r="G103">
        <v>0</v>
      </c>
      <c r="H103">
        <v>3.04</v>
      </c>
      <c r="I103">
        <v>90</v>
      </c>
      <c r="J103" t="str">
        <f>Table_ExternalData_1141214[[#This Row],[DIST_CD]]&amp;Table_ExternalData_1141214[[#This Row],[SKU]]</f>
        <v>S401MV_OB</v>
      </c>
      <c r="K103">
        <f>IFERROR(VLOOKUP(Table_ExternalData_1141214[[#This Row],[Chk]],'Weekly by Dist'!A:B,2,0),0)</f>
        <v>0</v>
      </c>
      <c r="L103">
        <f>Table_ExternalData_1141214[[#This Row],[SAP]]-Table_ExternalData_1141214[[#This Row],[Dist_Receipt]]</f>
        <v>0</v>
      </c>
      <c r="M103">
        <f>IF(Table_ExternalData_1141214[[#This Row],[Diff]]&gt;0,Table_ExternalData_1141214[[#This Row],[Dist_Stock]]+Table_ExternalData_1141214[[#This Row],[Diff]],Table_ExternalData_1141214[[#This Row],[Dist_Stock]])</f>
        <v>230</v>
      </c>
    </row>
    <row r="104" spans="1:13" hidden="1">
      <c r="A104" s="295" t="s">
        <v>200</v>
      </c>
      <c r="B104" t="s">
        <v>356</v>
      </c>
      <c r="C104" t="s">
        <v>357</v>
      </c>
      <c r="D104" t="s">
        <v>45</v>
      </c>
      <c r="E104" t="s">
        <v>88</v>
      </c>
      <c r="F104">
        <v>198</v>
      </c>
      <c r="G104">
        <v>250</v>
      </c>
      <c r="H104">
        <v>9.44</v>
      </c>
      <c r="I104">
        <v>230</v>
      </c>
      <c r="J104" t="str">
        <f>Table_ExternalData_1141214[[#This Row],[DIST_CD]]&amp;Table_ExternalData_1141214[[#This Row],[SKU]]</f>
        <v>S401WIKS_BL</v>
      </c>
      <c r="K104">
        <f>IFERROR(VLOOKUP(Table_ExternalData_1141214[[#This Row],[Chk]],'Weekly by Dist'!A:B,2,0),0)</f>
        <v>0</v>
      </c>
      <c r="L104">
        <f>Table_ExternalData_1141214[[#This Row],[SAP]]-Table_ExternalData_1141214[[#This Row],[Dist_Receipt]]</f>
        <v>-250</v>
      </c>
      <c r="M104">
        <f>IF(Table_ExternalData_1141214[[#This Row],[Diff]]&gt;0,Table_ExternalData_1141214[[#This Row],[Dist_Stock]]+Table_ExternalData_1141214[[#This Row],[Diff]],Table_ExternalData_1141214[[#This Row],[Dist_Stock]])</f>
        <v>198</v>
      </c>
    </row>
    <row r="105" spans="1:13" hidden="1">
      <c r="A105" s="295" t="s">
        <v>200</v>
      </c>
      <c r="B105" t="s">
        <v>356</v>
      </c>
      <c r="C105" t="s">
        <v>357</v>
      </c>
      <c r="D105" t="s">
        <v>263</v>
      </c>
      <c r="E105" t="s">
        <v>187</v>
      </c>
      <c r="F105">
        <v>6482</v>
      </c>
      <c r="G105">
        <v>6000</v>
      </c>
      <c r="H105">
        <v>356.14</v>
      </c>
      <c r="I105">
        <v>9354</v>
      </c>
      <c r="J105" t="str">
        <f>Table_ExternalData_1141214[[#This Row],[DIST_CD]]&amp;Table_ExternalData_1141214[[#This Row],[SKU]]</f>
        <v>S401CM_MN</v>
      </c>
      <c r="K105">
        <f>IFERROR(VLOOKUP(Table_ExternalData_1141214[[#This Row],[Chk]],'Weekly by Dist'!A:B,2,0),0)</f>
        <v>4000</v>
      </c>
      <c r="L105">
        <f>Table_ExternalData_1141214[[#This Row],[SAP]]-Table_ExternalData_1141214[[#This Row],[Dist_Receipt]]</f>
        <v>-2000</v>
      </c>
      <c r="M105">
        <f>IF(Table_ExternalData_1141214[[#This Row],[Diff]]&gt;0,Table_ExternalData_1141214[[#This Row],[Dist_Stock]]+Table_ExternalData_1141214[[#This Row],[Diff]],Table_ExternalData_1141214[[#This Row],[Dist_Stock]])</f>
        <v>6482</v>
      </c>
    </row>
    <row r="106" spans="1:13" hidden="1">
      <c r="A106" s="295" t="s">
        <v>200</v>
      </c>
      <c r="B106" t="s">
        <v>356</v>
      </c>
      <c r="C106" t="s">
        <v>357</v>
      </c>
      <c r="D106" t="s">
        <v>46</v>
      </c>
      <c r="E106" t="s">
        <v>94</v>
      </c>
      <c r="F106">
        <v>21113</v>
      </c>
      <c r="G106">
        <v>30250</v>
      </c>
      <c r="H106">
        <v>1271.04</v>
      </c>
      <c r="I106">
        <v>34335</v>
      </c>
      <c r="J106" t="str">
        <f>Table_ExternalData_1141214[[#This Row],[DIST_CD]]&amp;Table_ExternalData_1141214[[#This Row],[SKU]]</f>
        <v>S401WICO_RE</v>
      </c>
      <c r="K106">
        <f>IFERROR(VLOOKUP(Table_ExternalData_1141214[[#This Row],[Chk]],'Weekly by Dist'!A:B,2,0),0)</f>
        <v>12250</v>
      </c>
      <c r="L106">
        <f>Table_ExternalData_1141214[[#This Row],[SAP]]-Table_ExternalData_1141214[[#This Row],[Dist_Receipt]]</f>
        <v>-18000</v>
      </c>
      <c r="M106">
        <f>IF(Table_ExternalData_1141214[[#This Row],[Diff]]&gt;0,Table_ExternalData_1141214[[#This Row],[Dist_Stock]]+Table_ExternalData_1141214[[#This Row],[Diff]],Table_ExternalData_1141214[[#This Row],[Dist_Stock]])</f>
        <v>21113</v>
      </c>
    </row>
    <row r="107" spans="1:13" hidden="1">
      <c r="A107" s="295" t="s">
        <v>200</v>
      </c>
      <c r="B107" t="s">
        <v>356</v>
      </c>
      <c r="C107" t="s">
        <v>357</v>
      </c>
      <c r="D107" t="s">
        <v>44</v>
      </c>
      <c r="E107" t="s">
        <v>85</v>
      </c>
      <c r="F107">
        <v>610</v>
      </c>
      <c r="G107">
        <v>1750</v>
      </c>
      <c r="H107">
        <v>30</v>
      </c>
      <c r="I107">
        <v>1250</v>
      </c>
      <c r="J107" t="str">
        <f>Table_ExternalData_1141214[[#This Row],[DIST_CD]]&amp;Table_ExternalData_1141214[[#This Row],[SKU]]</f>
        <v>S401MV_SB</v>
      </c>
      <c r="K107">
        <f>IFERROR(VLOOKUP(Table_ExternalData_1141214[[#This Row],[Chk]],'Weekly by Dist'!A:B,2,0),0)</f>
        <v>1250</v>
      </c>
      <c r="L107">
        <f>Table_ExternalData_1141214[[#This Row],[SAP]]-Table_ExternalData_1141214[[#This Row],[Dist_Receipt]]</f>
        <v>-500</v>
      </c>
      <c r="M107">
        <f>IF(Table_ExternalData_1141214[[#This Row],[Diff]]&gt;0,Table_ExternalData_1141214[[#This Row],[Dist_Stock]]+Table_ExternalData_1141214[[#This Row],[Diff]],Table_ExternalData_1141214[[#This Row],[Dist_Stock]])</f>
        <v>610</v>
      </c>
    </row>
    <row r="108" spans="1:13" hidden="1">
      <c r="A108" s="295" t="s">
        <v>200</v>
      </c>
      <c r="B108" t="s">
        <v>356</v>
      </c>
      <c r="C108" t="s">
        <v>357</v>
      </c>
      <c r="D108" t="s">
        <v>263</v>
      </c>
      <c r="E108" t="s">
        <v>184</v>
      </c>
      <c r="F108">
        <v>7258</v>
      </c>
      <c r="G108">
        <v>22500</v>
      </c>
      <c r="H108">
        <v>655.8</v>
      </c>
      <c r="I108">
        <v>16882</v>
      </c>
      <c r="J108" t="str">
        <f>Table_ExternalData_1141214[[#This Row],[DIST_CD]]&amp;Table_ExternalData_1141214[[#This Row],[SKU]]</f>
        <v>S401CM_BL</v>
      </c>
      <c r="K108">
        <f>IFERROR(VLOOKUP(Table_ExternalData_1141214[[#This Row],[Chk]],'Weekly by Dist'!A:B,2,0),0)</f>
        <v>9000</v>
      </c>
      <c r="L108">
        <f>Table_ExternalData_1141214[[#This Row],[SAP]]-Table_ExternalData_1141214[[#This Row],[Dist_Receipt]]</f>
        <v>-13500</v>
      </c>
      <c r="M108">
        <f>IF(Table_ExternalData_1141214[[#This Row],[Diff]]&gt;0,Table_ExternalData_1141214[[#This Row],[Dist_Stock]]+Table_ExternalData_1141214[[#This Row],[Diff]],Table_ExternalData_1141214[[#This Row],[Dist_Stock]])</f>
        <v>7258</v>
      </c>
    </row>
    <row r="109" spans="1:13" hidden="1">
      <c r="A109" s="295" t="s">
        <v>200</v>
      </c>
      <c r="B109" t="s">
        <v>356</v>
      </c>
      <c r="C109" t="s">
        <v>357</v>
      </c>
      <c r="D109" t="s">
        <v>46</v>
      </c>
      <c r="E109" t="s">
        <v>93</v>
      </c>
      <c r="F109">
        <v>19783</v>
      </c>
      <c r="G109">
        <v>26000</v>
      </c>
      <c r="H109">
        <v>1180.58</v>
      </c>
      <c r="I109">
        <v>32475</v>
      </c>
      <c r="J109" t="str">
        <f>Table_ExternalData_1141214[[#This Row],[DIST_CD]]&amp;Table_ExternalData_1141214[[#This Row],[SKU]]</f>
        <v>S401WICO_GR</v>
      </c>
      <c r="K109">
        <f>IFERROR(VLOOKUP(Table_ExternalData_1141214[[#This Row],[Chk]],'Weekly by Dist'!A:B,2,0),0)</f>
        <v>7000</v>
      </c>
      <c r="L109">
        <f>Table_ExternalData_1141214[[#This Row],[SAP]]-Table_ExternalData_1141214[[#This Row],[Dist_Receipt]]</f>
        <v>-19000</v>
      </c>
      <c r="M109">
        <f>IF(Table_ExternalData_1141214[[#This Row],[Diff]]&gt;0,Table_ExternalData_1141214[[#This Row],[Dist_Stock]]+Table_ExternalData_1141214[[#This Row],[Diff]],Table_ExternalData_1141214[[#This Row],[Dist_Stock]])</f>
        <v>19783</v>
      </c>
    </row>
    <row r="110" spans="1:13" hidden="1">
      <c r="A110" s="295" t="s">
        <v>200</v>
      </c>
      <c r="B110" t="s">
        <v>356</v>
      </c>
      <c r="C110" t="s">
        <v>357</v>
      </c>
      <c r="D110" t="s">
        <v>263</v>
      </c>
      <c r="E110" t="s">
        <v>186</v>
      </c>
      <c r="F110">
        <v>22345</v>
      </c>
      <c r="G110">
        <v>55000</v>
      </c>
      <c r="H110">
        <v>1965.74</v>
      </c>
      <c r="I110">
        <v>48070</v>
      </c>
      <c r="J110" t="str">
        <f>Table_ExternalData_1141214[[#This Row],[DIST_CD]]&amp;Table_ExternalData_1141214[[#This Row],[SKU]]</f>
        <v>S401CM_FF</v>
      </c>
      <c r="K110">
        <f>IFERROR(VLOOKUP(Table_ExternalData_1141214[[#This Row],[Chk]],'Weekly by Dist'!A:B,2,0),0)</f>
        <v>31000</v>
      </c>
      <c r="L110">
        <f>Table_ExternalData_1141214[[#This Row],[SAP]]-Table_ExternalData_1141214[[#This Row],[Dist_Receipt]]</f>
        <v>-24000</v>
      </c>
      <c r="M110">
        <f>IF(Table_ExternalData_1141214[[#This Row],[Diff]]&gt;0,Table_ExternalData_1141214[[#This Row],[Dist_Stock]]+Table_ExternalData_1141214[[#This Row],[Diff]],Table_ExternalData_1141214[[#This Row],[Dist_Stock]])</f>
        <v>22345</v>
      </c>
    </row>
    <row r="111" spans="1:13" hidden="1">
      <c r="A111" s="295" t="s">
        <v>200</v>
      </c>
      <c r="B111" t="s">
        <v>356</v>
      </c>
      <c r="C111" t="s">
        <v>357</v>
      </c>
      <c r="D111" t="s">
        <v>46</v>
      </c>
      <c r="E111" t="s">
        <v>92</v>
      </c>
      <c r="F111">
        <v>9831</v>
      </c>
      <c r="G111">
        <v>9000</v>
      </c>
      <c r="H111">
        <v>411.9</v>
      </c>
      <c r="I111">
        <v>9767</v>
      </c>
      <c r="J111" t="str">
        <f>Table_ExternalData_1141214[[#This Row],[DIST_CD]]&amp;Table_ExternalData_1141214[[#This Row],[SKU]]</f>
        <v>S401WICO_BL</v>
      </c>
      <c r="K111">
        <f>IFERROR(VLOOKUP(Table_ExternalData_1141214[[#This Row],[Chk]],'Weekly by Dist'!A:B,2,0),0)</f>
        <v>2000</v>
      </c>
      <c r="L111">
        <f>Table_ExternalData_1141214[[#This Row],[SAP]]-Table_ExternalData_1141214[[#This Row],[Dist_Receipt]]</f>
        <v>-7000</v>
      </c>
      <c r="M111">
        <f>IF(Table_ExternalData_1141214[[#This Row],[Diff]]&gt;0,Table_ExternalData_1141214[[#This Row],[Dist_Stock]]+Table_ExternalData_1141214[[#This Row],[Diff]],Table_ExternalData_1141214[[#This Row],[Dist_Stock]])</f>
        <v>9831</v>
      </c>
    </row>
    <row r="112" spans="1:13" hidden="1">
      <c r="A112" s="295" t="s">
        <v>200</v>
      </c>
      <c r="B112" t="s">
        <v>356</v>
      </c>
      <c r="C112" t="s">
        <v>357</v>
      </c>
      <c r="D112" t="s">
        <v>264</v>
      </c>
      <c r="E112" t="s">
        <v>188</v>
      </c>
      <c r="F112">
        <v>20246</v>
      </c>
      <c r="G112">
        <v>45750</v>
      </c>
      <c r="H112">
        <v>1999.92</v>
      </c>
      <c r="I112">
        <v>39221</v>
      </c>
      <c r="J112" t="str">
        <f>Table_ExternalData_1141214[[#This Row],[DIST_CD]]&amp;Table_ExternalData_1141214[[#This Row],[SKU]]</f>
        <v>S401CMHD_YL</v>
      </c>
      <c r="K112">
        <f>IFERROR(VLOOKUP(Table_ExternalData_1141214[[#This Row],[Chk]],'Weekly by Dist'!A:B,2,0),0)</f>
        <v>27000</v>
      </c>
      <c r="L112">
        <f>Table_ExternalData_1141214[[#This Row],[SAP]]-Table_ExternalData_1141214[[#This Row],[Dist_Receipt]]</f>
        <v>-18750</v>
      </c>
      <c r="M112">
        <f>IF(Table_ExternalData_1141214[[#This Row],[Diff]]&gt;0,Table_ExternalData_1141214[[#This Row],[Dist_Stock]]+Table_ExternalData_1141214[[#This Row],[Diff]],Table_ExternalData_1141214[[#This Row],[Dist_Stock]])</f>
        <v>20246</v>
      </c>
    </row>
    <row r="113" spans="1:13" hidden="1">
      <c r="A113" s="295" t="s">
        <v>200</v>
      </c>
      <c r="B113" t="s">
        <v>356</v>
      </c>
      <c r="C113" t="s">
        <v>357</v>
      </c>
      <c r="D113" t="s">
        <v>44</v>
      </c>
      <c r="E113" t="s">
        <v>84</v>
      </c>
      <c r="F113">
        <v>8</v>
      </c>
      <c r="G113">
        <v>0</v>
      </c>
      <c r="H113">
        <v>4</v>
      </c>
      <c r="I113">
        <v>0</v>
      </c>
      <c r="J113" t="str">
        <f>Table_ExternalData_1141214[[#This Row],[DIST_CD]]&amp;Table_ExternalData_1141214[[#This Row],[SKU]]</f>
        <v>S401MV_OPT</v>
      </c>
      <c r="K113">
        <f>IFERROR(VLOOKUP(Table_ExternalData_1141214[[#This Row],[Chk]],'Weekly by Dist'!A:B,2,0),0)</f>
        <v>0</v>
      </c>
      <c r="L113">
        <f>Table_ExternalData_1141214[[#This Row],[SAP]]-Table_ExternalData_1141214[[#This Row],[Dist_Receipt]]</f>
        <v>0</v>
      </c>
      <c r="M113">
        <f>IF(Table_ExternalData_1141214[[#This Row],[Diff]]&gt;0,Table_ExternalData_1141214[[#This Row],[Dist_Stock]]+Table_ExternalData_1141214[[#This Row],[Diff]],Table_ExternalData_1141214[[#This Row],[Dist_Stock]])</f>
        <v>8</v>
      </c>
    </row>
    <row r="114" spans="1:13" hidden="1">
      <c r="A114" s="295" t="s">
        <v>204</v>
      </c>
      <c r="B114" t="s">
        <v>359</v>
      </c>
      <c r="C114" t="s">
        <v>360</v>
      </c>
      <c r="D114" t="s">
        <v>263</v>
      </c>
      <c r="E114" t="s">
        <v>186</v>
      </c>
      <c r="F114">
        <v>17165</v>
      </c>
      <c r="G114">
        <v>40750</v>
      </c>
      <c r="H114">
        <v>1591.1836719999999</v>
      </c>
      <c r="I114">
        <v>40636</v>
      </c>
      <c r="J114" t="str">
        <f>Table_ExternalData_1141214[[#This Row],[DIST_CD]]&amp;Table_ExternalData_1141214[[#This Row],[SKU]]</f>
        <v>S504CM_FF</v>
      </c>
      <c r="K114">
        <f>IFERROR(VLOOKUP(Table_ExternalData_1141214[[#This Row],[Chk]],'Weekly by Dist'!A:B,2,0),0)</f>
        <v>19000</v>
      </c>
      <c r="L114">
        <f>Table_ExternalData_1141214[[#This Row],[SAP]]-Table_ExternalData_1141214[[#This Row],[Dist_Receipt]]</f>
        <v>-21750</v>
      </c>
      <c r="M114">
        <f>IF(Table_ExternalData_1141214[[#This Row],[Diff]]&gt;0,Table_ExternalData_1141214[[#This Row],[Dist_Stock]]+Table_ExternalData_1141214[[#This Row],[Diff]],Table_ExternalData_1141214[[#This Row],[Dist_Stock]])</f>
        <v>17165</v>
      </c>
    </row>
    <row r="115" spans="1:13" hidden="1">
      <c r="A115" s="295" t="s">
        <v>204</v>
      </c>
      <c r="B115" t="s">
        <v>359</v>
      </c>
      <c r="C115" t="s">
        <v>360</v>
      </c>
      <c r="D115" t="s">
        <v>264</v>
      </c>
      <c r="E115" t="s">
        <v>188</v>
      </c>
      <c r="F115">
        <v>14567</v>
      </c>
      <c r="G115">
        <v>42750</v>
      </c>
      <c r="H115">
        <v>1816.3673449999999</v>
      </c>
      <c r="I115">
        <v>38607</v>
      </c>
      <c r="J115" t="str">
        <f>Table_ExternalData_1141214[[#This Row],[DIST_CD]]&amp;Table_ExternalData_1141214[[#This Row],[SKU]]</f>
        <v>S504CMHD_YL</v>
      </c>
      <c r="K115">
        <f>IFERROR(VLOOKUP(Table_ExternalData_1141214[[#This Row],[Chk]],'Weekly by Dist'!A:B,2,0),0)</f>
        <v>18000</v>
      </c>
      <c r="L115">
        <f>Table_ExternalData_1141214[[#This Row],[SAP]]-Table_ExternalData_1141214[[#This Row],[Dist_Receipt]]</f>
        <v>-24750</v>
      </c>
      <c r="M115">
        <f>IF(Table_ExternalData_1141214[[#This Row],[Diff]]&gt;0,Table_ExternalData_1141214[[#This Row],[Dist_Stock]]+Table_ExternalData_1141214[[#This Row],[Diff]],Table_ExternalData_1141214[[#This Row],[Dist_Stock]])</f>
        <v>14567</v>
      </c>
    </row>
    <row r="116" spans="1:13" hidden="1">
      <c r="A116" s="295" t="s">
        <v>204</v>
      </c>
      <c r="B116" t="s">
        <v>359</v>
      </c>
      <c r="C116" t="s">
        <v>360</v>
      </c>
      <c r="D116" t="s">
        <v>264</v>
      </c>
      <c r="E116" t="s">
        <v>189</v>
      </c>
      <c r="F116">
        <v>6897</v>
      </c>
      <c r="G116">
        <v>11750</v>
      </c>
      <c r="H116">
        <v>439.99999800000001</v>
      </c>
      <c r="I116">
        <v>9915</v>
      </c>
      <c r="J116" t="str">
        <f>Table_ExternalData_1141214[[#This Row],[DIST_CD]]&amp;Table_ExternalData_1141214[[#This Row],[SKU]]</f>
        <v>S504CMHD_GR</v>
      </c>
      <c r="K116">
        <f>IFERROR(VLOOKUP(Table_ExternalData_1141214[[#This Row],[Chk]],'Weekly by Dist'!A:B,2,0),0)</f>
        <v>3500</v>
      </c>
      <c r="L116">
        <f>Table_ExternalData_1141214[[#This Row],[SAP]]-Table_ExternalData_1141214[[#This Row],[Dist_Receipt]]</f>
        <v>-8250</v>
      </c>
      <c r="M116">
        <f>IF(Table_ExternalData_1141214[[#This Row],[Diff]]&gt;0,Table_ExternalData_1141214[[#This Row],[Dist_Stock]]+Table_ExternalData_1141214[[#This Row],[Diff]],Table_ExternalData_1141214[[#This Row],[Dist_Stock]])</f>
        <v>6897</v>
      </c>
    </row>
    <row r="117" spans="1:13" hidden="1">
      <c r="A117" s="295" t="s">
        <v>204</v>
      </c>
      <c r="B117" t="s">
        <v>359</v>
      </c>
      <c r="C117" t="s">
        <v>360</v>
      </c>
      <c r="D117" t="s">
        <v>46</v>
      </c>
      <c r="E117" t="s">
        <v>94</v>
      </c>
      <c r="F117">
        <v>7231</v>
      </c>
      <c r="G117">
        <v>12250</v>
      </c>
      <c r="H117">
        <v>419.91836699999999</v>
      </c>
      <c r="I117">
        <v>11300</v>
      </c>
      <c r="J117" t="str">
        <f>Table_ExternalData_1141214[[#This Row],[DIST_CD]]&amp;Table_ExternalData_1141214[[#This Row],[SKU]]</f>
        <v>S504WICO_RE</v>
      </c>
      <c r="K117">
        <f>IFERROR(VLOOKUP(Table_ExternalData_1141214[[#This Row],[Chk]],'Weekly by Dist'!A:B,2,0),0)</f>
        <v>5000</v>
      </c>
      <c r="L117">
        <f>Table_ExternalData_1141214[[#This Row],[SAP]]-Table_ExternalData_1141214[[#This Row],[Dist_Receipt]]</f>
        <v>-7250</v>
      </c>
      <c r="M117">
        <f>IF(Table_ExternalData_1141214[[#This Row],[Diff]]&gt;0,Table_ExternalData_1141214[[#This Row],[Dist_Stock]]+Table_ExternalData_1141214[[#This Row],[Diff]],Table_ExternalData_1141214[[#This Row],[Dist_Stock]])</f>
        <v>7231</v>
      </c>
    </row>
    <row r="118" spans="1:13" hidden="1">
      <c r="A118" s="295" t="s">
        <v>204</v>
      </c>
      <c r="B118" t="s">
        <v>359</v>
      </c>
      <c r="C118" t="s">
        <v>360</v>
      </c>
      <c r="D118" t="s">
        <v>263</v>
      </c>
      <c r="E118" t="s">
        <v>187</v>
      </c>
      <c r="F118">
        <v>5411</v>
      </c>
      <c r="G118">
        <v>8500</v>
      </c>
      <c r="H118">
        <v>338.02040499999998</v>
      </c>
      <c r="I118">
        <v>7617</v>
      </c>
      <c r="J118" t="str">
        <f>Table_ExternalData_1141214[[#This Row],[DIST_CD]]&amp;Table_ExternalData_1141214[[#This Row],[SKU]]</f>
        <v>S504CM_MN</v>
      </c>
      <c r="K118">
        <f>IFERROR(VLOOKUP(Table_ExternalData_1141214[[#This Row],[Chk]],'Weekly by Dist'!A:B,2,0),0)</f>
        <v>4000</v>
      </c>
      <c r="L118">
        <f>Table_ExternalData_1141214[[#This Row],[SAP]]-Table_ExternalData_1141214[[#This Row],[Dist_Receipt]]</f>
        <v>-4500</v>
      </c>
      <c r="M118">
        <f>IF(Table_ExternalData_1141214[[#This Row],[Diff]]&gt;0,Table_ExternalData_1141214[[#This Row],[Dist_Stock]]+Table_ExternalData_1141214[[#This Row],[Diff]],Table_ExternalData_1141214[[#This Row],[Dist_Stock]])</f>
        <v>5411</v>
      </c>
    </row>
    <row r="119" spans="1:13" hidden="1">
      <c r="A119" s="295" t="s">
        <v>204</v>
      </c>
      <c r="B119" t="s">
        <v>359</v>
      </c>
      <c r="C119" t="s">
        <v>360</v>
      </c>
      <c r="D119" t="s">
        <v>46</v>
      </c>
      <c r="E119" t="s">
        <v>93</v>
      </c>
      <c r="F119">
        <v>6890</v>
      </c>
      <c r="G119">
        <v>8500</v>
      </c>
      <c r="H119">
        <v>277.22448700000001</v>
      </c>
      <c r="I119">
        <v>7491</v>
      </c>
      <c r="J119" t="str">
        <f>Table_ExternalData_1141214[[#This Row],[DIST_CD]]&amp;Table_ExternalData_1141214[[#This Row],[SKU]]</f>
        <v>S504WICO_GR</v>
      </c>
      <c r="K119">
        <f>IFERROR(VLOOKUP(Table_ExternalData_1141214[[#This Row],[Chk]],'Weekly by Dist'!A:B,2,0),0)</f>
        <v>2750</v>
      </c>
      <c r="L119">
        <f>Table_ExternalData_1141214[[#This Row],[SAP]]-Table_ExternalData_1141214[[#This Row],[Dist_Receipt]]</f>
        <v>-5750</v>
      </c>
      <c r="M119">
        <f>IF(Table_ExternalData_1141214[[#This Row],[Diff]]&gt;0,Table_ExternalData_1141214[[#This Row],[Dist_Stock]]+Table_ExternalData_1141214[[#This Row],[Diff]],Table_ExternalData_1141214[[#This Row],[Dist_Stock]])</f>
        <v>6890</v>
      </c>
    </row>
    <row r="120" spans="1:13" hidden="1">
      <c r="A120" s="295" t="s">
        <v>204</v>
      </c>
      <c r="B120" t="s">
        <v>359</v>
      </c>
      <c r="C120" t="s">
        <v>360</v>
      </c>
      <c r="D120" t="s">
        <v>263</v>
      </c>
      <c r="E120" t="s">
        <v>184</v>
      </c>
      <c r="F120">
        <v>4052</v>
      </c>
      <c r="G120">
        <v>6210</v>
      </c>
      <c r="H120">
        <v>253.65306000000001</v>
      </c>
      <c r="I120">
        <v>6817</v>
      </c>
      <c r="J120" t="str">
        <f>Table_ExternalData_1141214[[#This Row],[DIST_CD]]&amp;Table_ExternalData_1141214[[#This Row],[SKU]]</f>
        <v>S504CM_BL</v>
      </c>
      <c r="K120">
        <f>IFERROR(VLOOKUP(Table_ExternalData_1141214[[#This Row],[Chk]],'Weekly by Dist'!A:B,2,0),0)</f>
        <v>1960</v>
      </c>
      <c r="L120">
        <f>Table_ExternalData_1141214[[#This Row],[SAP]]-Table_ExternalData_1141214[[#This Row],[Dist_Receipt]]</f>
        <v>-4250</v>
      </c>
      <c r="M120">
        <f>IF(Table_ExternalData_1141214[[#This Row],[Diff]]&gt;0,Table_ExternalData_1141214[[#This Row],[Dist_Stock]]+Table_ExternalData_1141214[[#This Row],[Diff]],Table_ExternalData_1141214[[#This Row],[Dist_Stock]])</f>
        <v>4052</v>
      </c>
    </row>
    <row r="121" spans="1:13" hidden="1">
      <c r="A121" s="295" t="s">
        <v>204</v>
      </c>
      <c r="B121" t="s">
        <v>359</v>
      </c>
      <c r="C121" t="s">
        <v>360</v>
      </c>
      <c r="D121" t="s">
        <v>44</v>
      </c>
      <c r="E121" t="s">
        <v>83</v>
      </c>
      <c r="F121">
        <v>0</v>
      </c>
      <c r="G121">
        <v>0</v>
      </c>
      <c r="H121">
        <v>0</v>
      </c>
      <c r="I121">
        <v>120</v>
      </c>
      <c r="J121" t="str">
        <f>Table_ExternalData_1141214[[#This Row],[DIST_CD]]&amp;Table_ExternalData_1141214[[#This Row],[SKU]]</f>
        <v>S504MV_OB</v>
      </c>
      <c r="K121">
        <f>IFERROR(VLOOKUP(Table_ExternalData_1141214[[#This Row],[Chk]],'Weekly by Dist'!A:B,2,0),0)</f>
        <v>0</v>
      </c>
      <c r="L121">
        <f>Table_ExternalData_1141214[[#This Row],[SAP]]-Table_ExternalData_1141214[[#This Row],[Dist_Receipt]]</f>
        <v>0</v>
      </c>
      <c r="M121">
        <f>IF(Table_ExternalData_1141214[[#This Row],[Diff]]&gt;0,Table_ExternalData_1141214[[#This Row],[Dist_Stock]]+Table_ExternalData_1141214[[#This Row],[Diff]],Table_ExternalData_1141214[[#This Row],[Dist_Stock]])</f>
        <v>0</v>
      </c>
    </row>
    <row r="122" spans="1:13" hidden="1">
      <c r="A122" s="295" t="s">
        <v>204</v>
      </c>
      <c r="B122" t="s">
        <v>359</v>
      </c>
      <c r="C122" t="s">
        <v>360</v>
      </c>
      <c r="D122" t="s">
        <v>46</v>
      </c>
      <c r="E122" t="s">
        <v>92</v>
      </c>
      <c r="F122">
        <v>4063</v>
      </c>
      <c r="G122">
        <v>3500</v>
      </c>
      <c r="H122">
        <v>179.163263</v>
      </c>
      <c r="I122">
        <v>3968</v>
      </c>
      <c r="J122" t="str">
        <f>Table_ExternalData_1141214[[#This Row],[DIST_CD]]&amp;Table_ExternalData_1141214[[#This Row],[SKU]]</f>
        <v>S504WICO_BL</v>
      </c>
      <c r="K122">
        <f>IFERROR(VLOOKUP(Table_ExternalData_1141214[[#This Row],[Chk]],'Weekly by Dist'!A:B,2,0),0)</f>
        <v>1500</v>
      </c>
      <c r="L122">
        <f>Table_ExternalData_1141214[[#This Row],[SAP]]-Table_ExternalData_1141214[[#This Row],[Dist_Receipt]]</f>
        <v>-2000</v>
      </c>
      <c r="M122">
        <f>IF(Table_ExternalData_1141214[[#This Row],[Diff]]&gt;0,Table_ExternalData_1141214[[#This Row],[Dist_Stock]]+Table_ExternalData_1141214[[#This Row],[Diff]],Table_ExternalData_1141214[[#This Row],[Dist_Stock]])</f>
        <v>4063</v>
      </c>
    </row>
    <row r="123" spans="1:13" hidden="1">
      <c r="A123" s="295" t="s">
        <v>204</v>
      </c>
      <c r="B123" t="s">
        <v>359</v>
      </c>
      <c r="C123" t="s">
        <v>360</v>
      </c>
      <c r="D123" t="s">
        <v>44</v>
      </c>
      <c r="E123" t="s">
        <v>84</v>
      </c>
      <c r="F123">
        <v>60</v>
      </c>
      <c r="G123">
        <v>0</v>
      </c>
      <c r="H123">
        <v>0.81632499999999997</v>
      </c>
      <c r="I123">
        <v>10</v>
      </c>
      <c r="J123" t="str">
        <f>Table_ExternalData_1141214[[#This Row],[DIST_CD]]&amp;Table_ExternalData_1141214[[#This Row],[SKU]]</f>
        <v>S504MV_OPT</v>
      </c>
      <c r="K123">
        <f>IFERROR(VLOOKUP(Table_ExternalData_1141214[[#This Row],[Chk]],'Weekly by Dist'!A:B,2,0),0)</f>
        <v>0</v>
      </c>
      <c r="L123">
        <f>Table_ExternalData_1141214[[#This Row],[SAP]]-Table_ExternalData_1141214[[#This Row],[Dist_Receipt]]</f>
        <v>0</v>
      </c>
      <c r="M123">
        <f>IF(Table_ExternalData_1141214[[#This Row],[Diff]]&gt;0,Table_ExternalData_1141214[[#This Row],[Dist_Stock]]+Table_ExternalData_1141214[[#This Row],[Diff]],Table_ExternalData_1141214[[#This Row],[Dist_Stock]])</f>
        <v>60</v>
      </c>
    </row>
    <row r="124" spans="1:13" hidden="1">
      <c r="A124" s="295" t="s">
        <v>204</v>
      </c>
      <c r="B124" t="s">
        <v>359</v>
      </c>
      <c r="C124" t="s">
        <v>360</v>
      </c>
      <c r="D124" t="s">
        <v>44</v>
      </c>
      <c r="E124" t="s">
        <v>85</v>
      </c>
      <c r="F124">
        <v>50</v>
      </c>
      <c r="G124">
        <v>40</v>
      </c>
      <c r="H124">
        <v>10.714285</v>
      </c>
      <c r="I124">
        <v>265</v>
      </c>
      <c r="J124" t="str">
        <f>Table_ExternalData_1141214[[#This Row],[DIST_CD]]&amp;Table_ExternalData_1141214[[#This Row],[SKU]]</f>
        <v>S504MV_SB</v>
      </c>
      <c r="K124">
        <f>IFERROR(VLOOKUP(Table_ExternalData_1141214[[#This Row],[Chk]],'Weekly by Dist'!A:B,2,0),0)</f>
        <v>40</v>
      </c>
      <c r="L124">
        <f>Table_ExternalData_1141214[[#This Row],[SAP]]-Table_ExternalData_1141214[[#This Row],[Dist_Receipt]]</f>
        <v>0</v>
      </c>
      <c r="M124">
        <f>IF(Table_ExternalData_1141214[[#This Row],[Diff]]&gt;0,Table_ExternalData_1141214[[#This Row],[Dist_Stock]]+Table_ExternalData_1141214[[#This Row],[Diff]],Table_ExternalData_1141214[[#This Row],[Dist_Stock]])</f>
        <v>50</v>
      </c>
    </row>
  </sheetData>
  <pageMargins left="0.7" right="0.7" top="0.75" bottom="0.75" header="0.3" footer="0.3"/>
  <pageSetup orientation="portrait" r:id="rId1"/>
  <customProperties>
    <customPr name="_pios_id" r:id="rId2"/>
  </customProperties>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B0AB3-9BEF-4EAF-8C19-80116DE41C7F}">
  <sheetPr codeName="Sheet15"/>
  <dimension ref="B2:AH28"/>
  <sheetViews>
    <sheetView zoomScale="60" zoomScaleNormal="60" workbookViewId="0">
      <selection activeCell="H35" sqref="H35"/>
    </sheetView>
  </sheetViews>
  <sheetFormatPr defaultRowHeight="15"/>
  <cols>
    <col min="1" max="1" width="3" customWidth="1"/>
    <col min="2" max="2" width="14.85546875" bestFit="1" customWidth="1"/>
    <col min="3" max="3" width="8.7109375" bestFit="1" customWidth="1"/>
    <col min="4" max="4" width="11.28515625" bestFit="1" customWidth="1"/>
    <col min="5" max="7" width="10.85546875" bestFit="1" customWidth="1"/>
    <col min="8" max="8" width="10.42578125" bestFit="1" customWidth="1"/>
    <col min="9" max="11" width="11.28515625" bestFit="1" customWidth="1"/>
    <col min="12" max="15" width="10.85546875" bestFit="1" customWidth="1"/>
    <col min="16" max="16" width="13.42578125" bestFit="1" customWidth="1"/>
    <col min="19" max="19" width="13.42578125" bestFit="1" customWidth="1"/>
    <col min="20" max="20" width="13" bestFit="1" customWidth="1"/>
    <col min="21" max="21" width="24.7109375" bestFit="1" customWidth="1"/>
    <col min="22" max="22" width="10.85546875" bestFit="1" customWidth="1"/>
    <col min="23" max="29" width="11.28515625" bestFit="1" customWidth="1"/>
    <col min="30" max="31" width="10.85546875" bestFit="1" customWidth="1"/>
    <col min="32" max="32" width="11.28515625" bestFit="1" customWidth="1"/>
    <col min="33" max="33" width="10.85546875" bestFit="1" customWidth="1"/>
    <col min="34" max="34" width="14" bestFit="1" customWidth="1"/>
  </cols>
  <sheetData>
    <row r="2" spans="2:34">
      <c r="B2" s="766" t="s">
        <v>119</v>
      </c>
      <c r="C2" s="766" t="s">
        <v>27</v>
      </c>
      <c r="D2" s="840" t="s">
        <v>28</v>
      </c>
      <c r="E2" s="840" t="s">
        <v>29</v>
      </c>
      <c r="F2" s="840" t="s">
        <v>30</v>
      </c>
      <c r="G2" s="840" t="s">
        <v>31</v>
      </c>
      <c r="H2" s="840" t="s">
        <v>32</v>
      </c>
      <c r="I2" s="840" t="s">
        <v>33</v>
      </c>
      <c r="J2" s="840" t="s">
        <v>34</v>
      </c>
      <c r="K2" s="840" t="s">
        <v>35</v>
      </c>
      <c r="L2" s="840" t="s">
        <v>36</v>
      </c>
      <c r="M2" s="840" t="s">
        <v>37</v>
      </c>
      <c r="N2" s="840" t="s">
        <v>38</v>
      </c>
      <c r="O2" s="840" t="s">
        <v>39</v>
      </c>
      <c r="P2" s="840" t="s">
        <v>80</v>
      </c>
      <c r="V2" s="76" t="s">
        <v>374</v>
      </c>
      <c r="W2" s="76"/>
      <c r="X2" s="76"/>
      <c r="Y2" s="76"/>
      <c r="Z2" s="76"/>
      <c r="AA2" s="76"/>
      <c r="AB2" s="76"/>
      <c r="AC2" s="76"/>
      <c r="AD2" s="76"/>
      <c r="AE2" s="76"/>
      <c r="AF2" s="76"/>
      <c r="AG2" s="76"/>
      <c r="AH2" s="76"/>
    </row>
    <row r="3" spans="2:34">
      <c r="B3" s="748"/>
      <c r="C3" s="748"/>
      <c r="D3" s="841"/>
      <c r="E3" s="841"/>
      <c r="F3" s="841"/>
      <c r="G3" s="841"/>
      <c r="H3" s="841"/>
      <c r="I3" s="841"/>
      <c r="J3" s="841"/>
      <c r="K3" s="841"/>
      <c r="L3" s="841"/>
      <c r="M3" s="841"/>
      <c r="N3" s="841"/>
      <c r="O3" s="841"/>
      <c r="P3" s="841"/>
      <c r="V3" s="208" t="s">
        <v>28</v>
      </c>
      <c r="W3" s="208" t="s">
        <v>29</v>
      </c>
      <c r="X3" s="208" t="s">
        <v>30</v>
      </c>
      <c r="Y3" s="208" t="s">
        <v>31</v>
      </c>
      <c r="Z3" s="208" t="s">
        <v>32</v>
      </c>
      <c r="AA3" s="208" t="s">
        <v>33</v>
      </c>
      <c r="AB3" s="208" t="s">
        <v>34</v>
      </c>
      <c r="AC3" s="208" t="s">
        <v>35</v>
      </c>
      <c r="AD3" s="208" t="s">
        <v>36</v>
      </c>
      <c r="AE3" s="208" t="s">
        <v>37</v>
      </c>
      <c r="AF3" s="208" t="s">
        <v>38</v>
      </c>
      <c r="AG3" s="208" t="s">
        <v>39</v>
      </c>
      <c r="AH3" s="208" t="s">
        <v>80</v>
      </c>
    </row>
    <row r="4" spans="2:34">
      <c r="B4" s="81" t="s">
        <v>25</v>
      </c>
      <c r="C4" s="81" t="s">
        <v>44</v>
      </c>
      <c r="D4" s="70">
        <f>D13+D22</f>
        <v>17.194379283736378</v>
      </c>
      <c r="E4" s="70">
        <f t="shared" ref="E4:O4" si="0">E13+E22</f>
        <v>13.55314281155421</v>
      </c>
      <c r="F4" s="70">
        <f t="shared" si="0"/>
        <v>13.15480495366759</v>
      </c>
      <c r="G4" s="70">
        <f t="shared" si="0"/>
        <v>12.913443345299129</v>
      </c>
      <c r="H4" s="70">
        <f t="shared" si="0"/>
        <v>12.651042792447541</v>
      </c>
      <c r="I4" s="70">
        <f t="shared" si="0"/>
        <v>11.917590571003895</v>
      </c>
      <c r="J4" s="70">
        <f t="shared" si="0"/>
        <v>11.083215507044233</v>
      </c>
      <c r="K4" s="70">
        <f t="shared" si="0"/>
        <v>10.707055701625478</v>
      </c>
      <c r="L4" s="70">
        <f t="shared" si="0"/>
        <v>11.106579205533409</v>
      </c>
      <c r="M4" s="70">
        <f t="shared" si="0"/>
        <v>12.182383739154513</v>
      </c>
      <c r="N4" s="70">
        <f t="shared" si="0"/>
        <v>11.792901506711935</v>
      </c>
      <c r="O4" s="70">
        <f t="shared" si="0"/>
        <v>12.463219405279307</v>
      </c>
      <c r="P4" s="70">
        <f>SUM(D4:O4)</f>
        <v>150.71975882305765</v>
      </c>
      <c r="S4" t="s">
        <v>375</v>
      </c>
      <c r="T4" t="s">
        <v>83</v>
      </c>
      <c r="U4" t="s">
        <v>376</v>
      </c>
      <c r="V4" s="76">
        <v>2.7731132413183963</v>
      </c>
      <c r="W4" s="76">
        <v>2.7841569469331264</v>
      </c>
      <c r="X4" s="76">
        <v>2.9913589865588825</v>
      </c>
      <c r="Y4" s="76">
        <v>2.7021505686558851</v>
      </c>
      <c r="Z4" s="76">
        <v>2.6798812842961373</v>
      </c>
      <c r="AA4" s="76">
        <v>2.3495123165115381</v>
      </c>
      <c r="AB4" s="76">
        <v>2.5685670071982334</v>
      </c>
      <c r="AC4" s="76">
        <v>2.7581774906754051</v>
      </c>
      <c r="AD4" s="76">
        <v>2.9971798647167569</v>
      </c>
      <c r="AE4" s="76">
        <v>1.7385232594280642</v>
      </c>
      <c r="AF4" s="76">
        <v>1.9667201399108161</v>
      </c>
      <c r="AG4" s="76">
        <v>2.3008702068837041</v>
      </c>
      <c r="AH4" s="76">
        <v>30.610211313086943</v>
      </c>
    </row>
    <row r="5" spans="2:34">
      <c r="B5" s="81" t="s">
        <v>25</v>
      </c>
      <c r="C5" s="81" t="s">
        <v>45</v>
      </c>
      <c r="D5" s="70">
        <f t="shared" ref="D5:O7" si="1">D14+D23</f>
        <v>11.476717859234125</v>
      </c>
      <c r="E5" s="70">
        <f t="shared" si="1"/>
        <v>9.085165507949295</v>
      </c>
      <c r="F5" s="70">
        <f t="shared" si="1"/>
        <v>8.9760170570950724</v>
      </c>
      <c r="G5" s="70">
        <f t="shared" si="1"/>
        <v>8.6061356850803392</v>
      </c>
      <c r="H5" s="70">
        <f t="shared" si="1"/>
        <v>8.4108914258712559</v>
      </c>
      <c r="I5" s="70">
        <f t="shared" si="1"/>
        <v>7.7038260316727989</v>
      </c>
      <c r="J5" s="70">
        <f t="shared" si="1"/>
        <v>6.7068686736088265</v>
      </c>
      <c r="K5" s="70">
        <f t="shared" si="1"/>
        <v>9.1764712821321375</v>
      </c>
      <c r="L5" s="70">
        <f t="shared" si="1"/>
        <v>7.2677821437186552</v>
      </c>
      <c r="M5" s="70">
        <f t="shared" si="1"/>
        <v>7.5164656369354601</v>
      </c>
      <c r="N5" s="70">
        <f t="shared" si="1"/>
        <v>7.8283542520051821</v>
      </c>
      <c r="O5" s="70">
        <f t="shared" si="1"/>
        <v>7.9448583340027188</v>
      </c>
      <c r="P5" s="70">
        <f>SUM(D5:O5)</f>
        <v>100.69955388930586</v>
      </c>
      <c r="S5" t="s">
        <v>375</v>
      </c>
      <c r="T5" t="s">
        <v>84</v>
      </c>
      <c r="U5" t="s">
        <v>377</v>
      </c>
      <c r="V5" s="76">
        <v>2.7903960376988399</v>
      </c>
      <c r="W5" s="76">
        <v>2.8025736824426031</v>
      </c>
      <c r="X5" s="76">
        <v>3.0109693053138651</v>
      </c>
      <c r="Y5" s="76">
        <v>2.7217595341656877</v>
      </c>
      <c r="Z5" s="76">
        <v>2.6980411016659671</v>
      </c>
      <c r="AA5" s="76">
        <v>2.3666746237101721</v>
      </c>
      <c r="AB5" s="76">
        <v>2.5850369184541284</v>
      </c>
      <c r="AC5" s="76">
        <v>2.7754559757034647</v>
      </c>
      <c r="AD5" s="76">
        <v>3.0208302232081263</v>
      </c>
      <c r="AE5" s="76">
        <v>1.7489876740409469</v>
      </c>
      <c r="AF5" s="76">
        <v>1.9800743782481554</v>
      </c>
      <c r="AG5" s="76">
        <v>2.3166490096032017</v>
      </c>
      <c r="AH5" s="76">
        <v>30.817448464255158</v>
      </c>
    </row>
    <row r="6" spans="2:34">
      <c r="B6" s="81" t="s">
        <v>25</v>
      </c>
      <c r="C6" s="81" t="s">
        <v>46</v>
      </c>
      <c r="D6" s="70">
        <f t="shared" si="1"/>
        <v>64.517480851878062</v>
      </c>
      <c r="E6" s="70">
        <f t="shared" si="1"/>
        <v>61.405207617353724</v>
      </c>
      <c r="F6" s="70">
        <f t="shared" si="1"/>
        <v>60.488880013765652</v>
      </c>
      <c r="G6" s="70">
        <f t="shared" si="1"/>
        <v>54.263133696142148</v>
      </c>
      <c r="H6" s="70">
        <f t="shared" si="1"/>
        <v>52.859349472801561</v>
      </c>
      <c r="I6" s="70">
        <f t="shared" si="1"/>
        <v>52.23363911690334</v>
      </c>
      <c r="J6" s="70">
        <f t="shared" si="1"/>
        <v>49.91468511539825</v>
      </c>
      <c r="K6" s="70">
        <f t="shared" si="1"/>
        <v>54.924621390456906</v>
      </c>
      <c r="L6" s="70">
        <f t="shared" si="1"/>
        <v>53.771686052166338</v>
      </c>
      <c r="M6" s="70">
        <f t="shared" si="1"/>
        <v>57.129405480983117</v>
      </c>
      <c r="N6" s="70">
        <f t="shared" si="1"/>
        <v>57.244386155088691</v>
      </c>
      <c r="O6" s="70">
        <f t="shared" si="1"/>
        <v>57.688509620663325</v>
      </c>
      <c r="P6" s="70">
        <f>SUM(D6:O6)</f>
        <v>676.44098458360122</v>
      </c>
      <c r="S6" t="s">
        <v>375</v>
      </c>
      <c r="T6" t="s">
        <v>85</v>
      </c>
      <c r="U6" t="s">
        <v>378</v>
      </c>
      <c r="V6" s="76">
        <v>6.8117918811120228</v>
      </c>
      <c r="W6" s="76">
        <v>6.8436701383469458</v>
      </c>
      <c r="X6" s="76">
        <v>7.3521989580342177</v>
      </c>
      <c r="Y6" s="76">
        <v>6.6498296213892312</v>
      </c>
      <c r="Z6" s="76">
        <v>6.5892832840649547</v>
      </c>
      <c r="AA6" s="76">
        <v>5.7825093472956919</v>
      </c>
      <c r="AB6" s="76">
        <v>6.3114109431189434</v>
      </c>
      <c r="AC6" s="76">
        <v>6.7755001134525559</v>
      </c>
      <c r="AD6" s="76">
        <v>7.3843555953896596</v>
      </c>
      <c r="AE6" s="76">
        <v>4.2688034573432105</v>
      </c>
      <c r="AF6" s="76">
        <v>4.8358856695192056</v>
      </c>
      <c r="AG6" s="76">
        <v>5.6582075174375266</v>
      </c>
      <c r="AH6" s="76">
        <v>75.263446526504168</v>
      </c>
    </row>
    <row r="7" spans="2:34">
      <c r="B7" s="81" t="s">
        <v>25</v>
      </c>
      <c r="C7" s="81" t="s">
        <v>47</v>
      </c>
      <c r="D7" s="70">
        <f t="shared" si="1"/>
        <v>75.364855497597731</v>
      </c>
      <c r="E7" s="70">
        <f t="shared" si="1"/>
        <v>77.812764390950036</v>
      </c>
      <c r="F7" s="70">
        <f t="shared" si="1"/>
        <v>74.980063821062885</v>
      </c>
      <c r="G7" s="70">
        <f t="shared" si="1"/>
        <v>75.644927606563186</v>
      </c>
      <c r="H7" s="70">
        <f t="shared" si="1"/>
        <v>72.192587178206139</v>
      </c>
      <c r="I7" s="70">
        <f t="shared" si="1"/>
        <v>69.649660056943986</v>
      </c>
      <c r="J7" s="70">
        <f t="shared" si="1"/>
        <v>70.779093959466877</v>
      </c>
      <c r="K7" s="70">
        <f t="shared" si="1"/>
        <v>80.633490855153198</v>
      </c>
      <c r="L7" s="70">
        <f t="shared" si="1"/>
        <v>77.469604832387503</v>
      </c>
      <c r="M7" s="70">
        <f t="shared" si="1"/>
        <v>79.798511564051836</v>
      </c>
      <c r="N7" s="70">
        <f t="shared" si="1"/>
        <v>84.185654449048798</v>
      </c>
      <c r="O7" s="70">
        <f t="shared" si="1"/>
        <v>82.476473921658013</v>
      </c>
      <c r="P7" s="70">
        <f>SUM(D7:O7)</f>
        <v>920.98768813309027</v>
      </c>
      <c r="S7" t="s">
        <v>375</v>
      </c>
      <c r="T7" t="s">
        <v>379</v>
      </c>
      <c r="U7" t="s">
        <v>380</v>
      </c>
      <c r="V7" s="76">
        <v>0.90636610949345686</v>
      </c>
      <c r="W7" s="76">
        <v>0.90886749473256667</v>
      </c>
      <c r="X7" s="76">
        <v>0.97669124819174757</v>
      </c>
      <c r="Y7" s="76">
        <v>0.88029234054447758</v>
      </c>
      <c r="Z7" s="76">
        <v>0.87437713712114429</v>
      </c>
      <c r="AA7" s="76">
        <v>0.76529480632188041</v>
      </c>
      <c r="AB7" s="76">
        <v>0.83903152179815388</v>
      </c>
      <c r="AC7" s="76">
        <v>0.90139214010733026</v>
      </c>
      <c r="AD7" s="76">
        <v>0.97442821706453553</v>
      </c>
      <c r="AE7" s="76">
        <v>0.56860556317689759</v>
      </c>
      <c r="AF7" s="76">
        <v>0.64166264066150813</v>
      </c>
      <c r="AG7" s="76">
        <v>0.75052059231029966</v>
      </c>
      <c r="AH7" s="76">
        <v>9.9875298115239985</v>
      </c>
    </row>
    <row r="8" spans="2:34">
      <c r="B8" s="81" t="s">
        <v>25</v>
      </c>
      <c r="C8" s="81" t="s">
        <v>48</v>
      </c>
      <c r="D8" s="70">
        <f t="shared" ref="D8:O8" si="2">D17+D26</f>
        <v>0</v>
      </c>
      <c r="E8" s="70">
        <f t="shared" si="2"/>
        <v>0</v>
      </c>
      <c r="F8" s="70">
        <f t="shared" si="2"/>
        <v>0</v>
      </c>
      <c r="G8" s="70">
        <f t="shared" si="2"/>
        <v>0</v>
      </c>
      <c r="H8" s="70">
        <f t="shared" si="2"/>
        <v>0</v>
      </c>
      <c r="I8" s="70">
        <f t="shared" si="2"/>
        <v>0</v>
      </c>
      <c r="J8" s="70">
        <f t="shared" si="2"/>
        <v>0</v>
      </c>
      <c r="K8" s="70">
        <f t="shared" si="2"/>
        <v>0</v>
      </c>
      <c r="L8" s="70">
        <f t="shared" si="2"/>
        <v>0</v>
      </c>
      <c r="M8" s="70">
        <f t="shared" si="2"/>
        <v>3.4442856406747935</v>
      </c>
      <c r="N8" s="70">
        <f t="shared" si="2"/>
        <v>4.2086580725941456</v>
      </c>
      <c r="O8" s="70">
        <f t="shared" si="2"/>
        <v>4.5420599999999993</v>
      </c>
      <c r="P8" s="70">
        <f>SUM(D8:O8)</f>
        <v>12.195003713268939</v>
      </c>
      <c r="S8" t="s">
        <v>375</v>
      </c>
      <c r="T8" t="s">
        <v>381</v>
      </c>
      <c r="U8" t="s">
        <v>382</v>
      </c>
      <c r="V8" s="76">
        <v>1.076572187913712</v>
      </c>
      <c r="W8" s="76">
        <v>1.0918664642847886</v>
      </c>
      <c r="X8" s="76">
        <v>1.0991459016611991</v>
      </c>
      <c r="Y8" s="76">
        <v>1.099137648476026</v>
      </c>
      <c r="Z8" s="76">
        <v>1.0902995693778212</v>
      </c>
      <c r="AA8" s="76">
        <v>1.084215944418361</v>
      </c>
      <c r="AB8" s="76">
        <v>1.0799931531519527</v>
      </c>
      <c r="AC8" s="76">
        <v>1.0849244909206817</v>
      </c>
      <c r="AD8" s="76">
        <v>1.1237853362125545</v>
      </c>
      <c r="AE8" s="76">
        <v>1.0785016006466264</v>
      </c>
      <c r="AF8" s="76">
        <v>1.0961260863372999</v>
      </c>
      <c r="AG8" s="76">
        <v>1.2341062243632104</v>
      </c>
      <c r="AH8" s="76">
        <v>13.238674607764235</v>
      </c>
    </row>
    <row r="9" spans="2:34">
      <c r="B9" s="24" t="s">
        <v>25</v>
      </c>
      <c r="C9" s="125" t="s">
        <v>25</v>
      </c>
      <c r="D9" s="25">
        <f>SUM(D4:D8)</f>
        <v>168.55343349244629</v>
      </c>
      <c r="E9" s="25">
        <f t="shared" ref="E9:O9" si="3">SUM(E4:E8)</f>
        <v>161.85628032780727</v>
      </c>
      <c r="F9" s="25">
        <f t="shared" si="3"/>
        <v>157.59976584559121</v>
      </c>
      <c r="G9" s="25">
        <f t="shared" si="3"/>
        <v>151.42764033308481</v>
      </c>
      <c r="H9" s="25">
        <f t="shared" si="3"/>
        <v>146.11387086932649</v>
      </c>
      <c r="I9" s="25">
        <f t="shared" si="3"/>
        <v>141.50471577652402</v>
      </c>
      <c r="J9" s="25">
        <f t="shared" si="3"/>
        <v>138.4838632555182</v>
      </c>
      <c r="K9" s="25">
        <f t="shared" si="3"/>
        <v>155.44163922936772</v>
      </c>
      <c r="L9" s="25">
        <f t="shared" si="3"/>
        <v>149.61565223380592</v>
      </c>
      <c r="M9" s="25">
        <f t="shared" si="3"/>
        <v>160.07105206179972</v>
      </c>
      <c r="N9" s="25">
        <f t="shared" si="3"/>
        <v>165.25995443544875</v>
      </c>
      <c r="O9" s="25">
        <f t="shared" si="3"/>
        <v>165.11512128160336</v>
      </c>
      <c r="P9" s="25">
        <f>SUM(P4:P8)</f>
        <v>1861.0429891423239</v>
      </c>
      <c r="U9" s="209" t="s">
        <v>375</v>
      </c>
      <c r="V9" s="210">
        <f>SUM(V4:V8)</f>
        <v>14.358239457536426</v>
      </c>
      <c r="W9" s="210">
        <f t="shared" ref="W9:AH9" si="4">SUM(W4:W8)</f>
        <v>14.43113472674003</v>
      </c>
      <c r="X9" s="210">
        <f t="shared" si="4"/>
        <v>15.430364399759911</v>
      </c>
      <c r="Y9" s="210">
        <f t="shared" si="4"/>
        <v>14.053169713231306</v>
      </c>
      <c r="Z9" s="210">
        <f t="shared" si="4"/>
        <v>13.931882376526024</v>
      </c>
      <c r="AA9" s="210">
        <f t="shared" si="4"/>
        <v>12.348207038257645</v>
      </c>
      <c r="AB9" s="210">
        <f t="shared" si="4"/>
        <v>13.384039543721412</v>
      </c>
      <c r="AC9" s="210">
        <f t="shared" si="4"/>
        <v>14.295450210859435</v>
      </c>
      <c r="AD9" s="210">
        <f t="shared" si="4"/>
        <v>15.500579236591632</v>
      </c>
      <c r="AE9" s="210">
        <f t="shared" si="4"/>
        <v>9.4034215546357451</v>
      </c>
      <c r="AF9" s="210">
        <f t="shared" si="4"/>
        <v>10.520468914676986</v>
      </c>
      <c r="AG9" s="210">
        <f t="shared" si="4"/>
        <v>12.260353550597944</v>
      </c>
      <c r="AH9" s="210">
        <f t="shared" si="4"/>
        <v>159.91731072313448</v>
      </c>
    </row>
    <row r="10" spans="2:34">
      <c r="S10" t="s">
        <v>383</v>
      </c>
      <c r="T10" t="s">
        <v>88</v>
      </c>
      <c r="U10" t="s">
        <v>384</v>
      </c>
      <c r="V10" s="76">
        <v>3.7045040978459691</v>
      </c>
      <c r="W10" s="76">
        <v>3.7206700479615855</v>
      </c>
      <c r="X10" s="76">
        <v>3.9765890144165419</v>
      </c>
      <c r="Y10" s="76">
        <v>3.6581949698210279</v>
      </c>
      <c r="Z10" s="76">
        <v>3.5998924143697111</v>
      </c>
      <c r="AA10" s="76">
        <v>3.2129621447322299</v>
      </c>
      <c r="AB10" s="76">
        <v>3.4379550359442934</v>
      </c>
      <c r="AC10" s="76">
        <v>3.6655322109218385</v>
      </c>
      <c r="AD10" s="76">
        <v>4.0771943680546334</v>
      </c>
      <c r="AE10" s="76">
        <v>2.3842131748921216</v>
      </c>
      <c r="AF10" s="76">
        <v>2.702792993906145</v>
      </c>
      <c r="AG10" s="76">
        <v>3.1271587627367268</v>
      </c>
      <c r="AH10" s="76">
        <v>41.267659235602828</v>
      </c>
    </row>
    <row r="11" spans="2:34">
      <c r="B11" s="766" t="s">
        <v>119</v>
      </c>
      <c r="C11" s="766" t="s">
        <v>27</v>
      </c>
      <c r="D11" s="840" t="s">
        <v>28</v>
      </c>
      <c r="E11" s="840" t="s">
        <v>29</v>
      </c>
      <c r="F11" s="840" t="s">
        <v>30</v>
      </c>
      <c r="G11" s="840" t="s">
        <v>31</v>
      </c>
      <c r="H11" s="840" t="s">
        <v>32</v>
      </c>
      <c r="I11" s="840" t="s">
        <v>33</v>
      </c>
      <c r="J11" s="840" t="s">
        <v>34</v>
      </c>
      <c r="K11" s="840" t="s">
        <v>35</v>
      </c>
      <c r="L11" s="840" t="s">
        <v>36</v>
      </c>
      <c r="M11" s="840" t="s">
        <v>37</v>
      </c>
      <c r="N11" s="840" t="s">
        <v>38</v>
      </c>
      <c r="O11" s="840" t="s">
        <v>39</v>
      </c>
      <c r="P11" s="840" t="s">
        <v>80</v>
      </c>
      <c r="S11" t="s">
        <v>383</v>
      </c>
      <c r="T11" t="s">
        <v>90</v>
      </c>
      <c r="U11" t="s">
        <v>385</v>
      </c>
      <c r="V11" s="76">
        <v>2.0581521794210369</v>
      </c>
      <c r="W11" s="76">
        <v>2.0710179102662707</v>
      </c>
      <c r="X11" s="76">
        <v>2.213200283164829</v>
      </c>
      <c r="Y11" s="76">
        <v>2.0417523703431306</v>
      </c>
      <c r="Z11" s="76">
        <v>2.0050410390197402</v>
      </c>
      <c r="AA11" s="76">
        <v>1.7930336081994951</v>
      </c>
      <c r="AB11" s="76">
        <v>1.911642880340086</v>
      </c>
      <c r="AC11" s="76">
        <v>2.037151496727954</v>
      </c>
      <c r="AD11" s="76">
        <v>2.2821973183466664</v>
      </c>
      <c r="AE11" s="76">
        <v>1.3222062529017207</v>
      </c>
      <c r="AF11" s="76">
        <v>1.5043534375747711</v>
      </c>
      <c r="AG11" s="76">
        <v>1.7417550188525182</v>
      </c>
      <c r="AH11" s="76">
        <v>22.981503795158222</v>
      </c>
    </row>
    <row r="12" spans="2:34">
      <c r="B12" s="748"/>
      <c r="C12" s="748"/>
      <c r="D12" s="841"/>
      <c r="E12" s="841"/>
      <c r="F12" s="841"/>
      <c r="G12" s="841"/>
      <c r="H12" s="841"/>
      <c r="I12" s="841"/>
      <c r="J12" s="841"/>
      <c r="K12" s="841"/>
      <c r="L12" s="841"/>
      <c r="M12" s="841"/>
      <c r="N12" s="841"/>
      <c r="O12" s="841"/>
      <c r="P12" s="841"/>
      <c r="S12" t="s">
        <v>383</v>
      </c>
      <c r="T12" t="s">
        <v>89</v>
      </c>
      <c r="U12" t="s">
        <v>386</v>
      </c>
      <c r="V12" s="76">
        <v>3.6845608838560642</v>
      </c>
      <c r="W12" s="76">
        <v>3.6936006566942114</v>
      </c>
      <c r="X12" s="76">
        <v>3.9481443260726943</v>
      </c>
      <c r="Y12" s="76">
        <v>3.6215953306885811</v>
      </c>
      <c r="Z12" s="76">
        <v>3.5714346648835931</v>
      </c>
      <c r="AA12" s="76">
        <v>3.1812165432990311</v>
      </c>
      <c r="AB12" s="76">
        <v>3.4165829121216258</v>
      </c>
      <c r="AC12" s="76">
        <v>3.6446183882490906</v>
      </c>
      <c r="AD12" s="76">
        <v>4.0244630626796738</v>
      </c>
      <c r="AE12" s="76">
        <v>2.3757585478292582</v>
      </c>
      <c r="AF12" s="76">
        <v>2.6832897686664081</v>
      </c>
      <c r="AG12" s="76">
        <v>3.1024133715766018</v>
      </c>
      <c r="AH12" s="76">
        <v>40.947678456616828</v>
      </c>
    </row>
    <row r="13" spans="2:34">
      <c r="B13" s="842" t="s">
        <v>146</v>
      </c>
      <c r="C13" s="81" t="s">
        <v>44</v>
      </c>
      <c r="D13" s="70">
        <v>15.162583405169139</v>
      </c>
      <c r="E13" s="70">
        <v>11.90899281155421</v>
      </c>
      <c r="F13" s="70">
        <v>12.11803764779536</v>
      </c>
      <c r="G13" s="70">
        <v>12.11803764779536</v>
      </c>
      <c r="H13" s="70">
        <v>11.928987787074055</v>
      </c>
      <c r="I13" s="70">
        <v>11.317590571003896</v>
      </c>
      <c r="J13" s="70">
        <v>10.533215507044233</v>
      </c>
      <c r="K13" s="70">
        <v>10.087055701625479</v>
      </c>
      <c r="L13" s="70">
        <v>10.535569450864635</v>
      </c>
      <c r="M13" s="70">
        <v>11.478335876308691</v>
      </c>
      <c r="N13" s="70">
        <v>11.049395677404805</v>
      </c>
      <c r="O13" s="70">
        <v>11.880153827994098</v>
      </c>
      <c r="P13" s="70">
        <f>SUM(D13:O13)</f>
        <v>140.11795591163394</v>
      </c>
      <c r="U13" s="209" t="s">
        <v>383</v>
      </c>
      <c r="V13" s="210">
        <f>SUM(V10:V12)</f>
        <v>9.4472171611230706</v>
      </c>
      <c r="W13" s="210">
        <f t="shared" ref="W13:AH13" si="5">SUM(W10:W12)</f>
        <v>9.4852886149220677</v>
      </c>
      <c r="X13" s="210">
        <f t="shared" si="5"/>
        <v>10.137933623654064</v>
      </c>
      <c r="Y13" s="210">
        <f t="shared" si="5"/>
        <v>9.3215426708527396</v>
      </c>
      <c r="Z13" s="210">
        <f t="shared" si="5"/>
        <v>9.1763681182730448</v>
      </c>
      <c r="AA13" s="210">
        <f t="shared" si="5"/>
        <v>8.1872122962307561</v>
      </c>
      <c r="AB13" s="210">
        <f t="shared" si="5"/>
        <v>8.7661808284060054</v>
      </c>
      <c r="AC13" s="210">
        <f t="shared" si="5"/>
        <v>9.3473020958988826</v>
      </c>
      <c r="AD13" s="210">
        <f t="shared" si="5"/>
        <v>10.383854749080974</v>
      </c>
      <c r="AE13" s="210">
        <f t="shared" si="5"/>
        <v>6.0821779756231003</v>
      </c>
      <c r="AF13" s="210">
        <f t="shared" si="5"/>
        <v>6.8904362001473247</v>
      </c>
      <c r="AG13" s="210">
        <f t="shared" si="5"/>
        <v>7.9713271531658467</v>
      </c>
      <c r="AH13" s="210">
        <f t="shared" si="5"/>
        <v>105.19684148737788</v>
      </c>
    </row>
    <row r="14" spans="2:34">
      <c r="B14" s="843"/>
      <c r="C14" s="81" t="s">
        <v>45</v>
      </c>
      <c r="D14" s="70">
        <v>9.382102893378141</v>
      </c>
      <c r="E14" s="70">
        <v>7.3451655079492957</v>
      </c>
      <c r="F14" s="70">
        <v>7.4110171605467867</v>
      </c>
      <c r="G14" s="70">
        <v>7.4110171605467867</v>
      </c>
      <c r="H14" s="70">
        <v>7.307748385947062</v>
      </c>
      <c r="I14" s="70">
        <v>6.9038260316727991</v>
      </c>
      <c r="J14" s="70">
        <v>6.0068686736088264</v>
      </c>
      <c r="K14" s="70">
        <v>8.2164712821321366</v>
      </c>
      <c r="L14" s="70">
        <v>6.3599018193979688</v>
      </c>
      <c r="M14" s="70">
        <v>6.617122912256483</v>
      </c>
      <c r="N14" s="70">
        <v>6.752923985844796</v>
      </c>
      <c r="O14" s="70">
        <v>7.0852436815982358</v>
      </c>
      <c r="P14" s="70">
        <f>SUM(D14:O14)</f>
        <v>86.799409494879342</v>
      </c>
      <c r="S14" t="s">
        <v>387</v>
      </c>
      <c r="T14" t="s">
        <v>92</v>
      </c>
      <c r="U14" t="s">
        <v>388</v>
      </c>
      <c r="V14" s="76">
        <v>17.732874553652433</v>
      </c>
      <c r="W14" s="76">
        <v>17.817301487533708</v>
      </c>
      <c r="X14" s="76">
        <v>19.042342613161793</v>
      </c>
      <c r="Y14" s="76">
        <v>17.528115289513252</v>
      </c>
      <c r="Z14" s="76">
        <v>17.241197786097445</v>
      </c>
      <c r="AA14" s="76">
        <v>15.394397751916703</v>
      </c>
      <c r="AB14" s="76">
        <v>16.459811880995737</v>
      </c>
      <c r="AC14" s="76">
        <v>17.54750337680855</v>
      </c>
      <c r="AD14" s="76">
        <v>19.547682818372135</v>
      </c>
      <c r="AE14" s="76">
        <v>11.408467708719854</v>
      </c>
      <c r="AF14" s="76">
        <v>12.942797609062342</v>
      </c>
      <c r="AG14" s="76">
        <v>14.977128598807711</v>
      </c>
      <c r="AH14" s="76">
        <v>197.63962147464167</v>
      </c>
    </row>
    <row r="15" spans="2:34">
      <c r="B15" s="843"/>
      <c r="C15" s="81" t="s">
        <v>46</v>
      </c>
      <c r="D15" s="70">
        <v>43.015068574802058</v>
      </c>
      <c r="E15" s="70">
        <v>39.172440654546726</v>
      </c>
      <c r="F15" s="70">
        <v>38.677182771725541</v>
      </c>
      <c r="G15" s="70">
        <v>38.677182771725541</v>
      </c>
      <c r="H15" s="70">
        <v>38.057508895878399</v>
      </c>
      <c r="I15" s="70">
        <v>35.973639116903342</v>
      </c>
      <c r="J15" s="70">
        <v>34.964685115398247</v>
      </c>
      <c r="K15" s="70">
        <v>40.964621390456905</v>
      </c>
      <c r="L15" s="70">
        <v>39.455066606393743</v>
      </c>
      <c r="M15" s="70">
        <v>39.496815123151428</v>
      </c>
      <c r="N15" s="70">
        <v>39.687675293186324</v>
      </c>
      <c r="O15" s="70">
        <v>41.434036116862281</v>
      </c>
      <c r="P15" s="70">
        <f>SUM(D15:O15)</f>
        <v>469.57592243103051</v>
      </c>
      <c r="S15" t="s">
        <v>387</v>
      </c>
      <c r="T15" t="s">
        <v>94</v>
      </c>
      <c r="U15" t="s">
        <v>389</v>
      </c>
      <c r="V15" s="76">
        <v>15.962986691370244</v>
      </c>
      <c r="W15" s="76">
        <v>16.215248237574027</v>
      </c>
      <c r="X15" s="76">
        <v>17.317958911932291</v>
      </c>
      <c r="Y15" s="76">
        <v>16.201985654228295</v>
      </c>
      <c r="Z15" s="76">
        <v>15.747690380415726</v>
      </c>
      <c r="AA15" s="76">
        <v>14.219704106744503</v>
      </c>
      <c r="AB15" s="76">
        <v>14.888698076756606</v>
      </c>
      <c r="AC15" s="76">
        <v>15.825674805193323</v>
      </c>
      <c r="AD15" s="76">
        <v>18.367439865232488</v>
      </c>
      <c r="AE15" s="76">
        <v>10.16011242972094</v>
      </c>
      <c r="AF15" s="76">
        <v>11.77501602637528</v>
      </c>
      <c r="AG15" s="76">
        <v>13.680362359711738</v>
      </c>
      <c r="AH15" s="76">
        <v>180.36287754525546</v>
      </c>
    </row>
    <row r="16" spans="2:34">
      <c r="B16" s="843"/>
      <c r="C16" s="81" t="s">
        <v>47</v>
      </c>
      <c r="D16" s="70">
        <v>52.961925484555131</v>
      </c>
      <c r="E16" s="70">
        <v>55.409569420663232</v>
      </c>
      <c r="F16" s="70">
        <v>55.217546021070412</v>
      </c>
      <c r="G16" s="70">
        <v>55.217546021070412</v>
      </c>
      <c r="H16" s="70">
        <v>54.815601369658729</v>
      </c>
      <c r="I16" s="70">
        <v>52.309660056943983</v>
      </c>
      <c r="J16" s="70">
        <v>53.97909395946688</v>
      </c>
      <c r="K16" s="70">
        <v>61.6234908551532</v>
      </c>
      <c r="L16" s="70">
        <v>58.644872138353406</v>
      </c>
      <c r="M16" s="70">
        <v>60.303566509827533</v>
      </c>
      <c r="N16" s="70">
        <v>62.293915156481049</v>
      </c>
      <c r="O16" s="70">
        <v>62.210339817440058</v>
      </c>
      <c r="P16" s="70">
        <f>SUM(D16:O16)</f>
        <v>684.987126810684</v>
      </c>
      <c r="S16" t="s">
        <v>387</v>
      </c>
      <c r="T16" t="s">
        <v>93</v>
      </c>
      <c r="U16" t="s">
        <v>390</v>
      </c>
      <c r="V16" s="76">
        <v>16.224027303066389</v>
      </c>
      <c r="W16" s="76">
        <v>16.422426329080135</v>
      </c>
      <c r="X16" s="76">
        <v>17.543189617092125</v>
      </c>
      <c r="Y16" s="76">
        <v>16.327667049000347</v>
      </c>
      <c r="Z16" s="76">
        <v>15.930429086307322</v>
      </c>
      <c r="AA16" s="76">
        <v>14.33321103559377</v>
      </c>
      <c r="AB16" s="76">
        <v>15.108578680062443</v>
      </c>
      <c r="AC16" s="76">
        <v>16.07474585394128</v>
      </c>
      <c r="AD16" s="76">
        <v>18.414223850945142</v>
      </c>
      <c r="AE16" s="76">
        <v>10.362347909251559</v>
      </c>
      <c r="AF16" s="76">
        <v>11.926771287987108</v>
      </c>
      <c r="AG16" s="76">
        <v>13.838911191486289</v>
      </c>
      <c r="AH16" s="76">
        <v>182.50652919381392</v>
      </c>
    </row>
    <row r="17" spans="2:34">
      <c r="B17" s="844"/>
      <c r="C17" s="81" t="s">
        <v>48</v>
      </c>
      <c r="D17" s="70"/>
      <c r="E17" s="70"/>
      <c r="F17" s="70"/>
      <c r="G17" s="70"/>
      <c r="H17" s="70"/>
      <c r="I17" s="70"/>
      <c r="J17" s="70"/>
      <c r="K17" s="70"/>
      <c r="L17" s="70"/>
      <c r="M17" s="70">
        <v>0</v>
      </c>
      <c r="N17" s="70">
        <v>1.4856000000000003</v>
      </c>
      <c r="O17" s="70">
        <v>2.5060599999999997</v>
      </c>
      <c r="P17" s="70">
        <f>SUM(D17:O17)</f>
        <v>3.99166</v>
      </c>
      <c r="S17" t="s">
        <v>387</v>
      </c>
      <c r="T17" t="s">
        <v>91</v>
      </c>
      <c r="U17" t="s">
        <v>391</v>
      </c>
      <c r="V17" s="76">
        <v>4.6165330402317615</v>
      </c>
      <c r="W17" s="76">
        <v>4.8200422751599543</v>
      </c>
      <c r="X17" s="76">
        <v>5.1389034531423121</v>
      </c>
      <c r="Y17" s="76">
        <v>4.9992015587872558</v>
      </c>
      <c r="Z17" s="76">
        <v>4.722632582716102</v>
      </c>
      <c r="AA17" s="76">
        <v>4.3803489736486547</v>
      </c>
      <c r="AB17" s="76">
        <v>4.3589624158473921</v>
      </c>
      <c r="AC17" s="76">
        <v>4.5987151820834438</v>
      </c>
      <c r="AD17" s="76">
        <v>5.8828128748830624</v>
      </c>
      <c r="AE17" s="76">
        <v>2.8570779352460027</v>
      </c>
      <c r="AF17" s="76">
        <v>3.4972200458454665</v>
      </c>
      <c r="AG17" s="76">
        <v>4.1031048989943528</v>
      </c>
      <c r="AH17" s="76">
        <v>53.975555236585762</v>
      </c>
    </row>
    <row r="18" spans="2:34">
      <c r="B18" s="24" t="s">
        <v>137</v>
      </c>
      <c r="C18" s="125" t="s">
        <v>25</v>
      </c>
      <c r="D18" s="25">
        <f>SUM(D13:D17)</f>
        <v>120.52168035790447</v>
      </c>
      <c r="E18" s="25">
        <f t="shared" ref="E18:O18" si="6">SUM(E13:E17)</f>
        <v>113.83616839471347</v>
      </c>
      <c r="F18" s="25">
        <f t="shared" si="6"/>
        <v>113.4237836011381</v>
      </c>
      <c r="G18" s="25">
        <f t="shared" si="6"/>
        <v>113.4237836011381</v>
      </c>
      <c r="H18" s="25">
        <f t="shared" si="6"/>
        <v>112.10984643855824</v>
      </c>
      <c r="I18" s="25">
        <f t="shared" si="6"/>
        <v>106.50471577652402</v>
      </c>
      <c r="J18" s="25">
        <f t="shared" si="6"/>
        <v>105.48386325551819</v>
      </c>
      <c r="K18" s="25">
        <f t="shared" si="6"/>
        <v>120.89163922936771</v>
      </c>
      <c r="L18" s="25">
        <f t="shared" si="6"/>
        <v>114.99541001500975</v>
      </c>
      <c r="M18" s="25">
        <f t="shared" si="6"/>
        <v>117.89584042154414</v>
      </c>
      <c r="N18" s="25">
        <f t="shared" si="6"/>
        <v>121.26951011291698</v>
      </c>
      <c r="O18" s="25">
        <f t="shared" si="6"/>
        <v>125.11583344389469</v>
      </c>
      <c r="P18" s="25">
        <f>SUM(P13:P17)</f>
        <v>1385.4720746482278</v>
      </c>
      <c r="U18" s="209" t="s">
        <v>387</v>
      </c>
      <c r="V18" s="210">
        <f>SUM(V14:V17)</f>
        <v>54.53642158832082</v>
      </c>
      <c r="W18" s="210">
        <f t="shared" ref="W18:AH18" si="7">SUM(W14:W17)</f>
        <v>55.275018329347823</v>
      </c>
      <c r="X18" s="210">
        <f t="shared" si="7"/>
        <v>59.042394595328524</v>
      </c>
      <c r="Y18" s="210">
        <f t="shared" si="7"/>
        <v>55.05696955152915</v>
      </c>
      <c r="Z18" s="210">
        <f t="shared" si="7"/>
        <v>53.641949835536593</v>
      </c>
      <c r="AA18" s="210">
        <f t="shared" si="7"/>
        <v>48.327661867903629</v>
      </c>
      <c r="AB18" s="210">
        <f t="shared" si="7"/>
        <v>50.816051053662179</v>
      </c>
      <c r="AC18" s="210">
        <f t="shared" si="7"/>
        <v>54.046639218026598</v>
      </c>
      <c r="AD18" s="210">
        <f t="shared" si="7"/>
        <v>62.212159409432829</v>
      </c>
      <c r="AE18" s="210">
        <f t="shared" si="7"/>
        <v>34.788005982938358</v>
      </c>
      <c r="AF18" s="210">
        <f t="shared" si="7"/>
        <v>40.141804969270197</v>
      </c>
      <c r="AG18" s="210">
        <f t="shared" si="7"/>
        <v>46.599507049000088</v>
      </c>
      <c r="AH18" s="210">
        <f t="shared" si="7"/>
        <v>614.4845834502969</v>
      </c>
    </row>
    <row r="19" spans="2:34">
      <c r="S19" t="s">
        <v>392</v>
      </c>
      <c r="T19" t="s">
        <v>96</v>
      </c>
      <c r="U19" t="s">
        <v>393</v>
      </c>
      <c r="V19" s="76">
        <v>3.5617275218857141</v>
      </c>
      <c r="W19" s="76">
        <v>3.5643643788552453</v>
      </c>
      <c r="X19" s="76">
        <v>3.8104243643721443</v>
      </c>
      <c r="Y19" s="76">
        <v>3.4862071339316025</v>
      </c>
      <c r="Z19" s="76">
        <v>3.4445040387507189</v>
      </c>
      <c r="AA19" s="76">
        <v>3.0626392353894767</v>
      </c>
      <c r="AB19" s="76">
        <v>3.3002007980534387</v>
      </c>
      <c r="AC19" s="76">
        <v>3.5220934154353514</v>
      </c>
      <c r="AD19" s="76">
        <v>3.8636165965028582</v>
      </c>
      <c r="AE19" s="76">
        <v>2.3003544259156228</v>
      </c>
      <c r="AF19" s="76">
        <v>2.5895430572406948</v>
      </c>
      <c r="AG19" s="76">
        <v>2.9921305565531569</v>
      </c>
      <c r="AH19" s="76">
        <v>39.497805522886026</v>
      </c>
    </row>
    <row r="20" spans="2:34">
      <c r="B20" s="766" t="s">
        <v>119</v>
      </c>
      <c r="C20" s="766" t="s">
        <v>27</v>
      </c>
      <c r="D20" s="840" t="s">
        <v>28</v>
      </c>
      <c r="E20" s="840" t="s">
        <v>29</v>
      </c>
      <c r="F20" s="840" t="s">
        <v>30</v>
      </c>
      <c r="G20" s="840" t="s">
        <v>31</v>
      </c>
      <c r="H20" s="840" t="s">
        <v>32</v>
      </c>
      <c r="I20" s="840" t="s">
        <v>33</v>
      </c>
      <c r="J20" s="840" t="s">
        <v>34</v>
      </c>
      <c r="K20" s="840" t="s">
        <v>35</v>
      </c>
      <c r="L20" s="840" t="s">
        <v>36</v>
      </c>
      <c r="M20" s="840" t="s">
        <v>37</v>
      </c>
      <c r="N20" s="840" t="s">
        <v>38</v>
      </c>
      <c r="O20" s="840" t="s">
        <v>39</v>
      </c>
      <c r="P20" s="840" t="s">
        <v>80</v>
      </c>
      <c r="S20" t="s">
        <v>392</v>
      </c>
      <c r="T20" t="s">
        <v>97</v>
      </c>
      <c r="U20" t="s">
        <v>394</v>
      </c>
      <c r="V20" s="76">
        <v>42.532303349820431</v>
      </c>
      <c r="W20" s="76">
        <v>43.138737465089065</v>
      </c>
      <c r="X20" s="76">
        <v>46.076858627363023</v>
      </c>
      <c r="Y20" s="76">
        <v>43.011310587629033</v>
      </c>
      <c r="Z20" s="76">
        <v>41.873934112210449</v>
      </c>
      <c r="AA20" s="76">
        <v>37.752588400765376</v>
      </c>
      <c r="AB20" s="76">
        <v>39.643203695834757</v>
      </c>
      <c r="AC20" s="76">
        <v>42.155427695224063</v>
      </c>
      <c r="AD20" s="76">
        <v>48.651506262874463</v>
      </c>
      <c r="AE20" s="76">
        <v>27.111823642304667</v>
      </c>
      <c r="AF20" s="76">
        <v>31.327511249065353</v>
      </c>
      <c r="AG20" s="76">
        <v>36.376573643708319</v>
      </c>
      <c r="AH20" s="76">
        <v>479.65177873188901</v>
      </c>
    </row>
    <row r="21" spans="2:34">
      <c r="B21" s="748"/>
      <c r="C21" s="748"/>
      <c r="D21" s="841"/>
      <c r="E21" s="841"/>
      <c r="F21" s="841"/>
      <c r="G21" s="841"/>
      <c r="H21" s="841"/>
      <c r="I21" s="841"/>
      <c r="J21" s="841"/>
      <c r="K21" s="841"/>
      <c r="L21" s="841"/>
      <c r="M21" s="841"/>
      <c r="N21" s="841"/>
      <c r="O21" s="841"/>
      <c r="P21" s="841"/>
      <c r="S21" t="s">
        <v>392</v>
      </c>
      <c r="T21" t="s">
        <v>95</v>
      </c>
      <c r="U21" t="s">
        <v>395</v>
      </c>
      <c r="V21" s="76">
        <v>28.618145365583253</v>
      </c>
      <c r="W21" s="76">
        <v>28.892526031610736</v>
      </c>
      <c r="X21" s="76">
        <v>30.869506951241135</v>
      </c>
      <c r="Y21" s="76">
        <v>28.619434769153134</v>
      </c>
      <c r="Z21" s="76">
        <v>28.002785401537956</v>
      </c>
      <c r="AA21" s="76">
        <v>25.127725323509786</v>
      </c>
      <c r="AB21" s="76">
        <v>26.619814663334495</v>
      </c>
      <c r="AC21" s="76">
        <v>28.34214780867671</v>
      </c>
      <c r="AD21" s="76">
        <v>32.150994685676395</v>
      </c>
      <c r="AE21" s="76">
        <v>18.325556804676374</v>
      </c>
      <c r="AF21" s="76">
        <v>20.984881228144413</v>
      </c>
      <c r="AG21" s="76">
        <v>24.326016595576476</v>
      </c>
      <c r="AH21" s="76">
        <v>320.87953562872087</v>
      </c>
    </row>
    <row r="22" spans="2:34">
      <c r="B22" s="842" t="s">
        <v>116</v>
      </c>
      <c r="C22" s="81" t="s">
        <v>44</v>
      </c>
      <c r="D22" s="70">
        <v>2.0317958785672405</v>
      </c>
      <c r="E22" s="70">
        <v>1.64415</v>
      </c>
      <c r="F22" s="70">
        <v>1.0367673058722293</v>
      </c>
      <c r="G22" s="70">
        <v>0.79540569750376977</v>
      </c>
      <c r="H22" s="70">
        <v>0.72205500537348555</v>
      </c>
      <c r="I22" s="70">
        <v>0.6</v>
      </c>
      <c r="J22" s="70">
        <v>0.55000000000000004</v>
      </c>
      <c r="K22" s="70">
        <v>0.62000000000000011</v>
      </c>
      <c r="L22" s="70">
        <v>0.57100975466877346</v>
      </c>
      <c r="M22" s="70">
        <v>0.70404786284582199</v>
      </c>
      <c r="N22" s="70">
        <v>0.74350582930713016</v>
      </c>
      <c r="O22" s="70">
        <v>0.58306557728520847</v>
      </c>
      <c r="P22" s="70">
        <f>SUM(D22:O22)</f>
        <v>10.601802911423661</v>
      </c>
      <c r="S22" t="s">
        <v>392</v>
      </c>
      <c r="T22" t="s">
        <v>98</v>
      </c>
      <c r="U22" t="s">
        <v>396</v>
      </c>
      <c r="V22" s="76">
        <v>11.547070121361461</v>
      </c>
      <c r="W22" s="76">
        <v>11.722902555149208</v>
      </c>
      <c r="X22" s="76">
        <v>12.520567462817919</v>
      </c>
      <c r="Y22" s="76">
        <v>11.703995017408817</v>
      </c>
      <c r="Z22" s="76">
        <v>11.38276307881101</v>
      </c>
      <c r="AA22" s="76">
        <v>10.272400871561661</v>
      </c>
      <c r="AB22" s="76">
        <v>10.7672636112097</v>
      </c>
      <c r="AC22" s="76">
        <v>11.446629186350737</v>
      </c>
      <c r="AD22" s="76">
        <v>13.257310746736195</v>
      </c>
      <c r="AE22" s="76">
        <v>7.353607812790905</v>
      </c>
      <c r="AF22" s="76">
        <v>8.5129623354188588</v>
      </c>
      <c r="AG22" s="76">
        <v>9.8884317901523442</v>
      </c>
      <c r="AH22" s="76">
        <v>130.37590458976882</v>
      </c>
    </row>
    <row r="23" spans="2:34">
      <c r="B23" s="843"/>
      <c r="C23" s="81" t="s">
        <v>45</v>
      </c>
      <c r="D23" s="70">
        <v>2.0946149658559832</v>
      </c>
      <c r="E23" s="70">
        <v>1.7400000000000002</v>
      </c>
      <c r="F23" s="70">
        <v>1.564999896548285</v>
      </c>
      <c r="G23" s="70">
        <v>1.1951185245335532</v>
      </c>
      <c r="H23" s="70">
        <v>1.1031430399241933</v>
      </c>
      <c r="I23" s="70">
        <v>0.8</v>
      </c>
      <c r="J23" s="70">
        <v>0.70000000000000007</v>
      </c>
      <c r="K23" s="70">
        <v>0.96</v>
      </c>
      <c r="L23" s="70">
        <v>0.90788032432068666</v>
      </c>
      <c r="M23" s="70">
        <v>0.89934272467897747</v>
      </c>
      <c r="N23" s="70">
        <v>1.0754302661603856</v>
      </c>
      <c r="O23" s="70">
        <v>0.85961465240448331</v>
      </c>
      <c r="P23" s="70">
        <f>SUM(D23:O23)</f>
        <v>13.900144394426546</v>
      </c>
      <c r="U23" s="209" t="s">
        <v>392</v>
      </c>
      <c r="V23" s="210">
        <f>SUM(V19:V22)</f>
        <v>86.259246358650856</v>
      </c>
      <c r="W23" s="210">
        <f t="shared" ref="W23:AH23" si="8">SUM(W19:W22)</f>
        <v>87.318530430704243</v>
      </c>
      <c r="X23" s="210">
        <f t="shared" si="8"/>
        <v>93.27735740579422</v>
      </c>
      <c r="Y23" s="210">
        <f t="shared" si="8"/>
        <v>86.820947508122586</v>
      </c>
      <c r="Z23" s="210">
        <f t="shared" si="8"/>
        <v>84.703986631310144</v>
      </c>
      <c r="AA23" s="210">
        <f t="shared" si="8"/>
        <v>76.215353831226295</v>
      </c>
      <c r="AB23" s="210">
        <f t="shared" si="8"/>
        <v>80.33048276843239</v>
      </c>
      <c r="AC23" s="210">
        <f t="shared" si="8"/>
        <v>85.46629810568686</v>
      </c>
      <c r="AD23" s="210">
        <f t="shared" si="8"/>
        <v>97.923428291789904</v>
      </c>
      <c r="AE23" s="210">
        <f t="shared" si="8"/>
        <v>55.091342685687572</v>
      </c>
      <c r="AF23" s="210">
        <f t="shared" si="8"/>
        <v>63.414897869869321</v>
      </c>
      <c r="AG23" s="210">
        <f t="shared" si="8"/>
        <v>73.583152585990291</v>
      </c>
      <c r="AH23" s="210">
        <f t="shared" si="8"/>
        <v>970.4050244732648</v>
      </c>
    </row>
    <row r="24" spans="2:34">
      <c r="B24" s="843"/>
      <c r="C24" s="81" t="s">
        <v>46</v>
      </c>
      <c r="D24" s="70">
        <v>21.502412277076008</v>
      </c>
      <c r="E24" s="70">
        <v>22.232766962807002</v>
      </c>
      <c r="F24" s="70">
        <v>21.811697242040108</v>
      </c>
      <c r="G24" s="70">
        <v>15.585950924416608</v>
      </c>
      <c r="H24" s="70">
        <v>14.801840576923164</v>
      </c>
      <c r="I24" s="70">
        <v>16.259999999999998</v>
      </c>
      <c r="J24" s="70">
        <v>14.950000000000001</v>
      </c>
      <c r="K24" s="70">
        <v>13.96</v>
      </c>
      <c r="L24" s="70">
        <v>14.316619445772595</v>
      </c>
      <c r="M24" s="70">
        <v>17.632590357831688</v>
      </c>
      <c r="N24" s="70">
        <v>17.556710861902364</v>
      </c>
      <c r="O24" s="70">
        <v>16.254473503801041</v>
      </c>
      <c r="P24" s="70">
        <f>SUM(D24:O24)</f>
        <v>206.8650621525706</v>
      </c>
      <c r="S24" t="s">
        <v>397</v>
      </c>
      <c r="T24" t="s">
        <v>398</v>
      </c>
      <c r="U24" t="s">
        <v>399</v>
      </c>
      <c r="V24" s="76">
        <v>4.3983591659514731</v>
      </c>
      <c r="W24" s="76">
        <v>4.430684081643177</v>
      </c>
      <c r="X24" s="76">
        <v>4.7345322119796265</v>
      </c>
      <c r="Y24" s="76">
        <v>4.3749128713691476</v>
      </c>
      <c r="Z24" s="76">
        <v>4.2910875619255249</v>
      </c>
      <c r="AA24" s="76">
        <v>3.841704155696811</v>
      </c>
      <c r="AB24" s="76">
        <v>4.0872277400624712</v>
      </c>
      <c r="AC24" s="76">
        <v>4.354289815633229</v>
      </c>
      <c r="AD24" s="76">
        <v>4.8982757699156032</v>
      </c>
      <c r="AE24" s="76">
        <v>2.822605145318827</v>
      </c>
      <c r="AF24" s="76">
        <v>3.2182661738263407</v>
      </c>
      <c r="AG24" s="76">
        <v>3.7276330127201014</v>
      </c>
      <c r="AH24" s="76">
        <v>49.179577706042338</v>
      </c>
    </row>
    <row r="25" spans="2:34">
      <c r="B25" s="843"/>
      <c r="C25" s="81" t="s">
        <v>47</v>
      </c>
      <c r="D25" s="70">
        <v>22.402930013042603</v>
      </c>
      <c r="E25" s="70">
        <v>22.403194970286798</v>
      </c>
      <c r="F25" s="70">
        <v>19.762517799992477</v>
      </c>
      <c r="G25" s="70">
        <v>20.427381585492771</v>
      </c>
      <c r="H25" s="70">
        <v>17.37698580854741</v>
      </c>
      <c r="I25" s="70">
        <v>17.34</v>
      </c>
      <c r="J25" s="70">
        <v>16.799999999999997</v>
      </c>
      <c r="K25" s="70">
        <v>19.010000000000002</v>
      </c>
      <c r="L25" s="70">
        <v>18.824732694034093</v>
      </c>
      <c r="M25" s="70">
        <v>19.49494505422431</v>
      </c>
      <c r="N25" s="70">
        <v>21.891739292567742</v>
      </c>
      <c r="O25" s="70">
        <v>20.266134104217951</v>
      </c>
      <c r="P25" s="70">
        <f>SUM(D25:O25)</f>
        <v>236.0005613224061</v>
      </c>
      <c r="S25" t="s">
        <v>397</v>
      </c>
      <c r="T25" t="s">
        <v>400</v>
      </c>
      <c r="U25" t="s">
        <v>401</v>
      </c>
      <c r="V25" s="76">
        <v>6.3756378069139963</v>
      </c>
      <c r="W25" s="76">
        <v>6.4476580596335573</v>
      </c>
      <c r="X25" s="76">
        <v>6.8880921236935713</v>
      </c>
      <c r="Y25" s="76">
        <v>6.4020862232412536</v>
      </c>
      <c r="Z25" s="76">
        <v>6.2525935495484362</v>
      </c>
      <c r="AA25" s="76">
        <v>5.6203901974013171</v>
      </c>
      <c r="AB25" s="76">
        <v>5.9348753646438208</v>
      </c>
      <c r="AC25" s="76">
        <v>6.3159768870880688</v>
      </c>
      <c r="AD25" s="76">
        <v>7.2103306288162896</v>
      </c>
      <c r="AE25" s="76">
        <v>4.0758443387231127</v>
      </c>
      <c r="AF25" s="76">
        <v>4.6827401261666735</v>
      </c>
      <c r="AG25" s="76">
        <v>5.4316652568197492</v>
      </c>
      <c r="AH25" s="76">
        <v>71.637890562689861</v>
      </c>
    </row>
    <row r="26" spans="2:34">
      <c r="B26" s="844"/>
      <c r="C26" s="81" t="s">
        <v>48</v>
      </c>
      <c r="D26" s="70"/>
      <c r="E26" s="70"/>
      <c r="F26" s="70"/>
      <c r="G26" s="70"/>
      <c r="H26" s="70"/>
      <c r="I26" s="70"/>
      <c r="J26" s="70"/>
      <c r="K26" s="70"/>
      <c r="L26" s="70"/>
      <c r="M26" s="70">
        <v>3.4442856406747935</v>
      </c>
      <c r="N26" s="70">
        <v>2.7230580725941449</v>
      </c>
      <c r="O26" s="70">
        <v>2.036</v>
      </c>
      <c r="P26" s="70">
        <f>SUM(D26:O26)</f>
        <v>8.2033437132689375</v>
      </c>
      <c r="S26" t="s">
        <v>397</v>
      </c>
      <c r="T26" t="s">
        <v>402</v>
      </c>
      <c r="U26" t="s">
        <v>403</v>
      </c>
      <c r="V26" s="76">
        <v>2.5377395397024265</v>
      </c>
      <c r="W26" s="76">
        <v>2.6142071981408206</v>
      </c>
      <c r="X26" s="76">
        <v>2.7894996423023608</v>
      </c>
      <c r="Y26" s="76">
        <v>2.6630691983000387</v>
      </c>
      <c r="Z26" s="76">
        <v>2.5504076526083477</v>
      </c>
      <c r="AA26" s="76">
        <v>2.3352396170206573</v>
      </c>
      <c r="AB26" s="76">
        <v>2.3817476082558842</v>
      </c>
      <c r="AC26" s="76">
        <v>2.5220081580729965</v>
      </c>
      <c r="AD26" s="76">
        <v>3.0790083590062922</v>
      </c>
      <c r="AE26" s="76">
        <v>1.5925879359121757</v>
      </c>
      <c r="AF26" s="76">
        <v>1.8975363026554239</v>
      </c>
      <c r="AG26" s="76">
        <v>2.2157203852164402</v>
      </c>
      <c r="AH26" s="76">
        <v>29.178771597193862</v>
      </c>
    </row>
    <row r="27" spans="2:34">
      <c r="B27" s="24" t="s">
        <v>136</v>
      </c>
      <c r="C27" s="125" t="s">
        <v>25</v>
      </c>
      <c r="D27" s="25">
        <f>SUM(D22:D26)</f>
        <v>48.03175313454183</v>
      </c>
      <c r="E27" s="25">
        <f t="shared" ref="E27:O27" si="9">SUM(E22:E26)</f>
        <v>48.020111933093801</v>
      </c>
      <c r="F27" s="25">
        <f t="shared" si="9"/>
        <v>44.175982244453095</v>
      </c>
      <c r="G27" s="25">
        <f t="shared" si="9"/>
        <v>38.003856731946698</v>
      </c>
      <c r="H27" s="25">
        <f t="shared" si="9"/>
        <v>34.004024430768254</v>
      </c>
      <c r="I27" s="25">
        <f t="shared" si="9"/>
        <v>35</v>
      </c>
      <c r="J27" s="25">
        <f t="shared" si="9"/>
        <v>33</v>
      </c>
      <c r="K27" s="25">
        <f t="shared" si="9"/>
        <v>34.550000000000004</v>
      </c>
      <c r="L27" s="25">
        <f t="shared" si="9"/>
        <v>34.62024221879615</v>
      </c>
      <c r="M27" s="25">
        <f t="shared" si="9"/>
        <v>42.17521164025559</v>
      </c>
      <c r="N27" s="25">
        <f t="shared" si="9"/>
        <v>43.990444322531765</v>
      </c>
      <c r="O27" s="25">
        <f t="shared" si="9"/>
        <v>39.999287837708685</v>
      </c>
      <c r="P27" s="25">
        <f>SUM(P22:P26)</f>
        <v>475.57091449409586</v>
      </c>
      <c r="U27" s="209" t="s">
        <v>397</v>
      </c>
      <c r="V27" s="210">
        <f>SUM(V24:V26)</f>
        <v>13.311736512567895</v>
      </c>
      <c r="W27" s="210">
        <f t="shared" ref="W27:AH27" si="10">SUM(W24:W26)</f>
        <v>13.492549339417554</v>
      </c>
      <c r="X27" s="210">
        <f t="shared" si="10"/>
        <v>14.412123977975558</v>
      </c>
      <c r="Y27" s="210">
        <f t="shared" si="10"/>
        <v>13.440068292910439</v>
      </c>
      <c r="Z27" s="210">
        <f t="shared" si="10"/>
        <v>13.09408876408231</v>
      </c>
      <c r="AA27" s="210">
        <f t="shared" si="10"/>
        <v>11.797333970118785</v>
      </c>
      <c r="AB27" s="210">
        <f t="shared" si="10"/>
        <v>12.403850712962177</v>
      </c>
      <c r="AC27" s="210">
        <f t="shared" si="10"/>
        <v>13.192274860794294</v>
      </c>
      <c r="AD27" s="210">
        <f t="shared" si="10"/>
        <v>15.187614757738185</v>
      </c>
      <c r="AE27" s="210">
        <f t="shared" si="10"/>
        <v>8.4910374199541163</v>
      </c>
      <c r="AF27" s="210">
        <f t="shared" si="10"/>
        <v>9.798542602648439</v>
      </c>
      <c r="AG27" s="210">
        <f t="shared" si="10"/>
        <v>11.375018654756289</v>
      </c>
      <c r="AH27" s="210">
        <f t="shared" si="10"/>
        <v>149.99623986592607</v>
      </c>
    </row>
    <row r="28" spans="2:34">
      <c r="S28" s="211"/>
      <c r="T28" s="211"/>
      <c r="U28" s="211" t="s">
        <v>80</v>
      </c>
      <c r="V28" s="212">
        <f>SUM(V9,V13,V18,V23,V27)</f>
        <v>177.91286107819906</v>
      </c>
      <c r="W28" s="212">
        <f t="shared" ref="W28:AH28" si="11">SUM(W9,W13,W18,W23,W27)</f>
        <v>180.00252144113173</v>
      </c>
      <c r="X28" s="212">
        <f t="shared" si="11"/>
        <v>192.30017400251228</v>
      </c>
      <c r="Y28" s="212">
        <f t="shared" si="11"/>
        <v>178.69269773664621</v>
      </c>
      <c r="Z28" s="212">
        <f t="shared" si="11"/>
        <v>174.5482757257281</v>
      </c>
      <c r="AA28" s="212">
        <f t="shared" si="11"/>
        <v>156.87576900373713</v>
      </c>
      <c r="AB28" s="212">
        <f t="shared" si="11"/>
        <v>165.70060490718416</v>
      </c>
      <c r="AC28" s="212">
        <f t="shared" si="11"/>
        <v>176.34796449126608</v>
      </c>
      <c r="AD28" s="212">
        <f t="shared" si="11"/>
        <v>201.20763644463352</v>
      </c>
      <c r="AE28" s="212">
        <f t="shared" si="11"/>
        <v>113.85598561883889</v>
      </c>
      <c r="AF28" s="212">
        <f t="shared" si="11"/>
        <v>130.76615055661227</v>
      </c>
      <c r="AG28" s="212">
        <f t="shared" si="11"/>
        <v>151.78935899351046</v>
      </c>
      <c r="AH28" s="212">
        <f t="shared" si="11"/>
        <v>2000.0000000000002</v>
      </c>
    </row>
  </sheetData>
  <mergeCells count="47">
    <mergeCell ref="N20:N21"/>
    <mergeCell ref="O20:O21"/>
    <mergeCell ref="B13:B17"/>
    <mergeCell ref="B22:B26"/>
    <mergeCell ref="P2:P3"/>
    <mergeCell ref="P11:P12"/>
    <mergeCell ref="P20:P21"/>
    <mergeCell ref="H20:H21"/>
    <mergeCell ref="I20:I21"/>
    <mergeCell ref="J20:J21"/>
    <mergeCell ref="K20:K21"/>
    <mergeCell ref="L20:L21"/>
    <mergeCell ref="M20:M21"/>
    <mergeCell ref="B20:B21"/>
    <mergeCell ref="C20:C21"/>
    <mergeCell ref="D20:D21"/>
    <mergeCell ref="E20:E21"/>
    <mergeCell ref="F20:F21"/>
    <mergeCell ref="G20:G21"/>
    <mergeCell ref="J11:J12"/>
    <mergeCell ref="K11:K12"/>
    <mergeCell ref="G11:G12"/>
    <mergeCell ref="H11:H12"/>
    <mergeCell ref="I11:I12"/>
    <mergeCell ref="L11:L12"/>
    <mergeCell ref="M11:M12"/>
    <mergeCell ref="N11:N12"/>
    <mergeCell ref="O11:O12"/>
    <mergeCell ref="N2:N3"/>
    <mergeCell ref="O2:O3"/>
    <mergeCell ref="M2:M3"/>
    <mergeCell ref="B11:B12"/>
    <mergeCell ref="C11:C12"/>
    <mergeCell ref="D11:D12"/>
    <mergeCell ref="E11:E12"/>
    <mergeCell ref="F11:F12"/>
    <mergeCell ref="H2:H3"/>
    <mergeCell ref="I2:I3"/>
    <mergeCell ref="J2:J3"/>
    <mergeCell ref="K2:K3"/>
    <mergeCell ref="L2:L3"/>
    <mergeCell ref="G2:G3"/>
    <mergeCell ref="B2:B3"/>
    <mergeCell ref="C2:C3"/>
    <mergeCell ref="D2:D3"/>
    <mergeCell ref="E2:E3"/>
    <mergeCell ref="F2:F3"/>
  </mergeCells>
  <pageMargins left="0.7" right="0.7" top="0.75" bottom="0.75" header="0.3" footer="0.3"/>
  <pageSetup orientation="portrait" r:id="rId1"/>
  <customProperties>
    <customPr name="_pios_id" r:id="rId2"/>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ED4E2-A955-4099-97C3-06AB79DF95DA}">
  <sheetPr codeName="Sheet13"/>
  <dimension ref="A1:Y72"/>
  <sheetViews>
    <sheetView showGridLines="0" topLeftCell="A51" zoomScale="70" zoomScaleNormal="70" workbookViewId="0">
      <selection activeCell="U59" sqref="U59:U64"/>
    </sheetView>
  </sheetViews>
  <sheetFormatPr defaultRowHeight="15" outlineLevelRow="1"/>
  <cols>
    <col min="1" max="1" width="0.28515625" customWidth="1"/>
    <col min="2" max="2" width="11.5703125" bestFit="1" customWidth="1"/>
    <col min="3" max="3" width="9.140625" bestFit="1" customWidth="1"/>
    <col min="4" max="4" width="10.5703125" bestFit="1" customWidth="1"/>
    <col min="5" max="6" width="9.140625" customWidth="1"/>
    <col min="7" max="7" width="9.7109375" customWidth="1"/>
    <col min="8" max="8" width="10.5703125" customWidth="1"/>
    <col min="9" max="9" width="9.85546875" customWidth="1"/>
    <col min="10" max="10" width="9.7109375" customWidth="1"/>
    <col min="11" max="12" width="10.42578125" customWidth="1"/>
    <col min="13" max="13" width="10" bestFit="1" customWidth="1"/>
    <col min="14" max="14" width="10.28515625" customWidth="1"/>
    <col min="15" max="15" width="10.42578125" customWidth="1"/>
    <col min="16" max="16" width="10.5703125" customWidth="1"/>
    <col min="17" max="17" width="9.7109375" customWidth="1"/>
    <col min="18" max="18" width="9.85546875" customWidth="1"/>
    <col min="19" max="19" width="10.5703125" customWidth="1"/>
    <col min="20" max="20" width="13.5703125" bestFit="1" customWidth="1"/>
    <col min="21" max="21" width="12" bestFit="1" customWidth="1"/>
  </cols>
  <sheetData>
    <row r="1" spans="1:25" hidden="1" outlineLevel="1">
      <c r="H1" s="654">
        <v>2023</v>
      </c>
    </row>
    <row r="2" spans="1:25" hidden="1" outlineLevel="1">
      <c r="D2" s="119" t="s">
        <v>404</v>
      </c>
    </row>
    <row r="3" spans="1:25" ht="15" hidden="1" customHeight="1" outlineLevel="1">
      <c r="B3" s="768" t="s">
        <v>119</v>
      </c>
      <c r="C3" s="845" t="s">
        <v>405</v>
      </c>
      <c r="D3" s="846" t="s">
        <v>406</v>
      </c>
      <c r="E3" s="800" t="s">
        <v>407</v>
      </c>
      <c r="H3" s="651" t="s">
        <v>28</v>
      </c>
      <c r="I3" s="651" t="s">
        <v>29</v>
      </c>
      <c r="J3" s="651" t="s">
        <v>30</v>
      </c>
      <c r="K3" s="651" t="s">
        <v>31</v>
      </c>
      <c r="L3" s="651" t="s">
        <v>32</v>
      </c>
      <c r="M3" s="651" t="s">
        <v>33</v>
      </c>
      <c r="N3" s="651" t="s">
        <v>34</v>
      </c>
      <c r="O3" s="651" t="s">
        <v>35</v>
      </c>
      <c r="P3" s="651" t="s">
        <v>36</v>
      </c>
      <c r="Q3" s="651" t="s">
        <v>37</v>
      </c>
      <c r="R3" s="651" t="s">
        <v>38</v>
      </c>
      <c r="S3" s="409" t="s">
        <v>39</v>
      </c>
      <c r="T3" s="137" t="s">
        <v>347</v>
      </c>
    </row>
    <row r="4" spans="1:25" hidden="1" outlineLevel="1">
      <c r="B4" s="768"/>
      <c r="C4" s="845"/>
      <c r="D4" s="846"/>
      <c r="E4" s="800"/>
      <c r="F4" s="211" t="s">
        <v>259</v>
      </c>
      <c r="H4" s="139">
        <f>SUM(H5:H9)</f>
        <v>39.154300000000006</v>
      </c>
      <c r="I4" s="139">
        <f t="shared" ref="I4:R4" si="0">SUM(I5:I9)</f>
        <v>35.093399999999995</v>
      </c>
      <c r="J4" s="139">
        <f t="shared" si="0"/>
        <v>37.498200000000004</v>
      </c>
      <c r="K4" s="139">
        <f t="shared" si="0"/>
        <v>37.395999999999994</v>
      </c>
      <c r="L4" s="139">
        <f t="shared" si="0"/>
        <v>35.094000000000001</v>
      </c>
      <c r="M4" s="139">
        <f t="shared" si="0"/>
        <v>34.223999999999997</v>
      </c>
      <c r="N4" s="139">
        <f>SUM(N5:N9)</f>
        <v>31.348399999999998</v>
      </c>
      <c r="O4" s="139">
        <f t="shared" si="0"/>
        <v>30.745419999999996</v>
      </c>
      <c r="P4" s="139">
        <f t="shared" si="0"/>
        <v>27.774000000000001</v>
      </c>
      <c r="Q4" s="139">
        <f t="shared" si="0"/>
        <v>22.04316</v>
      </c>
      <c r="R4" s="139">
        <f t="shared" si="0"/>
        <v>29.110959999999999</v>
      </c>
      <c r="S4" s="139">
        <f>SUM(S5:S9)</f>
        <v>27.998999999999999</v>
      </c>
      <c r="T4" s="139">
        <f>SUM(T5:T9)</f>
        <v>387.48084</v>
      </c>
    </row>
    <row r="5" spans="1:25" ht="16.5" hidden="1" outlineLevel="1">
      <c r="A5" s="457"/>
      <c r="B5" s="36" t="s">
        <v>124</v>
      </c>
      <c r="C5" s="408">
        <v>117.06077999999999</v>
      </c>
      <c r="D5" s="639">
        <v>94.866759999999999</v>
      </c>
      <c r="E5" s="389">
        <f>IFERROR(D5/C5-1,0)</f>
        <v>-0.18959398698693097</v>
      </c>
      <c r="F5" s="147">
        <f>D5/$D$10</f>
        <v>0.27085796011265473</v>
      </c>
      <c r="G5" s="478"/>
      <c r="H5" s="282">
        <v>12.3</v>
      </c>
      <c r="I5" s="282">
        <v>9.9022000000000006</v>
      </c>
      <c r="J5" s="282">
        <v>10.6</v>
      </c>
      <c r="K5" s="282">
        <v>10.75</v>
      </c>
      <c r="L5" s="282">
        <v>10.5</v>
      </c>
      <c r="M5" s="282">
        <v>10.35</v>
      </c>
      <c r="N5" s="282">
        <v>10.199999999999999</v>
      </c>
      <c r="O5" s="282">
        <v>9.1958199999999994</v>
      </c>
      <c r="P5" s="282">
        <v>8.82</v>
      </c>
      <c r="Q5" s="282">
        <v>7.2159599999999999</v>
      </c>
      <c r="R5" s="282">
        <v>9.2493999999999996</v>
      </c>
      <c r="S5" s="282">
        <v>7.9774000000000003</v>
      </c>
      <c r="T5" s="138">
        <v>117.06077999999999</v>
      </c>
      <c r="U5" s="519">
        <f>SUM(H5:S5)</f>
        <v>117.06077999999999</v>
      </c>
      <c r="V5" s="520">
        <f>X5/U5-1</f>
        <v>-0.12108256924308891</v>
      </c>
      <c r="W5" s="519">
        <v>8.02</v>
      </c>
      <c r="X5" s="521">
        <f>D5+W5</f>
        <v>102.88676</v>
      </c>
      <c r="Y5" s="522">
        <f>X5/$X$10</f>
        <v>0.27199620837664729</v>
      </c>
    </row>
    <row r="6" spans="1:25" ht="16.5" hidden="1" outlineLevel="1">
      <c r="A6" s="457"/>
      <c r="B6" s="36" t="s">
        <v>126</v>
      </c>
      <c r="C6" s="408">
        <v>119.616</v>
      </c>
      <c r="D6" s="639">
        <v>107.7961</v>
      </c>
      <c r="E6" s="389">
        <f t="shared" ref="E6:E10" si="1">IFERROR(D6/C6-1,0)</f>
        <v>-9.8815375869448885E-2</v>
      </c>
      <c r="F6" s="147">
        <f t="shared" ref="F6:F10" si="2">D6/$D$10</f>
        <v>0.30777304668252337</v>
      </c>
      <c r="G6" s="478"/>
      <c r="H6" s="283">
        <v>11.5</v>
      </c>
      <c r="I6" s="283">
        <v>11.197800000000001</v>
      </c>
      <c r="J6" s="283">
        <v>12.255000000000001</v>
      </c>
      <c r="K6" s="283">
        <v>11.596</v>
      </c>
      <c r="L6" s="283">
        <v>11.3</v>
      </c>
      <c r="M6" s="283">
        <v>11.400600000000001</v>
      </c>
      <c r="N6" s="283">
        <v>9.7004000000000001</v>
      </c>
      <c r="O6" s="283">
        <v>9.5457999999999998</v>
      </c>
      <c r="P6" s="283">
        <v>8.0399999999999991</v>
      </c>
      <c r="Q6" s="283">
        <v>6.1618000000000004</v>
      </c>
      <c r="R6" s="283">
        <v>8.4719999999999995</v>
      </c>
      <c r="S6" s="283">
        <v>8.4466000000000001</v>
      </c>
      <c r="T6" s="138">
        <v>119.616</v>
      </c>
      <c r="U6" s="519">
        <f t="shared" ref="U6:U10" si="3">SUM(H6:S6)</f>
        <v>119.61599999999999</v>
      </c>
      <c r="V6" s="520">
        <f t="shared" ref="V6:V9" si="4">X6/U6-1</f>
        <v>-2.8339854200106873E-2</v>
      </c>
      <c r="W6" s="519">
        <v>8.43</v>
      </c>
      <c r="X6" s="521">
        <f t="shared" ref="X6:X9" si="5">D6+W6</f>
        <v>116.2261</v>
      </c>
      <c r="Y6" s="522">
        <f t="shared" ref="Y6:Y10" si="6">X6/$X$10</f>
        <v>0.30726070598787492</v>
      </c>
    </row>
    <row r="7" spans="1:25" ht="16.5" hidden="1" outlineLevel="1">
      <c r="A7" s="457"/>
      <c r="B7" s="36" t="s">
        <v>129</v>
      </c>
      <c r="C7" s="408">
        <v>65.508560000000003</v>
      </c>
      <c r="D7" s="639">
        <v>69.837559999999996</v>
      </c>
      <c r="E7" s="389">
        <f t="shared" si="1"/>
        <v>6.6082966867230697E-2</v>
      </c>
      <c r="F7" s="147">
        <f t="shared" si="2"/>
        <v>0.19939606919056929</v>
      </c>
      <c r="G7" s="478"/>
      <c r="H7" s="282">
        <v>6.7539999999999996</v>
      </c>
      <c r="I7" s="282">
        <v>6.79</v>
      </c>
      <c r="J7" s="282">
        <v>7.1432000000000002</v>
      </c>
      <c r="K7" s="282">
        <v>7.35</v>
      </c>
      <c r="L7" s="282">
        <v>5.7439999999999998</v>
      </c>
      <c r="M7" s="282">
        <v>5.3133999999999997</v>
      </c>
      <c r="N7" s="282">
        <v>3.9780000000000002</v>
      </c>
      <c r="O7" s="282">
        <v>5.2519999999999998</v>
      </c>
      <c r="P7" s="282">
        <v>4.6139999999999999</v>
      </c>
      <c r="Q7" s="282">
        <v>2.7054</v>
      </c>
      <c r="R7" s="282">
        <v>4.5895599999999996</v>
      </c>
      <c r="S7" s="282">
        <v>5.2750000000000004</v>
      </c>
      <c r="T7" s="138">
        <v>65.508560000000003</v>
      </c>
      <c r="U7" s="519">
        <f t="shared" si="3"/>
        <v>65.508560000000003</v>
      </c>
      <c r="V7" s="520">
        <f t="shared" si="4"/>
        <v>0.14653046868989317</v>
      </c>
      <c r="W7" s="519">
        <v>5.2700000000000005</v>
      </c>
      <c r="X7" s="521">
        <f t="shared" si="5"/>
        <v>75.107559999999992</v>
      </c>
      <c r="Y7" s="522">
        <f t="shared" si="6"/>
        <v>0.19855782746411238</v>
      </c>
    </row>
    <row r="8" spans="1:25" ht="16.5" hidden="1" outlineLevel="1">
      <c r="A8" s="457"/>
      <c r="B8" s="36" t="s">
        <v>132</v>
      </c>
      <c r="C8" s="408">
        <v>55.0045</v>
      </c>
      <c r="D8" s="639">
        <v>48.740000000000009</v>
      </c>
      <c r="E8" s="389">
        <f t="shared" si="1"/>
        <v>-0.11389068167149941</v>
      </c>
      <c r="F8" s="147">
        <f t="shared" si="2"/>
        <v>0.13915956417074637</v>
      </c>
      <c r="G8" s="478"/>
      <c r="H8" s="283">
        <v>5.4002999999999997</v>
      </c>
      <c r="I8" s="283">
        <v>4.7023999999999999</v>
      </c>
      <c r="J8" s="283">
        <v>4.9000000000000004</v>
      </c>
      <c r="K8" s="283">
        <v>4.9000000000000004</v>
      </c>
      <c r="L8" s="283">
        <v>4.9000000000000004</v>
      </c>
      <c r="M8" s="283">
        <v>4.6500000000000004</v>
      </c>
      <c r="N8" s="283">
        <v>4.6500000000000004</v>
      </c>
      <c r="O8" s="283">
        <v>4.5018000000000002</v>
      </c>
      <c r="P8" s="283">
        <v>4</v>
      </c>
      <c r="Q8" s="283">
        <v>3.7</v>
      </c>
      <c r="R8" s="283">
        <v>4.4000000000000004</v>
      </c>
      <c r="S8" s="283">
        <v>4.3</v>
      </c>
      <c r="T8" s="138">
        <v>55.0045</v>
      </c>
      <c r="U8" s="519">
        <f t="shared" si="3"/>
        <v>55.0045</v>
      </c>
      <c r="V8" s="520">
        <f t="shared" si="4"/>
        <v>-3.5715259660573095E-2</v>
      </c>
      <c r="W8" s="519">
        <v>4.3</v>
      </c>
      <c r="X8" s="521">
        <f t="shared" si="5"/>
        <v>53.040000000000006</v>
      </c>
      <c r="Y8" s="522">
        <f t="shared" si="6"/>
        <v>0.14021900283668545</v>
      </c>
    </row>
    <row r="9" spans="1:25" ht="16.5" hidden="1" outlineLevel="1">
      <c r="A9" s="457"/>
      <c r="B9" s="36" t="s">
        <v>134</v>
      </c>
      <c r="C9" s="408">
        <v>30.291</v>
      </c>
      <c r="D9" s="639">
        <v>29.005000000000003</v>
      </c>
      <c r="E9" s="389">
        <f t="shared" si="1"/>
        <v>-4.2454854577267054E-2</v>
      </c>
      <c r="F9" s="147">
        <f t="shared" si="2"/>
        <v>8.2813359843506323E-2</v>
      </c>
      <c r="G9" s="478"/>
      <c r="H9" s="283">
        <v>3.2</v>
      </c>
      <c r="I9" s="283">
        <v>2.5009999999999999</v>
      </c>
      <c r="J9" s="283">
        <v>2.6</v>
      </c>
      <c r="K9" s="283">
        <v>2.8</v>
      </c>
      <c r="L9" s="283">
        <v>2.65</v>
      </c>
      <c r="M9" s="283">
        <v>2.5099999999999998</v>
      </c>
      <c r="N9" s="283">
        <v>2.82</v>
      </c>
      <c r="O9" s="283">
        <v>2.25</v>
      </c>
      <c r="P9" s="283">
        <v>2.2999999999999998</v>
      </c>
      <c r="Q9" s="283">
        <v>2.2599999999999998</v>
      </c>
      <c r="R9" s="283">
        <v>2.4</v>
      </c>
      <c r="S9" s="283">
        <v>2</v>
      </c>
      <c r="T9" s="138">
        <v>30.291</v>
      </c>
      <c r="U9" s="519">
        <f t="shared" si="3"/>
        <v>30.290999999999997</v>
      </c>
      <c r="V9" s="520">
        <f t="shared" si="4"/>
        <v>2.3571357829058392E-2</v>
      </c>
      <c r="W9" s="519">
        <v>2</v>
      </c>
      <c r="X9" s="521">
        <f t="shared" si="5"/>
        <v>31.005000000000003</v>
      </c>
      <c r="Y9" s="522">
        <f t="shared" si="6"/>
        <v>8.1966255334680091E-2</v>
      </c>
    </row>
    <row r="10" spans="1:25" ht="16.5" hidden="1" outlineLevel="1">
      <c r="A10" s="457"/>
      <c r="B10" s="39" t="s">
        <v>136</v>
      </c>
      <c r="C10" s="170">
        <v>387.48084</v>
      </c>
      <c r="D10" s="641">
        <v>350.24541999999997</v>
      </c>
      <c r="E10" s="331">
        <f t="shared" si="1"/>
        <v>-9.6096157941641835E-2</v>
      </c>
      <c r="F10" s="147">
        <f t="shared" si="2"/>
        <v>1</v>
      </c>
      <c r="G10" s="478"/>
      <c r="H10" s="77">
        <v>39.154299999999999</v>
      </c>
      <c r="I10" s="77">
        <v>35.093400000000003</v>
      </c>
      <c r="J10" s="77">
        <v>37.498199999999997</v>
      </c>
      <c r="K10" s="77">
        <v>37.396000000000001</v>
      </c>
      <c r="L10" s="77">
        <v>35.094000000000001</v>
      </c>
      <c r="M10" s="77">
        <v>34.223999999999997</v>
      </c>
      <c r="N10" s="77">
        <v>31.348400000000002</v>
      </c>
      <c r="O10" s="77">
        <v>30.745419999999999</v>
      </c>
      <c r="P10" s="77">
        <v>27.774000000000001</v>
      </c>
      <c r="Q10" s="77">
        <v>22.04316</v>
      </c>
      <c r="R10" s="77">
        <v>29.110959999999999</v>
      </c>
      <c r="S10" s="77">
        <v>27.998999999999999</v>
      </c>
      <c r="T10" s="633">
        <v>387.48084</v>
      </c>
      <c r="U10" s="519">
        <f t="shared" si="3"/>
        <v>387.48084</v>
      </c>
      <c r="V10" s="520">
        <f>X10/U10-1</f>
        <v>-2.3782904981830999E-2</v>
      </c>
      <c r="W10" s="519">
        <f>SUM(W5:W9)</f>
        <v>28.02</v>
      </c>
      <c r="X10" s="521">
        <f>D10+W10</f>
        <v>378.26541999999995</v>
      </c>
      <c r="Y10" s="522">
        <f t="shared" si="6"/>
        <v>1</v>
      </c>
    </row>
    <row r="11" spans="1:25" hidden="1" outlineLevel="1">
      <c r="D11" s="77"/>
      <c r="E11" s="454"/>
    </row>
    <row r="12" spans="1:25" hidden="1" outlineLevel="1"/>
    <row r="13" spans="1:25" ht="15" hidden="1" customHeight="1" outlineLevel="1">
      <c r="B13" s="768" t="s">
        <v>148</v>
      </c>
      <c r="C13" s="845" t="s">
        <v>405</v>
      </c>
      <c r="D13" s="846" t="s">
        <v>406</v>
      </c>
      <c r="E13" s="800" t="s">
        <v>407</v>
      </c>
      <c r="H13" s="651" t="s">
        <v>28</v>
      </c>
      <c r="I13" s="651" t="s">
        <v>29</v>
      </c>
      <c r="J13" s="651" t="s">
        <v>30</v>
      </c>
      <c r="K13" s="651" t="s">
        <v>31</v>
      </c>
      <c r="L13" s="651" t="s">
        <v>32</v>
      </c>
      <c r="M13" s="651" t="s">
        <v>33</v>
      </c>
      <c r="N13" s="651" t="s">
        <v>34</v>
      </c>
      <c r="O13" s="651" t="s">
        <v>35</v>
      </c>
      <c r="P13" s="651" t="s">
        <v>36</v>
      </c>
      <c r="Q13" s="651" t="s">
        <v>37</v>
      </c>
      <c r="R13" s="651" t="s">
        <v>38</v>
      </c>
      <c r="S13" s="409" t="s">
        <v>39</v>
      </c>
      <c r="T13" s="137" t="s">
        <v>347</v>
      </c>
      <c r="U13" s="638" t="s">
        <v>408</v>
      </c>
    </row>
    <row r="14" spans="1:25" hidden="1" outlineLevel="1">
      <c r="B14" s="768"/>
      <c r="C14" s="845"/>
      <c r="D14" s="846"/>
      <c r="E14" s="800"/>
      <c r="H14" s="642">
        <f t="shared" ref="H14:S14" si="7">SUM(H15:H16)</f>
        <v>34.504620000000003</v>
      </c>
      <c r="I14" s="642">
        <f t="shared" si="7"/>
        <v>66.960239999999999</v>
      </c>
      <c r="J14" s="642">
        <f t="shared" si="7"/>
        <v>103.23313999999999</v>
      </c>
      <c r="K14" s="642">
        <f t="shared" si="7"/>
        <v>132.35408000000001</v>
      </c>
      <c r="L14" s="642">
        <f t="shared" si="7"/>
        <v>166.61276000000001</v>
      </c>
      <c r="M14" s="642">
        <f t="shared" si="7"/>
        <v>196.91755999999998</v>
      </c>
      <c r="N14" s="642">
        <f t="shared" si="7"/>
        <v>225.93074000000001</v>
      </c>
      <c r="O14" s="642">
        <f t="shared" si="7"/>
        <v>255.47642000000002</v>
      </c>
      <c r="P14" s="642">
        <f t="shared" si="7"/>
        <v>284.44542000000001</v>
      </c>
      <c r="Q14" s="642">
        <f t="shared" si="7"/>
        <v>316.10000000000002</v>
      </c>
      <c r="R14" s="642">
        <f t="shared" si="7"/>
        <v>345.68482</v>
      </c>
      <c r="S14" s="642">
        <f t="shared" si="7"/>
        <v>374.01210000000003</v>
      </c>
      <c r="T14" s="139"/>
    </row>
    <row r="15" spans="1:25" hidden="1" outlineLevel="1">
      <c r="B15" s="36" t="s">
        <v>150</v>
      </c>
      <c r="C15" s="408">
        <v>210.59334000000001</v>
      </c>
      <c r="D15" s="77">
        <v>299.94808</v>
      </c>
      <c r="E15" s="389">
        <f>IFERROR(D15/C15-1,0)</f>
        <v>0.42429993275190947</v>
      </c>
      <c r="H15" s="643">
        <v>18.472560000000001</v>
      </c>
      <c r="I15" s="643">
        <v>36.29862</v>
      </c>
      <c r="J15" s="643">
        <v>56.05142</v>
      </c>
      <c r="K15" s="643">
        <v>72.165520000000001</v>
      </c>
      <c r="L15" s="643">
        <v>91.323120000000003</v>
      </c>
      <c r="M15" s="643">
        <v>108.96714</v>
      </c>
      <c r="N15" s="643">
        <v>126.12378</v>
      </c>
      <c r="O15" s="643">
        <v>143.09018</v>
      </c>
      <c r="P15" s="643">
        <v>159.75767999999999</v>
      </c>
      <c r="Q15" s="643">
        <v>177.6</v>
      </c>
      <c r="R15" s="643">
        <v>194.14258000000001</v>
      </c>
      <c r="S15" s="643">
        <v>210.59334000000001</v>
      </c>
      <c r="T15" s="143"/>
    </row>
    <row r="16" spans="1:25" hidden="1" outlineLevel="1">
      <c r="B16" s="36" t="s">
        <v>151</v>
      </c>
      <c r="C16" s="408">
        <v>163.41875999999999</v>
      </c>
      <c r="D16" s="77">
        <v>34.653799999999997</v>
      </c>
      <c r="E16" s="389">
        <f>IFERROR(D16/C16-1,0)</f>
        <v>-0.78794478675520485</v>
      </c>
      <c r="H16" s="643">
        <v>16.032060000000001</v>
      </c>
      <c r="I16" s="643">
        <v>30.661619999999999</v>
      </c>
      <c r="J16" s="643">
        <v>47.181719999999999</v>
      </c>
      <c r="K16" s="643">
        <v>60.188560000000003</v>
      </c>
      <c r="L16" s="643">
        <v>75.289640000000006</v>
      </c>
      <c r="M16" s="643">
        <v>87.950419999999994</v>
      </c>
      <c r="N16" s="643">
        <v>99.806960000000004</v>
      </c>
      <c r="O16" s="643">
        <v>112.38624</v>
      </c>
      <c r="P16" s="643">
        <v>124.68774000000001</v>
      </c>
      <c r="Q16" s="643">
        <v>138.5</v>
      </c>
      <c r="R16" s="643">
        <v>151.54223999999999</v>
      </c>
      <c r="S16" s="643">
        <v>163.41875999999999</v>
      </c>
      <c r="T16" s="143"/>
    </row>
    <row r="17" spans="2:21" hidden="1" outlineLevel="1">
      <c r="B17" s="39" t="s">
        <v>80</v>
      </c>
      <c r="C17" s="170">
        <v>374.01210000000003</v>
      </c>
      <c r="D17" s="170">
        <v>334.60187999999999</v>
      </c>
      <c r="E17" s="331">
        <f>IFERROR(D17/C17-1,0)</f>
        <v>-0.1053715107078087</v>
      </c>
      <c r="H17" s="644">
        <v>34.504620000000003</v>
      </c>
      <c r="I17" s="644">
        <v>66.960239999999999</v>
      </c>
      <c r="J17" s="644">
        <v>103.23313999999999</v>
      </c>
      <c r="K17" s="644">
        <v>132.35408000000001</v>
      </c>
      <c r="L17" s="644">
        <v>166.61276000000001</v>
      </c>
      <c r="M17" s="644">
        <v>196.91755999999998</v>
      </c>
      <c r="N17" s="644">
        <v>225.93074000000001</v>
      </c>
      <c r="O17" s="644">
        <v>255.47642000000002</v>
      </c>
      <c r="P17" s="644">
        <v>284.44542000000001</v>
      </c>
      <c r="Q17" s="644">
        <v>316.10000000000002</v>
      </c>
      <c r="R17" s="644">
        <v>345.68482</v>
      </c>
      <c r="S17" s="644">
        <v>374.01210000000003</v>
      </c>
    </row>
    <row r="18" spans="2:21" hidden="1" outlineLevel="1"/>
    <row r="19" spans="2:21" hidden="1" outlineLevel="1">
      <c r="D19" s="119" t="s">
        <v>409</v>
      </c>
    </row>
    <row r="20" spans="2:21" ht="15" hidden="1" customHeight="1" outlineLevel="1">
      <c r="B20" s="768" t="s">
        <v>122</v>
      </c>
      <c r="C20" s="845" t="s">
        <v>405</v>
      </c>
      <c r="D20" s="846" t="s">
        <v>406</v>
      </c>
      <c r="E20" s="800" t="s">
        <v>407</v>
      </c>
      <c r="H20" s="651" t="s">
        <v>28</v>
      </c>
      <c r="I20" s="651" t="s">
        <v>29</v>
      </c>
      <c r="J20" s="651" t="s">
        <v>30</v>
      </c>
      <c r="K20" s="651" t="s">
        <v>31</v>
      </c>
      <c r="L20" s="651" t="s">
        <v>32</v>
      </c>
      <c r="M20" s="651" t="s">
        <v>33</v>
      </c>
      <c r="N20" s="651" t="s">
        <v>34</v>
      </c>
      <c r="O20" s="651" t="s">
        <v>35</v>
      </c>
      <c r="P20" s="651" t="s">
        <v>36</v>
      </c>
      <c r="Q20" s="651" t="s">
        <v>37</v>
      </c>
      <c r="R20" s="651" t="s">
        <v>38</v>
      </c>
      <c r="S20" s="409" t="s">
        <v>39</v>
      </c>
      <c r="T20" s="137" t="s">
        <v>347</v>
      </c>
    </row>
    <row r="21" spans="2:21" hidden="1" outlineLevel="1">
      <c r="B21" s="768"/>
      <c r="C21" s="845"/>
      <c r="D21" s="846"/>
      <c r="E21" s="800"/>
      <c r="F21" s="211" t="s">
        <v>259</v>
      </c>
      <c r="H21" s="139">
        <f>SUM(H22:H26)</f>
        <v>104.01119999999999</v>
      </c>
      <c r="I21" s="139">
        <f t="shared" ref="I21:S21" si="8">SUM(I22:I26)</f>
        <v>99.595680000000002</v>
      </c>
      <c r="J21" s="139">
        <f t="shared" si="8"/>
        <v>111.01231999999999</v>
      </c>
      <c r="K21" s="139">
        <f t="shared" si="8"/>
        <v>102.00651999999998</v>
      </c>
      <c r="L21" s="139">
        <f t="shared" si="8"/>
        <v>95.442900000000009</v>
      </c>
      <c r="M21" s="139">
        <f t="shared" si="8"/>
        <v>93.205639999999988</v>
      </c>
      <c r="N21" s="139">
        <f t="shared" si="8"/>
        <v>95.683800000000005</v>
      </c>
      <c r="O21" s="139">
        <f t="shared" si="8"/>
        <v>97.705119999999994</v>
      </c>
      <c r="P21" s="139">
        <f t="shared" si="8"/>
        <v>92.707580000000007</v>
      </c>
      <c r="Q21" s="139">
        <f t="shared" si="8"/>
        <v>97.006839999999997</v>
      </c>
      <c r="R21" s="139">
        <f t="shared" si="8"/>
        <v>103.21202</v>
      </c>
      <c r="S21" s="139">
        <f t="shared" si="8"/>
        <v>103.11271999999998</v>
      </c>
      <c r="T21" s="139">
        <f>SUM(T22:T26)</f>
        <v>1194.7023400000003</v>
      </c>
      <c r="U21" s="77"/>
    </row>
    <row r="22" spans="2:21" hidden="1" outlineLevel="1">
      <c r="B22" s="135" t="s">
        <v>125</v>
      </c>
      <c r="C22" s="408">
        <v>1004.64268</v>
      </c>
      <c r="D22" s="639">
        <v>1038.2834399999999</v>
      </c>
      <c r="E22" s="389">
        <f t="shared" ref="E22:E27" si="9">IFERROR(D22/C22-1,0)</f>
        <v>3.3485298474478453E-2</v>
      </c>
      <c r="F22" s="147">
        <f t="shared" ref="F22:F27" si="10">D22/$D$27</f>
        <v>0.83715584428275613</v>
      </c>
      <c r="G22" s="457"/>
      <c r="H22" s="285">
        <v>92</v>
      </c>
      <c r="I22" s="285">
        <v>84.531880000000001</v>
      </c>
      <c r="J22" s="285">
        <v>94.381519999999995</v>
      </c>
      <c r="K22" s="285">
        <v>83.116119999999995</v>
      </c>
      <c r="L22" s="285">
        <v>80.209999999999994</v>
      </c>
      <c r="M22" s="285">
        <v>78.114639999999994</v>
      </c>
      <c r="N22" s="285">
        <v>80.051220000000001</v>
      </c>
      <c r="O22" s="285">
        <v>79.875919999999994</v>
      </c>
      <c r="P22" s="285">
        <v>79.760419999999996</v>
      </c>
      <c r="Q22" s="285">
        <v>80.45102</v>
      </c>
      <c r="R22" s="285">
        <v>85.557820000000007</v>
      </c>
      <c r="S22" s="285">
        <v>86.592119999999994</v>
      </c>
      <c r="T22" s="140">
        <v>1004.64268</v>
      </c>
      <c r="U22" s="77"/>
    </row>
    <row r="23" spans="2:21" hidden="1" outlineLevel="1">
      <c r="B23" s="136" t="s">
        <v>410</v>
      </c>
      <c r="C23" s="408">
        <v>46.51</v>
      </c>
      <c r="D23" s="639">
        <v>48.309999999999995</v>
      </c>
      <c r="E23" s="389">
        <f t="shared" si="9"/>
        <v>3.8701354547409084E-2</v>
      </c>
      <c r="F23" s="147">
        <f t="shared" si="10"/>
        <v>3.8951790310071732E-2</v>
      </c>
      <c r="G23" s="457"/>
      <c r="H23" s="285">
        <v>2.46</v>
      </c>
      <c r="I23" s="285">
        <v>2.97</v>
      </c>
      <c r="J23" s="285">
        <v>4.32</v>
      </c>
      <c r="K23" s="285">
        <v>3.63</v>
      </c>
      <c r="L23" s="285">
        <v>3.93</v>
      </c>
      <c r="M23" s="285">
        <v>3.95</v>
      </c>
      <c r="N23" s="285">
        <v>3.43</v>
      </c>
      <c r="O23" s="285">
        <v>4.1100000000000003</v>
      </c>
      <c r="P23" s="285">
        <v>4.04</v>
      </c>
      <c r="Q23" s="285">
        <v>3.53</v>
      </c>
      <c r="R23" s="285">
        <v>4.68</v>
      </c>
      <c r="S23" s="285">
        <v>5.46</v>
      </c>
      <c r="T23" s="140">
        <v>46.51</v>
      </c>
      <c r="U23" s="77"/>
    </row>
    <row r="24" spans="2:21" hidden="1" outlineLevel="1">
      <c r="B24" s="136" t="s">
        <v>130</v>
      </c>
      <c r="C24" s="408">
        <v>45.249000000000002</v>
      </c>
      <c r="D24" s="639">
        <v>46.899799999999999</v>
      </c>
      <c r="E24" s="389">
        <f t="shared" si="9"/>
        <v>3.6482574200534801E-2</v>
      </c>
      <c r="F24" s="147">
        <f t="shared" si="10"/>
        <v>3.7814762475352981E-2</v>
      </c>
      <c r="G24" s="457"/>
      <c r="H24" s="285">
        <v>2.06</v>
      </c>
      <c r="I24" s="285">
        <v>3.67</v>
      </c>
      <c r="J24" s="285">
        <v>4.5999999999999996</v>
      </c>
      <c r="K24" s="285">
        <v>4.0999999999999996</v>
      </c>
      <c r="L24" s="285">
        <v>5.29</v>
      </c>
      <c r="M24" s="285">
        <v>3.44</v>
      </c>
      <c r="N24" s="285">
        <v>3.9</v>
      </c>
      <c r="O24" s="285">
        <v>4.97</v>
      </c>
      <c r="P24" s="285">
        <v>1.87</v>
      </c>
      <c r="Q24" s="285">
        <v>3.359</v>
      </c>
      <c r="R24" s="285">
        <v>4.26</v>
      </c>
      <c r="S24" s="285">
        <v>3.73</v>
      </c>
      <c r="T24" s="140">
        <v>45.249000000000002</v>
      </c>
      <c r="U24" s="77"/>
    </row>
    <row r="25" spans="2:21" hidden="1" outlineLevel="1">
      <c r="B25" s="136" t="s">
        <v>133</v>
      </c>
      <c r="C25" s="408">
        <v>46.4</v>
      </c>
      <c r="D25" s="639">
        <v>56.019799999999996</v>
      </c>
      <c r="E25" s="389">
        <f t="shared" si="9"/>
        <v>0.20732327586206889</v>
      </c>
      <c r="F25" s="147">
        <f t="shared" si="10"/>
        <v>4.5168112250303386E-2</v>
      </c>
      <c r="G25" s="457"/>
      <c r="H25" s="285">
        <v>3.38</v>
      </c>
      <c r="I25" s="285">
        <v>3.99</v>
      </c>
      <c r="J25" s="285">
        <v>2.87</v>
      </c>
      <c r="K25" s="285">
        <v>7.08</v>
      </c>
      <c r="L25" s="285">
        <v>1.81</v>
      </c>
      <c r="M25" s="285">
        <v>3.66</v>
      </c>
      <c r="N25" s="285">
        <v>4.24</v>
      </c>
      <c r="O25" s="285">
        <v>4.4400000000000004</v>
      </c>
      <c r="P25" s="285">
        <v>3.3</v>
      </c>
      <c r="Q25" s="285">
        <v>4.76</v>
      </c>
      <c r="R25" s="285">
        <v>4.16</v>
      </c>
      <c r="S25" s="285">
        <v>2.71</v>
      </c>
      <c r="T25" s="140">
        <v>46.4</v>
      </c>
      <c r="U25" s="77"/>
    </row>
    <row r="26" spans="2:21" hidden="1" outlineLevel="1">
      <c r="B26" s="136" t="s">
        <v>135</v>
      </c>
      <c r="C26" s="408">
        <v>51.900660000000002</v>
      </c>
      <c r="D26" s="639">
        <v>50.738039999999998</v>
      </c>
      <c r="E26" s="389">
        <f t="shared" si="9"/>
        <v>-2.2400871202793993E-2</v>
      </c>
      <c r="F26" s="147">
        <f t="shared" si="10"/>
        <v>4.0909490681515878E-2</v>
      </c>
      <c r="G26" s="457"/>
      <c r="H26" s="285">
        <v>4.1112000000000002</v>
      </c>
      <c r="I26" s="285">
        <v>4.4337999999999997</v>
      </c>
      <c r="J26" s="285">
        <v>4.8407999999999998</v>
      </c>
      <c r="K26" s="285">
        <v>4.0804</v>
      </c>
      <c r="L26" s="285">
        <v>4.2028999999999996</v>
      </c>
      <c r="M26" s="285">
        <v>4.0410000000000004</v>
      </c>
      <c r="N26" s="285">
        <v>4.0625799999999996</v>
      </c>
      <c r="O26" s="285">
        <v>4.3091999999999997</v>
      </c>
      <c r="P26" s="285">
        <v>3.7371599999999998</v>
      </c>
      <c r="Q26" s="285">
        <v>4.9068199999999997</v>
      </c>
      <c r="R26" s="285">
        <v>4.5541999999999998</v>
      </c>
      <c r="S26" s="285">
        <v>4.6205999999999996</v>
      </c>
      <c r="T26" s="140">
        <v>51.900660000000002</v>
      </c>
      <c r="U26" s="77"/>
    </row>
    <row r="27" spans="2:21" hidden="1" outlineLevel="1">
      <c r="B27" s="39" t="s">
        <v>137</v>
      </c>
      <c r="C27" s="121">
        <v>1194.7023400000003</v>
      </c>
      <c r="D27" s="640">
        <v>1240.2510799999998</v>
      </c>
      <c r="E27" s="331">
        <f t="shared" si="9"/>
        <v>3.8125597042020898E-2</v>
      </c>
      <c r="F27" s="147">
        <f t="shared" si="10"/>
        <v>1</v>
      </c>
      <c r="G27" s="457"/>
      <c r="H27" s="77">
        <f>SUM(H22:H26)</f>
        <v>104.01119999999999</v>
      </c>
      <c r="I27" s="77">
        <f t="shared" ref="I27:T27" si="11">SUM(I22:I26)</f>
        <v>99.595680000000002</v>
      </c>
      <c r="J27" s="77">
        <f t="shared" si="11"/>
        <v>111.01231999999999</v>
      </c>
      <c r="K27" s="77">
        <f t="shared" si="11"/>
        <v>102.00651999999998</v>
      </c>
      <c r="L27" s="77">
        <f t="shared" si="11"/>
        <v>95.442900000000009</v>
      </c>
      <c r="M27" s="77">
        <f t="shared" si="11"/>
        <v>93.205639999999988</v>
      </c>
      <c r="N27" s="77">
        <f t="shared" si="11"/>
        <v>95.683800000000005</v>
      </c>
      <c r="O27" s="77">
        <f t="shared" si="11"/>
        <v>97.705119999999994</v>
      </c>
      <c r="P27" s="77">
        <f t="shared" si="11"/>
        <v>92.707580000000007</v>
      </c>
      <c r="Q27" s="77">
        <f t="shared" si="11"/>
        <v>97.006839999999997</v>
      </c>
      <c r="R27" s="77">
        <f t="shared" si="11"/>
        <v>103.21202</v>
      </c>
      <c r="S27" s="77">
        <f t="shared" si="11"/>
        <v>103.11271999999998</v>
      </c>
      <c r="T27" s="633">
        <f t="shared" si="11"/>
        <v>1194.7023400000003</v>
      </c>
    </row>
    <row r="28" spans="2:21" collapsed="1">
      <c r="D28" s="77"/>
    </row>
    <row r="29" spans="2:21">
      <c r="H29" s="654">
        <v>2024</v>
      </c>
    </row>
    <row r="30" spans="2:21">
      <c r="D30" s="119" t="s">
        <v>404</v>
      </c>
    </row>
    <row r="31" spans="2:21" ht="15" customHeight="1">
      <c r="B31" s="768" t="s">
        <v>119</v>
      </c>
      <c r="C31" s="845" t="s">
        <v>406</v>
      </c>
      <c r="D31" s="846" t="s">
        <v>411</v>
      </c>
      <c r="E31" s="800" t="s">
        <v>407</v>
      </c>
      <c r="H31" s="409" t="s">
        <v>28</v>
      </c>
      <c r="I31" s="409" t="s">
        <v>29</v>
      </c>
      <c r="J31" s="409" t="s">
        <v>30</v>
      </c>
      <c r="K31" s="409" t="s">
        <v>31</v>
      </c>
      <c r="L31" s="409" t="s">
        <v>32</v>
      </c>
      <c r="M31" s="409" t="s">
        <v>33</v>
      </c>
      <c r="N31" s="409" t="s">
        <v>34</v>
      </c>
      <c r="O31" s="409" t="s">
        <v>35</v>
      </c>
      <c r="P31" s="409" t="s">
        <v>36</v>
      </c>
      <c r="Q31" s="409" t="s">
        <v>37</v>
      </c>
      <c r="R31" s="409" t="s">
        <v>38</v>
      </c>
      <c r="S31" s="409" t="s">
        <v>39</v>
      </c>
      <c r="T31" s="137" t="s">
        <v>347</v>
      </c>
    </row>
    <row r="32" spans="2:21">
      <c r="B32" s="768"/>
      <c r="C32" s="845"/>
      <c r="D32" s="846"/>
      <c r="E32" s="800"/>
      <c r="F32" s="211" t="s">
        <v>259</v>
      </c>
      <c r="H32" s="139">
        <f>SUM(H33:H37)</f>
        <v>29.81662</v>
      </c>
      <c r="I32" s="139">
        <f t="shared" ref="I32:M32" si="12">SUM(I33:I37)</f>
        <v>33.081600000000002</v>
      </c>
      <c r="J32" s="139">
        <f t="shared" si="12"/>
        <v>32.856360000000002</v>
      </c>
      <c r="K32" s="139">
        <f t="shared" si="12"/>
        <v>29.865199999999998</v>
      </c>
      <c r="L32" s="139">
        <f t="shared" si="12"/>
        <v>29.694399999999998</v>
      </c>
      <c r="M32" s="139">
        <f t="shared" si="12"/>
        <v>24.9328</v>
      </c>
      <c r="N32" s="139">
        <f>SUM(N33:N37)</f>
        <v>27.230600000000003</v>
      </c>
      <c r="O32" s="139">
        <f t="shared" ref="O32:R32" si="13">SUM(O33:O37)</f>
        <v>26.5898</v>
      </c>
      <c r="P32" s="139">
        <f t="shared" si="13"/>
        <v>26.91948</v>
      </c>
      <c r="Q32" s="139">
        <f t="shared" si="13"/>
        <v>29.541379999999997</v>
      </c>
      <c r="R32" s="139">
        <f t="shared" si="13"/>
        <v>30.405199999999997</v>
      </c>
      <c r="S32" s="139">
        <f>SUM(S33:S37)</f>
        <v>29.311979999999998</v>
      </c>
      <c r="T32" s="139">
        <f>SUM(T33:T37)</f>
        <v>350.24541999999997</v>
      </c>
    </row>
    <row r="33" spans="1:25" ht="16.5">
      <c r="A33" s="457"/>
      <c r="B33" s="36" t="s">
        <v>124</v>
      </c>
      <c r="C33" s="408">
        <f>SUM(H33:L33)</f>
        <v>40.558579999999999</v>
      </c>
      <c r="D33" s="639">
        <v>34.270000000000003</v>
      </c>
      <c r="E33" s="389">
        <f>IFERROR(D33/C33-1,0)</f>
        <v>-0.15504931385664877</v>
      </c>
      <c r="F33" s="147">
        <f>D33/$D$10</f>
        <v>9.7845676326045905E-2</v>
      </c>
      <c r="G33" s="478"/>
      <c r="H33" s="282">
        <v>7.4100199999999994</v>
      </c>
      <c r="I33" s="282">
        <v>8.281600000000001</v>
      </c>
      <c r="J33" s="282">
        <v>8.5179600000000004</v>
      </c>
      <c r="K33" s="282">
        <v>7.9190000000000005</v>
      </c>
      <c r="L33" s="282">
        <v>8.43</v>
      </c>
      <c r="M33" s="282">
        <v>6.6020000000000003</v>
      </c>
      <c r="N33" s="282">
        <v>7.8620000000000001</v>
      </c>
      <c r="O33" s="282">
        <v>7.76</v>
      </c>
      <c r="P33" s="282">
        <v>7.9161800000000007</v>
      </c>
      <c r="Q33" s="282">
        <v>8.218</v>
      </c>
      <c r="R33" s="282">
        <v>7.95</v>
      </c>
      <c r="S33" s="282">
        <v>8</v>
      </c>
      <c r="T33" s="138">
        <v>94.866759999999999</v>
      </c>
      <c r="U33" s="519">
        <f>SUM(H33:S33)</f>
        <v>94.866759999999999</v>
      </c>
      <c r="V33" s="520">
        <f>X33/U33-1</f>
        <v>-0.55421688271002401</v>
      </c>
      <c r="W33" s="519">
        <v>8.02</v>
      </c>
      <c r="X33" s="521">
        <f>D33+W33</f>
        <v>42.290000000000006</v>
      </c>
      <c r="Y33" s="522">
        <f>X33/$X$10</f>
        <v>0.11179980448648996</v>
      </c>
    </row>
    <row r="34" spans="1:25" ht="16.5">
      <c r="A34" s="457"/>
      <c r="B34" s="36" t="s">
        <v>126</v>
      </c>
      <c r="C34" s="408">
        <f t="shared" ref="C34:C38" si="14">SUM(H34:L34)</f>
        <v>48.6158</v>
      </c>
      <c r="D34" s="639">
        <v>43.685399999999994</v>
      </c>
      <c r="E34" s="389">
        <f t="shared" ref="E34:E38" si="15">IFERROR(D34/C34-1,0)</f>
        <v>-0.10141558917059901</v>
      </c>
      <c r="F34" s="147">
        <f t="shared" ref="F34:F38" si="16">D34/$D$10</f>
        <v>0.12472796931934184</v>
      </c>
      <c r="G34" s="478"/>
      <c r="H34" s="283">
        <v>9.2927999999999997</v>
      </c>
      <c r="I34" s="283">
        <v>10.526999999999999</v>
      </c>
      <c r="J34" s="283">
        <v>10.424800000000001</v>
      </c>
      <c r="K34" s="283">
        <v>9.1191999999999993</v>
      </c>
      <c r="L34" s="283">
        <v>9.2520000000000007</v>
      </c>
      <c r="M34" s="283">
        <v>8.2342000000000013</v>
      </c>
      <c r="N34" s="283">
        <v>8.64</v>
      </c>
      <c r="O34" s="283">
        <v>8.2018000000000004</v>
      </c>
      <c r="P34" s="283">
        <v>7.7246000000000006</v>
      </c>
      <c r="Q34" s="283">
        <v>9.0033999999999992</v>
      </c>
      <c r="R34" s="283">
        <v>9.3521999999999998</v>
      </c>
      <c r="S34" s="283">
        <v>8.0241000000000007</v>
      </c>
      <c r="T34" s="138">
        <v>107.7961</v>
      </c>
      <c r="U34" s="519">
        <f t="shared" ref="U34:U38" si="17">SUM(H34:S34)</f>
        <v>107.79610000000001</v>
      </c>
      <c r="V34" s="520">
        <f t="shared" ref="V34:V37" si="18">X34/U34-1</f>
        <v>-0.51653724021555525</v>
      </c>
      <c r="W34" s="519">
        <v>8.43</v>
      </c>
      <c r="X34" s="521">
        <f t="shared" ref="X34:X37" si="19">D34+W34</f>
        <v>52.115399999999994</v>
      </c>
      <c r="Y34" s="522">
        <f t="shared" ref="Y34:Y38" si="20">X34/$X$10</f>
        <v>0.13777468741393278</v>
      </c>
    </row>
    <row r="35" spans="1:25" ht="16.5">
      <c r="A35" s="457"/>
      <c r="B35" s="36" t="s">
        <v>129</v>
      </c>
      <c r="C35" s="408">
        <f t="shared" si="14"/>
        <v>32.314799999999998</v>
      </c>
      <c r="D35" s="639">
        <v>26.509600000000002</v>
      </c>
      <c r="E35" s="389">
        <f t="shared" si="15"/>
        <v>-0.17964523995197235</v>
      </c>
      <c r="F35" s="147">
        <f t="shared" si="16"/>
        <v>7.568864141035736E-2</v>
      </c>
      <c r="G35" s="478"/>
      <c r="H35" s="282">
        <v>6.8087999999999997</v>
      </c>
      <c r="I35" s="282">
        <v>7.2229999999999999</v>
      </c>
      <c r="J35" s="282">
        <v>7.0835999999999997</v>
      </c>
      <c r="K35" s="282">
        <v>6.0569999999999995</v>
      </c>
      <c r="L35" s="282">
        <v>5.1423999999999994</v>
      </c>
      <c r="M35" s="282">
        <v>4.8965999999999994</v>
      </c>
      <c r="N35" s="282">
        <v>4.9686000000000003</v>
      </c>
      <c r="O35" s="282">
        <v>4.9279999999999999</v>
      </c>
      <c r="P35" s="282">
        <v>4.9386999999999999</v>
      </c>
      <c r="Q35" s="282">
        <v>5.3799800000000007</v>
      </c>
      <c r="R35" s="282">
        <v>6.2230000000000008</v>
      </c>
      <c r="S35" s="282">
        <v>6.1878800000000007</v>
      </c>
      <c r="T35" s="138">
        <v>69.837559999999996</v>
      </c>
      <c r="U35" s="519">
        <f t="shared" si="17"/>
        <v>69.837559999999996</v>
      </c>
      <c r="V35" s="520">
        <f t="shared" si="18"/>
        <v>-0.54494973764833698</v>
      </c>
      <c r="W35" s="519">
        <v>5.2700000000000005</v>
      </c>
      <c r="X35" s="521">
        <f t="shared" si="19"/>
        <v>31.779600000000002</v>
      </c>
      <c r="Y35" s="522">
        <f t="shared" si="20"/>
        <v>8.4014023803709065E-2</v>
      </c>
    </row>
    <row r="36" spans="1:25" ht="16.5">
      <c r="A36" s="457"/>
      <c r="B36" s="36" t="s">
        <v>132</v>
      </c>
      <c r="C36" s="408">
        <f t="shared" si="14"/>
        <v>21.29</v>
      </c>
      <c r="D36" s="639">
        <v>20.57</v>
      </c>
      <c r="E36" s="389">
        <f t="shared" si="15"/>
        <v>-3.3818694222639722E-2</v>
      </c>
      <c r="F36" s="147">
        <f t="shared" si="16"/>
        <v>5.873024692228667E-2</v>
      </c>
      <c r="G36" s="478"/>
      <c r="H36" s="283">
        <v>3.8</v>
      </c>
      <c r="I36" s="283">
        <v>4.42</v>
      </c>
      <c r="J36" s="283">
        <v>4.28</v>
      </c>
      <c r="K36" s="283">
        <v>4.37</v>
      </c>
      <c r="L36" s="283">
        <v>4.42</v>
      </c>
      <c r="M36" s="283">
        <v>3</v>
      </c>
      <c r="N36" s="283">
        <v>3.56</v>
      </c>
      <c r="O36" s="283">
        <v>3.4</v>
      </c>
      <c r="P36" s="283">
        <v>4.09</v>
      </c>
      <c r="Q36" s="283">
        <v>4.22</v>
      </c>
      <c r="R36" s="283">
        <v>4.4800000000000004</v>
      </c>
      <c r="S36" s="283">
        <v>4.7</v>
      </c>
      <c r="T36" s="138">
        <v>48.74</v>
      </c>
      <c r="U36" s="519">
        <f t="shared" si="17"/>
        <v>48.739999999999995</v>
      </c>
      <c r="V36" s="520">
        <f t="shared" si="18"/>
        <v>-0.4897414854329093</v>
      </c>
      <c r="W36" s="519">
        <v>4.3</v>
      </c>
      <c r="X36" s="521">
        <f t="shared" si="19"/>
        <v>24.87</v>
      </c>
      <c r="Y36" s="522">
        <f t="shared" si="20"/>
        <v>6.5747484927382485E-2</v>
      </c>
    </row>
    <row r="37" spans="1:25" ht="16.5">
      <c r="A37" s="457"/>
      <c r="B37" s="36" t="s">
        <v>134</v>
      </c>
      <c r="C37" s="408">
        <f t="shared" si="14"/>
        <v>12.535</v>
      </c>
      <c r="D37" s="639">
        <v>11.254999999999999</v>
      </c>
      <c r="E37" s="389">
        <f t="shared" si="15"/>
        <v>-0.10211408057439175</v>
      </c>
      <c r="F37" s="147">
        <f t="shared" si="16"/>
        <v>3.2134610068562781E-2</v>
      </c>
      <c r="G37" s="478"/>
      <c r="H37" s="283">
        <v>2.5049999999999999</v>
      </c>
      <c r="I37" s="283">
        <v>2.63</v>
      </c>
      <c r="J37" s="283">
        <v>2.5499999999999998</v>
      </c>
      <c r="K37" s="283">
        <v>2.4</v>
      </c>
      <c r="L37" s="283">
        <v>2.4500000000000002</v>
      </c>
      <c r="M37" s="283">
        <v>2.2000000000000002</v>
      </c>
      <c r="N37" s="283">
        <v>2.2000000000000002</v>
      </c>
      <c r="O37" s="283">
        <v>2.2999999999999998</v>
      </c>
      <c r="P37" s="283">
        <v>2.25</v>
      </c>
      <c r="Q37" s="283">
        <v>2.72</v>
      </c>
      <c r="R37" s="283">
        <v>2.4</v>
      </c>
      <c r="S37" s="283">
        <v>2.4</v>
      </c>
      <c r="T37" s="138">
        <v>29.004999999999999</v>
      </c>
      <c r="U37" s="519">
        <f t="shared" si="17"/>
        <v>29.004999999999995</v>
      </c>
      <c r="V37" s="520">
        <f t="shared" si="18"/>
        <v>-0.54300982589208746</v>
      </c>
      <c r="W37" s="519">
        <v>2</v>
      </c>
      <c r="X37" s="521">
        <f t="shared" si="19"/>
        <v>13.254999999999999</v>
      </c>
      <c r="Y37" s="522">
        <f t="shared" si="20"/>
        <v>3.5041532477380566E-2</v>
      </c>
    </row>
    <row r="38" spans="1:25" ht="16.5">
      <c r="A38" s="457"/>
      <c r="B38" s="39" t="s">
        <v>136</v>
      </c>
      <c r="C38" s="170">
        <f t="shared" si="14"/>
        <v>155.31417999999999</v>
      </c>
      <c r="D38" s="641">
        <v>136.29</v>
      </c>
      <c r="E38" s="331">
        <f t="shared" si="15"/>
        <v>-0.12248836519627504</v>
      </c>
      <c r="F38" s="147">
        <f t="shared" si="16"/>
        <v>0.38912714404659454</v>
      </c>
      <c r="G38" s="478"/>
      <c r="H38" s="77">
        <v>29.81662</v>
      </c>
      <c r="I38" s="77">
        <v>33.081600000000002</v>
      </c>
      <c r="J38" s="77">
        <v>32.856360000000002</v>
      </c>
      <c r="K38" s="77">
        <v>29.865199999999998</v>
      </c>
      <c r="L38" s="77">
        <v>29.694399999999998</v>
      </c>
      <c r="M38" s="77">
        <v>24.9328</v>
      </c>
      <c r="N38" s="77">
        <v>27.230600000000003</v>
      </c>
      <c r="O38" s="77">
        <v>26.5898</v>
      </c>
      <c r="P38" s="77">
        <v>26.91948</v>
      </c>
      <c r="Q38" s="77">
        <v>29.541379999999997</v>
      </c>
      <c r="R38" s="77">
        <v>30.405199999999997</v>
      </c>
      <c r="S38" s="77">
        <v>29.311979999999998</v>
      </c>
      <c r="T38" s="633">
        <v>350.24541999999997</v>
      </c>
      <c r="U38" s="519">
        <f t="shared" si="17"/>
        <v>350.24542000000002</v>
      </c>
      <c r="V38" s="520">
        <f>X38/U38-1</f>
        <v>-0.53087180982980453</v>
      </c>
      <c r="W38" s="519">
        <f>SUM(W33:W37)</f>
        <v>28.02</v>
      </c>
      <c r="X38" s="521">
        <f>D38+W38</f>
        <v>164.31</v>
      </c>
      <c r="Y38" s="522">
        <f t="shared" si="20"/>
        <v>0.43437753310889488</v>
      </c>
    </row>
    <row r="39" spans="1:25">
      <c r="D39" s="77"/>
      <c r="E39" s="454"/>
    </row>
    <row r="41" spans="1:25" ht="15" customHeight="1">
      <c r="B41" s="768" t="s">
        <v>148</v>
      </c>
      <c r="C41" s="845" t="s">
        <v>406</v>
      </c>
      <c r="D41" s="846" t="s">
        <v>411</v>
      </c>
      <c r="E41" s="800" t="s">
        <v>407</v>
      </c>
      <c r="H41" s="409" t="s">
        <v>28</v>
      </c>
      <c r="I41" s="409" t="s">
        <v>29</v>
      </c>
      <c r="J41" s="409" t="s">
        <v>30</v>
      </c>
      <c r="K41" s="409" t="s">
        <v>31</v>
      </c>
      <c r="L41" s="409" t="s">
        <v>32</v>
      </c>
      <c r="M41" s="409" t="s">
        <v>33</v>
      </c>
      <c r="N41" s="409" t="s">
        <v>34</v>
      </c>
      <c r="O41" s="409" t="s">
        <v>35</v>
      </c>
      <c r="P41" s="409" t="s">
        <v>36</v>
      </c>
      <c r="Q41" s="409" t="s">
        <v>37</v>
      </c>
      <c r="R41" s="409" t="s">
        <v>38</v>
      </c>
      <c r="S41" s="409" t="s">
        <v>39</v>
      </c>
      <c r="T41" s="137" t="s">
        <v>347</v>
      </c>
      <c r="U41" s="638" t="s">
        <v>408</v>
      </c>
    </row>
    <row r="42" spans="1:25">
      <c r="B42" s="768"/>
      <c r="C42" s="845"/>
      <c r="D42" s="846"/>
      <c r="E42" s="800"/>
      <c r="H42" s="642">
        <f t="shared" ref="H42:S42" si="21">SUM(H43:H44)</f>
        <v>30.384599999999999</v>
      </c>
      <c r="I42" s="642">
        <f t="shared" si="21"/>
        <v>61.841700000000003</v>
      </c>
      <c r="J42" s="642">
        <f t="shared" si="21"/>
        <v>92.746739999999988</v>
      </c>
      <c r="K42" s="642">
        <f t="shared" si="21"/>
        <v>120.0419</v>
      </c>
      <c r="L42" s="642">
        <f t="shared" si="21"/>
        <v>147.85901999999999</v>
      </c>
      <c r="M42" s="642">
        <f t="shared" si="21"/>
        <v>171.74574000000001</v>
      </c>
      <c r="N42" s="642">
        <f t="shared" si="21"/>
        <v>198.96088</v>
      </c>
      <c r="O42" s="642">
        <f t="shared" si="21"/>
        <v>225.82393999999999</v>
      </c>
      <c r="P42" s="642">
        <f t="shared" si="21"/>
        <v>251.01353999999998</v>
      </c>
      <c r="Q42" s="642">
        <f t="shared" si="21"/>
        <v>279.10388</v>
      </c>
      <c r="R42" s="642">
        <f t="shared" si="21"/>
        <v>307.53372000000002</v>
      </c>
      <c r="S42" s="642">
        <f t="shared" si="21"/>
        <v>334.60187999999999</v>
      </c>
      <c r="T42" s="139"/>
    </row>
    <row r="43" spans="1:25">
      <c r="B43" s="36" t="s">
        <v>150</v>
      </c>
      <c r="C43" s="408">
        <v>82.033019999999993</v>
      </c>
      <c r="D43" s="77">
        <v>77.259280000000004</v>
      </c>
      <c r="E43" s="389">
        <f>IFERROR(D43/C43-1,0)</f>
        <v>-5.8192908172830737E-2</v>
      </c>
      <c r="H43" s="686">
        <v>17.029900000000001</v>
      </c>
      <c r="I43" s="686">
        <v>33.30968</v>
      </c>
      <c r="J43" s="686">
        <v>49.926299999999998</v>
      </c>
      <c r="K43" s="686">
        <v>65.738879999999995</v>
      </c>
      <c r="L43" s="686">
        <v>82.033019999999993</v>
      </c>
      <c r="M43" s="643">
        <v>96.522620000000003</v>
      </c>
      <c r="N43" s="643">
        <v>112.05958</v>
      </c>
      <c r="O43" s="643">
        <v>135.30582000000001</v>
      </c>
      <c r="P43" s="643">
        <v>171.63437999999999</v>
      </c>
      <c r="Q43" s="643">
        <v>223.62430000000001</v>
      </c>
      <c r="R43" s="643">
        <v>284.01100000000002</v>
      </c>
      <c r="S43" s="643">
        <v>299.94808</v>
      </c>
      <c r="T43" s="143"/>
    </row>
    <row r="44" spans="1:25">
      <c r="B44" s="36" t="s">
        <v>151</v>
      </c>
      <c r="C44" s="408">
        <v>65.825999999999993</v>
      </c>
      <c r="D44" s="77">
        <v>55.404020000000003</v>
      </c>
      <c r="E44" s="389">
        <f>IFERROR(D44/C44-1,0)</f>
        <v>-0.1583261932974811</v>
      </c>
      <c r="H44" s="686">
        <v>13.354699999999999</v>
      </c>
      <c r="I44" s="686">
        <v>28.532019999999999</v>
      </c>
      <c r="J44" s="686">
        <v>42.820439999999998</v>
      </c>
      <c r="K44" s="686">
        <v>54.303019999999997</v>
      </c>
      <c r="L44" s="686">
        <v>65.825999999999993</v>
      </c>
      <c r="M44" s="643">
        <v>75.223119999999994</v>
      </c>
      <c r="N44" s="643">
        <v>86.901300000000006</v>
      </c>
      <c r="O44" s="643">
        <v>90.518119999999996</v>
      </c>
      <c r="P44" s="643">
        <v>79.379159999999999</v>
      </c>
      <c r="Q44" s="643">
        <v>55.479579999999999</v>
      </c>
      <c r="R44" s="643">
        <v>23.52272</v>
      </c>
      <c r="S44" s="643">
        <v>34.653799999999997</v>
      </c>
      <c r="T44" s="143"/>
    </row>
    <row r="45" spans="1:25">
      <c r="B45" s="39" t="s">
        <v>80</v>
      </c>
      <c r="C45" s="170">
        <v>147.85901999999999</v>
      </c>
      <c r="D45" s="170">
        <v>132.66329999999999</v>
      </c>
      <c r="E45" s="331">
        <f>IFERROR(D45/C45-1,0)</f>
        <v>-0.10277168075373422</v>
      </c>
      <c r="H45" s="687">
        <v>30.384599999999999</v>
      </c>
      <c r="I45" s="687">
        <v>61.841700000000003</v>
      </c>
      <c r="J45" s="687">
        <v>92.746739999999988</v>
      </c>
      <c r="K45" s="687">
        <v>120.0419</v>
      </c>
      <c r="L45" s="687">
        <v>147.85901999999999</v>
      </c>
      <c r="M45" s="644">
        <v>171.74574000000001</v>
      </c>
      <c r="N45" s="644">
        <v>198.96088</v>
      </c>
      <c r="O45" s="644">
        <v>225.82393999999999</v>
      </c>
      <c r="P45" s="644">
        <v>251.01353999999998</v>
      </c>
      <c r="Q45" s="644">
        <v>279.10388</v>
      </c>
      <c r="R45" s="644">
        <v>307.53372000000002</v>
      </c>
      <c r="S45" s="644">
        <v>334.60187999999999</v>
      </c>
    </row>
    <row r="47" spans="1:25">
      <c r="D47" s="119" t="s">
        <v>409</v>
      </c>
    </row>
    <row r="48" spans="1:25" ht="15" customHeight="1">
      <c r="B48" s="768" t="s">
        <v>122</v>
      </c>
      <c r="C48" s="845" t="s">
        <v>406</v>
      </c>
      <c r="D48" s="846" t="s">
        <v>411</v>
      </c>
      <c r="E48" s="800" t="s">
        <v>407</v>
      </c>
      <c r="H48" s="409" t="s">
        <v>28</v>
      </c>
      <c r="I48" s="409" t="s">
        <v>29</v>
      </c>
      <c r="J48" s="409" t="s">
        <v>30</v>
      </c>
      <c r="K48" s="409" t="s">
        <v>31</v>
      </c>
      <c r="L48" s="409" t="s">
        <v>32</v>
      </c>
      <c r="M48" s="409" t="s">
        <v>33</v>
      </c>
      <c r="N48" s="409" t="s">
        <v>34</v>
      </c>
      <c r="O48" s="409" t="s">
        <v>35</v>
      </c>
      <c r="P48" s="409" t="s">
        <v>36</v>
      </c>
      <c r="Q48" s="409" t="s">
        <v>37</v>
      </c>
      <c r="R48" s="409" t="s">
        <v>38</v>
      </c>
      <c r="S48" s="409" t="s">
        <v>39</v>
      </c>
      <c r="T48" s="137" t="s">
        <v>347</v>
      </c>
    </row>
    <row r="49" spans="2:21">
      <c r="B49" s="768"/>
      <c r="C49" s="845"/>
      <c r="D49" s="846"/>
      <c r="E49" s="800"/>
      <c r="F49" s="211" t="s">
        <v>259</v>
      </c>
      <c r="H49" s="139">
        <f>SUM(H50:H54)</f>
        <v>108.994</v>
      </c>
      <c r="I49" s="139">
        <f t="shared" ref="I49:S49" si="22">SUM(I50:I54)</f>
        <v>102.31451999999999</v>
      </c>
      <c r="J49" s="139">
        <f t="shared" si="22"/>
        <v>115.09612000000001</v>
      </c>
      <c r="K49" s="139">
        <f t="shared" si="22"/>
        <v>110.46988</v>
      </c>
      <c r="L49" s="139">
        <f t="shared" si="22"/>
        <v>95.403320000000008</v>
      </c>
      <c r="M49" s="139">
        <f t="shared" si="22"/>
        <v>88.504459999999995</v>
      </c>
      <c r="N49" s="139">
        <f t="shared" si="22"/>
        <v>99.091099999999983</v>
      </c>
      <c r="O49" s="139">
        <f t="shared" si="22"/>
        <v>99.949079999999995</v>
      </c>
      <c r="P49" s="139">
        <f t="shared" si="22"/>
        <v>93.160719999999998</v>
      </c>
      <c r="Q49" s="139">
        <f t="shared" si="22"/>
        <v>103.22192</v>
      </c>
      <c r="R49" s="139">
        <f t="shared" si="22"/>
        <v>112.70820000000001</v>
      </c>
      <c r="S49" s="139">
        <f t="shared" si="22"/>
        <v>111.34056</v>
      </c>
      <c r="T49" s="139">
        <f>SUM(T50:T54)</f>
        <v>1240.2538799999998</v>
      </c>
      <c r="U49" s="77"/>
    </row>
    <row r="50" spans="2:21">
      <c r="B50" s="135" t="s">
        <v>125</v>
      </c>
      <c r="C50" s="408">
        <f>SUM(H50:L50)</f>
        <v>449.14641999999998</v>
      </c>
      <c r="D50" s="639">
        <v>461.90034000000003</v>
      </c>
      <c r="E50" s="389">
        <f t="shared" ref="E50:E55" si="23">IFERROR(D50/C50-1,0)</f>
        <v>2.8395907063001991E-2</v>
      </c>
      <c r="F50" s="147">
        <f t="shared" ref="F50:F55" si="24">D50/$D$27</f>
        <v>0.37242486416540765</v>
      </c>
      <c r="G50" s="457"/>
      <c r="H50" s="285">
        <v>93.07</v>
      </c>
      <c r="I50" s="285">
        <v>85.397540000000006</v>
      </c>
      <c r="J50" s="285">
        <v>97.86</v>
      </c>
      <c r="K50" s="285">
        <v>93.631360000000001</v>
      </c>
      <c r="L50" s="285">
        <v>79.187520000000006</v>
      </c>
      <c r="M50" s="285">
        <v>72.838459999999998</v>
      </c>
      <c r="N50" s="285">
        <v>83.226699999999994</v>
      </c>
      <c r="O50" s="285">
        <v>84.065960000000004</v>
      </c>
      <c r="P50" s="285">
        <v>76.683660000000003</v>
      </c>
      <c r="Q50" s="285">
        <v>85.744839999999996</v>
      </c>
      <c r="R50" s="285">
        <v>93.317800000000005</v>
      </c>
      <c r="S50" s="285">
        <v>93.259600000000006</v>
      </c>
      <c r="T50" s="140">
        <v>1038.2834399999999</v>
      </c>
      <c r="U50" s="77"/>
    </row>
    <row r="51" spans="2:21">
      <c r="B51" s="136" t="s">
        <v>410</v>
      </c>
      <c r="C51" s="408">
        <f t="shared" ref="C51:C55" si="25">SUM(H51:L51)</f>
        <v>20.269999999999996</v>
      </c>
      <c r="D51" s="639">
        <v>21.09</v>
      </c>
      <c r="E51" s="389">
        <f t="shared" si="23"/>
        <v>4.045387271830303E-2</v>
      </c>
      <c r="F51" s="147">
        <f t="shared" si="24"/>
        <v>1.700462135457282E-2</v>
      </c>
      <c r="G51" s="457"/>
      <c r="H51" s="285">
        <v>4.47</v>
      </c>
      <c r="I51" s="285">
        <v>3.57</v>
      </c>
      <c r="J51" s="285">
        <v>3.93</v>
      </c>
      <c r="K51" s="285">
        <v>4.22</v>
      </c>
      <c r="L51" s="285">
        <v>4.08</v>
      </c>
      <c r="M51" s="285">
        <v>4.59</v>
      </c>
      <c r="N51" s="285">
        <v>3.44</v>
      </c>
      <c r="O51" s="285">
        <v>3.86</v>
      </c>
      <c r="P51" s="285">
        <v>4.6100000000000003</v>
      </c>
      <c r="Q51" s="285">
        <v>0</v>
      </c>
      <c r="R51" s="285">
        <v>0</v>
      </c>
      <c r="S51" s="285">
        <v>0</v>
      </c>
      <c r="T51" s="140">
        <v>36.770000000000003</v>
      </c>
      <c r="U51" s="77"/>
    </row>
    <row r="52" spans="2:21">
      <c r="B52" s="136" t="s">
        <v>130</v>
      </c>
      <c r="C52" s="408">
        <f t="shared" si="25"/>
        <v>23.419800000000002</v>
      </c>
      <c r="D52" s="639">
        <v>17.64</v>
      </c>
      <c r="E52" s="389">
        <f t="shared" si="23"/>
        <v>-0.2467911766966413</v>
      </c>
      <c r="F52" s="147">
        <f t="shared" si="24"/>
        <v>1.4222926538390922E-2</v>
      </c>
      <c r="G52" s="457"/>
      <c r="H52" s="285">
        <v>4.4000000000000004</v>
      </c>
      <c r="I52" s="285">
        <v>5.1997999999999998</v>
      </c>
      <c r="J52" s="285">
        <v>4.76</v>
      </c>
      <c r="K52" s="285">
        <v>4.53</v>
      </c>
      <c r="L52" s="285">
        <v>4.53</v>
      </c>
      <c r="M52" s="285">
        <v>3.99</v>
      </c>
      <c r="N52" s="285">
        <v>4.63</v>
      </c>
      <c r="O52" s="285">
        <v>4.28</v>
      </c>
      <c r="P52" s="285">
        <v>4.3600000000000003</v>
      </c>
      <c r="Q52" s="285">
        <v>4.91</v>
      </c>
      <c r="R52" s="285">
        <v>6.61</v>
      </c>
      <c r="S52" s="285">
        <v>3.82</v>
      </c>
      <c r="T52" s="140">
        <v>56.019799999999996</v>
      </c>
      <c r="U52" s="77"/>
    </row>
    <row r="53" spans="2:21">
      <c r="B53" s="136" t="s">
        <v>133</v>
      </c>
      <c r="C53" s="408">
        <f t="shared" si="25"/>
        <v>18.72</v>
      </c>
      <c r="D53" s="639">
        <v>24.299999999999997</v>
      </c>
      <c r="E53" s="389">
        <f t="shared" si="23"/>
        <v>0.29807692307692291</v>
      </c>
      <c r="F53" s="147">
        <f t="shared" si="24"/>
        <v>1.9592806966150757E-2</v>
      </c>
      <c r="G53" s="457"/>
      <c r="H53" s="285">
        <v>3.37</v>
      </c>
      <c r="I53" s="285">
        <v>3.96</v>
      </c>
      <c r="J53" s="285">
        <v>4</v>
      </c>
      <c r="K53" s="285">
        <v>3.8</v>
      </c>
      <c r="L53" s="285">
        <v>3.59</v>
      </c>
      <c r="M53" s="285">
        <v>3.1</v>
      </c>
      <c r="N53" s="285">
        <v>3.4798</v>
      </c>
      <c r="O53" s="285">
        <v>3.38</v>
      </c>
      <c r="P53" s="285">
        <v>3.72</v>
      </c>
      <c r="Q53" s="285">
        <v>4.54</v>
      </c>
      <c r="R53" s="285">
        <v>5.22</v>
      </c>
      <c r="S53" s="285">
        <v>4.74</v>
      </c>
      <c r="T53" s="140">
        <v>46.899799999999999</v>
      </c>
      <c r="U53" s="77"/>
    </row>
    <row r="54" spans="2:21">
      <c r="B54" s="136" t="s">
        <v>135</v>
      </c>
      <c r="C54" s="408">
        <f t="shared" si="25"/>
        <v>20.721620000000001</v>
      </c>
      <c r="D54" s="639">
        <v>22.600839999999998</v>
      </c>
      <c r="E54" s="389">
        <f t="shared" si="23"/>
        <v>9.0688855408022961E-2</v>
      </c>
      <c r="F54" s="147">
        <f t="shared" si="24"/>
        <v>1.8222794049088838E-2</v>
      </c>
      <c r="G54" s="457"/>
      <c r="H54" s="285">
        <v>3.6840000000000002</v>
      </c>
      <c r="I54" s="285">
        <v>4.1871799999999997</v>
      </c>
      <c r="J54" s="285">
        <v>4.5461200000000002</v>
      </c>
      <c r="K54" s="285">
        <v>4.2885200000000001</v>
      </c>
      <c r="L54" s="285">
        <v>4.0157999999999996</v>
      </c>
      <c r="M54" s="285">
        <v>3.9860000000000002</v>
      </c>
      <c r="N54" s="285">
        <v>4.3146000000000004</v>
      </c>
      <c r="O54" s="285">
        <v>4.3631200000000003</v>
      </c>
      <c r="P54" s="285">
        <v>3.7870599999999999</v>
      </c>
      <c r="Q54" s="285">
        <v>8.0270799999999998</v>
      </c>
      <c r="R54" s="285">
        <v>7.5603999999999996</v>
      </c>
      <c r="S54" s="285">
        <v>9.5209600000000005</v>
      </c>
      <c r="T54" s="140">
        <v>62.280839999999998</v>
      </c>
      <c r="U54" s="77"/>
    </row>
    <row r="55" spans="2:21">
      <c r="B55" s="39" t="s">
        <v>137</v>
      </c>
      <c r="C55" s="121">
        <f t="shared" si="25"/>
        <v>532.27783999999997</v>
      </c>
      <c r="D55" s="640">
        <v>547.53117999999995</v>
      </c>
      <c r="E55" s="331">
        <f t="shared" si="23"/>
        <v>2.8656725592784316E-2</v>
      </c>
      <c r="F55" s="147">
        <f t="shared" si="24"/>
        <v>0.44146801307361089</v>
      </c>
      <c r="G55" s="457"/>
      <c r="H55" s="77">
        <v>108.994</v>
      </c>
      <c r="I55" s="77">
        <v>102.31452</v>
      </c>
      <c r="J55" s="77">
        <v>115.09612</v>
      </c>
      <c r="K55" s="77">
        <v>110.46988</v>
      </c>
      <c r="L55" s="77">
        <v>95.403319999999994</v>
      </c>
      <c r="M55" s="77">
        <v>88.504459999999995</v>
      </c>
      <c r="N55" s="77">
        <v>99.091099999999997</v>
      </c>
      <c r="O55" s="77">
        <v>99.949079999999995</v>
      </c>
      <c r="P55" s="77">
        <v>93.160719999999998</v>
      </c>
      <c r="Q55" s="77">
        <v>103.22192</v>
      </c>
      <c r="R55" s="77">
        <v>112.70820000000001</v>
      </c>
      <c r="S55" s="77">
        <v>111.34056</v>
      </c>
      <c r="T55" s="633">
        <v>1240.25388</v>
      </c>
    </row>
    <row r="57" spans="2:21">
      <c r="G57" s="667" t="s">
        <v>412</v>
      </c>
    </row>
    <row r="58" spans="2:21">
      <c r="G58" s="670" t="s">
        <v>146</v>
      </c>
      <c r="H58" s="409" t="s">
        <v>28</v>
      </c>
      <c r="I58" s="409" t="s">
        <v>29</v>
      </c>
      <c r="J58" s="409" t="s">
        <v>30</v>
      </c>
      <c r="K58" s="409" t="s">
        <v>31</v>
      </c>
      <c r="L58" s="409" t="s">
        <v>32</v>
      </c>
      <c r="M58" s="409" t="s">
        <v>33</v>
      </c>
      <c r="N58" s="409" t="s">
        <v>34</v>
      </c>
      <c r="O58" s="409" t="s">
        <v>35</v>
      </c>
      <c r="P58" s="409" t="s">
        <v>36</v>
      </c>
      <c r="Q58" s="409" t="s">
        <v>37</v>
      </c>
      <c r="R58" s="409" t="s">
        <v>38</v>
      </c>
      <c r="S58" s="409" t="s">
        <v>39</v>
      </c>
      <c r="T58" s="137" t="s">
        <v>347</v>
      </c>
      <c r="U58" s="668" t="s">
        <v>78</v>
      </c>
    </row>
    <row r="59" spans="2:21">
      <c r="G59" t="s">
        <v>44</v>
      </c>
      <c r="H59" s="666">
        <v>5.4555999999999996</v>
      </c>
      <c r="I59" s="666">
        <v>5.3548399999999994</v>
      </c>
      <c r="J59" s="666">
        <v>7.1173200000000012</v>
      </c>
      <c r="K59" s="666">
        <v>5.4845600000000001</v>
      </c>
      <c r="L59" s="666">
        <v>5.2363200000000001</v>
      </c>
      <c r="M59" s="666">
        <v>4.9711800000000004</v>
      </c>
      <c r="N59" s="666">
        <v>5.5023600000000004</v>
      </c>
      <c r="O59" s="666">
        <v>5.9653999999999998</v>
      </c>
      <c r="P59" s="666">
        <v>5.4477400000000005</v>
      </c>
      <c r="Q59" s="666">
        <v>5.7960599999999998</v>
      </c>
      <c r="R59" s="666">
        <v>6.2705199999999994</v>
      </c>
      <c r="S59" s="666">
        <v>5.9235600000000002</v>
      </c>
      <c r="T59" s="666">
        <v>68.525459999999995</v>
      </c>
      <c r="U59" s="669">
        <f>SUM(H59:L59)</f>
        <v>28.64864</v>
      </c>
    </row>
    <row r="60" spans="2:21">
      <c r="G60" t="s">
        <v>123</v>
      </c>
      <c r="H60" s="666">
        <v>1.7178</v>
      </c>
      <c r="I60" s="666">
        <v>1.61128</v>
      </c>
      <c r="J60" s="666">
        <v>1.9456</v>
      </c>
      <c r="K60" s="666">
        <v>1.4981599999999999</v>
      </c>
      <c r="L60" s="666">
        <v>1.3329800000000001</v>
      </c>
      <c r="M60" s="666">
        <v>1.08464</v>
      </c>
      <c r="N60" s="666">
        <v>1.4278</v>
      </c>
      <c r="O60" s="666">
        <v>1.61084</v>
      </c>
      <c r="P60" s="666">
        <v>1.3705799999999999</v>
      </c>
      <c r="Q60" s="666">
        <v>1.6476999999999999</v>
      </c>
      <c r="R60" s="666">
        <v>2.1076600000000001</v>
      </c>
      <c r="S60" s="666">
        <v>2.3933399999999998</v>
      </c>
      <c r="T60" s="666">
        <v>19.748380000000001</v>
      </c>
      <c r="U60" s="669">
        <f t="shared" ref="U60:U64" si="26">SUM(H60:L60)</f>
        <v>8.1058200000000014</v>
      </c>
    </row>
    <row r="61" spans="2:21">
      <c r="G61" t="s">
        <v>46</v>
      </c>
      <c r="H61" s="666">
        <v>27.565200000000001</v>
      </c>
      <c r="I61" s="666">
        <v>25.317720000000001</v>
      </c>
      <c r="J61" s="666">
        <v>28.231200000000001</v>
      </c>
      <c r="K61" s="666">
        <v>28.36664</v>
      </c>
      <c r="L61" s="666">
        <v>24.557700000000004</v>
      </c>
      <c r="M61" s="666">
        <v>23.697379999999999</v>
      </c>
      <c r="N61" s="666">
        <v>25.99174</v>
      </c>
      <c r="O61" s="666">
        <v>26.268840000000001</v>
      </c>
      <c r="P61" s="666">
        <v>24.087879999999998</v>
      </c>
      <c r="Q61" s="666">
        <v>26.31326</v>
      </c>
      <c r="R61" s="666">
        <v>28.779900000000001</v>
      </c>
      <c r="S61" s="666">
        <v>26.566240000000001</v>
      </c>
      <c r="T61" s="666">
        <v>315.74369999999999</v>
      </c>
      <c r="U61" s="669">
        <f t="shared" si="26"/>
        <v>134.03846000000001</v>
      </c>
    </row>
    <row r="62" spans="2:21">
      <c r="G62" t="s">
        <v>47</v>
      </c>
      <c r="H62" s="666">
        <v>13.767799999999999</v>
      </c>
      <c r="I62" s="666">
        <v>12.627120000000001</v>
      </c>
      <c r="J62" s="666">
        <v>16.213999999999999</v>
      </c>
      <c r="K62" s="666">
        <v>16.907039999999999</v>
      </c>
      <c r="L62" s="666">
        <v>14.44176</v>
      </c>
      <c r="M62" s="666">
        <v>13.850079999999998</v>
      </c>
      <c r="N62" s="666">
        <v>15.89864</v>
      </c>
      <c r="O62" s="666">
        <v>15.6694</v>
      </c>
      <c r="P62" s="666">
        <v>15.315299999999999</v>
      </c>
      <c r="Q62" s="666">
        <v>17.329460000000001</v>
      </c>
      <c r="R62" s="666">
        <v>17.548079999999999</v>
      </c>
      <c r="S62" s="666">
        <v>17.030480000000001</v>
      </c>
      <c r="T62" s="666">
        <v>186.59915999999998</v>
      </c>
      <c r="U62" s="669">
        <f t="shared" si="26"/>
        <v>73.957719999999995</v>
      </c>
    </row>
    <row r="63" spans="2:21">
      <c r="G63" t="s">
        <v>131</v>
      </c>
      <c r="H63" s="666">
        <v>60.487599999999993</v>
      </c>
      <c r="I63" s="666">
        <v>57.403559999999999</v>
      </c>
      <c r="J63" s="666">
        <v>61.588000000000001</v>
      </c>
      <c r="K63" s="666">
        <v>58.213480000000004</v>
      </c>
      <c r="L63" s="666">
        <v>49.834560000000003</v>
      </c>
      <c r="M63" s="666">
        <v>44.901180000000004</v>
      </c>
      <c r="N63" s="666">
        <v>50.270560000000003</v>
      </c>
      <c r="O63" s="666">
        <v>50.434600000000003</v>
      </c>
      <c r="P63" s="666">
        <v>46.939219999999999</v>
      </c>
      <c r="Q63" s="666">
        <v>52.135440000000003</v>
      </c>
      <c r="R63" s="666">
        <v>58.002040000000008</v>
      </c>
      <c r="S63" s="666">
        <v>59.426939999999995</v>
      </c>
      <c r="T63" s="666">
        <v>649.63717999999994</v>
      </c>
      <c r="U63" s="669">
        <f t="shared" si="26"/>
        <v>287.52719999999999</v>
      </c>
    </row>
    <row r="64" spans="2:21" s="211" customFormat="1">
      <c r="G64" s="672" t="s">
        <v>80</v>
      </c>
      <c r="H64" s="673">
        <v>108.994</v>
      </c>
      <c r="I64" s="673">
        <v>102.31452</v>
      </c>
      <c r="J64" s="673">
        <v>115.09612000000001</v>
      </c>
      <c r="K64" s="673">
        <v>110.46988</v>
      </c>
      <c r="L64" s="673">
        <v>95.403320000000008</v>
      </c>
      <c r="M64" s="673">
        <v>88.504459999999995</v>
      </c>
      <c r="N64" s="673">
        <v>99.091100000000012</v>
      </c>
      <c r="O64" s="673">
        <v>99.949080000000009</v>
      </c>
      <c r="P64" s="673">
        <v>93.160719999999998</v>
      </c>
      <c r="Q64" s="673">
        <v>103.22192</v>
      </c>
      <c r="R64" s="673">
        <v>112.70820000000001</v>
      </c>
      <c r="S64" s="673">
        <v>111.34055999999998</v>
      </c>
      <c r="T64" s="673">
        <v>1240.25388</v>
      </c>
      <c r="U64" s="673">
        <f t="shared" si="26"/>
        <v>532.27783999999997</v>
      </c>
    </row>
    <row r="65" spans="7:21">
      <c r="G65" s="670" t="s">
        <v>116</v>
      </c>
      <c r="H65" s="409" t="s">
        <v>28</v>
      </c>
      <c r="I65" s="409" t="s">
        <v>29</v>
      </c>
      <c r="J65" s="409" t="s">
        <v>30</v>
      </c>
      <c r="K65" s="409" t="s">
        <v>31</v>
      </c>
      <c r="L65" s="409" t="s">
        <v>32</v>
      </c>
      <c r="M65" s="409" t="s">
        <v>33</v>
      </c>
      <c r="N65" s="409" t="s">
        <v>34</v>
      </c>
      <c r="O65" s="409" t="s">
        <v>35</v>
      </c>
      <c r="P65" s="409" t="s">
        <v>36</v>
      </c>
      <c r="Q65" s="409" t="s">
        <v>37</v>
      </c>
      <c r="R65" s="409" t="s">
        <v>38</v>
      </c>
      <c r="S65" s="409" t="s">
        <v>39</v>
      </c>
      <c r="T65" s="137" t="s">
        <v>347</v>
      </c>
      <c r="U65" s="409">
        <f t="shared" ref="U65" si="27">SUM(H65)</f>
        <v>0</v>
      </c>
    </row>
    <row r="66" spans="7:21">
      <c r="G66" t="s">
        <v>44</v>
      </c>
      <c r="H66" s="666">
        <v>0.24999999999999997</v>
      </c>
      <c r="I66" s="666">
        <v>0.19899999999999998</v>
      </c>
      <c r="J66" s="666">
        <v>0.18256</v>
      </c>
      <c r="K66" s="666">
        <v>0.18540000000000001</v>
      </c>
      <c r="L66" s="666">
        <v>0.17580000000000001</v>
      </c>
      <c r="M66" s="666">
        <v>0.24360000000000001</v>
      </c>
      <c r="N66" s="666">
        <v>0.1366</v>
      </c>
      <c r="O66" s="666">
        <v>0.19219999999999998</v>
      </c>
      <c r="P66" s="666">
        <v>0.22239999999999999</v>
      </c>
      <c r="Q66" s="666">
        <v>0.21579999999999999</v>
      </c>
      <c r="R66" s="666">
        <v>0.33619999999999994</v>
      </c>
      <c r="S66" s="666">
        <v>0.16399999999999998</v>
      </c>
      <c r="T66" s="666">
        <f>SUM(H66:S66)</f>
        <v>2.5035599999999998</v>
      </c>
      <c r="U66" s="669">
        <f>SUM(H66:L66)</f>
        <v>0.99275999999999986</v>
      </c>
    </row>
    <row r="67" spans="7:21">
      <c r="G67" t="s">
        <v>123</v>
      </c>
      <c r="H67" s="666">
        <v>6.5600000000000006E-2</v>
      </c>
      <c r="I67" s="666">
        <v>0.1016</v>
      </c>
      <c r="J67" s="666">
        <v>9.1600000000000001E-2</v>
      </c>
      <c r="K67" s="666">
        <v>4.7199999999999999E-2</v>
      </c>
      <c r="L67" s="666">
        <v>8.6599999999999996E-2</v>
      </c>
      <c r="M67" s="666">
        <v>4.9799999999999997E-2</v>
      </c>
      <c r="N67" s="666">
        <v>6.1199999999999997E-2</v>
      </c>
      <c r="O67" s="666">
        <v>4.7E-2</v>
      </c>
      <c r="P67" s="666">
        <v>5.8799999999999998E-2</v>
      </c>
      <c r="Q67" s="666">
        <v>6.4199999999999993E-2</v>
      </c>
      <c r="R67" s="666">
        <v>0.111</v>
      </c>
      <c r="S67" s="666">
        <v>7.6179999999999998E-2</v>
      </c>
      <c r="T67" s="666">
        <f t="shared" ref="T67:T71" si="28">SUM(H67:S67)</f>
        <v>0.8607800000000001</v>
      </c>
      <c r="U67" s="669">
        <f t="shared" ref="U67:U71" si="29">SUM(H67:L67)</f>
        <v>0.39260000000000006</v>
      </c>
    </row>
    <row r="68" spans="7:21">
      <c r="G68" t="s">
        <v>46</v>
      </c>
      <c r="H68" s="666">
        <v>7.6391999999999998</v>
      </c>
      <c r="I68" s="666">
        <v>8.661999999999999</v>
      </c>
      <c r="J68" s="666">
        <v>8.6804000000000006</v>
      </c>
      <c r="K68" s="666">
        <v>7.8010000000000002</v>
      </c>
      <c r="L68" s="666">
        <v>8.1525999999999996</v>
      </c>
      <c r="M68" s="666">
        <v>6.7086000000000006</v>
      </c>
      <c r="N68" s="666">
        <v>7.593</v>
      </c>
      <c r="O68" s="666">
        <v>7.3410000000000002</v>
      </c>
      <c r="P68" s="666">
        <v>7.2408400000000004</v>
      </c>
      <c r="Q68" s="666">
        <v>8.1199999999999992</v>
      </c>
      <c r="R68" s="666">
        <v>7.9260000000000002</v>
      </c>
      <c r="S68" s="666">
        <v>8.7664000000000009</v>
      </c>
      <c r="T68" s="666">
        <f t="shared" si="28"/>
        <v>94.631040000000013</v>
      </c>
      <c r="U68" s="669">
        <f t="shared" si="29"/>
        <v>40.935200000000002</v>
      </c>
    </row>
    <row r="69" spans="7:21">
      <c r="G69" t="s">
        <v>47</v>
      </c>
      <c r="H69" s="666">
        <v>7.3147800000000007</v>
      </c>
      <c r="I69" s="666">
        <v>7.922600000000001</v>
      </c>
      <c r="J69" s="666">
        <v>7.8835999999999995</v>
      </c>
      <c r="K69" s="666">
        <v>7.3129999999999997</v>
      </c>
      <c r="L69" s="666">
        <v>7.4710000000000001</v>
      </c>
      <c r="M69" s="666">
        <v>6.0057999999999998</v>
      </c>
      <c r="N69" s="666">
        <v>6.5244</v>
      </c>
      <c r="O69" s="666">
        <v>6.6262000000000008</v>
      </c>
      <c r="P69" s="666">
        <v>7.3611800000000001</v>
      </c>
      <c r="Q69" s="666">
        <v>7.3793799999999994</v>
      </c>
      <c r="R69" s="666">
        <v>7.6150000000000002</v>
      </c>
      <c r="S69" s="666">
        <v>7.4610000000000003</v>
      </c>
      <c r="T69" s="666">
        <f t="shared" si="28"/>
        <v>86.877939999999995</v>
      </c>
      <c r="U69" s="669">
        <f t="shared" si="29"/>
        <v>37.904980000000002</v>
      </c>
    </row>
    <row r="70" spans="7:21">
      <c r="G70" t="s">
        <v>131</v>
      </c>
      <c r="H70" s="666">
        <v>14.547039999999999</v>
      </c>
      <c r="I70" s="666">
        <v>16.196400000000001</v>
      </c>
      <c r="J70" s="666">
        <v>16.0182</v>
      </c>
      <c r="K70" s="666">
        <v>14.518599999999999</v>
      </c>
      <c r="L70" s="666">
        <v>13.808399999999999</v>
      </c>
      <c r="M70" s="666">
        <v>11.924999999999999</v>
      </c>
      <c r="N70" s="666">
        <v>12.9154</v>
      </c>
      <c r="O70" s="666">
        <v>12.3834</v>
      </c>
      <c r="P70" s="666">
        <v>12.036259999999999</v>
      </c>
      <c r="Q70" s="666">
        <v>13.762</v>
      </c>
      <c r="R70" s="666">
        <v>14.417</v>
      </c>
      <c r="S70" s="666">
        <v>12.8444</v>
      </c>
      <c r="T70" s="666">
        <f t="shared" si="28"/>
        <v>165.37210000000002</v>
      </c>
      <c r="U70" s="669">
        <f t="shared" si="29"/>
        <v>75.088639999999998</v>
      </c>
    </row>
    <row r="71" spans="7:21" s="211" customFormat="1">
      <c r="G71" s="672" t="s">
        <v>80</v>
      </c>
      <c r="H71" s="673">
        <v>29.81662</v>
      </c>
      <c r="I71" s="673">
        <v>33.081599999999995</v>
      </c>
      <c r="J71" s="673">
        <v>32.856360000000002</v>
      </c>
      <c r="K71" s="673">
        <v>29.865199999999998</v>
      </c>
      <c r="L71" s="673">
        <v>29.694399999999998</v>
      </c>
      <c r="M71" s="673">
        <v>24.9328</v>
      </c>
      <c r="N71" s="673">
        <v>27.230600000000003</v>
      </c>
      <c r="O71" s="673">
        <v>26.589800000000004</v>
      </c>
      <c r="P71" s="673">
        <v>26.91948</v>
      </c>
      <c r="Q71" s="673">
        <v>29.541379999999997</v>
      </c>
      <c r="R71" s="673">
        <v>30.405200000000001</v>
      </c>
      <c r="S71" s="673">
        <v>29.311980000000002</v>
      </c>
      <c r="T71" s="673">
        <f t="shared" si="28"/>
        <v>350.24542000000002</v>
      </c>
      <c r="U71" s="673">
        <f t="shared" si="29"/>
        <v>155.31417999999999</v>
      </c>
    </row>
    <row r="72" spans="7:21">
      <c r="H72" s="671">
        <f>SUM(H64,H71)</f>
        <v>138.81062</v>
      </c>
      <c r="I72" s="671">
        <f t="shared" ref="I72:S72" si="30">SUM(I64,I71)</f>
        <v>135.39612</v>
      </c>
      <c r="J72" s="671">
        <f t="shared" si="30"/>
        <v>147.95248000000001</v>
      </c>
      <c r="K72" s="671">
        <f t="shared" si="30"/>
        <v>140.33508</v>
      </c>
      <c r="L72" s="671">
        <f t="shared" si="30"/>
        <v>125.09772000000001</v>
      </c>
      <c r="M72" s="671">
        <f t="shared" si="30"/>
        <v>113.43725999999999</v>
      </c>
      <c r="N72" s="671">
        <f t="shared" si="30"/>
        <v>126.32170000000002</v>
      </c>
      <c r="O72" s="671">
        <f t="shared" si="30"/>
        <v>126.53888000000001</v>
      </c>
      <c r="P72" s="671">
        <f t="shared" si="30"/>
        <v>120.08019999999999</v>
      </c>
      <c r="Q72" s="671">
        <f t="shared" si="30"/>
        <v>132.76329999999999</v>
      </c>
      <c r="R72" s="671">
        <f t="shared" si="30"/>
        <v>143.11340000000001</v>
      </c>
      <c r="S72" s="671">
        <f t="shared" si="30"/>
        <v>140.65253999999999</v>
      </c>
      <c r="T72" s="671">
        <f>SUM(T64,T71)</f>
        <v>1590.4992999999999</v>
      </c>
      <c r="U72" s="671">
        <f>SUM(U64,U71)</f>
        <v>687.59201999999993</v>
      </c>
    </row>
  </sheetData>
  <mergeCells count="24">
    <mergeCell ref="B48:B49"/>
    <mergeCell ref="C48:C49"/>
    <mergeCell ref="D48:D49"/>
    <mergeCell ref="E48:E49"/>
    <mergeCell ref="B31:B32"/>
    <mergeCell ref="C31:C32"/>
    <mergeCell ref="D31:D32"/>
    <mergeCell ref="E31:E32"/>
    <mergeCell ref="B41:B42"/>
    <mergeCell ref="C41:C42"/>
    <mergeCell ref="D41:D42"/>
    <mergeCell ref="E41:E42"/>
    <mergeCell ref="D3:D4"/>
    <mergeCell ref="D13:D14"/>
    <mergeCell ref="D20:D21"/>
    <mergeCell ref="E3:E4"/>
    <mergeCell ref="E13:E14"/>
    <mergeCell ref="E20:E21"/>
    <mergeCell ref="B3:B4"/>
    <mergeCell ref="C3:C4"/>
    <mergeCell ref="B13:B14"/>
    <mergeCell ref="C13:C14"/>
    <mergeCell ref="B20:B21"/>
    <mergeCell ref="C20:C21"/>
  </mergeCells>
  <phoneticPr fontId="59" type="noConversion"/>
  <pageMargins left="0.7" right="0.7" top="0.75" bottom="0.75" header="0.3" footer="0.3"/>
  <pageSetup paperSize="9" orientation="portrait" r:id="rId1"/>
  <customProperties>
    <customPr name="_pios_id" r:id="rId2"/>
  </customProperties>
  <ignoredErrors>
    <ignoredError sqref="H14:I14 I21:T21 U6:U10 H4:T4 L14:S14" formulaRange="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5"/>
  </sheetPr>
  <dimension ref="A1:E14"/>
  <sheetViews>
    <sheetView workbookViewId="0">
      <selection activeCell="I16" sqref="I16"/>
    </sheetView>
  </sheetViews>
  <sheetFormatPr defaultRowHeight="15"/>
  <cols>
    <col min="1" max="1" width="10.140625" bestFit="1" customWidth="1"/>
    <col min="2" max="2" width="14" bestFit="1" customWidth="1"/>
    <col min="3" max="3" width="27.85546875" bestFit="1" customWidth="1"/>
    <col min="4" max="4" width="12.85546875" bestFit="1" customWidth="1"/>
    <col min="5" max="5" width="11.140625" bestFit="1" customWidth="1"/>
    <col min="6" max="8" width="10.7109375" customWidth="1"/>
    <col min="9" max="9" width="10.7109375" bestFit="1" customWidth="1"/>
    <col min="10" max="11" width="10.7109375" customWidth="1"/>
    <col min="12" max="13" width="10.7109375" bestFit="1" customWidth="1"/>
    <col min="14" max="14" width="10.7109375" customWidth="1"/>
    <col min="15" max="15" width="11.7109375" customWidth="1"/>
    <col min="16" max="16" width="11.7109375" bestFit="1" customWidth="1"/>
    <col min="17" max="17" width="11.7109375" customWidth="1"/>
    <col min="18" max="20" width="11.7109375" bestFit="1" customWidth="1"/>
    <col min="21" max="21" width="11.7109375" customWidth="1"/>
    <col min="22" max="22" width="11.7109375" bestFit="1" customWidth="1"/>
    <col min="23" max="26" width="11.7109375" customWidth="1"/>
    <col min="27" max="29" width="11.7109375" bestFit="1" customWidth="1"/>
  </cols>
  <sheetData>
    <row r="1" spans="1:5">
      <c r="A1" t="s">
        <v>413</v>
      </c>
      <c r="B1" t="s">
        <v>414</v>
      </c>
      <c r="C1" t="s">
        <v>415</v>
      </c>
      <c r="D1" t="s">
        <v>416</v>
      </c>
      <c r="E1" t="s">
        <v>417</v>
      </c>
    </row>
    <row r="2" spans="1:5">
      <c r="A2">
        <v>14976301</v>
      </c>
      <c r="B2" t="s">
        <v>418</v>
      </c>
      <c r="C2" t="s">
        <v>418</v>
      </c>
      <c r="D2" t="s">
        <v>44</v>
      </c>
      <c r="E2" t="s">
        <v>85</v>
      </c>
    </row>
    <row r="3" spans="1:5">
      <c r="A3">
        <v>16280435</v>
      </c>
      <c r="B3" t="s">
        <v>419</v>
      </c>
      <c r="C3" t="s">
        <v>419</v>
      </c>
      <c r="D3" t="s">
        <v>44</v>
      </c>
      <c r="E3" t="s">
        <v>83</v>
      </c>
    </row>
    <row r="4" spans="1:5">
      <c r="A4">
        <v>14976298</v>
      </c>
      <c r="B4" t="s">
        <v>419</v>
      </c>
      <c r="C4" t="s">
        <v>419</v>
      </c>
      <c r="D4" t="s">
        <v>44</v>
      </c>
      <c r="E4" t="s">
        <v>83</v>
      </c>
    </row>
    <row r="5" spans="1:5">
      <c r="A5">
        <v>14976304</v>
      </c>
      <c r="B5" t="s">
        <v>420</v>
      </c>
      <c r="C5" t="s">
        <v>420</v>
      </c>
      <c r="D5" t="s">
        <v>44</v>
      </c>
      <c r="E5" t="s">
        <v>84</v>
      </c>
    </row>
    <row r="6" spans="1:5">
      <c r="A6">
        <v>16239563</v>
      </c>
      <c r="B6" t="s">
        <v>421</v>
      </c>
      <c r="C6" t="s">
        <v>421</v>
      </c>
      <c r="D6" t="s">
        <v>45</v>
      </c>
      <c r="E6" t="s">
        <v>88</v>
      </c>
    </row>
    <row r="7" spans="1:5">
      <c r="A7">
        <v>16256531</v>
      </c>
      <c r="B7" t="s">
        <v>422</v>
      </c>
      <c r="C7" t="s">
        <v>422</v>
      </c>
      <c r="D7" t="s">
        <v>46</v>
      </c>
      <c r="E7" t="s">
        <v>94</v>
      </c>
    </row>
    <row r="8" spans="1:5">
      <c r="A8">
        <v>16256537</v>
      </c>
      <c r="B8" t="s">
        <v>423</v>
      </c>
      <c r="C8" t="s">
        <v>423</v>
      </c>
      <c r="D8" t="s">
        <v>46</v>
      </c>
      <c r="E8" t="s">
        <v>92</v>
      </c>
    </row>
    <row r="9" spans="1:5">
      <c r="A9">
        <v>16256534</v>
      </c>
      <c r="B9" t="s">
        <v>424</v>
      </c>
      <c r="C9" t="s">
        <v>424</v>
      </c>
      <c r="D9" t="s">
        <v>46</v>
      </c>
      <c r="E9" t="s">
        <v>93</v>
      </c>
    </row>
    <row r="10" spans="1:5">
      <c r="A10">
        <v>14947759</v>
      </c>
      <c r="B10" t="s">
        <v>425</v>
      </c>
      <c r="C10" t="s">
        <v>425</v>
      </c>
      <c r="D10" t="s">
        <v>263</v>
      </c>
      <c r="E10" t="s">
        <v>186</v>
      </c>
    </row>
    <row r="11" spans="1:5">
      <c r="A11">
        <v>14947762</v>
      </c>
      <c r="B11" t="s">
        <v>426</v>
      </c>
      <c r="C11" t="s">
        <v>426</v>
      </c>
      <c r="D11" t="s">
        <v>263</v>
      </c>
      <c r="E11" t="s">
        <v>184</v>
      </c>
    </row>
    <row r="12" spans="1:5">
      <c r="A12">
        <v>14947765</v>
      </c>
      <c r="B12" t="s">
        <v>427</v>
      </c>
      <c r="C12" t="s">
        <v>427</v>
      </c>
      <c r="D12" t="s">
        <v>263</v>
      </c>
      <c r="E12" t="s">
        <v>187</v>
      </c>
    </row>
    <row r="13" spans="1:5">
      <c r="A13">
        <v>15039619</v>
      </c>
      <c r="B13" t="s">
        <v>428</v>
      </c>
      <c r="C13" t="s">
        <v>428</v>
      </c>
      <c r="D13" t="s">
        <v>264</v>
      </c>
      <c r="E13" t="s">
        <v>188</v>
      </c>
    </row>
    <row r="14" spans="1:5">
      <c r="A14">
        <v>15106849</v>
      </c>
      <c r="B14" t="s">
        <v>429</v>
      </c>
      <c r="C14" t="s">
        <v>429</v>
      </c>
      <c r="D14" t="s">
        <v>264</v>
      </c>
      <c r="E14" t="s">
        <v>189</v>
      </c>
    </row>
  </sheetData>
  <pageMargins left="0.7" right="0.7" top="0.75" bottom="0.75" header="0.3" footer="0.3"/>
  <pageSetup paperSize="9" orientation="portrait" r:id="rId1"/>
  <customProperties>
    <customPr name="_pios_id" r:id="rId2"/>
  </customProperties>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5"/>
  </sheetPr>
  <dimension ref="A1:G27"/>
  <sheetViews>
    <sheetView topLeftCell="A9" workbookViewId="0">
      <selection activeCell="F22" sqref="F22"/>
    </sheetView>
  </sheetViews>
  <sheetFormatPr defaultRowHeight="15"/>
  <cols>
    <col min="1" max="1" width="33.42578125" bestFit="1" customWidth="1"/>
    <col min="2" max="2" width="19" bestFit="1" customWidth="1"/>
    <col min="3" max="3" width="15.85546875" bestFit="1" customWidth="1"/>
    <col min="4" max="4" width="8.140625" bestFit="1" customWidth="1"/>
  </cols>
  <sheetData>
    <row r="1" spans="1:7">
      <c r="A1" t="s">
        <v>430</v>
      </c>
      <c r="B1" t="s">
        <v>431</v>
      </c>
      <c r="C1" t="s">
        <v>432</v>
      </c>
      <c r="D1" t="s">
        <v>433</v>
      </c>
      <c r="G1" s="119"/>
    </row>
    <row r="2" spans="1:7">
      <c r="A2" t="s">
        <v>434</v>
      </c>
      <c r="B2" t="s">
        <v>181</v>
      </c>
      <c r="C2" t="s">
        <v>135</v>
      </c>
      <c r="D2">
        <v>1</v>
      </c>
    </row>
    <row r="3" spans="1:7">
      <c r="A3" t="s">
        <v>435</v>
      </c>
      <c r="B3" t="s">
        <v>181</v>
      </c>
      <c r="C3" t="s">
        <v>133</v>
      </c>
      <c r="D3">
        <v>2</v>
      </c>
    </row>
    <row r="4" spans="1:7">
      <c r="A4" t="s">
        <v>436</v>
      </c>
      <c r="B4" t="s">
        <v>181</v>
      </c>
      <c r="C4" t="s">
        <v>135</v>
      </c>
      <c r="D4">
        <v>1</v>
      </c>
    </row>
    <row r="5" spans="1:7">
      <c r="A5" t="s">
        <v>437</v>
      </c>
      <c r="B5" t="s">
        <v>181</v>
      </c>
      <c r="C5" t="s">
        <v>191</v>
      </c>
      <c r="D5">
        <v>10</v>
      </c>
    </row>
    <row r="6" spans="1:7">
      <c r="A6" t="s">
        <v>438</v>
      </c>
      <c r="B6" t="s">
        <v>181</v>
      </c>
      <c r="C6" t="s">
        <v>130</v>
      </c>
      <c r="D6">
        <v>2</v>
      </c>
    </row>
    <row r="7" spans="1:7">
      <c r="A7" t="s">
        <v>439</v>
      </c>
      <c r="B7" t="s">
        <v>181</v>
      </c>
      <c r="C7" t="s">
        <v>135</v>
      </c>
      <c r="D7">
        <v>1</v>
      </c>
    </row>
    <row r="8" spans="1:7">
      <c r="A8" t="s">
        <v>440</v>
      </c>
      <c r="B8" t="s">
        <v>181</v>
      </c>
      <c r="C8" t="s">
        <v>274</v>
      </c>
      <c r="D8">
        <v>2</v>
      </c>
    </row>
    <row r="9" spans="1:7">
      <c r="A9" t="s">
        <v>441</v>
      </c>
      <c r="B9" t="s">
        <v>181</v>
      </c>
      <c r="C9" t="s">
        <v>135</v>
      </c>
      <c r="D9">
        <v>1</v>
      </c>
    </row>
    <row r="10" spans="1:7">
      <c r="A10" t="s">
        <v>442</v>
      </c>
      <c r="B10" t="s">
        <v>443</v>
      </c>
      <c r="C10" t="s">
        <v>234</v>
      </c>
      <c r="D10">
        <v>1</v>
      </c>
    </row>
    <row r="11" spans="1:7">
      <c r="A11" t="s">
        <v>444</v>
      </c>
      <c r="B11" t="s">
        <v>443</v>
      </c>
      <c r="C11" t="s">
        <v>216</v>
      </c>
      <c r="D11">
        <v>1</v>
      </c>
    </row>
    <row r="12" spans="1:7">
      <c r="A12" t="s">
        <v>445</v>
      </c>
      <c r="B12" t="s">
        <v>443</v>
      </c>
      <c r="C12" t="s">
        <v>213</v>
      </c>
      <c r="D12">
        <v>1</v>
      </c>
    </row>
    <row r="13" spans="1:7">
      <c r="A13" t="s">
        <v>446</v>
      </c>
      <c r="B13" t="s">
        <v>181</v>
      </c>
      <c r="C13" t="s">
        <v>203</v>
      </c>
      <c r="D13">
        <v>1</v>
      </c>
    </row>
    <row r="14" spans="1:7">
      <c r="A14" t="s">
        <v>447</v>
      </c>
      <c r="B14" t="s">
        <v>181</v>
      </c>
      <c r="C14" t="s">
        <v>135</v>
      </c>
      <c r="D14">
        <v>1</v>
      </c>
    </row>
    <row r="15" spans="1:7">
      <c r="A15" t="s">
        <v>448</v>
      </c>
      <c r="B15" t="s">
        <v>443</v>
      </c>
      <c r="C15" t="s">
        <v>231</v>
      </c>
      <c r="D15">
        <v>2</v>
      </c>
    </row>
    <row r="16" spans="1:7">
      <c r="A16" t="s">
        <v>449</v>
      </c>
      <c r="B16" t="s">
        <v>443</v>
      </c>
      <c r="C16" t="s">
        <v>240</v>
      </c>
      <c r="D16">
        <v>4</v>
      </c>
    </row>
    <row r="17" spans="1:4">
      <c r="A17" t="s">
        <v>349</v>
      </c>
      <c r="B17" t="s">
        <v>443</v>
      </c>
      <c r="C17" t="s">
        <v>225</v>
      </c>
      <c r="D17">
        <v>4</v>
      </c>
    </row>
    <row r="18" spans="1:4">
      <c r="A18" t="s">
        <v>450</v>
      </c>
      <c r="B18" t="s">
        <v>443</v>
      </c>
      <c r="C18" t="s">
        <v>228</v>
      </c>
      <c r="D18">
        <v>1</v>
      </c>
    </row>
    <row r="19" spans="1:4">
      <c r="A19" t="s">
        <v>451</v>
      </c>
      <c r="B19" t="s">
        <v>443</v>
      </c>
      <c r="C19" t="s">
        <v>222</v>
      </c>
      <c r="D19">
        <v>2</v>
      </c>
    </row>
    <row r="20" spans="1:4">
      <c r="A20" t="s">
        <v>452</v>
      </c>
      <c r="B20" t="s">
        <v>443</v>
      </c>
      <c r="C20" t="s">
        <v>237</v>
      </c>
      <c r="D20">
        <v>1</v>
      </c>
    </row>
    <row r="21" spans="1:4">
      <c r="A21" t="s">
        <v>453</v>
      </c>
      <c r="B21" t="s">
        <v>181</v>
      </c>
      <c r="C21" t="s">
        <v>135</v>
      </c>
      <c r="D21">
        <v>1</v>
      </c>
    </row>
    <row r="22" spans="1:4">
      <c r="A22" t="s">
        <v>454</v>
      </c>
      <c r="B22" t="s">
        <v>181</v>
      </c>
      <c r="C22" t="s">
        <v>135</v>
      </c>
      <c r="D22">
        <v>4</v>
      </c>
    </row>
    <row r="23" spans="1:4">
      <c r="A23" t="s">
        <v>211</v>
      </c>
      <c r="B23" t="s">
        <v>181</v>
      </c>
      <c r="C23" t="s">
        <v>135</v>
      </c>
      <c r="D23">
        <v>1</v>
      </c>
    </row>
    <row r="24" spans="1:4">
      <c r="A24" t="s">
        <v>455</v>
      </c>
      <c r="B24" t="s">
        <v>181</v>
      </c>
      <c r="C24" t="s">
        <v>135</v>
      </c>
      <c r="D24">
        <v>1</v>
      </c>
    </row>
    <row r="25" spans="1:4">
      <c r="A25" t="s">
        <v>456</v>
      </c>
      <c r="B25" t="s">
        <v>181</v>
      </c>
      <c r="C25" t="s">
        <v>135</v>
      </c>
      <c r="D25">
        <v>3</v>
      </c>
    </row>
    <row r="26" spans="1:4">
      <c r="A26" t="s">
        <v>457</v>
      </c>
      <c r="B26" t="s">
        <v>181</v>
      </c>
      <c r="C26" t="s">
        <v>135</v>
      </c>
      <c r="D26">
        <v>39</v>
      </c>
    </row>
    <row r="27" spans="1:4">
      <c r="A27" t="s">
        <v>458</v>
      </c>
      <c r="B27" t="s">
        <v>443</v>
      </c>
      <c r="C27" t="s">
        <v>219</v>
      </c>
      <c r="D27">
        <v>1</v>
      </c>
    </row>
  </sheetData>
  <pageMargins left="0.7" right="0.7" top="0.75" bottom="0.75" header="0.3" footer="0.3"/>
  <pageSetup paperSize="9" orientation="portrait" r:id="rId1"/>
  <customProperties>
    <customPr name="_pios_id" r:id="rId2"/>
  </customProperties>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tabColor rgb="FF00B050"/>
  </sheetPr>
  <dimension ref="A1:I1"/>
  <sheetViews>
    <sheetView workbookViewId="0">
      <selection activeCell="H12" sqref="H12"/>
    </sheetView>
  </sheetViews>
  <sheetFormatPr defaultRowHeight="15"/>
  <cols>
    <col min="1" max="1" width="12.42578125" bestFit="1" customWidth="1"/>
    <col min="2" max="2" width="8.7109375" bestFit="1" customWidth="1"/>
    <col min="3" max="3" width="8.140625" bestFit="1" customWidth="1"/>
    <col min="4" max="4" width="15.42578125" bestFit="1" customWidth="1"/>
    <col min="5" max="5" width="14.140625" bestFit="1" customWidth="1"/>
    <col min="6" max="6" width="14.85546875" bestFit="1" customWidth="1"/>
    <col min="7" max="7" width="15.85546875" bestFit="1" customWidth="1"/>
    <col min="8" max="8" width="14.7109375" bestFit="1" customWidth="1"/>
    <col min="9" max="9" width="15.5703125" bestFit="1" customWidth="1"/>
  </cols>
  <sheetData>
    <row r="1" spans="1:9">
      <c r="A1" t="s">
        <v>459</v>
      </c>
      <c r="B1" t="s">
        <v>119</v>
      </c>
      <c r="C1" t="s">
        <v>27</v>
      </c>
      <c r="D1" t="s">
        <v>460</v>
      </c>
      <c r="E1" t="s">
        <v>461</v>
      </c>
      <c r="F1" t="s">
        <v>462</v>
      </c>
      <c r="G1" t="s">
        <v>463</v>
      </c>
      <c r="H1" t="s">
        <v>464</v>
      </c>
      <c r="I1" t="s">
        <v>465</v>
      </c>
    </row>
  </sheetData>
  <pageMargins left="0.7" right="0.7" top="0.75" bottom="0.75" header="0.3" footer="0.3"/>
  <pageSetup orientation="portrait" r:id="rId1"/>
  <customProperties>
    <customPr name="_pios_id" r:id="rId2"/>
  </customProperties>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tabColor rgb="FF00B050"/>
  </sheetPr>
  <dimension ref="A1:I1"/>
  <sheetViews>
    <sheetView workbookViewId="0">
      <selection sqref="A1:I2"/>
    </sheetView>
  </sheetViews>
  <sheetFormatPr defaultRowHeight="15"/>
  <cols>
    <col min="1" max="1" width="12.42578125" bestFit="1" customWidth="1"/>
    <col min="2" max="2" width="8.7109375" bestFit="1" customWidth="1"/>
    <col min="3" max="3" width="8.140625" bestFit="1" customWidth="1"/>
    <col min="4" max="4" width="15.42578125" bestFit="1" customWidth="1"/>
    <col min="5" max="5" width="14.140625" bestFit="1" customWidth="1"/>
    <col min="6" max="6" width="14.85546875" bestFit="1" customWidth="1"/>
    <col min="7" max="7" width="15.85546875" bestFit="1" customWidth="1"/>
    <col min="8" max="8" width="14.7109375" bestFit="1" customWidth="1"/>
    <col min="9" max="9" width="15.5703125" bestFit="1" customWidth="1"/>
  </cols>
  <sheetData>
    <row r="1" spans="1:9">
      <c r="A1" t="s">
        <v>459</v>
      </c>
      <c r="B1" t="s">
        <v>119</v>
      </c>
      <c r="C1" t="s">
        <v>27</v>
      </c>
      <c r="D1" t="s">
        <v>460</v>
      </c>
      <c r="E1" t="s">
        <v>461</v>
      </c>
      <c r="F1" t="s">
        <v>462</v>
      </c>
      <c r="G1" t="s">
        <v>463</v>
      </c>
      <c r="H1" t="s">
        <v>464</v>
      </c>
      <c r="I1" t="s">
        <v>465</v>
      </c>
    </row>
  </sheetData>
  <pageMargins left="0.7" right="0.7" top="0.75" bottom="0.75" header="0.3" footer="0.3"/>
  <pageSetup orientation="portrait" r:id="rId1"/>
  <customProperties>
    <customPr name="_pios_id" r:id="rId2"/>
  </customProperties>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54800-C532-421D-B8AD-F2A1DF067B77}">
  <sheetPr codeName="Sheet17">
    <tabColor rgb="FF00B050"/>
  </sheetPr>
  <dimension ref="A1:K1"/>
  <sheetViews>
    <sheetView workbookViewId="0">
      <selection activeCell="C7" sqref="C7"/>
    </sheetView>
  </sheetViews>
  <sheetFormatPr defaultColWidth="9.140625" defaultRowHeight="15"/>
  <cols>
    <col min="1" max="1" width="13" bestFit="1" customWidth="1"/>
    <col min="2" max="2" width="9.42578125" bestFit="1" customWidth="1"/>
    <col min="3" max="3" width="13" bestFit="1" customWidth="1"/>
    <col min="4" max="4" width="8.42578125" bestFit="1" customWidth="1"/>
    <col min="5" max="5" width="16.5703125" bestFit="1" customWidth="1"/>
    <col min="6" max="6" width="15.140625" bestFit="1" customWidth="1"/>
    <col min="7" max="7" width="16.140625" bestFit="1" customWidth="1"/>
    <col min="8" max="8" width="16.85546875" bestFit="1" customWidth="1"/>
    <col min="9" max="9" width="15.5703125" bestFit="1" customWidth="1"/>
    <col min="10" max="10" width="16.42578125" bestFit="1" customWidth="1"/>
    <col min="11" max="11" width="6.85546875" bestFit="1" customWidth="1"/>
    <col min="12" max="12" width="7.42578125" customWidth="1"/>
  </cols>
  <sheetData>
    <row r="1" spans="1:11">
      <c r="A1" t="s">
        <v>459</v>
      </c>
      <c r="B1" t="s">
        <v>119</v>
      </c>
      <c r="C1" t="s">
        <v>335</v>
      </c>
      <c r="D1" t="s">
        <v>27</v>
      </c>
      <c r="E1" t="s">
        <v>460</v>
      </c>
      <c r="F1" t="s">
        <v>461</v>
      </c>
      <c r="G1" t="s">
        <v>462</v>
      </c>
      <c r="H1" t="s">
        <v>463</v>
      </c>
      <c r="I1" t="s">
        <v>464</v>
      </c>
      <c r="J1" t="s">
        <v>465</v>
      </c>
      <c r="K1" t="s">
        <v>69</v>
      </c>
    </row>
  </sheetData>
  <pageMargins left="0.7" right="0.7" top="0.75" bottom="0.75" header="0.3" footer="0.3"/>
  <pageSetup orientation="portrait" r:id="rId1"/>
  <customProperties>
    <customPr name="_pios_id" r:id="rId2"/>
  </customProperties>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rgb="FF00B050"/>
  </sheetPr>
  <dimension ref="A2:J64"/>
  <sheetViews>
    <sheetView workbookViewId="0">
      <selection activeCell="D2" sqref="D2"/>
    </sheetView>
  </sheetViews>
  <sheetFormatPr defaultRowHeight="15"/>
  <cols>
    <col min="1" max="1" width="16.42578125" style="8" bestFit="1" customWidth="1"/>
    <col min="2" max="2" width="9.42578125" bestFit="1" customWidth="1"/>
    <col min="3" max="3" width="21" bestFit="1" customWidth="1"/>
    <col min="4" max="4" width="27.28515625" bestFit="1" customWidth="1"/>
    <col min="5" max="5" width="22.42578125" bestFit="1" customWidth="1"/>
    <col min="6" max="6" width="25.140625" bestFit="1" customWidth="1"/>
    <col min="7" max="7" width="23.42578125" bestFit="1" customWidth="1"/>
    <col min="8" max="8" width="15.85546875" bestFit="1" customWidth="1"/>
    <col min="9" max="10" width="10.7109375" customWidth="1"/>
  </cols>
  <sheetData>
    <row r="2" spans="1:8">
      <c r="A2" s="8" t="s">
        <v>466</v>
      </c>
      <c r="B2" t="s">
        <v>467</v>
      </c>
      <c r="C2" t="s">
        <v>468</v>
      </c>
      <c r="D2" t="s">
        <v>469</v>
      </c>
      <c r="E2" t="s">
        <v>470</v>
      </c>
      <c r="F2" t="s">
        <v>471</v>
      </c>
      <c r="G2" t="s">
        <v>472</v>
      </c>
      <c r="H2" t="s">
        <v>473</v>
      </c>
    </row>
    <row r="3" spans="1:8">
      <c r="A3" s="8">
        <v>45824</v>
      </c>
      <c r="B3" t="s">
        <v>435</v>
      </c>
      <c r="C3" t="s">
        <v>435</v>
      </c>
      <c r="D3" t="s">
        <v>181</v>
      </c>
      <c r="E3" s="93" t="s">
        <v>133</v>
      </c>
      <c r="F3" t="s">
        <v>46</v>
      </c>
      <c r="G3" t="s">
        <v>94</v>
      </c>
      <c r="H3">
        <v>7500</v>
      </c>
    </row>
    <row r="4" spans="1:8">
      <c r="A4" s="8">
        <v>45824</v>
      </c>
      <c r="B4" t="s">
        <v>435</v>
      </c>
      <c r="C4" t="s">
        <v>435</v>
      </c>
      <c r="D4" t="s">
        <v>181</v>
      </c>
      <c r="E4" s="93" t="s">
        <v>133</v>
      </c>
      <c r="F4" t="s">
        <v>46</v>
      </c>
      <c r="G4" t="s">
        <v>92</v>
      </c>
      <c r="H4">
        <v>8000</v>
      </c>
    </row>
    <row r="5" spans="1:8">
      <c r="A5" s="8">
        <v>45824</v>
      </c>
      <c r="B5" t="s">
        <v>435</v>
      </c>
      <c r="C5" t="s">
        <v>435</v>
      </c>
      <c r="D5" t="s">
        <v>181</v>
      </c>
      <c r="E5" s="93" t="s">
        <v>133</v>
      </c>
      <c r="F5" t="s">
        <v>46</v>
      </c>
      <c r="G5" t="s">
        <v>93</v>
      </c>
      <c r="H5">
        <v>7500</v>
      </c>
    </row>
    <row r="6" spans="1:8">
      <c r="A6" s="8">
        <v>45824</v>
      </c>
      <c r="B6" t="s">
        <v>435</v>
      </c>
      <c r="C6" t="s">
        <v>435</v>
      </c>
      <c r="D6" t="s">
        <v>181</v>
      </c>
      <c r="E6" s="93" t="s">
        <v>133</v>
      </c>
      <c r="F6" t="s">
        <v>263</v>
      </c>
      <c r="G6" t="s">
        <v>186</v>
      </c>
      <c r="H6">
        <v>23000</v>
      </c>
    </row>
    <row r="7" spans="1:8">
      <c r="A7" s="8">
        <v>45824</v>
      </c>
      <c r="B7" t="s">
        <v>435</v>
      </c>
      <c r="C7" t="s">
        <v>435</v>
      </c>
      <c r="D7" t="s">
        <v>181</v>
      </c>
      <c r="E7" s="93" t="s">
        <v>133</v>
      </c>
      <c r="F7" t="s">
        <v>263</v>
      </c>
      <c r="G7" t="s">
        <v>184</v>
      </c>
      <c r="H7">
        <v>10500</v>
      </c>
    </row>
    <row r="8" spans="1:8">
      <c r="A8" s="8">
        <v>45824</v>
      </c>
      <c r="B8" t="s">
        <v>435</v>
      </c>
      <c r="C8" t="s">
        <v>435</v>
      </c>
      <c r="D8" t="s">
        <v>181</v>
      </c>
      <c r="E8" s="93" t="s">
        <v>133</v>
      </c>
      <c r="F8" t="s">
        <v>263</v>
      </c>
      <c r="G8" t="s">
        <v>187</v>
      </c>
      <c r="H8">
        <v>8000</v>
      </c>
    </row>
    <row r="9" spans="1:8">
      <c r="A9" s="8">
        <v>45824</v>
      </c>
      <c r="B9" t="s">
        <v>435</v>
      </c>
      <c r="C9" t="s">
        <v>435</v>
      </c>
      <c r="D9" t="s">
        <v>181</v>
      </c>
      <c r="E9" s="93" t="s">
        <v>133</v>
      </c>
      <c r="F9" t="s">
        <v>264</v>
      </c>
      <c r="G9" t="s">
        <v>188</v>
      </c>
      <c r="H9">
        <v>11000</v>
      </c>
    </row>
    <row r="10" spans="1:8">
      <c r="A10" s="8">
        <v>45824</v>
      </c>
      <c r="B10" t="s">
        <v>436</v>
      </c>
      <c r="C10" t="s">
        <v>436</v>
      </c>
      <c r="D10" t="s">
        <v>181</v>
      </c>
      <c r="E10" s="93" t="s">
        <v>135</v>
      </c>
      <c r="F10" t="s">
        <v>45</v>
      </c>
      <c r="G10" t="s">
        <v>88</v>
      </c>
      <c r="H10">
        <v>20</v>
      </c>
    </row>
    <row r="11" spans="1:8">
      <c r="A11" s="8">
        <v>45824</v>
      </c>
      <c r="B11" t="s">
        <v>436</v>
      </c>
      <c r="C11" t="s">
        <v>436</v>
      </c>
      <c r="D11" t="s">
        <v>181</v>
      </c>
      <c r="E11" s="93" t="s">
        <v>135</v>
      </c>
      <c r="F11" t="s">
        <v>263</v>
      </c>
      <c r="G11" t="s">
        <v>186</v>
      </c>
      <c r="H11">
        <v>90</v>
      </c>
    </row>
    <row r="12" spans="1:8">
      <c r="A12" s="8">
        <v>45824</v>
      </c>
      <c r="B12" t="s">
        <v>437</v>
      </c>
      <c r="C12" t="s">
        <v>437</v>
      </c>
      <c r="D12" t="s">
        <v>181</v>
      </c>
      <c r="E12" s="93">
        <v>45849</v>
      </c>
      <c r="F12" t="s">
        <v>44</v>
      </c>
      <c r="G12" t="s">
        <v>83</v>
      </c>
      <c r="H12">
        <v>1000</v>
      </c>
    </row>
    <row r="13" spans="1:8">
      <c r="A13" s="8">
        <v>45824</v>
      </c>
      <c r="B13" t="s">
        <v>437</v>
      </c>
      <c r="C13" t="s">
        <v>437</v>
      </c>
      <c r="D13" t="s">
        <v>181</v>
      </c>
      <c r="E13" s="93">
        <v>45849</v>
      </c>
      <c r="F13" t="s">
        <v>44</v>
      </c>
      <c r="G13" t="s">
        <v>85</v>
      </c>
      <c r="H13">
        <v>2000</v>
      </c>
    </row>
    <row r="14" spans="1:8">
      <c r="A14" s="8">
        <v>45824</v>
      </c>
      <c r="B14" t="s">
        <v>437</v>
      </c>
      <c r="C14" t="s">
        <v>437</v>
      </c>
      <c r="D14" t="s">
        <v>181</v>
      </c>
      <c r="E14" s="93">
        <v>45849</v>
      </c>
      <c r="F14" t="s">
        <v>44</v>
      </c>
      <c r="G14" t="s">
        <v>84</v>
      </c>
      <c r="H14">
        <v>1000</v>
      </c>
    </row>
    <row r="15" spans="1:8">
      <c r="A15" s="8">
        <v>45824</v>
      </c>
      <c r="B15" t="s">
        <v>437</v>
      </c>
      <c r="C15" t="s">
        <v>437</v>
      </c>
      <c r="D15" t="s">
        <v>181</v>
      </c>
      <c r="E15" s="93">
        <v>45849</v>
      </c>
      <c r="F15" t="s">
        <v>263</v>
      </c>
      <c r="G15" t="s">
        <v>186</v>
      </c>
      <c r="H15">
        <v>20000</v>
      </c>
    </row>
    <row r="16" spans="1:8">
      <c r="A16" s="8">
        <v>45824</v>
      </c>
      <c r="B16" t="s">
        <v>437</v>
      </c>
      <c r="C16" t="s">
        <v>437</v>
      </c>
      <c r="D16" t="s">
        <v>181</v>
      </c>
      <c r="E16" s="93">
        <v>45849</v>
      </c>
      <c r="F16" t="s">
        <v>263</v>
      </c>
      <c r="G16" t="s">
        <v>184</v>
      </c>
      <c r="H16">
        <v>12000</v>
      </c>
    </row>
    <row r="17" spans="1:8">
      <c r="A17" s="8">
        <v>45824</v>
      </c>
      <c r="B17" t="s">
        <v>437</v>
      </c>
      <c r="C17" t="s">
        <v>437</v>
      </c>
      <c r="D17" t="s">
        <v>181</v>
      </c>
      <c r="E17" s="93">
        <v>45849</v>
      </c>
      <c r="F17" t="s">
        <v>263</v>
      </c>
      <c r="G17" t="s">
        <v>187</v>
      </c>
      <c r="H17">
        <v>1000</v>
      </c>
    </row>
    <row r="18" spans="1:8">
      <c r="A18" s="8">
        <v>45824</v>
      </c>
      <c r="B18" t="s">
        <v>437</v>
      </c>
      <c r="C18" t="s">
        <v>437</v>
      </c>
      <c r="D18" t="s">
        <v>181</v>
      </c>
      <c r="E18" s="93">
        <v>45849</v>
      </c>
      <c r="F18" t="s">
        <v>264</v>
      </c>
      <c r="G18" t="s">
        <v>188</v>
      </c>
      <c r="H18">
        <v>8000</v>
      </c>
    </row>
    <row r="19" spans="1:8">
      <c r="A19" s="8">
        <v>45824</v>
      </c>
      <c r="B19" t="s">
        <v>437</v>
      </c>
      <c r="C19" t="s">
        <v>437</v>
      </c>
      <c r="D19" t="s">
        <v>181</v>
      </c>
      <c r="E19" s="93">
        <v>45849</v>
      </c>
      <c r="F19" t="s">
        <v>264</v>
      </c>
      <c r="G19" t="s">
        <v>189</v>
      </c>
      <c r="H19">
        <v>2000</v>
      </c>
    </row>
    <row r="20" spans="1:8">
      <c r="A20" s="8">
        <v>45824</v>
      </c>
      <c r="B20" t="s">
        <v>437</v>
      </c>
      <c r="C20" t="s">
        <v>437</v>
      </c>
      <c r="D20" t="s">
        <v>181</v>
      </c>
      <c r="E20" s="93">
        <v>45849</v>
      </c>
      <c r="F20" t="s">
        <v>45</v>
      </c>
      <c r="G20" t="s">
        <v>88</v>
      </c>
      <c r="H20">
        <v>1000</v>
      </c>
    </row>
    <row r="21" spans="1:8">
      <c r="A21" s="8">
        <v>45824</v>
      </c>
      <c r="B21" t="s">
        <v>437</v>
      </c>
      <c r="C21" t="s">
        <v>437</v>
      </c>
      <c r="D21" t="s">
        <v>181</v>
      </c>
      <c r="E21" s="93">
        <v>45849</v>
      </c>
      <c r="F21" t="s">
        <v>46</v>
      </c>
      <c r="G21" t="s">
        <v>94</v>
      </c>
      <c r="H21">
        <v>4000</v>
      </c>
    </row>
    <row r="22" spans="1:8">
      <c r="A22" s="8">
        <v>45824</v>
      </c>
      <c r="B22" t="s">
        <v>437</v>
      </c>
      <c r="C22" t="s">
        <v>437</v>
      </c>
      <c r="D22" t="s">
        <v>181</v>
      </c>
      <c r="E22" s="93">
        <v>45849</v>
      </c>
      <c r="F22" t="s">
        <v>46</v>
      </c>
      <c r="G22" t="s">
        <v>92</v>
      </c>
      <c r="H22">
        <v>10000</v>
      </c>
    </row>
    <row r="23" spans="1:8">
      <c r="A23" s="8">
        <v>45824</v>
      </c>
      <c r="B23" t="s">
        <v>437</v>
      </c>
      <c r="C23" t="s">
        <v>437</v>
      </c>
      <c r="D23" t="s">
        <v>181</v>
      </c>
      <c r="E23" s="93">
        <v>45849</v>
      </c>
      <c r="F23" t="s">
        <v>46</v>
      </c>
      <c r="G23" t="s">
        <v>93</v>
      </c>
      <c r="H23">
        <v>3000</v>
      </c>
    </row>
    <row r="24" spans="1:8">
      <c r="A24" s="8">
        <v>45824</v>
      </c>
      <c r="B24" t="s">
        <v>441</v>
      </c>
      <c r="C24" t="s">
        <v>441</v>
      </c>
      <c r="D24" t="s">
        <v>181</v>
      </c>
      <c r="E24" s="93" t="s">
        <v>135</v>
      </c>
      <c r="F24" t="s">
        <v>44</v>
      </c>
      <c r="G24" t="s">
        <v>83</v>
      </c>
      <c r="H24">
        <v>60</v>
      </c>
    </row>
    <row r="25" spans="1:8">
      <c r="A25" s="8">
        <v>45824</v>
      </c>
      <c r="B25" t="s">
        <v>441</v>
      </c>
      <c r="C25" t="s">
        <v>441</v>
      </c>
      <c r="D25" t="s">
        <v>181</v>
      </c>
      <c r="E25" s="93" t="s">
        <v>135</v>
      </c>
      <c r="F25" t="s">
        <v>44</v>
      </c>
      <c r="G25" t="s">
        <v>85</v>
      </c>
      <c r="H25">
        <v>200</v>
      </c>
    </row>
    <row r="26" spans="1:8">
      <c r="A26" s="8">
        <v>45824</v>
      </c>
      <c r="B26" t="s">
        <v>441</v>
      </c>
      <c r="C26" t="s">
        <v>441</v>
      </c>
      <c r="D26" t="s">
        <v>181</v>
      </c>
      <c r="E26" s="93" t="s">
        <v>135</v>
      </c>
      <c r="F26" t="s">
        <v>44</v>
      </c>
      <c r="G26" t="s">
        <v>84</v>
      </c>
      <c r="H26">
        <v>10</v>
      </c>
    </row>
    <row r="27" spans="1:8">
      <c r="A27" s="8">
        <v>45824</v>
      </c>
      <c r="B27" t="s">
        <v>441</v>
      </c>
      <c r="C27" t="s">
        <v>441</v>
      </c>
      <c r="D27" t="s">
        <v>181</v>
      </c>
      <c r="E27" s="93" t="s">
        <v>135</v>
      </c>
      <c r="F27" t="s">
        <v>45</v>
      </c>
      <c r="G27" t="s">
        <v>88</v>
      </c>
      <c r="H27">
        <v>120</v>
      </c>
    </row>
    <row r="28" spans="1:8">
      <c r="A28" s="8">
        <v>45824</v>
      </c>
      <c r="B28" t="s">
        <v>441</v>
      </c>
      <c r="C28" t="s">
        <v>441</v>
      </c>
      <c r="D28" t="s">
        <v>181</v>
      </c>
      <c r="E28" s="93" t="s">
        <v>135</v>
      </c>
      <c r="F28" t="s">
        <v>46</v>
      </c>
      <c r="G28" t="s">
        <v>92</v>
      </c>
      <c r="H28">
        <v>250</v>
      </c>
    </row>
    <row r="29" spans="1:8">
      <c r="A29" s="8">
        <v>45824</v>
      </c>
      <c r="B29" t="s">
        <v>441</v>
      </c>
      <c r="C29" t="s">
        <v>441</v>
      </c>
      <c r="D29" t="s">
        <v>181</v>
      </c>
      <c r="E29" s="93" t="s">
        <v>135</v>
      </c>
      <c r="F29" t="s">
        <v>46</v>
      </c>
      <c r="G29" t="s">
        <v>93</v>
      </c>
      <c r="H29">
        <v>70</v>
      </c>
    </row>
    <row r="30" spans="1:8">
      <c r="A30" s="8">
        <v>45824</v>
      </c>
      <c r="B30" t="s">
        <v>441</v>
      </c>
      <c r="C30" t="s">
        <v>441</v>
      </c>
      <c r="D30" t="s">
        <v>181</v>
      </c>
      <c r="E30" s="93" t="s">
        <v>135</v>
      </c>
      <c r="F30" t="s">
        <v>263</v>
      </c>
      <c r="G30" t="s">
        <v>186</v>
      </c>
      <c r="H30">
        <v>490</v>
      </c>
    </row>
    <row r="31" spans="1:8">
      <c r="A31" s="8">
        <v>45824</v>
      </c>
      <c r="B31" t="s">
        <v>441</v>
      </c>
      <c r="C31" t="s">
        <v>441</v>
      </c>
      <c r="D31" t="s">
        <v>181</v>
      </c>
      <c r="E31" s="93" t="s">
        <v>135</v>
      </c>
      <c r="F31" t="s">
        <v>263</v>
      </c>
      <c r="G31" t="s">
        <v>184</v>
      </c>
      <c r="H31">
        <v>330</v>
      </c>
    </row>
    <row r="32" spans="1:8">
      <c r="A32" s="8">
        <v>45824</v>
      </c>
      <c r="B32" t="s">
        <v>441</v>
      </c>
      <c r="C32" t="s">
        <v>441</v>
      </c>
      <c r="D32" t="s">
        <v>181</v>
      </c>
      <c r="E32" s="93" t="s">
        <v>135</v>
      </c>
      <c r="F32" t="s">
        <v>264</v>
      </c>
      <c r="G32" t="s">
        <v>188</v>
      </c>
      <c r="H32">
        <v>130</v>
      </c>
    </row>
    <row r="33" spans="1:10">
      <c r="A33" s="8">
        <v>45824</v>
      </c>
      <c r="B33" t="s">
        <v>211</v>
      </c>
      <c r="C33" t="s">
        <v>211</v>
      </c>
      <c r="D33" t="s">
        <v>181</v>
      </c>
      <c r="E33" s="93" t="s">
        <v>135</v>
      </c>
      <c r="F33" t="s">
        <v>44</v>
      </c>
      <c r="G33" t="s">
        <v>83</v>
      </c>
      <c r="H33">
        <v>100</v>
      </c>
    </row>
    <row r="34" spans="1:10">
      <c r="A34" s="8">
        <v>45824</v>
      </c>
      <c r="B34" t="s">
        <v>211</v>
      </c>
      <c r="C34" t="s">
        <v>211</v>
      </c>
      <c r="D34" t="s">
        <v>181</v>
      </c>
      <c r="E34" s="93" t="s">
        <v>135</v>
      </c>
      <c r="F34" t="s">
        <v>44</v>
      </c>
      <c r="G34" t="s">
        <v>85</v>
      </c>
      <c r="H34">
        <v>100</v>
      </c>
      <c r="J34">
        <f>434449/50000</f>
        <v>8.6889800000000008</v>
      </c>
    </row>
    <row r="35" spans="1:10">
      <c r="A35" s="8">
        <v>45824</v>
      </c>
      <c r="B35" t="s">
        <v>211</v>
      </c>
      <c r="C35" t="s">
        <v>211</v>
      </c>
      <c r="D35" t="s">
        <v>181</v>
      </c>
      <c r="E35" s="93" t="s">
        <v>135</v>
      </c>
      <c r="F35" t="s">
        <v>46</v>
      </c>
      <c r="G35" t="s">
        <v>94</v>
      </c>
      <c r="H35">
        <v>1000</v>
      </c>
    </row>
    <row r="36" spans="1:10">
      <c r="A36" s="8">
        <v>45824</v>
      </c>
      <c r="B36" t="s">
        <v>211</v>
      </c>
      <c r="C36" t="s">
        <v>211</v>
      </c>
      <c r="D36" t="s">
        <v>181</v>
      </c>
      <c r="E36" s="93" t="s">
        <v>135</v>
      </c>
      <c r="F36" t="s">
        <v>46</v>
      </c>
      <c r="G36" t="s">
        <v>92</v>
      </c>
      <c r="H36">
        <v>3000</v>
      </c>
    </row>
    <row r="37" spans="1:10">
      <c r="A37" s="8">
        <v>45824</v>
      </c>
      <c r="B37" t="s">
        <v>211</v>
      </c>
      <c r="C37" t="s">
        <v>211</v>
      </c>
      <c r="D37" t="s">
        <v>181</v>
      </c>
      <c r="E37" s="93" t="s">
        <v>135</v>
      </c>
      <c r="F37" t="s">
        <v>263</v>
      </c>
      <c r="G37" t="s">
        <v>186</v>
      </c>
      <c r="H37">
        <v>5000</v>
      </c>
    </row>
    <row r="38" spans="1:10">
      <c r="A38" s="8">
        <v>45824</v>
      </c>
      <c r="B38" t="s">
        <v>444</v>
      </c>
      <c r="C38" t="s">
        <v>444</v>
      </c>
      <c r="D38" t="s">
        <v>443</v>
      </c>
      <c r="E38" s="93" t="s">
        <v>216</v>
      </c>
      <c r="F38" t="s">
        <v>44</v>
      </c>
      <c r="G38" t="s">
        <v>85</v>
      </c>
      <c r="H38">
        <v>100</v>
      </c>
    </row>
    <row r="39" spans="1:10">
      <c r="A39" s="8">
        <v>45824</v>
      </c>
      <c r="B39" t="s">
        <v>444</v>
      </c>
      <c r="C39" t="s">
        <v>444</v>
      </c>
      <c r="D39" t="s">
        <v>443</v>
      </c>
      <c r="E39" s="93" t="s">
        <v>216</v>
      </c>
      <c r="F39" t="s">
        <v>46</v>
      </c>
      <c r="G39" t="s">
        <v>94</v>
      </c>
      <c r="H39">
        <v>1500</v>
      </c>
    </row>
    <row r="40" spans="1:10">
      <c r="A40" s="8">
        <v>45824</v>
      </c>
      <c r="B40" t="s">
        <v>444</v>
      </c>
      <c r="C40" t="s">
        <v>444</v>
      </c>
      <c r="D40" t="s">
        <v>443</v>
      </c>
      <c r="E40" s="93" t="s">
        <v>216</v>
      </c>
      <c r="F40" t="s">
        <v>46</v>
      </c>
      <c r="G40" t="s">
        <v>92</v>
      </c>
      <c r="H40">
        <v>1000</v>
      </c>
    </row>
    <row r="41" spans="1:10">
      <c r="A41" s="8">
        <v>45824</v>
      </c>
      <c r="B41" t="s">
        <v>444</v>
      </c>
      <c r="C41" t="s">
        <v>444</v>
      </c>
      <c r="D41" t="s">
        <v>443</v>
      </c>
      <c r="E41" s="93" t="s">
        <v>216</v>
      </c>
      <c r="F41" t="s">
        <v>46</v>
      </c>
      <c r="G41" t="s">
        <v>93</v>
      </c>
      <c r="H41">
        <v>1500</v>
      </c>
    </row>
    <row r="42" spans="1:10">
      <c r="A42" s="8">
        <v>45824</v>
      </c>
      <c r="B42" t="s">
        <v>444</v>
      </c>
      <c r="C42" t="s">
        <v>444</v>
      </c>
      <c r="D42" t="s">
        <v>443</v>
      </c>
      <c r="E42" s="93" t="s">
        <v>216</v>
      </c>
      <c r="F42" t="s">
        <v>263</v>
      </c>
      <c r="G42" t="s">
        <v>186</v>
      </c>
      <c r="H42">
        <v>10500</v>
      </c>
    </row>
    <row r="43" spans="1:10">
      <c r="A43" s="8">
        <v>45824</v>
      </c>
      <c r="B43" t="s">
        <v>444</v>
      </c>
      <c r="C43" t="s">
        <v>444</v>
      </c>
      <c r="D43" t="s">
        <v>443</v>
      </c>
      <c r="E43" s="93" t="s">
        <v>216</v>
      </c>
      <c r="F43" t="s">
        <v>263</v>
      </c>
      <c r="G43" t="s">
        <v>184</v>
      </c>
      <c r="H43">
        <v>2500</v>
      </c>
    </row>
    <row r="44" spans="1:10">
      <c r="A44" s="8">
        <v>45824</v>
      </c>
      <c r="B44" t="s">
        <v>444</v>
      </c>
      <c r="C44" t="s">
        <v>444</v>
      </c>
      <c r="D44" t="s">
        <v>443</v>
      </c>
      <c r="E44" s="93" t="s">
        <v>216</v>
      </c>
      <c r="F44" t="s">
        <v>263</v>
      </c>
      <c r="G44" t="s">
        <v>187</v>
      </c>
      <c r="H44">
        <v>1000</v>
      </c>
    </row>
    <row r="45" spans="1:10">
      <c r="A45" s="8">
        <v>45824</v>
      </c>
      <c r="B45" t="s">
        <v>444</v>
      </c>
      <c r="C45" t="s">
        <v>444</v>
      </c>
      <c r="D45" t="s">
        <v>443</v>
      </c>
      <c r="E45" s="93" t="s">
        <v>216</v>
      </c>
      <c r="F45" t="s">
        <v>264</v>
      </c>
      <c r="G45" t="s">
        <v>188</v>
      </c>
      <c r="H45">
        <v>4000</v>
      </c>
    </row>
    <row r="46" spans="1:10">
      <c r="A46" s="8">
        <v>45824</v>
      </c>
      <c r="B46" t="s">
        <v>444</v>
      </c>
      <c r="C46" t="s">
        <v>444</v>
      </c>
      <c r="D46" t="s">
        <v>443</v>
      </c>
      <c r="E46" s="93" t="s">
        <v>216</v>
      </c>
      <c r="F46" t="s">
        <v>264</v>
      </c>
      <c r="G46" t="s">
        <v>189</v>
      </c>
      <c r="H46">
        <v>500</v>
      </c>
    </row>
    <row r="47" spans="1:10">
      <c r="A47" s="8">
        <v>45824</v>
      </c>
      <c r="B47" t="s">
        <v>457</v>
      </c>
      <c r="C47" t="s">
        <v>457</v>
      </c>
      <c r="D47" t="s">
        <v>181</v>
      </c>
      <c r="E47" s="93" t="s">
        <v>135</v>
      </c>
      <c r="F47" t="s">
        <v>263</v>
      </c>
      <c r="G47" t="s">
        <v>186</v>
      </c>
      <c r="H47">
        <v>240</v>
      </c>
    </row>
    <row r="48" spans="1:10">
      <c r="A48" s="8">
        <v>45824</v>
      </c>
      <c r="B48" t="s">
        <v>457</v>
      </c>
      <c r="C48" t="s">
        <v>457</v>
      </c>
      <c r="D48" t="s">
        <v>181</v>
      </c>
      <c r="E48" s="93" t="s">
        <v>135</v>
      </c>
      <c r="F48" t="s">
        <v>263</v>
      </c>
      <c r="G48" t="s">
        <v>184</v>
      </c>
      <c r="H48">
        <v>240</v>
      </c>
    </row>
    <row r="49" spans="1:8">
      <c r="A49" s="8">
        <v>45824</v>
      </c>
      <c r="B49" t="s">
        <v>457</v>
      </c>
      <c r="C49" t="s">
        <v>457</v>
      </c>
      <c r="D49" t="s">
        <v>181</v>
      </c>
      <c r="E49" s="93" t="s">
        <v>135</v>
      </c>
      <c r="F49" t="s">
        <v>264</v>
      </c>
      <c r="G49" t="s">
        <v>188</v>
      </c>
      <c r="H49">
        <v>50</v>
      </c>
    </row>
    <row r="50" spans="1:8">
      <c r="A50" s="8">
        <v>45824</v>
      </c>
      <c r="B50" t="s">
        <v>457</v>
      </c>
      <c r="C50" t="s">
        <v>457</v>
      </c>
      <c r="D50" t="s">
        <v>181</v>
      </c>
      <c r="E50" s="93" t="s">
        <v>135</v>
      </c>
      <c r="F50" t="s">
        <v>44</v>
      </c>
      <c r="G50" t="s">
        <v>85</v>
      </c>
      <c r="H50">
        <v>90</v>
      </c>
    </row>
    <row r="51" spans="1:8">
      <c r="A51" s="8">
        <v>45824</v>
      </c>
      <c r="B51" t="s">
        <v>457</v>
      </c>
      <c r="C51" t="s">
        <v>457</v>
      </c>
      <c r="D51" t="s">
        <v>181</v>
      </c>
      <c r="E51" s="93" t="s">
        <v>135</v>
      </c>
      <c r="F51" t="s">
        <v>44</v>
      </c>
      <c r="G51" t="s">
        <v>84</v>
      </c>
      <c r="H51">
        <v>20</v>
      </c>
    </row>
    <row r="52" spans="1:8">
      <c r="A52" s="8">
        <v>45824</v>
      </c>
      <c r="B52" t="s">
        <v>457</v>
      </c>
      <c r="C52" t="s">
        <v>457</v>
      </c>
      <c r="D52" t="s">
        <v>181</v>
      </c>
      <c r="E52" s="93" t="s">
        <v>135</v>
      </c>
      <c r="F52" t="s">
        <v>46</v>
      </c>
      <c r="G52" t="s">
        <v>92</v>
      </c>
      <c r="H52">
        <v>70</v>
      </c>
    </row>
    <row r="53" spans="1:8">
      <c r="A53" s="8">
        <v>45824</v>
      </c>
      <c r="B53" t="s">
        <v>457</v>
      </c>
      <c r="C53" t="s">
        <v>457</v>
      </c>
      <c r="D53" t="s">
        <v>181</v>
      </c>
      <c r="E53" s="93" t="s">
        <v>135</v>
      </c>
      <c r="F53" t="s">
        <v>45</v>
      </c>
      <c r="G53" t="s">
        <v>88</v>
      </c>
      <c r="H53">
        <v>170</v>
      </c>
    </row>
    <row r="54" spans="1:8">
      <c r="A54" s="8">
        <v>45824</v>
      </c>
      <c r="B54" t="s">
        <v>457</v>
      </c>
      <c r="C54" t="s">
        <v>457</v>
      </c>
      <c r="D54" t="s">
        <v>181</v>
      </c>
      <c r="E54" s="93" t="s">
        <v>135</v>
      </c>
      <c r="F54" t="s">
        <v>263</v>
      </c>
      <c r="G54" t="s">
        <v>187</v>
      </c>
      <c r="H54">
        <v>90</v>
      </c>
    </row>
    <row r="55" spans="1:8">
      <c r="A55" s="8">
        <v>45824</v>
      </c>
      <c r="B55" t="s">
        <v>457</v>
      </c>
      <c r="C55" t="s">
        <v>457</v>
      </c>
      <c r="D55" t="s">
        <v>181</v>
      </c>
      <c r="E55" s="93" t="s">
        <v>135</v>
      </c>
      <c r="F55" t="s">
        <v>46</v>
      </c>
      <c r="G55" t="s">
        <v>93</v>
      </c>
      <c r="H55">
        <v>20</v>
      </c>
    </row>
    <row r="56" spans="1:8">
      <c r="A56" s="8">
        <v>45824</v>
      </c>
      <c r="B56" t="s">
        <v>451</v>
      </c>
      <c r="C56" t="s">
        <v>451</v>
      </c>
      <c r="D56" t="s">
        <v>443</v>
      </c>
      <c r="E56" s="93" t="s">
        <v>222</v>
      </c>
      <c r="F56" t="s">
        <v>44</v>
      </c>
      <c r="G56" t="s">
        <v>85</v>
      </c>
      <c r="H56">
        <v>500</v>
      </c>
    </row>
    <row r="57" spans="1:8">
      <c r="A57" s="8">
        <v>45824</v>
      </c>
      <c r="B57" t="s">
        <v>451</v>
      </c>
      <c r="C57" t="s">
        <v>451</v>
      </c>
      <c r="D57" t="s">
        <v>443</v>
      </c>
      <c r="E57" s="93" t="s">
        <v>222</v>
      </c>
      <c r="F57" t="s">
        <v>46</v>
      </c>
      <c r="G57" t="s">
        <v>94</v>
      </c>
      <c r="H57">
        <v>4500</v>
      </c>
    </row>
    <row r="58" spans="1:8">
      <c r="A58" s="8">
        <v>45824</v>
      </c>
      <c r="B58" t="s">
        <v>451</v>
      </c>
      <c r="C58" t="s">
        <v>451</v>
      </c>
      <c r="D58" t="s">
        <v>443</v>
      </c>
      <c r="E58" s="93" t="s">
        <v>222</v>
      </c>
      <c r="F58" t="s">
        <v>46</v>
      </c>
      <c r="G58" t="s">
        <v>92</v>
      </c>
      <c r="H58">
        <v>4000</v>
      </c>
    </row>
    <row r="59" spans="1:8">
      <c r="A59" s="8">
        <v>45824</v>
      </c>
      <c r="B59" t="s">
        <v>451</v>
      </c>
      <c r="C59" t="s">
        <v>451</v>
      </c>
      <c r="D59" t="s">
        <v>443</v>
      </c>
      <c r="E59" s="93" t="s">
        <v>222</v>
      </c>
      <c r="F59" t="s">
        <v>46</v>
      </c>
      <c r="G59" t="s">
        <v>93</v>
      </c>
      <c r="H59">
        <v>3500</v>
      </c>
    </row>
    <row r="60" spans="1:8">
      <c r="A60" s="8">
        <v>45824</v>
      </c>
      <c r="B60" t="s">
        <v>451</v>
      </c>
      <c r="C60" t="s">
        <v>451</v>
      </c>
      <c r="D60" t="s">
        <v>443</v>
      </c>
      <c r="E60" s="93" t="s">
        <v>222</v>
      </c>
      <c r="F60" t="s">
        <v>263</v>
      </c>
      <c r="G60" t="s">
        <v>186</v>
      </c>
      <c r="H60">
        <v>30000</v>
      </c>
    </row>
    <row r="61" spans="1:8">
      <c r="A61" s="8">
        <v>45824</v>
      </c>
      <c r="B61" t="s">
        <v>451</v>
      </c>
      <c r="C61" t="s">
        <v>451</v>
      </c>
      <c r="D61" t="s">
        <v>443</v>
      </c>
      <c r="E61" s="93" t="s">
        <v>222</v>
      </c>
      <c r="F61" t="s">
        <v>263</v>
      </c>
      <c r="G61" t="s">
        <v>184</v>
      </c>
      <c r="H61">
        <v>5000</v>
      </c>
    </row>
    <row r="62" spans="1:8">
      <c r="A62" s="8">
        <v>45824</v>
      </c>
      <c r="B62" t="s">
        <v>451</v>
      </c>
      <c r="C62" t="s">
        <v>451</v>
      </c>
      <c r="D62" t="s">
        <v>443</v>
      </c>
      <c r="E62" s="93" t="s">
        <v>222</v>
      </c>
      <c r="F62" t="s">
        <v>263</v>
      </c>
      <c r="G62" t="s">
        <v>187</v>
      </c>
      <c r="H62">
        <v>3500</v>
      </c>
    </row>
    <row r="63" spans="1:8">
      <c r="A63" s="8">
        <v>45824</v>
      </c>
      <c r="B63" t="s">
        <v>451</v>
      </c>
      <c r="C63" t="s">
        <v>451</v>
      </c>
      <c r="D63" t="s">
        <v>443</v>
      </c>
      <c r="E63" s="93" t="s">
        <v>222</v>
      </c>
      <c r="F63" t="s">
        <v>264</v>
      </c>
      <c r="G63" t="s">
        <v>188</v>
      </c>
      <c r="H63">
        <v>12000</v>
      </c>
    </row>
    <row r="64" spans="1:8">
      <c r="A64" s="8">
        <v>45824</v>
      </c>
      <c r="B64" t="s">
        <v>451</v>
      </c>
      <c r="C64" t="s">
        <v>451</v>
      </c>
      <c r="D64" t="s">
        <v>443</v>
      </c>
      <c r="E64" s="93" t="s">
        <v>222</v>
      </c>
      <c r="F64" t="s">
        <v>264</v>
      </c>
      <c r="G64" t="s">
        <v>189</v>
      </c>
      <c r="H64">
        <v>2000</v>
      </c>
    </row>
  </sheetData>
  <pageMargins left="0.7" right="0.7" top="0.75" bottom="0.75" header="0.3" footer="0.3"/>
  <pageSetup orientation="portrait" r:id="rId1"/>
  <customProperties>
    <customPr name="_pios_id" r:id="rId2"/>
  </customProperties>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00B050"/>
  </sheetPr>
  <dimension ref="A2:V71"/>
  <sheetViews>
    <sheetView workbookViewId="0">
      <selection activeCell="E13" sqref="E13"/>
    </sheetView>
  </sheetViews>
  <sheetFormatPr defaultRowHeight="15"/>
  <cols>
    <col min="1" max="1" width="16.42578125" style="8" bestFit="1" customWidth="1"/>
    <col min="2" max="2" width="9.42578125" bestFit="1" customWidth="1"/>
    <col min="3" max="3" width="21" bestFit="1" customWidth="1"/>
    <col min="4" max="4" width="27.28515625" bestFit="1" customWidth="1"/>
    <col min="5" max="5" width="22.42578125" bestFit="1" customWidth="1"/>
    <col min="6" max="6" width="25.140625" bestFit="1" customWidth="1"/>
    <col min="7" max="7" width="23.42578125" bestFit="1" customWidth="1"/>
    <col min="8" max="8" width="15.85546875" bestFit="1" customWidth="1"/>
    <col min="9" max="9" width="10.7109375" customWidth="1"/>
    <col min="10" max="18" width="10.7109375" bestFit="1" customWidth="1"/>
    <col min="19" max="27" width="11.7109375" bestFit="1" customWidth="1"/>
  </cols>
  <sheetData>
    <row r="2" spans="1:22">
      <c r="A2" s="8" t="s">
        <v>466</v>
      </c>
      <c r="B2" t="s">
        <v>467</v>
      </c>
      <c r="C2" t="s">
        <v>468</v>
      </c>
      <c r="D2" t="s">
        <v>469</v>
      </c>
      <c r="E2" t="s">
        <v>470</v>
      </c>
      <c r="F2" t="s">
        <v>471</v>
      </c>
      <c r="G2" t="s">
        <v>472</v>
      </c>
      <c r="H2" t="s">
        <v>473</v>
      </c>
    </row>
    <row r="3" spans="1:22">
      <c r="K3" s="8"/>
      <c r="V3" s="8"/>
    </row>
    <row r="4" spans="1:22">
      <c r="K4" s="8"/>
      <c r="V4" s="8"/>
    </row>
    <row r="5" spans="1:22">
      <c r="K5" s="8"/>
      <c r="V5" s="8"/>
    </row>
    <row r="6" spans="1:22">
      <c r="K6" s="8"/>
      <c r="V6" s="8"/>
    </row>
    <row r="7" spans="1:22">
      <c r="K7" s="8"/>
      <c r="V7" s="8"/>
    </row>
    <row r="8" spans="1:22">
      <c r="K8" s="8"/>
      <c r="V8" s="8"/>
    </row>
    <row r="9" spans="1:22">
      <c r="K9" s="8"/>
      <c r="V9" s="8"/>
    </row>
    <row r="10" spans="1:22">
      <c r="K10" s="8"/>
      <c r="V10" s="8"/>
    </row>
    <row r="11" spans="1:22">
      <c r="K11" s="8"/>
      <c r="V11" s="8"/>
    </row>
    <row r="12" spans="1:22">
      <c r="K12" s="8"/>
      <c r="V12" s="8"/>
    </row>
    <row r="13" spans="1:22">
      <c r="K13" s="8"/>
      <c r="V13" s="8"/>
    </row>
    <row r="14" spans="1:22">
      <c r="K14" s="8"/>
      <c r="V14" s="8"/>
    </row>
    <row r="15" spans="1:22">
      <c r="K15" s="8"/>
      <c r="V15" s="8"/>
    </row>
    <row r="16" spans="1:22">
      <c r="K16" s="8"/>
      <c r="V16" s="8"/>
    </row>
    <row r="17" spans="11:22">
      <c r="K17" s="8"/>
      <c r="V17" s="8"/>
    </row>
    <row r="18" spans="11:22">
      <c r="K18" s="8"/>
      <c r="V18" s="8"/>
    </row>
    <row r="19" spans="11:22">
      <c r="K19" s="8"/>
      <c r="V19" s="8"/>
    </row>
    <row r="20" spans="11:22">
      <c r="K20" s="8"/>
      <c r="V20" s="8"/>
    </row>
    <row r="21" spans="11:22">
      <c r="K21" s="8"/>
      <c r="V21" s="8"/>
    </row>
    <row r="22" spans="11:22">
      <c r="K22" s="8"/>
      <c r="V22" s="8"/>
    </row>
    <row r="23" spans="11:22">
      <c r="K23" s="8"/>
      <c r="V23" s="8"/>
    </row>
    <row r="24" spans="11:22">
      <c r="K24" s="8"/>
      <c r="V24" s="8"/>
    </row>
    <row r="25" spans="11:22">
      <c r="K25" s="8"/>
      <c r="V25" s="8"/>
    </row>
    <row r="26" spans="11:22">
      <c r="K26" s="8"/>
      <c r="V26" s="8"/>
    </row>
    <row r="27" spans="11:22">
      <c r="K27" s="8"/>
      <c r="V27" s="8"/>
    </row>
    <row r="28" spans="11:22">
      <c r="K28" s="8"/>
      <c r="V28" s="8"/>
    </row>
    <row r="29" spans="11:22">
      <c r="K29" s="8"/>
      <c r="V29" s="8"/>
    </row>
    <row r="30" spans="11:22">
      <c r="K30" s="8"/>
      <c r="V30" s="8"/>
    </row>
    <row r="31" spans="11:22">
      <c r="K31" s="8"/>
      <c r="V31" s="8"/>
    </row>
    <row r="32" spans="11:22">
      <c r="K32" s="8"/>
      <c r="V32" s="8"/>
    </row>
    <row r="33" spans="11:22">
      <c r="K33" s="8"/>
      <c r="V33" s="8"/>
    </row>
    <row r="34" spans="11:22">
      <c r="K34" s="8"/>
      <c r="V34" s="8"/>
    </row>
    <row r="35" spans="11:22">
      <c r="K35" s="8"/>
      <c r="V35" s="8"/>
    </row>
    <row r="36" spans="11:22">
      <c r="K36" s="8"/>
      <c r="V36" s="8"/>
    </row>
    <row r="37" spans="11:22">
      <c r="K37" s="8"/>
      <c r="V37" s="8"/>
    </row>
    <row r="38" spans="11:22">
      <c r="K38" s="8"/>
      <c r="V38" s="8"/>
    </row>
    <row r="39" spans="11:22">
      <c r="K39" s="8"/>
      <c r="V39" s="8"/>
    </row>
    <row r="40" spans="11:22">
      <c r="K40" s="8"/>
      <c r="V40" s="8"/>
    </row>
    <row r="41" spans="11:22">
      <c r="K41" s="8"/>
      <c r="V41" s="8"/>
    </row>
    <row r="42" spans="11:22">
      <c r="K42" s="8"/>
      <c r="V42" s="8"/>
    </row>
    <row r="43" spans="11:22">
      <c r="K43" s="8"/>
      <c r="V43" s="8"/>
    </row>
    <row r="44" spans="11:22">
      <c r="K44" s="8"/>
      <c r="V44" s="8"/>
    </row>
    <row r="45" spans="11:22">
      <c r="K45" s="8"/>
      <c r="V45" s="8"/>
    </row>
    <row r="46" spans="11:22">
      <c r="K46" s="8"/>
      <c r="V46" s="8"/>
    </row>
    <row r="47" spans="11:22">
      <c r="K47" s="8"/>
      <c r="V47" s="8"/>
    </row>
    <row r="48" spans="11:22">
      <c r="K48" s="8"/>
      <c r="V48" s="8"/>
    </row>
    <row r="49" spans="11:22">
      <c r="K49" s="8"/>
      <c r="V49" s="8"/>
    </row>
    <row r="50" spans="11:22">
      <c r="K50" s="8"/>
      <c r="V50" s="8"/>
    </row>
    <row r="51" spans="11:22">
      <c r="K51" s="8"/>
      <c r="V51" s="8"/>
    </row>
    <row r="52" spans="11:22">
      <c r="K52" s="8"/>
      <c r="V52" s="8"/>
    </row>
    <row r="53" spans="11:22">
      <c r="K53" s="8"/>
      <c r="V53" s="8"/>
    </row>
    <row r="54" spans="11:22">
      <c r="K54" s="8"/>
      <c r="V54" s="8"/>
    </row>
    <row r="55" spans="11:22">
      <c r="K55" s="8"/>
      <c r="V55" s="8"/>
    </row>
    <row r="56" spans="11:22">
      <c r="K56" s="8"/>
      <c r="V56" s="8"/>
    </row>
    <row r="57" spans="11:22">
      <c r="K57" s="8"/>
      <c r="V57" s="8"/>
    </row>
    <row r="58" spans="11:22">
      <c r="K58" s="8"/>
      <c r="V58" s="8"/>
    </row>
    <row r="59" spans="11:22">
      <c r="K59" s="8"/>
      <c r="V59" s="8"/>
    </row>
    <row r="60" spans="11:22">
      <c r="K60" s="8"/>
      <c r="V60" s="8"/>
    </row>
    <row r="61" spans="11:22">
      <c r="K61" s="8"/>
      <c r="V61" s="8"/>
    </row>
    <row r="62" spans="11:22">
      <c r="K62" s="8"/>
      <c r="V62" s="8"/>
    </row>
    <row r="63" spans="11:22">
      <c r="K63" s="8"/>
      <c r="V63" s="8"/>
    </row>
    <row r="64" spans="11:22">
      <c r="K64" s="8"/>
      <c r="V64" s="8"/>
    </row>
    <row r="65" spans="11:22">
      <c r="K65" s="8"/>
      <c r="V65" s="8"/>
    </row>
    <row r="66" spans="11:22">
      <c r="K66" s="8"/>
      <c r="V66" s="8"/>
    </row>
    <row r="67" spans="11:22">
      <c r="K67" s="8"/>
      <c r="V67" s="8"/>
    </row>
    <row r="68" spans="11:22">
      <c r="K68" s="8"/>
      <c r="V68" s="8"/>
    </row>
    <row r="69" spans="11:22">
      <c r="K69" s="8"/>
      <c r="V69" s="8"/>
    </row>
    <row r="70" spans="11:22">
      <c r="K70" s="8"/>
      <c r="V70" s="8"/>
    </row>
    <row r="71" spans="11:22">
      <c r="K71" s="8"/>
      <c r="V71" s="8"/>
    </row>
  </sheetData>
  <pageMargins left="0.7" right="0.7" top="0.75" bottom="0.75" header="0.3" footer="0.3"/>
  <pageSetup orientation="portrait" r:id="rId1"/>
  <customProperties>
    <customPr name="_pios_id" r:id="rId2"/>
  </customProperties>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5" tint="-0.249977111117893"/>
  </sheetPr>
  <dimension ref="A1:J10901"/>
  <sheetViews>
    <sheetView zoomScale="90" zoomScaleNormal="90" workbookViewId="0">
      <selection activeCell="A9" sqref="A9"/>
    </sheetView>
  </sheetViews>
  <sheetFormatPr defaultRowHeight="15"/>
  <cols>
    <col min="1" max="1" width="10.85546875" style="8" bestFit="1" customWidth="1"/>
    <col min="2" max="2" width="33.42578125" bestFit="1" customWidth="1"/>
    <col min="3" max="3" width="27.5703125" bestFit="1" customWidth="1"/>
    <col min="4" max="4" width="22.85546875" bestFit="1" customWidth="1"/>
    <col min="5" max="5" width="25.5703125" bestFit="1" customWidth="1"/>
    <col min="6" max="7" width="23.7109375" bestFit="1" customWidth="1"/>
    <col min="8" max="8" width="10.85546875" bestFit="1" customWidth="1"/>
    <col min="9" max="9" width="10.7109375" bestFit="1" customWidth="1"/>
    <col min="10" max="10" width="12.7109375" bestFit="1" customWidth="1"/>
  </cols>
  <sheetData>
    <row r="1" spans="1:10">
      <c r="G1" s="76"/>
      <c r="H1" s="76">
        <f>SUBTOTAL(9,Weekly_Vol[Quantity])</f>
        <v>3260939</v>
      </c>
      <c r="I1" s="77">
        <f>H1/50000</f>
        <v>65.218779999999995</v>
      </c>
      <c r="J1" s="77">
        <f>H1/50000</f>
        <v>65.218779999999995</v>
      </c>
    </row>
    <row r="2" spans="1:10">
      <c r="A2" s="8" t="s">
        <v>474</v>
      </c>
      <c r="B2" t="s">
        <v>468</v>
      </c>
      <c r="C2" t="s">
        <v>469</v>
      </c>
      <c r="D2" t="s">
        <v>470</v>
      </c>
      <c r="E2" t="s">
        <v>471</v>
      </c>
      <c r="F2" t="s">
        <v>472</v>
      </c>
      <c r="G2" t="s">
        <v>475</v>
      </c>
      <c r="H2" t="s">
        <v>476</v>
      </c>
    </row>
    <row r="3" spans="1:10">
      <c r="A3" s="8">
        <v>45810</v>
      </c>
      <c r="B3" t="s">
        <v>437</v>
      </c>
      <c r="C3" t="s">
        <v>181</v>
      </c>
      <c r="D3" t="s">
        <v>191</v>
      </c>
      <c r="E3" t="s">
        <v>44</v>
      </c>
      <c r="F3" t="s">
        <v>85</v>
      </c>
      <c r="H3">
        <v>12500</v>
      </c>
      <c r="I3" s="14"/>
      <c r="J3" s="14"/>
    </row>
    <row r="4" spans="1:10">
      <c r="A4">
        <v>45810</v>
      </c>
      <c r="B4" t="s">
        <v>437</v>
      </c>
      <c r="C4" t="s">
        <v>181</v>
      </c>
      <c r="D4" t="s">
        <v>191</v>
      </c>
      <c r="E4" t="s">
        <v>44</v>
      </c>
      <c r="F4" t="s">
        <v>84</v>
      </c>
      <c r="H4">
        <v>5500</v>
      </c>
      <c r="I4" s="14"/>
      <c r="J4" s="14"/>
    </row>
    <row r="5" spans="1:10">
      <c r="A5">
        <v>45810</v>
      </c>
      <c r="B5" t="s">
        <v>437</v>
      </c>
      <c r="C5" t="s">
        <v>181</v>
      </c>
      <c r="D5" t="s">
        <v>191</v>
      </c>
      <c r="E5" t="s">
        <v>44</v>
      </c>
      <c r="F5" t="s">
        <v>83</v>
      </c>
      <c r="H5">
        <v>11000</v>
      </c>
      <c r="I5" s="14"/>
      <c r="J5" s="14"/>
    </row>
    <row r="6" spans="1:10">
      <c r="A6">
        <v>45810</v>
      </c>
      <c r="B6" t="s">
        <v>437</v>
      </c>
      <c r="C6" t="s">
        <v>181</v>
      </c>
      <c r="D6" t="s">
        <v>191</v>
      </c>
      <c r="E6" t="s">
        <v>263</v>
      </c>
      <c r="F6" t="s">
        <v>186</v>
      </c>
      <c r="H6">
        <v>175000</v>
      </c>
      <c r="I6" s="14"/>
      <c r="J6" s="14"/>
    </row>
    <row r="7" spans="1:10">
      <c r="A7">
        <v>45810</v>
      </c>
      <c r="B7" t="s">
        <v>437</v>
      </c>
      <c r="C7" t="s">
        <v>181</v>
      </c>
      <c r="D7" t="s">
        <v>191</v>
      </c>
      <c r="E7" t="s">
        <v>263</v>
      </c>
      <c r="F7" t="s">
        <v>184</v>
      </c>
      <c r="H7">
        <v>65500</v>
      </c>
      <c r="I7" s="14"/>
      <c r="J7" s="14"/>
    </row>
    <row r="8" spans="1:10">
      <c r="A8">
        <v>45810</v>
      </c>
      <c r="B8" t="s">
        <v>437</v>
      </c>
      <c r="C8" t="s">
        <v>181</v>
      </c>
      <c r="D8" t="s">
        <v>191</v>
      </c>
      <c r="E8" t="s">
        <v>263</v>
      </c>
      <c r="F8" t="s">
        <v>187</v>
      </c>
      <c r="H8">
        <v>32500</v>
      </c>
      <c r="I8" s="14"/>
      <c r="J8" s="14"/>
    </row>
    <row r="9" spans="1:10">
      <c r="A9">
        <v>45810</v>
      </c>
      <c r="B9" t="s">
        <v>437</v>
      </c>
      <c r="C9" t="s">
        <v>181</v>
      </c>
      <c r="D9" t="s">
        <v>191</v>
      </c>
      <c r="E9" t="s">
        <v>45</v>
      </c>
      <c r="F9" t="s">
        <v>88</v>
      </c>
      <c r="H9">
        <v>5000</v>
      </c>
      <c r="I9" s="14"/>
      <c r="J9" s="14"/>
    </row>
    <row r="10" spans="1:10">
      <c r="A10">
        <v>45810</v>
      </c>
      <c r="B10" t="s">
        <v>437</v>
      </c>
      <c r="C10" t="s">
        <v>181</v>
      </c>
      <c r="D10" t="s">
        <v>191</v>
      </c>
      <c r="E10" t="s">
        <v>264</v>
      </c>
      <c r="F10" t="s">
        <v>188</v>
      </c>
      <c r="H10">
        <v>75000</v>
      </c>
      <c r="I10" s="14"/>
      <c r="J10" s="14"/>
    </row>
    <row r="11" spans="1:10">
      <c r="A11">
        <v>45810</v>
      </c>
      <c r="B11" t="s">
        <v>437</v>
      </c>
      <c r="C11" t="s">
        <v>181</v>
      </c>
      <c r="D11" t="s">
        <v>191</v>
      </c>
      <c r="E11" t="s">
        <v>46</v>
      </c>
      <c r="F11" t="s">
        <v>94</v>
      </c>
      <c r="H11">
        <v>35500</v>
      </c>
      <c r="I11" s="14"/>
      <c r="J11" s="14"/>
    </row>
    <row r="12" spans="1:10">
      <c r="A12">
        <v>45810</v>
      </c>
      <c r="B12" t="s">
        <v>437</v>
      </c>
      <c r="C12" t="s">
        <v>181</v>
      </c>
      <c r="D12" t="s">
        <v>191</v>
      </c>
      <c r="E12" t="s">
        <v>264</v>
      </c>
      <c r="F12" t="s">
        <v>189</v>
      </c>
      <c r="H12">
        <v>15500</v>
      </c>
      <c r="I12" s="14"/>
      <c r="J12" s="14"/>
    </row>
    <row r="13" spans="1:10">
      <c r="A13">
        <v>45810</v>
      </c>
      <c r="B13" t="s">
        <v>437</v>
      </c>
      <c r="C13" t="s">
        <v>181</v>
      </c>
      <c r="D13" t="s">
        <v>191</v>
      </c>
      <c r="E13" t="s">
        <v>46</v>
      </c>
      <c r="F13" t="s">
        <v>92</v>
      </c>
      <c r="H13">
        <v>51000</v>
      </c>
      <c r="I13" s="14"/>
      <c r="J13" s="14"/>
    </row>
    <row r="14" spans="1:10">
      <c r="A14">
        <v>45810</v>
      </c>
      <c r="B14" t="s">
        <v>437</v>
      </c>
      <c r="C14" t="s">
        <v>181</v>
      </c>
      <c r="D14" t="s">
        <v>191</v>
      </c>
      <c r="E14" t="s">
        <v>46</v>
      </c>
      <c r="F14" t="s">
        <v>93</v>
      </c>
      <c r="H14">
        <v>31500</v>
      </c>
      <c r="I14" s="14"/>
      <c r="J14" s="14"/>
    </row>
    <row r="15" spans="1:10">
      <c r="A15">
        <v>45810</v>
      </c>
      <c r="B15" t="s">
        <v>435</v>
      </c>
      <c r="C15" t="s">
        <v>181</v>
      </c>
      <c r="D15" t="s">
        <v>133</v>
      </c>
      <c r="E15" t="s">
        <v>263</v>
      </c>
      <c r="F15" t="s">
        <v>186</v>
      </c>
      <c r="H15">
        <v>500</v>
      </c>
      <c r="I15" s="14"/>
      <c r="J15" s="14"/>
    </row>
    <row r="16" spans="1:10">
      <c r="A16">
        <v>45810</v>
      </c>
      <c r="B16" t="s">
        <v>435</v>
      </c>
      <c r="C16" t="s">
        <v>181</v>
      </c>
      <c r="D16" t="s">
        <v>133</v>
      </c>
      <c r="E16" t="s">
        <v>263</v>
      </c>
      <c r="F16" t="s">
        <v>184</v>
      </c>
      <c r="H16">
        <v>500</v>
      </c>
      <c r="I16" s="14"/>
      <c r="J16" s="14"/>
    </row>
    <row r="17" spans="1:10">
      <c r="A17">
        <v>45810</v>
      </c>
      <c r="B17" t="s">
        <v>436</v>
      </c>
      <c r="C17" t="s">
        <v>181</v>
      </c>
      <c r="D17" t="s">
        <v>135</v>
      </c>
      <c r="E17" t="s">
        <v>263</v>
      </c>
      <c r="F17" t="s">
        <v>186</v>
      </c>
      <c r="H17">
        <v>200</v>
      </c>
      <c r="I17" s="14"/>
      <c r="J17" s="14"/>
    </row>
    <row r="18" spans="1:10">
      <c r="A18">
        <v>45810</v>
      </c>
      <c r="B18" t="s">
        <v>438</v>
      </c>
      <c r="C18" t="s">
        <v>181</v>
      </c>
      <c r="D18" t="s">
        <v>130</v>
      </c>
      <c r="E18" t="s">
        <v>263</v>
      </c>
      <c r="F18" t="s">
        <v>187</v>
      </c>
      <c r="H18">
        <v>1500</v>
      </c>
      <c r="I18" s="14"/>
      <c r="J18" s="14"/>
    </row>
    <row r="19" spans="1:10">
      <c r="A19">
        <v>45810</v>
      </c>
      <c r="B19" t="s">
        <v>441</v>
      </c>
      <c r="C19" t="s">
        <v>181</v>
      </c>
      <c r="D19" t="s">
        <v>135</v>
      </c>
      <c r="E19" t="s">
        <v>44</v>
      </c>
      <c r="F19" t="s">
        <v>83</v>
      </c>
      <c r="H19">
        <v>40</v>
      </c>
      <c r="I19" s="14"/>
      <c r="J19" s="14"/>
    </row>
    <row r="20" spans="1:10">
      <c r="A20">
        <v>45810</v>
      </c>
      <c r="B20" t="s">
        <v>441</v>
      </c>
      <c r="C20" t="s">
        <v>181</v>
      </c>
      <c r="D20" t="s">
        <v>135</v>
      </c>
      <c r="E20" t="s">
        <v>44</v>
      </c>
      <c r="F20" t="s">
        <v>85</v>
      </c>
      <c r="H20">
        <v>170</v>
      </c>
      <c r="I20" s="14"/>
      <c r="J20" s="14"/>
    </row>
    <row r="21" spans="1:10">
      <c r="A21">
        <v>45810</v>
      </c>
      <c r="B21" t="s">
        <v>441</v>
      </c>
      <c r="C21" t="s">
        <v>181</v>
      </c>
      <c r="D21" t="s">
        <v>135</v>
      </c>
      <c r="E21" t="s">
        <v>44</v>
      </c>
      <c r="F21" t="s">
        <v>84</v>
      </c>
      <c r="H21">
        <v>30</v>
      </c>
      <c r="I21" s="14"/>
      <c r="J21" s="14"/>
    </row>
    <row r="22" spans="1:10">
      <c r="A22">
        <v>45810</v>
      </c>
      <c r="B22" t="s">
        <v>441</v>
      </c>
      <c r="C22" t="s">
        <v>181</v>
      </c>
      <c r="D22" t="s">
        <v>135</v>
      </c>
      <c r="E22" t="s">
        <v>45</v>
      </c>
      <c r="F22" t="s">
        <v>88</v>
      </c>
      <c r="H22">
        <v>80</v>
      </c>
      <c r="I22" s="14"/>
      <c r="J22" s="14"/>
    </row>
    <row r="23" spans="1:10">
      <c r="A23">
        <v>45810</v>
      </c>
      <c r="B23" t="s">
        <v>441</v>
      </c>
      <c r="C23" t="s">
        <v>181</v>
      </c>
      <c r="D23" t="s">
        <v>135</v>
      </c>
      <c r="E23" t="s">
        <v>46</v>
      </c>
      <c r="F23" t="s">
        <v>92</v>
      </c>
      <c r="H23">
        <v>90</v>
      </c>
      <c r="I23" s="14"/>
      <c r="J23" s="14"/>
    </row>
    <row r="24" spans="1:10">
      <c r="A24">
        <v>45810</v>
      </c>
      <c r="B24" t="s">
        <v>441</v>
      </c>
      <c r="C24" t="s">
        <v>181</v>
      </c>
      <c r="D24" t="s">
        <v>135</v>
      </c>
      <c r="E24" t="s">
        <v>46</v>
      </c>
      <c r="F24" t="s">
        <v>93</v>
      </c>
      <c r="H24">
        <v>50</v>
      </c>
      <c r="I24" s="14"/>
      <c r="J24" s="14"/>
    </row>
    <row r="25" spans="1:10">
      <c r="A25">
        <v>45810</v>
      </c>
      <c r="B25" t="s">
        <v>441</v>
      </c>
      <c r="C25" t="s">
        <v>181</v>
      </c>
      <c r="D25" t="s">
        <v>135</v>
      </c>
      <c r="E25" t="s">
        <v>263</v>
      </c>
      <c r="F25" t="s">
        <v>186</v>
      </c>
      <c r="H25">
        <v>380</v>
      </c>
      <c r="I25" s="14"/>
      <c r="J25" s="14"/>
    </row>
    <row r="26" spans="1:10">
      <c r="A26">
        <v>45810</v>
      </c>
      <c r="B26" t="s">
        <v>441</v>
      </c>
      <c r="C26" t="s">
        <v>181</v>
      </c>
      <c r="D26" t="s">
        <v>135</v>
      </c>
      <c r="E26" t="s">
        <v>263</v>
      </c>
      <c r="F26" t="s">
        <v>184</v>
      </c>
      <c r="H26">
        <v>470</v>
      </c>
      <c r="I26" s="14"/>
      <c r="J26" s="14"/>
    </row>
    <row r="27" spans="1:10">
      <c r="A27">
        <v>45810</v>
      </c>
      <c r="B27" t="s">
        <v>441</v>
      </c>
      <c r="C27" t="s">
        <v>181</v>
      </c>
      <c r="D27" t="s">
        <v>135</v>
      </c>
      <c r="E27" t="s">
        <v>264</v>
      </c>
      <c r="F27" t="s">
        <v>188</v>
      </c>
      <c r="H27">
        <v>50</v>
      </c>
      <c r="I27" s="14"/>
      <c r="J27" s="14"/>
    </row>
    <row r="28" spans="1:10">
      <c r="A28">
        <v>45810</v>
      </c>
      <c r="B28" t="s">
        <v>440</v>
      </c>
      <c r="C28" t="s">
        <v>181</v>
      </c>
      <c r="D28" t="s">
        <v>274</v>
      </c>
      <c r="E28" t="s">
        <v>263</v>
      </c>
      <c r="F28" t="s">
        <v>186</v>
      </c>
      <c r="H28">
        <v>7000</v>
      </c>
      <c r="I28" s="14"/>
      <c r="J28" s="14"/>
    </row>
    <row r="29" spans="1:10">
      <c r="A29">
        <v>45810</v>
      </c>
      <c r="B29" t="s">
        <v>440</v>
      </c>
      <c r="C29" t="s">
        <v>181</v>
      </c>
      <c r="D29" t="s">
        <v>274</v>
      </c>
      <c r="E29" t="s">
        <v>263</v>
      </c>
      <c r="F29" t="s">
        <v>184</v>
      </c>
      <c r="H29">
        <v>3000</v>
      </c>
      <c r="I29" s="14"/>
      <c r="J29" s="14"/>
    </row>
    <row r="30" spans="1:10">
      <c r="A30">
        <v>45810</v>
      </c>
      <c r="B30" t="s">
        <v>457</v>
      </c>
      <c r="C30" t="s">
        <v>181</v>
      </c>
      <c r="D30" t="s">
        <v>135</v>
      </c>
      <c r="E30" t="s">
        <v>46</v>
      </c>
      <c r="F30" t="s">
        <v>93</v>
      </c>
      <c r="H30">
        <v>60</v>
      </c>
      <c r="I30" s="14"/>
      <c r="J30" s="14"/>
    </row>
    <row r="31" spans="1:10">
      <c r="A31">
        <v>45810</v>
      </c>
      <c r="B31" t="s">
        <v>457</v>
      </c>
      <c r="C31" t="s">
        <v>181</v>
      </c>
      <c r="D31" t="s">
        <v>135</v>
      </c>
      <c r="E31" t="s">
        <v>263</v>
      </c>
      <c r="F31" t="s">
        <v>184</v>
      </c>
      <c r="H31">
        <v>320</v>
      </c>
      <c r="I31" s="14"/>
      <c r="J31" s="14"/>
    </row>
    <row r="32" spans="1:10">
      <c r="A32">
        <v>45810</v>
      </c>
      <c r="B32" t="s">
        <v>457</v>
      </c>
      <c r="C32" t="s">
        <v>181</v>
      </c>
      <c r="D32" t="s">
        <v>135</v>
      </c>
      <c r="E32" t="s">
        <v>263</v>
      </c>
      <c r="F32" t="s">
        <v>186</v>
      </c>
      <c r="H32">
        <v>480</v>
      </c>
      <c r="I32" s="14"/>
      <c r="J32" s="14"/>
    </row>
    <row r="33" spans="1:10">
      <c r="A33">
        <v>45810</v>
      </c>
      <c r="B33" t="s">
        <v>457</v>
      </c>
      <c r="C33" t="s">
        <v>181</v>
      </c>
      <c r="D33" t="s">
        <v>135</v>
      </c>
      <c r="E33" t="s">
        <v>264</v>
      </c>
      <c r="F33" t="s">
        <v>188</v>
      </c>
      <c r="H33">
        <v>120</v>
      </c>
      <c r="I33" s="14"/>
      <c r="J33" s="14"/>
    </row>
    <row r="34" spans="1:10">
      <c r="A34">
        <v>45810</v>
      </c>
      <c r="B34" t="s">
        <v>457</v>
      </c>
      <c r="C34" t="s">
        <v>181</v>
      </c>
      <c r="D34" t="s">
        <v>135</v>
      </c>
      <c r="E34" t="s">
        <v>46</v>
      </c>
      <c r="F34" t="s">
        <v>92</v>
      </c>
      <c r="H34">
        <v>190</v>
      </c>
      <c r="I34" s="14"/>
      <c r="J34" s="14"/>
    </row>
    <row r="35" spans="1:10">
      <c r="A35">
        <v>45810</v>
      </c>
      <c r="B35" t="s">
        <v>457</v>
      </c>
      <c r="C35" t="s">
        <v>181</v>
      </c>
      <c r="D35" t="s">
        <v>135</v>
      </c>
      <c r="E35" t="s">
        <v>44</v>
      </c>
      <c r="F35" t="s">
        <v>85</v>
      </c>
      <c r="H35">
        <v>210</v>
      </c>
      <c r="I35" s="14"/>
      <c r="J35" s="14"/>
    </row>
    <row r="36" spans="1:10">
      <c r="A36">
        <v>45810</v>
      </c>
      <c r="B36" t="s">
        <v>457</v>
      </c>
      <c r="C36" t="s">
        <v>181</v>
      </c>
      <c r="D36" t="s">
        <v>135</v>
      </c>
      <c r="E36" t="s">
        <v>44</v>
      </c>
      <c r="F36" t="s">
        <v>84</v>
      </c>
      <c r="H36">
        <v>30</v>
      </c>
      <c r="I36" s="14"/>
      <c r="J36" s="14"/>
    </row>
    <row r="37" spans="1:10">
      <c r="A37">
        <v>45810</v>
      </c>
      <c r="B37" t="s">
        <v>457</v>
      </c>
      <c r="C37" t="s">
        <v>181</v>
      </c>
      <c r="D37" t="s">
        <v>135</v>
      </c>
      <c r="E37" t="s">
        <v>44</v>
      </c>
      <c r="F37" t="s">
        <v>83</v>
      </c>
      <c r="H37">
        <v>70</v>
      </c>
      <c r="I37" s="14"/>
      <c r="J37" s="14"/>
    </row>
    <row r="38" spans="1:10">
      <c r="A38">
        <v>45810</v>
      </c>
      <c r="B38" t="s">
        <v>457</v>
      </c>
      <c r="C38" t="s">
        <v>181</v>
      </c>
      <c r="D38" t="s">
        <v>135</v>
      </c>
      <c r="E38" t="s">
        <v>45</v>
      </c>
      <c r="F38" t="s">
        <v>88</v>
      </c>
      <c r="H38">
        <v>30</v>
      </c>
      <c r="I38" s="14"/>
      <c r="J38" s="14"/>
    </row>
    <row r="39" spans="1:10">
      <c r="A39">
        <v>45810</v>
      </c>
      <c r="B39" t="s">
        <v>457</v>
      </c>
      <c r="C39" t="s">
        <v>181</v>
      </c>
      <c r="D39" t="s">
        <v>135</v>
      </c>
      <c r="E39" t="s">
        <v>46</v>
      </c>
      <c r="F39" t="s">
        <v>94</v>
      </c>
      <c r="H39">
        <v>60</v>
      </c>
      <c r="I39" s="14"/>
      <c r="J39" s="14"/>
    </row>
    <row r="40" spans="1:10">
      <c r="A40">
        <v>45810</v>
      </c>
      <c r="B40" t="s">
        <v>457</v>
      </c>
      <c r="C40" t="s">
        <v>181</v>
      </c>
      <c r="D40" t="s">
        <v>135</v>
      </c>
      <c r="E40" t="s">
        <v>263</v>
      </c>
      <c r="F40" t="s">
        <v>187</v>
      </c>
      <c r="H40">
        <v>100</v>
      </c>
      <c r="I40" s="14"/>
      <c r="J40" s="14"/>
    </row>
    <row r="41" spans="1:10">
      <c r="A41">
        <v>45810</v>
      </c>
      <c r="B41" t="s">
        <v>440</v>
      </c>
      <c r="C41" t="s">
        <v>181</v>
      </c>
      <c r="D41" t="s">
        <v>274</v>
      </c>
      <c r="E41" t="s">
        <v>46</v>
      </c>
      <c r="F41" t="s">
        <v>94</v>
      </c>
      <c r="H41">
        <v>500</v>
      </c>
      <c r="I41" s="14"/>
      <c r="J41" s="14"/>
    </row>
    <row r="42" spans="1:10">
      <c r="A42">
        <v>45810</v>
      </c>
      <c r="B42" t="s">
        <v>440</v>
      </c>
      <c r="C42" t="s">
        <v>181</v>
      </c>
      <c r="D42" t="s">
        <v>274</v>
      </c>
      <c r="E42" t="s">
        <v>46</v>
      </c>
      <c r="F42" t="s">
        <v>92</v>
      </c>
      <c r="H42">
        <v>2000</v>
      </c>
      <c r="I42" s="14"/>
      <c r="J42" s="14"/>
    </row>
    <row r="43" spans="1:10">
      <c r="A43">
        <v>45810</v>
      </c>
      <c r="B43" t="s">
        <v>440</v>
      </c>
      <c r="C43" t="s">
        <v>181</v>
      </c>
      <c r="D43" t="s">
        <v>274</v>
      </c>
      <c r="E43" t="s">
        <v>46</v>
      </c>
      <c r="F43" t="s">
        <v>93</v>
      </c>
      <c r="H43">
        <v>500</v>
      </c>
      <c r="I43" s="14"/>
      <c r="J43" s="14"/>
    </row>
    <row r="44" spans="1:10">
      <c r="A44">
        <v>45810</v>
      </c>
      <c r="B44" t="s">
        <v>440</v>
      </c>
      <c r="C44" t="s">
        <v>181</v>
      </c>
      <c r="D44" t="s">
        <v>274</v>
      </c>
      <c r="E44" t="s">
        <v>263</v>
      </c>
      <c r="F44" t="s">
        <v>187</v>
      </c>
      <c r="H44">
        <v>2000</v>
      </c>
      <c r="I44" s="14"/>
      <c r="J44" s="14"/>
    </row>
    <row r="45" spans="1:10">
      <c r="A45">
        <v>45810</v>
      </c>
      <c r="B45" t="s">
        <v>440</v>
      </c>
      <c r="C45" t="s">
        <v>181</v>
      </c>
      <c r="D45" t="s">
        <v>274</v>
      </c>
      <c r="E45" t="s">
        <v>264</v>
      </c>
      <c r="F45" t="s">
        <v>188</v>
      </c>
      <c r="H45">
        <v>4000</v>
      </c>
      <c r="I45" s="14"/>
      <c r="J45" s="14"/>
    </row>
    <row r="46" spans="1:10">
      <c r="A46">
        <v>45810</v>
      </c>
      <c r="B46" t="s">
        <v>450</v>
      </c>
      <c r="C46" t="s">
        <v>443</v>
      </c>
      <c r="D46" t="s">
        <v>228</v>
      </c>
      <c r="E46" t="s">
        <v>44</v>
      </c>
      <c r="F46" t="s">
        <v>85</v>
      </c>
      <c r="H46">
        <v>10</v>
      </c>
      <c r="I46" s="14"/>
      <c r="J46" s="14"/>
    </row>
    <row r="47" spans="1:10">
      <c r="A47">
        <v>45810</v>
      </c>
      <c r="B47" t="s">
        <v>450</v>
      </c>
      <c r="C47" t="s">
        <v>443</v>
      </c>
      <c r="D47" t="s">
        <v>228</v>
      </c>
      <c r="E47" t="s">
        <v>44</v>
      </c>
      <c r="F47" t="s">
        <v>84</v>
      </c>
      <c r="H47">
        <v>20</v>
      </c>
      <c r="I47" s="14"/>
      <c r="J47" s="14"/>
    </row>
    <row r="48" spans="1:10">
      <c r="A48">
        <v>45810</v>
      </c>
      <c r="B48" t="s">
        <v>450</v>
      </c>
      <c r="C48" t="s">
        <v>443</v>
      </c>
      <c r="D48" t="s">
        <v>228</v>
      </c>
      <c r="E48" t="s">
        <v>46</v>
      </c>
      <c r="F48" t="s">
        <v>94</v>
      </c>
      <c r="H48">
        <v>2000</v>
      </c>
      <c r="I48" s="14"/>
      <c r="J48" s="14"/>
    </row>
    <row r="49" spans="1:10">
      <c r="A49">
        <v>45810</v>
      </c>
      <c r="B49" t="s">
        <v>450</v>
      </c>
      <c r="C49" t="s">
        <v>443</v>
      </c>
      <c r="D49" t="s">
        <v>228</v>
      </c>
      <c r="E49" t="s">
        <v>46</v>
      </c>
      <c r="F49" t="s">
        <v>92</v>
      </c>
      <c r="H49">
        <v>1000</v>
      </c>
      <c r="I49" s="14"/>
      <c r="J49" s="14"/>
    </row>
    <row r="50" spans="1:10">
      <c r="A50">
        <v>45810</v>
      </c>
      <c r="B50" t="s">
        <v>450</v>
      </c>
      <c r="C50" t="s">
        <v>443</v>
      </c>
      <c r="D50" t="s">
        <v>228</v>
      </c>
      <c r="E50" t="s">
        <v>46</v>
      </c>
      <c r="F50" t="s">
        <v>93</v>
      </c>
      <c r="H50">
        <v>2000</v>
      </c>
      <c r="I50" s="14"/>
      <c r="J50" s="14"/>
    </row>
    <row r="51" spans="1:10">
      <c r="A51">
        <v>45810</v>
      </c>
      <c r="B51" t="s">
        <v>450</v>
      </c>
      <c r="C51" t="s">
        <v>443</v>
      </c>
      <c r="D51" t="s">
        <v>228</v>
      </c>
      <c r="E51" t="s">
        <v>263</v>
      </c>
      <c r="F51" t="s">
        <v>186</v>
      </c>
      <c r="H51">
        <v>6000</v>
      </c>
      <c r="I51" s="14"/>
      <c r="J51" s="14"/>
    </row>
    <row r="52" spans="1:10">
      <c r="A52">
        <v>45810</v>
      </c>
      <c r="B52" t="s">
        <v>450</v>
      </c>
      <c r="C52" t="s">
        <v>443</v>
      </c>
      <c r="D52" t="s">
        <v>228</v>
      </c>
      <c r="E52" t="s">
        <v>263</v>
      </c>
      <c r="F52" t="s">
        <v>184</v>
      </c>
      <c r="H52">
        <v>1000</v>
      </c>
      <c r="I52" s="14"/>
      <c r="J52" s="14"/>
    </row>
    <row r="53" spans="1:10">
      <c r="A53">
        <v>45810</v>
      </c>
      <c r="B53" t="s">
        <v>450</v>
      </c>
      <c r="C53" t="s">
        <v>443</v>
      </c>
      <c r="D53" t="s">
        <v>228</v>
      </c>
      <c r="E53" t="s">
        <v>263</v>
      </c>
      <c r="F53" t="s">
        <v>187</v>
      </c>
      <c r="H53">
        <v>1500</v>
      </c>
      <c r="I53" s="14"/>
      <c r="J53" s="14"/>
    </row>
    <row r="54" spans="1:10">
      <c r="A54">
        <v>45810</v>
      </c>
      <c r="B54" t="s">
        <v>450</v>
      </c>
      <c r="C54" t="s">
        <v>443</v>
      </c>
      <c r="D54" t="s">
        <v>228</v>
      </c>
      <c r="E54" t="s">
        <v>264</v>
      </c>
      <c r="F54" t="s">
        <v>188</v>
      </c>
      <c r="H54">
        <v>5500</v>
      </c>
      <c r="I54" s="14"/>
      <c r="J54" s="14"/>
    </row>
    <row r="55" spans="1:10">
      <c r="A55">
        <v>45810</v>
      </c>
      <c r="B55" t="s">
        <v>450</v>
      </c>
      <c r="C55" t="s">
        <v>443</v>
      </c>
      <c r="D55" t="s">
        <v>228</v>
      </c>
      <c r="E55" t="s">
        <v>264</v>
      </c>
      <c r="F55" t="s">
        <v>189</v>
      </c>
      <c r="H55">
        <v>1000</v>
      </c>
      <c r="I55" s="14"/>
      <c r="J55" s="14"/>
    </row>
    <row r="56" spans="1:10">
      <c r="A56">
        <v>45810</v>
      </c>
      <c r="B56" t="s">
        <v>434</v>
      </c>
      <c r="C56" t="s">
        <v>181</v>
      </c>
      <c r="D56" t="s">
        <v>135</v>
      </c>
      <c r="E56" t="s">
        <v>46</v>
      </c>
      <c r="F56" t="s">
        <v>92</v>
      </c>
      <c r="H56">
        <v>500</v>
      </c>
      <c r="I56" s="14"/>
      <c r="J56" s="14"/>
    </row>
    <row r="57" spans="1:10">
      <c r="A57">
        <v>45810</v>
      </c>
      <c r="B57" t="s">
        <v>452</v>
      </c>
      <c r="C57" t="s">
        <v>443</v>
      </c>
      <c r="D57" t="s">
        <v>237</v>
      </c>
      <c r="E57" t="s">
        <v>44</v>
      </c>
      <c r="F57" t="s">
        <v>85</v>
      </c>
      <c r="H57">
        <v>500</v>
      </c>
      <c r="I57" s="14"/>
      <c r="J57" s="14"/>
    </row>
    <row r="58" spans="1:10">
      <c r="A58">
        <v>45810</v>
      </c>
      <c r="B58" t="s">
        <v>452</v>
      </c>
      <c r="C58" t="s">
        <v>443</v>
      </c>
      <c r="D58" t="s">
        <v>237</v>
      </c>
      <c r="E58" t="s">
        <v>46</v>
      </c>
      <c r="F58" t="s">
        <v>94</v>
      </c>
      <c r="H58">
        <v>3000</v>
      </c>
      <c r="I58" s="14"/>
      <c r="J58" s="14"/>
    </row>
    <row r="59" spans="1:10">
      <c r="A59">
        <v>45810</v>
      </c>
      <c r="B59" t="s">
        <v>452</v>
      </c>
      <c r="C59" t="s">
        <v>443</v>
      </c>
      <c r="D59" t="s">
        <v>237</v>
      </c>
      <c r="E59" t="s">
        <v>46</v>
      </c>
      <c r="F59" t="s">
        <v>93</v>
      </c>
      <c r="H59">
        <v>2000</v>
      </c>
      <c r="I59" s="14"/>
      <c r="J59" s="14"/>
    </row>
    <row r="60" spans="1:10">
      <c r="A60">
        <v>45810</v>
      </c>
      <c r="B60" t="s">
        <v>452</v>
      </c>
      <c r="C60" t="s">
        <v>443</v>
      </c>
      <c r="D60" t="s">
        <v>237</v>
      </c>
      <c r="E60" t="s">
        <v>263</v>
      </c>
      <c r="F60" t="s">
        <v>186</v>
      </c>
      <c r="H60">
        <v>10000</v>
      </c>
      <c r="I60" s="14"/>
      <c r="J60" s="14"/>
    </row>
    <row r="61" spans="1:10">
      <c r="A61">
        <v>45810</v>
      </c>
      <c r="B61" t="s">
        <v>452</v>
      </c>
      <c r="C61" t="s">
        <v>443</v>
      </c>
      <c r="D61" t="s">
        <v>237</v>
      </c>
      <c r="E61" t="s">
        <v>263</v>
      </c>
      <c r="F61" t="s">
        <v>184</v>
      </c>
      <c r="H61">
        <v>3000</v>
      </c>
      <c r="I61" s="14"/>
      <c r="J61" s="14"/>
    </row>
    <row r="62" spans="1:10">
      <c r="A62">
        <v>45810</v>
      </c>
      <c r="B62" t="s">
        <v>452</v>
      </c>
      <c r="C62" t="s">
        <v>443</v>
      </c>
      <c r="D62" t="s">
        <v>237</v>
      </c>
      <c r="E62" t="s">
        <v>263</v>
      </c>
      <c r="F62" t="s">
        <v>187</v>
      </c>
      <c r="H62">
        <v>3000</v>
      </c>
      <c r="I62" s="14"/>
      <c r="J62" s="14"/>
    </row>
    <row r="63" spans="1:10">
      <c r="A63">
        <v>45810</v>
      </c>
      <c r="B63" t="s">
        <v>452</v>
      </c>
      <c r="C63" t="s">
        <v>443</v>
      </c>
      <c r="D63" t="s">
        <v>237</v>
      </c>
      <c r="E63" t="s">
        <v>264</v>
      </c>
      <c r="F63" t="s">
        <v>188</v>
      </c>
      <c r="H63">
        <v>6500</v>
      </c>
      <c r="I63" s="14"/>
      <c r="J63" s="14"/>
    </row>
    <row r="64" spans="1:10">
      <c r="A64">
        <v>45810</v>
      </c>
      <c r="B64" t="s">
        <v>452</v>
      </c>
      <c r="C64" t="s">
        <v>443</v>
      </c>
      <c r="D64" t="s">
        <v>237</v>
      </c>
      <c r="E64" t="s">
        <v>264</v>
      </c>
      <c r="F64" t="s">
        <v>189</v>
      </c>
      <c r="H64">
        <v>2000</v>
      </c>
      <c r="I64" s="14"/>
      <c r="J64" s="14"/>
    </row>
    <row r="65" spans="1:10">
      <c r="A65">
        <v>45812</v>
      </c>
      <c r="B65" t="s">
        <v>457</v>
      </c>
      <c r="C65" t="s">
        <v>181</v>
      </c>
      <c r="D65" t="s">
        <v>135</v>
      </c>
      <c r="E65" t="s">
        <v>263</v>
      </c>
      <c r="F65" t="s">
        <v>184</v>
      </c>
      <c r="H65">
        <v>160</v>
      </c>
      <c r="I65" s="14"/>
      <c r="J65" s="14"/>
    </row>
    <row r="66" spans="1:10">
      <c r="A66">
        <v>45812</v>
      </c>
      <c r="B66" t="s">
        <v>457</v>
      </c>
      <c r="C66" t="s">
        <v>181</v>
      </c>
      <c r="D66" t="s">
        <v>135</v>
      </c>
      <c r="E66" t="s">
        <v>263</v>
      </c>
      <c r="F66" t="s">
        <v>186</v>
      </c>
      <c r="H66">
        <v>70</v>
      </c>
      <c r="I66" s="14"/>
      <c r="J66" s="14"/>
    </row>
    <row r="67" spans="1:10">
      <c r="A67">
        <v>45812</v>
      </c>
      <c r="B67" t="s">
        <v>457</v>
      </c>
      <c r="C67" t="s">
        <v>181</v>
      </c>
      <c r="D67" t="s">
        <v>135</v>
      </c>
      <c r="E67" t="s">
        <v>263</v>
      </c>
      <c r="F67" t="s">
        <v>187</v>
      </c>
      <c r="H67">
        <v>30</v>
      </c>
      <c r="I67" s="14"/>
      <c r="J67" s="14"/>
    </row>
    <row r="68" spans="1:10">
      <c r="A68">
        <v>45812</v>
      </c>
      <c r="B68" t="s">
        <v>457</v>
      </c>
      <c r="C68" t="s">
        <v>181</v>
      </c>
      <c r="D68" t="s">
        <v>135</v>
      </c>
      <c r="E68" t="s">
        <v>46</v>
      </c>
      <c r="F68" t="s">
        <v>93</v>
      </c>
      <c r="H68">
        <v>20</v>
      </c>
      <c r="I68" s="14"/>
      <c r="J68" s="14"/>
    </row>
    <row r="69" spans="1:10">
      <c r="A69">
        <v>45812</v>
      </c>
      <c r="B69" t="s">
        <v>457</v>
      </c>
      <c r="C69" t="s">
        <v>181</v>
      </c>
      <c r="D69" t="s">
        <v>135</v>
      </c>
      <c r="E69" t="s">
        <v>264</v>
      </c>
      <c r="F69" t="s">
        <v>188</v>
      </c>
      <c r="H69">
        <v>40</v>
      </c>
      <c r="I69" s="14"/>
      <c r="J69" s="14"/>
    </row>
    <row r="70" spans="1:10">
      <c r="A70">
        <v>45812</v>
      </c>
      <c r="B70" t="s">
        <v>457</v>
      </c>
      <c r="C70" t="s">
        <v>181</v>
      </c>
      <c r="D70" t="s">
        <v>135</v>
      </c>
      <c r="E70" t="s">
        <v>44</v>
      </c>
      <c r="F70" t="s">
        <v>83</v>
      </c>
      <c r="H70">
        <v>20</v>
      </c>
      <c r="I70" s="14"/>
      <c r="J70" s="14"/>
    </row>
    <row r="71" spans="1:10">
      <c r="A71">
        <v>45812</v>
      </c>
      <c r="B71" t="s">
        <v>457</v>
      </c>
      <c r="C71" t="s">
        <v>181</v>
      </c>
      <c r="D71" t="s">
        <v>135</v>
      </c>
      <c r="E71" t="s">
        <v>46</v>
      </c>
      <c r="F71" t="s">
        <v>92</v>
      </c>
      <c r="H71">
        <v>20</v>
      </c>
      <c r="I71" s="14"/>
      <c r="J71" s="14"/>
    </row>
    <row r="72" spans="1:10">
      <c r="A72">
        <v>45812</v>
      </c>
      <c r="B72" t="s">
        <v>437</v>
      </c>
      <c r="C72" t="s">
        <v>181</v>
      </c>
      <c r="D72" t="s">
        <v>191</v>
      </c>
      <c r="E72" t="s">
        <v>44</v>
      </c>
      <c r="F72" t="s">
        <v>83</v>
      </c>
      <c r="H72">
        <v>4999</v>
      </c>
      <c r="I72" s="14"/>
      <c r="J72" s="14"/>
    </row>
    <row r="73" spans="1:10">
      <c r="A73">
        <v>45812</v>
      </c>
      <c r="B73" t="s">
        <v>437</v>
      </c>
      <c r="C73" t="s">
        <v>181</v>
      </c>
      <c r="D73" t="s">
        <v>191</v>
      </c>
      <c r="E73" t="s">
        <v>44</v>
      </c>
      <c r="F73" t="s">
        <v>85</v>
      </c>
      <c r="H73">
        <v>8000</v>
      </c>
      <c r="I73" s="14"/>
      <c r="J73" s="14"/>
    </row>
    <row r="74" spans="1:10">
      <c r="A74">
        <v>45812</v>
      </c>
      <c r="B74" t="s">
        <v>437</v>
      </c>
      <c r="C74" t="s">
        <v>181</v>
      </c>
      <c r="D74" t="s">
        <v>191</v>
      </c>
      <c r="E74" t="s">
        <v>44</v>
      </c>
      <c r="F74" t="s">
        <v>84</v>
      </c>
      <c r="H74">
        <v>3999</v>
      </c>
      <c r="I74" s="14"/>
      <c r="J74" s="14"/>
    </row>
    <row r="75" spans="1:10">
      <c r="A75">
        <v>45812</v>
      </c>
      <c r="B75" t="s">
        <v>437</v>
      </c>
      <c r="C75" t="s">
        <v>181</v>
      </c>
      <c r="D75" t="s">
        <v>191</v>
      </c>
      <c r="E75" t="s">
        <v>263</v>
      </c>
      <c r="F75" t="s">
        <v>186</v>
      </c>
      <c r="H75">
        <v>34000</v>
      </c>
      <c r="I75" s="14"/>
      <c r="J75" s="14"/>
    </row>
    <row r="76" spans="1:10">
      <c r="A76">
        <v>45812</v>
      </c>
      <c r="B76" t="s">
        <v>437</v>
      </c>
      <c r="C76" t="s">
        <v>181</v>
      </c>
      <c r="D76" t="s">
        <v>191</v>
      </c>
      <c r="E76" t="s">
        <v>263</v>
      </c>
      <c r="F76" t="s">
        <v>184</v>
      </c>
      <c r="H76">
        <v>22999</v>
      </c>
      <c r="I76" s="14"/>
      <c r="J76" s="14"/>
    </row>
    <row r="77" spans="1:10">
      <c r="A77">
        <v>45812</v>
      </c>
      <c r="B77" t="s">
        <v>437</v>
      </c>
      <c r="C77" t="s">
        <v>181</v>
      </c>
      <c r="D77" t="s">
        <v>191</v>
      </c>
      <c r="E77" t="s">
        <v>263</v>
      </c>
      <c r="F77" t="s">
        <v>187</v>
      </c>
      <c r="H77">
        <v>14999</v>
      </c>
      <c r="I77" s="14"/>
      <c r="J77" s="14"/>
    </row>
    <row r="78" spans="1:10">
      <c r="A78">
        <v>45812</v>
      </c>
      <c r="B78" t="s">
        <v>437</v>
      </c>
      <c r="C78" t="s">
        <v>181</v>
      </c>
      <c r="D78" t="s">
        <v>191</v>
      </c>
      <c r="E78" t="s">
        <v>264</v>
      </c>
      <c r="F78" t="s">
        <v>188</v>
      </c>
      <c r="H78">
        <v>33999</v>
      </c>
      <c r="I78" s="14"/>
      <c r="J78" s="14"/>
    </row>
    <row r="79" spans="1:10">
      <c r="A79">
        <v>45812</v>
      </c>
      <c r="B79" t="s">
        <v>437</v>
      </c>
      <c r="C79" t="s">
        <v>181</v>
      </c>
      <c r="D79" t="s">
        <v>191</v>
      </c>
      <c r="E79" t="s">
        <v>264</v>
      </c>
      <c r="F79" t="s">
        <v>189</v>
      </c>
      <c r="H79">
        <v>15000</v>
      </c>
      <c r="I79" s="14"/>
      <c r="J79" s="14"/>
    </row>
    <row r="80" spans="1:10">
      <c r="A80">
        <v>45812</v>
      </c>
      <c r="B80" t="s">
        <v>437</v>
      </c>
      <c r="C80" t="s">
        <v>181</v>
      </c>
      <c r="D80" t="s">
        <v>191</v>
      </c>
      <c r="E80" t="s">
        <v>45</v>
      </c>
      <c r="F80" t="s">
        <v>88</v>
      </c>
      <c r="H80">
        <v>5999</v>
      </c>
      <c r="I80" s="14"/>
      <c r="J80" s="14"/>
    </row>
    <row r="81" spans="1:10">
      <c r="A81">
        <v>45812</v>
      </c>
      <c r="B81" t="s">
        <v>437</v>
      </c>
      <c r="C81" t="s">
        <v>181</v>
      </c>
      <c r="D81" t="s">
        <v>191</v>
      </c>
      <c r="E81" t="s">
        <v>46</v>
      </c>
      <c r="F81" t="s">
        <v>94</v>
      </c>
      <c r="H81">
        <v>24000</v>
      </c>
      <c r="I81" s="14"/>
      <c r="J81" s="14"/>
    </row>
    <row r="82" spans="1:10">
      <c r="A82">
        <v>45812</v>
      </c>
      <c r="B82" t="s">
        <v>437</v>
      </c>
      <c r="C82" t="s">
        <v>181</v>
      </c>
      <c r="D82" t="s">
        <v>191</v>
      </c>
      <c r="E82" t="s">
        <v>46</v>
      </c>
      <c r="F82" t="s">
        <v>92</v>
      </c>
      <c r="H82">
        <v>25999</v>
      </c>
      <c r="I82" s="14"/>
      <c r="J82" s="14"/>
    </row>
    <row r="83" spans="1:10">
      <c r="A83">
        <v>45812</v>
      </c>
      <c r="B83" t="s">
        <v>437</v>
      </c>
      <c r="C83" t="s">
        <v>181</v>
      </c>
      <c r="D83" t="s">
        <v>191</v>
      </c>
      <c r="E83" t="s">
        <v>46</v>
      </c>
      <c r="F83" t="s">
        <v>93</v>
      </c>
      <c r="H83">
        <v>18000</v>
      </c>
      <c r="I83" s="14"/>
      <c r="J83" s="14"/>
    </row>
    <row r="84" spans="1:10">
      <c r="A84">
        <v>45812</v>
      </c>
      <c r="B84" t="s">
        <v>455</v>
      </c>
      <c r="C84" t="s">
        <v>181</v>
      </c>
      <c r="D84" t="s">
        <v>135</v>
      </c>
      <c r="E84" t="s">
        <v>44</v>
      </c>
      <c r="F84" t="s">
        <v>83</v>
      </c>
      <c r="H84">
        <v>120</v>
      </c>
      <c r="I84" s="14"/>
      <c r="J84" s="14"/>
    </row>
    <row r="85" spans="1:10">
      <c r="A85">
        <v>45812</v>
      </c>
      <c r="B85" t="s">
        <v>455</v>
      </c>
      <c r="C85" t="s">
        <v>181</v>
      </c>
      <c r="D85" t="s">
        <v>135</v>
      </c>
      <c r="E85" t="s">
        <v>44</v>
      </c>
      <c r="F85" t="s">
        <v>85</v>
      </c>
      <c r="H85">
        <v>150</v>
      </c>
      <c r="I85" s="14"/>
      <c r="J85" s="14"/>
    </row>
    <row r="86" spans="1:10">
      <c r="A86">
        <v>45812</v>
      </c>
      <c r="B86" t="s">
        <v>455</v>
      </c>
      <c r="C86" t="s">
        <v>181</v>
      </c>
      <c r="D86" t="s">
        <v>135</v>
      </c>
      <c r="E86" t="s">
        <v>44</v>
      </c>
      <c r="F86" t="s">
        <v>84</v>
      </c>
      <c r="H86">
        <v>80</v>
      </c>
      <c r="I86" s="14"/>
      <c r="J86" s="14"/>
    </row>
    <row r="87" spans="1:10">
      <c r="A87">
        <v>45812</v>
      </c>
      <c r="B87" t="s">
        <v>455</v>
      </c>
      <c r="C87" t="s">
        <v>181</v>
      </c>
      <c r="D87" t="s">
        <v>135</v>
      </c>
      <c r="E87" t="s">
        <v>45</v>
      </c>
      <c r="F87" t="s">
        <v>88</v>
      </c>
      <c r="H87">
        <v>50</v>
      </c>
      <c r="I87" s="14"/>
      <c r="J87" s="14"/>
    </row>
    <row r="88" spans="1:10">
      <c r="A88">
        <v>45812</v>
      </c>
      <c r="B88" t="s">
        <v>455</v>
      </c>
      <c r="C88" t="s">
        <v>181</v>
      </c>
      <c r="D88" t="s">
        <v>135</v>
      </c>
      <c r="E88" t="s">
        <v>46</v>
      </c>
      <c r="F88" t="s">
        <v>92</v>
      </c>
      <c r="H88">
        <v>210</v>
      </c>
      <c r="I88" s="14"/>
      <c r="J88" s="14"/>
    </row>
    <row r="89" spans="1:10">
      <c r="A89">
        <v>45812</v>
      </c>
      <c r="B89" t="s">
        <v>455</v>
      </c>
      <c r="C89" t="s">
        <v>181</v>
      </c>
      <c r="D89" t="s">
        <v>135</v>
      </c>
      <c r="E89" t="s">
        <v>46</v>
      </c>
      <c r="F89" t="s">
        <v>93</v>
      </c>
      <c r="H89">
        <v>30</v>
      </c>
      <c r="I89" s="14"/>
      <c r="J89" s="14"/>
    </row>
    <row r="90" spans="1:10">
      <c r="A90">
        <v>45812</v>
      </c>
      <c r="B90" t="s">
        <v>455</v>
      </c>
      <c r="C90" t="s">
        <v>181</v>
      </c>
      <c r="D90" t="s">
        <v>135</v>
      </c>
      <c r="E90" t="s">
        <v>263</v>
      </c>
      <c r="F90" t="s">
        <v>186</v>
      </c>
      <c r="H90">
        <v>390</v>
      </c>
      <c r="I90" s="14"/>
      <c r="J90" s="14"/>
    </row>
    <row r="91" spans="1:10">
      <c r="A91">
        <v>45812</v>
      </c>
      <c r="B91" t="s">
        <v>455</v>
      </c>
      <c r="C91" t="s">
        <v>181</v>
      </c>
      <c r="D91" t="s">
        <v>135</v>
      </c>
      <c r="E91" t="s">
        <v>263</v>
      </c>
      <c r="F91" t="s">
        <v>184</v>
      </c>
      <c r="H91">
        <v>160</v>
      </c>
      <c r="I91" s="14"/>
      <c r="J91" s="14"/>
    </row>
    <row r="92" spans="1:10">
      <c r="A92">
        <v>45812</v>
      </c>
      <c r="B92" t="s">
        <v>455</v>
      </c>
      <c r="C92" t="s">
        <v>181</v>
      </c>
      <c r="D92" t="s">
        <v>135</v>
      </c>
      <c r="E92" t="s">
        <v>263</v>
      </c>
      <c r="F92" t="s">
        <v>187</v>
      </c>
      <c r="H92">
        <v>220</v>
      </c>
      <c r="I92" s="14"/>
      <c r="J92" s="14"/>
    </row>
    <row r="93" spans="1:10">
      <c r="A93">
        <v>45812</v>
      </c>
      <c r="B93" t="s">
        <v>455</v>
      </c>
      <c r="C93" t="s">
        <v>181</v>
      </c>
      <c r="D93" t="s">
        <v>135</v>
      </c>
      <c r="E93" t="s">
        <v>264</v>
      </c>
      <c r="F93" t="s">
        <v>188</v>
      </c>
      <c r="H93">
        <v>20</v>
      </c>
      <c r="I93" s="14"/>
      <c r="J93" s="14"/>
    </row>
    <row r="94" spans="1:10">
      <c r="A94">
        <v>45812</v>
      </c>
      <c r="B94" t="s">
        <v>449</v>
      </c>
      <c r="C94" t="s">
        <v>443</v>
      </c>
      <c r="D94" t="s">
        <v>240</v>
      </c>
      <c r="E94" t="s">
        <v>46</v>
      </c>
      <c r="F94" t="s">
        <v>94</v>
      </c>
      <c r="H94">
        <v>2000</v>
      </c>
      <c r="I94" s="14"/>
      <c r="J94" s="14"/>
    </row>
    <row r="95" spans="1:10">
      <c r="A95">
        <v>45812</v>
      </c>
      <c r="B95" t="s">
        <v>449</v>
      </c>
      <c r="C95" t="s">
        <v>443</v>
      </c>
      <c r="D95" t="s">
        <v>240</v>
      </c>
      <c r="E95" t="s">
        <v>46</v>
      </c>
      <c r="F95" t="s">
        <v>92</v>
      </c>
      <c r="H95">
        <v>1000</v>
      </c>
      <c r="I95" s="14"/>
      <c r="J95" s="14"/>
    </row>
    <row r="96" spans="1:10">
      <c r="A96">
        <v>45812</v>
      </c>
      <c r="B96" t="s">
        <v>449</v>
      </c>
      <c r="C96" t="s">
        <v>443</v>
      </c>
      <c r="D96" t="s">
        <v>240</v>
      </c>
      <c r="E96" t="s">
        <v>46</v>
      </c>
      <c r="F96" t="s">
        <v>93</v>
      </c>
      <c r="H96">
        <v>2000</v>
      </c>
      <c r="I96" s="14"/>
      <c r="J96" s="14"/>
    </row>
    <row r="97" spans="1:10">
      <c r="A97">
        <v>45812</v>
      </c>
      <c r="B97" t="s">
        <v>449</v>
      </c>
      <c r="C97" t="s">
        <v>443</v>
      </c>
      <c r="D97" t="s">
        <v>240</v>
      </c>
      <c r="E97" t="s">
        <v>263</v>
      </c>
      <c r="F97" t="s">
        <v>186</v>
      </c>
      <c r="H97">
        <v>10500</v>
      </c>
      <c r="I97" s="14"/>
      <c r="J97" s="14"/>
    </row>
    <row r="98" spans="1:10">
      <c r="A98">
        <v>45812</v>
      </c>
      <c r="B98" t="s">
        <v>449</v>
      </c>
      <c r="C98" t="s">
        <v>443</v>
      </c>
      <c r="D98" t="s">
        <v>240</v>
      </c>
      <c r="E98" t="s">
        <v>263</v>
      </c>
      <c r="F98" t="s">
        <v>184</v>
      </c>
      <c r="H98">
        <v>750</v>
      </c>
      <c r="I98" s="14"/>
      <c r="J98" s="14"/>
    </row>
    <row r="99" spans="1:10">
      <c r="A99">
        <v>45812</v>
      </c>
      <c r="B99" t="s">
        <v>449</v>
      </c>
      <c r="C99" t="s">
        <v>443</v>
      </c>
      <c r="D99" t="s">
        <v>240</v>
      </c>
      <c r="E99" t="s">
        <v>263</v>
      </c>
      <c r="F99" t="s">
        <v>187</v>
      </c>
      <c r="H99">
        <v>1500</v>
      </c>
      <c r="I99" s="14"/>
      <c r="J99" s="14"/>
    </row>
    <row r="100" spans="1:10">
      <c r="A100">
        <v>45812</v>
      </c>
      <c r="B100" t="s">
        <v>449</v>
      </c>
      <c r="C100" t="s">
        <v>443</v>
      </c>
      <c r="D100" t="s">
        <v>240</v>
      </c>
      <c r="E100" t="s">
        <v>264</v>
      </c>
      <c r="F100" t="s">
        <v>188</v>
      </c>
      <c r="H100">
        <v>12000</v>
      </c>
      <c r="I100" s="14"/>
      <c r="J100" s="14"/>
    </row>
    <row r="101" spans="1:10">
      <c r="A101">
        <v>45812</v>
      </c>
      <c r="B101" t="s">
        <v>449</v>
      </c>
      <c r="C101" t="s">
        <v>443</v>
      </c>
      <c r="D101" t="s">
        <v>240</v>
      </c>
      <c r="E101" t="s">
        <v>264</v>
      </c>
      <c r="F101" t="s">
        <v>189</v>
      </c>
      <c r="H101">
        <v>2250</v>
      </c>
      <c r="I101" s="14"/>
      <c r="J101" s="14"/>
    </row>
    <row r="102" spans="1:10">
      <c r="A102">
        <v>45813</v>
      </c>
      <c r="B102" t="s">
        <v>447</v>
      </c>
      <c r="C102" t="s">
        <v>181</v>
      </c>
      <c r="D102" t="s">
        <v>135</v>
      </c>
      <c r="E102" t="s">
        <v>46</v>
      </c>
      <c r="F102" t="s">
        <v>94</v>
      </c>
      <c r="H102">
        <v>500</v>
      </c>
      <c r="I102" s="14"/>
      <c r="J102" s="14"/>
    </row>
    <row r="103" spans="1:10">
      <c r="A103">
        <v>45813</v>
      </c>
      <c r="B103" t="s">
        <v>447</v>
      </c>
      <c r="C103" t="s">
        <v>181</v>
      </c>
      <c r="D103" t="s">
        <v>135</v>
      </c>
      <c r="E103" t="s">
        <v>46</v>
      </c>
      <c r="F103" t="s">
        <v>92</v>
      </c>
      <c r="H103">
        <v>500</v>
      </c>
      <c r="I103" s="14"/>
      <c r="J103" s="14"/>
    </row>
    <row r="104" spans="1:10">
      <c r="A104">
        <v>45813</v>
      </c>
      <c r="B104" t="s">
        <v>447</v>
      </c>
      <c r="C104" t="s">
        <v>181</v>
      </c>
      <c r="D104" t="s">
        <v>135</v>
      </c>
      <c r="E104" t="s">
        <v>46</v>
      </c>
      <c r="F104" t="s">
        <v>93</v>
      </c>
      <c r="H104">
        <v>500</v>
      </c>
      <c r="I104" s="14"/>
      <c r="J104" s="14"/>
    </row>
    <row r="105" spans="1:10">
      <c r="A105">
        <v>45813</v>
      </c>
      <c r="B105" t="s">
        <v>447</v>
      </c>
      <c r="C105" t="s">
        <v>181</v>
      </c>
      <c r="D105" t="s">
        <v>135</v>
      </c>
      <c r="E105" t="s">
        <v>263</v>
      </c>
      <c r="F105" t="s">
        <v>186</v>
      </c>
      <c r="H105">
        <v>1500</v>
      </c>
      <c r="I105" s="14"/>
      <c r="J105" s="14"/>
    </row>
    <row r="106" spans="1:10">
      <c r="A106">
        <v>45813</v>
      </c>
      <c r="B106" t="s">
        <v>447</v>
      </c>
      <c r="C106" t="s">
        <v>181</v>
      </c>
      <c r="D106" t="s">
        <v>135</v>
      </c>
      <c r="E106" t="s">
        <v>264</v>
      </c>
      <c r="F106" t="s">
        <v>188</v>
      </c>
      <c r="H106">
        <v>1500</v>
      </c>
      <c r="I106" s="14"/>
      <c r="J106" s="14"/>
    </row>
    <row r="107" spans="1:10">
      <c r="A107">
        <v>45813</v>
      </c>
      <c r="B107" t="s">
        <v>457</v>
      </c>
      <c r="C107" t="s">
        <v>181</v>
      </c>
      <c r="D107" t="s">
        <v>135</v>
      </c>
      <c r="E107" t="s">
        <v>46</v>
      </c>
      <c r="F107" t="s">
        <v>94</v>
      </c>
      <c r="H107">
        <v>10</v>
      </c>
      <c r="I107" s="14"/>
      <c r="J107" s="14"/>
    </row>
    <row r="108" spans="1:10">
      <c r="A108">
        <v>45813</v>
      </c>
      <c r="B108" t="s">
        <v>457</v>
      </c>
      <c r="C108" t="s">
        <v>181</v>
      </c>
      <c r="D108" t="s">
        <v>135</v>
      </c>
      <c r="E108" t="s">
        <v>46</v>
      </c>
      <c r="F108" t="s">
        <v>92</v>
      </c>
      <c r="H108">
        <v>90</v>
      </c>
      <c r="I108" s="14"/>
      <c r="J108" s="14"/>
    </row>
    <row r="109" spans="1:10">
      <c r="A109">
        <v>45813</v>
      </c>
      <c r="B109" t="s">
        <v>457</v>
      </c>
      <c r="C109" t="s">
        <v>181</v>
      </c>
      <c r="D109" t="s">
        <v>135</v>
      </c>
      <c r="E109" t="s">
        <v>46</v>
      </c>
      <c r="F109" t="s">
        <v>93</v>
      </c>
      <c r="H109">
        <v>40</v>
      </c>
      <c r="I109" s="14"/>
      <c r="J109" s="14"/>
    </row>
    <row r="110" spans="1:10">
      <c r="A110">
        <v>45813</v>
      </c>
      <c r="B110" t="s">
        <v>457</v>
      </c>
      <c r="C110" t="s">
        <v>181</v>
      </c>
      <c r="D110" t="s">
        <v>135</v>
      </c>
      <c r="E110" t="s">
        <v>44</v>
      </c>
      <c r="F110" t="s">
        <v>85</v>
      </c>
      <c r="H110">
        <v>200</v>
      </c>
      <c r="I110" s="14"/>
      <c r="J110" s="14"/>
    </row>
    <row r="111" spans="1:10">
      <c r="A111">
        <v>45813</v>
      </c>
      <c r="B111" t="s">
        <v>457</v>
      </c>
      <c r="C111" t="s">
        <v>181</v>
      </c>
      <c r="D111" t="s">
        <v>135</v>
      </c>
      <c r="E111" t="s">
        <v>44</v>
      </c>
      <c r="F111" t="s">
        <v>84</v>
      </c>
      <c r="H111">
        <v>10</v>
      </c>
      <c r="I111" s="14"/>
      <c r="J111" s="14"/>
    </row>
    <row r="112" spans="1:10">
      <c r="A112">
        <v>45813</v>
      </c>
      <c r="B112" t="s">
        <v>457</v>
      </c>
      <c r="C112" t="s">
        <v>181</v>
      </c>
      <c r="D112" t="s">
        <v>135</v>
      </c>
      <c r="E112" t="s">
        <v>263</v>
      </c>
      <c r="F112" t="s">
        <v>184</v>
      </c>
      <c r="H112">
        <v>720</v>
      </c>
      <c r="I112" s="14"/>
      <c r="J112" s="14"/>
    </row>
    <row r="113" spans="1:10">
      <c r="A113">
        <v>45813</v>
      </c>
      <c r="B113" t="s">
        <v>457</v>
      </c>
      <c r="C113" t="s">
        <v>181</v>
      </c>
      <c r="D113" t="s">
        <v>135</v>
      </c>
      <c r="E113" t="s">
        <v>263</v>
      </c>
      <c r="F113" t="s">
        <v>187</v>
      </c>
      <c r="H113">
        <v>40</v>
      </c>
      <c r="I113" s="14"/>
      <c r="J113" s="14"/>
    </row>
    <row r="114" spans="1:10">
      <c r="A114">
        <v>45813</v>
      </c>
      <c r="B114" t="s">
        <v>457</v>
      </c>
      <c r="C114" t="s">
        <v>181</v>
      </c>
      <c r="D114" t="s">
        <v>135</v>
      </c>
      <c r="E114" t="s">
        <v>44</v>
      </c>
      <c r="F114" t="s">
        <v>83</v>
      </c>
      <c r="H114">
        <v>40</v>
      </c>
      <c r="I114" s="14"/>
      <c r="J114" s="14"/>
    </row>
    <row r="115" spans="1:10">
      <c r="A115">
        <v>45813</v>
      </c>
      <c r="B115" t="s">
        <v>457</v>
      </c>
      <c r="C115" t="s">
        <v>181</v>
      </c>
      <c r="D115" t="s">
        <v>135</v>
      </c>
      <c r="E115" t="s">
        <v>264</v>
      </c>
      <c r="F115" t="s">
        <v>188</v>
      </c>
      <c r="H115">
        <v>10</v>
      </c>
      <c r="I115" s="14"/>
      <c r="J115" s="14"/>
    </row>
    <row r="116" spans="1:10">
      <c r="A116">
        <v>45813</v>
      </c>
      <c r="B116" t="s">
        <v>457</v>
      </c>
      <c r="C116" t="s">
        <v>181</v>
      </c>
      <c r="D116" t="s">
        <v>135</v>
      </c>
      <c r="E116" t="s">
        <v>45</v>
      </c>
      <c r="F116" t="s">
        <v>88</v>
      </c>
      <c r="H116">
        <v>70</v>
      </c>
      <c r="I116" s="14"/>
      <c r="J116" s="14"/>
    </row>
    <row r="117" spans="1:10">
      <c r="A117">
        <v>45813</v>
      </c>
      <c r="B117" t="s">
        <v>457</v>
      </c>
      <c r="C117" t="s">
        <v>181</v>
      </c>
      <c r="D117" t="s">
        <v>135</v>
      </c>
      <c r="E117" t="s">
        <v>263</v>
      </c>
      <c r="F117" t="s">
        <v>186</v>
      </c>
      <c r="H117">
        <v>40</v>
      </c>
      <c r="I117" s="14"/>
      <c r="J117" s="14"/>
    </row>
    <row r="118" spans="1:10">
      <c r="A118">
        <v>45813</v>
      </c>
      <c r="B118" t="s">
        <v>437</v>
      </c>
      <c r="C118" t="s">
        <v>181</v>
      </c>
      <c r="D118" t="s">
        <v>191</v>
      </c>
      <c r="E118" t="s">
        <v>44</v>
      </c>
      <c r="F118" t="s">
        <v>83</v>
      </c>
      <c r="H118">
        <v>5000</v>
      </c>
      <c r="I118" s="14"/>
      <c r="J118" s="14"/>
    </row>
    <row r="119" spans="1:10">
      <c r="A119">
        <v>45813</v>
      </c>
      <c r="B119" t="s">
        <v>437</v>
      </c>
      <c r="C119" t="s">
        <v>181</v>
      </c>
      <c r="D119" t="s">
        <v>191</v>
      </c>
      <c r="E119" t="s">
        <v>44</v>
      </c>
      <c r="F119" t="s">
        <v>85</v>
      </c>
      <c r="H119">
        <v>11000</v>
      </c>
      <c r="I119" s="14"/>
      <c r="J119" s="14"/>
    </row>
    <row r="120" spans="1:10">
      <c r="A120">
        <v>45813</v>
      </c>
      <c r="B120" t="s">
        <v>437</v>
      </c>
      <c r="C120" t="s">
        <v>181</v>
      </c>
      <c r="D120" t="s">
        <v>191</v>
      </c>
      <c r="E120" t="s">
        <v>44</v>
      </c>
      <c r="F120" t="s">
        <v>84</v>
      </c>
      <c r="H120">
        <v>3500</v>
      </c>
      <c r="I120" s="14"/>
      <c r="J120" s="14"/>
    </row>
    <row r="121" spans="1:10">
      <c r="A121">
        <v>45813</v>
      </c>
      <c r="B121" t="s">
        <v>437</v>
      </c>
      <c r="C121" t="s">
        <v>181</v>
      </c>
      <c r="D121" t="s">
        <v>191</v>
      </c>
      <c r="E121" t="s">
        <v>263</v>
      </c>
      <c r="F121" t="s">
        <v>186</v>
      </c>
      <c r="H121">
        <v>100000</v>
      </c>
      <c r="I121" s="14"/>
      <c r="J121" s="14"/>
    </row>
    <row r="122" spans="1:10">
      <c r="A122">
        <v>45813</v>
      </c>
      <c r="B122" t="s">
        <v>437</v>
      </c>
      <c r="C122" t="s">
        <v>181</v>
      </c>
      <c r="D122" t="s">
        <v>191</v>
      </c>
      <c r="E122" t="s">
        <v>263</v>
      </c>
      <c r="F122" t="s">
        <v>184</v>
      </c>
      <c r="H122">
        <v>41000</v>
      </c>
      <c r="I122" s="14"/>
      <c r="J122" s="14"/>
    </row>
    <row r="123" spans="1:10">
      <c r="A123">
        <v>45813</v>
      </c>
      <c r="B123" t="s">
        <v>437</v>
      </c>
      <c r="C123" t="s">
        <v>181</v>
      </c>
      <c r="D123" t="s">
        <v>191</v>
      </c>
      <c r="E123" t="s">
        <v>263</v>
      </c>
      <c r="F123" t="s">
        <v>187</v>
      </c>
      <c r="H123">
        <v>20000</v>
      </c>
      <c r="I123" s="14"/>
      <c r="J123" s="14"/>
    </row>
    <row r="124" spans="1:10">
      <c r="A124">
        <v>45813</v>
      </c>
      <c r="B124" t="s">
        <v>437</v>
      </c>
      <c r="C124" t="s">
        <v>181</v>
      </c>
      <c r="D124" t="s">
        <v>191</v>
      </c>
      <c r="E124" t="s">
        <v>264</v>
      </c>
      <c r="F124" t="s">
        <v>188</v>
      </c>
      <c r="H124">
        <v>65000</v>
      </c>
      <c r="I124" s="14"/>
      <c r="J124" s="14"/>
    </row>
    <row r="125" spans="1:10">
      <c r="A125">
        <v>45813</v>
      </c>
      <c r="B125" t="s">
        <v>437</v>
      </c>
      <c r="C125" t="s">
        <v>181</v>
      </c>
      <c r="D125" t="s">
        <v>191</v>
      </c>
      <c r="E125" t="s">
        <v>264</v>
      </c>
      <c r="F125" t="s">
        <v>189</v>
      </c>
      <c r="H125">
        <v>20000</v>
      </c>
      <c r="I125" s="14"/>
      <c r="J125" s="14"/>
    </row>
    <row r="126" spans="1:10">
      <c r="A126">
        <v>45813</v>
      </c>
      <c r="B126" t="s">
        <v>437</v>
      </c>
      <c r="C126" t="s">
        <v>181</v>
      </c>
      <c r="D126" t="s">
        <v>191</v>
      </c>
      <c r="E126" t="s">
        <v>45</v>
      </c>
      <c r="F126" t="s">
        <v>88</v>
      </c>
      <c r="H126">
        <v>3000</v>
      </c>
      <c r="I126" s="14"/>
      <c r="J126" s="77"/>
    </row>
    <row r="127" spans="1:10">
      <c r="A127">
        <v>45813</v>
      </c>
      <c r="B127" t="s">
        <v>437</v>
      </c>
      <c r="C127" t="s">
        <v>181</v>
      </c>
      <c r="D127" t="s">
        <v>191</v>
      </c>
      <c r="E127" t="s">
        <v>46</v>
      </c>
      <c r="F127" t="s">
        <v>94</v>
      </c>
      <c r="H127">
        <v>27000</v>
      </c>
      <c r="I127" s="14"/>
      <c r="J127" s="77"/>
    </row>
    <row r="128" spans="1:10">
      <c r="A128">
        <v>45813</v>
      </c>
      <c r="B128" t="s">
        <v>437</v>
      </c>
      <c r="C128" t="s">
        <v>181</v>
      </c>
      <c r="D128" t="s">
        <v>191</v>
      </c>
      <c r="E128" t="s">
        <v>46</v>
      </c>
      <c r="F128" t="s">
        <v>92</v>
      </c>
      <c r="H128">
        <v>36000</v>
      </c>
      <c r="I128" s="14"/>
      <c r="J128" s="77"/>
    </row>
    <row r="129" spans="1:10">
      <c r="A129">
        <v>45813</v>
      </c>
      <c r="B129" t="s">
        <v>437</v>
      </c>
      <c r="C129" t="s">
        <v>181</v>
      </c>
      <c r="D129" t="s">
        <v>191</v>
      </c>
      <c r="E129" t="s">
        <v>46</v>
      </c>
      <c r="F129" t="s">
        <v>93</v>
      </c>
      <c r="H129">
        <v>18000</v>
      </c>
      <c r="I129" s="14"/>
      <c r="J129" s="77"/>
    </row>
    <row r="130" spans="1:10">
      <c r="A130">
        <v>45813</v>
      </c>
      <c r="B130" t="s">
        <v>440</v>
      </c>
      <c r="C130" t="s">
        <v>181</v>
      </c>
      <c r="D130" t="s">
        <v>274</v>
      </c>
      <c r="E130" t="s">
        <v>263</v>
      </c>
      <c r="F130" t="s">
        <v>186</v>
      </c>
      <c r="H130">
        <v>12000</v>
      </c>
      <c r="I130" s="14"/>
      <c r="J130" s="77"/>
    </row>
    <row r="131" spans="1:10">
      <c r="A131">
        <v>45813</v>
      </c>
      <c r="B131" t="s">
        <v>440</v>
      </c>
      <c r="C131" t="s">
        <v>181</v>
      </c>
      <c r="D131" t="s">
        <v>274</v>
      </c>
      <c r="E131" t="s">
        <v>46</v>
      </c>
      <c r="F131" t="s">
        <v>94</v>
      </c>
      <c r="H131">
        <v>1500</v>
      </c>
      <c r="I131" s="14"/>
      <c r="J131" s="77"/>
    </row>
    <row r="132" spans="1:10">
      <c r="A132">
        <v>45813</v>
      </c>
      <c r="B132" t="s">
        <v>440</v>
      </c>
      <c r="C132" t="s">
        <v>181</v>
      </c>
      <c r="D132" t="s">
        <v>274</v>
      </c>
      <c r="E132" t="s">
        <v>46</v>
      </c>
      <c r="F132" t="s">
        <v>92</v>
      </c>
      <c r="H132">
        <v>4000</v>
      </c>
      <c r="I132" s="14"/>
      <c r="J132" s="77"/>
    </row>
    <row r="133" spans="1:10">
      <c r="A133">
        <v>45813</v>
      </c>
      <c r="B133" t="s">
        <v>440</v>
      </c>
      <c r="C133" t="s">
        <v>181</v>
      </c>
      <c r="D133" t="s">
        <v>274</v>
      </c>
      <c r="E133" t="s">
        <v>46</v>
      </c>
      <c r="F133" t="s">
        <v>93</v>
      </c>
      <c r="H133">
        <v>1500</v>
      </c>
      <c r="I133" s="14"/>
      <c r="J133" s="77"/>
    </row>
    <row r="134" spans="1:10">
      <c r="A134">
        <v>45813</v>
      </c>
      <c r="B134" t="s">
        <v>440</v>
      </c>
      <c r="C134" t="s">
        <v>181</v>
      </c>
      <c r="D134" t="s">
        <v>274</v>
      </c>
      <c r="E134" t="s">
        <v>263</v>
      </c>
      <c r="F134" t="s">
        <v>184</v>
      </c>
      <c r="H134">
        <v>5500</v>
      </c>
      <c r="I134" s="14"/>
      <c r="J134" s="14"/>
    </row>
    <row r="135" spans="1:10">
      <c r="A135">
        <v>45813</v>
      </c>
      <c r="B135" t="s">
        <v>440</v>
      </c>
      <c r="C135" t="s">
        <v>181</v>
      </c>
      <c r="D135" t="s">
        <v>274</v>
      </c>
      <c r="E135" t="s">
        <v>264</v>
      </c>
      <c r="F135" t="s">
        <v>188</v>
      </c>
      <c r="H135">
        <v>7000</v>
      </c>
      <c r="I135" s="14"/>
      <c r="J135" s="14"/>
    </row>
    <row r="136" spans="1:10">
      <c r="A136">
        <v>45813</v>
      </c>
      <c r="B136" t="s">
        <v>440</v>
      </c>
      <c r="C136" t="s">
        <v>181</v>
      </c>
      <c r="D136" t="s">
        <v>274</v>
      </c>
      <c r="E136" t="s">
        <v>263</v>
      </c>
      <c r="F136" t="s">
        <v>187</v>
      </c>
      <c r="H136">
        <v>4000</v>
      </c>
      <c r="I136" s="14"/>
      <c r="J136" s="14"/>
    </row>
    <row r="137" spans="1:10">
      <c r="A137">
        <v>45813</v>
      </c>
      <c r="B137" t="s">
        <v>438</v>
      </c>
      <c r="C137" t="s">
        <v>181</v>
      </c>
      <c r="D137" t="s">
        <v>130</v>
      </c>
      <c r="E137" t="s">
        <v>44</v>
      </c>
      <c r="F137" t="s">
        <v>85</v>
      </c>
      <c r="H137">
        <v>1000</v>
      </c>
      <c r="I137" s="14"/>
      <c r="J137" s="14"/>
    </row>
    <row r="138" spans="1:10">
      <c r="A138">
        <v>45813</v>
      </c>
      <c r="B138" t="s">
        <v>438</v>
      </c>
      <c r="C138" t="s">
        <v>181</v>
      </c>
      <c r="D138" t="s">
        <v>130</v>
      </c>
      <c r="E138" t="s">
        <v>263</v>
      </c>
      <c r="F138" t="s">
        <v>184</v>
      </c>
      <c r="H138">
        <v>2000</v>
      </c>
      <c r="I138" s="14"/>
      <c r="J138" s="14"/>
    </row>
    <row r="139" spans="1:10">
      <c r="A139">
        <v>45813</v>
      </c>
      <c r="B139" t="s">
        <v>454</v>
      </c>
      <c r="C139" t="s">
        <v>181</v>
      </c>
      <c r="D139" t="s">
        <v>135</v>
      </c>
      <c r="E139" t="s">
        <v>263</v>
      </c>
      <c r="F139" t="s">
        <v>186</v>
      </c>
      <c r="H139">
        <v>360</v>
      </c>
      <c r="I139" s="14"/>
      <c r="J139" s="14"/>
    </row>
    <row r="140" spans="1:10">
      <c r="A140">
        <v>45813</v>
      </c>
      <c r="B140" t="s">
        <v>454</v>
      </c>
      <c r="C140" t="s">
        <v>181</v>
      </c>
      <c r="D140" t="s">
        <v>135</v>
      </c>
      <c r="E140" t="s">
        <v>263</v>
      </c>
      <c r="F140" t="s">
        <v>184</v>
      </c>
      <c r="H140">
        <v>80</v>
      </c>
      <c r="I140" s="14"/>
      <c r="J140" s="14"/>
    </row>
    <row r="141" spans="1:10">
      <c r="A141">
        <v>45813</v>
      </c>
      <c r="B141" t="s">
        <v>454</v>
      </c>
      <c r="C141" t="s">
        <v>181</v>
      </c>
      <c r="D141" t="s">
        <v>135</v>
      </c>
      <c r="E141" t="s">
        <v>46</v>
      </c>
      <c r="F141" t="s">
        <v>92</v>
      </c>
      <c r="H141">
        <v>40</v>
      </c>
      <c r="I141" s="14"/>
      <c r="J141" s="14"/>
    </row>
    <row r="142" spans="1:10">
      <c r="A142">
        <v>45813</v>
      </c>
      <c r="B142" t="s">
        <v>446</v>
      </c>
      <c r="C142" t="s">
        <v>181</v>
      </c>
      <c r="D142" t="s">
        <v>203</v>
      </c>
      <c r="E142" t="s">
        <v>46</v>
      </c>
      <c r="F142" t="s">
        <v>94</v>
      </c>
      <c r="H142">
        <v>500</v>
      </c>
      <c r="I142" s="14"/>
      <c r="J142" s="14"/>
    </row>
    <row r="143" spans="1:10">
      <c r="A143">
        <v>45813</v>
      </c>
      <c r="B143" t="s">
        <v>446</v>
      </c>
      <c r="C143" t="s">
        <v>181</v>
      </c>
      <c r="D143" t="s">
        <v>203</v>
      </c>
      <c r="E143" t="s">
        <v>46</v>
      </c>
      <c r="F143" t="s">
        <v>92</v>
      </c>
      <c r="H143">
        <v>1000</v>
      </c>
      <c r="I143" s="14"/>
      <c r="J143" s="14"/>
    </row>
    <row r="144" spans="1:10">
      <c r="A144">
        <v>45813</v>
      </c>
      <c r="B144" t="s">
        <v>446</v>
      </c>
      <c r="C144" t="s">
        <v>181</v>
      </c>
      <c r="D144" t="s">
        <v>203</v>
      </c>
      <c r="E144" t="s">
        <v>46</v>
      </c>
      <c r="F144" t="s">
        <v>93</v>
      </c>
      <c r="H144">
        <v>500</v>
      </c>
      <c r="I144" s="14"/>
      <c r="J144" s="14"/>
    </row>
    <row r="145" spans="1:10">
      <c r="A145">
        <v>45813</v>
      </c>
      <c r="B145" t="s">
        <v>446</v>
      </c>
      <c r="C145" t="s">
        <v>181</v>
      </c>
      <c r="D145" t="s">
        <v>203</v>
      </c>
      <c r="E145" t="s">
        <v>263</v>
      </c>
      <c r="F145" t="s">
        <v>186</v>
      </c>
      <c r="H145">
        <v>2500</v>
      </c>
      <c r="I145" s="14"/>
      <c r="J145" s="14"/>
    </row>
    <row r="146" spans="1:10">
      <c r="A146">
        <v>45813</v>
      </c>
      <c r="B146" t="s">
        <v>446</v>
      </c>
      <c r="C146" t="s">
        <v>181</v>
      </c>
      <c r="D146" t="s">
        <v>203</v>
      </c>
      <c r="E146" t="s">
        <v>263</v>
      </c>
      <c r="F146" t="s">
        <v>184</v>
      </c>
      <c r="H146">
        <v>1000</v>
      </c>
      <c r="I146" s="14"/>
      <c r="J146" s="14"/>
    </row>
    <row r="147" spans="1:10">
      <c r="A147">
        <v>45813</v>
      </c>
      <c r="B147" t="s">
        <v>446</v>
      </c>
      <c r="C147" t="s">
        <v>181</v>
      </c>
      <c r="D147" t="s">
        <v>203</v>
      </c>
      <c r="E147" t="s">
        <v>263</v>
      </c>
      <c r="F147" t="s">
        <v>187</v>
      </c>
      <c r="H147">
        <v>500</v>
      </c>
      <c r="I147" s="14"/>
      <c r="J147" s="14"/>
    </row>
    <row r="148" spans="1:10">
      <c r="A148">
        <v>45813</v>
      </c>
      <c r="B148" t="s">
        <v>446</v>
      </c>
      <c r="C148" t="s">
        <v>181</v>
      </c>
      <c r="D148" t="s">
        <v>203</v>
      </c>
      <c r="E148" t="s">
        <v>264</v>
      </c>
      <c r="F148" t="s">
        <v>188</v>
      </c>
      <c r="H148">
        <v>1000</v>
      </c>
      <c r="I148" s="14"/>
      <c r="J148" s="14"/>
    </row>
    <row r="149" spans="1:10">
      <c r="A149">
        <v>45813</v>
      </c>
      <c r="B149" t="s">
        <v>452</v>
      </c>
      <c r="C149" t="s">
        <v>443</v>
      </c>
      <c r="D149" t="s">
        <v>237</v>
      </c>
      <c r="E149" t="s">
        <v>46</v>
      </c>
      <c r="F149" t="s">
        <v>94</v>
      </c>
      <c r="H149">
        <v>2000</v>
      </c>
      <c r="I149" s="14"/>
      <c r="J149" s="14"/>
    </row>
    <row r="150" spans="1:10">
      <c r="A150">
        <v>45813</v>
      </c>
      <c r="B150" t="s">
        <v>452</v>
      </c>
      <c r="C150" t="s">
        <v>443</v>
      </c>
      <c r="D150" t="s">
        <v>237</v>
      </c>
      <c r="E150" t="s">
        <v>46</v>
      </c>
      <c r="F150" t="s">
        <v>93</v>
      </c>
      <c r="H150">
        <v>2000</v>
      </c>
      <c r="I150" s="14"/>
      <c r="J150" s="14"/>
    </row>
    <row r="151" spans="1:10">
      <c r="A151">
        <v>45813</v>
      </c>
      <c r="B151" t="s">
        <v>452</v>
      </c>
      <c r="C151" t="s">
        <v>443</v>
      </c>
      <c r="D151" t="s">
        <v>237</v>
      </c>
      <c r="E151" t="s">
        <v>263</v>
      </c>
      <c r="F151" t="s">
        <v>186</v>
      </c>
      <c r="H151">
        <v>6000</v>
      </c>
      <c r="I151" s="14"/>
      <c r="J151" s="14"/>
    </row>
    <row r="152" spans="1:10">
      <c r="A152">
        <v>45813</v>
      </c>
      <c r="B152" t="s">
        <v>452</v>
      </c>
      <c r="C152" t="s">
        <v>443</v>
      </c>
      <c r="D152" t="s">
        <v>237</v>
      </c>
      <c r="E152" t="s">
        <v>263</v>
      </c>
      <c r="F152" t="s">
        <v>184</v>
      </c>
      <c r="H152">
        <v>5000</v>
      </c>
      <c r="I152" s="14"/>
      <c r="J152" s="14"/>
    </row>
    <row r="153" spans="1:10">
      <c r="A153">
        <v>45813</v>
      </c>
      <c r="B153" t="s">
        <v>452</v>
      </c>
      <c r="C153" t="s">
        <v>443</v>
      </c>
      <c r="D153" t="s">
        <v>237</v>
      </c>
      <c r="E153" t="s">
        <v>264</v>
      </c>
      <c r="F153" t="s">
        <v>188</v>
      </c>
      <c r="H153">
        <v>11000</v>
      </c>
      <c r="I153" s="14"/>
      <c r="J153" s="14"/>
    </row>
    <row r="154" spans="1:10">
      <c r="A154">
        <v>45813</v>
      </c>
      <c r="B154" t="s">
        <v>452</v>
      </c>
      <c r="C154" t="s">
        <v>443</v>
      </c>
      <c r="D154" t="s">
        <v>237</v>
      </c>
      <c r="E154" t="s">
        <v>264</v>
      </c>
      <c r="F154" t="s">
        <v>189</v>
      </c>
      <c r="H154">
        <v>2000</v>
      </c>
      <c r="I154" s="14"/>
      <c r="J154" s="14"/>
    </row>
    <row r="155" spans="1:10">
      <c r="A155">
        <v>45814</v>
      </c>
      <c r="B155" t="s">
        <v>454</v>
      </c>
      <c r="C155" t="s">
        <v>181</v>
      </c>
      <c r="D155" t="s">
        <v>135</v>
      </c>
      <c r="E155" t="s">
        <v>46</v>
      </c>
      <c r="F155" t="s">
        <v>92</v>
      </c>
      <c r="H155">
        <v>40</v>
      </c>
      <c r="I155" s="14"/>
      <c r="J155" s="14"/>
    </row>
    <row r="156" spans="1:10">
      <c r="A156">
        <v>45814</v>
      </c>
      <c r="B156" t="s">
        <v>454</v>
      </c>
      <c r="C156" t="s">
        <v>181</v>
      </c>
      <c r="D156" t="s">
        <v>135</v>
      </c>
      <c r="E156" t="s">
        <v>263</v>
      </c>
      <c r="F156" t="s">
        <v>184</v>
      </c>
      <c r="H156">
        <v>40</v>
      </c>
      <c r="I156" s="14"/>
      <c r="J156" s="14"/>
    </row>
    <row r="157" spans="1:10">
      <c r="A157">
        <v>45814</v>
      </c>
      <c r="B157" t="s">
        <v>349</v>
      </c>
      <c r="C157" t="s">
        <v>443</v>
      </c>
      <c r="D157" t="s">
        <v>225</v>
      </c>
      <c r="E157" t="s">
        <v>263</v>
      </c>
      <c r="F157" t="s">
        <v>186</v>
      </c>
      <c r="H157">
        <v>16000</v>
      </c>
      <c r="I157" s="14"/>
      <c r="J157" s="14"/>
    </row>
    <row r="158" spans="1:10">
      <c r="A158">
        <v>45814</v>
      </c>
      <c r="B158" t="s">
        <v>349</v>
      </c>
      <c r="C158" t="s">
        <v>443</v>
      </c>
      <c r="D158" t="s">
        <v>225</v>
      </c>
      <c r="E158" t="s">
        <v>263</v>
      </c>
      <c r="F158" t="s">
        <v>184</v>
      </c>
      <c r="H158">
        <v>2500</v>
      </c>
      <c r="I158" s="14"/>
      <c r="J158" s="14"/>
    </row>
    <row r="159" spans="1:10">
      <c r="A159">
        <v>45814</v>
      </c>
      <c r="B159" t="s">
        <v>349</v>
      </c>
      <c r="C159" t="s">
        <v>443</v>
      </c>
      <c r="D159" t="s">
        <v>225</v>
      </c>
      <c r="E159" t="s">
        <v>264</v>
      </c>
      <c r="F159" t="s">
        <v>188</v>
      </c>
      <c r="H159">
        <v>4500</v>
      </c>
      <c r="I159" s="14"/>
      <c r="J159" s="14"/>
    </row>
    <row r="160" spans="1:10">
      <c r="A160">
        <v>45814</v>
      </c>
      <c r="B160" t="s">
        <v>349</v>
      </c>
      <c r="C160" t="s">
        <v>443</v>
      </c>
      <c r="D160" t="s">
        <v>225</v>
      </c>
      <c r="E160" t="s">
        <v>264</v>
      </c>
      <c r="F160" t="s">
        <v>189</v>
      </c>
      <c r="H160">
        <v>2500</v>
      </c>
      <c r="I160" s="14"/>
      <c r="J160" s="14"/>
    </row>
    <row r="161" spans="1:10">
      <c r="A161">
        <v>45814</v>
      </c>
      <c r="B161" t="s">
        <v>349</v>
      </c>
      <c r="C161" t="s">
        <v>443</v>
      </c>
      <c r="D161" t="s">
        <v>225</v>
      </c>
      <c r="E161" t="s">
        <v>46</v>
      </c>
      <c r="F161" t="s">
        <v>94</v>
      </c>
      <c r="H161">
        <v>1500</v>
      </c>
      <c r="I161" s="14"/>
      <c r="J161" s="14"/>
    </row>
    <row r="162" spans="1:10">
      <c r="A162">
        <v>45814</v>
      </c>
      <c r="B162" t="s">
        <v>349</v>
      </c>
      <c r="C162" t="s">
        <v>443</v>
      </c>
      <c r="D162" t="s">
        <v>225</v>
      </c>
      <c r="E162" t="s">
        <v>46</v>
      </c>
      <c r="F162" t="s">
        <v>92</v>
      </c>
      <c r="H162">
        <v>1000</v>
      </c>
      <c r="I162" s="14"/>
      <c r="J162" s="14"/>
    </row>
    <row r="163" spans="1:10">
      <c r="A163">
        <v>45814</v>
      </c>
      <c r="B163" t="s">
        <v>349</v>
      </c>
      <c r="C163" t="s">
        <v>443</v>
      </c>
      <c r="D163" t="s">
        <v>225</v>
      </c>
      <c r="E163" t="s">
        <v>46</v>
      </c>
      <c r="F163" t="s">
        <v>93</v>
      </c>
      <c r="H163">
        <v>1500</v>
      </c>
      <c r="I163" s="14"/>
      <c r="J163" s="14"/>
    </row>
    <row r="164" spans="1:10">
      <c r="A164">
        <v>45814</v>
      </c>
      <c r="B164" t="s">
        <v>349</v>
      </c>
      <c r="C164" t="s">
        <v>443</v>
      </c>
      <c r="D164" t="s">
        <v>225</v>
      </c>
      <c r="E164" t="s">
        <v>263</v>
      </c>
      <c r="F164" t="s">
        <v>187</v>
      </c>
      <c r="H164">
        <v>500</v>
      </c>
      <c r="I164" s="14"/>
      <c r="J164" s="14"/>
    </row>
    <row r="165" spans="1:10">
      <c r="A165">
        <v>45814</v>
      </c>
      <c r="B165" t="s">
        <v>456</v>
      </c>
      <c r="C165" t="s">
        <v>181</v>
      </c>
      <c r="D165" t="s">
        <v>135</v>
      </c>
      <c r="E165" t="s">
        <v>44</v>
      </c>
      <c r="F165" t="s">
        <v>83</v>
      </c>
      <c r="H165">
        <v>350</v>
      </c>
      <c r="I165" s="14"/>
      <c r="J165" s="14"/>
    </row>
    <row r="166" spans="1:10">
      <c r="A166">
        <v>45814</v>
      </c>
      <c r="B166" t="s">
        <v>456</v>
      </c>
      <c r="C166" t="s">
        <v>181</v>
      </c>
      <c r="D166" t="s">
        <v>135</v>
      </c>
      <c r="E166" t="s">
        <v>44</v>
      </c>
      <c r="F166" t="s">
        <v>85</v>
      </c>
      <c r="H166">
        <v>550</v>
      </c>
      <c r="I166" s="14"/>
      <c r="J166" s="14"/>
    </row>
    <row r="167" spans="1:10">
      <c r="A167">
        <v>45814</v>
      </c>
      <c r="B167" t="s">
        <v>456</v>
      </c>
      <c r="C167" t="s">
        <v>181</v>
      </c>
      <c r="D167" t="s">
        <v>135</v>
      </c>
      <c r="E167" t="s">
        <v>44</v>
      </c>
      <c r="F167" t="s">
        <v>84</v>
      </c>
      <c r="H167">
        <v>200</v>
      </c>
      <c r="I167" s="14"/>
      <c r="J167" s="14"/>
    </row>
    <row r="168" spans="1:10">
      <c r="A168">
        <v>45814</v>
      </c>
      <c r="B168" t="s">
        <v>456</v>
      </c>
      <c r="C168" t="s">
        <v>181</v>
      </c>
      <c r="D168" t="s">
        <v>135</v>
      </c>
      <c r="E168" t="s">
        <v>45</v>
      </c>
      <c r="F168" t="s">
        <v>88</v>
      </c>
      <c r="H168">
        <v>100</v>
      </c>
      <c r="I168" s="14"/>
      <c r="J168" s="14"/>
    </row>
    <row r="169" spans="1:10">
      <c r="A169">
        <v>45814</v>
      </c>
      <c r="B169" t="s">
        <v>456</v>
      </c>
      <c r="C169" t="s">
        <v>181</v>
      </c>
      <c r="D169" t="s">
        <v>135</v>
      </c>
      <c r="E169" t="s">
        <v>46</v>
      </c>
      <c r="F169" t="s">
        <v>93</v>
      </c>
      <c r="H169">
        <v>50</v>
      </c>
      <c r="I169" s="14"/>
      <c r="J169" s="14"/>
    </row>
    <row r="170" spans="1:10">
      <c r="A170">
        <v>45814</v>
      </c>
      <c r="B170" t="s">
        <v>456</v>
      </c>
      <c r="C170" t="s">
        <v>181</v>
      </c>
      <c r="D170" t="s">
        <v>135</v>
      </c>
      <c r="E170" t="s">
        <v>263</v>
      </c>
      <c r="F170" t="s">
        <v>186</v>
      </c>
      <c r="H170">
        <v>200</v>
      </c>
      <c r="I170" s="14"/>
      <c r="J170" s="14"/>
    </row>
    <row r="171" spans="1:10">
      <c r="A171">
        <v>45814</v>
      </c>
      <c r="B171" t="s">
        <v>456</v>
      </c>
      <c r="C171" t="s">
        <v>181</v>
      </c>
      <c r="D171" t="s">
        <v>135</v>
      </c>
      <c r="E171" t="s">
        <v>263</v>
      </c>
      <c r="F171" t="s">
        <v>184</v>
      </c>
      <c r="H171">
        <v>1050</v>
      </c>
      <c r="I171" s="14"/>
      <c r="J171" s="14"/>
    </row>
    <row r="172" spans="1:10">
      <c r="A172">
        <v>45814</v>
      </c>
      <c r="B172" t="s">
        <v>456</v>
      </c>
      <c r="C172" t="s">
        <v>181</v>
      </c>
      <c r="D172" t="s">
        <v>135</v>
      </c>
      <c r="E172" t="s">
        <v>263</v>
      </c>
      <c r="F172" t="s">
        <v>187</v>
      </c>
      <c r="H172">
        <v>1250</v>
      </c>
      <c r="I172" s="14"/>
      <c r="J172" s="14"/>
    </row>
    <row r="173" spans="1:10">
      <c r="A173">
        <v>45814</v>
      </c>
      <c r="B173" t="s">
        <v>456</v>
      </c>
      <c r="C173" t="s">
        <v>181</v>
      </c>
      <c r="D173" t="s">
        <v>135</v>
      </c>
      <c r="E173" t="s">
        <v>46</v>
      </c>
      <c r="F173" t="s">
        <v>92</v>
      </c>
      <c r="H173">
        <v>250</v>
      </c>
      <c r="I173" s="14"/>
      <c r="J173" s="14"/>
    </row>
    <row r="174" spans="1:10">
      <c r="A174">
        <v>45814</v>
      </c>
      <c r="B174" t="s">
        <v>437</v>
      </c>
      <c r="C174" t="s">
        <v>181</v>
      </c>
      <c r="D174" t="s">
        <v>191</v>
      </c>
      <c r="E174" t="s">
        <v>44</v>
      </c>
      <c r="F174" t="s">
        <v>83</v>
      </c>
      <c r="H174">
        <v>13500</v>
      </c>
      <c r="I174" s="14"/>
      <c r="J174" s="14"/>
    </row>
    <row r="175" spans="1:10">
      <c r="A175">
        <v>45814</v>
      </c>
      <c r="B175" t="s">
        <v>437</v>
      </c>
      <c r="C175" t="s">
        <v>181</v>
      </c>
      <c r="D175" t="s">
        <v>191</v>
      </c>
      <c r="E175" t="s">
        <v>44</v>
      </c>
      <c r="F175" t="s">
        <v>85</v>
      </c>
      <c r="H175">
        <v>14000</v>
      </c>
      <c r="I175" s="14"/>
      <c r="J175" s="14"/>
    </row>
    <row r="176" spans="1:10">
      <c r="A176">
        <v>45814</v>
      </c>
      <c r="B176" t="s">
        <v>437</v>
      </c>
      <c r="C176" t="s">
        <v>181</v>
      </c>
      <c r="D176" t="s">
        <v>191</v>
      </c>
      <c r="E176" t="s">
        <v>44</v>
      </c>
      <c r="F176" t="s">
        <v>84</v>
      </c>
      <c r="H176">
        <v>7500</v>
      </c>
      <c r="I176" s="14"/>
      <c r="J176" s="14"/>
    </row>
    <row r="177" spans="1:10">
      <c r="A177">
        <v>45814</v>
      </c>
      <c r="B177" t="s">
        <v>437</v>
      </c>
      <c r="C177" t="s">
        <v>181</v>
      </c>
      <c r="D177" t="s">
        <v>191</v>
      </c>
      <c r="E177" t="s">
        <v>263</v>
      </c>
      <c r="F177" t="s">
        <v>186</v>
      </c>
      <c r="H177">
        <v>105000</v>
      </c>
      <c r="I177" s="14"/>
      <c r="J177" s="14"/>
    </row>
    <row r="178" spans="1:10">
      <c r="A178">
        <v>45814</v>
      </c>
      <c r="B178" t="s">
        <v>437</v>
      </c>
      <c r="C178" t="s">
        <v>181</v>
      </c>
      <c r="D178" t="s">
        <v>191</v>
      </c>
      <c r="E178" t="s">
        <v>263</v>
      </c>
      <c r="F178" t="s">
        <v>184</v>
      </c>
      <c r="H178">
        <v>36000</v>
      </c>
      <c r="I178" s="14"/>
      <c r="J178" s="14"/>
    </row>
    <row r="179" spans="1:10">
      <c r="A179">
        <v>45814</v>
      </c>
      <c r="B179" t="s">
        <v>437</v>
      </c>
      <c r="C179" t="s">
        <v>181</v>
      </c>
      <c r="D179" t="s">
        <v>191</v>
      </c>
      <c r="E179" t="s">
        <v>263</v>
      </c>
      <c r="F179" t="s">
        <v>187</v>
      </c>
      <c r="H179">
        <v>22000</v>
      </c>
      <c r="I179" s="14"/>
      <c r="J179" s="14"/>
    </row>
    <row r="180" spans="1:10">
      <c r="A180">
        <v>45814</v>
      </c>
      <c r="B180" t="s">
        <v>437</v>
      </c>
      <c r="C180" t="s">
        <v>181</v>
      </c>
      <c r="D180" t="s">
        <v>191</v>
      </c>
      <c r="E180" t="s">
        <v>264</v>
      </c>
      <c r="F180" t="s">
        <v>188</v>
      </c>
      <c r="H180">
        <v>36500</v>
      </c>
      <c r="I180" s="14"/>
      <c r="J180" s="14"/>
    </row>
    <row r="181" spans="1:10">
      <c r="A181">
        <v>45814</v>
      </c>
      <c r="B181" t="s">
        <v>437</v>
      </c>
      <c r="C181" t="s">
        <v>181</v>
      </c>
      <c r="D181" t="s">
        <v>191</v>
      </c>
      <c r="E181" t="s">
        <v>264</v>
      </c>
      <c r="F181" t="s">
        <v>189</v>
      </c>
      <c r="H181">
        <v>8500</v>
      </c>
      <c r="I181" s="14"/>
      <c r="J181" s="14"/>
    </row>
    <row r="182" spans="1:10">
      <c r="A182">
        <v>45814</v>
      </c>
      <c r="B182" t="s">
        <v>437</v>
      </c>
      <c r="C182" t="s">
        <v>181</v>
      </c>
      <c r="D182" t="s">
        <v>191</v>
      </c>
      <c r="E182" t="s">
        <v>45</v>
      </c>
      <c r="F182" t="s">
        <v>88</v>
      </c>
      <c r="H182">
        <v>4000</v>
      </c>
      <c r="I182" s="14"/>
      <c r="J182" s="14"/>
    </row>
    <row r="183" spans="1:10">
      <c r="A183">
        <v>45814</v>
      </c>
      <c r="B183" t="s">
        <v>437</v>
      </c>
      <c r="C183" t="s">
        <v>181</v>
      </c>
      <c r="D183" t="s">
        <v>191</v>
      </c>
      <c r="E183" t="s">
        <v>46</v>
      </c>
      <c r="F183" t="s">
        <v>94</v>
      </c>
      <c r="H183">
        <v>13500</v>
      </c>
      <c r="I183" s="14"/>
      <c r="J183" s="14"/>
    </row>
    <row r="184" spans="1:10">
      <c r="A184">
        <v>45814</v>
      </c>
      <c r="B184" t="s">
        <v>437</v>
      </c>
      <c r="C184" t="s">
        <v>181</v>
      </c>
      <c r="D184" t="s">
        <v>191</v>
      </c>
      <c r="E184" t="s">
        <v>46</v>
      </c>
      <c r="F184" t="s">
        <v>92</v>
      </c>
      <c r="H184">
        <v>19500</v>
      </c>
      <c r="I184" s="14"/>
      <c r="J184" s="14"/>
    </row>
    <row r="185" spans="1:10">
      <c r="A185">
        <v>45814</v>
      </c>
      <c r="B185" t="s">
        <v>437</v>
      </c>
      <c r="C185" t="s">
        <v>181</v>
      </c>
      <c r="D185" t="s">
        <v>191</v>
      </c>
      <c r="E185" t="s">
        <v>46</v>
      </c>
      <c r="F185" t="s">
        <v>93</v>
      </c>
      <c r="H185">
        <v>13000</v>
      </c>
      <c r="I185" s="14"/>
      <c r="J185" s="14"/>
    </row>
    <row r="186" spans="1:10">
      <c r="A186">
        <v>45817</v>
      </c>
      <c r="B186" t="s">
        <v>456</v>
      </c>
      <c r="C186" t="s">
        <v>181</v>
      </c>
      <c r="D186" t="s">
        <v>135</v>
      </c>
      <c r="E186" t="s">
        <v>44</v>
      </c>
      <c r="F186" t="s">
        <v>83</v>
      </c>
      <c r="H186">
        <v>0</v>
      </c>
      <c r="I186" s="14"/>
      <c r="J186" s="14"/>
    </row>
    <row r="187" spans="1:10">
      <c r="A187">
        <v>45817</v>
      </c>
      <c r="B187" t="s">
        <v>456</v>
      </c>
      <c r="C187" t="s">
        <v>181</v>
      </c>
      <c r="D187" t="s">
        <v>135</v>
      </c>
      <c r="E187" t="s">
        <v>44</v>
      </c>
      <c r="F187" t="s">
        <v>85</v>
      </c>
      <c r="H187">
        <v>0</v>
      </c>
      <c r="I187" s="14"/>
      <c r="J187" s="14"/>
    </row>
    <row r="188" spans="1:10">
      <c r="A188">
        <v>45817</v>
      </c>
      <c r="B188" t="s">
        <v>456</v>
      </c>
      <c r="C188" t="s">
        <v>181</v>
      </c>
      <c r="D188" t="s">
        <v>135</v>
      </c>
      <c r="E188" t="s">
        <v>45</v>
      </c>
      <c r="F188" t="s">
        <v>88</v>
      </c>
      <c r="H188">
        <v>0</v>
      </c>
      <c r="I188" s="14"/>
      <c r="J188" s="14"/>
    </row>
    <row r="189" spans="1:10">
      <c r="A189">
        <v>45817</v>
      </c>
      <c r="B189" t="s">
        <v>456</v>
      </c>
      <c r="C189" t="s">
        <v>181</v>
      </c>
      <c r="D189" t="s">
        <v>135</v>
      </c>
      <c r="E189" t="s">
        <v>263</v>
      </c>
      <c r="F189" t="s">
        <v>186</v>
      </c>
      <c r="H189">
        <v>0</v>
      </c>
      <c r="I189" s="14"/>
      <c r="J189" s="14"/>
    </row>
    <row r="190" spans="1:10">
      <c r="A190">
        <v>45817</v>
      </c>
      <c r="B190" t="s">
        <v>456</v>
      </c>
      <c r="C190" t="s">
        <v>181</v>
      </c>
      <c r="D190" t="s">
        <v>135</v>
      </c>
      <c r="E190" t="s">
        <v>263</v>
      </c>
      <c r="F190" t="s">
        <v>184</v>
      </c>
      <c r="H190">
        <v>0</v>
      </c>
      <c r="I190" s="14"/>
      <c r="J190" s="14"/>
    </row>
    <row r="191" spans="1:10">
      <c r="A191">
        <v>45817</v>
      </c>
      <c r="B191" t="s">
        <v>456</v>
      </c>
      <c r="C191" t="s">
        <v>181</v>
      </c>
      <c r="D191" t="s">
        <v>135</v>
      </c>
      <c r="E191" t="s">
        <v>263</v>
      </c>
      <c r="F191" t="s">
        <v>187</v>
      </c>
      <c r="H191">
        <v>0</v>
      </c>
      <c r="I191" s="14"/>
      <c r="J191" s="14"/>
    </row>
    <row r="192" spans="1:10">
      <c r="A192">
        <v>45817</v>
      </c>
      <c r="B192" t="s">
        <v>451</v>
      </c>
      <c r="C192" t="s">
        <v>443</v>
      </c>
      <c r="D192" t="s">
        <v>222</v>
      </c>
      <c r="E192" t="s">
        <v>44</v>
      </c>
      <c r="F192" t="s">
        <v>85</v>
      </c>
      <c r="H192">
        <v>500</v>
      </c>
      <c r="I192" s="14"/>
      <c r="J192" s="14"/>
    </row>
    <row r="193" spans="1:10">
      <c r="A193">
        <v>45817</v>
      </c>
      <c r="B193" t="s">
        <v>451</v>
      </c>
      <c r="C193" t="s">
        <v>443</v>
      </c>
      <c r="D193" t="s">
        <v>222</v>
      </c>
      <c r="E193" t="s">
        <v>44</v>
      </c>
      <c r="F193" t="s">
        <v>84</v>
      </c>
      <c r="H193">
        <v>500</v>
      </c>
      <c r="I193" s="14"/>
      <c r="J193" s="14"/>
    </row>
    <row r="194" spans="1:10">
      <c r="A194">
        <v>45817</v>
      </c>
      <c r="B194" t="s">
        <v>451</v>
      </c>
      <c r="C194" t="s">
        <v>443</v>
      </c>
      <c r="D194" t="s">
        <v>222</v>
      </c>
      <c r="E194" t="s">
        <v>45</v>
      </c>
      <c r="F194" t="s">
        <v>88</v>
      </c>
      <c r="H194">
        <v>500</v>
      </c>
      <c r="I194" s="14"/>
      <c r="J194" s="14"/>
    </row>
    <row r="195" spans="1:10">
      <c r="A195">
        <v>45817</v>
      </c>
      <c r="B195" t="s">
        <v>451</v>
      </c>
      <c r="C195" t="s">
        <v>443</v>
      </c>
      <c r="D195" t="s">
        <v>222</v>
      </c>
      <c r="E195" t="s">
        <v>46</v>
      </c>
      <c r="F195" t="s">
        <v>94</v>
      </c>
      <c r="H195">
        <v>4500</v>
      </c>
      <c r="I195" s="14"/>
      <c r="J195" s="14"/>
    </row>
    <row r="196" spans="1:10">
      <c r="A196">
        <v>45817</v>
      </c>
      <c r="B196" t="s">
        <v>451</v>
      </c>
      <c r="C196" t="s">
        <v>443</v>
      </c>
      <c r="D196" t="s">
        <v>222</v>
      </c>
      <c r="E196" t="s">
        <v>46</v>
      </c>
      <c r="F196" t="s">
        <v>92</v>
      </c>
      <c r="H196">
        <v>5000</v>
      </c>
      <c r="I196" s="14"/>
      <c r="J196" s="14"/>
    </row>
    <row r="197" spans="1:10">
      <c r="A197">
        <v>45817</v>
      </c>
      <c r="B197" t="s">
        <v>451</v>
      </c>
      <c r="C197" t="s">
        <v>443</v>
      </c>
      <c r="D197" t="s">
        <v>222</v>
      </c>
      <c r="E197" t="s">
        <v>46</v>
      </c>
      <c r="F197" t="s">
        <v>93</v>
      </c>
      <c r="H197">
        <v>4000</v>
      </c>
      <c r="I197" s="14"/>
      <c r="J197" s="14"/>
    </row>
    <row r="198" spans="1:10">
      <c r="A198">
        <v>45817</v>
      </c>
      <c r="B198" t="s">
        <v>451</v>
      </c>
      <c r="C198" t="s">
        <v>443</v>
      </c>
      <c r="D198" t="s">
        <v>222</v>
      </c>
      <c r="E198" t="s">
        <v>263</v>
      </c>
      <c r="F198" t="s">
        <v>186</v>
      </c>
      <c r="H198">
        <v>11000</v>
      </c>
      <c r="I198" s="14"/>
      <c r="J198" s="14"/>
    </row>
    <row r="199" spans="1:10">
      <c r="A199">
        <v>45817</v>
      </c>
      <c r="B199" t="s">
        <v>451</v>
      </c>
      <c r="C199" t="s">
        <v>443</v>
      </c>
      <c r="D199" t="s">
        <v>222</v>
      </c>
      <c r="E199" t="s">
        <v>263</v>
      </c>
      <c r="F199" t="s">
        <v>184</v>
      </c>
      <c r="H199">
        <v>2000</v>
      </c>
      <c r="I199" s="14"/>
      <c r="J199" s="14"/>
    </row>
    <row r="200" spans="1:10">
      <c r="A200">
        <v>45817</v>
      </c>
      <c r="B200" t="s">
        <v>451</v>
      </c>
      <c r="C200" t="s">
        <v>443</v>
      </c>
      <c r="D200" t="s">
        <v>222</v>
      </c>
      <c r="E200" t="s">
        <v>263</v>
      </c>
      <c r="F200" t="s">
        <v>187</v>
      </c>
      <c r="H200">
        <v>500</v>
      </c>
      <c r="I200" s="14"/>
      <c r="J200" s="14"/>
    </row>
    <row r="201" spans="1:10">
      <c r="A201">
        <v>45817</v>
      </c>
      <c r="B201" t="s">
        <v>451</v>
      </c>
      <c r="C201" t="s">
        <v>443</v>
      </c>
      <c r="D201" t="s">
        <v>222</v>
      </c>
      <c r="E201" t="s">
        <v>264</v>
      </c>
      <c r="F201" t="s">
        <v>188</v>
      </c>
      <c r="H201">
        <v>2000</v>
      </c>
      <c r="I201" s="14"/>
      <c r="J201" s="14"/>
    </row>
    <row r="202" spans="1:10">
      <c r="A202">
        <v>45817</v>
      </c>
      <c r="B202" t="s">
        <v>437</v>
      </c>
      <c r="C202" t="s">
        <v>181</v>
      </c>
      <c r="D202" t="s">
        <v>191</v>
      </c>
      <c r="E202" t="s">
        <v>44</v>
      </c>
      <c r="F202" t="s">
        <v>83</v>
      </c>
      <c r="H202">
        <v>1000</v>
      </c>
      <c r="I202" s="14"/>
      <c r="J202" s="14"/>
    </row>
    <row r="203" spans="1:10">
      <c r="A203">
        <v>45817</v>
      </c>
      <c r="B203" t="s">
        <v>437</v>
      </c>
      <c r="C203" t="s">
        <v>181</v>
      </c>
      <c r="D203" t="s">
        <v>191</v>
      </c>
      <c r="E203" t="s">
        <v>44</v>
      </c>
      <c r="F203" t="s">
        <v>85</v>
      </c>
      <c r="H203">
        <v>1500</v>
      </c>
      <c r="I203" s="14"/>
      <c r="J203" s="14"/>
    </row>
    <row r="204" spans="1:10">
      <c r="A204">
        <v>45817</v>
      </c>
      <c r="B204" t="s">
        <v>437</v>
      </c>
      <c r="C204" t="s">
        <v>181</v>
      </c>
      <c r="D204" t="s">
        <v>191</v>
      </c>
      <c r="E204" t="s">
        <v>44</v>
      </c>
      <c r="F204" t="s">
        <v>84</v>
      </c>
      <c r="H204">
        <v>500</v>
      </c>
      <c r="I204" s="14"/>
      <c r="J204" s="14"/>
    </row>
    <row r="205" spans="1:10">
      <c r="A205">
        <v>45817</v>
      </c>
      <c r="B205" t="s">
        <v>437</v>
      </c>
      <c r="C205" t="s">
        <v>181</v>
      </c>
      <c r="D205" t="s">
        <v>191</v>
      </c>
      <c r="E205" t="s">
        <v>263</v>
      </c>
      <c r="F205" t="s">
        <v>186</v>
      </c>
      <c r="H205">
        <v>24000</v>
      </c>
      <c r="I205" s="14"/>
      <c r="J205" s="14"/>
    </row>
    <row r="206" spans="1:10">
      <c r="A206">
        <v>45817</v>
      </c>
      <c r="B206" t="s">
        <v>437</v>
      </c>
      <c r="C206" t="s">
        <v>181</v>
      </c>
      <c r="D206" t="s">
        <v>191</v>
      </c>
      <c r="E206" t="s">
        <v>263</v>
      </c>
      <c r="F206" t="s">
        <v>184</v>
      </c>
      <c r="H206">
        <v>8000</v>
      </c>
      <c r="I206" s="14"/>
      <c r="J206" s="14"/>
    </row>
    <row r="207" spans="1:10">
      <c r="A207">
        <v>45817</v>
      </c>
      <c r="B207" t="s">
        <v>437</v>
      </c>
      <c r="C207" t="s">
        <v>181</v>
      </c>
      <c r="D207" t="s">
        <v>191</v>
      </c>
      <c r="E207" t="s">
        <v>263</v>
      </c>
      <c r="F207" t="s">
        <v>187</v>
      </c>
      <c r="H207">
        <v>2000</v>
      </c>
      <c r="I207" s="14"/>
      <c r="J207" s="14"/>
    </row>
    <row r="208" spans="1:10">
      <c r="A208">
        <v>45817</v>
      </c>
      <c r="B208" t="s">
        <v>437</v>
      </c>
      <c r="C208" t="s">
        <v>181</v>
      </c>
      <c r="D208" t="s">
        <v>191</v>
      </c>
      <c r="E208" t="s">
        <v>264</v>
      </c>
      <c r="F208" t="s">
        <v>188</v>
      </c>
      <c r="H208">
        <v>3500</v>
      </c>
      <c r="I208" s="14"/>
      <c r="J208" s="14"/>
    </row>
    <row r="209" spans="1:10">
      <c r="A209">
        <v>45817</v>
      </c>
      <c r="B209" t="s">
        <v>437</v>
      </c>
      <c r="C209" t="s">
        <v>181</v>
      </c>
      <c r="D209" t="s">
        <v>191</v>
      </c>
      <c r="E209" t="s">
        <v>264</v>
      </c>
      <c r="F209" t="s">
        <v>189</v>
      </c>
      <c r="H209">
        <v>1500</v>
      </c>
      <c r="I209" s="14"/>
      <c r="J209" s="14"/>
    </row>
    <row r="210" spans="1:10">
      <c r="A210">
        <v>45817</v>
      </c>
      <c r="B210" t="s">
        <v>437</v>
      </c>
      <c r="C210" t="s">
        <v>181</v>
      </c>
      <c r="D210" t="s">
        <v>191</v>
      </c>
      <c r="E210" t="s">
        <v>45</v>
      </c>
      <c r="F210" t="s">
        <v>88</v>
      </c>
      <c r="H210">
        <v>1000</v>
      </c>
      <c r="I210" s="14"/>
      <c r="J210" s="14"/>
    </row>
    <row r="211" spans="1:10">
      <c r="A211">
        <v>45817</v>
      </c>
      <c r="B211" t="s">
        <v>437</v>
      </c>
      <c r="C211" t="s">
        <v>181</v>
      </c>
      <c r="D211" t="s">
        <v>191</v>
      </c>
      <c r="E211" t="s">
        <v>46</v>
      </c>
      <c r="F211" t="s">
        <v>94</v>
      </c>
      <c r="H211">
        <v>3500</v>
      </c>
      <c r="I211" s="14"/>
      <c r="J211" s="14"/>
    </row>
    <row r="212" spans="1:10">
      <c r="A212">
        <v>45817</v>
      </c>
      <c r="B212" t="s">
        <v>437</v>
      </c>
      <c r="C212" t="s">
        <v>181</v>
      </c>
      <c r="D212" t="s">
        <v>191</v>
      </c>
      <c r="E212" t="s">
        <v>46</v>
      </c>
      <c r="F212" t="s">
        <v>92</v>
      </c>
      <c r="H212">
        <v>8000</v>
      </c>
      <c r="I212" s="14"/>
      <c r="J212" s="14"/>
    </row>
    <row r="213" spans="1:10">
      <c r="A213">
        <v>45817</v>
      </c>
      <c r="B213" t="s">
        <v>437</v>
      </c>
      <c r="C213" t="s">
        <v>181</v>
      </c>
      <c r="D213" t="s">
        <v>191</v>
      </c>
      <c r="E213" t="s">
        <v>46</v>
      </c>
      <c r="F213" t="s">
        <v>93</v>
      </c>
      <c r="H213">
        <v>1500</v>
      </c>
      <c r="I213" s="14"/>
      <c r="J213" s="14"/>
    </row>
    <row r="214" spans="1:10">
      <c r="A214">
        <v>45817</v>
      </c>
      <c r="B214" t="s">
        <v>457</v>
      </c>
      <c r="C214" t="s">
        <v>181</v>
      </c>
      <c r="D214" t="s">
        <v>135</v>
      </c>
      <c r="E214" t="s">
        <v>44</v>
      </c>
      <c r="F214" t="s">
        <v>85</v>
      </c>
      <c r="H214">
        <v>60</v>
      </c>
      <c r="I214" s="14"/>
      <c r="J214" s="14"/>
    </row>
    <row r="215" spans="1:10">
      <c r="A215">
        <v>45817</v>
      </c>
      <c r="B215" t="s">
        <v>457</v>
      </c>
      <c r="C215" t="s">
        <v>181</v>
      </c>
      <c r="D215" t="s">
        <v>135</v>
      </c>
      <c r="E215" t="s">
        <v>46</v>
      </c>
      <c r="F215" t="s">
        <v>94</v>
      </c>
      <c r="H215">
        <v>30</v>
      </c>
      <c r="I215" s="14"/>
      <c r="J215" s="14"/>
    </row>
    <row r="216" spans="1:10">
      <c r="A216">
        <v>45817</v>
      </c>
      <c r="B216" t="s">
        <v>457</v>
      </c>
      <c r="C216" t="s">
        <v>181</v>
      </c>
      <c r="D216" t="s">
        <v>135</v>
      </c>
      <c r="E216" t="s">
        <v>263</v>
      </c>
      <c r="F216" t="s">
        <v>186</v>
      </c>
      <c r="H216">
        <v>390</v>
      </c>
      <c r="I216" s="14"/>
      <c r="J216" s="14"/>
    </row>
    <row r="217" spans="1:10">
      <c r="A217">
        <v>45817</v>
      </c>
      <c r="B217" t="s">
        <v>457</v>
      </c>
      <c r="C217" t="s">
        <v>181</v>
      </c>
      <c r="D217" t="s">
        <v>135</v>
      </c>
      <c r="E217" t="s">
        <v>263</v>
      </c>
      <c r="F217" t="s">
        <v>184</v>
      </c>
      <c r="H217">
        <v>230</v>
      </c>
      <c r="I217" s="14"/>
      <c r="J217" s="14"/>
    </row>
    <row r="218" spans="1:10">
      <c r="A218">
        <v>45817</v>
      </c>
      <c r="B218" t="s">
        <v>457</v>
      </c>
      <c r="C218" t="s">
        <v>181</v>
      </c>
      <c r="D218" t="s">
        <v>135</v>
      </c>
      <c r="E218" t="s">
        <v>263</v>
      </c>
      <c r="F218" t="s">
        <v>187</v>
      </c>
      <c r="H218">
        <v>110</v>
      </c>
      <c r="I218" s="14"/>
      <c r="J218" s="14"/>
    </row>
    <row r="219" spans="1:10">
      <c r="A219">
        <v>45817</v>
      </c>
      <c r="B219" t="s">
        <v>457</v>
      </c>
      <c r="C219" t="s">
        <v>181</v>
      </c>
      <c r="D219" t="s">
        <v>135</v>
      </c>
      <c r="E219" t="s">
        <v>264</v>
      </c>
      <c r="F219" t="s">
        <v>188</v>
      </c>
      <c r="H219">
        <v>130</v>
      </c>
      <c r="I219" s="14"/>
      <c r="J219" s="14"/>
    </row>
    <row r="220" spans="1:10">
      <c r="A220">
        <v>45817</v>
      </c>
      <c r="B220" t="s">
        <v>457</v>
      </c>
      <c r="C220" t="s">
        <v>181</v>
      </c>
      <c r="D220" t="s">
        <v>135</v>
      </c>
      <c r="E220" t="s">
        <v>46</v>
      </c>
      <c r="F220" t="s">
        <v>92</v>
      </c>
      <c r="H220">
        <v>310</v>
      </c>
      <c r="I220" s="14"/>
      <c r="J220" s="14"/>
    </row>
    <row r="221" spans="1:10">
      <c r="A221">
        <v>45817</v>
      </c>
      <c r="B221" t="s">
        <v>457</v>
      </c>
      <c r="C221" t="s">
        <v>181</v>
      </c>
      <c r="D221" t="s">
        <v>135</v>
      </c>
      <c r="E221" t="s">
        <v>44</v>
      </c>
      <c r="F221" t="s">
        <v>84</v>
      </c>
      <c r="H221">
        <v>60</v>
      </c>
      <c r="I221" s="14"/>
      <c r="J221" s="14"/>
    </row>
    <row r="222" spans="1:10">
      <c r="A222">
        <v>45817</v>
      </c>
      <c r="B222" t="s">
        <v>457</v>
      </c>
      <c r="C222" t="s">
        <v>181</v>
      </c>
      <c r="D222" t="s">
        <v>135</v>
      </c>
      <c r="E222" t="s">
        <v>46</v>
      </c>
      <c r="F222" t="s">
        <v>93</v>
      </c>
      <c r="H222">
        <v>10</v>
      </c>
      <c r="I222" s="14"/>
      <c r="J222" s="14"/>
    </row>
    <row r="223" spans="1:10">
      <c r="A223">
        <v>45817</v>
      </c>
      <c r="B223" t="s">
        <v>441</v>
      </c>
      <c r="C223" t="s">
        <v>181</v>
      </c>
      <c r="D223" t="s">
        <v>135</v>
      </c>
      <c r="E223" t="s">
        <v>44</v>
      </c>
      <c r="F223" t="s">
        <v>83</v>
      </c>
      <c r="H223">
        <v>10</v>
      </c>
      <c r="I223" s="14"/>
      <c r="J223" s="14"/>
    </row>
    <row r="224" spans="1:10">
      <c r="A224">
        <v>45817</v>
      </c>
      <c r="B224" t="s">
        <v>441</v>
      </c>
      <c r="C224" t="s">
        <v>181</v>
      </c>
      <c r="D224" t="s">
        <v>135</v>
      </c>
      <c r="E224" t="s">
        <v>44</v>
      </c>
      <c r="F224" t="s">
        <v>85</v>
      </c>
      <c r="H224">
        <v>100</v>
      </c>
      <c r="I224" s="14"/>
      <c r="J224" s="14"/>
    </row>
    <row r="225" spans="1:10">
      <c r="A225">
        <v>45817</v>
      </c>
      <c r="B225" t="s">
        <v>441</v>
      </c>
      <c r="C225" t="s">
        <v>181</v>
      </c>
      <c r="D225" t="s">
        <v>135</v>
      </c>
      <c r="E225" t="s">
        <v>44</v>
      </c>
      <c r="F225" t="s">
        <v>84</v>
      </c>
      <c r="H225">
        <v>40</v>
      </c>
      <c r="I225" s="14"/>
      <c r="J225" s="14"/>
    </row>
    <row r="226" spans="1:10">
      <c r="A226">
        <v>45817</v>
      </c>
      <c r="B226" t="s">
        <v>441</v>
      </c>
      <c r="C226" t="s">
        <v>181</v>
      </c>
      <c r="D226" t="s">
        <v>135</v>
      </c>
      <c r="E226" t="s">
        <v>46</v>
      </c>
      <c r="F226" t="s">
        <v>92</v>
      </c>
      <c r="H226">
        <v>90</v>
      </c>
      <c r="I226" s="14"/>
      <c r="J226" s="14"/>
    </row>
    <row r="227" spans="1:10">
      <c r="A227">
        <v>45817</v>
      </c>
      <c r="B227" t="s">
        <v>441</v>
      </c>
      <c r="C227" t="s">
        <v>181</v>
      </c>
      <c r="D227" t="s">
        <v>135</v>
      </c>
      <c r="E227" t="s">
        <v>46</v>
      </c>
      <c r="F227" t="s">
        <v>93</v>
      </c>
      <c r="H227">
        <v>20</v>
      </c>
      <c r="I227" s="14"/>
      <c r="J227" s="14"/>
    </row>
    <row r="228" spans="1:10">
      <c r="A228">
        <v>45817</v>
      </c>
      <c r="B228" t="s">
        <v>441</v>
      </c>
      <c r="C228" t="s">
        <v>181</v>
      </c>
      <c r="D228" t="s">
        <v>135</v>
      </c>
      <c r="E228" t="s">
        <v>263</v>
      </c>
      <c r="F228" t="s">
        <v>186</v>
      </c>
      <c r="H228">
        <v>570</v>
      </c>
      <c r="I228" s="14"/>
      <c r="J228" s="14"/>
    </row>
    <row r="229" spans="1:10">
      <c r="A229">
        <v>45817</v>
      </c>
      <c r="B229" t="s">
        <v>441</v>
      </c>
      <c r="C229" t="s">
        <v>181</v>
      </c>
      <c r="D229" t="s">
        <v>135</v>
      </c>
      <c r="E229" t="s">
        <v>263</v>
      </c>
      <c r="F229" t="s">
        <v>184</v>
      </c>
      <c r="H229">
        <v>570</v>
      </c>
      <c r="I229" s="14"/>
      <c r="J229" s="14"/>
    </row>
    <row r="230" spans="1:10">
      <c r="A230">
        <v>45817</v>
      </c>
      <c r="B230" t="s">
        <v>441</v>
      </c>
      <c r="C230" t="s">
        <v>181</v>
      </c>
      <c r="D230" t="s">
        <v>135</v>
      </c>
      <c r="E230" t="s">
        <v>264</v>
      </c>
      <c r="F230" t="s">
        <v>188</v>
      </c>
      <c r="H230">
        <v>110</v>
      </c>
      <c r="I230" s="14"/>
      <c r="J230" s="14"/>
    </row>
    <row r="231" spans="1:10">
      <c r="A231">
        <v>45817</v>
      </c>
      <c r="B231" t="s">
        <v>458</v>
      </c>
      <c r="C231" t="s">
        <v>443</v>
      </c>
      <c r="D231" t="s">
        <v>219</v>
      </c>
      <c r="E231" t="s">
        <v>44</v>
      </c>
      <c r="F231" t="s">
        <v>85</v>
      </c>
      <c r="H231">
        <v>200</v>
      </c>
      <c r="I231" s="14"/>
      <c r="J231" s="14"/>
    </row>
    <row r="232" spans="1:10">
      <c r="A232">
        <v>45817</v>
      </c>
      <c r="B232" t="s">
        <v>458</v>
      </c>
      <c r="C232" t="s">
        <v>443</v>
      </c>
      <c r="D232" t="s">
        <v>219</v>
      </c>
      <c r="E232" t="s">
        <v>263</v>
      </c>
      <c r="F232" t="s">
        <v>186</v>
      </c>
      <c r="H232">
        <v>3000</v>
      </c>
      <c r="I232" s="14"/>
      <c r="J232" s="14"/>
    </row>
    <row r="233" spans="1:10">
      <c r="A233">
        <v>45817</v>
      </c>
      <c r="B233" t="s">
        <v>458</v>
      </c>
      <c r="C233" t="s">
        <v>443</v>
      </c>
      <c r="D233" t="s">
        <v>219</v>
      </c>
      <c r="E233" t="s">
        <v>264</v>
      </c>
      <c r="F233" t="s">
        <v>188</v>
      </c>
      <c r="H233">
        <v>1500</v>
      </c>
      <c r="I233" s="14"/>
      <c r="J233" s="14"/>
    </row>
    <row r="234" spans="1:10">
      <c r="A234">
        <v>45817</v>
      </c>
      <c r="B234" t="s">
        <v>458</v>
      </c>
      <c r="C234" t="s">
        <v>443</v>
      </c>
      <c r="D234" t="s">
        <v>219</v>
      </c>
      <c r="E234" t="s">
        <v>264</v>
      </c>
      <c r="F234" t="s">
        <v>189</v>
      </c>
      <c r="H234">
        <v>500</v>
      </c>
      <c r="I234" s="14"/>
      <c r="J234" s="14"/>
    </row>
    <row r="235" spans="1:10">
      <c r="A235">
        <v>45818</v>
      </c>
      <c r="B235" t="s">
        <v>434</v>
      </c>
      <c r="C235" t="s">
        <v>181</v>
      </c>
      <c r="D235" t="s">
        <v>135</v>
      </c>
      <c r="E235" t="s">
        <v>44</v>
      </c>
      <c r="F235" t="s">
        <v>85</v>
      </c>
      <c r="H235">
        <v>500</v>
      </c>
      <c r="I235" s="14"/>
      <c r="J235" s="14"/>
    </row>
    <row r="236" spans="1:10">
      <c r="A236">
        <v>45818</v>
      </c>
      <c r="B236" t="s">
        <v>434</v>
      </c>
      <c r="C236" t="s">
        <v>181</v>
      </c>
      <c r="D236" t="s">
        <v>135</v>
      </c>
      <c r="E236" t="s">
        <v>263</v>
      </c>
      <c r="F236" t="s">
        <v>186</v>
      </c>
      <c r="H236">
        <v>1000</v>
      </c>
      <c r="I236" s="14"/>
      <c r="J236" s="14"/>
    </row>
    <row r="237" spans="1:10">
      <c r="A237">
        <v>45818</v>
      </c>
      <c r="B237" t="s">
        <v>434</v>
      </c>
      <c r="C237" t="s">
        <v>181</v>
      </c>
      <c r="D237" t="s">
        <v>135</v>
      </c>
      <c r="E237" t="s">
        <v>263</v>
      </c>
      <c r="F237" t="s">
        <v>184</v>
      </c>
      <c r="H237">
        <v>1000</v>
      </c>
      <c r="I237" s="14"/>
      <c r="J237" s="14"/>
    </row>
    <row r="238" spans="1:10">
      <c r="A238">
        <v>45818</v>
      </c>
      <c r="B238" t="s">
        <v>434</v>
      </c>
      <c r="C238" t="s">
        <v>181</v>
      </c>
      <c r="D238" t="s">
        <v>135</v>
      </c>
      <c r="E238" t="s">
        <v>263</v>
      </c>
      <c r="F238" t="s">
        <v>187</v>
      </c>
      <c r="H238">
        <v>500</v>
      </c>
      <c r="I238" s="14"/>
      <c r="J238" s="14"/>
    </row>
    <row r="239" spans="1:10">
      <c r="A239">
        <v>45818</v>
      </c>
      <c r="B239" t="s">
        <v>434</v>
      </c>
      <c r="C239" t="s">
        <v>181</v>
      </c>
      <c r="D239" t="s">
        <v>135</v>
      </c>
      <c r="E239" t="s">
        <v>264</v>
      </c>
      <c r="F239" t="s">
        <v>188</v>
      </c>
      <c r="H239">
        <v>1000</v>
      </c>
      <c r="I239" s="14"/>
      <c r="J239" s="14"/>
    </row>
    <row r="240" spans="1:10">
      <c r="A240">
        <v>45818</v>
      </c>
      <c r="B240" t="s">
        <v>440</v>
      </c>
      <c r="C240" t="s">
        <v>181</v>
      </c>
      <c r="D240" t="s">
        <v>274</v>
      </c>
      <c r="E240" t="s">
        <v>263</v>
      </c>
      <c r="F240" t="s">
        <v>187</v>
      </c>
      <c r="H240">
        <v>1500</v>
      </c>
      <c r="I240" s="14"/>
      <c r="J240" s="14"/>
    </row>
    <row r="241" spans="1:10">
      <c r="A241">
        <v>45818</v>
      </c>
      <c r="B241" t="s">
        <v>440</v>
      </c>
      <c r="C241" t="s">
        <v>181</v>
      </c>
      <c r="D241" t="s">
        <v>274</v>
      </c>
      <c r="E241" t="s">
        <v>46</v>
      </c>
      <c r="F241" t="s">
        <v>94</v>
      </c>
      <c r="H241">
        <v>500</v>
      </c>
      <c r="I241" s="14"/>
      <c r="J241" s="14"/>
    </row>
    <row r="242" spans="1:10">
      <c r="A242">
        <v>45818</v>
      </c>
      <c r="B242" t="s">
        <v>440</v>
      </c>
      <c r="C242" t="s">
        <v>181</v>
      </c>
      <c r="D242" t="s">
        <v>274</v>
      </c>
      <c r="E242" t="s">
        <v>46</v>
      </c>
      <c r="F242" t="s">
        <v>92</v>
      </c>
      <c r="H242">
        <v>1000</v>
      </c>
      <c r="I242" s="14"/>
      <c r="J242" s="14"/>
    </row>
    <row r="243" spans="1:10">
      <c r="A243">
        <v>45818</v>
      </c>
      <c r="B243" t="s">
        <v>440</v>
      </c>
      <c r="C243" t="s">
        <v>181</v>
      </c>
      <c r="D243" t="s">
        <v>274</v>
      </c>
      <c r="E243" t="s">
        <v>46</v>
      </c>
      <c r="F243" t="s">
        <v>93</v>
      </c>
      <c r="H243">
        <v>500</v>
      </c>
      <c r="I243" s="14"/>
      <c r="J243" s="14"/>
    </row>
    <row r="244" spans="1:10">
      <c r="A244">
        <v>45818</v>
      </c>
      <c r="B244" t="s">
        <v>440</v>
      </c>
      <c r="C244" t="s">
        <v>181</v>
      </c>
      <c r="D244" t="s">
        <v>274</v>
      </c>
      <c r="E244" t="s">
        <v>263</v>
      </c>
      <c r="F244" t="s">
        <v>186</v>
      </c>
      <c r="H244">
        <v>4500</v>
      </c>
      <c r="I244" s="14"/>
      <c r="J244" s="14"/>
    </row>
    <row r="245" spans="1:10">
      <c r="A245">
        <v>45818</v>
      </c>
      <c r="B245" t="s">
        <v>440</v>
      </c>
      <c r="C245" t="s">
        <v>181</v>
      </c>
      <c r="D245" t="s">
        <v>274</v>
      </c>
      <c r="E245" t="s">
        <v>263</v>
      </c>
      <c r="F245" t="s">
        <v>184</v>
      </c>
      <c r="H245">
        <v>2000</v>
      </c>
      <c r="I245" s="14"/>
      <c r="J245" s="14"/>
    </row>
    <row r="246" spans="1:10">
      <c r="A246">
        <v>45818</v>
      </c>
      <c r="B246" t="s">
        <v>446</v>
      </c>
      <c r="C246" t="s">
        <v>181</v>
      </c>
      <c r="D246" t="s">
        <v>203</v>
      </c>
      <c r="E246" t="s">
        <v>46</v>
      </c>
      <c r="F246" t="s">
        <v>94</v>
      </c>
      <c r="H246">
        <v>500</v>
      </c>
      <c r="I246" s="14"/>
      <c r="J246" s="14"/>
    </row>
    <row r="247" spans="1:10">
      <c r="A247">
        <v>45818</v>
      </c>
      <c r="B247" t="s">
        <v>446</v>
      </c>
      <c r="C247" t="s">
        <v>181</v>
      </c>
      <c r="D247" t="s">
        <v>203</v>
      </c>
      <c r="E247" t="s">
        <v>46</v>
      </c>
      <c r="F247" t="s">
        <v>92</v>
      </c>
      <c r="H247">
        <v>500</v>
      </c>
      <c r="I247" s="14"/>
      <c r="J247" s="14"/>
    </row>
    <row r="248" spans="1:10">
      <c r="A248">
        <v>45818</v>
      </c>
      <c r="B248" t="s">
        <v>446</v>
      </c>
      <c r="C248" t="s">
        <v>181</v>
      </c>
      <c r="D248" t="s">
        <v>203</v>
      </c>
      <c r="E248" t="s">
        <v>46</v>
      </c>
      <c r="F248" t="s">
        <v>93</v>
      </c>
      <c r="H248">
        <v>1000</v>
      </c>
      <c r="I248" s="14"/>
      <c r="J248" s="14"/>
    </row>
    <row r="249" spans="1:10">
      <c r="A249">
        <v>45818</v>
      </c>
      <c r="B249" t="s">
        <v>446</v>
      </c>
      <c r="C249" t="s">
        <v>181</v>
      </c>
      <c r="D249" t="s">
        <v>203</v>
      </c>
      <c r="E249" t="s">
        <v>263</v>
      </c>
      <c r="F249" t="s">
        <v>186</v>
      </c>
      <c r="H249">
        <v>2500</v>
      </c>
      <c r="I249" s="14"/>
      <c r="J249" s="14"/>
    </row>
    <row r="250" spans="1:10">
      <c r="A250">
        <v>45818</v>
      </c>
      <c r="B250" t="s">
        <v>446</v>
      </c>
      <c r="C250" t="s">
        <v>181</v>
      </c>
      <c r="D250" t="s">
        <v>203</v>
      </c>
      <c r="E250" t="s">
        <v>263</v>
      </c>
      <c r="F250" t="s">
        <v>184</v>
      </c>
      <c r="H250">
        <v>500</v>
      </c>
      <c r="I250" s="14"/>
      <c r="J250" s="14"/>
    </row>
    <row r="251" spans="1:10">
      <c r="A251">
        <v>45818</v>
      </c>
      <c r="B251" t="s">
        <v>446</v>
      </c>
      <c r="C251" t="s">
        <v>181</v>
      </c>
      <c r="D251" t="s">
        <v>203</v>
      </c>
      <c r="E251" t="s">
        <v>263</v>
      </c>
      <c r="F251" t="s">
        <v>187</v>
      </c>
      <c r="H251">
        <v>500</v>
      </c>
      <c r="I251" s="14"/>
      <c r="J251" s="14"/>
    </row>
    <row r="252" spans="1:10">
      <c r="A252">
        <v>45818</v>
      </c>
      <c r="B252" t="s">
        <v>446</v>
      </c>
      <c r="C252" t="s">
        <v>181</v>
      </c>
      <c r="D252" t="s">
        <v>203</v>
      </c>
      <c r="E252" t="s">
        <v>264</v>
      </c>
      <c r="F252" t="s">
        <v>188</v>
      </c>
      <c r="H252">
        <v>1000</v>
      </c>
      <c r="I252" s="14"/>
      <c r="J252" s="14"/>
    </row>
    <row r="253" spans="1:10">
      <c r="A253">
        <v>45818</v>
      </c>
      <c r="B253" t="s">
        <v>438</v>
      </c>
      <c r="C253" t="s">
        <v>181</v>
      </c>
      <c r="D253" t="s">
        <v>130</v>
      </c>
      <c r="E253" t="s">
        <v>46</v>
      </c>
      <c r="F253" t="s">
        <v>92</v>
      </c>
      <c r="H253">
        <v>1000</v>
      </c>
      <c r="I253" s="14"/>
      <c r="J253" s="14"/>
    </row>
    <row r="254" spans="1:10">
      <c r="A254">
        <v>45818</v>
      </c>
      <c r="B254" t="s">
        <v>438</v>
      </c>
      <c r="C254" t="s">
        <v>181</v>
      </c>
      <c r="D254" t="s">
        <v>130</v>
      </c>
      <c r="E254" t="s">
        <v>263</v>
      </c>
      <c r="F254" t="s">
        <v>186</v>
      </c>
      <c r="H254">
        <v>2000</v>
      </c>
      <c r="I254" s="14"/>
      <c r="J254" s="14"/>
    </row>
    <row r="255" spans="1:10">
      <c r="A255">
        <v>45818</v>
      </c>
      <c r="B255" t="s">
        <v>437</v>
      </c>
      <c r="C255" t="s">
        <v>181</v>
      </c>
      <c r="D255" t="s">
        <v>191</v>
      </c>
      <c r="E255" t="s">
        <v>263</v>
      </c>
      <c r="F255" t="s">
        <v>186</v>
      </c>
      <c r="H255">
        <v>86500</v>
      </c>
      <c r="I255" s="14"/>
      <c r="J255" s="14"/>
    </row>
    <row r="256" spans="1:10">
      <c r="A256">
        <v>45818</v>
      </c>
      <c r="B256" t="s">
        <v>437</v>
      </c>
      <c r="C256" t="s">
        <v>181</v>
      </c>
      <c r="D256" t="s">
        <v>191</v>
      </c>
      <c r="E256" t="s">
        <v>263</v>
      </c>
      <c r="F256" t="s">
        <v>184</v>
      </c>
      <c r="H256">
        <v>42500</v>
      </c>
      <c r="I256" s="14"/>
      <c r="J256" s="14"/>
    </row>
    <row r="257" spans="1:10">
      <c r="A257">
        <v>45818</v>
      </c>
      <c r="B257" t="s">
        <v>437</v>
      </c>
      <c r="C257" t="s">
        <v>181</v>
      </c>
      <c r="D257" t="s">
        <v>191</v>
      </c>
      <c r="E257" t="s">
        <v>264</v>
      </c>
      <c r="F257" t="s">
        <v>188</v>
      </c>
      <c r="H257">
        <v>46500</v>
      </c>
      <c r="I257" s="14"/>
      <c r="J257" s="14"/>
    </row>
    <row r="258" spans="1:10">
      <c r="A258">
        <v>45818</v>
      </c>
      <c r="B258" t="s">
        <v>437</v>
      </c>
      <c r="C258" t="s">
        <v>181</v>
      </c>
      <c r="D258" t="s">
        <v>191</v>
      </c>
      <c r="E258" t="s">
        <v>45</v>
      </c>
      <c r="F258" t="s">
        <v>88</v>
      </c>
      <c r="H258">
        <v>8500</v>
      </c>
      <c r="I258" s="14"/>
      <c r="J258" s="14"/>
    </row>
    <row r="259" spans="1:10">
      <c r="A259">
        <v>45818</v>
      </c>
      <c r="B259" t="s">
        <v>437</v>
      </c>
      <c r="C259" t="s">
        <v>181</v>
      </c>
      <c r="D259" t="s">
        <v>191</v>
      </c>
      <c r="E259" t="s">
        <v>46</v>
      </c>
      <c r="F259" t="s">
        <v>94</v>
      </c>
      <c r="H259">
        <v>30000</v>
      </c>
      <c r="I259" s="14"/>
      <c r="J259" s="14"/>
    </row>
    <row r="260" spans="1:10">
      <c r="A260">
        <v>45818</v>
      </c>
      <c r="B260" t="s">
        <v>437</v>
      </c>
      <c r="C260" t="s">
        <v>181</v>
      </c>
      <c r="D260" t="s">
        <v>191</v>
      </c>
      <c r="E260" t="s">
        <v>46</v>
      </c>
      <c r="F260" t="s">
        <v>92</v>
      </c>
      <c r="H260">
        <v>33000</v>
      </c>
      <c r="I260" s="14"/>
      <c r="J260" s="14"/>
    </row>
    <row r="261" spans="1:10">
      <c r="A261">
        <v>45818</v>
      </c>
      <c r="B261" t="s">
        <v>437</v>
      </c>
      <c r="C261" t="s">
        <v>181</v>
      </c>
      <c r="D261" t="s">
        <v>191</v>
      </c>
      <c r="E261" t="s">
        <v>46</v>
      </c>
      <c r="F261" t="s">
        <v>93</v>
      </c>
      <c r="H261">
        <v>24000</v>
      </c>
      <c r="I261" s="14"/>
      <c r="J261" s="14"/>
    </row>
    <row r="262" spans="1:10">
      <c r="A262">
        <v>45818</v>
      </c>
      <c r="B262" t="s">
        <v>437</v>
      </c>
      <c r="C262" t="s">
        <v>181</v>
      </c>
      <c r="D262" t="s">
        <v>191</v>
      </c>
      <c r="E262" t="s">
        <v>44</v>
      </c>
      <c r="F262" t="s">
        <v>83</v>
      </c>
      <c r="H262">
        <v>4500</v>
      </c>
      <c r="I262" s="14"/>
      <c r="J262" s="14"/>
    </row>
    <row r="263" spans="1:10">
      <c r="A263">
        <v>45818</v>
      </c>
      <c r="B263" t="s">
        <v>437</v>
      </c>
      <c r="C263" t="s">
        <v>181</v>
      </c>
      <c r="D263" t="s">
        <v>191</v>
      </c>
      <c r="E263" t="s">
        <v>44</v>
      </c>
      <c r="F263" t="s">
        <v>85</v>
      </c>
      <c r="H263">
        <v>6500</v>
      </c>
      <c r="I263" s="14"/>
      <c r="J263" s="14"/>
    </row>
    <row r="264" spans="1:10">
      <c r="A264">
        <v>45818</v>
      </c>
      <c r="B264" t="s">
        <v>437</v>
      </c>
      <c r="C264" t="s">
        <v>181</v>
      </c>
      <c r="D264" t="s">
        <v>191</v>
      </c>
      <c r="E264" t="s">
        <v>44</v>
      </c>
      <c r="F264" t="s">
        <v>84</v>
      </c>
      <c r="H264">
        <v>2500</v>
      </c>
      <c r="I264" s="14"/>
      <c r="J264" s="14"/>
    </row>
    <row r="265" spans="1:10">
      <c r="A265">
        <v>45818</v>
      </c>
      <c r="B265" t="s">
        <v>437</v>
      </c>
      <c r="C265" t="s">
        <v>181</v>
      </c>
      <c r="D265" t="s">
        <v>191</v>
      </c>
      <c r="E265" t="s">
        <v>263</v>
      </c>
      <c r="F265" t="s">
        <v>187</v>
      </c>
      <c r="H265">
        <v>16000</v>
      </c>
      <c r="I265" s="14"/>
      <c r="J265" s="14"/>
    </row>
    <row r="266" spans="1:10">
      <c r="A266">
        <v>45818</v>
      </c>
      <c r="B266" t="s">
        <v>437</v>
      </c>
      <c r="C266" t="s">
        <v>181</v>
      </c>
      <c r="D266" t="s">
        <v>191</v>
      </c>
      <c r="E266" t="s">
        <v>264</v>
      </c>
      <c r="F266" t="s">
        <v>189</v>
      </c>
      <c r="H266">
        <v>11500</v>
      </c>
      <c r="I266" s="14"/>
      <c r="J266" s="14"/>
    </row>
    <row r="267" spans="1:10">
      <c r="A267">
        <v>45818</v>
      </c>
      <c r="B267" t="s">
        <v>457</v>
      </c>
      <c r="C267" t="s">
        <v>181</v>
      </c>
      <c r="D267" t="s">
        <v>135</v>
      </c>
      <c r="E267" t="s">
        <v>263</v>
      </c>
      <c r="F267" t="s">
        <v>186</v>
      </c>
      <c r="H267">
        <v>30</v>
      </c>
      <c r="I267" s="14"/>
      <c r="J267" s="14"/>
    </row>
    <row r="268" spans="1:10">
      <c r="A268">
        <v>45818</v>
      </c>
      <c r="B268" t="s">
        <v>457</v>
      </c>
      <c r="C268" t="s">
        <v>181</v>
      </c>
      <c r="D268" t="s">
        <v>135</v>
      </c>
      <c r="E268" t="s">
        <v>264</v>
      </c>
      <c r="F268" t="s">
        <v>188</v>
      </c>
      <c r="H268">
        <v>10</v>
      </c>
      <c r="I268" s="14"/>
      <c r="J268" s="14"/>
    </row>
    <row r="269" spans="1:10">
      <c r="A269">
        <v>45818</v>
      </c>
      <c r="B269" t="s">
        <v>448</v>
      </c>
      <c r="C269" t="s">
        <v>443</v>
      </c>
      <c r="D269" t="s">
        <v>231</v>
      </c>
      <c r="E269" t="s">
        <v>44</v>
      </c>
      <c r="F269" t="s">
        <v>83</v>
      </c>
      <c r="H269">
        <v>750</v>
      </c>
      <c r="I269" s="14"/>
      <c r="J269" s="14"/>
    </row>
    <row r="270" spans="1:10">
      <c r="A270">
        <v>45818</v>
      </c>
      <c r="B270" t="s">
        <v>448</v>
      </c>
      <c r="C270" t="s">
        <v>443</v>
      </c>
      <c r="D270" t="s">
        <v>231</v>
      </c>
      <c r="E270" t="s">
        <v>44</v>
      </c>
      <c r="F270" t="s">
        <v>85</v>
      </c>
      <c r="H270">
        <v>400</v>
      </c>
      <c r="I270" s="14"/>
      <c r="J270" s="14"/>
    </row>
    <row r="271" spans="1:10">
      <c r="A271">
        <v>45818</v>
      </c>
      <c r="B271" t="s">
        <v>448</v>
      </c>
      <c r="C271" t="s">
        <v>443</v>
      </c>
      <c r="D271" t="s">
        <v>231</v>
      </c>
      <c r="E271" t="s">
        <v>44</v>
      </c>
      <c r="F271" t="s">
        <v>84</v>
      </c>
      <c r="H271">
        <v>80</v>
      </c>
      <c r="I271" s="14"/>
      <c r="J271" s="14"/>
    </row>
    <row r="272" spans="1:10">
      <c r="A272">
        <v>45818</v>
      </c>
      <c r="B272" t="s">
        <v>448</v>
      </c>
      <c r="C272" t="s">
        <v>443</v>
      </c>
      <c r="D272" t="s">
        <v>231</v>
      </c>
      <c r="E272" t="s">
        <v>46</v>
      </c>
      <c r="F272" t="s">
        <v>94</v>
      </c>
      <c r="H272">
        <v>6000</v>
      </c>
      <c r="I272" s="14"/>
      <c r="J272" s="14"/>
    </row>
    <row r="273" spans="1:10">
      <c r="A273">
        <v>45818</v>
      </c>
      <c r="B273" t="s">
        <v>448</v>
      </c>
      <c r="C273" t="s">
        <v>443</v>
      </c>
      <c r="D273" t="s">
        <v>231</v>
      </c>
      <c r="E273" t="s">
        <v>46</v>
      </c>
      <c r="F273" t="s">
        <v>92</v>
      </c>
      <c r="H273">
        <v>7500</v>
      </c>
      <c r="I273" s="14"/>
      <c r="J273" s="14"/>
    </row>
    <row r="274" spans="1:10">
      <c r="A274">
        <v>45818</v>
      </c>
      <c r="B274" t="s">
        <v>448</v>
      </c>
      <c r="C274" t="s">
        <v>443</v>
      </c>
      <c r="D274" t="s">
        <v>231</v>
      </c>
      <c r="E274" t="s">
        <v>263</v>
      </c>
      <c r="F274" t="s">
        <v>186</v>
      </c>
      <c r="H274">
        <v>41000</v>
      </c>
      <c r="I274" s="14"/>
      <c r="J274" s="14"/>
    </row>
    <row r="275" spans="1:10">
      <c r="A275">
        <v>45818</v>
      </c>
      <c r="B275" t="s">
        <v>448</v>
      </c>
      <c r="C275" t="s">
        <v>443</v>
      </c>
      <c r="D275" t="s">
        <v>231</v>
      </c>
      <c r="E275" t="s">
        <v>263</v>
      </c>
      <c r="F275" t="s">
        <v>184</v>
      </c>
      <c r="H275">
        <v>7000</v>
      </c>
      <c r="I275" s="14"/>
      <c r="J275" s="14"/>
    </row>
    <row r="276" spans="1:10">
      <c r="A276">
        <v>45818</v>
      </c>
      <c r="B276" t="s">
        <v>448</v>
      </c>
      <c r="C276" t="s">
        <v>443</v>
      </c>
      <c r="D276" t="s">
        <v>231</v>
      </c>
      <c r="E276" t="s">
        <v>263</v>
      </c>
      <c r="F276" t="s">
        <v>187</v>
      </c>
      <c r="H276">
        <v>2500</v>
      </c>
      <c r="I276" s="14"/>
      <c r="J276" s="14"/>
    </row>
    <row r="277" spans="1:10">
      <c r="A277">
        <v>45818</v>
      </c>
      <c r="B277" t="s">
        <v>448</v>
      </c>
      <c r="C277" t="s">
        <v>443</v>
      </c>
      <c r="D277" t="s">
        <v>231</v>
      </c>
      <c r="E277" t="s">
        <v>264</v>
      </c>
      <c r="F277" t="s">
        <v>188</v>
      </c>
      <c r="H277">
        <v>4000</v>
      </c>
      <c r="I277" s="14"/>
      <c r="J277" s="14"/>
    </row>
    <row r="278" spans="1:10">
      <c r="A278">
        <v>45818</v>
      </c>
      <c r="B278" t="s">
        <v>448</v>
      </c>
      <c r="C278" t="s">
        <v>443</v>
      </c>
      <c r="D278" t="s">
        <v>231</v>
      </c>
      <c r="E278" t="s">
        <v>45</v>
      </c>
      <c r="F278" t="s">
        <v>88</v>
      </c>
      <c r="H278">
        <v>50</v>
      </c>
      <c r="I278" s="14"/>
      <c r="J278" s="14"/>
    </row>
    <row r="279" spans="1:10">
      <c r="A279">
        <v>45818</v>
      </c>
      <c r="B279" t="s">
        <v>458</v>
      </c>
      <c r="C279" t="s">
        <v>443</v>
      </c>
      <c r="D279" t="s">
        <v>219</v>
      </c>
      <c r="E279" t="s">
        <v>45</v>
      </c>
      <c r="F279" t="s">
        <v>88</v>
      </c>
      <c r="H279">
        <v>50</v>
      </c>
      <c r="I279" s="14"/>
      <c r="J279" s="14"/>
    </row>
    <row r="280" spans="1:10">
      <c r="A280">
        <v>45818</v>
      </c>
      <c r="B280" t="s">
        <v>458</v>
      </c>
      <c r="C280" t="s">
        <v>443</v>
      </c>
      <c r="D280" t="s">
        <v>219</v>
      </c>
      <c r="E280" t="s">
        <v>46</v>
      </c>
      <c r="F280" t="s">
        <v>92</v>
      </c>
      <c r="H280">
        <v>1000</v>
      </c>
      <c r="I280" s="14"/>
      <c r="J280" s="14"/>
    </row>
    <row r="281" spans="1:10">
      <c r="A281">
        <v>45818</v>
      </c>
      <c r="B281" t="s">
        <v>458</v>
      </c>
      <c r="C281" t="s">
        <v>443</v>
      </c>
      <c r="D281" t="s">
        <v>219</v>
      </c>
      <c r="E281" t="s">
        <v>263</v>
      </c>
      <c r="F281" t="s">
        <v>186</v>
      </c>
      <c r="H281">
        <v>5000</v>
      </c>
      <c r="I281" s="14"/>
      <c r="J281" s="14"/>
    </row>
    <row r="282" spans="1:10">
      <c r="A282">
        <v>45818</v>
      </c>
      <c r="B282" t="s">
        <v>449</v>
      </c>
      <c r="C282" t="s">
        <v>443</v>
      </c>
      <c r="D282" t="s">
        <v>240</v>
      </c>
      <c r="E282" t="s">
        <v>44</v>
      </c>
      <c r="F282" t="s">
        <v>85</v>
      </c>
      <c r="H282">
        <v>40</v>
      </c>
      <c r="I282" s="14"/>
      <c r="J282" s="14"/>
    </row>
    <row r="283" spans="1:10">
      <c r="A283">
        <v>45818</v>
      </c>
      <c r="B283" t="s">
        <v>449</v>
      </c>
      <c r="C283" t="s">
        <v>443</v>
      </c>
      <c r="D283" t="s">
        <v>240</v>
      </c>
      <c r="E283" t="s">
        <v>46</v>
      </c>
      <c r="F283" t="s">
        <v>94</v>
      </c>
      <c r="H283">
        <v>3000</v>
      </c>
      <c r="I283" s="14"/>
      <c r="J283" s="14"/>
    </row>
    <row r="284" spans="1:10">
      <c r="A284">
        <v>45818</v>
      </c>
      <c r="B284" t="s">
        <v>449</v>
      </c>
      <c r="C284" t="s">
        <v>443</v>
      </c>
      <c r="D284" t="s">
        <v>240</v>
      </c>
      <c r="E284" t="s">
        <v>46</v>
      </c>
      <c r="F284" t="s">
        <v>92</v>
      </c>
      <c r="H284">
        <v>500</v>
      </c>
      <c r="I284" s="14"/>
      <c r="J284" s="14"/>
    </row>
    <row r="285" spans="1:10">
      <c r="A285">
        <v>45818</v>
      </c>
      <c r="B285" t="s">
        <v>449</v>
      </c>
      <c r="C285" t="s">
        <v>443</v>
      </c>
      <c r="D285" t="s">
        <v>240</v>
      </c>
      <c r="E285" t="s">
        <v>46</v>
      </c>
      <c r="F285" t="s">
        <v>93</v>
      </c>
      <c r="H285">
        <v>750</v>
      </c>
      <c r="I285" s="14"/>
      <c r="J285" s="14"/>
    </row>
    <row r="286" spans="1:10">
      <c r="A286">
        <v>45818</v>
      </c>
      <c r="B286" t="s">
        <v>449</v>
      </c>
      <c r="C286" t="s">
        <v>443</v>
      </c>
      <c r="D286" t="s">
        <v>240</v>
      </c>
      <c r="E286" t="s">
        <v>263</v>
      </c>
      <c r="F286" t="s">
        <v>184</v>
      </c>
      <c r="H286">
        <v>1210</v>
      </c>
      <c r="I286" s="14"/>
      <c r="J286" s="14"/>
    </row>
    <row r="287" spans="1:10">
      <c r="A287">
        <v>45818</v>
      </c>
      <c r="B287" t="s">
        <v>449</v>
      </c>
      <c r="C287" t="s">
        <v>443</v>
      </c>
      <c r="D287" t="s">
        <v>240</v>
      </c>
      <c r="E287" t="s">
        <v>263</v>
      </c>
      <c r="F287" t="s">
        <v>187</v>
      </c>
      <c r="H287">
        <v>2500</v>
      </c>
      <c r="I287" s="14"/>
      <c r="J287" s="14"/>
    </row>
    <row r="288" spans="1:10">
      <c r="A288">
        <v>45818</v>
      </c>
      <c r="B288" t="s">
        <v>449</v>
      </c>
      <c r="C288" t="s">
        <v>443</v>
      </c>
      <c r="D288" t="s">
        <v>240</v>
      </c>
      <c r="E288" t="s">
        <v>263</v>
      </c>
      <c r="F288" t="s">
        <v>186</v>
      </c>
      <c r="H288">
        <v>8500</v>
      </c>
      <c r="I288" s="14"/>
      <c r="J288" s="14"/>
    </row>
    <row r="289" spans="1:10">
      <c r="A289">
        <v>45818</v>
      </c>
      <c r="B289" t="s">
        <v>449</v>
      </c>
      <c r="C289" t="s">
        <v>443</v>
      </c>
      <c r="D289" t="s">
        <v>240</v>
      </c>
      <c r="E289" t="s">
        <v>264</v>
      </c>
      <c r="F289" t="s">
        <v>188</v>
      </c>
      <c r="H289">
        <v>6000</v>
      </c>
      <c r="I289" s="14"/>
      <c r="J289" s="14"/>
    </row>
    <row r="290" spans="1:10">
      <c r="A290">
        <v>45818</v>
      </c>
      <c r="B290" t="s">
        <v>449</v>
      </c>
      <c r="C290" t="s">
        <v>443</v>
      </c>
      <c r="D290" t="s">
        <v>240</v>
      </c>
      <c r="E290" t="s">
        <v>264</v>
      </c>
      <c r="F290" t="s">
        <v>189</v>
      </c>
      <c r="H290">
        <v>1250</v>
      </c>
      <c r="I290" s="14"/>
      <c r="J290" s="14"/>
    </row>
    <row r="291" spans="1:10">
      <c r="A291">
        <v>45818</v>
      </c>
      <c r="B291" t="s">
        <v>452</v>
      </c>
      <c r="C291" t="s">
        <v>443</v>
      </c>
      <c r="D291" t="s">
        <v>237</v>
      </c>
      <c r="E291" t="s">
        <v>44</v>
      </c>
      <c r="F291" t="s">
        <v>85</v>
      </c>
      <c r="H291">
        <v>500</v>
      </c>
      <c r="I291" s="14"/>
      <c r="J291" s="14"/>
    </row>
    <row r="292" spans="1:10">
      <c r="A292">
        <v>45818</v>
      </c>
      <c r="B292" t="s">
        <v>452</v>
      </c>
      <c r="C292" t="s">
        <v>443</v>
      </c>
      <c r="D292" t="s">
        <v>237</v>
      </c>
      <c r="E292" t="s">
        <v>46</v>
      </c>
      <c r="F292" t="s">
        <v>94</v>
      </c>
      <c r="H292">
        <v>4000</v>
      </c>
      <c r="I292" s="14"/>
      <c r="J292" s="14"/>
    </row>
    <row r="293" spans="1:10">
      <c r="A293">
        <v>45818</v>
      </c>
      <c r="B293" t="s">
        <v>452</v>
      </c>
      <c r="C293" t="s">
        <v>443</v>
      </c>
      <c r="D293" t="s">
        <v>237</v>
      </c>
      <c r="E293" t="s">
        <v>263</v>
      </c>
      <c r="F293" t="s">
        <v>186</v>
      </c>
      <c r="H293">
        <v>5000</v>
      </c>
      <c r="I293" s="14"/>
      <c r="J293" s="14"/>
    </row>
    <row r="294" spans="1:10">
      <c r="A294">
        <v>45818</v>
      </c>
      <c r="B294" t="s">
        <v>452</v>
      </c>
      <c r="C294" t="s">
        <v>443</v>
      </c>
      <c r="D294" t="s">
        <v>237</v>
      </c>
      <c r="E294" t="s">
        <v>264</v>
      </c>
      <c r="F294" t="s">
        <v>188</v>
      </c>
      <c r="H294">
        <v>1500</v>
      </c>
      <c r="I294" s="14"/>
      <c r="J294" s="14"/>
    </row>
    <row r="295" spans="1:10">
      <c r="A295">
        <v>45818</v>
      </c>
      <c r="B295" t="s">
        <v>447</v>
      </c>
      <c r="C295" t="s">
        <v>181</v>
      </c>
      <c r="D295" t="s">
        <v>135</v>
      </c>
      <c r="E295" t="s">
        <v>263</v>
      </c>
      <c r="F295" t="s">
        <v>186</v>
      </c>
      <c r="H295">
        <v>500</v>
      </c>
      <c r="I295" s="14"/>
      <c r="J295" s="14"/>
    </row>
    <row r="296" spans="1:10">
      <c r="A296">
        <v>45818</v>
      </c>
      <c r="B296" t="s">
        <v>447</v>
      </c>
      <c r="C296" t="s">
        <v>181</v>
      </c>
      <c r="D296" t="s">
        <v>135</v>
      </c>
      <c r="E296" t="s">
        <v>263</v>
      </c>
      <c r="F296" t="s">
        <v>184</v>
      </c>
      <c r="H296">
        <v>500</v>
      </c>
      <c r="I296" s="14"/>
      <c r="J296" s="14"/>
    </row>
    <row r="297" spans="1:10">
      <c r="A297">
        <v>45818</v>
      </c>
      <c r="B297" t="s">
        <v>447</v>
      </c>
      <c r="C297" t="s">
        <v>181</v>
      </c>
      <c r="D297" t="s">
        <v>135</v>
      </c>
      <c r="E297" t="s">
        <v>263</v>
      </c>
      <c r="F297" t="s">
        <v>187</v>
      </c>
      <c r="H297">
        <v>500</v>
      </c>
      <c r="I297" s="14"/>
      <c r="J297" s="14"/>
    </row>
    <row r="298" spans="1:10">
      <c r="A298">
        <v>45818</v>
      </c>
      <c r="B298" t="s">
        <v>447</v>
      </c>
      <c r="C298" t="s">
        <v>181</v>
      </c>
      <c r="D298" t="s">
        <v>135</v>
      </c>
      <c r="E298" t="s">
        <v>264</v>
      </c>
      <c r="F298" t="s">
        <v>188</v>
      </c>
      <c r="H298">
        <v>500</v>
      </c>
      <c r="I298" s="14"/>
      <c r="J298" s="14"/>
    </row>
    <row r="299" spans="1:10">
      <c r="A299">
        <v>45818</v>
      </c>
      <c r="B299" t="s">
        <v>450</v>
      </c>
      <c r="C299" t="s">
        <v>443</v>
      </c>
      <c r="D299" t="s">
        <v>228</v>
      </c>
      <c r="E299" t="s">
        <v>46</v>
      </c>
      <c r="F299" t="s">
        <v>94</v>
      </c>
      <c r="H299">
        <v>500</v>
      </c>
      <c r="I299" s="14"/>
      <c r="J299" s="14"/>
    </row>
    <row r="300" spans="1:10">
      <c r="A300">
        <v>45818</v>
      </c>
      <c r="B300" t="s">
        <v>450</v>
      </c>
      <c r="C300" t="s">
        <v>443</v>
      </c>
      <c r="D300" t="s">
        <v>228</v>
      </c>
      <c r="E300" t="s">
        <v>46</v>
      </c>
      <c r="F300" t="s">
        <v>92</v>
      </c>
      <c r="H300">
        <v>500</v>
      </c>
      <c r="I300" s="14"/>
      <c r="J300" s="14"/>
    </row>
    <row r="301" spans="1:10">
      <c r="A301">
        <v>45818</v>
      </c>
      <c r="B301" t="s">
        <v>450</v>
      </c>
      <c r="C301" t="s">
        <v>443</v>
      </c>
      <c r="D301" t="s">
        <v>228</v>
      </c>
      <c r="E301" t="s">
        <v>46</v>
      </c>
      <c r="F301" t="s">
        <v>93</v>
      </c>
      <c r="H301">
        <v>1000</v>
      </c>
      <c r="I301" s="14"/>
      <c r="J301" s="14"/>
    </row>
    <row r="302" spans="1:10">
      <c r="A302">
        <v>45818</v>
      </c>
      <c r="B302" t="s">
        <v>450</v>
      </c>
      <c r="C302" t="s">
        <v>443</v>
      </c>
      <c r="D302" t="s">
        <v>228</v>
      </c>
      <c r="E302" t="s">
        <v>263</v>
      </c>
      <c r="F302" t="s">
        <v>186</v>
      </c>
      <c r="H302">
        <v>4000</v>
      </c>
      <c r="I302" s="14"/>
      <c r="J302" s="14"/>
    </row>
    <row r="303" spans="1:10">
      <c r="A303">
        <v>45818</v>
      </c>
      <c r="B303" t="s">
        <v>450</v>
      </c>
      <c r="C303" t="s">
        <v>443</v>
      </c>
      <c r="D303" t="s">
        <v>228</v>
      </c>
      <c r="E303" t="s">
        <v>263</v>
      </c>
      <c r="F303" t="s">
        <v>184</v>
      </c>
      <c r="H303">
        <v>500</v>
      </c>
      <c r="I303" s="14"/>
      <c r="J303" s="14"/>
    </row>
    <row r="304" spans="1:10">
      <c r="A304">
        <v>45818</v>
      </c>
      <c r="B304" t="s">
        <v>450</v>
      </c>
      <c r="C304" t="s">
        <v>443</v>
      </c>
      <c r="D304" t="s">
        <v>228</v>
      </c>
      <c r="E304" t="s">
        <v>263</v>
      </c>
      <c r="F304" t="s">
        <v>187</v>
      </c>
      <c r="H304">
        <v>1500</v>
      </c>
      <c r="I304" s="14"/>
      <c r="J304" s="14"/>
    </row>
    <row r="305" spans="1:10">
      <c r="A305">
        <v>45818</v>
      </c>
      <c r="B305" t="s">
        <v>450</v>
      </c>
      <c r="C305" t="s">
        <v>443</v>
      </c>
      <c r="D305" t="s">
        <v>228</v>
      </c>
      <c r="E305" t="s">
        <v>264</v>
      </c>
      <c r="F305" t="s">
        <v>188</v>
      </c>
      <c r="H305">
        <v>2500</v>
      </c>
      <c r="I305" s="14"/>
      <c r="J305" s="14"/>
    </row>
    <row r="306" spans="1:10">
      <c r="A306">
        <v>45818</v>
      </c>
      <c r="B306" t="s">
        <v>450</v>
      </c>
      <c r="C306" t="s">
        <v>443</v>
      </c>
      <c r="D306" t="s">
        <v>228</v>
      </c>
      <c r="E306" t="s">
        <v>264</v>
      </c>
      <c r="F306" t="s">
        <v>189</v>
      </c>
      <c r="H306">
        <v>1500</v>
      </c>
      <c r="I306" s="14"/>
      <c r="J306" s="14"/>
    </row>
    <row r="307" spans="1:10">
      <c r="A307">
        <v>45819</v>
      </c>
      <c r="B307" t="s">
        <v>457</v>
      </c>
      <c r="C307" t="s">
        <v>181</v>
      </c>
      <c r="D307" t="s">
        <v>135</v>
      </c>
      <c r="E307" t="s">
        <v>46</v>
      </c>
      <c r="F307" t="s">
        <v>92</v>
      </c>
      <c r="H307">
        <v>10</v>
      </c>
      <c r="I307" s="14"/>
      <c r="J307" s="14"/>
    </row>
    <row r="308" spans="1:10">
      <c r="A308">
        <v>45819</v>
      </c>
      <c r="B308" t="s">
        <v>457</v>
      </c>
      <c r="C308" t="s">
        <v>181</v>
      </c>
      <c r="D308" t="s">
        <v>135</v>
      </c>
      <c r="E308" t="s">
        <v>263</v>
      </c>
      <c r="F308" t="s">
        <v>186</v>
      </c>
      <c r="H308">
        <v>40</v>
      </c>
      <c r="I308" s="14"/>
      <c r="J308" s="14"/>
    </row>
    <row r="309" spans="1:10">
      <c r="A309">
        <v>45819</v>
      </c>
      <c r="B309" t="s">
        <v>457</v>
      </c>
      <c r="C309" t="s">
        <v>181</v>
      </c>
      <c r="D309" t="s">
        <v>135</v>
      </c>
      <c r="E309" t="s">
        <v>44</v>
      </c>
      <c r="F309" t="s">
        <v>85</v>
      </c>
      <c r="H309">
        <v>120</v>
      </c>
      <c r="I309" s="14"/>
      <c r="J309" s="14"/>
    </row>
    <row r="310" spans="1:10">
      <c r="A310">
        <v>45819</v>
      </c>
      <c r="B310" t="s">
        <v>457</v>
      </c>
      <c r="C310" t="s">
        <v>181</v>
      </c>
      <c r="D310" t="s">
        <v>135</v>
      </c>
      <c r="E310" t="s">
        <v>46</v>
      </c>
      <c r="F310" t="s">
        <v>94</v>
      </c>
      <c r="H310">
        <v>20</v>
      </c>
      <c r="I310" s="14"/>
      <c r="J310" s="14"/>
    </row>
    <row r="311" spans="1:10">
      <c r="A311">
        <v>45819</v>
      </c>
      <c r="B311" t="s">
        <v>457</v>
      </c>
      <c r="C311" t="s">
        <v>181</v>
      </c>
      <c r="D311" t="s">
        <v>135</v>
      </c>
      <c r="E311" t="s">
        <v>263</v>
      </c>
      <c r="F311" t="s">
        <v>184</v>
      </c>
      <c r="H311">
        <v>10</v>
      </c>
      <c r="I311" s="14"/>
      <c r="J311" s="14"/>
    </row>
    <row r="312" spans="1:10">
      <c r="A312">
        <v>45819</v>
      </c>
      <c r="B312" t="s">
        <v>457</v>
      </c>
      <c r="C312" t="s">
        <v>181</v>
      </c>
      <c r="D312" t="s">
        <v>135</v>
      </c>
      <c r="E312" t="s">
        <v>44</v>
      </c>
      <c r="F312" t="s">
        <v>84</v>
      </c>
      <c r="H312">
        <v>10</v>
      </c>
      <c r="I312" s="14"/>
      <c r="J312" s="14"/>
    </row>
    <row r="313" spans="1:10">
      <c r="A313">
        <v>45819</v>
      </c>
      <c r="B313" t="s">
        <v>445</v>
      </c>
      <c r="C313" t="s">
        <v>443</v>
      </c>
      <c r="D313" t="s">
        <v>213</v>
      </c>
      <c r="E313" t="s">
        <v>44</v>
      </c>
      <c r="F313" t="s">
        <v>83</v>
      </c>
      <c r="H313">
        <v>150</v>
      </c>
      <c r="I313" s="14"/>
      <c r="J313" s="14"/>
    </row>
    <row r="314" spans="1:10">
      <c r="A314">
        <v>45819</v>
      </c>
      <c r="B314" t="s">
        <v>445</v>
      </c>
      <c r="C314" t="s">
        <v>443</v>
      </c>
      <c r="D314" t="s">
        <v>213</v>
      </c>
      <c r="E314" t="s">
        <v>44</v>
      </c>
      <c r="F314" t="s">
        <v>84</v>
      </c>
      <c r="H314">
        <v>200</v>
      </c>
      <c r="I314" s="14"/>
      <c r="J314" s="14"/>
    </row>
    <row r="315" spans="1:10">
      <c r="A315">
        <v>45819</v>
      </c>
      <c r="B315" t="s">
        <v>445</v>
      </c>
      <c r="C315" t="s">
        <v>443</v>
      </c>
      <c r="D315" t="s">
        <v>213</v>
      </c>
      <c r="E315" t="s">
        <v>263</v>
      </c>
      <c r="F315" t="s">
        <v>186</v>
      </c>
      <c r="H315">
        <v>10150</v>
      </c>
      <c r="I315" s="14"/>
      <c r="J315" s="14"/>
    </row>
    <row r="316" spans="1:10">
      <c r="A316">
        <v>45819</v>
      </c>
      <c r="B316" t="s">
        <v>445</v>
      </c>
      <c r="C316" t="s">
        <v>443</v>
      </c>
      <c r="D316" t="s">
        <v>213</v>
      </c>
      <c r="E316" t="s">
        <v>263</v>
      </c>
      <c r="F316" t="s">
        <v>187</v>
      </c>
      <c r="H316">
        <v>2000</v>
      </c>
      <c r="I316" s="14"/>
      <c r="J316" s="14"/>
    </row>
    <row r="317" spans="1:10">
      <c r="A317">
        <v>45819</v>
      </c>
      <c r="B317" t="s">
        <v>445</v>
      </c>
      <c r="C317" t="s">
        <v>443</v>
      </c>
      <c r="D317" t="s">
        <v>213</v>
      </c>
      <c r="E317" t="s">
        <v>264</v>
      </c>
      <c r="F317" t="s">
        <v>188</v>
      </c>
      <c r="H317">
        <v>2500</v>
      </c>
      <c r="I317" s="14"/>
      <c r="J317" s="14"/>
    </row>
    <row r="318" spans="1:10">
      <c r="A318">
        <v>45820</v>
      </c>
      <c r="B318" t="s">
        <v>435</v>
      </c>
      <c r="C318" t="s">
        <v>181</v>
      </c>
      <c r="D318" t="s">
        <v>133</v>
      </c>
      <c r="E318" t="s">
        <v>46</v>
      </c>
      <c r="F318" t="s">
        <v>94</v>
      </c>
      <c r="H318">
        <v>1500</v>
      </c>
      <c r="I318" s="14"/>
      <c r="J318" s="14"/>
    </row>
    <row r="319" spans="1:10">
      <c r="A319">
        <v>45820</v>
      </c>
      <c r="B319" t="s">
        <v>435</v>
      </c>
      <c r="C319" t="s">
        <v>181</v>
      </c>
      <c r="D319" t="s">
        <v>133</v>
      </c>
      <c r="E319" t="s">
        <v>46</v>
      </c>
      <c r="F319" t="s">
        <v>92</v>
      </c>
      <c r="H319">
        <v>3000</v>
      </c>
      <c r="I319" s="14"/>
      <c r="J319" s="14"/>
    </row>
    <row r="320" spans="1:10">
      <c r="A320">
        <v>45820</v>
      </c>
      <c r="B320" t="s">
        <v>435</v>
      </c>
      <c r="C320" t="s">
        <v>181</v>
      </c>
      <c r="D320" t="s">
        <v>133</v>
      </c>
      <c r="E320" t="s">
        <v>46</v>
      </c>
      <c r="F320" t="s">
        <v>93</v>
      </c>
      <c r="H320">
        <v>500</v>
      </c>
      <c r="I320" s="14"/>
      <c r="J320" s="14"/>
    </row>
    <row r="321" spans="1:10">
      <c r="A321">
        <v>45820</v>
      </c>
      <c r="B321" t="s">
        <v>435</v>
      </c>
      <c r="C321" t="s">
        <v>181</v>
      </c>
      <c r="D321" t="s">
        <v>133</v>
      </c>
      <c r="E321" t="s">
        <v>263</v>
      </c>
      <c r="F321" t="s">
        <v>186</v>
      </c>
      <c r="H321">
        <v>9000</v>
      </c>
      <c r="I321" s="14"/>
      <c r="J321" s="14"/>
    </row>
    <row r="322" spans="1:10">
      <c r="A322">
        <v>45820</v>
      </c>
      <c r="B322" t="s">
        <v>435</v>
      </c>
      <c r="C322" t="s">
        <v>181</v>
      </c>
      <c r="D322" t="s">
        <v>133</v>
      </c>
      <c r="E322" t="s">
        <v>263</v>
      </c>
      <c r="F322" t="s">
        <v>184</v>
      </c>
      <c r="H322">
        <v>2500</v>
      </c>
      <c r="I322" s="14"/>
      <c r="J322" s="14"/>
    </row>
    <row r="323" spans="1:10">
      <c r="A323">
        <v>45820</v>
      </c>
      <c r="B323" t="s">
        <v>435</v>
      </c>
      <c r="C323" t="s">
        <v>181</v>
      </c>
      <c r="D323" t="s">
        <v>133</v>
      </c>
      <c r="E323" t="s">
        <v>263</v>
      </c>
      <c r="F323" t="s">
        <v>187</v>
      </c>
      <c r="H323">
        <v>1000</v>
      </c>
      <c r="I323" s="14"/>
      <c r="J323" s="14"/>
    </row>
    <row r="324" spans="1:10">
      <c r="A324">
        <v>45820</v>
      </c>
      <c r="B324" t="s">
        <v>435</v>
      </c>
      <c r="C324" t="s">
        <v>181</v>
      </c>
      <c r="D324" t="s">
        <v>133</v>
      </c>
      <c r="E324" t="s">
        <v>264</v>
      </c>
      <c r="F324" t="s">
        <v>188</v>
      </c>
      <c r="H324">
        <v>7000</v>
      </c>
      <c r="I324" s="14"/>
      <c r="J324" s="14"/>
    </row>
    <row r="325" spans="1:10">
      <c r="A325">
        <v>45820</v>
      </c>
      <c r="B325" t="s">
        <v>457</v>
      </c>
      <c r="C325" t="s">
        <v>181</v>
      </c>
      <c r="D325" t="s">
        <v>135</v>
      </c>
      <c r="E325" t="s">
        <v>45</v>
      </c>
      <c r="F325" t="s">
        <v>88</v>
      </c>
      <c r="H325">
        <v>10</v>
      </c>
      <c r="I325" s="14"/>
      <c r="J325" s="14"/>
    </row>
    <row r="326" spans="1:10">
      <c r="A326">
        <v>45820</v>
      </c>
      <c r="B326" t="s">
        <v>457</v>
      </c>
      <c r="C326" t="s">
        <v>181</v>
      </c>
      <c r="D326" t="s">
        <v>135</v>
      </c>
      <c r="E326" t="s">
        <v>263</v>
      </c>
      <c r="F326" t="s">
        <v>186</v>
      </c>
      <c r="H326">
        <v>80</v>
      </c>
      <c r="I326" s="14"/>
      <c r="J326" s="14"/>
    </row>
    <row r="327" spans="1:10">
      <c r="A327">
        <v>45820</v>
      </c>
      <c r="B327" t="s">
        <v>457</v>
      </c>
      <c r="C327" t="s">
        <v>181</v>
      </c>
      <c r="D327" t="s">
        <v>135</v>
      </c>
      <c r="E327" t="s">
        <v>263</v>
      </c>
      <c r="F327" t="s">
        <v>184</v>
      </c>
      <c r="H327">
        <v>250</v>
      </c>
      <c r="I327" s="14"/>
      <c r="J327" s="14"/>
    </row>
    <row r="328" spans="1:10">
      <c r="A328">
        <v>45820</v>
      </c>
      <c r="B328" t="s">
        <v>457</v>
      </c>
      <c r="C328" t="s">
        <v>181</v>
      </c>
      <c r="D328" t="s">
        <v>135</v>
      </c>
      <c r="E328" t="s">
        <v>264</v>
      </c>
      <c r="F328" t="s">
        <v>188</v>
      </c>
      <c r="H328">
        <v>50</v>
      </c>
      <c r="I328" s="14"/>
      <c r="J328" s="14"/>
    </row>
    <row r="329" spans="1:10">
      <c r="A329">
        <v>45820</v>
      </c>
      <c r="B329" t="s">
        <v>457</v>
      </c>
      <c r="C329" t="s">
        <v>181</v>
      </c>
      <c r="D329" t="s">
        <v>135</v>
      </c>
      <c r="E329" t="s">
        <v>44</v>
      </c>
      <c r="F329" t="s">
        <v>83</v>
      </c>
      <c r="H329">
        <v>40</v>
      </c>
      <c r="I329" s="14"/>
      <c r="J329" s="14"/>
    </row>
    <row r="330" spans="1:10">
      <c r="A330">
        <v>45820</v>
      </c>
      <c r="B330" t="s">
        <v>457</v>
      </c>
      <c r="C330" t="s">
        <v>181</v>
      </c>
      <c r="D330" t="s">
        <v>135</v>
      </c>
      <c r="E330" t="s">
        <v>44</v>
      </c>
      <c r="F330" t="s">
        <v>85</v>
      </c>
      <c r="H330">
        <v>140</v>
      </c>
      <c r="I330" s="14"/>
      <c r="J330" s="14"/>
    </row>
    <row r="331" spans="1:10">
      <c r="A331">
        <v>45820</v>
      </c>
      <c r="B331" t="s">
        <v>457</v>
      </c>
      <c r="C331" t="s">
        <v>181</v>
      </c>
      <c r="D331" t="s">
        <v>135</v>
      </c>
      <c r="E331" t="s">
        <v>46</v>
      </c>
      <c r="F331" t="s">
        <v>92</v>
      </c>
      <c r="H331">
        <v>70</v>
      </c>
      <c r="I331" s="14"/>
      <c r="J331" s="14"/>
    </row>
    <row r="332" spans="1:10">
      <c r="A332">
        <v>45820</v>
      </c>
      <c r="B332" t="s">
        <v>457</v>
      </c>
      <c r="C332" t="s">
        <v>181</v>
      </c>
      <c r="D332" t="s">
        <v>135</v>
      </c>
      <c r="E332" t="s">
        <v>44</v>
      </c>
      <c r="F332" t="s">
        <v>84</v>
      </c>
      <c r="H332">
        <v>30</v>
      </c>
      <c r="I332" s="14"/>
      <c r="J332" s="14"/>
    </row>
    <row r="333" spans="1:10">
      <c r="A333">
        <v>45820</v>
      </c>
      <c r="B333" t="s">
        <v>437</v>
      </c>
      <c r="C333" t="s">
        <v>181</v>
      </c>
      <c r="D333" t="s">
        <v>191</v>
      </c>
      <c r="E333" t="s">
        <v>44</v>
      </c>
      <c r="F333" t="s">
        <v>83</v>
      </c>
      <c r="H333">
        <v>4500</v>
      </c>
      <c r="I333" s="14"/>
      <c r="J333" s="14"/>
    </row>
    <row r="334" spans="1:10">
      <c r="A334">
        <v>45820</v>
      </c>
      <c r="B334" t="s">
        <v>437</v>
      </c>
      <c r="C334" t="s">
        <v>181</v>
      </c>
      <c r="D334" t="s">
        <v>191</v>
      </c>
      <c r="E334" t="s">
        <v>44</v>
      </c>
      <c r="F334" t="s">
        <v>85</v>
      </c>
      <c r="H334">
        <v>8000</v>
      </c>
      <c r="I334" s="14"/>
      <c r="J334" s="14"/>
    </row>
    <row r="335" spans="1:10">
      <c r="A335">
        <v>45820</v>
      </c>
      <c r="B335" t="s">
        <v>437</v>
      </c>
      <c r="C335" t="s">
        <v>181</v>
      </c>
      <c r="D335" t="s">
        <v>191</v>
      </c>
      <c r="E335" t="s">
        <v>44</v>
      </c>
      <c r="F335" t="s">
        <v>84</v>
      </c>
      <c r="H335">
        <v>4000</v>
      </c>
      <c r="I335" s="14"/>
      <c r="J335" s="14"/>
    </row>
    <row r="336" spans="1:10">
      <c r="A336">
        <v>45820</v>
      </c>
      <c r="B336" t="s">
        <v>437</v>
      </c>
      <c r="C336" t="s">
        <v>181</v>
      </c>
      <c r="D336" t="s">
        <v>191</v>
      </c>
      <c r="E336" t="s">
        <v>263</v>
      </c>
      <c r="F336" t="s">
        <v>186</v>
      </c>
      <c r="H336">
        <v>89000</v>
      </c>
      <c r="I336" s="14"/>
      <c r="J336" s="14"/>
    </row>
    <row r="337" spans="1:10">
      <c r="A337">
        <v>45820</v>
      </c>
      <c r="B337" t="s">
        <v>437</v>
      </c>
      <c r="C337" t="s">
        <v>181</v>
      </c>
      <c r="D337" t="s">
        <v>191</v>
      </c>
      <c r="E337" t="s">
        <v>263</v>
      </c>
      <c r="F337" t="s">
        <v>184</v>
      </c>
      <c r="H337">
        <v>40000</v>
      </c>
      <c r="I337" s="14"/>
      <c r="J337" s="14"/>
    </row>
    <row r="338" spans="1:10">
      <c r="A338">
        <v>45820</v>
      </c>
      <c r="B338" t="s">
        <v>437</v>
      </c>
      <c r="C338" t="s">
        <v>181</v>
      </c>
      <c r="D338" t="s">
        <v>191</v>
      </c>
      <c r="E338" t="s">
        <v>263</v>
      </c>
      <c r="F338" t="s">
        <v>187</v>
      </c>
      <c r="H338">
        <v>19000</v>
      </c>
      <c r="I338" s="14"/>
      <c r="J338" s="14"/>
    </row>
    <row r="339" spans="1:10">
      <c r="A339">
        <v>45820</v>
      </c>
      <c r="B339" t="s">
        <v>437</v>
      </c>
      <c r="C339" t="s">
        <v>181</v>
      </c>
      <c r="D339" t="s">
        <v>191</v>
      </c>
      <c r="E339" t="s">
        <v>264</v>
      </c>
      <c r="F339" t="s">
        <v>188</v>
      </c>
      <c r="H339">
        <v>56000</v>
      </c>
      <c r="I339" s="14"/>
      <c r="J339" s="14"/>
    </row>
    <row r="340" spans="1:10">
      <c r="A340">
        <v>45820</v>
      </c>
      <c r="B340" t="s">
        <v>437</v>
      </c>
      <c r="C340" t="s">
        <v>181</v>
      </c>
      <c r="D340" t="s">
        <v>191</v>
      </c>
      <c r="E340" t="s">
        <v>264</v>
      </c>
      <c r="F340" t="s">
        <v>189</v>
      </c>
      <c r="H340">
        <v>21500</v>
      </c>
      <c r="I340" s="14"/>
      <c r="J340" s="14"/>
    </row>
    <row r="341" spans="1:10">
      <c r="A341">
        <v>45820</v>
      </c>
      <c r="B341" t="s">
        <v>437</v>
      </c>
      <c r="C341" t="s">
        <v>181</v>
      </c>
      <c r="D341" t="s">
        <v>191</v>
      </c>
      <c r="E341" t="s">
        <v>45</v>
      </c>
      <c r="F341" t="s">
        <v>88</v>
      </c>
      <c r="H341">
        <v>4500</v>
      </c>
      <c r="I341" s="14"/>
      <c r="J341" s="14"/>
    </row>
    <row r="342" spans="1:10">
      <c r="A342">
        <v>45820</v>
      </c>
      <c r="B342" t="s">
        <v>437</v>
      </c>
      <c r="C342" t="s">
        <v>181</v>
      </c>
      <c r="D342" t="s">
        <v>191</v>
      </c>
      <c r="E342" t="s">
        <v>46</v>
      </c>
      <c r="F342" t="s">
        <v>94</v>
      </c>
      <c r="H342">
        <v>17000</v>
      </c>
      <c r="I342" s="14"/>
      <c r="J342" s="14"/>
    </row>
    <row r="343" spans="1:10">
      <c r="A343">
        <v>45820</v>
      </c>
      <c r="B343" t="s">
        <v>437</v>
      </c>
      <c r="C343" t="s">
        <v>181</v>
      </c>
      <c r="D343" t="s">
        <v>191</v>
      </c>
      <c r="E343" t="s">
        <v>46</v>
      </c>
      <c r="F343" t="s">
        <v>92</v>
      </c>
      <c r="H343">
        <v>22000</v>
      </c>
      <c r="I343" s="14"/>
      <c r="J343" s="14"/>
    </row>
    <row r="344" spans="1:10">
      <c r="A344">
        <v>45820</v>
      </c>
      <c r="B344" t="s">
        <v>437</v>
      </c>
      <c r="C344" t="s">
        <v>181</v>
      </c>
      <c r="D344" t="s">
        <v>191</v>
      </c>
      <c r="E344" t="s">
        <v>46</v>
      </c>
      <c r="F344" t="s">
        <v>93</v>
      </c>
      <c r="H344">
        <v>15500</v>
      </c>
      <c r="I344" s="14"/>
      <c r="J344" s="14"/>
    </row>
    <row r="345" spans="1:10">
      <c r="A345">
        <v>45820</v>
      </c>
      <c r="B345" t="s">
        <v>439</v>
      </c>
      <c r="C345" t="s">
        <v>181</v>
      </c>
      <c r="D345" t="s">
        <v>135</v>
      </c>
      <c r="E345" t="s">
        <v>46</v>
      </c>
      <c r="F345" t="s">
        <v>94</v>
      </c>
      <c r="H345">
        <v>300</v>
      </c>
      <c r="I345" s="14"/>
      <c r="J345" s="14"/>
    </row>
    <row r="346" spans="1:10">
      <c r="A346">
        <v>45820</v>
      </c>
      <c r="B346" t="s">
        <v>439</v>
      </c>
      <c r="C346" t="s">
        <v>181</v>
      </c>
      <c r="D346" t="s">
        <v>135</v>
      </c>
      <c r="E346" t="s">
        <v>46</v>
      </c>
      <c r="F346" t="s">
        <v>92</v>
      </c>
      <c r="H346">
        <v>300</v>
      </c>
      <c r="I346" s="14"/>
      <c r="J346" s="14"/>
    </row>
    <row r="347" spans="1:10">
      <c r="A347">
        <v>45820</v>
      </c>
      <c r="B347" t="s">
        <v>439</v>
      </c>
      <c r="C347" t="s">
        <v>181</v>
      </c>
      <c r="D347" t="s">
        <v>135</v>
      </c>
      <c r="E347" t="s">
        <v>263</v>
      </c>
      <c r="F347" t="s">
        <v>186</v>
      </c>
      <c r="H347">
        <v>200</v>
      </c>
      <c r="I347" s="14"/>
      <c r="J347" s="14"/>
    </row>
    <row r="348" spans="1:10">
      <c r="A348">
        <v>45820</v>
      </c>
      <c r="B348" t="s">
        <v>439</v>
      </c>
      <c r="C348" t="s">
        <v>181</v>
      </c>
      <c r="D348" t="s">
        <v>135</v>
      </c>
      <c r="E348" t="s">
        <v>264</v>
      </c>
      <c r="F348" t="s">
        <v>188</v>
      </c>
      <c r="H348">
        <v>200</v>
      </c>
      <c r="I348" s="14"/>
      <c r="J348" s="14"/>
    </row>
    <row r="349" spans="1:10">
      <c r="A349">
        <v>45820</v>
      </c>
      <c r="B349" t="s">
        <v>453</v>
      </c>
      <c r="C349" t="s">
        <v>181</v>
      </c>
      <c r="D349" t="s">
        <v>135</v>
      </c>
      <c r="E349" t="s">
        <v>44</v>
      </c>
      <c r="F349" t="s">
        <v>85</v>
      </c>
      <c r="H349">
        <v>500</v>
      </c>
      <c r="I349" s="14"/>
      <c r="J349" s="14"/>
    </row>
    <row r="350" spans="1:10">
      <c r="A350">
        <v>45820</v>
      </c>
      <c r="B350" t="s">
        <v>453</v>
      </c>
      <c r="C350" t="s">
        <v>181</v>
      </c>
      <c r="D350" t="s">
        <v>135</v>
      </c>
      <c r="E350" t="s">
        <v>46</v>
      </c>
      <c r="F350" t="s">
        <v>94</v>
      </c>
      <c r="H350">
        <v>500</v>
      </c>
      <c r="I350" s="14"/>
      <c r="J350" s="14"/>
    </row>
    <row r="351" spans="1:10">
      <c r="A351">
        <v>45820</v>
      </c>
      <c r="B351" t="s">
        <v>453</v>
      </c>
      <c r="C351" t="s">
        <v>181</v>
      </c>
      <c r="D351" t="s">
        <v>135</v>
      </c>
      <c r="E351" t="s">
        <v>46</v>
      </c>
      <c r="F351" t="s">
        <v>92</v>
      </c>
      <c r="H351">
        <v>1000</v>
      </c>
      <c r="I351" s="14"/>
      <c r="J351" s="14"/>
    </row>
    <row r="352" spans="1:10">
      <c r="A352">
        <v>45820</v>
      </c>
      <c r="B352" t="s">
        <v>453</v>
      </c>
      <c r="C352" t="s">
        <v>181</v>
      </c>
      <c r="D352" t="s">
        <v>135</v>
      </c>
      <c r="E352" t="s">
        <v>46</v>
      </c>
      <c r="F352" t="s">
        <v>93</v>
      </c>
      <c r="H352">
        <v>500</v>
      </c>
      <c r="I352" s="14"/>
      <c r="J352" s="14"/>
    </row>
    <row r="353" spans="1:10">
      <c r="A353">
        <v>45820</v>
      </c>
      <c r="B353" t="s">
        <v>453</v>
      </c>
      <c r="C353" t="s">
        <v>181</v>
      </c>
      <c r="D353" t="s">
        <v>135</v>
      </c>
      <c r="E353" t="s">
        <v>263</v>
      </c>
      <c r="F353" t="s">
        <v>186</v>
      </c>
      <c r="H353">
        <v>1500</v>
      </c>
      <c r="I353" s="14"/>
      <c r="J353" s="14"/>
    </row>
    <row r="354" spans="1:10">
      <c r="A354">
        <v>45820</v>
      </c>
      <c r="B354" t="s">
        <v>453</v>
      </c>
      <c r="C354" t="s">
        <v>181</v>
      </c>
      <c r="D354" t="s">
        <v>135</v>
      </c>
      <c r="E354" t="s">
        <v>263</v>
      </c>
      <c r="F354" t="s">
        <v>184</v>
      </c>
      <c r="H354">
        <v>500</v>
      </c>
      <c r="I354" s="14"/>
      <c r="J354" s="14"/>
    </row>
    <row r="355" spans="1:10">
      <c r="A355">
        <v>45820</v>
      </c>
      <c r="B355" t="s">
        <v>453</v>
      </c>
      <c r="C355" t="s">
        <v>181</v>
      </c>
      <c r="D355" t="s">
        <v>135</v>
      </c>
      <c r="E355" t="s">
        <v>263</v>
      </c>
      <c r="F355" t="s">
        <v>187</v>
      </c>
      <c r="H355">
        <v>500</v>
      </c>
      <c r="I355" s="14"/>
      <c r="J355" s="14"/>
    </row>
    <row r="356" spans="1:10">
      <c r="A356">
        <v>45820</v>
      </c>
      <c r="B356" t="s">
        <v>453</v>
      </c>
      <c r="C356" t="s">
        <v>181</v>
      </c>
      <c r="D356" t="s">
        <v>135</v>
      </c>
      <c r="E356" t="s">
        <v>264</v>
      </c>
      <c r="F356" t="s">
        <v>188</v>
      </c>
      <c r="H356">
        <v>1000</v>
      </c>
      <c r="I356" s="14"/>
      <c r="J356" s="14"/>
    </row>
    <row r="357" spans="1:10">
      <c r="A357">
        <v>45820</v>
      </c>
      <c r="B357" t="s">
        <v>454</v>
      </c>
      <c r="C357" t="s">
        <v>181</v>
      </c>
      <c r="D357" t="s">
        <v>135</v>
      </c>
      <c r="E357" t="s">
        <v>46</v>
      </c>
      <c r="F357" t="s">
        <v>94</v>
      </c>
      <c r="H357">
        <v>520</v>
      </c>
      <c r="I357" s="14"/>
      <c r="J357" s="14"/>
    </row>
    <row r="358" spans="1:10">
      <c r="A358">
        <v>45820</v>
      </c>
      <c r="B358" t="s">
        <v>454</v>
      </c>
      <c r="C358" t="s">
        <v>181</v>
      </c>
      <c r="D358" t="s">
        <v>135</v>
      </c>
      <c r="E358" t="s">
        <v>46</v>
      </c>
      <c r="F358" t="s">
        <v>92</v>
      </c>
      <c r="H358">
        <v>640</v>
      </c>
      <c r="I358" s="14"/>
      <c r="J358" s="14"/>
    </row>
    <row r="359" spans="1:10">
      <c r="A359">
        <v>45820</v>
      </c>
      <c r="B359" t="s">
        <v>454</v>
      </c>
      <c r="C359" t="s">
        <v>181</v>
      </c>
      <c r="D359" t="s">
        <v>135</v>
      </c>
      <c r="E359" t="s">
        <v>263</v>
      </c>
      <c r="F359" t="s">
        <v>186</v>
      </c>
      <c r="H359">
        <v>960</v>
      </c>
      <c r="I359" s="14"/>
      <c r="J359" s="14"/>
    </row>
    <row r="360" spans="1:10">
      <c r="A360">
        <v>45820</v>
      </c>
      <c r="B360" t="s">
        <v>454</v>
      </c>
      <c r="C360" t="s">
        <v>181</v>
      </c>
      <c r="D360" t="s">
        <v>135</v>
      </c>
      <c r="E360" t="s">
        <v>263</v>
      </c>
      <c r="F360" t="s">
        <v>184</v>
      </c>
      <c r="H360">
        <v>400</v>
      </c>
      <c r="I360" s="14"/>
      <c r="J360" s="14"/>
    </row>
    <row r="361" spans="1:10">
      <c r="A361">
        <v>45820</v>
      </c>
      <c r="B361" t="s">
        <v>454</v>
      </c>
      <c r="C361" t="s">
        <v>181</v>
      </c>
      <c r="D361" t="s">
        <v>135</v>
      </c>
      <c r="E361" t="s">
        <v>263</v>
      </c>
      <c r="F361" t="s">
        <v>187</v>
      </c>
      <c r="H361">
        <v>120</v>
      </c>
      <c r="I361" s="14"/>
      <c r="J361" s="14"/>
    </row>
    <row r="362" spans="1:10">
      <c r="A362">
        <v>45820</v>
      </c>
      <c r="B362" t="s">
        <v>440</v>
      </c>
      <c r="C362" t="s">
        <v>181</v>
      </c>
      <c r="D362" t="s">
        <v>274</v>
      </c>
      <c r="E362" t="s">
        <v>263</v>
      </c>
      <c r="F362" t="s">
        <v>186</v>
      </c>
      <c r="H362">
        <v>13000</v>
      </c>
      <c r="I362" s="14"/>
      <c r="J362" s="14"/>
    </row>
    <row r="363" spans="1:10">
      <c r="A363">
        <v>45820</v>
      </c>
      <c r="B363" t="s">
        <v>440</v>
      </c>
      <c r="C363" t="s">
        <v>181</v>
      </c>
      <c r="D363" t="s">
        <v>274</v>
      </c>
      <c r="E363" t="s">
        <v>263</v>
      </c>
      <c r="F363" t="s">
        <v>184</v>
      </c>
      <c r="H363">
        <v>6000</v>
      </c>
      <c r="I363" s="14"/>
      <c r="J363" s="14"/>
    </row>
    <row r="364" spans="1:10">
      <c r="A364">
        <v>45820</v>
      </c>
      <c r="B364" t="s">
        <v>440</v>
      </c>
      <c r="C364" t="s">
        <v>181</v>
      </c>
      <c r="D364" t="s">
        <v>274</v>
      </c>
      <c r="E364" t="s">
        <v>46</v>
      </c>
      <c r="F364" t="s">
        <v>94</v>
      </c>
      <c r="H364">
        <v>2000</v>
      </c>
      <c r="I364" s="14"/>
      <c r="J364" s="14"/>
    </row>
    <row r="365" spans="1:10">
      <c r="A365">
        <v>45820</v>
      </c>
      <c r="B365" t="s">
        <v>440</v>
      </c>
      <c r="C365" t="s">
        <v>181</v>
      </c>
      <c r="D365" t="s">
        <v>274</v>
      </c>
      <c r="E365" t="s">
        <v>46</v>
      </c>
      <c r="F365" t="s">
        <v>92</v>
      </c>
      <c r="H365">
        <v>3000</v>
      </c>
      <c r="I365" s="14"/>
      <c r="J365" s="14"/>
    </row>
    <row r="366" spans="1:10">
      <c r="A366">
        <v>45820</v>
      </c>
      <c r="B366" t="s">
        <v>440</v>
      </c>
      <c r="C366" t="s">
        <v>181</v>
      </c>
      <c r="D366" t="s">
        <v>274</v>
      </c>
      <c r="E366" t="s">
        <v>46</v>
      </c>
      <c r="F366" t="s">
        <v>93</v>
      </c>
      <c r="H366">
        <v>2000</v>
      </c>
      <c r="I366" s="14"/>
      <c r="J366" s="14"/>
    </row>
    <row r="367" spans="1:10">
      <c r="A367">
        <v>45820</v>
      </c>
      <c r="B367" t="s">
        <v>440</v>
      </c>
      <c r="C367" t="s">
        <v>181</v>
      </c>
      <c r="D367" t="s">
        <v>274</v>
      </c>
      <c r="E367" t="s">
        <v>264</v>
      </c>
      <c r="F367" t="s">
        <v>188</v>
      </c>
      <c r="H367">
        <v>6000</v>
      </c>
      <c r="I367" s="14"/>
      <c r="J367" s="14"/>
    </row>
    <row r="368" spans="1:10">
      <c r="A368">
        <v>45820</v>
      </c>
      <c r="B368" t="s">
        <v>440</v>
      </c>
      <c r="C368" t="s">
        <v>181</v>
      </c>
      <c r="D368" t="s">
        <v>274</v>
      </c>
      <c r="E368" t="s">
        <v>263</v>
      </c>
      <c r="F368" t="s">
        <v>187</v>
      </c>
      <c r="H368">
        <v>2500</v>
      </c>
      <c r="I368" s="14"/>
      <c r="J368" s="14"/>
    </row>
    <row r="369" spans="1:10">
      <c r="A369">
        <v>45820</v>
      </c>
      <c r="B369" t="s">
        <v>456</v>
      </c>
      <c r="C369" t="s">
        <v>181</v>
      </c>
      <c r="D369" t="s">
        <v>135</v>
      </c>
      <c r="E369" t="s">
        <v>44</v>
      </c>
      <c r="F369" t="s">
        <v>85</v>
      </c>
      <c r="H369">
        <v>650</v>
      </c>
      <c r="I369" s="14"/>
      <c r="J369" s="14"/>
    </row>
    <row r="370" spans="1:10">
      <c r="A370">
        <v>45820</v>
      </c>
      <c r="B370" t="s">
        <v>456</v>
      </c>
      <c r="C370" t="s">
        <v>181</v>
      </c>
      <c r="D370" t="s">
        <v>135</v>
      </c>
      <c r="E370" t="s">
        <v>263</v>
      </c>
      <c r="F370" t="s">
        <v>184</v>
      </c>
      <c r="H370">
        <v>1150</v>
      </c>
      <c r="I370" s="14"/>
      <c r="J370" s="14"/>
    </row>
    <row r="371" spans="1:10">
      <c r="A371">
        <v>45820</v>
      </c>
      <c r="B371" t="s">
        <v>456</v>
      </c>
      <c r="C371" t="s">
        <v>181</v>
      </c>
      <c r="D371" t="s">
        <v>135</v>
      </c>
      <c r="E371" t="s">
        <v>263</v>
      </c>
      <c r="F371" t="s">
        <v>187</v>
      </c>
      <c r="H371">
        <v>800</v>
      </c>
      <c r="I371" s="14"/>
      <c r="J371" s="14"/>
    </row>
    <row r="372" spans="1:10">
      <c r="A372">
        <v>45820</v>
      </c>
      <c r="B372" t="s">
        <v>456</v>
      </c>
      <c r="C372" t="s">
        <v>181</v>
      </c>
      <c r="D372" t="s">
        <v>135</v>
      </c>
      <c r="E372" t="s">
        <v>263</v>
      </c>
      <c r="F372" t="s">
        <v>186</v>
      </c>
      <c r="H372">
        <v>200</v>
      </c>
      <c r="I372" s="14"/>
      <c r="J372" s="14"/>
    </row>
    <row r="373" spans="1:10">
      <c r="A373">
        <v>45820</v>
      </c>
      <c r="B373" t="s">
        <v>456</v>
      </c>
      <c r="C373" t="s">
        <v>181</v>
      </c>
      <c r="D373" t="s">
        <v>135</v>
      </c>
      <c r="E373" t="s">
        <v>44</v>
      </c>
      <c r="F373" t="s">
        <v>83</v>
      </c>
      <c r="H373">
        <v>100</v>
      </c>
      <c r="I373" s="14"/>
      <c r="J373" s="14"/>
    </row>
    <row r="374" spans="1:10">
      <c r="A374">
        <v>45820</v>
      </c>
      <c r="B374" t="s">
        <v>452</v>
      </c>
      <c r="C374" t="s">
        <v>443</v>
      </c>
      <c r="D374" t="s">
        <v>237</v>
      </c>
      <c r="E374" t="s">
        <v>44</v>
      </c>
      <c r="F374" t="s">
        <v>85</v>
      </c>
      <c r="H374">
        <v>250</v>
      </c>
      <c r="I374" s="14"/>
      <c r="J374" s="14"/>
    </row>
    <row r="375" spans="1:10">
      <c r="A375">
        <v>45820</v>
      </c>
      <c r="B375" t="s">
        <v>452</v>
      </c>
      <c r="C375" t="s">
        <v>443</v>
      </c>
      <c r="D375" t="s">
        <v>237</v>
      </c>
      <c r="E375" t="s">
        <v>46</v>
      </c>
      <c r="F375" t="s">
        <v>94</v>
      </c>
      <c r="H375">
        <v>3250</v>
      </c>
      <c r="I375" s="14"/>
      <c r="J375" s="14"/>
    </row>
    <row r="376" spans="1:10">
      <c r="A376">
        <v>45820</v>
      </c>
      <c r="B376" t="s">
        <v>452</v>
      </c>
      <c r="C376" t="s">
        <v>443</v>
      </c>
      <c r="D376" t="s">
        <v>237</v>
      </c>
      <c r="E376" t="s">
        <v>46</v>
      </c>
      <c r="F376" t="s">
        <v>92</v>
      </c>
      <c r="H376">
        <v>2000</v>
      </c>
      <c r="I376" s="14"/>
      <c r="J376" s="14"/>
    </row>
    <row r="377" spans="1:10">
      <c r="A377">
        <v>45820</v>
      </c>
      <c r="B377" t="s">
        <v>452</v>
      </c>
      <c r="C377" t="s">
        <v>443</v>
      </c>
      <c r="D377" t="s">
        <v>237</v>
      </c>
      <c r="E377" t="s">
        <v>46</v>
      </c>
      <c r="F377" t="s">
        <v>93</v>
      </c>
      <c r="H377">
        <v>3000</v>
      </c>
      <c r="I377" s="14"/>
      <c r="J377" s="14"/>
    </row>
    <row r="378" spans="1:10">
      <c r="A378">
        <v>45820</v>
      </c>
      <c r="B378" t="s">
        <v>452</v>
      </c>
      <c r="C378" t="s">
        <v>443</v>
      </c>
      <c r="D378" t="s">
        <v>237</v>
      </c>
      <c r="E378" t="s">
        <v>263</v>
      </c>
      <c r="F378" t="s">
        <v>186</v>
      </c>
      <c r="H378">
        <v>10000</v>
      </c>
      <c r="I378" s="14"/>
      <c r="J378" s="14"/>
    </row>
    <row r="379" spans="1:10">
      <c r="A379">
        <v>45820</v>
      </c>
      <c r="B379" t="s">
        <v>452</v>
      </c>
      <c r="C379" t="s">
        <v>443</v>
      </c>
      <c r="D379" t="s">
        <v>237</v>
      </c>
      <c r="E379" t="s">
        <v>263</v>
      </c>
      <c r="F379" t="s">
        <v>184</v>
      </c>
      <c r="H379">
        <v>1000</v>
      </c>
      <c r="I379" s="14"/>
      <c r="J379" s="14"/>
    </row>
    <row r="380" spans="1:10">
      <c r="A380">
        <v>45820</v>
      </c>
      <c r="B380" t="s">
        <v>452</v>
      </c>
      <c r="C380" t="s">
        <v>443</v>
      </c>
      <c r="D380" t="s">
        <v>237</v>
      </c>
      <c r="E380" t="s">
        <v>263</v>
      </c>
      <c r="F380" t="s">
        <v>187</v>
      </c>
      <c r="H380">
        <v>1000</v>
      </c>
      <c r="I380" s="14"/>
      <c r="J380" s="14"/>
    </row>
    <row r="381" spans="1:10">
      <c r="A381">
        <v>45820</v>
      </c>
      <c r="B381" t="s">
        <v>452</v>
      </c>
      <c r="C381" t="s">
        <v>443</v>
      </c>
      <c r="D381" t="s">
        <v>237</v>
      </c>
      <c r="E381" t="s">
        <v>264</v>
      </c>
      <c r="F381" t="s">
        <v>188</v>
      </c>
      <c r="H381">
        <v>8000</v>
      </c>
      <c r="I381" s="14"/>
      <c r="J381" s="14"/>
    </row>
    <row r="382" spans="1:10">
      <c r="A382">
        <v>45820</v>
      </c>
      <c r="B382" t="s">
        <v>444</v>
      </c>
      <c r="C382" t="s">
        <v>443</v>
      </c>
      <c r="D382" t="s">
        <v>216</v>
      </c>
      <c r="E382" t="s">
        <v>44</v>
      </c>
      <c r="F382" t="s">
        <v>85</v>
      </c>
      <c r="H382">
        <v>100</v>
      </c>
      <c r="I382" s="14"/>
      <c r="J382" s="14"/>
    </row>
    <row r="383" spans="1:10">
      <c r="A383">
        <v>45820</v>
      </c>
      <c r="B383" t="s">
        <v>444</v>
      </c>
      <c r="C383" t="s">
        <v>443</v>
      </c>
      <c r="D383" t="s">
        <v>216</v>
      </c>
      <c r="E383" t="s">
        <v>44</v>
      </c>
      <c r="F383" t="s">
        <v>84</v>
      </c>
      <c r="H383">
        <v>50</v>
      </c>
      <c r="I383" s="14"/>
      <c r="J383" s="14"/>
    </row>
    <row r="384" spans="1:10">
      <c r="A384">
        <v>45820</v>
      </c>
      <c r="B384" t="s">
        <v>444</v>
      </c>
      <c r="C384" t="s">
        <v>443</v>
      </c>
      <c r="D384" t="s">
        <v>216</v>
      </c>
      <c r="E384" t="s">
        <v>46</v>
      </c>
      <c r="F384" t="s">
        <v>94</v>
      </c>
      <c r="H384">
        <v>1000</v>
      </c>
      <c r="I384" s="14"/>
      <c r="J384" s="14"/>
    </row>
    <row r="385" spans="1:10">
      <c r="A385">
        <v>45820</v>
      </c>
      <c r="B385" t="s">
        <v>444</v>
      </c>
      <c r="C385" t="s">
        <v>443</v>
      </c>
      <c r="D385" t="s">
        <v>216</v>
      </c>
      <c r="E385" t="s">
        <v>46</v>
      </c>
      <c r="F385" t="s">
        <v>92</v>
      </c>
      <c r="H385">
        <v>500</v>
      </c>
      <c r="I385" s="14"/>
      <c r="J385" s="14"/>
    </row>
    <row r="386" spans="1:10">
      <c r="A386">
        <v>45820</v>
      </c>
      <c r="B386" t="s">
        <v>444</v>
      </c>
      <c r="C386" t="s">
        <v>443</v>
      </c>
      <c r="D386" t="s">
        <v>216</v>
      </c>
      <c r="E386" t="s">
        <v>46</v>
      </c>
      <c r="F386" t="s">
        <v>93</v>
      </c>
      <c r="H386">
        <v>1000</v>
      </c>
      <c r="I386" s="14"/>
      <c r="J386" s="14"/>
    </row>
    <row r="387" spans="1:10">
      <c r="A387">
        <v>45820</v>
      </c>
      <c r="B387" t="s">
        <v>444</v>
      </c>
      <c r="C387" t="s">
        <v>443</v>
      </c>
      <c r="D387" t="s">
        <v>216</v>
      </c>
      <c r="E387" t="s">
        <v>263</v>
      </c>
      <c r="F387" t="s">
        <v>186</v>
      </c>
      <c r="H387">
        <v>13000</v>
      </c>
      <c r="I387" s="14"/>
      <c r="J387" s="14"/>
    </row>
    <row r="388" spans="1:10">
      <c r="A388">
        <v>45820</v>
      </c>
      <c r="B388" t="s">
        <v>444</v>
      </c>
      <c r="C388" t="s">
        <v>443</v>
      </c>
      <c r="D388" t="s">
        <v>216</v>
      </c>
      <c r="E388" t="s">
        <v>263</v>
      </c>
      <c r="F388" t="s">
        <v>184</v>
      </c>
      <c r="H388">
        <v>1500</v>
      </c>
      <c r="I388" s="14"/>
      <c r="J388" s="14"/>
    </row>
    <row r="389" spans="1:10">
      <c r="A389">
        <v>45820</v>
      </c>
      <c r="B389" t="s">
        <v>444</v>
      </c>
      <c r="C389" t="s">
        <v>443</v>
      </c>
      <c r="D389" t="s">
        <v>216</v>
      </c>
      <c r="E389" t="s">
        <v>264</v>
      </c>
      <c r="F389" t="s">
        <v>188</v>
      </c>
      <c r="H389">
        <v>3000</v>
      </c>
      <c r="I389" s="14"/>
      <c r="J389" s="14"/>
    </row>
    <row r="390" spans="1:10">
      <c r="A390">
        <v>45820</v>
      </c>
      <c r="B390" t="s">
        <v>447</v>
      </c>
      <c r="C390" t="s">
        <v>181</v>
      </c>
      <c r="D390" t="s">
        <v>135</v>
      </c>
      <c r="E390" t="s">
        <v>46</v>
      </c>
      <c r="F390" t="s">
        <v>94</v>
      </c>
      <c r="H390">
        <v>500</v>
      </c>
      <c r="I390" s="14"/>
      <c r="J390" s="14"/>
    </row>
    <row r="391" spans="1:10">
      <c r="A391">
        <v>45820</v>
      </c>
      <c r="B391" t="s">
        <v>447</v>
      </c>
      <c r="C391" t="s">
        <v>181</v>
      </c>
      <c r="D391" t="s">
        <v>135</v>
      </c>
      <c r="E391" t="s">
        <v>46</v>
      </c>
      <c r="F391" t="s">
        <v>92</v>
      </c>
      <c r="H391">
        <v>500</v>
      </c>
      <c r="I391" s="14"/>
      <c r="J391" s="14"/>
    </row>
    <row r="392" spans="1:10">
      <c r="A392">
        <v>45820</v>
      </c>
      <c r="B392" t="s">
        <v>447</v>
      </c>
      <c r="C392" t="s">
        <v>181</v>
      </c>
      <c r="D392" t="s">
        <v>135</v>
      </c>
      <c r="E392" t="s">
        <v>263</v>
      </c>
      <c r="F392" t="s">
        <v>186</v>
      </c>
      <c r="H392">
        <v>1000</v>
      </c>
      <c r="I392" s="14"/>
      <c r="J392" s="14"/>
    </row>
    <row r="393" spans="1:10">
      <c r="A393">
        <v>45820</v>
      </c>
      <c r="B393" t="s">
        <v>447</v>
      </c>
      <c r="C393" t="s">
        <v>181</v>
      </c>
      <c r="D393" t="s">
        <v>135</v>
      </c>
      <c r="E393" t="s">
        <v>263</v>
      </c>
      <c r="F393" t="s">
        <v>187</v>
      </c>
      <c r="H393">
        <v>500</v>
      </c>
      <c r="I393" s="14"/>
      <c r="J393" s="14"/>
    </row>
    <row r="394" spans="1:10">
      <c r="A394">
        <v>45820</v>
      </c>
      <c r="B394" t="s">
        <v>447</v>
      </c>
      <c r="C394" t="s">
        <v>181</v>
      </c>
      <c r="D394" t="s">
        <v>135</v>
      </c>
      <c r="E394" t="s">
        <v>264</v>
      </c>
      <c r="F394" t="s">
        <v>188</v>
      </c>
      <c r="H394">
        <v>1000</v>
      </c>
      <c r="I394" s="14"/>
      <c r="J394" s="14"/>
    </row>
    <row r="395" spans="1:10">
      <c r="A395">
        <v>45820</v>
      </c>
      <c r="B395" t="s">
        <v>349</v>
      </c>
      <c r="C395" t="s">
        <v>443</v>
      </c>
      <c r="D395" t="s">
        <v>225</v>
      </c>
      <c r="E395" t="s">
        <v>46</v>
      </c>
      <c r="F395" t="s">
        <v>93</v>
      </c>
      <c r="H395">
        <v>1500</v>
      </c>
      <c r="I395" s="14"/>
      <c r="J395" s="14"/>
    </row>
    <row r="396" spans="1:10">
      <c r="A396">
        <v>45820</v>
      </c>
      <c r="B396" t="s">
        <v>349</v>
      </c>
      <c r="C396" t="s">
        <v>443</v>
      </c>
      <c r="D396" t="s">
        <v>225</v>
      </c>
      <c r="E396" t="s">
        <v>264</v>
      </c>
      <c r="F396" t="s">
        <v>188</v>
      </c>
      <c r="H396">
        <v>5500</v>
      </c>
      <c r="I396" s="14"/>
      <c r="J396" s="14"/>
    </row>
    <row r="397" spans="1:10">
      <c r="A397">
        <v>45820</v>
      </c>
      <c r="B397" t="s">
        <v>349</v>
      </c>
      <c r="C397" t="s">
        <v>443</v>
      </c>
      <c r="D397" t="s">
        <v>225</v>
      </c>
      <c r="E397" t="s">
        <v>264</v>
      </c>
      <c r="F397" t="s">
        <v>189</v>
      </c>
      <c r="H397">
        <v>2250</v>
      </c>
      <c r="I397" s="14"/>
      <c r="J397" s="14"/>
    </row>
    <row r="398" spans="1:10">
      <c r="A398">
        <v>45820</v>
      </c>
      <c r="B398" t="s">
        <v>349</v>
      </c>
      <c r="C398" t="s">
        <v>443</v>
      </c>
      <c r="D398" t="s">
        <v>225</v>
      </c>
      <c r="E398" t="s">
        <v>44</v>
      </c>
      <c r="F398" t="s">
        <v>83</v>
      </c>
      <c r="H398">
        <v>50</v>
      </c>
      <c r="I398" s="14"/>
      <c r="J398" s="14"/>
    </row>
    <row r="399" spans="1:10">
      <c r="A399">
        <v>45820</v>
      </c>
      <c r="B399" t="s">
        <v>349</v>
      </c>
      <c r="C399" t="s">
        <v>443</v>
      </c>
      <c r="D399" t="s">
        <v>225</v>
      </c>
      <c r="E399" t="s">
        <v>46</v>
      </c>
      <c r="F399" t="s">
        <v>94</v>
      </c>
      <c r="H399">
        <v>2500</v>
      </c>
      <c r="I399" s="14"/>
      <c r="J399" s="14"/>
    </row>
    <row r="400" spans="1:10">
      <c r="A400">
        <v>45820</v>
      </c>
      <c r="B400" t="s">
        <v>349</v>
      </c>
      <c r="C400" t="s">
        <v>443</v>
      </c>
      <c r="D400" t="s">
        <v>225</v>
      </c>
      <c r="E400" t="s">
        <v>46</v>
      </c>
      <c r="F400" t="s">
        <v>92</v>
      </c>
      <c r="H400">
        <v>500</v>
      </c>
      <c r="I400" s="14"/>
      <c r="J400" s="14"/>
    </row>
    <row r="401" spans="1:10">
      <c r="A401">
        <v>45820</v>
      </c>
      <c r="B401" t="s">
        <v>349</v>
      </c>
      <c r="C401" t="s">
        <v>443</v>
      </c>
      <c r="D401" t="s">
        <v>225</v>
      </c>
      <c r="E401" t="s">
        <v>263</v>
      </c>
      <c r="F401" t="s">
        <v>186</v>
      </c>
      <c r="H401">
        <v>6700</v>
      </c>
      <c r="I401" s="14"/>
      <c r="J401" s="14"/>
    </row>
    <row r="402" spans="1:10">
      <c r="A402">
        <v>45820</v>
      </c>
      <c r="B402" t="s">
        <v>349</v>
      </c>
      <c r="C402" t="s">
        <v>443</v>
      </c>
      <c r="D402" t="s">
        <v>225</v>
      </c>
      <c r="E402" t="s">
        <v>263</v>
      </c>
      <c r="F402" t="s">
        <v>187</v>
      </c>
      <c r="H402">
        <v>1000</v>
      </c>
      <c r="I402" s="14"/>
      <c r="J402" s="14"/>
    </row>
    <row r="403" spans="1:10">
      <c r="A403">
        <v>45820</v>
      </c>
      <c r="B403" t="s">
        <v>451</v>
      </c>
      <c r="C403" t="s">
        <v>443</v>
      </c>
      <c r="D403" t="s">
        <v>222</v>
      </c>
      <c r="E403" t="s">
        <v>46</v>
      </c>
      <c r="F403" t="s">
        <v>94</v>
      </c>
      <c r="H403">
        <v>6000</v>
      </c>
      <c r="I403" s="14"/>
      <c r="J403" s="14"/>
    </row>
    <row r="404" spans="1:10">
      <c r="A404">
        <v>45820</v>
      </c>
      <c r="B404" t="s">
        <v>451</v>
      </c>
      <c r="C404" t="s">
        <v>443</v>
      </c>
      <c r="D404" t="s">
        <v>222</v>
      </c>
      <c r="E404" t="s">
        <v>46</v>
      </c>
      <c r="F404" t="s">
        <v>93</v>
      </c>
      <c r="H404">
        <v>6000</v>
      </c>
      <c r="I404" s="14"/>
      <c r="J404" s="14"/>
    </row>
    <row r="405" spans="1:10">
      <c r="A405">
        <v>45820</v>
      </c>
      <c r="B405" t="s">
        <v>451</v>
      </c>
      <c r="C405" t="s">
        <v>443</v>
      </c>
      <c r="D405" t="s">
        <v>222</v>
      </c>
      <c r="E405" t="s">
        <v>263</v>
      </c>
      <c r="F405" t="s">
        <v>186</v>
      </c>
      <c r="H405">
        <v>5500</v>
      </c>
      <c r="I405" s="14"/>
      <c r="J405" s="14"/>
    </row>
    <row r="406" spans="1:10">
      <c r="A406">
        <v>45820</v>
      </c>
      <c r="B406" t="s">
        <v>451</v>
      </c>
      <c r="C406" t="s">
        <v>443</v>
      </c>
      <c r="D406" t="s">
        <v>222</v>
      </c>
      <c r="E406" t="s">
        <v>263</v>
      </c>
      <c r="F406" t="s">
        <v>184</v>
      </c>
      <c r="H406">
        <v>3000</v>
      </c>
      <c r="I406" s="14"/>
      <c r="J406" s="14"/>
    </row>
    <row r="407" spans="1:10">
      <c r="A407">
        <v>45820</v>
      </c>
      <c r="B407" t="s">
        <v>451</v>
      </c>
      <c r="C407" t="s">
        <v>443</v>
      </c>
      <c r="D407" t="s">
        <v>222</v>
      </c>
      <c r="E407" t="s">
        <v>263</v>
      </c>
      <c r="F407" t="s">
        <v>187</v>
      </c>
      <c r="H407">
        <v>5500</v>
      </c>
      <c r="I407" s="14"/>
      <c r="J407" s="14"/>
    </row>
    <row r="408" spans="1:10">
      <c r="A408">
        <v>45820</v>
      </c>
      <c r="B408" t="s">
        <v>451</v>
      </c>
      <c r="C408" t="s">
        <v>443</v>
      </c>
      <c r="D408" t="s">
        <v>222</v>
      </c>
      <c r="E408" t="s">
        <v>264</v>
      </c>
      <c r="F408" t="s">
        <v>188</v>
      </c>
      <c r="H408">
        <v>1000</v>
      </c>
      <c r="I408" s="14"/>
      <c r="J408" s="14"/>
    </row>
    <row r="409" spans="1:10">
      <c r="A409">
        <v>45820</v>
      </c>
      <c r="B409" t="s">
        <v>451</v>
      </c>
      <c r="C409" t="s">
        <v>443</v>
      </c>
      <c r="D409" t="s">
        <v>222</v>
      </c>
      <c r="E409" t="s">
        <v>264</v>
      </c>
      <c r="F409" t="s">
        <v>189</v>
      </c>
      <c r="H409">
        <v>500</v>
      </c>
      <c r="I409" s="14"/>
      <c r="J409" s="14"/>
    </row>
    <row r="410" spans="1:10">
      <c r="A410">
        <v>45820</v>
      </c>
      <c r="B410" t="s">
        <v>451</v>
      </c>
      <c r="C410" t="s">
        <v>443</v>
      </c>
      <c r="D410" t="s">
        <v>222</v>
      </c>
      <c r="E410" t="s">
        <v>44</v>
      </c>
      <c r="F410" t="s">
        <v>85</v>
      </c>
      <c r="H410">
        <v>50</v>
      </c>
      <c r="I410" s="14"/>
      <c r="J410" s="14"/>
    </row>
    <row r="411" spans="1:10">
      <c r="A411">
        <v>45820</v>
      </c>
      <c r="B411" t="s">
        <v>451</v>
      </c>
      <c r="C411" t="s">
        <v>443</v>
      </c>
      <c r="D411" t="s">
        <v>222</v>
      </c>
      <c r="E411" t="s">
        <v>45</v>
      </c>
      <c r="F411" t="s">
        <v>88</v>
      </c>
      <c r="H411">
        <v>50</v>
      </c>
      <c r="I411" s="14"/>
      <c r="J411" s="14"/>
    </row>
    <row r="412" spans="1:10">
      <c r="A412">
        <v>45820</v>
      </c>
      <c r="B412" t="s">
        <v>451</v>
      </c>
      <c r="C412" t="s">
        <v>443</v>
      </c>
      <c r="D412" t="s">
        <v>222</v>
      </c>
      <c r="E412" t="s">
        <v>46</v>
      </c>
      <c r="F412" t="s">
        <v>92</v>
      </c>
      <c r="H412">
        <v>4000</v>
      </c>
      <c r="I412" s="14"/>
      <c r="J412" s="14"/>
    </row>
    <row r="413" spans="1:10">
      <c r="A413">
        <v>45821</v>
      </c>
      <c r="B413" t="s">
        <v>438</v>
      </c>
      <c r="C413" t="s">
        <v>181</v>
      </c>
      <c r="D413" t="s">
        <v>130</v>
      </c>
      <c r="E413" t="s">
        <v>44</v>
      </c>
      <c r="F413" t="s">
        <v>84</v>
      </c>
      <c r="H413">
        <v>1000</v>
      </c>
      <c r="I413" s="14"/>
      <c r="J413" s="14"/>
    </row>
    <row r="414" spans="1:10">
      <c r="A414">
        <v>45821</v>
      </c>
      <c r="B414" t="s">
        <v>438</v>
      </c>
      <c r="C414" t="s">
        <v>181</v>
      </c>
      <c r="D414" t="s">
        <v>130</v>
      </c>
      <c r="E414" t="s">
        <v>46</v>
      </c>
      <c r="F414" t="s">
        <v>94</v>
      </c>
      <c r="H414">
        <v>1000</v>
      </c>
      <c r="I414" s="14"/>
      <c r="J414" s="14"/>
    </row>
    <row r="415" spans="1:10">
      <c r="A415">
        <v>45821</v>
      </c>
      <c r="B415" t="s">
        <v>438</v>
      </c>
      <c r="C415" t="s">
        <v>181</v>
      </c>
      <c r="D415" t="s">
        <v>130</v>
      </c>
      <c r="E415" t="s">
        <v>263</v>
      </c>
      <c r="F415" t="s">
        <v>186</v>
      </c>
      <c r="H415">
        <v>8000</v>
      </c>
      <c r="I415" s="14"/>
      <c r="J415" s="14"/>
    </row>
    <row r="416" spans="1:10">
      <c r="A416">
        <v>45821</v>
      </c>
      <c r="B416" t="s">
        <v>438</v>
      </c>
      <c r="C416" t="s">
        <v>181</v>
      </c>
      <c r="D416" t="s">
        <v>130</v>
      </c>
      <c r="E416" t="s">
        <v>264</v>
      </c>
      <c r="F416" t="s">
        <v>188</v>
      </c>
      <c r="H416">
        <v>2000</v>
      </c>
      <c r="I416" s="14"/>
      <c r="J416" s="14"/>
    </row>
    <row r="417" spans="1:10">
      <c r="A417">
        <v>45821</v>
      </c>
      <c r="B417" t="s">
        <v>454</v>
      </c>
      <c r="C417" t="s">
        <v>181</v>
      </c>
      <c r="D417" t="s">
        <v>135</v>
      </c>
      <c r="E417" t="s">
        <v>46</v>
      </c>
      <c r="F417" t="s">
        <v>94</v>
      </c>
      <c r="H417">
        <v>720</v>
      </c>
      <c r="I417" s="14"/>
      <c r="J417" s="14"/>
    </row>
    <row r="418" spans="1:10">
      <c r="A418">
        <v>45821</v>
      </c>
      <c r="B418" t="s">
        <v>454</v>
      </c>
      <c r="C418" t="s">
        <v>181</v>
      </c>
      <c r="D418" t="s">
        <v>135</v>
      </c>
      <c r="E418" t="s">
        <v>46</v>
      </c>
      <c r="F418" t="s">
        <v>92</v>
      </c>
      <c r="H418">
        <v>880</v>
      </c>
      <c r="I418" s="14"/>
      <c r="J418" s="14"/>
    </row>
    <row r="419" spans="1:10">
      <c r="A419">
        <v>45821</v>
      </c>
      <c r="B419" t="s">
        <v>454</v>
      </c>
      <c r="C419" t="s">
        <v>181</v>
      </c>
      <c r="D419" t="s">
        <v>135</v>
      </c>
      <c r="E419" t="s">
        <v>263</v>
      </c>
      <c r="F419" t="s">
        <v>186</v>
      </c>
      <c r="H419">
        <v>1160</v>
      </c>
      <c r="I419" s="14"/>
      <c r="J419" s="14"/>
    </row>
    <row r="420" spans="1:10">
      <c r="A420">
        <v>45821</v>
      </c>
      <c r="B420" t="s">
        <v>454</v>
      </c>
      <c r="C420" t="s">
        <v>181</v>
      </c>
      <c r="D420" t="s">
        <v>135</v>
      </c>
      <c r="E420" t="s">
        <v>263</v>
      </c>
      <c r="F420" t="s">
        <v>184</v>
      </c>
      <c r="H420">
        <v>800</v>
      </c>
      <c r="I420" s="14"/>
      <c r="J420" s="14"/>
    </row>
    <row r="421" spans="1:10">
      <c r="A421">
        <v>45821</v>
      </c>
      <c r="B421" t="s">
        <v>454</v>
      </c>
      <c r="C421" t="s">
        <v>181</v>
      </c>
      <c r="D421" t="s">
        <v>135</v>
      </c>
      <c r="E421" t="s">
        <v>263</v>
      </c>
      <c r="F421" t="s">
        <v>187</v>
      </c>
      <c r="H421">
        <v>160</v>
      </c>
      <c r="I421" s="14"/>
      <c r="J421" s="14"/>
    </row>
    <row r="422" spans="1:10">
      <c r="A422">
        <v>45821</v>
      </c>
      <c r="B422" t="s">
        <v>446</v>
      </c>
      <c r="C422" t="s">
        <v>181</v>
      </c>
      <c r="D422" t="s">
        <v>203</v>
      </c>
      <c r="E422" t="s">
        <v>46</v>
      </c>
      <c r="F422" t="s">
        <v>94</v>
      </c>
      <c r="H422">
        <v>500</v>
      </c>
      <c r="I422" s="14"/>
      <c r="J422" s="14"/>
    </row>
    <row r="423" spans="1:10">
      <c r="A423">
        <v>45821</v>
      </c>
      <c r="B423" t="s">
        <v>446</v>
      </c>
      <c r="C423" t="s">
        <v>181</v>
      </c>
      <c r="D423" t="s">
        <v>203</v>
      </c>
      <c r="E423" t="s">
        <v>46</v>
      </c>
      <c r="F423" t="s">
        <v>92</v>
      </c>
      <c r="H423">
        <v>500</v>
      </c>
      <c r="I423" s="14"/>
      <c r="J423" s="14"/>
    </row>
    <row r="424" spans="1:10">
      <c r="A424">
        <v>45821</v>
      </c>
      <c r="B424" t="s">
        <v>446</v>
      </c>
      <c r="C424" t="s">
        <v>181</v>
      </c>
      <c r="D424" t="s">
        <v>203</v>
      </c>
      <c r="E424" t="s">
        <v>46</v>
      </c>
      <c r="F424" t="s">
        <v>93</v>
      </c>
      <c r="H424">
        <v>1000</v>
      </c>
      <c r="I424" s="14"/>
      <c r="J424" s="14"/>
    </row>
    <row r="425" spans="1:10">
      <c r="A425">
        <v>45821</v>
      </c>
      <c r="B425" t="s">
        <v>446</v>
      </c>
      <c r="C425" t="s">
        <v>181</v>
      </c>
      <c r="D425" t="s">
        <v>203</v>
      </c>
      <c r="E425" t="s">
        <v>263</v>
      </c>
      <c r="F425" t="s">
        <v>186</v>
      </c>
      <c r="H425">
        <v>1500</v>
      </c>
      <c r="I425" s="14"/>
      <c r="J425" s="14"/>
    </row>
    <row r="426" spans="1:10">
      <c r="A426">
        <v>45821</v>
      </c>
      <c r="B426" t="s">
        <v>446</v>
      </c>
      <c r="C426" t="s">
        <v>181</v>
      </c>
      <c r="D426" t="s">
        <v>203</v>
      </c>
      <c r="E426" t="s">
        <v>263</v>
      </c>
      <c r="F426" t="s">
        <v>184</v>
      </c>
      <c r="H426">
        <v>500</v>
      </c>
      <c r="I426" s="14"/>
      <c r="J426" s="14"/>
    </row>
    <row r="427" spans="1:10">
      <c r="A427">
        <v>45821</v>
      </c>
      <c r="B427" t="s">
        <v>446</v>
      </c>
      <c r="C427" t="s">
        <v>181</v>
      </c>
      <c r="D427" t="s">
        <v>203</v>
      </c>
      <c r="E427" t="s">
        <v>263</v>
      </c>
      <c r="F427" t="s">
        <v>187</v>
      </c>
      <c r="H427">
        <v>1000</v>
      </c>
      <c r="I427" s="14"/>
      <c r="J427" s="14"/>
    </row>
    <row r="428" spans="1:10">
      <c r="A428">
        <v>45821</v>
      </c>
      <c r="B428" t="s">
        <v>446</v>
      </c>
      <c r="C428" t="s">
        <v>181</v>
      </c>
      <c r="D428" t="s">
        <v>203</v>
      </c>
      <c r="E428" t="s">
        <v>264</v>
      </c>
      <c r="F428" t="s">
        <v>188</v>
      </c>
      <c r="H428">
        <v>1500</v>
      </c>
      <c r="I428" s="14"/>
      <c r="J428" s="14"/>
    </row>
    <row r="429" spans="1:10">
      <c r="A429">
        <v>45821</v>
      </c>
      <c r="B429" t="s">
        <v>442</v>
      </c>
      <c r="C429" t="s">
        <v>443</v>
      </c>
      <c r="D429" t="s">
        <v>234</v>
      </c>
      <c r="E429" t="s">
        <v>44</v>
      </c>
      <c r="F429" t="s">
        <v>83</v>
      </c>
      <c r="H429">
        <v>100</v>
      </c>
      <c r="I429" s="14"/>
      <c r="J429" s="14"/>
    </row>
    <row r="430" spans="1:10">
      <c r="A430">
        <v>45821</v>
      </c>
      <c r="B430" t="s">
        <v>442</v>
      </c>
      <c r="C430" t="s">
        <v>443</v>
      </c>
      <c r="D430" t="s">
        <v>234</v>
      </c>
      <c r="E430" t="s">
        <v>44</v>
      </c>
      <c r="F430" t="s">
        <v>85</v>
      </c>
      <c r="H430">
        <v>200</v>
      </c>
      <c r="I430" s="14"/>
      <c r="J430" s="14"/>
    </row>
    <row r="431" spans="1:10">
      <c r="A431">
        <v>45821</v>
      </c>
      <c r="B431" t="s">
        <v>442</v>
      </c>
      <c r="C431" t="s">
        <v>443</v>
      </c>
      <c r="D431" t="s">
        <v>234</v>
      </c>
      <c r="E431" t="s">
        <v>45</v>
      </c>
      <c r="F431" t="s">
        <v>88</v>
      </c>
      <c r="H431">
        <v>200</v>
      </c>
      <c r="I431" s="14"/>
      <c r="J431" s="14"/>
    </row>
    <row r="432" spans="1:10">
      <c r="A432">
        <v>45821</v>
      </c>
      <c r="B432" t="s">
        <v>442</v>
      </c>
      <c r="C432" t="s">
        <v>443</v>
      </c>
      <c r="D432" t="s">
        <v>234</v>
      </c>
      <c r="E432" t="s">
        <v>46</v>
      </c>
      <c r="F432" t="s">
        <v>94</v>
      </c>
      <c r="H432">
        <v>3000</v>
      </c>
      <c r="I432" s="14"/>
      <c r="J432" s="14"/>
    </row>
    <row r="433" spans="1:10">
      <c r="A433">
        <v>45821</v>
      </c>
      <c r="B433" t="s">
        <v>442</v>
      </c>
      <c r="C433" t="s">
        <v>443</v>
      </c>
      <c r="D433" t="s">
        <v>234</v>
      </c>
      <c r="E433" t="s">
        <v>46</v>
      </c>
      <c r="F433" t="s">
        <v>92</v>
      </c>
      <c r="H433">
        <v>7000</v>
      </c>
      <c r="I433" s="14"/>
      <c r="J433" s="14"/>
    </row>
    <row r="434" spans="1:10">
      <c r="A434">
        <v>45821</v>
      </c>
      <c r="B434" t="s">
        <v>442</v>
      </c>
      <c r="C434" t="s">
        <v>443</v>
      </c>
      <c r="D434" t="s">
        <v>234</v>
      </c>
      <c r="E434" t="s">
        <v>46</v>
      </c>
      <c r="F434" t="s">
        <v>93</v>
      </c>
      <c r="H434">
        <v>500</v>
      </c>
      <c r="I434" s="14"/>
      <c r="J434" s="14"/>
    </row>
    <row r="435" spans="1:10">
      <c r="A435">
        <v>45821</v>
      </c>
      <c r="B435" t="s">
        <v>442</v>
      </c>
      <c r="C435" t="s">
        <v>443</v>
      </c>
      <c r="D435" t="s">
        <v>234</v>
      </c>
      <c r="E435" t="s">
        <v>263</v>
      </c>
      <c r="F435" t="s">
        <v>186</v>
      </c>
      <c r="H435">
        <v>15000</v>
      </c>
      <c r="I435" s="14"/>
      <c r="J435" s="14"/>
    </row>
    <row r="436" spans="1:10">
      <c r="A436">
        <v>45821</v>
      </c>
      <c r="B436" t="s">
        <v>442</v>
      </c>
      <c r="C436" t="s">
        <v>443</v>
      </c>
      <c r="D436" t="s">
        <v>234</v>
      </c>
      <c r="E436" t="s">
        <v>263</v>
      </c>
      <c r="F436" t="s">
        <v>184</v>
      </c>
      <c r="H436">
        <v>10500</v>
      </c>
      <c r="I436" s="14"/>
      <c r="J436" s="14"/>
    </row>
    <row r="437" spans="1:10">
      <c r="A437">
        <v>45821</v>
      </c>
      <c r="B437" t="s">
        <v>442</v>
      </c>
      <c r="C437" t="s">
        <v>443</v>
      </c>
      <c r="D437" t="s">
        <v>234</v>
      </c>
      <c r="E437" t="s">
        <v>263</v>
      </c>
      <c r="F437" t="s">
        <v>187</v>
      </c>
      <c r="H437">
        <v>1000</v>
      </c>
      <c r="I437" s="14"/>
      <c r="J437" s="14"/>
    </row>
    <row r="438" spans="1:10">
      <c r="A438">
        <v>45821</v>
      </c>
      <c r="B438" t="s">
        <v>442</v>
      </c>
      <c r="C438" t="s">
        <v>443</v>
      </c>
      <c r="D438" t="s">
        <v>234</v>
      </c>
      <c r="E438" t="s">
        <v>264</v>
      </c>
      <c r="F438" t="s">
        <v>188</v>
      </c>
      <c r="H438">
        <v>1500</v>
      </c>
      <c r="I438" s="14"/>
      <c r="J438" s="14"/>
    </row>
    <row r="439" spans="1:10">
      <c r="A439">
        <v>45821</v>
      </c>
      <c r="B439" t="s">
        <v>458</v>
      </c>
      <c r="C439" t="s">
        <v>443</v>
      </c>
      <c r="D439" t="s">
        <v>219</v>
      </c>
      <c r="E439" t="s">
        <v>46</v>
      </c>
      <c r="F439" t="s">
        <v>94</v>
      </c>
      <c r="H439">
        <v>2000</v>
      </c>
      <c r="I439" s="14"/>
      <c r="J439" s="14"/>
    </row>
    <row r="440" spans="1:10">
      <c r="A440">
        <v>45821</v>
      </c>
      <c r="B440" t="s">
        <v>458</v>
      </c>
      <c r="C440" t="s">
        <v>443</v>
      </c>
      <c r="D440" t="s">
        <v>219</v>
      </c>
      <c r="E440" t="s">
        <v>46</v>
      </c>
      <c r="F440" t="s">
        <v>92</v>
      </c>
      <c r="H440">
        <v>1000</v>
      </c>
      <c r="I440" s="14"/>
      <c r="J440" s="14"/>
    </row>
    <row r="441" spans="1:10">
      <c r="A441">
        <v>45821</v>
      </c>
      <c r="B441" t="s">
        <v>458</v>
      </c>
      <c r="C441" t="s">
        <v>443</v>
      </c>
      <c r="D441" t="s">
        <v>219</v>
      </c>
      <c r="E441" t="s">
        <v>46</v>
      </c>
      <c r="F441" t="s">
        <v>93</v>
      </c>
      <c r="H441">
        <v>1000</v>
      </c>
      <c r="I441" s="14"/>
      <c r="J441" s="14"/>
    </row>
    <row r="442" spans="1:10">
      <c r="A442">
        <v>45821</v>
      </c>
      <c r="B442" t="s">
        <v>458</v>
      </c>
      <c r="C442" t="s">
        <v>443</v>
      </c>
      <c r="D442" t="s">
        <v>219</v>
      </c>
      <c r="E442" t="s">
        <v>263</v>
      </c>
      <c r="F442" t="s">
        <v>186</v>
      </c>
      <c r="H442">
        <v>10000</v>
      </c>
      <c r="I442" s="14"/>
      <c r="J442" s="14"/>
    </row>
    <row r="443" spans="1:10">
      <c r="A443">
        <v>45821</v>
      </c>
      <c r="B443" t="s">
        <v>458</v>
      </c>
      <c r="C443" t="s">
        <v>443</v>
      </c>
      <c r="D443" t="s">
        <v>219</v>
      </c>
      <c r="E443" t="s">
        <v>263</v>
      </c>
      <c r="F443" t="s">
        <v>184</v>
      </c>
      <c r="H443">
        <v>1500</v>
      </c>
      <c r="I443" s="14"/>
      <c r="J443" s="14"/>
    </row>
    <row r="444" spans="1:10">
      <c r="A444">
        <v>45821</v>
      </c>
      <c r="B444" t="s">
        <v>458</v>
      </c>
      <c r="C444" t="s">
        <v>443</v>
      </c>
      <c r="D444" t="s">
        <v>219</v>
      </c>
      <c r="E444" t="s">
        <v>263</v>
      </c>
      <c r="F444" t="s">
        <v>187</v>
      </c>
      <c r="H444">
        <v>1000</v>
      </c>
      <c r="I444" s="14"/>
      <c r="J444" s="14"/>
    </row>
    <row r="445" spans="1:10">
      <c r="A445">
        <v>45821</v>
      </c>
      <c r="B445" t="s">
        <v>458</v>
      </c>
      <c r="C445" t="s">
        <v>443</v>
      </c>
      <c r="D445" t="s">
        <v>219</v>
      </c>
      <c r="E445" t="s">
        <v>264</v>
      </c>
      <c r="F445" t="s">
        <v>188</v>
      </c>
      <c r="H445">
        <v>2000</v>
      </c>
      <c r="I445" s="14"/>
      <c r="J445" s="14"/>
    </row>
    <row r="446" spans="1:10">
      <c r="A446">
        <v>45821</v>
      </c>
      <c r="B446" t="s">
        <v>458</v>
      </c>
      <c r="C446" t="s">
        <v>443</v>
      </c>
      <c r="D446" t="s">
        <v>219</v>
      </c>
      <c r="E446" t="s">
        <v>264</v>
      </c>
      <c r="F446" t="s">
        <v>189</v>
      </c>
      <c r="H446">
        <v>500</v>
      </c>
      <c r="I446" s="14"/>
      <c r="J446" s="14"/>
    </row>
    <row r="447" spans="1:10">
      <c r="A447">
        <v>45821</v>
      </c>
      <c r="B447" t="s">
        <v>349</v>
      </c>
      <c r="C447" t="s">
        <v>443</v>
      </c>
      <c r="D447" t="s">
        <v>225</v>
      </c>
      <c r="E447" t="s">
        <v>44</v>
      </c>
      <c r="F447" t="s">
        <v>83</v>
      </c>
      <c r="H447">
        <v>150</v>
      </c>
      <c r="I447" s="14"/>
      <c r="J447" s="14"/>
    </row>
    <row r="448" spans="1:10">
      <c r="A448">
        <v>45821</v>
      </c>
      <c r="B448" t="s">
        <v>349</v>
      </c>
      <c r="C448" t="s">
        <v>443</v>
      </c>
      <c r="D448" t="s">
        <v>225</v>
      </c>
      <c r="E448" t="s">
        <v>46</v>
      </c>
      <c r="F448" t="s">
        <v>94</v>
      </c>
      <c r="H448">
        <v>1500</v>
      </c>
      <c r="I448" s="14"/>
      <c r="J448" s="14"/>
    </row>
    <row r="449" spans="1:10">
      <c r="A449">
        <v>45821</v>
      </c>
      <c r="B449" t="s">
        <v>349</v>
      </c>
      <c r="C449" t="s">
        <v>443</v>
      </c>
      <c r="D449" t="s">
        <v>225</v>
      </c>
      <c r="E449" t="s">
        <v>46</v>
      </c>
      <c r="F449" t="s">
        <v>92</v>
      </c>
      <c r="H449">
        <v>500</v>
      </c>
      <c r="I449" s="14"/>
      <c r="J449" s="14"/>
    </row>
    <row r="450" spans="1:10">
      <c r="A450">
        <v>45821</v>
      </c>
      <c r="B450" t="s">
        <v>349</v>
      </c>
      <c r="C450" t="s">
        <v>443</v>
      </c>
      <c r="D450" t="s">
        <v>225</v>
      </c>
      <c r="E450" t="s">
        <v>46</v>
      </c>
      <c r="F450" t="s">
        <v>93</v>
      </c>
      <c r="H450">
        <v>500</v>
      </c>
      <c r="I450" s="14"/>
      <c r="J450" s="14"/>
    </row>
    <row r="451" spans="1:10">
      <c r="A451">
        <v>45821</v>
      </c>
      <c r="B451" t="s">
        <v>349</v>
      </c>
      <c r="C451" t="s">
        <v>443</v>
      </c>
      <c r="D451" t="s">
        <v>225</v>
      </c>
      <c r="E451" t="s">
        <v>264</v>
      </c>
      <c r="F451" t="s">
        <v>188</v>
      </c>
      <c r="H451">
        <v>1850</v>
      </c>
      <c r="I451" s="14"/>
      <c r="J451" s="14"/>
    </row>
    <row r="452" spans="1:10">
      <c r="A452">
        <v>45821</v>
      </c>
      <c r="B452" t="s">
        <v>349</v>
      </c>
      <c r="C452" t="s">
        <v>443</v>
      </c>
      <c r="D452" t="s">
        <v>225</v>
      </c>
      <c r="E452" t="s">
        <v>264</v>
      </c>
      <c r="F452" t="s">
        <v>189</v>
      </c>
      <c r="H452">
        <v>500</v>
      </c>
      <c r="I452" s="14"/>
      <c r="J452" s="14"/>
    </row>
    <row r="453" spans="1:10">
      <c r="A453">
        <v>45821</v>
      </c>
      <c r="B453" t="s">
        <v>437</v>
      </c>
      <c r="C453" t="s">
        <v>181</v>
      </c>
      <c r="D453" t="s">
        <v>191</v>
      </c>
      <c r="E453" t="s">
        <v>44</v>
      </c>
      <c r="F453" t="s">
        <v>83</v>
      </c>
      <c r="H453">
        <v>4990</v>
      </c>
      <c r="I453" s="14"/>
      <c r="J453" s="14"/>
    </row>
    <row r="454" spans="1:10">
      <c r="A454">
        <v>45821</v>
      </c>
      <c r="B454" t="s">
        <v>437</v>
      </c>
      <c r="C454" t="s">
        <v>181</v>
      </c>
      <c r="D454" t="s">
        <v>191</v>
      </c>
      <c r="E454" t="s">
        <v>44</v>
      </c>
      <c r="F454" t="s">
        <v>85</v>
      </c>
      <c r="H454">
        <v>6998</v>
      </c>
      <c r="I454" s="14"/>
      <c r="J454" s="14"/>
    </row>
    <row r="455" spans="1:10">
      <c r="A455">
        <v>45821</v>
      </c>
      <c r="B455" t="s">
        <v>437</v>
      </c>
      <c r="C455" t="s">
        <v>181</v>
      </c>
      <c r="D455" t="s">
        <v>191</v>
      </c>
      <c r="E455" t="s">
        <v>263</v>
      </c>
      <c r="F455" t="s">
        <v>186</v>
      </c>
      <c r="H455">
        <v>97500</v>
      </c>
      <c r="I455" s="14"/>
      <c r="J455" s="14"/>
    </row>
    <row r="456" spans="1:10">
      <c r="A456">
        <v>45821</v>
      </c>
      <c r="B456" t="s">
        <v>437</v>
      </c>
      <c r="C456" t="s">
        <v>181</v>
      </c>
      <c r="D456" t="s">
        <v>191</v>
      </c>
      <c r="E456" t="s">
        <v>263</v>
      </c>
      <c r="F456" t="s">
        <v>184</v>
      </c>
      <c r="H456">
        <v>28486</v>
      </c>
      <c r="I456" s="14"/>
      <c r="J456" s="14"/>
    </row>
    <row r="457" spans="1:10">
      <c r="A457">
        <v>45821</v>
      </c>
      <c r="B457" t="s">
        <v>437</v>
      </c>
      <c r="C457" t="s">
        <v>181</v>
      </c>
      <c r="D457" t="s">
        <v>191</v>
      </c>
      <c r="E457" t="s">
        <v>263</v>
      </c>
      <c r="F457" t="s">
        <v>187</v>
      </c>
      <c r="H457">
        <v>17999</v>
      </c>
      <c r="I457" s="14"/>
      <c r="J457" s="14"/>
    </row>
    <row r="458" spans="1:10">
      <c r="A458">
        <v>45821</v>
      </c>
      <c r="B458" t="s">
        <v>437</v>
      </c>
      <c r="C458" t="s">
        <v>181</v>
      </c>
      <c r="D458" t="s">
        <v>191</v>
      </c>
      <c r="E458" t="s">
        <v>264</v>
      </c>
      <c r="F458" t="s">
        <v>188</v>
      </c>
      <c r="H458">
        <v>41990</v>
      </c>
      <c r="I458" s="14"/>
      <c r="J458" s="14"/>
    </row>
    <row r="459" spans="1:10">
      <c r="A459">
        <v>45821</v>
      </c>
      <c r="B459" t="s">
        <v>437</v>
      </c>
      <c r="C459" t="s">
        <v>181</v>
      </c>
      <c r="D459" t="s">
        <v>191</v>
      </c>
      <c r="E459" t="s">
        <v>264</v>
      </c>
      <c r="F459" t="s">
        <v>189</v>
      </c>
      <c r="H459">
        <v>7499</v>
      </c>
      <c r="I459" s="14"/>
      <c r="J459" s="14"/>
    </row>
    <row r="460" spans="1:10">
      <c r="A460">
        <v>45821</v>
      </c>
      <c r="B460" t="s">
        <v>437</v>
      </c>
      <c r="C460" t="s">
        <v>181</v>
      </c>
      <c r="D460" t="s">
        <v>191</v>
      </c>
      <c r="E460" t="s">
        <v>45</v>
      </c>
      <c r="F460" t="s">
        <v>88</v>
      </c>
      <c r="H460">
        <v>2999</v>
      </c>
      <c r="I460" s="14"/>
      <c r="J460" s="14"/>
    </row>
    <row r="461" spans="1:10">
      <c r="A461">
        <v>45821</v>
      </c>
      <c r="B461" t="s">
        <v>437</v>
      </c>
      <c r="C461" t="s">
        <v>181</v>
      </c>
      <c r="D461" t="s">
        <v>191</v>
      </c>
      <c r="E461" t="s">
        <v>46</v>
      </c>
      <c r="F461" t="s">
        <v>94</v>
      </c>
      <c r="H461">
        <v>24499</v>
      </c>
      <c r="I461" s="14"/>
      <c r="J461" s="14"/>
    </row>
    <row r="462" spans="1:10">
      <c r="A462">
        <v>45821</v>
      </c>
      <c r="B462" t="s">
        <v>437</v>
      </c>
      <c r="C462" t="s">
        <v>181</v>
      </c>
      <c r="D462" t="s">
        <v>191</v>
      </c>
      <c r="E462" t="s">
        <v>46</v>
      </c>
      <c r="F462" t="s">
        <v>92</v>
      </c>
      <c r="H462">
        <v>35998</v>
      </c>
      <c r="I462" s="14"/>
      <c r="J462" s="14"/>
    </row>
    <row r="463" spans="1:10">
      <c r="A463">
        <v>45821</v>
      </c>
      <c r="B463" t="s">
        <v>437</v>
      </c>
      <c r="C463" t="s">
        <v>181</v>
      </c>
      <c r="D463" t="s">
        <v>191</v>
      </c>
      <c r="E463" t="s">
        <v>46</v>
      </c>
      <c r="F463" t="s">
        <v>93</v>
      </c>
      <c r="H463">
        <v>24500</v>
      </c>
      <c r="I463" s="14"/>
      <c r="J463" s="14"/>
    </row>
    <row r="464" spans="1:10">
      <c r="A464">
        <v>45821</v>
      </c>
      <c r="B464" t="s">
        <v>437</v>
      </c>
      <c r="C464" t="s">
        <v>181</v>
      </c>
      <c r="D464" t="s">
        <v>191</v>
      </c>
      <c r="E464" t="s">
        <v>44</v>
      </c>
      <c r="F464" t="s">
        <v>84</v>
      </c>
      <c r="H464">
        <v>2998</v>
      </c>
      <c r="I464" s="14"/>
      <c r="J464" s="14"/>
    </row>
    <row r="465" spans="1:10">
      <c r="A465">
        <v>45824</v>
      </c>
      <c r="B465" t="s">
        <v>435</v>
      </c>
      <c r="C465" t="s">
        <v>181</v>
      </c>
      <c r="D465" t="s">
        <v>133</v>
      </c>
      <c r="E465" t="s">
        <v>46</v>
      </c>
      <c r="F465" t="s">
        <v>94</v>
      </c>
      <c r="H465">
        <v>7500</v>
      </c>
      <c r="I465" s="14"/>
      <c r="J465" s="14"/>
    </row>
    <row r="466" spans="1:10">
      <c r="A466">
        <v>45824</v>
      </c>
      <c r="B466" t="s">
        <v>435</v>
      </c>
      <c r="C466" t="s">
        <v>181</v>
      </c>
      <c r="D466" t="s">
        <v>133</v>
      </c>
      <c r="E466" t="s">
        <v>46</v>
      </c>
      <c r="F466" t="s">
        <v>92</v>
      </c>
      <c r="H466">
        <v>8000</v>
      </c>
      <c r="I466" s="14"/>
      <c r="J466" s="14"/>
    </row>
    <row r="467" spans="1:10">
      <c r="A467">
        <v>45824</v>
      </c>
      <c r="B467" t="s">
        <v>435</v>
      </c>
      <c r="C467" t="s">
        <v>181</v>
      </c>
      <c r="D467" t="s">
        <v>133</v>
      </c>
      <c r="E467" t="s">
        <v>46</v>
      </c>
      <c r="F467" t="s">
        <v>93</v>
      </c>
      <c r="H467">
        <v>7500</v>
      </c>
      <c r="I467" s="14"/>
      <c r="J467" s="14"/>
    </row>
    <row r="468" spans="1:10">
      <c r="A468">
        <v>45824</v>
      </c>
      <c r="B468" t="s">
        <v>435</v>
      </c>
      <c r="C468" t="s">
        <v>181</v>
      </c>
      <c r="D468" t="s">
        <v>133</v>
      </c>
      <c r="E468" t="s">
        <v>263</v>
      </c>
      <c r="F468" t="s">
        <v>186</v>
      </c>
      <c r="H468">
        <v>23000</v>
      </c>
      <c r="I468" s="14"/>
      <c r="J468" s="14"/>
    </row>
    <row r="469" spans="1:10">
      <c r="A469">
        <v>45824</v>
      </c>
      <c r="B469" t="s">
        <v>435</v>
      </c>
      <c r="C469" t="s">
        <v>181</v>
      </c>
      <c r="D469" t="s">
        <v>133</v>
      </c>
      <c r="E469" t="s">
        <v>263</v>
      </c>
      <c r="F469" t="s">
        <v>184</v>
      </c>
      <c r="H469">
        <v>10500</v>
      </c>
      <c r="I469" s="14"/>
      <c r="J469" s="14"/>
    </row>
    <row r="470" spans="1:10">
      <c r="A470">
        <v>45824</v>
      </c>
      <c r="B470" t="s">
        <v>435</v>
      </c>
      <c r="C470" t="s">
        <v>181</v>
      </c>
      <c r="D470" t="s">
        <v>133</v>
      </c>
      <c r="E470" t="s">
        <v>263</v>
      </c>
      <c r="F470" t="s">
        <v>187</v>
      </c>
      <c r="H470">
        <v>8000</v>
      </c>
      <c r="I470" s="14"/>
      <c r="J470" s="14"/>
    </row>
    <row r="471" spans="1:10">
      <c r="A471">
        <v>45824</v>
      </c>
      <c r="B471" t="s">
        <v>435</v>
      </c>
      <c r="C471" t="s">
        <v>181</v>
      </c>
      <c r="D471" t="s">
        <v>133</v>
      </c>
      <c r="E471" t="s">
        <v>264</v>
      </c>
      <c r="F471" t="s">
        <v>188</v>
      </c>
      <c r="H471">
        <v>11000</v>
      </c>
      <c r="I471" s="14"/>
      <c r="J471" s="14"/>
    </row>
    <row r="472" spans="1:10">
      <c r="A472">
        <v>45824</v>
      </c>
      <c r="B472" t="s">
        <v>436</v>
      </c>
      <c r="C472" t="s">
        <v>181</v>
      </c>
      <c r="D472" t="s">
        <v>135</v>
      </c>
      <c r="E472" t="s">
        <v>45</v>
      </c>
      <c r="F472" t="s">
        <v>88</v>
      </c>
      <c r="H472">
        <v>20</v>
      </c>
      <c r="I472" s="14"/>
      <c r="J472" s="14"/>
    </row>
    <row r="473" spans="1:10">
      <c r="A473">
        <v>45824</v>
      </c>
      <c r="B473" t="s">
        <v>436</v>
      </c>
      <c r="C473" t="s">
        <v>181</v>
      </c>
      <c r="D473" t="s">
        <v>135</v>
      </c>
      <c r="E473" t="s">
        <v>263</v>
      </c>
      <c r="F473" t="s">
        <v>186</v>
      </c>
      <c r="H473">
        <v>90</v>
      </c>
      <c r="I473" s="14"/>
      <c r="J473" s="14"/>
    </row>
    <row r="474" spans="1:10">
      <c r="A474">
        <v>45824</v>
      </c>
      <c r="B474" t="s">
        <v>437</v>
      </c>
      <c r="C474" t="s">
        <v>181</v>
      </c>
      <c r="D474" t="s">
        <v>191</v>
      </c>
      <c r="E474" t="s">
        <v>44</v>
      </c>
      <c r="F474" t="s">
        <v>83</v>
      </c>
      <c r="H474">
        <v>1000</v>
      </c>
      <c r="I474" s="14"/>
      <c r="J474" s="14"/>
    </row>
    <row r="475" spans="1:10">
      <c r="A475">
        <v>45824</v>
      </c>
      <c r="B475" t="s">
        <v>437</v>
      </c>
      <c r="C475" t="s">
        <v>181</v>
      </c>
      <c r="D475" t="s">
        <v>191</v>
      </c>
      <c r="E475" t="s">
        <v>44</v>
      </c>
      <c r="F475" t="s">
        <v>85</v>
      </c>
      <c r="H475">
        <v>2000</v>
      </c>
      <c r="I475" s="14"/>
      <c r="J475" s="14"/>
    </row>
    <row r="476" spans="1:10">
      <c r="A476">
        <v>45824</v>
      </c>
      <c r="B476" t="s">
        <v>437</v>
      </c>
      <c r="C476" t="s">
        <v>181</v>
      </c>
      <c r="D476" t="s">
        <v>191</v>
      </c>
      <c r="E476" t="s">
        <v>44</v>
      </c>
      <c r="F476" t="s">
        <v>84</v>
      </c>
      <c r="H476">
        <v>1000</v>
      </c>
      <c r="I476" s="14"/>
      <c r="J476" s="14"/>
    </row>
    <row r="477" spans="1:10">
      <c r="A477">
        <v>45824</v>
      </c>
      <c r="B477" t="s">
        <v>437</v>
      </c>
      <c r="C477" t="s">
        <v>181</v>
      </c>
      <c r="D477" t="s">
        <v>191</v>
      </c>
      <c r="E477" t="s">
        <v>263</v>
      </c>
      <c r="F477" t="s">
        <v>186</v>
      </c>
      <c r="H477">
        <v>20000</v>
      </c>
      <c r="I477" s="14"/>
      <c r="J477" s="14"/>
    </row>
    <row r="478" spans="1:10">
      <c r="A478">
        <v>45824</v>
      </c>
      <c r="B478" t="s">
        <v>437</v>
      </c>
      <c r="C478" t="s">
        <v>181</v>
      </c>
      <c r="D478" t="s">
        <v>191</v>
      </c>
      <c r="E478" t="s">
        <v>263</v>
      </c>
      <c r="F478" t="s">
        <v>184</v>
      </c>
      <c r="H478">
        <v>12000</v>
      </c>
      <c r="I478" s="14"/>
      <c r="J478" s="14"/>
    </row>
    <row r="479" spans="1:10">
      <c r="A479">
        <v>45824</v>
      </c>
      <c r="B479" t="s">
        <v>437</v>
      </c>
      <c r="C479" t="s">
        <v>181</v>
      </c>
      <c r="D479" t="s">
        <v>191</v>
      </c>
      <c r="E479" t="s">
        <v>263</v>
      </c>
      <c r="F479" t="s">
        <v>187</v>
      </c>
      <c r="H479">
        <v>1000</v>
      </c>
      <c r="I479" s="14"/>
      <c r="J479" s="14"/>
    </row>
    <row r="480" spans="1:10">
      <c r="A480">
        <v>45824</v>
      </c>
      <c r="B480" t="s">
        <v>437</v>
      </c>
      <c r="C480" t="s">
        <v>181</v>
      </c>
      <c r="D480" t="s">
        <v>191</v>
      </c>
      <c r="E480" t="s">
        <v>264</v>
      </c>
      <c r="F480" t="s">
        <v>188</v>
      </c>
      <c r="H480">
        <v>8000</v>
      </c>
      <c r="I480" s="14"/>
      <c r="J480" s="14"/>
    </row>
    <row r="481" spans="1:10">
      <c r="A481">
        <v>45824</v>
      </c>
      <c r="B481" t="s">
        <v>437</v>
      </c>
      <c r="C481" t="s">
        <v>181</v>
      </c>
      <c r="D481" t="s">
        <v>191</v>
      </c>
      <c r="E481" t="s">
        <v>264</v>
      </c>
      <c r="F481" t="s">
        <v>189</v>
      </c>
      <c r="H481">
        <v>2000</v>
      </c>
      <c r="I481" s="14"/>
      <c r="J481" s="14"/>
    </row>
    <row r="482" spans="1:10">
      <c r="A482">
        <v>45824</v>
      </c>
      <c r="B482" t="s">
        <v>437</v>
      </c>
      <c r="C482" t="s">
        <v>181</v>
      </c>
      <c r="D482" t="s">
        <v>191</v>
      </c>
      <c r="E482" t="s">
        <v>45</v>
      </c>
      <c r="F482" t="s">
        <v>88</v>
      </c>
      <c r="H482">
        <v>1000</v>
      </c>
      <c r="I482" s="14"/>
      <c r="J482" s="14"/>
    </row>
    <row r="483" spans="1:10">
      <c r="A483">
        <v>45824</v>
      </c>
      <c r="B483" t="s">
        <v>437</v>
      </c>
      <c r="C483" t="s">
        <v>181</v>
      </c>
      <c r="D483" t="s">
        <v>191</v>
      </c>
      <c r="E483" t="s">
        <v>46</v>
      </c>
      <c r="F483" t="s">
        <v>94</v>
      </c>
      <c r="H483">
        <v>4000</v>
      </c>
      <c r="I483" s="14"/>
      <c r="J483" s="14"/>
    </row>
    <row r="484" spans="1:10">
      <c r="A484">
        <v>45824</v>
      </c>
      <c r="B484" t="s">
        <v>437</v>
      </c>
      <c r="C484" t="s">
        <v>181</v>
      </c>
      <c r="D484" t="s">
        <v>191</v>
      </c>
      <c r="E484" t="s">
        <v>46</v>
      </c>
      <c r="F484" t="s">
        <v>92</v>
      </c>
      <c r="H484">
        <v>10000</v>
      </c>
      <c r="I484" s="14"/>
      <c r="J484" s="14"/>
    </row>
    <row r="485" spans="1:10">
      <c r="A485">
        <v>45824</v>
      </c>
      <c r="B485" t="s">
        <v>437</v>
      </c>
      <c r="C485" t="s">
        <v>181</v>
      </c>
      <c r="D485" t="s">
        <v>191</v>
      </c>
      <c r="E485" t="s">
        <v>46</v>
      </c>
      <c r="F485" t="s">
        <v>93</v>
      </c>
      <c r="H485">
        <v>3000</v>
      </c>
      <c r="I485" s="14"/>
      <c r="J485" s="14"/>
    </row>
    <row r="486" spans="1:10">
      <c r="A486">
        <v>45824</v>
      </c>
      <c r="B486" t="s">
        <v>441</v>
      </c>
      <c r="C486" t="s">
        <v>181</v>
      </c>
      <c r="D486" t="s">
        <v>135</v>
      </c>
      <c r="E486" t="s">
        <v>44</v>
      </c>
      <c r="F486" t="s">
        <v>83</v>
      </c>
      <c r="H486">
        <v>60</v>
      </c>
      <c r="I486" s="14"/>
      <c r="J486" s="14"/>
    </row>
    <row r="487" spans="1:10">
      <c r="A487">
        <v>45824</v>
      </c>
      <c r="B487" t="s">
        <v>441</v>
      </c>
      <c r="C487" t="s">
        <v>181</v>
      </c>
      <c r="D487" t="s">
        <v>135</v>
      </c>
      <c r="E487" t="s">
        <v>44</v>
      </c>
      <c r="F487" t="s">
        <v>85</v>
      </c>
      <c r="H487">
        <v>200</v>
      </c>
      <c r="I487" s="14"/>
      <c r="J487" s="14"/>
    </row>
    <row r="488" spans="1:10">
      <c r="A488">
        <v>45824</v>
      </c>
      <c r="B488" t="s">
        <v>441</v>
      </c>
      <c r="C488" t="s">
        <v>181</v>
      </c>
      <c r="D488" t="s">
        <v>135</v>
      </c>
      <c r="E488" t="s">
        <v>44</v>
      </c>
      <c r="F488" t="s">
        <v>84</v>
      </c>
      <c r="H488">
        <v>10</v>
      </c>
      <c r="I488" s="14"/>
      <c r="J488" s="14"/>
    </row>
    <row r="489" spans="1:10">
      <c r="A489">
        <v>45824</v>
      </c>
      <c r="B489" t="s">
        <v>441</v>
      </c>
      <c r="C489" t="s">
        <v>181</v>
      </c>
      <c r="D489" t="s">
        <v>135</v>
      </c>
      <c r="E489" t="s">
        <v>45</v>
      </c>
      <c r="F489" t="s">
        <v>88</v>
      </c>
      <c r="H489">
        <v>120</v>
      </c>
      <c r="I489" s="14"/>
      <c r="J489" s="14"/>
    </row>
    <row r="490" spans="1:10">
      <c r="A490">
        <v>45824</v>
      </c>
      <c r="B490" t="s">
        <v>441</v>
      </c>
      <c r="C490" t="s">
        <v>181</v>
      </c>
      <c r="D490" t="s">
        <v>135</v>
      </c>
      <c r="E490" t="s">
        <v>46</v>
      </c>
      <c r="F490" t="s">
        <v>92</v>
      </c>
      <c r="H490">
        <v>250</v>
      </c>
      <c r="I490" s="14"/>
      <c r="J490" s="14"/>
    </row>
    <row r="491" spans="1:10">
      <c r="A491">
        <v>45824</v>
      </c>
      <c r="B491" t="s">
        <v>441</v>
      </c>
      <c r="C491" t="s">
        <v>181</v>
      </c>
      <c r="D491" t="s">
        <v>135</v>
      </c>
      <c r="E491" t="s">
        <v>46</v>
      </c>
      <c r="F491" t="s">
        <v>93</v>
      </c>
      <c r="H491">
        <v>70</v>
      </c>
      <c r="I491" s="14"/>
      <c r="J491" s="14"/>
    </row>
    <row r="492" spans="1:10">
      <c r="A492">
        <v>45824</v>
      </c>
      <c r="B492" t="s">
        <v>441</v>
      </c>
      <c r="C492" t="s">
        <v>181</v>
      </c>
      <c r="D492" t="s">
        <v>135</v>
      </c>
      <c r="E492" t="s">
        <v>263</v>
      </c>
      <c r="F492" t="s">
        <v>186</v>
      </c>
      <c r="H492">
        <v>490</v>
      </c>
      <c r="I492" s="14"/>
      <c r="J492" s="14"/>
    </row>
    <row r="493" spans="1:10">
      <c r="A493">
        <v>45824</v>
      </c>
      <c r="B493" t="s">
        <v>441</v>
      </c>
      <c r="C493" t="s">
        <v>181</v>
      </c>
      <c r="D493" t="s">
        <v>135</v>
      </c>
      <c r="E493" t="s">
        <v>263</v>
      </c>
      <c r="F493" t="s">
        <v>184</v>
      </c>
      <c r="H493">
        <v>330</v>
      </c>
      <c r="I493" s="14"/>
      <c r="J493" s="14"/>
    </row>
    <row r="494" spans="1:10">
      <c r="A494">
        <v>45824</v>
      </c>
      <c r="B494" t="s">
        <v>441</v>
      </c>
      <c r="C494" t="s">
        <v>181</v>
      </c>
      <c r="D494" t="s">
        <v>135</v>
      </c>
      <c r="E494" t="s">
        <v>264</v>
      </c>
      <c r="F494" t="s">
        <v>188</v>
      </c>
      <c r="H494">
        <v>130</v>
      </c>
      <c r="I494" s="14"/>
      <c r="J494" s="14"/>
    </row>
    <row r="495" spans="1:10">
      <c r="A495">
        <v>45824</v>
      </c>
      <c r="B495" t="s">
        <v>211</v>
      </c>
      <c r="C495" t="s">
        <v>181</v>
      </c>
      <c r="D495" t="s">
        <v>135</v>
      </c>
      <c r="E495" t="s">
        <v>44</v>
      </c>
      <c r="F495" t="s">
        <v>83</v>
      </c>
      <c r="H495">
        <v>100</v>
      </c>
      <c r="I495" s="14"/>
      <c r="J495" s="14"/>
    </row>
    <row r="496" spans="1:10">
      <c r="A496">
        <v>45824</v>
      </c>
      <c r="B496" t="s">
        <v>211</v>
      </c>
      <c r="C496" t="s">
        <v>181</v>
      </c>
      <c r="D496" t="s">
        <v>135</v>
      </c>
      <c r="E496" t="s">
        <v>44</v>
      </c>
      <c r="F496" t="s">
        <v>85</v>
      </c>
      <c r="H496">
        <v>100</v>
      </c>
      <c r="I496" s="14"/>
      <c r="J496" s="14"/>
    </row>
    <row r="497" spans="1:10">
      <c r="A497">
        <v>45824</v>
      </c>
      <c r="B497" t="s">
        <v>211</v>
      </c>
      <c r="C497" t="s">
        <v>181</v>
      </c>
      <c r="D497" t="s">
        <v>135</v>
      </c>
      <c r="E497" t="s">
        <v>46</v>
      </c>
      <c r="F497" t="s">
        <v>94</v>
      </c>
      <c r="H497">
        <v>1000</v>
      </c>
      <c r="I497" s="14"/>
      <c r="J497" s="14"/>
    </row>
    <row r="498" spans="1:10">
      <c r="A498">
        <v>45824</v>
      </c>
      <c r="B498" t="s">
        <v>211</v>
      </c>
      <c r="C498" t="s">
        <v>181</v>
      </c>
      <c r="D498" t="s">
        <v>135</v>
      </c>
      <c r="E498" t="s">
        <v>46</v>
      </c>
      <c r="F498" t="s">
        <v>92</v>
      </c>
      <c r="H498">
        <v>3000</v>
      </c>
      <c r="I498" s="14"/>
      <c r="J498" s="14"/>
    </row>
    <row r="499" spans="1:10">
      <c r="A499">
        <v>45824</v>
      </c>
      <c r="B499" t="s">
        <v>211</v>
      </c>
      <c r="C499" t="s">
        <v>181</v>
      </c>
      <c r="D499" t="s">
        <v>135</v>
      </c>
      <c r="E499" t="s">
        <v>263</v>
      </c>
      <c r="F499" t="s">
        <v>186</v>
      </c>
      <c r="H499">
        <v>5000</v>
      </c>
      <c r="I499" s="14"/>
      <c r="J499" s="14"/>
    </row>
    <row r="500" spans="1:10">
      <c r="A500">
        <v>45824</v>
      </c>
      <c r="B500" t="s">
        <v>444</v>
      </c>
      <c r="C500" t="s">
        <v>443</v>
      </c>
      <c r="D500" t="s">
        <v>216</v>
      </c>
      <c r="E500" t="s">
        <v>44</v>
      </c>
      <c r="F500" t="s">
        <v>85</v>
      </c>
      <c r="H500">
        <v>100</v>
      </c>
      <c r="I500" s="14"/>
      <c r="J500" s="14"/>
    </row>
    <row r="501" spans="1:10">
      <c r="A501">
        <v>45824</v>
      </c>
      <c r="B501" t="s">
        <v>444</v>
      </c>
      <c r="C501" t="s">
        <v>443</v>
      </c>
      <c r="D501" t="s">
        <v>216</v>
      </c>
      <c r="E501" t="s">
        <v>46</v>
      </c>
      <c r="F501" t="s">
        <v>94</v>
      </c>
      <c r="H501">
        <v>1500</v>
      </c>
      <c r="I501" s="14"/>
      <c r="J501" s="14"/>
    </row>
    <row r="502" spans="1:10">
      <c r="A502">
        <v>45824</v>
      </c>
      <c r="B502" t="s">
        <v>444</v>
      </c>
      <c r="C502" t="s">
        <v>443</v>
      </c>
      <c r="D502" t="s">
        <v>216</v>
      </c>
      <c r="E502" t="s">
        <v>46</v>
      </c>
      <c r="F502" t="s">
        <v>92</v>
      </c>
      <c r="H502">
        <v>1000</v>
      </c>
      <c r="I502" s="14"/>
      <c r="J502" s="14"/>
    </row>
    <row r="503" spans="1:10">
      <c r="A503">
        <v>45824</v>
      </c>
      <c r="B503" t="s">
        <v>444</v>
      </c>
      <c r="C503" t="s">
        <v>443</v>
      </c>
      <c r="D503" t="s">
        <v>216</v>
      </c>
      <c r="E503" t="s">
        <v>46</v>
      </c>
      <c r="F503" t="s">
        <v>93</v>
      </c>
      <c r="H503">
        <v>1500</v>
      </c>
      <c r="I503" s="14"/>
      <c r="J503" s="14"/>
    </row>
    <row r="504" spans="1:10">
      <c r="A504">
        <v>45824</v>
      </c>
      <c r="B504" t="s">
        <v>444</v>
      </c>
      <c r="C504" t="s">
        <v>443</v>
      </c>
      <c r="D504" t="s">
        <v>216</v>
      </c>
      <c r="E504" t="s">
        <v>263</v>
      </c>
      <c r="F504" t="s">
        <v>186</v>
      </c>
      <c r="H504">
        <v>10500</v>
      </c>
      <c r="I504" s="14"/>
      <c r="J504" s="14"/>
    </row>
    <row r="505" spans="1:10">
      <c r="A505">
        <v>45824</v>
      </c>
      <c r="B505" t="s">
        <v>444</v>
      </c>
      <c r="C505" t="s">
        <v>443</v>
      </c>
      <c r="D505" t="s">
        <v>216</v>
      </c>
      <c r="E505" t="s">
        <v>263</v>
      </c>
      <c r="F505" t="s">
        <v>184</v>
      </c>
      <c r="H505">
        <v>2500</v>
      </c>
      <c r="I505" s="14"/>
      <c r="J505" s="14"/>
    </row>
    <row r="506" spans="1:10">
      <c r="A506">
        <v>45824</v>
      </c>
      <c r="B506" t="s">
        <v>444</v>
      </c>
      <c r="C506" t="s">
        <v>443</v>
      </c>
      <c r="D506" t="s">
        <v>216</v>
      </c>
      <c r="E506" t="s">
        <v>263</v>
      </c>
      <c r="F506" t="s">
        <v>187</v>
      </c>
      <c r="H506">
        <v>1000</v>
      </c>
      <c r="I506" s="14"/>
      <c r="J506" s="14"/>
    </row>
    <row r="507" spans="1:10">
      <c r="A507">
        <v>45824</v>
      </c>
      <c r="B507" t="s">
        <v>444</v>
      </c>
      <c r="C507" t="s">
        <v>443</v>
      </c>
      <c r="D507" t="s">
        <v>216</v>
      </c>
      <c r="E507" t="s">
        <v>264</v>
      </c>
      <c r="F507" t="s">
        <v>188</v>
      </c>
      <c r="H507">
        <v>4000</v>
      </c>
      <c r="I507" s="14"/>
      <c r="J507" s="14"/>
    </row>
    <row r="508" spans="1:10">
      <c r="A508">
        <v>45824</v>
      </c>
      <c r="B508" t="s">
        <v>444</v>
      </c>
      <c r="C508" t="s">
        <v>443</v>
      </c>
      <c r="D508" t="s">
        <v>216</v>
      </c>
      <c r="E508" t="s">
        <v>264</v>
      </c>
      <c r="F508" t="s">
        <v>189</v>
      </c>
      <c r="H508">
        <v>500</v>
      </c>
      <c r="I508" s="14"/>
      <c r="J508" s="14"/>
    </row>
    <row r="509" spans="1:10">
      <c r="A509">
        <v>45824</v>
      </c>
      <c r="B509" t="s">
        <v>457</v>
      </c>
      <c r="C509" t="s">
        <v>181</v>
      </c>
      <c r="D509" t="s">
        <v>135</v>
      </c>
      <c r="E509" t="s">
        <v>263</v>
      </c>
      <c r="F509" t="s">
        <v>186</v>
      </c>
      <c r="H509">
        <v>240</v>
      </c>
      <c r="I509" s="14"/>
      <c r="J509" s="14"/>
    </row>
    <row r="510" spans="1:10">
      <c r="A510">
        <v>45824</v>
      </c>
      <c r="B510" t="s">
        <v>457</v>
      </c>
      <c r="C510" t="s">
        <v>181</v>
      </c>
      <c r="D510" t="s">
        <v>135</v>
      </c>
      <c r="E510" t="s">
        <v>263</v>
      </c>
      <c r="F510" t="s">
        <v>184</v>
      </c>
      <c r="H510">
        <v>240</v>
      </c>
      <c r="I510" s="14"/>
      <c r="J510" s="14"/>
    </row>
    <row r="511" spans="1:10">
      <c r="A511">
        <v>45824</v>
      </c>
      <c r="B511" t="s">
        <v>457</v>
      </c>
      <c r="C511" t="s">
        <v>181</v>
      </c>
      <c r="D511" t="s">
        <v>135</v>
      </c>
      <c r="E511" t="s">
        <v>264</v>
      </c>
      <c r="F511" t="s">
        <v>188</v>
      </c>
      <c r="H511">
        <v>50</v>
      </c>
      <c r="I511" s="14"/>
      <c r="J511" s="14"/>
    </row>
    <row r="512" spans="1:10">
      <c r="A512">
        <v>45824</v>
      </c>
      <c r="B512" t="s">
        <v>457</v>
      </c>
      <c r="C512" t="s">
        <v>181</v>
      </c>
      <c r="D512" t="s">
        <v>135</v>
      </c>
      <c r="E512" t="s">
        <v>44</v>
      </c>
      <c r="F512" t="s">
        <v>85</v>
      </c>
      <c r="H512">
        <v>90</v>
      </c>
      <c r="I512" s="14"/>
      <c r="J512" s="14"/>
    </row>
    <row r="513" spans="1:10">
      <c r="A513">
        <v>45824</v>
      </c>
      <c r="B513" t="s">
        <v>457</v>
      </c>
      <c r="C513" t="s">
        <v>181</v>
      </c>
      <c r="D513" t="s">
        <v>135</v>
      </c>
      <c r="E513" t="s">
        <v>44</v>
      </c>
      <c r="F513" t="s">
        <v>84</v>
      </c>
      <c r="H513">
        <v>20</v>
      </c>
      <c r="I513" s="14"/>
      <c r="J513" s="14"/>
    </row>
    <row r="514" spans="1:10">
      <c r="A514">
        <v>45824</v>
      </c>
      <c r="B514" t="s">
        <v>457</v>
      </c>
      <c r="C514" t="s">
        <v>181</v>
      </c>
      <c r="D514" t="s">
        <v>135</v>
      </c>
      <c r="E514" t="s">
        <v>46</v>
      </c>
      <c r="F514" t="s">
        <v>92</v>
      </c>
      <c r="H514">
        <v>70</v>
      </c>
      <c r="I514" s="14"/>
      <c r="J514" s="14"/>
    </row>
    <row r="515" spans="1:10">
      <c r="A515">
        <v>45824</v>
      </c>
      <c r="B515" t="s">
        <v>457</v>
      </c>
      <c r="C515" t="s">
        <v>181</v>
      </c>
      <c r="D515" t="s">
        <v>135</v>
      </c>
      <c r="E515" t="s">
        <v>45</v>
      </c>
      <c r="F515" t="s">
        <v>88</v>
      </c>
      <c r="H515">
        <v>170</v>
      </c>
      <c r="I515" s="14"/>
      <c r="J515" s="14"/>
    </row>
    <row r="516" spans="1:10">
      <c r="A516">
        <v>45824</v>
      </c>
      <c r="B516" t="s">
        <v>457</v>
      </c>
      <c r="C516" t="s">
        <v>181</v>
      </c>
      <c r="D516" t="s">
        <v>135</v>
      </c>
      <c r="E516" t="s">
        <v>263</v>
      </c>
      <c r="F516" t="s">
        <v>187</v>
      </c>
      <c r="H516">
        <v>90</v>
      </c>
      <c r="I516" s="14"/>
      <c r="J516" s="14"/>
    </row>
    <row r="517" spans="1:10">
      <c r="A517">
        <v>45824</v>
      </c>
      <c r="B517" t="s">
        <v>457</v>
      </c>
      <c r="C517" t="s">
        <v>181</v>
      </c>
      <c r="D517" t="s">
        <v>135</v>
      </c>
      <c r="E517" t="s">
        <v>46</v>
      </c>
      <c r="F517" t="s">
        <v>93</v>
      </c>
      <c r="H517">
        <v>20</v>
      </c>
      <c r="I517" s="14"/>
      <c r="J517" s="14"/>
    </row>
    <row r="518" spans="1:10">
      <c r="A518">
        <v>45824</v>
      </c>
      <c r="B518" t="s">
        <v>451</v>
      </c>
      <c r="C518" t="s">
        <v>443</v>
      </c>
      <c r="D518" t="s">
        <v>222</v>
      </c>
      <c r="E518" t="s">
        <v>44</v>
      </c>
      <c r="F518" t="s">
        <v>85</v>
      </c>
      <c r="H518">
        <v>500</v>
      </c>
      <c r="I518" s="14"/>
      <c r="J518" s="14"/>
    </row>
    <row r="519" spans="1:10">
      <c r="A519">
        <v>45824</v>
      </c>
      <c r="B519" t="s">
        <v>451</v>
      </c>
      <c r="C519" t="s">
        <v>443</v>
      </c>
      <c r="D519" t="s">
        <v>222</v>
      </c>
      <c r="E519" t="s">
        <v>46</v>
      </c>
      <c r="F519" t="s">
        <v>94</v>
      </c>
      <c r="H519">
        <v>4500</v>
      </c>
      <c r="I519" s="14"/>
      <c r="J519" s="14"/>
    </row>
    <row r="520" spans="1:10">
      <c r="A520">
        <v>45824</v>
      </c>
      <c r="B520" t="s">
        <v>451</v>
      </c>
      <c r="C520" t="s">
        <v>443</v>
      </c>
      <c r="D520" t="s">
        <v>222</v>
      </c>
      <c r="E520" t="s">
        <v>46</v>
      </c>
      <c r="F520" t="s">
        <v>92</v>
      </c>
      <c r="H520">
        <v>4000</v>
      </c>
      <c r="I520" s="14"/>
      <c r="J520" s="14"/>
    </row>
    <row r="521" spans="1:10">
      <c r="A521">
        <v>45824</v>
      </c>
      <c r="B521" t="s">
        <v>451</v>
      </c>
      <c r="C521" t="s">
        <v>443</v>
      </c>
      <c r="D521" t="s">
        <v>222</v>
      </c>
      <c r="E521" t="s">
        <v>46</v>
      </c>
      <c r="F521" t="s">
        <v>93</v>
      </c>
      <c r="H521">
        <v>3500</v>
      </c>
      <c r="I521" s="14"/>
      <c r="J521" s="14"/>
    </row>
    <row r="522" spans="1:10">
      <c r="A522">
        <v>45824</v>
      </c>
      <c r="B522" t="s">
        <v>451</v>
      </c>
      <c r="C522" t="s">
        <v>443</v>
      </c>
      <c r="D522" t="s">
        <v>222</v>
      </c>
      <c r="E522" t="s">
        <v>263</v>
      </c>
      <c r="F522" t="s">
        <v>186</v>
      </c>
      <c r="H522">
        <v>30000</v>
      </c>
      <c r="I522" s="14"/>
      <c r="J522" s="14"/>
    </row>
    <row r="523" spans="1:10">
      <c r="A523">
        <v>45824</v>
      </c>
      <c r="B523" t="s">
        <v>451</v>
      </c>
      <c r="C523" t="s">
        <v>443</v>
      </c>
      <c r="D523" t="s">
        <v>222</v>
      </c>
      <c r="E523" t="s">
        <v>263</v>
      </c>
      <c r="F523" t="s">
        <v>184</v>
      </c>
      <c r="H523">
        <v>5000</v>
      </c>
      <c r="I523" s="14"/>
      <c r="J523" s="14"/>
    </row>
    <row r="524" spans="1:10">
      <c r="A524">
        <v>45824</v>
      </c>
      <c r="B524" t="s">
        <v>451</v>
      </c>
      <c r="C524" t="s">
        <v>443</v>
      </c>
      <c r="D524" t="s">
        <v>222</v>
      </c>
      <c r="E524" t="s">
        <v>263</v>
      </c>
      <c r="F524" t="s">
        <v>187</v>
      </c>
      <c r="H524">
        <v>3500</v>
      </c>
      <c r="I524" s="14"/>
      <c r="J524" s="14"/>
    </row>
    <row r="525" spans="1:10">
      <c r="A525">
        <v>45824</v>
      </c>
      <c r="B525" t="s">
        <v>451</v>
      </c>
      <c r="C525" t="s">
        <v>443</v>
      </c>
      <c r="D525" t="s">
        <v>222</v>
      </c>
      <c r="E525" t="s">
        <v>264</v>
      </c>
      <c r="F525" t="s">
        <v>188</v>
      </c>
      <c r="H525">
        <v>12000</v>
      </c>
      <c r="I525" s="14"/>
      <c r="J525" s="14"/>
    </row>
    <row r="526" spans="1:10">
      <c r="A526">
        <v>45824</v>
      </c>
      <c r="B526" t="s">
        <v>451</v>
      </c>
      <c r="C526" t="s">
        <v>443</v>
      </c>
      <c r="D526" t="s">
        <v>222</v>
      </c>
      <c r="E526" t="s">
        <v>264</v>
      </c>
      <c r="F526" t="s">
        <v>189</v>
      </c>
      <c r="H526">
        <v>2000</v>
      </c>
      <c r="I526" s="14"/>
      <c r="J526" s="14"/>
    </row>
    <row r="527" spans="1:10">
      <c r="I527" s="14"/>
      <c r="J527" s="14"/>
    </row>
    <row r="528" spans="1:10">
      <c r="I528" s="14"/>
      <c r="J528" s="14"/>
    </row>
    <row r="529" spans="9:10">
      <c r="I529" s="14"/>
      <c r="J529" s="14"/>
    </row>
    <row r="530" spans="9:10">
      <c r="I530" s="14"/>
      <c r="J530" s="14"/>
    </row>
    <row r="531" spans="9:10">
      <c r="I531" s="14"/>
      <c r="J531" s="14"/>
    </row>
    <row r="532" spans="9:10">
      <c r="I532" s="14"/>
      <c r="J532" s="14"/>
    </row>
    <row r="533" spans="9:10">
      <c r="I533" s="14"/>
      <c r="J533" s="14"/>
    </row>
    <row r="534" spans="9:10">
      <c r="I534" s="14"/>
      <c r="J534" s="14"/>
    </row>
    <row r="535" spans="9:10">
      <c r="I535" s="14"/>
      <c r="J535" s="14"/>
    </row>
    <row r="536" spans="9:10">
      <c r="I536" s="14"/>
      <c r="J536" s="14"/>
    </row>
    <row r="537" spans="9:10">
      <c r="I537" s="14"/>
      <c r="J537" s="14"/>
    </row>
    <row r="538" spans="9:10">
      <c r="I538" s="14"/>
      <c r="J538" s="14"/>
    </row>
    <row r="539" spans="9:10">
      <c r="I539" s="14"/>
      <c r="J539" s="14"/>
    </row>
    <row r="540" spans="9:10">
      <c r="I540" s="14"/>
      <c r="J540" s="14"/>
    </row>
    <row r="541" spans="9:10">
      <c r="I541" s="14"/>
      <c r="J541" s="14"/>
    </row>
    <row r="542" spans="9:10">
      <c r="I542" s="14"/>
      <c r="J542" s="14"/>
    </row>
    <row r="543" spans="9:10">
      <c r="I543" s="14"/>
      <c r="J543" s="14"/>
    </row>
    <row r="544" spans="9:10">
      <c r="I544" s="14"/>
      <c r="J544" s="14"/>
    </row>
    <row r="545" spans="9:10">
      <c r="I545" s="14"/>
      <c r="J545" s="14"/>
    </row>
    <row r="546" spans="9:10">
      <c r="I546" s="14"/>
      <c r="J546" s="14"/>
    </row>
    <row r="547" spans="9:10">
      <c r="I547" s="14"/>
      <c r="J547" s="14"/>
    </row>
    <row r="548" spans="9:10">
      <c r="I548" s="14"/>
      <c r="J548" s="14"/>
    </row>
    <row r="549" spans="9:10">
      <c r="I549" s="14"/>
      <c r="J549" s="14"/>
    </row>
    <row r="550" spans="9:10">
      <c r="I550" s="14"/>
      <c r="J550" s="14"/>
    </row>
    <row r="551" spans="9:10">
      <c r="I551" s="14"/>
      <c r="J551" s="14"/>
    </row>
    <row r="552" spans="9:10">
      <c r="I552" s="14"/>
      <c r="J552" s="14"/>
    </row>
    <row r="553" spans="9:10">
      <c r="I553" s="14"/>
      <c r="J553" s="14"/>
    </row>
    <row r="554" spans="9:10">
      <c r="I554" s="14"/>
      <c r="J554" s="14"/>
    </row>
    <row r="555" spans="9:10">
      <c r="I555" s="14"/>
      <c r="J555" s="14"/>
    </row>
    <row r="556" spans="9:10">
      <c r="I556" s="14"/>
      <c r="J556" s="14"/>
    </row>
    <row r="557" spans="9:10">
      <c r="I557" s="14"/>
      <c r="J557" s="14"/>
    </row>
    <row r="558" spans="9:10">
      <c r="I558" s="14"/>
      <c r="J558" s="14"/>
    </row>
    <row r="559" spans="9:10">
      <c r="I559" s="14"/>
      <c r="J559" s="14"/>
    </row>
    <row r="560" spans="9:10">
      <c r="I560" s="14"/>
      <c r="J560" s="14"/>
    </row>
    <row r="561" spans="9:10">
      <c r="I561" s="14"/>
      <c r="J561" s="14"/>
    </row>
    <row r="562" spans="9:10">
      <c r="I562" s="14"/>
      <c r="J562" s="14"/>
    </row>
    <row r="563" spans="9:10">
      <c r="I563" s="14"/>
      <c r="J563" s="14"/>
    </row>
    <row r="564" spans="9:10">
      <c r="I564" s="14"/>
      <c r="J564" s="14"/>
    </row>
    <row r="565" spans="9:10">
      <c r="I565" s="14"/>
      <c r="J565" s="14"/>
    </row>
    <row r="566" spans="9:10">
      <c r="I566" s="14"/>
      <c r="J566" s="14"/>
    </row>
    <row r="567" spans="9:10">
      <c r="I567" s="14"/>
      <c r="J567" s="14"/>
    </row>
    <row r="568" spans="9:10">
      <c r="I568" s="14"/>
      <c r="J568" s="14"/>
    </row>
    <row r="569" spans="9:10">
      <c r="I569" s="14"/>
      <c r="J569" s="14"/>
    </row>
    <row r="570" spans="9:10">
      <c r="I570" s="14"/>
      <c r="J570" s="14"/>
    </row>
    <row r="571" spans="9:10">
      <c r="I571" s="14"/>
      <c r="J571" s="14"/>
    </row>
    <row r="572" spans="9:10">
      <c r="I572" s="14"/>
      <c r="J572" s="14"/>
    </row>
    <row r="573" spans="9:10">
      <c r="I573" s="14"/>
      <c r="J573" s="14"/>
    </row>
    <row r="574" spans="9:10">
      <c r="I574" s="14"/>
      <c r="J574" s="14"/>
    </row>
    <row r="575" spans="9:10">
      <c r="I575" s="14"/>
      <c r="J575" s="14"/>
    </row>
    <row r="576" spans="9:10">
      <c r="I576" s="14"/>
      <c r="J576" s="14"/>
    </row>
    <row r="577" spans="9:10">
      <c r="I577" s="14"/>
      <c r="J577" s="14"/>
    </row>
    <row r="578" spans="9:10">
      <c r="I578" s="14"/>
      <c r="J578" s="14"/>
    </row>
    <row r="579" spans="9:10">
      <c r="I579" s="14"/>
      <c r="J579" s="14"/>
    </row>
    <row r="580" spans="9:10">
      <c r="I580" s="14"/>
      <c r="J580" s="14"/>
    </row>
    <row r="581" spans="9:10">
      <c r="I581" s="14"/>
      <c r="J581" s="14"/>
    </row>
    <row r="582" spans="9:10">
      <c r="I582" s="14"/>
      <c r="J582" s="14"/>
    </row>
    <row r="583" spans="9:10">
      <c r="I583" s="14"/>
      <c r="J583" s="14"/>
    </row>
    <row r="584" spans="9:10">
      <c r="I584" s="14"/>
      <c r="J584" s="14"/>
    </row>
    <row r="585" spans="9:10">
      <c r="I585" s="14"/>
      <c r="J585" s="14"/>
    </row>
    <row r="586" spans="9:10">
      <c r="I586" s="14"/>
      <c r="J586" s="14"/>
    </row>
    <row r="587" spans="9:10">
      <c r="I587" s="14"/>
      <c r="J587" s="14"/>
    </row>
    <row r="588" spans="9:10">
      <c r="I588" s="14"/>
      <c r="J588" s="14"/>
    </row>
    <row r="589" spans="9:10">
      <c r="I589" s="14"/>
      <c r="J589" s="14"/>
    </row>
    <row r="590" spans="9:10">
      <c r="I590" s="14"/>
      <c r="J590" s="14"/>
    </row>
    <row r="591" spans="9:10">
      <c r="I591" s="14"/>
      <c r="J591" s="14"/>
    </row>
    <row r="592" spans="9:10">
      <c r="I592" s="14"/>
      <c r="J592" s="14"/>
    </row>
    <row r="593" spans="9:10">
      <c r="I593" s="14"/>
      <c r="J593" s="14"/>
    </row>
    <row r="594" spans="9:10">
      <c r="I594" s="14"/>
      <c r="J594" s="14"/>
    </row>
    <row r="595" spans="9:10">
      <c r="I595" s="14"/>
      <c r="J595" s="14"/>
    </row>
    <row r="596" spans="9:10">
      <c r="I596" s="14"/>
      <c r="J596" s="14"/>
    </row>
    <row r="597" spans="9:10">
      <c r="I597" s="14"/>
      <c r="J597" s="14"/>
    </row>
    <row r="598" spans="9:10">
      <c r="I598" s="14"/>
      <c r="J598" s="14"/>
    </row>
    <row r="599" spans="9:10">
      <c r="I599" s="14"/>
      <c r="J599" s="14"/>
    </row>
    <row r="600" spans="9:10">
      <c r="I600" s="14"/>
      <c r="J600" s="14"/>
    </row>
    <row r="601" spans="9:10">
      <c r="I601" s="14"/>
      <c r="J601" s="14"/>
    </row>
    <row r="602" spans="9:10">
      <c r="I602" s="14"/>
      <c r="J602" s="14"/>
    </row>
    <row r="603" spans="9:10">
      <c r="I603" s="14"/>
      <c r="J603" s="14"/>
    </row>
    <row r="604" spans="9:10">
      <c r="I604" s="14"/>
      <c r="J604" s="14"/>
    </row>
    <row r="605" spans="9:10">
      <c r="I605" s="14"/>
      <c r="J605" s="14"/>
    </row>
    <row r="606" spans="9:10">
      <c r="I606" s="14"/>
      <c r="J606" s="14"/>
    </row>
    <row r="607" spans="9:10">
      <c r="I607" s="14"/>
      <c r="J607" s="14"/>
    </row>
    <row r="608" spans="9:10">
      <c r="I608" s="14"/>
      <c r="J608" s="14"/>
    </row>
    <row r="609" spans="9:10">
      <c r="I609" s="14"/>
      <c r="J609" s="14"/>
    </row>
    <row r="610" spans="9:10">
      <c r="I610" s="14"/>
      <c r="J610" s="14"/>
    </row>
    <row r="611" spans="9:10">
      <c r="I611" s="14"/>
      <c r="J611" s="14"/>
    </row>
    <row r="612" spans="9:10">
      <c r="I612" s="14"/>
      <c r="J612" s="14"/>
    </row>
    <row r="613" spans="9:10">
      <c r="I613" s="14"/>
      <c r="J613" s="14"/>
    </row>
    <row r="614" spans="9:10">
      <c r="I614" s="14"/>
      <c r="J614" s="14"/>
    </row>
    <row r="615" spans="9:10">
      <c r="I615" s="14"/>
      <c r="J615" s="14"/>
    </row>
    <row r="616" spans="9:10">
      <c r="I616" s="14"/>
      <c r="J616" s="14"/>
    </row>
    <row r="617" spans="9:10">
      <c r="I617" s="14"/>
      <c r="J617" s="14"/>
    </row>
    <row r="618" spans="9:10">
      <c r="I618" s="14"/>
      <c r="J618" s="14"/>
    </row>
    <row r="619" spans="9:10">
      <c r="I619" s="14"/>
      <c r="J619" s="14"/>
    </row>
    <row r="620" spans="9:10">
      <c r="I620" s="14"/>
      <c r="J620" s="14"/>
    </row>
    <row r="621" spans="9:10">
      <c r="I621" s="14"/>
      <c r="J621" s="14"/>
    </row>
    <row r="622" spans="9:10">
      <c r="I622" s="14"/>
      <c r="J622" s="14"/>
    </row>
    <row r="623" spans="9:10">
      <c r="I623" s="14"/>
      <c r="J623" s="14"/>
    </row>
    <row r="624" spans="9:10">
      <c r="I624" s="14"/>
      <c r="J624" s="14"/>
    </row>
    <row r="625" spans="9:10">
      <c r="I625" s="14"/>
      <c r="J625" s="14"/>
    </row>
    <row r="626" spans="9:10">
      <c r="I626" s="14"/>
      <c r="J626" s="14"/>
    </row>
    <row r="627" spans="9:10">
      <c r="I627" s="14"/>
      <c r="J627" s="14"/>
    </row>
    <row r="628" spans="9:10">
      <c r="I628" s="14"/>
      <c r="J628" s="14"/>
    </row>
    <row r="629" spans="9:10">
      <c r="I629" s="14"/>
      <c r="J629" s="14"/>
    </row>
    <row r="630" spans="9:10">
      <c r="I630" s="14"/>
      <c r="J630" s="14"/>
    </row>
    <row r="631" spans="9:10">
      <c r="I631" s="14"/>
      <c r="J631" s="14"/>
    </row>
    <row r="632" spans="9:10">
      <c r="I632" s="14"/>
      <c r="J632" s="14"/>
    </row>
    <row r="633" spans="9:10">
      <c r="I633" s="14"/>
      <c r="J633" s="14"/>
    </row>
    <row r="634" spans="9:10">
      <c r="I634" s="14"/>
      <c r="J634" s="14"/>
    </row>
    <row r="635" spans="9:10">
      <c r="I635" s="14"/>
      <c r="J635" s="14"/>
    </row>
    <row r="636" spans="9:10">
      <c r="I636" s="14"/>
      <c r="J636" s="14"/>
    </row>
    <row r="637" spans="9:10">
      <c r="I637" s="14"/>
      <c r="J637" s="14"/>
    </row>
    <row r="638" spans="9:10">
      <c r="I638" s="14"/>
      <c r="J638" s="14"/>
    </row>
    <row r="639" spans="9:10">
      <c r="I639" s="14"/>
      <c r="J639" s="14"/>
    </row>
    <row r="640" spans="9:10">
      <c r="I640" s="14"/>
      <c r="J640" s="14"/>
    </row>
    <row r="641" spans="9:10">
      <c r="I641" s="14"/>
      <c r="J641" s="14"/>
    </row>
    <row r="642" spans="9:10">
      <c r="I642" s="14"/>
      <c r="J642" s="14"/>
    </row>
    <row r="643" spans="9:10">
      <c r="I643" s="14"/>
      <c r="J643" s="14"/>
    </row>
    <row r="644" spans="9:10">
      <c r="I644" s="14"/>
      <c r="J644" s="14"/>
    </row>
    <row r="645" spans="9:10">
      <c r="I645" s="14"/>
      <c r="J645" s="14"/>
    </row>
    <row r="646" spans="9:10">
      <c r="I646" s="14"/>
      <c r="J646" s="14"/>
    </row>
    <row r="647" spans="9:10">
      <c r="I647" s="14"/>
      <c r="J647" s="14"/>
    </row>
    <row r="648" spans="9:10">
      <c r="I648" s="14"/>
      <c r="J648" s="14"/>
    </row>
    <row r="649" spans="9:10">
      <c r="I649" s="14"/>
      <c r="J649" s="14"/>
    </row>
    <row r="650" spans="9:10">
      <c r="I650" s="14"/>
      <c r="J650" s="14"/>
    </row>
    <row r="651" spans="9:10">
      <c r="I651" s="14"/>
      <c r="J651" s="14"/>
    </row>
    <row r="652" spans="9:10">
      <c r="I652" s="14"/>
      <c r="J652" s="14"/>
    </row>
    <row r="653" spans="9:10">
      <c r="I653" s="14"/>
      <c r="J653" s="14"/>
    </row>
    <row r="654" spans="9:10">
      <c r="I654" s="14"/>
      <c r="J654" s="14"/>
    </row>
    <row r="655" spans="9:10">
      <c r="I655" s="14"/>
      <c r="J655" s="14"/>
    </row>
    <row r="656" spans="9:10">
      <c r="I656" s="14"/>
      <c r="J656" s="14"/>
    </row>
    <row r="657" spans="9:10">
      <c r="I657" s="14"/>
      <c r="J657" s="14"/>
    </row>
    <row r="658" spans="9:10">
      <c r="I658" s="14"/>
      <c r="J658" s="14"/>
    </row>
    <row r="659" spans="9:10">
      <c r="I659" s="14"/>
      <c r="J659" s="14"/>
    </row>
    <row r="660" spans="9:10">
      <c r="I660" s="14"/>
      <c r="J660" s="14"/>
    </row>
    <row r="661" spans="9:10">
      <c r="I661" s="14"/>
      <c r="J661" s="14"/>
    </row>
    <row r="662" spans="9:10">
      <c r="I662" s="14"/>
      <c r="J662" s="14"/>
    </row>
    <row r="663" spans="9:10">
      <c r="I663" s="14"/>
      <c r="J663" s="14"/>
    </row>
    <row r="664" spans="9:10">
      <c r="I664" s="14"/>
      <c r="J664" s="14"/>
    </row>
    <row r="665" spans="9:10">
      <c r="I665" s="14"/>
      <c r="J665" s="14"/>
    </row>
    <row r="666" spans="9:10">
      <c r="I666" s="14"/>
      <c r="J666" s="14"/>
    </row>
    <row r="667" spans="9:10">
      <c r="I667" s="14"/>
      <c r="J667" s="14"/>
    </row>
    <row r="668" spans="9:10">
      <c r="I668" s="14"/>
      <c r="J668" s="14"/>
    </row>
    <row r="669" spans="9:10">
      <c r="I669" s="14"/>
      <c r="J669" s="14"/>
    </row>
    <row r="670" spans="9:10">
      <c r="I670" s="14"/>
      <c r="J670" s="14"/>
    </row>
    <row r="671" spans="9:10">
      <c r="I671" s="14"/>
      <c r="J671" s="14"/>
    </row>
    <row r="672" spans="9:10">
      <c r="I672" s="14"/>
      <c r="J672" s="14"/>
    </row>
    <row r="673" spans="9:10">
      <c r="I673" s="14"/>
      <c r="J673" s="14"/>
    </row>
    <row r="674" spans="9:10">
      <c r="I674" s="14"/>
      <c r="J674" s="14"/>
    </row>
    <row r="675" spans="9:10">
      <c r="I675" s="14"/>
      <c r="J675" s="14"/>
    </row>
    <row r="676" spans="9:10">
      <c r="I676" s="14"/>
      <c r="J676" s="14"/>
    </row>
    <row r="677" spans="9:10">
      <c r="I677" s="14"/>
      <c r="J677" s="14"/>
    </row>
    <row r="678" spans="9:10">
      <c r="I678" s="14"/>
      <c r="J678" s="14"/>
    </row>
    <row r="679" spans="9:10">
      <c r="I679" s="14"/>
      <c r="J679" s="14"/>
    </row>
    <row r="680" spans="9:10">
      <c r="I680" s="14"/>
      <c r="J680" s="14"/>
    </row>
    <row r="681" spans="9:10">
      <c r="I681" s="14"/>
      <c r="J681" s="14"/>
    </row>
    <row r="682" spans="9:10">
      <c r="I682" s="14"/>
      <c r="J682" s="14"/>
    </row>
    <row r="683" spans="9:10">
      <c r="I683" s="14"/>
      <c r="J683" s="14"/>
    </row>
    <row r="684" spans="9:10">
      <c r="I684" s="14"/>
      <c r="J684" s="14"/>
    </row>
    <row r="685" spans="9:10">
      <c r="I685" s="14"/>
      <c r="J685" s="14"/>
    </row>
    <row r="686" spans="9:10">
      <c r="I686" s="14"/>
      <c r="J686" s="14"/>
    </row>
    <row r="687" spans="9:10">
      <c r="I687" s="14"/>
      <c r="J687" s="14"/>
    </row>
    <row r="688" spans="9:10">
      <c r="I688" s="14"/>
      <c r="J688" s="14"/>
    </row>
    <row r="689" spans="9:10">
      <c r="I689" s="14"/>
      <c r="J689" s="14"/>
    </row>
    <row r="690" spans="9:10">
      <c r="I690" s="14"/>
      <c r="J690" s="14"/>
    </row>
    <row r="691" spans="9:10">
      <c r="I691" s="14"/>
      <c r="J691" s="14"/>
    </row>
    <row r="692" spans="9:10">
      <c r="I692" s="14"/>
      <c r="J692" s="14"/>
    </row>
    <row r="693" spans="9:10">
      <c r="I693" s="14"/>
      <c r="J693" s="14"/>
    </row>
    <row r="694" spans="9:10">
      <c r="I694" s="14"/>
      <c r="J694" s="14"/>
    </row>
    <row r="695" spans="9:10">
      <c r="I695" s="14"/>
      <c r="J695" s="14"/>
    </row>
    <row r="696" spans="9:10">
      <c r="I696" s="14"/>
      <c r="J696" s="14"/>
    </row>
    <row r="697" spans="9:10">
      <c r="I697" s="14"/>
      <c r="J697" s="14"/>
    </row>
    <row r="698" spans="9:10">
      <c r="I698" s="14"/>
      <c r="J698" s="14"/>
    </row>
    <row r="699" spans="9:10">
      <c r="I699" s="14"/>
      <c r="J699" s="14"/>
    </row>
    <row r="700" spans="9:10">
      <c r="I700" s="14"/>
      <c r="J700" s="14"/>
    </row>
    <row r="701" spans="9:10">
      <c r="I701" s="14"/>
      <c r="J701" s="14"/>
    </row>
    <row r="702" spans="9:10">
      <c r="I702" s="14"/>
      <c r="J702" s="14"/>
    </row>
    <row r="703" spans="9:10">
      <c r="I703" s="14"/>
      <c r="J703" s="14"/>
    </row>
    <row r="704" spans="9:10">
      <c r="I704" s="14"/>
      <c r="J704" s="14"/>
    </row>
    <row r="705" spans="9:10">
      <c r="I705" s="14"/>
      <c r="J705" s="14"/>
    </row>
    <row r="706" spans="9:10">
      <c r="I706" s="14"/>
      <c r="J706" s="14"/>
    </row>
    <row r="707" spans="9:10">
      <c r="I707" s="14"/>
      <c r="J707" s="14"/>
    </row>
    <row r="708" spans="9:10">
      <c r="I708" s="14"/>
      <c r="J708" s="14"/>
    </row>
    <row r="709" spans="9:10">
      <c r="I709" s="14"/>
      <c r="J709" s="14"/>
    </row>
    <row r="710" spans="9:10">
      <c r="I710" s="14"/>
      <c r="J710" s="14"/>
    </row>
    <row r="711" spans="9:10">
      <c r="I711" s="14"/>
      <c r="J711" s="14"/>
    </row>
    <row r="712" spans="9:10">
      <c r="I712" s="14"/>
      <c r="J712" s="14"/>
    </row>
    <row r="713" spans="9:10">
      <c r="I713" s="14"/>
      <c r="J713" s="14"/>
    </row>
    <row r="714" spans="9:10">
      <c r="I714" s="14"/>
      <c r="J714" s="14"/>
    </row>
    <row r="715" spans="9:10">
      <c r="I715" s="14"/>
      <c r="J715" s="14"/>
    </row>
    <row r="716" spans="9:10">
      <c r="I716" s="14"/>
      <c r="J716" s="14"/>
    </row>
    <row r="717" spans="9:10">
      <c r="I717" s="14"/>
      <c r="J717" s="14"/>
    </row>
    <row r="718" spans="9:10">
      <c r="I718" s="14"/>
      <c r="J718" s="14"/>
    </row>
    <row r="719" spans="9:10">
      <c r="I719" s="14"/>
      <c r="J719" s="14"/>
    </row>
    <row r="720" spans="9:10">
      <c r="I720" s="14"/>
      <c r="J720" s="14"/>
    </row>
    <row r="721" spans="9:10">
      <c r="I721" s="14"/>
      <c r="J721" s="14"/>
    </row>
    <row r="722" spans="9:10">
      <c r="I722" s="14"/>
      <c r="J722" s="14"/>
    </row>
    <row r="723" spans="9:10">
      <c r="I723" s="14"/>
      <c r="J723" s="14"/>
    </row>
    <row r="724" spans="9:10">
      <c r="I724" s="14"/>
      <c r="J724" s="14"/>
    </row>
    <row r="725" spans="9:10">
      <c r="I725" s="14"/>
      <c r="J725" s="14"/>
    </row>
    <row r="726" spans="9:10">
      <c r="I726" s="14"/>
      <c r="J726" s="14"/>
    </row>
    <row r="727" spans="9:10">
      <c r="I727" s="14"/>
      <c r="J727" s="14"/>
    </row>
    <row r="728" spans="9:10">
      <c r="I728" s="14"/>
      <c r="J728" s="14"/>
    </row>
    <row r="729" spans="9:10">
      <c r="I729" s="14"/>
      <c r="J729" s="14"/>
    </row>
    <row r="730" spans="9:10">
      <c r="I730" s="14"/>
      <c r="J730" s="14"/>
    </row>
    <row r="731" spans="9:10">
      <c r="I731" s="14"/>
      <c r="J731" s="14"/>
    </row>
    <row r="732" spans="9:10">
      <c r="I732" s="14"/>
      <c r="J732" s="14"/>
    </row>
    <row r="733" spans="9:10">
      <c r="I733" s="14"/>
      <c r="J733" s="14"/>
    </row>
    <row r="734" spans="9:10">
      <c r="I734" s="14"/>
      <c r="J734" s="14"/>
    </row>
    <row r="735" spans="9:10">
      <c r="I735" s="14"/>
      <c r="J735" s="14"/>
    </row>
    <row r="736" spans="9:10">
      <c r="I736" s="14"/>
      <c r="J736" s="14"/>
    </row>
    <row r="737" spans="9:10">
      <c r="I737" s="14"/>
      <c r="J737" s="14"/>
    </row>
    <row r="738" spans="9:10">
      <c r="I738" s="14"/>
      <c r="J738" s="14"/>
    </row>
    <row r="739" spans="9:10">
      <c r="I739" s="14"/>
      <c r="J739" s="14"/>
    </row>
    <row r="740" spans="9:10">
      <c r="I740" s="14"/>
      <c r="J740" s="14"/>
    </row>
    <row r="741" spans="9:10">
      <c r="I741" s="14"/>
      <c r="J741" s="14"/>
    </row>
    <row r="742" spans="9:10">
      <c r="I742" s="14"/>
      <c r="J742" s="14"/>
    </row>
    <row r="743" spans="9:10">
      <c r="I743" s="14"/>
      <c r="J743" s="14"/>
    </row>
    <row r="744" spans="9:10">
      <c r="I744" s="14"/>
      <c r="J744" s="14"/>
    </row>
    <row r="745" spans="9:10">
      <c r="I745" s="14"/>
      <c r="J745" s="14"/>
    </row>
    <row r="746" spans="9:10">
      <c r="I746" s="14"/>
      <c r="J746" s="14"/>
    </row>
    <row r="747" spans="9:10">
      <c r="I747" s="14"/>
      <c r="J747" s="14"/>
    </row>
    <row r="748" spans="9:10">
      <c r="I748" s="14"/>
      <c r="J748" s="14"/>
    </row>
    <row r="749" spans="9:10">
      <c r="I749" s="14"/>
      <c r="J749" s="14"/>
    </row>
    <row r="750" spans="9:10">
      <c r="I750" s="14"/>
      <c r="J750" s="14"/>
    </row>
    <row r="751" spans="9:10">
      <c r="I751" s="14"/>
      <c r="J751" s="14"/>
    </row>
    <row r="752" spans="9:10">
      <c r="I752" s="14"/>
      <c r="J752" s="14"/>
    </row>
    <row r="753" spans="9:10">
      <c r="I753" s="14"/>
      <c r="J753" s="14"/>
    </row>
    <row r="754" spans="9:10">
      <c r="I754" s="14"/>
      <c r="J754" s="14"/>
    </row>
    <row r="755" spans="9:10">
      <c r="I755" s="14"/>
      <c r="J755" s="14"/>
    </row>
    <row r="756" spans="9:10">
      <c r="I756" s="14"/>
      <c r="J756" s="14"/>
    </row>
    <row r="757" spans="9:10">
      <c r="I757" s="14"/>
      <c r="J757" s="14"/>
    </row>
    <row r="758" spans="9:10">
      <c r="I758" s="14"/>
      <c r="J758" s="14"/>
    </row>
    <row r="759" spans="9:10">
      <c r="I759" s="14"/>
      <c r="J759" s="14"/>
    </row>
    <row r="760" spans="9:10">
      <c r="I760" s="14"/>
      <c r="J760" s="14"/>
    </row>
    <row r="761" spans="9:10">
      <c r="I761" s="14"/>
      <c r="J761" s="14"/>
    </row>
    <row r="762" spans="9:10">
      <c r="I762" s="14"/>
      <c r="J762" s="14"/>
    </row>
    <row r="763" spans="9:10">
      <c r="I763" s="14"/>
      <c r="J763" s="14"/>
    </row>
    <row r="764" spans="9:10">
      <c r="I764" s="14"/>
      <c r="J764" s="14"/>
    </row>
    <row r="765" spans="9:10">
      <c r="I765" s="14"/>
      <c r="J765" s="14"/>
    </row>
    <row r="766" spans="9:10">
      <c r="I766" s="14"/>
      <c r="J766" s="14"/>
    </row>
    <row r="767" spans="9:10">
      <c r="I767" s="14"/>
      <c r="J767" s="14"/>
    </row>
    <row r="768" spans="9:10">
      <c r="I768" s="14"/>
      <c r="J768" s="14"/>
    </row>
    <row r="769" spans="9:10">
      <c r="I769" s="14"/>
      <c r="J769" s="14"/>
    </row>
    <row r="770" spans="9:10">
      <c r="I770" s="14"/>
      <c r="J770" s="14"/>
    </row>
    <row r="771" spans="9:10">
      <c r="I771" s="14"/>
      <c r="J771" s="14"/>
    </row>
    <row r="772" spans="9:10">
      <c r="I772" s="14"/>
      <c r="J772" s="14"/>
    </row>
    <row r="773" spans="9:10">
      <c r="I773" s="14"/>
      <c r="J773" s="14"/>
    </row>
    <row r="774" spans="9:10">
      <c r="I774" s="14"/>
      <c r="J774" s="14"/>
    </row>
    <row r="775" spans="9:10">
      <c r="I775" s="14"/>
      <c r="J775" s="14"/>
    </row>
    <row r="776" spans="9:10">
      <c r="I776" s="14"/>
      <c r="J776" s="14"/>
    </row>
    <row r="777" spans="9:10">
      <c r="I777" s="14"/>
      <c r="J777" s="14"/>
    </row>
    <row r="778" spans="9:10">
      <c r="I778" s="14"/>
      <c r="J778" s="14"/>
    </row>
    <row r="779" spans="9:10">
      <c r="I779" s="14"/>
      <c r="J779" s="14"/>
    </row>
    <row r="780" spans="9:10">
      <c r="I780" s="14"/>
      <c r="J780" s="14"/>
    </row>
    <row r="781" spans="9:10">
      <c r="I781" s="14"/>
      <c r="J781" s="14"/>
    </row>
    <row r="782" spans="9:10">
      <c r="I782" s="14"/>
      <c r="J782" s="14"/>
    </row>
    <row r="783" spans="9:10">
      <c r="I783" s="14"/>
      <c r="J783" s="14"/>
    </row>
    <row r="784" spans="9:10">
      <c r="I784" s="14"/>
      <c r="J784" s="14"/>
    </row>
    <row r="785" spans="9:10">
      <c r="I785" s="14"/>
      <c r="J785" s="14"/>
    </row>
    <row r="786" spans="9:10">
      <c r="I786" s="14"/>
      <c r="J786" s="14"/>
    </row>
    <row r="787" spans="9:10">
      <c r="I787" s="14"/>
      <c r="J787" s="14"/>
    </row>
    <row r="788" spans="9:10">
      <c r="I788" s="14"/>
      <c r="J788" s="14"/>
    </row>
    <row r="789" spans="9:10">
      <c r="I789" s="14"/>
      <c r="J789" s="14"/>
    </row>
    <row r="790" spans="9:10">
      <c r="I790" s="14"/>
      <c r="J790" s="14"/>
    </row>
    <row r="791" spans="9:10">
      <c r="I791" s="14"/>
      <c r="J791" s="14"/>
    </row>
    <row r="792" spans="9:10">
      <c r="I792" s="14"/>
      <c r="J792" s="14"/>
    </row>
    <row r="793" spans="9:10">
      <c r="I793" s="14"/>
      <c r="J793" s="14"/>
    </row>
    <row r="794" spans="9:10">
      <c r="I794" s="14"/>
      <c r="J794" s="14"/>
    </row>
    <row r="795" spans="9:10">
      <c r="I795" s="14"/>
      <c r="J795" s="14"/>
    </row>
    <row r="796" spans="9:10">
      <c r="I796" s="14"/>
      <c r="J796" s="14"/>
    </row>
    <row r="797" spans="9:10">
      <c r="I797" s="14"/>
      <c r="J797" s="14"/>
    </row>
    <row r="798" spans="9:10">
      <c r="I798" s="14"/>
      <c r="J798" s="14"/>
    </row>
    <row r="799" spans="9:10">
      <c r="I799" s="14"/>
      <c r="J799" s="14"/>
    </row>
    <row r="800" spans="9:10">
      <c r="I800" s="14"/>
      <c r="J800" s="14"/>
    </row>
    <row r="801" spans="9:10">
      <c r="I801" s="14"/>
      <c r="J801" s="14"/>
    </row>
    <row r="802" spans="9:10">
      <c r="I802" s="14"/>
      <c r="J802" s="14"/>
    </row>
    <row r="803" spans="9:10">
      <c r="I803" s="14"/>
      <c r="J803" s="14"/>
    </row>
    <row r="804" spans="9:10">
      <c r="I804" s="14"/>
      <c r="J804" s="14"/>
    </row>
    <row r="805" spans="9:10">
      <c r="I805" s="14"/>
      <c r="J805" s="14"/>
    </row>
    <row r="806" spans="9:10">
      <c r="I806" s="14"/>
      <c r="J806" s="14"/>
    </row>
    <row r="807" spans="9:10">
      <c r="I807" s="14"/>
      <c r="J807" s="14"/>
    </row>
    <row r="808" spans="9:10">
      <c r="I808" s="14"/>
      <c r="J808" s="14"/>
    </row>
    <row r="809" spans="9:10">
      <c r="I809" s="14"/>
      <c r="J809" s="14"/>
    </row>
    <row r="810" spans="9:10">
      <c r="I810" s="14"/>
      <c r="J810" s="14"/>
    </row>
    <row r="811" spans="9:10">
      <c r="I811" s="14"/>
      <c r="J811" s="14"/>
    </row>
    <row r="812" spans="9:10">
      <c r="I812" s="14"/>
      <c r="J812" s="14"/>
    </row>
    <row r="813" spans="9:10">
      <c r="I813" s="14"/>
      <c r="J813" s="14"/>
    </row>
    <row r="814" spans="9:10">
      <c r="I814" s="14"/>
      <c r="J814" s="14"/>
    </row>
    <row r="815" spans="9:10">
      <c r="I815" s="14"/>
      <c r="J815" s="14"/>
    </row>
    <row r="816" spans="9:10">
      <c r="I816" s="14"/>
      <c r="J816" s="14"/>
    </row>
    <row r="817" spans="9:10">
      <c r="I817" s="14"/>
      <c r="J817" s="14"/>
    </row>
    <row r="818" spans="9:10">
      <c r="I818" s="14"/>
      <c r="J818" s="14"/>
    </row>
    <row r="819" spans="9:10">
      <c r="I819" s="14"/>
      <c r="J819" s="14"/>
    </row>
    <row r="820" spans="9:10">
      <c r="I820" s="14"/>
      <c r="J820" s="14"/>
    </row>
    <row r="821" spans="9:10">
      <c r="I821" s="14"/>
      <c r="J821" s="14"/>
    </row>
    <row r="822" spans="9:10">
      <c r="I822" s="14"/>
      <c r="J822" s="14"/>
    </row>
    <row r="823" spans="9:10">
      <c r="I823" s="14"/>
      <c r="J823" s="14"/>
    </row>
    <row r="824" spans="9:10">
      <c r="I824" s="14"/>
      <c r="J824" s="14"/>
    </row>
    <row r="825" spans="9:10">
      <c r="I825" s="14"/>
      <c r="J825" s="14"/>
    </row>
    <row r="826" spans="9:10">
      <c r="I826" s="14"/>
      <c r="J826" s="14"/>
    </row>
    <row r="827" spans="9:10">
      <c r="I827" s="14"/>
      <c r="J827" s="14"/>
    </row>
    <row r="828" spans="9:10">
      <c r="I828" s="14"/>
      <c r="J828" s="14"/>
    </row>
    <row r="829" spans="9:10">
      <c r="I829" s="14"/>
      <c r="J829" s="14"/>
    </row>
    <row r="830" spans="9:10">
      <c r="I830" s="14"/>
      <c r="J830" s="14"/>
    </row>
    <row r="831" spans="9:10">
      <c r="I831" s="14"/>
      <c r="J831" s="14"/>
    </row>
    <row r="832" spans="9:10">
      <c r="I832" s="14"/>
      <c r="J832" s="14"/>
    </row>
    <row r="833" spans="9:10">
      <c r="I833" s="14"/>
      <c r="J833" s="14"/>
    </row>
    <row r="834" spans="9:10">
      <c r="I834" s="14"/>
      <c r="J834" s="14"/>
    </row>
    <row r="835" spans="9:10">
      <c r="I835" s="14"/>
      <c r="J835" s="14"/>
    </row>
    <row r="836" spans="9:10">
      <c r="I836" s="14"/>
      <c r="J836" s="14"/>
    </row>
    <row r="837" spans="9:10">
      <c r="I837" s="14"/>
      <c r="J837" s="14"/>
    </row>
    <row r="838" spans="9:10">
      <c r="I838" s="14"/>
      <c r="J838" s="14"/>
    </row>
    <row r="839" spans="9:10">
      <c r="I839" s="14"/>
      <c r="J839" s="14"/>
    </row>
    <row r="840" spans="9:10">
      <c r="I840" s="14"/>
      <c r="J840" s="14"/>
    </row>
    <row r="841" spans="9:10">
      <c r="I841" s="14"/>
      <c r="J841" s="14"/>
    </row>
    <row r="842" spans="9:10">
      <c r="I842" s="14"/>
      <c r="J842" s="14"/>
    </row>
    <row r="843" spans="9:10">
      <c r="I843" s="14"/>
      <c r="J843" s="14"/>
    </row>
    <row r="844" spans="9:10">
      <c r="I844" s="14"/>
      <c r="J844" s="14"/>
    </row>
    <row r="845" spans="9:10">
      <c r="I845" s="14"/>
      <c r="J845" s="14"/>
    </row>
    <row r="846" spans="9:10">
      <c r="I846" s="14"/>
      <c r="J846" s="14"/>
    </row>
    <row r="847" spans="9:10">
      <c r="I847" s="14"/>
      <c r="J847" s="14"/>
    </row>
    <row r="848" spans="9:10">
      <c r="I848" s="14"/>
      <c r="J848" s="14"/>
    </row>
    <row r="849" spans="9:10">
      <c r="I849" s="14"/>
      <c r="J849" s="14"/>
    </row>
    <row r="850" spans="9:10">
      <c r="I850" s="14"/>
      <c r="J850" s="14"/>
    </row>
    <row r="851" spans="9:10">
      <c r="I851" s="14"/>
      <c r="J851" s="14"/>
    </row>
    <row r="852" spans="9:10">
      <c r="I852" s="14"/>
      <c r="J852" s="14"/>
    </row>
    <row r="853" spans="9:10">
      <c r="I853" s="14"/>
      <c r="J853" s="14"/>
    </row>
    <row r="854" spans="9:10">
      <c r="I854" s="14"/>
      <c r="J854" s="14"/>
    </row>
    <row r="855" spans="9:10">
      <c r="I855" s="14"/>
      <c r="J855" s="14"/>
    </row>
    <row r="856" spans="9:10">
      <c r="I856" s="14"/>
      <c r="J856" s="14"/>
    </row>
    <row r="857" spans="9:10">
      <c r="I857" s="14"/>
      <c r="J857" s="14"/>
    </row>
    <row r="858" spans="9:10">
      <c r="I858" s="14"/>
      <c r="J858" s="14"/>
    </row>
    <row r="859" spans="9:10">
      <c r="I859" s="14"/>
      <c r="J859" s="14"/>
    </row>
    <row r="860" spans="9:10">
      <c r="I860" s="14"/>
      <c r="J860" s="14"/>
    </row>
    <row r="861" spans="9:10">
      <c r="I861" s="14"/>
      <c r="J861" s="14"/>
    </row>
    <row r="862" spans="9:10">
      <c r="I862" s="14"/>
      <c r="J862" s="14"/>
    </row>
    <row r="863" spans="9:10">
      <c r="I863" s="14"/>
      <c r="J863" s="14"/>
    </row>
    <row r="864" spans="9:10">
      <c r="I864" s="14"/>
      <c r="J864" s="14"/>
    </row>
    <row r="865" spans="9:10">
      <c r="I865" s="14"/>
      <c r="J865" s="14"/>
    </row>
    <row r="866" spans="9:10">
      <c r="I866" s="14"/>
      <c r="J866" s="14"/>
    </row>
    <row r="867" spans="9:10">
      <c r="I867" s="14"/>
      <c r="J867" s="14"/>
    </row>
    <row r="868" spans="9:10">
      <c r="I868" s="14"/>
      <c r="J868" s="14"/>
    </row>
    <row r="869" spans="9:10">
      <c r="I869" s="14"/>
      <c r="J869" s="14"/>
    </row>
    <row r="870" spans="9:10">
      <c r="I870" s="14"/>
      <c r="J870" s="14"/>
    </row>
    <row r="871" spans="9:10">
      <c r="I871" s="14"/>
      <c r="J871" s="14"/>
    </row>
    <row r="872" spans="9:10">
      <c r="I872" s="14"/>
      <c r="J872" s="14"/>
    </row>
    <row r="873" spans="9:10">
      <c r="I873" s="14"/>
      <c r="J873" s="14"/>
    </row>
    <row r="874" spans="9:10">
      <c r="I874" s="14"/>
      <c r="J874" s="14"/>
    </row>
    <row r="875" spans="9:10">
      <c r="I875" s="14"/>
      <c r="J875" s="14"/>
    </row>
    <row r="876" spans="9:10">
      <c r="I876" s="14"/>
      <c r="J876" s="14"/>
    </row>
    <row r="877" spans="9:10">
      <c r="I877" s="14"/>
      <c r="J877" s="14"/>
    </row>
    <row r="878" spans="9:10">
      <c r="I878" s="14"/>
      <c r="J878" s="14"/>
    </row>
    <row r="879" spans="9:10">
      <c r="I879" s="14"/>
      <c r="J879" s="14"/>
    </row>
    <row r="880" spans="9:10">
      <c r="I880" s="14"/>
      <c r="J880" s="14"/>
    </row>
    <row r="881" spans="9:10">
      <c r="I881" s="14"/>
      <c r="J881" s="14"/>
    </row>
    <row r="882" spans="9:10">
      <c r="I882" s="14"/>
      <c r="J882" s="14"/>
    </row>
    <row r="883" spans="9:10">
      <c r="I883" s="14"/>
      <c r="J883" s="14"/>
    </row>
    <row r="884" spans="9:10">
      <c r="I884" s="14"/>
      <c r="J884" s="14"/>
    </row>
    <row r="885" spans="9:10">
      <c r="I885" s="14"/>
      <c r="J885" s="14"/>
    </row>
    <row r="886" spans="9:10">
      <c r="I886" s="14"/>
      <c r="J886" s="14"/>
    </row>
    <row r="887" spans="9:10">
      <c r="I887" s="14"/>
      <c r="J887" s="14"/>
    </row>
    <row r="888" spans="9:10">
      <c r="I888" s="14"/>
      <c r="J888" s="14"/>
    </row>
    <row r="889" spans="9:10">
      <c r="I889" s="14"/>
      <c r="J889" s="14"/>
    </row>
    <row r="890" spans="9:10">
      <c r="I890" s="14"/>
      <c r="J890" s="14"/>
    </row>
    <row r="891" spans="9:10">
      <c r="I891" s="14"/>
      <c r="J891" s="14"/>
    </row>
    <row r="892" spans="9:10">
      <c r="I892" s="14"/>
      <c r="J892" s="14"/>
    </row>
    <row r="893" spans="9:10">
      <c r="I893" s="14"/>
      <c r="J893" s="14"/>
    </row>
    <row r="894" spans="9:10">
      <c r="I894" s="14"/>
      <c r="J894" s="14"/>
    </row>
    <row r="895" spans="9:10">
      <c r="I895" s="14"/>
      <c r="J895" s="14"/>
    </row>
    <row r="896" spans="9:10">
      <c r="I896" s="14"/>
      <c r="J896" s="14"/>
    </row>
    <row r="897" spans="9:10">
      <c r="I897" s="14"/>
      <c r="J897" s="14"/>
    </row>
    <row r="898" spans="9:10">
      <c r="I898" s="14"/>
      <c r="J898" s="14"/>
    </row>
    <row r="899" spans="9:10">
      <c r="I899" s="14"/>
      <c r="J899" s="14"/>
    </row>
    <row r="900" spans="9:10">
      <c r="I900" s="14"/>
      <c r="J900" s="14"/>
    </row>
    <row r="901" spans="9:10">
      <c r="I901" s="14"/>
      <c r="J901" s="14"/>
    </row>
    <row r="902" spans="9:10">
      <c r="I902" s="14"/>
      <c r="J902" s="14"/>
    </row>
    <row r="903" spans="9:10">
      <c r="I903" s="14"/>
      <c r="J903" s="14"/>
    </row>
    <row r="904" spans="9:10">
      <c r="I904" s="14"/>
      <c r="J904" s="14"/>
    </row>
    <row r="905" spans="9:10">
      <c r="I905" s="14"/>
      <c r="J905" s="14"/>
    </row>
    <row r="906" spans="9:10">
      <c r="I906" s="14"/>
      <c r="J906" s="14"/>
    </row>
    <row r="907" spans="9:10">
      <c r="I907" s="14"/>
      <c r="J907" s="14"/>
    </row>
    <row r="908" spans="9:10">
      <c r="I908" s="14"/>
      <c r="J908" s="14"/>
    </row>
    <row r="909" spans="9:10">
      <c r="I909" s="14"/>
      <c r="J909" s="14"/>
    </row>
    <row r="910" spans="9:10">
      <c r="I910" s="14"/>
      <c r="J910" s="14"/>
    </row>
    <row r="911" spans="9:10">
      <c r="I911" s="14"/>
      <c r="J911" s="14"/>
    </row>
    <row r="912" spans="9:10">
      <c r="I912" s="14"/>
      <c r="J912" s="14"/>
    </row>
    <row r="913" spans="9:10">
      <c r="I913" s="14"/>
      <c r="J913" s="14"/>
    </row>
    <row r="914" spans="9:10">
      <c r="I914" s="14"/>
      <c r="J914" s="14"/>
    </row>
    <row r="915" spans="9:10">
      <c r="I915" s="14"/>
      <c r="J915" s="14"/>
    </row>
    <row r="916" spans="9:10">
      <c r="I916" s="14"/>
      <c r="J916" s="14"/>
    </row>
    <row r="917" spans="9:10">
      <c r="I917" s="14"/>
      <c r="J917" s="14"/>
    </row>
    <row r="918" spans="9:10">
      <c r="I918" s="14"/>
      <c r="J918" s="14"/>
    </row>
    <row r="919" spans="9:10">
      <c r="I919" s="14"/>
      <c r="J919" s="14"/>
    </row>
    <row r="920" spans="9:10">
      <c r="I920" s="14"/>
      <c r="J920" s="14"/>
    </row>
    <row r="921" spans="9:10">
      <c r="I921" s="14"/>
      <c r="J921" s="14"/>
    </row>
    <row r="922" spans="9:10">
      <c r="I922" s="14"/>
      <c r="J922" s="14"/>
    </row>
    <row r="923" spans="9:10">
      <c r="I923" s="14"/>
      <c r="J923" s="14"/>
    </row>
    <row r="924" spans="9:10">
      <c r="I924" s="14"/>
      <c r="J924" s="14"/>
    </row>
    <row r="925" spans="9:10">
      <c r="I925" s="14"/>
      <c r="J925" s="14"/>
    </row>
    <row r="926" spans="9:10">
      <c r="I926" s="14"/>
      <c r="J926" s="14"/>
    </row>
    <row r="927" spans="9:10">
      <c r="I927" s="14"/>
      <c r="J927" s="14"/>
    </row>
    <row r="928" spans="9:10">
      <c r="I928" s="14"/>
      <c r="J928" s="14"/>
    </row>
    <row r="929" spans="9:10">
      <c r="I929" s="14"/>
      <c r="J929" s="14"/>
    </row>
    <row r="930" spans="9:10">
      <c r="I930" s="14"/>
      <c r="J930" s="14"/>
    </row>
    <row r="931" spans="9:10">
      <c r="I931" s="14"/>
      <c r="J931" s="14"/>
    </row>
    <row r="932" spans="9:10">
      <c r="I932" s="14"/>
      <c r="J932" s="14"/>
    </row>
    <row r="933" spans="9:10">
      <c r="I933" s="14"/>
      <c r="J933" s="14"/>
    </row>
    <row r="934" spans="9:10">
      <c r="I934" s="14"/>
      <c r="J934" s="14"/>
    </row>
    <row r="935" spans="9:10">
      <c r="I935" s="14"/>
      <c r="J935" s="14"/>
    </row>
    <row r="936" spans="9:10">
      <c r="I936" s="14"/>
      <c r="J936" s="14"/>
    </row>
    <row r="937" spans="9:10">
      <c r="I937" s="14"/>
      <c r="J937" s="14"/>
    </row>
    <row r="938" spans="9:10">
      <c r="I938" s="14"/>
      <c r="J938" s="14"/>
    </row>
    <row r="939" spans="9:10">
      <c r="I939" s="14"/>
      <c r="J939" s="14"/>
    </row>
    <row r="940" spans="9:10">
      <c r="I940" s="14"/>
      <c r="J940" s="14"/>
    </row>
    <row r="941" spans="9:10">
      <c r="I941" s="14"/>
      <c r="J941" s="14"/>
    </row>
    <row r="942" spans="9:10">
      <c r="I942" s="14"/>
      <c r="J942" s="14"/>
    </row>
    <row r="943" spans="9:10">
      <c r="I943" s="14"/>
      <c r="J943" s="14"/>
    </row>
    <row r="944" spans="9:10">
      <c r="I944" s="14"/>
      <c r="J944" s="14"/>
    </row>
    <row r="945" spans="9:10">
      <c r="I945" s="14"/>
      <c r="J945" s="14"/>
    </row>
    <row r="946" spans="9:10">
      <c r="I946" s="14"/>
      <c r="J946" s="14"/>
    </row>
    <row r="947" spans="9:10">
      <c r="I947" s="14"/>
      <c r="J947" s="14"/>
    </row>
    <row r="948" spans="9:10">
      <c r="I948" s="14"/>
      <c r="J948" s="14"/>
    </row>
    <row r="949" spans="9:10">
      <c r="I949" s="14"/>
      <c r="J949" s="14"/>
    </row>
    <row r="950" spans="9:10">
      <c r="I950" s="14"/>
      <c r="J950" s="14"/>
    </row>
    <row r="951" spans="9:10">
      <c r="I951" s="14"/>
      <c r="J951" s="14"/>
    </row>
    <row r="952" spans="9:10">
      <c r="I952" s="14"/>
      <c r="J952" s="14"/>
    </row>
    <row r="953" spans="9:10">
      <c r="I953" s="14"/>
      <c r="J953" s="14"/>
    </row>
    <row r="954" spans="9:10">
      <c r="I954" s="14"/>
      <c r="J954" s="14"/>
    </row>
    <row r="955" spans="9:10">
      <c r="I955" s="14"/>
      <c r="J955" s="14"/>
    </row>
    <row r="956" spans="9:10">
      <c r="I956" s="14"/>
      <c r="J956" s="14"/>
    </row>
    <row r="957" spans="9:10">
      <c r="I957" s="14"/>
      <c r="J957" s="14"/>
    </row>
    <row r="958" spans="9:10">
      <c r="I958" s="14"/>
      <c r="J958" s="14"/>
    </row>
    <row r="959" spans="9:10">
      <c r="I959" s="14"/>
      <c r="J959" s="14"/>
    </row>
    <row r="960" spans="9:10">
      <c r="I960" s="14"/>
      <c r="J960" s="14"/>
    </row>
    <row r="961" spans="9:10">
      <c r="I961" s="14"/>
      <c r="J961" s="14"/>
    </row>
    <row r="962" spans="9:10">
      <c r="I962" s="14"/>
      <c r="J962" s="14"/>
    </row>
    <row r="963" spans="9:10">
      <c r="I963" s="14"/>
      <c r="J963" s="14"/>
    </row>
    <row r="964" spans="9:10">
      <c r="I964" s="14"/>
      <c r="J964" s="14"/>
    </row>
    <row r="965" spans="9:10">
      <c r="I965" s="14"/>
      <c r="J965" s="14"/>
    </row>
    <row r="966" spans="9:10">
      <c r="I966" s="14"/>
      <c r="J966" s="14"/>
    </row>
    <row r="967" spans="9:10">
      <c r="I967" s="14"/>
      <c r="J967" s="14"/>
    </row>
    <row r="968" spans="9:10">
      <c r="I968" s="14"/>
      <c r="J968" s="14"/>
    </row>
    <row r="969" spans="9:10">
      <c r="I969" s="14"/>
      <c r="J969" s="14"/>
    </row>
    <row r="970" spans="9:10">
      <c r="I970" s="14"/>
      <c r="J970" s="14"/>
    </row>
    <row r="971" spans="9:10">
      <c r="I971" s="14"/>
      <c r="J971" s="14"/>
    </row>
    <row r="972" spans="9:10">
      <c r="I972" s="14"/>
      <c r="J972" s="14"/>
    </row>
    <row r="973" spans="9:10">
      <c r="I973" s="14"/>
      <c r="J973" s="14"/>
    </row>
    <row r="974" spans="9:10">
      <c r="I974" s="14"/>
      <c r="J974" s="14"/>
    </row>
    <row r="975" spans="9:10">
      <c r="I975" s="14"/>
      <c r="J975" s="14"/>
    </row>
    <row r="976" spans="9:10">
      <c r="I976" s="14"/>
      <c r="J976" s="14"/>
    </row>
    <row r="977" spans="9:10">
      <c r="I977" s="14"/>
      <c r="J977" s="14"/>
    </row>
    <row r="978" spans="9:10">
      <c r="I978" s="14"/>
      <c r="J978" s="14"/>
    </row>
    <row r="979" spans="9:10">
      <c r="I979" s="14"/>
      <c r="J979" s="14"/>
    </row>
    <row r="980" spans="9:10">
      <c r="I980" s="14"/>
      <c r="J980" s="14"/>
    </row>
    <row r="981" spans="9:10">
      <c r="I981" s="14"/>
      <c r="J981" s="14"/>
    </row>
    <row r="982" spans="9:10">
      <c r="I982" s="14"/>
      <c r="J982" s="14"/>
    </row>
    <row r="983" spans="9:10">
      <c r="I983" s="14"/>
      <c r="J983" s="14"/>
    </row>
    <row r="984" spans="9:10">
      <c r="I984" s="14"/>
      <c r="J984" s="14"/>
    </row>
    <row r="985" spans="9:10">
      <c r="I985" s="14"/>
      <c r="J985" s="14"/>
    </row>
    <row r="986" spans="9:10">
      <c r="I986" s="14"/>
      <c r="J986" s="14"/>
    </row>
    <row r="987" spans="9:10">
      <c r="I987" s="14"/>
      <c r="J987" s="14"/>
    </row>
    <row r="988" spans="9:10">
      <c r="I988" s="14"/>
      <c r="J988" s="14"/>
    </row>
    <row r="989" spans="9:10">
      <c r="I989" s="14"/>
      <c r="J989" s="14"/>
    </row>
    <row r="990" spans="9:10">
      <c r="I990" s="14"/>
      <c r="J990" s="14"/>
    </row>
    <row r="991" spans="9:10">
      <c r="I991" s="14"/>
      <c r="J991" s="14"/>
    </row>
    <row r="992" spans="9:10">
      <c r="I992" s="14"/>
      <c r="J992" s="14"/>
    </row>
    <row r="993" spans="9:10">
      <c r="I993" s="14"/>
      <c r="J993" s="14"/>
    </row>
    <row r="994" spans="9:10">
      <c r="I994" s="14"/>
      <c r="J994" s="14"/>
    </row>
    <row r="995" spans="9:10">
      <c r="I995" s="14"/>
      <c r="J995" s="14"/>
    </row>
    <row r="996" spans="9:10">
      <c r="I996" s="14"/>
      <c r="J996" s="14"/>
    </row>
    <row r="997" spans="9:10">
      <c r="I997" s="14"/>
      <c r="J997" s="14"/>
    </row>
    <row r="998" spans="9:10">
      <c r="I998" s="14"/>
      <c r="J998" s="14"/>
    </row>
    <row r="999" spans="9:10">
      <c r="I999" s="14"/>
      <c r="J999" s="14"/>
    </row>
    <row r="1000" spans="9:10">
      <c r="I1000" s="14"/>
      <c r="J1000" s="14"/>
    </row>
    <row r="1001" spans="9:10">
      <c r="I1001" s="14"/>
      <c r="J1001" s="14"/>
    </row>
    <row r="1002" spans="9:10">
      <c r="I1002" s="14"/>
      <c r="J1002" s="14"/>
    </row>
    <row r="1003" spans="9:10">
      <c r="I1003" s="14"/>
      <c r="J1003" s="14"/>
    </row>
    <row r="1004" spans="9:10">
      <c r="I1004" s="14"/>
      <c r="J1004" s="14"/>
    </row>
    <row r="1005" spans="9:10">
      <c r="I1005" s="14"/>
      <c r="J1005" s="14"/>
    </row>
    <row r="1006" spans="9:10">
      <c r="I1006" s="14"/>
      <c r="J1006" s="14"/>
    </row>
    <row r="1007" spans="9:10">
      <c r="I1007" s="14"/>
      <c r="J1007" s="14"/>
    </row>
    <row r="1008" spans="9:10">
      <c r="I1008" s="14"/>
      <c r="J1008" s="14"/>
    </row>
    <row r="1009" spans="9:10">
      <c r="I1009" s="14"/>
      <c r="J1009" s="14"/>
    </row>
    <row r="1010" spans="9:10">
      <c r="I1010" s="14"/>
      <c r="J1010" s="14"/>
    </row>
    <row r="1011" spans="9:10">
      <c r="I1011" s="14"/>
      <c r="J1011" s="14"/>
    </row>
    <row r="1012" spans="9:10">
      <c r="I1012" s="14"/>
      <c r="J1012" s="14"/>
    </row>
    <row r="1013" spans="9:10">
      <c r="I1013" s="14"/>
      <c r="J1013" s="14"/>
    </row>
    <row r="1014" spans="9:10">
      <c r="I1014" s="14"/>
      <c r="J1014" s="14"/>
    </row>
    <row r="1015" spans="9:10">
      <c r="I1015" s="14"/>
      <c r="J1015" s="14"/>
    </row>
    <row r="1016" spans="9:10">
      <c r="I1016" s="14"/>
      <c r="J1016" s="14"/>
    </row>
    <row r="1017" spans="9:10">
      <c r="I1017" s="14"/>
      <c r="J1017" s="14"/>
    </row>
    <row r="1018" spans="9:10">
      <c r="I1018" s="14"/>
      <c r="J1018" s="14"/>
    </row>
    <row r="1019" spans="9:10">
      <c r="I1019" s="14"/>
      <c r="J1019" s="14"/>
    </row>
    <row r="1020" spans="9:10">
      <c r="I1020" s="14"/>
      <c r="J1020" s="14"/>
    </row>
    <row r="1021" spans="9:10">
      <c r="I1021" s="14"/>
      <c r="J1021" s="14"/>
    </row>
    <row r="1022" spans="9:10">
      <c r="I1022" s="14"/>
      <c r="J1022" s="14"/>
    </row>
    <row r="1023" spans="9:10">
      <c r="I1023" s="14"/>
      <c r="J1023" s="14"/>
    </row>
    <row r="1024" spans="9:10">
      <c r="I1024" s="14"/>
      <c r="J1024" s="14"/>
    </row>
    <row r="1025" spans="9:10">
      <c r="I1025" s="14"/>
      <c r="J1025" s="14"/>
    </row>
    <row r="1026" spans="9:10">
      <c r="I1026" s="14"/>
      <c r="J1026" s="14"/>
    </row>
    <row r="1027" spans="9:10">
      <c r="I1027" s="14"/>
      <c r="J1027" s="14"/>
    </row>
    <row r="1028" spans="9:10">
      <c r="I1028" s="14"/>
      <c r="J1028" s="14"/>
    </row>
    <row r="1029" spans="9:10">
      <c r="I1029" s="14"/>
      <c r="J1029" s="14"/>
    </row>
    <row r="1030" spans="9:10">
      <c r="I1030" s="14"/>
      <c r="J1030" s="14"/>
    </row>
    <row r="1031" spans="9:10">
      <c r="I1031" s="14"/>
      <c r="J1031" s="14"/>
    </row>
    <row r="1032" spans="9:10">
      <c r="I1032" s="14"/>
      <c r="J1032" s="14"/>
    </row>
    <row r="1033" spans="9:10">
      <c r="I1033" s="14"/>
      <c r="J1033" s="14"/>
    </row>
    <row r="1034" spans="9:10">
      <c r="I1034" s="14"/>
      <c r="J1034" s="14"/>
    </row>
    <row r="1035" spans="9:10">
      <c r="I1035" s="14"/>
      <c r="J1035" s="14"/>
    </row>
    <row r="1036" spans="9:10">
      <c r="I1036" s="14"/>
      <c r="J1036" s="14"/>
    </row>
    <row r="1037" spans="9:10">
      <c r="I1037" s="14"/>
      <c r="J1037" s="14"/>
    </row>
    <row r="1038" spans="9:10">
      <c r="I1038" s="14"/>
      <c r="J1038" s="14"/>
    </row>
    <row r="1039" spans="9:10">
      <c r="I1039" s="14"/>
      <c r="J1039" s="14"/>
    </row>
    <row r="1040" spans="9:10">
      <c r="I1040" s="14"/>
      <c r="J1040" s="14"/>
    </row>
    <row r="1041" spans="9:10">
      <c r="I1041" s="14"/>
      <c r="J1041" s="14"/>
    </row>
    <row r="1042" spans="9:10">
      <c r="I1042" s="14"/>
      <c r="J1042" s="14"/>
    </row>
    <row r="1043" spans="9:10">
      <c r="I1043" s="14"/>
      <c r="J1043" s="14"/>
    </row>
    <row r="1044" spans="9:10">
      <c r="I1044" s="14"/>
      <c r="J1044" s="14"/>
    </row>
    <row r="1045" spans="9:10">
      <c r="I1045" s="14"/>
      <c r="J1045" s="14"/>
    </row>
    <row r="1046" spans="9:10">
      <c r="I1046" s="14"/>
      <c r="J1046" s="14"/>
    </row>
    <row r="1047" spans="9:10">
      <c r="I1047" s="14"/>
      <c r="J1047" s="14"/>
    </row>
    <row r="1048" spans="9:10">
      <c r="I1048" s="14"/>
      <c r="J1048" s="14"/>
    </row>
    <row r="1049" spans="9:10">
      <c r="I1049" s="14"/>
      <c r="J1049" s="14"/>
    </row>
    <row r="1050" spans="9:10">
      <c r="I1050" s="14"/>
      <c r="J1050" s="14"/>
    </row>
    <row r="1051" spans="9:10">
      <c r="I1051" s="14"/>
      <c r="J1051" s="14"/>
    </row>
    <row r="1052" spans="9:10">
      <c r="I1052" s="14"/>
      <c r="J1052" s="14"/>
    </row>
    <row r="1053" spans="9:10">
      <c r="I1053" s="14"/>
      <c r="J1053" s="14"/>
    </row>
    <row r="1054" spans="9:10">
      <c r="I1054" s="14"/>
      <c r="J1054" s="14"/>
    </row>
    <row r="1055" spans="9:10">
      <c r="I1055" s="14"/>
      <c r="J1055" s="14"/>
    </row>
    <row r="1056" spans="9:10">
      <c r="I1056" s="14"/>
      <c r="J1056" s="14"/>
    </row>
    <row r="1057" spans="9:10">
      <c r="I1057" s="14"/>
      <c r="J1057" s="14"/>
    </row>
    <row r="1058" spans="9:10">
      <c r="I1058" s="14"/>
      <c r="J1058" s="14"/>
    </row>
    <row r="1059" spans="9:10">
      <c r="I1059" s="14"/>
      <c r="J1059" s="14"/>
    </row>
    <row r="1060" spans="9:10">
      <c r="I1060" s="14"/>
      <c r="J1060" s="14"/>
    </row>
    <row r="1061" spans="9:10">
      <c r="I1061" s="14"/>
      <c r="J1061" s="14"/>
    </row>
    <row r="1062" spans="9:10">
      <c r="I1062" s="14"/>
      <c r="J1062" s="14"/>
    </row>
    <row r="1063" spans="9:10">
      <c r="I1063" s="14"/>
      <c r="J1063" s="14"/>
    </row>
    <row r="1064" spans="9:10">
      <c r="I1064" s="14"/>
      <c r="J1064" s="14"/>
    </row>
    <row r="1065" spans="9:10">
      <c r="I1065" s="14"/>
      <c r="J1065" s="14"/>
    </row>
    <row r="1066" spans="9:10">
      <c r="I1066" s="14"/>
      <c r="J1066" s="14"/>
    </row>
    <row r="1067" spans="9:10">
      <c r="I1067" s="14"/>
      <c r="J1067" s="14"/>
    </row>
    <row r="1068" spans="9:10">
      <c r="I1068" s="14"/>
      <c r="J1068" s="14"/>
    </row>
    <row r="1069" spans="9:10">
      <c r="I1069" s="14"/>
      <c r="J1069" s="14"/>
    </row>
    <row r="1070" spans="9:10">
      <c r="I1070" s="14"/>
      <c r="J1070" s="14"/>
    </row>
    <row r="1071" spans="9:10">
      <c r="I1071" s="14"/>
      <c r="J1071" s="14"/>
    </row>
    <row r="1072" spans="9:10">
      <c r="I1072" s="14"/>
      <c r="J1072" s="14"/>
    </row>
    <row r="1073" spans="9:10">
      <c r="I1073" s="14"/>
      <c r="J1073" s="14"/>
    </row>
    <row r="1074" spans="9:10">
      <c r="I1074" s="14"/>
      <c r="J1074" s="14"/>
    </row>
    <row r="1075" spans="9:10">
      <c r="I1075" s="14"/>
      <c r="J1075" s="14"/>
    </row>
    <row r="1076" spans="9:10">
      <c r="I1076" s="14"/>
      <c r="J1076" s="14"/>
    </row>
    <row r="1077" spans="9:10">
      <c r="I1077" s="14"/>
      <c r="J1077" s="14"/>
    </row>
    <row r="1078" spans="9:10">
      <c r="I1078" s="14"/>
      <c r="J1078" s="14"/>
    </row>
    <row r="1079" spans="9:10">
      <c r="I1079" s="14"/>
      <c r="J1079" s="14"/>
    </row>
    <row r="1080" spans="9:10">
      <c r="I1080" s="14"/>
      <c r="J1080" s="14"/>
    </row>
    <row r="1081" spans="9:10">
      <c r="I1081" s="14"/>
      <c r="J1081" s="14"/>
    </row>
    <row r="1082" spans="9:10">
      <c r="I1082" s="14"/>
      <c r="J1082" s="14"/>
    </row>
    <row r="1083" spans="9:10">
      <c r="I1083" s="14"/>
      <c r="J1083" s="14"/>
    </row>
    <row r="1084" spans="9:10">
      <c r="I1084" s="14"/>
      <c r="J1084" s="14"/>
    </row>
    <row r="1085" spans="9:10">
      <c r="I1085" s="14"/>
      <c r="J1085" s="14"/>
    </row>
    <row r="1086" spans="9:10">
      <c r="I1086" s="14"/>
      <c r="J1086" s="14"/>
    </row>
    <row r="1087" spans="9:10">
      <c r="I1087" s="14"/>
      <c r="J1087" s="14"/>
    </row>
    <row r="1088" spans="9:10">
      <c r="I1088" s="14"/>
      <c r="J1088" s="14"/>
    </row>
    <row r="1089" spans="9:10">
      <c r="I1089" s="14"/>
      <c r="J1089" s="14"/>
    </row>
    <row r="1090" spans="9:10">
      <c r="I1090" s="14"/>
      <c r="J1090" s="14"/>
    </row>
    <row r="1091" spans="9:10">
      <c r="I1091" s="14"/>
      <c r="J1091" s="14"/>
    </row>
    <row r="1092" spans="9:10">
      <c r="I1092" s="14"/>
      <c r="J1092" s="14"/>
    </row>
    <row r="1093" spans="9:10">
      <c r="I1093" s="14"/>
      <c r="J1093" s="14"/>
    </row>
    <row r="1094" spans="9:10">
      <c r="I1094" s="14"/>
      <c r="J1094" s="14"/>
    </row>
    <row r="1095" spans="9:10">
      <c r="I1095" s="14"/>
      <c r="J1095" s="14"/>
    </row>
    <row r="1096" spans="9:10">
      <c r="I1096" s="14"/>
      <c r="J1096" s="14"/>
    </row>
    <row r="1097" spans="9:10">
      <c r="I1097" s="14"/>
      <c r="J1097" s="14"/>
    </row>
    <row r="1098" spans="9:10">
      <c r="I1098" s="14"/>
      <c r="J1098" s="14"/>
    </row>
    <row r="1099" spans="9:10">
      <c r="I1099" s="14"/>
      <c r="J1099" s="14"/>
    </row>
    <row r="1100" spans="9:10">
      <c r="I1100" s="14"/>
      <c r="J1100" s="14"/>
    </row>
    <row r="1101" spans="9:10">
      <c r="I1101" s="14"/>
      <c r="J1101" s="14"/>
    </row>
    <row r="1102" spans="9:10">
      <c r="I1102" s="14"/>
      <c r="J1102" s="14"/>
    </row>
    <row r="1103" spans="9:10">
      <c r="I1103" s="14"/>
      <c r="J1103" s="14"/>
    </row>
    <row r="1104" spans="9:10">
      <c r="I1104" s="14"/>
      <c r="J1104" s="14"/>
    </row>
    <row r="1105" spans="9:10">
      <c r="I1105" s="14"/>
      <c r="J1105" s="14"/>
    </row>
    <row r="1106" spans="9:10">
      <c r="I1106" s="14"/>
      <c r="J1106" s="14"/>
    </row>
    <row r="1107" spans="9:10">
      <c r="I1107" s="14"/>
      <c r="J1107" s="14"/>
    </row>
    <row r="1108" spans="9:10">
      <c r="I1108" s="14"/>
      <c r="J1108" s="14"/>
    </row>
    <row r="1109" spans="9:10">
      <c r="I1109" s="14"/>
      <c r="J1109" s="14"/>
    </row>
    <row r="1110" spans="9:10">
      <c r="I1110" s="14"/>
      <c r="J1110" s="14"/>
    </row>
    <row r="1111" spans="9:10">
      <c r="I1111" s="14"/>
      <c r="J1111" s="14"/>
    </row>
    <row r="1112" spans="9:10">
      <c r="I1112" s="14"/>
      <c r="J1112" s="14"/>
    </row>
    <row r="1113" spans="9:10">
      <c r="I1113" s="14"/>
      <c r="J1113" s="14"/>
    </row>
    <row r="1114" spans="9:10">
      <c r="I1114" s="14"/>
      <c r="J1114" s="14"/>
    </row>
    <row r="1115" spans="9:10">
      <c r="I1115" s="14"/>
      <c r="J1115" s="14"/>
    </row>
    <row r="1116" spans="9:10">
      <c r="I1116" s="14"/>
      <c r="J1116" s="14"/>
    </row>
    <row r="1117" spans="9:10">
      <c r="I1117" s="14"/>
      <c r="J1117" s="14"/>
    </row>
    <row r="1118" spans="9:10">
      <c r="I1118" s="14"/>
      <c r="J1118" s="14"/>
    </row>
    <row r="1119" spans="9:10">
      <c r="I1119" s="14"/>
      <c r="J1119" s="14"/>
    </row>
    <row r="1120" spans="9:10">
      <c r="I1120" s="14"/>
      <c r="J1120" s="14"/>
    </row>
    <row r="1121" spans="9:10">
      <c r="I1121" s="14"/>
      <c r="J1121" s="14"/>
    </row>
    <row r="1122" spans="9:10">
      <c r="I1122" s="14"/>
      <c r="J1122" s="14"/>
    </row>
    <row r="1123" spans="9:10">
      <c r="I1123" s="14"/>
      <c r="J1123" s="14"/>
    </row>
    <row r="1124" spans="9:10">
      <c r="I1124" s="14"/>
      <c r="J1124" s="14"/>
    </row>
    <row r="1125" spans="9:10">
      <c r="I1125" s="14"/>
      <c r="J1125" s="14"/>
    </row>
    <row r="1126" spans="9:10">
      <c r="I1126" s="14"/>
      <c r="J1126" s="14"/>
    </row>
    <row r="1127" spans="9:10">
      <c r="I1127" s="14"/>
      <c r="J1127" s="14"/>
    </row>
    <row r="1128" spans="9:10">
      <c r="I1128" s="14"/>
      <c r="J1128" s="14"/>
    </row>
    <row r="1129" spans="9:10">
      <c r="I1129" s="14"/>
      <c r="J1129" s="14"/>
    </row>
    <row r="1130" spans="9:10">
      <c r="I1130" s="14"/>
      <c r="J1130" s="14"/>
    </row>
    <row r="1131" spans="9:10">
      <c r="I1131" s="14"/>
      <c r="J1131" s="14"/>
    </row>
    <row r="1132" spans="9:10">
      <c r="I1132" s="14"/>
      <c r="J1132" s="14"/>
    </row>
    <row r="1133" spans="9:10">
      <c r="I1133" s="14"/>
      <c r="J1133" s="14"/>
    </row>
    <row r="1134" spans="9:10">
      <c r="I1134" s="14"/>
      <c r="J1134" s="14"/>
    </row>
    <row r="1135" spans="9:10">
      <c r="I1135" s="14"/>
      <c r="J1135" s="14"/>
    </row>
    <row r="1136" spans="9:10">
      <c r="I1136" s="14"/>
      <c r="J1136" s="14"/>
    </row>
    <row r="1137" spans="9:10">
      <c r="I1137" s="14"/>
      <c r="J1137" s="14"/>
    </row>
    <row r="1138" spans="9:10">
      <c r="I1138" s="14"/>
      <c r="J1138" s="14"/>
    </row>
    <row r="1139" spans="9:10">
      <c r="I1139" s="14"/>
      <c r="J1139" s="14"/>
    </row>
    <row r="1140" spans="9:10">
      <c r="I1140" s="14"/>
      <c r="J1140" s="14"/>
    </row>
    <row r="1141" spans="9:10">
      <c r="I1141" s="14"/>
      <c r="J1141" s="14"/>
    </row>
    <row r="1142" spans="9:10">
      <c r="I1142" s="14"/>
      <c r="J1142" s="14"/>
    </row>
    <row r="1143" spans="9:10">
      <c r="I1143" s="14"/>
      <c r="J1143" s="14"/>
    </row>
    <row r="1144" spans="9:10">
      <c r="I1144" s="14"/>
      <c r="J1144" s="14"/>
    </row>
    <row r="1145" spans="9:10">
      <c r="I1145" s="14"/>
      <c r="J1145" s="14"/>
    </row>
    <row r="1146" spans="9:10">
      <c r="I1146" s="14"/>
      <c r="J1146" s="14"/>
    </row>
    <row r="1147" spans="9:10">
      <c r="I1147" s="14"/>
      <c r="J1147" s="14"/>
    </row>
    <row r="1148" spans="9:10">
      <c r="I1148" s="14"/>
      <c r="J1148" s="14"/>
    </row>
    <row r="1149" spans="9:10">
      <c r="I1149" s="14"/>
      <c r="J1149" s="14"/>
    </row>
    <row r="1150" spans="9:10">
      <c r="I1150" s="14"/>
      <c r="J1150" s="14"/>
    </row>
    <row r="1151" spans="9:10">
      <c r="I1151" s="14"/>
      <c r="J1151" s="14"/>
    </row>
    <row r="1152" spans="9:10">
      <c r="I1152" s="14"/>
      <c r="J1152" s="14"/>
    </row>
    <row r="1153" spans="9:10">
      <c r="I1153" s="14"/>
      <c r="J1153" s="14"/>
    </row>
    <row r="1154" spans="9:10">
      <c r="I1154" s="14"/>
      <c r="J1154" s="14"/>
    </row>
    <row r="1155" spans="9:10">
      <c r="I1155" s="14"/>
      <c r="J1155" s="14"/>
    </row>
    <row r="1156" spans="9:10">
      <c r="I1156" s="14"/>
      <c r="J1156" s="14"/>
    </row>
    <row r="1157" spans="9:10">
      <c r="I1157" s="14"/>
      <c r="J1157" s="14"/>
    </row>
    <row r="1158" spans="9:10">
      <c r="I1158" s="14"/>
      <c r="J1158" s="14"/>
    </row>
    <row r="1159" spans="9:10">
      <c r="I1159" s="14"/>
      <c r="J1159" s="14"/>
    </row>
    <row r="1160" spans="9:10">
      <c r="I1160" s="14"/>
      <c r="J1160" s="14"/>
    </row>
    <row r="1161" spans="9:10">
      <c r="I1161" s="14"/>
      <c r="J1161" s="14"/>
    </row>
    <row r="1162" spans="9:10">
      <c r="I1162" s="14"/>
      <c r="J1162" s="14"/>
    </row>
    <row r="1163" spans="9:10">
      <c r="I1163" s="14"/>
      <c r="J1163" s="14"/>
    </row>
    <row r="1164" spans="9:10">
      <c r="I1164" s="14"/>
      <c r="J1164" s="14"/>
    </row>
    <row r="1165" spans="9:10">
      <c r="I1165" s="14"/>
      <c r="J1165" s="14"/>
    </row>
    <row r="1166" spans="9:10">
      <c r="I1166" s="14"/>
      <c r="J1166" s="14"/>
    </row>
    <row r="1167" spans="9:10">
      <c r="I1167" s="14"/>
      <c r="J1167" s="14"/>
    </row>
    <row r="1168" spans="9:10">
      <c r="I1168" s="14"/>
      <c r="J1168" s="14"/>
    </row>
    <row r="1169" spans="9:10">
      <c r="I1169" s="14"/>
      <c r="J1169" s="14"/>
    </row>
    <row r="1170" spans="9:10">
      <c r="I1170" s="14"/>
      <c r="J1170" s="14"/>
    </row>
    <row r="1171" spans="9:10">
      <c r="I1171" s="14"/>
      <c r="J1171" s="14"/>
    </row>
    <row r="1172" spans="9:10">
      <c r="I1172" s="14"/>
      <c r="J1172" s="14"/>
    </row>
    <row r="1173" spans="9:10">
      <c r="I1173" s="14"/>
      <c r="J1173" s="14"/>
    </row>
    <row r="1174" spans="9:10">
      <c r="I1174" s="14"/>
      <c r="J1174" s="14"/>
    </row>
    <row r="1175" spans="9:10">
      <c r="I1175" s="14"/>
      <c r="J1175" s="14"/>
    </row>
    <row r="1176" spans="9:10">
      <c r="I1176" s="14"/>
      <c r="J1176" s="14"/>
    </row>
    <row r="1177" spans="9:10">
      <c r="I1177" s="14"/>
      <c r="J1177" s="14"/>
    </row>
    <row r="1178" spans="9:10">
      <c r="I1178" s="14"/>
      <c r="J1178" s="14"/>
    </row>
    <row r="1179" spans="9:10">
      <c r="I1179" s="14"/>
      <c r="J1179" s="14"/>
    </row>
    <row r="1180" spans="9:10">
      <c r="I1180" s="14"/>
      <c r="J1180" s="14"/>
    </row>
    <row r="1181" spans="9:10">
      <c r="I1181" s="14"/>
      <c r="J1181" s="14"/>
    </row>
    <row r="1182" spans="9:10">
      <c r="I1182" s="14"/>
      <c r="J1182" s="14"/>
    </row>
    <row r="1183" spans="9:10">
      <c r="I1183" s="14"/>
      <c r="J1183" s="14"/>
    </row>
    <row r="1184" spans="9:10">
      <c r="I1184" s="14"/>
      <c r="J1184" s="14"/>
    </row>
    <row r="1185" spans="9:10">
      <c r="I1185" s="14"/>
      <c r="J1185" s="14"/>
    </row>
    <row r="1186" spans="9:10">
      <c r="I1186" s="14"/>
      <c r="J1186" s="14"/>
    </row>
    <row r="1187" spans="9:10">
      <c r="I1187" s="14"/>
      <c r="J1187" s="14"/>
    </row>
    <row r="1188" spans="9:10">
      <c r="I1188" s="14"/>
      <c r="J1188" s="14"/>
    </row>
    <row r="1189" spans="9:10">
      <c r="I1189" s="14"/>
      <c r="J1189" s="14"/>
    </row>
    <row r="1190" spans="9:10">
      <c r="I1190" s="14"/>
      <c r="J1190" s="14"/>
    </row>
    <row r="1191" spans="9:10">
      <c r="I1191" s="14"/>
      <c r="J1191" s="14"/>
    </row>
    <row r="1192" spans="9:10">
      <c r="I1192" s="14"/>
      <c r="J1192" s="14"/>
    </row>
    <row r="1193" spans="9:10">
      <c r="I1193" s="14"/>
      <c r="J1193" s="14"/>
    </row>
    <row r="1194" spans="9:10">
      <c r="I1194" s="14"/>
      <c r="J1194" s="14"/>
    </row>
    <row r="1195" spans="9:10">
      <c r="I1195" s="14"/>
      <c r="J1195" s="14"/>
    </row>
    <row r="1196" spans="9:10">
      <c r="I1196" s="14"/>
      <c r="J1196" s="14"/>
    </row>
    <row r="1197" spans="9:10">
      <c r="I1197" s="14"/>
      <c r="J1197" s="14"/>
    </row>
    <row r="1198" spans="9:10">
      <c r="I1198" s="14"/>
      <c r="J1198" s="14"/>
    </row>
    <row r="1199" spans="9:10">
      <c r="I1199" s="14"/>
      <c r="J1199" s="14"/>
    </row>
    <row r="1200" spans="9:10">
      <c r="I1200" s="14"/>
      <c r="J1200" s="14"/>
    </row>
    <row r="1201" spans="9:10">
      <c r="I1201" s="14"/>
      <c r="J1201" s="14"/>
    </row>
    <row r="1202" spans="9:10">
      <c r="I1202" s="14"/>
      <c r="J1202" s="14"/>
    </row>
    <row r="1203" spans="9:10">
      <c r="I1203" s="14"/>
      <c r="J1203" s="14"/>
    </row>
    <row r="1204" spans="9:10">
      <c r="I1204" s="14"/>
      <c r="J1204" s="14"/>
    </row>
    <row r="1205" spans="9:10">
      <c r="I1205" s="14"/>
      <c r="J1205" s="14"/>
    </row>
    <row r="1206" spans="9:10">
      <c r="I1206" s="14"/>
      <c r="J1206" s="14"/>
    </row>
    <row r="1207" spans="9:10">
      <c r="I1207" s="14"/>
      <c r="J1207" s="14"/>
    </row>
    <row r="1208" spans="9:10">
      <c r="I1208" s="14"/>
      <c r="J1208" s="14"/>
    </row>
    <row r="1209" spans="9:10">
      <c r="I1209" s="14"/>
      <c r="J1209" s="14"/>
    </row>
    <row r="1210" spans="9:10">
      <c r="I1210" s="14"/>
      <c r="J1210" s="14"/>
    </row>
    <row r="1211" spans="9:10">
      <c r="I1211" s="14"/>
      <c r="J1211" s="14"/>
    </row>
    <row r="1212" spans="9:10">
      <c r="I1212" s="14"/>
      <c r="J1212" s="14"/>
    </row>
    <row r="1213" spans="9:10">
      <c r="I1213" s="14"/>
      <c r="J1213" s="14"/>
    </row>
    <row r="1214" spans="9:10">
      <c r="I1214" s="14"/>
      <c r="J1214" s="14"/>
    </row>
    <row r="1215" spans="9:10">
      <c r="I1215" s="14"/>
      <c r="J1215" s="14"/>
    </row>
    <row r="1216" spans="9:10">
      <c r="I1216" s="14"/>
      <c r="J1216" s="14"/>
    </row>
    <row r="1217" spans="9:10">
      <c r="I1217" s="14"/>
      <c r="J1217" s="14"/>
    </row>
    <row r="1218" spans="9:10">
      <c r="I1218" s="14"/>
      <c r="J1218" s="14"/>
    </row>
    <row r="1219" spans="9:10">
      <c r="I1219" s="14"/>
      <c r="J1219" s="14"/>
    </row>
    <row r="1220" spans="9:10">
      <c r="I1220" s="14"/>
      <c r="J1220" s="14"/>
    </row>
    <row r="1221" spans="9:10">
      <c r="I1221" s="14"/>
      <c r="J1221" s="14"/>
    </row>
    <row r="1222" spans="9:10">
      <c r="I1222" s="14"/>
      <c r="J1222" s="14"/>
    </row>
    <row r="1223" spans="9:10">
      <c r="I1223" s="14"/>
      <c r="J1223" s="14"/>
    </row>
    <row r="1224" spans="9:10">
      <c r="I1224" s="14"/>
      <c r="J1224" s="14"/>
    </row>
    <row r="1225" spans="9:10">
      <c r="I1225" s="14"/>
      <c r="J1225" s="14"/>
    </row>
    <row r="1226" spans="9:10">
      <c r="I1226" s="14"/>
      <c r="J1226" s="14"/>
    </row>
    <row r="1227" spans="9:10">
      <c r="I1227" s="14"/>
      <c r="J1227" s="14"/>
    </row>
    <row r="1228" spans="9:10">
      <c r="I1228" s="14"/>
      <c r="J1228" s="14"/>
    </row>
    <row r="1229" spans="9:10">
      <c r="I1229" s="14"/>
      <c r="J1229" s="14"/>
    </row>
    <row r="1230" spans="9:10">
      <c r="I1230" s="14"/>
      <c r="J1230" s="14"/>
    </row>
    <row r="1231" spans="9:10">
      <c r="I1231" s="14"/>
      <c r="J1231" s="14"/>
    </row>
    <row r="1232" spans="9:10">
      <c r="I1232" s="14"/>
      <c r="J1232" s="14"/>
    </row>
    <row r="1233" spans="9:10">
      <c r="I1233" s="14"/>
      <c r="J1233" s="14"/>
    </row>
    <row r="1234" spans="9:10">
      <c r="I1234" s="14"/>
      <c r="J1234" s="14"/>
    </row>
    <row r="1235" spans="9:10">
      <c r="I1235" s="14"/>
      <c r="J1235" s="14"/>
    </row>
    <row r="1236" spans="9:10">
      <c r="I1236" s="14"/>
      <c r="J1236" s="14"/>
    </row>
    <row r="1237" spans="9:10">
      <c r="I1237" s="14"/>
      <c r="J1237" s="14"/>
    </row>
    <row r="1238" spans="9:10">
      <c r="I1238" s="14"/>
      <c r="J1238" s="14"/>
    </row>
    <row r="1239" spans="9:10">
      <c r="I1239" s="14"/>
      <c r="J1239" s="14"/>
    </row>
    <row r="1240" spans="9:10">
      <c r="I1240" s="14"/>
      <c r="J1240" s="14"/>
    </row>
    <row r="1241" spans="9:10">
      <c r="I1241" s="14"/>
      <c r="J1241" s="14"/>
    </row>
    <row r="1242" spans="9:10">
      <c r="I1242" s="14"/>
      <c r="J1242" s="14"/>
    </row>
    <row r="1243" spans="9:10">
      <c r="I1243" s="14"/>
      <c r="J1243" s="14"/>
    </row>
    <row r="1244" spans="9:10">
      <c r="I1244" s="14"/>
      <c r="J1244" s="14"/>
    </row>
    <row r="1245" spans="9:10">
      <c r="I1245" s="14"/>
      <c r="J1245" s="14"/>
    </row>
    <row r="1246" spans="9:10">
      <c r="I1246" s="14"/>
      <c r="J1246" s="14"/>
    </row>
    <row r="1247" spans="9:10">
      <c r="I1247" s="14"/>
      <c r="J1247" s="14"/>
    </row>
    <row r="1248" spans="9:10">
      <c r="I1248" s="14"/>
      <c r="J1248" s="14"/>
    </row>
    <row r="1249" spans="9:10">
      <c r="I1249" s="14"/>
      <c r="J1249" s="14"/>
    </row>
    <row r="1250" spans="9:10">
      <c r="I1250" s="14"/>
      <c r="J1250" s="14"/>
    </row>
    <row r="1251" spans="9:10">
      <c r="I1251" s="14"/>
      <c r="J1251" s="14"/>
    </row>
    <row r="1252" spans="9:10">
      <c r="I1252" s="14"/>
      <c r="J1252" s="14"/>
    </row>
    <row r="1253" spans="9:10">
      <c r="I1253" s="14"/>
      <c r="J1253" s="14"/>
    </row>
    <row r="1254" spans="9:10">
      <c r="I1254" s="14"/>
      <c r="J1254" s="14"/>
    </row>
    <row r="1255" spans="9:10">
      <c r="I1255" s="14"/>
      <c r="J1255" s="14"/>
    </row>
    <row r="1256" spans="9:10">
      <c r="I1256" s="14"/>
      <c r="J1256" s="14"/>
    </row>
    <row r="1257" spans="9:10">
      <c r="I1257" s="14"/>
      <c r="J1257" s="14"/>
    </row>
    <row r="1258" spans="9:10">
      <c r="I1258" s="14"/>
      <c r="J1258" s="14"/>
    </row>
    <row r="1259" spans="9:10">
      <c r="I1259" s="14"/>
      <c r="J1259" s="14"/>
    </row>
    <row r="1260" spans="9:10">
      <c r="I1260" s="14"/>
      <c r="J1260" s="14"/>
    </row>
    <row r="1261" spans="9:10">
      <c r="I1261" s="14"/>
      <c r="J1261" s="14"/>
    </row>
    <row r="1262" spans="9:10">
      <c r="I1262" s="14"/>
      <c r="J1262" s="14"/>
    </row>
    <row r="1263" spans="9:10">
      <c r="I1263" s="14"/>
      <c r="J1263" s="14"/>
    </row>
    <row r="1264" spans="9:10">
      <c r="I1264" s="14"/>
      <c r="J1264" s="14"/>
    </row>
    <row r="1265" spans="9:10">
      <c r="I1265" s="14"/>
      <c r="J1265" s="14"/>
    </row>
    <row r="1266" spans="9:10">
      <c r="I1266" s="14"/>
      <c r="J1266" s="14"/>
    </row>
    <row r="1267" spans="9:10">
      <c r="I1267" s="14"/>
      <c r="J1267" s="14"/>
    </row>
    <row r="1268" spans="9:10">
      <c r="I1268" s="14"/>
      <c r="J1268" s="14"/>
    </row>
    <row r="1269" spans="9:10">
      <c r="I1269" s="14"/>
      <c r="J1269" s="14"/>
    </row>
    <row r="1270" spans="9:10">
      <c r="I1270" s="14"/>
      <c r="J1270" s="14"/>
    </row>
    <row r="1271" spans="9:10">
      <c r="I1271" s="14"/>
      <c r="J1271" s="14"/>
    </row>
    <row r="1272" spans="9:10">
      <c r="I1272" s="14"/>
      <c r="J1272" s="14"/>
    </row>
    <row r="1273" spans="9:10">
      <c r="I1273" s="14"/>
      <c r="J1273" s="14"/>
    </row>
    <row r="1274" spans="9:10">
      <c r="I1274" s="14"/>
      <c r="J1274" s="14"/>
    </row>
    <row r="1275" spans="9:10">
      <c r="I1275" s="14"/>
      <c r="J1275" s="14"/>
    </row>
    <row r="1276" spans="9:10">
      <c r="I1276" s="14"/>
      <c r="J1276" s="14"/>
    </row>
    <row r="1277" spans="9:10">
      <c r="I1277" s="14"/>
      <c r="J1277" s="14"/>
    </row>
    <row r="1278" spans="9:10">
      <c r="I1278" s="14"/>
      <c r="J1278" s="14"/>
    </row>
    <row r="1279" spans="9:10">
      <c r="I1279" s="14"/>
      <c r="J1279" s="14"/>
    </row>
    <row r="1280" spans="9:10">
      <c r="I1280" s="14"/>
      <c r="J1280" s="14"/>
    </row>
    <row r="1281" spans="9:10">
      <c r="I1281" s="14"/>
      <c r="J1281" s="14"/>
    </row>
    <row r="1282" spans="9:10">
      <c r="I1282" s="14"/>
      <c r="J1282" s="14"/>
    </row>
    <row r="1283" spans="9:10">
      <c r="I1283" s="14"/>
      <c r="J1283" s="14"/>
    </row>
    <row r="1284" spans="9:10">
      <c r="I1284" s="14"/>
      <c r="J1284" s="14"/>
    </row>
    <row r="1285" spans="9:10">
      <c r="I1285" s="14"/>
      <c r="J1285" s="14"/>
    </row>
    <row r="1286" spans="9:10">
      <c r="I1286" s="14"/>
      <c r="J1286" s="14"/>
    </row>
    <row r="1287" spans="9:10">
      <c r="I1287" s="14"/>
      <c r="J1287" s="14"/>
    </row>
    <row r="1288" spans="9:10">
      <c r="I1288" s="14"/>
      <c r="J1288" s="14"/>
    </row>
    <row r="1289" spans="9:10">
      <c r="I1289" s="14"/>
      <c r="J1289" s="14"/>
    </row>
    <row r="1290" spans="9:10">
      <c r="I1290" s="14"/>
      <c r="J1290" s="14"/>
    </row>
    <row r="1291" spans="9:10">
      <c r="I1291" s="14"/>
      <c r="J1291" s="14"/>
    </row>
    <row r="1292" spans="9:10">
      <c r="I1292" s="14"/>
      <c r="J1292" s="14"/>
    </row>
    <row r="1293" spans="9:10">
      <c r="I1293" s="14"/>
      <c r="J1293" s="14"/>
    </row>
    <row r="1294" spans="9:10">
      <c r="I1294" s="14"/>
      <c r="J1294" s="14"/>
    </row>
    <row r="1295" spans="9:10">
      <c r="I1295" s="14"/>
      <c r="J1295" s="14"/>
    </row>
    <row r="1296" spans="9:10">
      <c r="I1296" s="14"/>
      <c r="J1296" s="14"/>
    </row>
    <row r="1297" spans="9:10">
      <c r="I1297" s="14"/>
      <c r="J1297" s="14"/>
    </row>
    <row r="1298" spans="9:10">
      <c r="I1298" s="14"/>
      <c r="J1298" s="14"/>
    </row>
    <row r="1299" spans="9:10">
      <c r="I1299" s="14"/>
      <c r="J1299" s="14"/>
    </row>
    <row r="1300" spans="9:10">
      <c r="I1300" s="14"/>
      <c r="J1300" s="14"/>
    </row>
    <row r="1301" spans="9:10">
      <c r="I1301" s="14"/>
      <c r="J1301" s="14"/>
    </row>
    <row r="1302" spans="9:10">
      <c r="I1302" s="14"/>
      <c r="J1302" s="14"/>
    </row>
    <row r="1303" spans="9:10">
      <c r="I1303" s="14"/>
      <c r="J1303" s="14"/>
    </row>
    <row r="1304" spans="9:10">
      <c r="I1304" s="14"/>
      <c r="J1304" s="14"/>
    </row>
    <row r="1305" spans="9:10">
      <c r="I1305" s="14"/>
      <c r="J1305" s="14"/>
    </row>
    <row r="1306" spans="9:10">
      <c r="I1306" s="14"/>
      <c r="J1306" s="14"/>
    </row>
    <row r="1307" spans="9:10">
      <c r="I1307" s="14"/>
      <c r="J1307" s="14"/>
    </row>
    <row r="1308" spans="9:10">
      <c r="I1308" s="14"/>
      <c r="J1308" s="14"/>
    </row>
    <row r="1309" spans="9:10">
      <c r="I1309" s="14"/>
      <c r="J1309" s="14"/>
    </row>
    <row r="1310" spans="9:10">
      <c r="I1310" s="14"/>
      <c r="J1310" s="14"/>
    </row>
    <row r="1311" spans="9:10">
      <c r="I1311" s="14"/>
      <c r="J1311" s="14"/>
    </row>
    <row r="1312" spans="9:10">
      <c r="I1312" s="14"/>
      <c r="J1312" s="14"/>
    </row>
    <row r="1313" spans="9:10">
      <c r="I1313" s="14"/>
      <c r="J1313" s="14"/>
    </row>
    <row r="1314" spans="9:10">
      <c r="I1314" s="14"/>
      <c r="J1314" s="14"/>
    </row>
    <row r="1315" spans="9:10">
      <c r="I1315" s="14"/>
      <c r="J1315" s="14"/>
    </row>
    <row r="1316" spans="9:10">
      <c r="I1316" s="14"/>
      <c r="J1316" s="14"/>
    </row>
    <row r="1317" spans="9:10">
      <c r="I1317" s="14"/>
      <c r="J1317" s="14"/>
    </row>
    <row r="1318" spans="9:10">
      <c r="I1318" s="14"/>
      <c r="J1318" s="14"/>
    </row>
    <row r="1319" spans="9:10">
      <c r="I1319" s="14"/>
      <c r="J1319" s="14"/>
    </row>
    <row r="1320" spans="9:10">
      <c r="I1320" s="14"/>
      <c r="J1320" s="14"/>
    </row>
    <row r="1321" spans="9:10">
      <c r="I1321" s="14"/>
      <c r="J1321" s="14"/>
    </row>
    <row r="1322" spans="9:10">
      <c r="I1322" s="14"/>
      <c r="J1322" s="14"/>
    </row>
    <row r="1323" spans="9:10">
      <c r="I1323" s="14"/>
      <c r="J1323" s="14"/>
    </row>
    <row r="1324" spans="9:10">
      <c r="I1324" s="14"/>
      <c r="J1324" s="14"/>
    </row>
    <row r="1325" spans="9:10">
      <c r="I1325" s="14"/>
      <c r="J1325" s="14"/>
    </row>
    <row r="1326" spans="9:10">
      <c r="I1326" s="14"/>
      <c r="J1326" s="14"/>
    </row>
    <row r="1327" spans="9:10">
      <c r="I1327" s="14"/>
      <c r="J1327" s="14"/>
    </row>
    <row r="1328" spans="9:10">
      <c r="I1328" s="14"/>
      <c r="J1328" s="14"/>
    </row>
    <row r="1329" spans="9:10">
      <c r="I1329" s="14"/>
      <c r="J1329" s="14"/>
    </row>
    <row r="1330" spans="9:10">
      <c r="I1330" s="14"/>
      <c r="J1330" s="14"/>
    </row>
    <row r="1331" spans="9:10">
      <c r="I1331" s="14"/>
      <c r="J1331" s="14"/>
    </row>
    <row r="1332" spans="9:10">
      <c r="I1332" s="14"/>
      <c r="J1332" s="14"/>
    </row>
    <row r="1333" spans="9:10">
      <c r="I1333" s="14"/>
      <c r="J1333" s="14"/>
    </row>
    <row r="1334" spans="9:10">
      <c r="I1334" s="14"/>
      <c r="J1334" s="14"/>
    </row>
    <row r="1335" spans="9:10">
      <c r="I1335" s="14"/>
      <c r="J1335" s="14"/>
    </row>
    <row r="1336" spans="9:10">
      <c r="I1336" s="14"/>
      <c r="J1336" s="14"/>
    </row>
    <row r="1337" spans="9:10">
      <c r="I1337" s="14"/>
      <c r="J1337" s="14"/>
    </row>
    <row r="1338" spans="9:10">
      <c r="I1338" s="14"/>
      <c r="J1338" s="14"/>
    </row>
    <row r="1339" spans="9:10">
      <c r="I1339" s="14"/>
      <c r="J1339" s="14"/>
    </row>
    <row r="1340" spans="9:10">
      <c r="I1340" s="14"/>
      <c r="J1340" s="14"/>
    </row>
    <row r="1341" spans="9:10">
      <c r="I1341" s="14"/>
      <c r="J1341" s="14"/>
    </row>
    <row r="1342" spans="9:10">
      <c r="I1342" s="14"/>
      <c r="J1342" s="14"/>
    </row>
    <row r="1343" spans="9:10">
      <c r="I1343" s="14"/>
      <c r="J1343" s="14"/>
    </row>
    <row r="1344" spans="9:10">
      <c r="I1344" s="14"/>
      <c r="J1344" s="14"/>
    </row>
    <row r="1345" spans="9:10">
      <c r="I1345" s="14"/>
      <c r="J1345" s="14"/>
    </row>
    <row r="1346" spans="9:10">
      <c r="I1346" s="14"/>
      <c r="J1346" s="14"/>
    </row>
    <row r="1347" spans="9:10">
      <c r="I1347" s="14"/>
      <c r="J1347" s="14"/>
    </row>
    <row r="1348" spans="9:10">
      <c r="I1348" s="14"/>
      <c r="J1348" s="14"/>
    </row>
    <row r="1349" spans="9:10">
      <c r="I1349" s="14"/>
      <c r="J1349" s="14"/>
    </row>
    <row r="1350" spans="9:10">
      <c r="I1350" s="14"/>
      <c r="J1350" s="14"/>
    </row>
    <row r="1351" spans="9:10">
      <c r="I1351" s="14"/>
      <c r="J1351" s="14"/>
    </row>
    <row r="1352" spans="9:10">
      <c r="I1352" s="14"/>
      <c r="J1352" s="14"/>
    </row>
    <row r="1353" spans="9:10">
      <c r="I1353" s="14"/>
      <c r="J1353" s="14"/>
    </row>
    <row r="1354" spans="9:10">
      <c r="I1354" s="14"/>
      <c r="J1354" s="14"/>
    </row>
    <row r="1355" spans="9:10">
      <c r="I1355" s="14"/>
      <c r="J1355" s="14"/>
    </row>
    <row r="1356" spans="9:10">
      <c r="I1356" s="14"/>
      <c r="J1356" s="14"/>
    </row>
    <row r="1357" spans="9:10">
      <c r="I1357" s="14"/>
      <c r="J1357" s="14"/>
    </row>
    <row r="1358" spans="9:10">
      <c r="I1358" s="14"/>
      <c r="J1358" s="14"/>
    </row>
    <row r="1359" spans="9:10">
      <c r="I1359" s="14"/>
      <c r="J1359" s="14"/>
    </row>
    <row r="1360" spans="9:10">
      <c r="I1360" s="14"/>
      <c r="J1360" s="14"/>
    </row>
    <row r="1361" spans="9:10">
      <c r="I1361" s="14"/>
      <c r="J1361" s="14"/>
    </row>
    <row r="1362" spans="9:10">
      <c r="I1362" s="14"/>
      <c r="J1362" s="14"/>
    </row>
    <row r="1363" spans="9:10">
      <c r="I1363" s="14"/>
      <c r="J1363" s="14"/>
    </row>
    <row r="1364" spans="9:10">
      <c r="I1364" s="14"/>
      <c r="J1364" s="14"/>
    </row>
    <row r="1365" spans="9:10">
      <c r="I1365" s="14"/>
      <c r="J1365" s="14"/>
    </row>
    <row r="1366" spans="9:10">
      <c r="I1366" s="14"/>
      <c r="J1366" s="14"/>
    </row>
    <row r="1367" spans="9:10">
      <c r="I1367" s="14"/>
      <c r="J1367" s="14"/>
    </row>
    <row r="1368" spans="9:10">
      <c r="I1368" s="14"/>
      <c r="J1368" s="14"/>
    </row>
    <row r="1369" spans="9:10">
      <c r="I1369" s="14"/>
      <c r="J1369" s="14"/>
    </row>
    <row r="1370" spans="9:10">
      <c r="I1370" s="14"/>
      <c r="J1370" s="14"/>
    </row>
    <row r="1371" spans="9:10">
      <c r="I1371" s="14"/>
      <c r="J1371" s="14"/>
    </row>
    <row r="1372" spans="9:10">
      <c r="I1372" s="14"/>
      <c r="J1372" s="14"/>
    </row>
    <row r="1373" spans="9:10">
      <c r="I1373" s="14"/>
      <c r="J1373" s="14"/>
    </row>
    <row r="1374" spans="9:10">
      <c r="I1374" s="14"/>
      <c r="J1374" s="14"/>
    </row>
    <row r="1375" spans="9:10">
      <c r="I1375" s="14"/>
      <c r="J1375" s="14"/>
    </row>
    <row r="1376" spans="9:10">
      <c r="I1376" s="14"/>
      <c r="J1376" s="14"/>
    </row>
    <row r="1377" spans="9:10">
      <c r="I1377" s="14"/>
      <c r="J1377" s="14"/>
    </row>
    <row r="1378" spans="9:10">
      <c r="I1378" s="14"/>
      <c r="J1378" s="14"/>
    </row>
    <row r="1379" spans="9:10">
      <c r="I1379" s="14"/>
      <c r="J1379" s="14"/>
    </row>
    <row r="1380" spans="9:10">
      <c r="I1380" s="14"/>
      <c r="J1380" s="14"/>
    </row>
    <row r="1381" spans="9:10">
      <c r="I1381" s="14"/>
      <c r="J1381" s="14"/>
    </row>
    <row r="1382" spans="9:10">
      <c r="I1382" s="14"/>
      <c r="J1382" s="14"/>
    </row>
    <row r="1383" spans="9:10">
      <c r="I1383" s="14"/>
      <c r="J1383" s="14"/>
    </row>
    <row r="1384" spans="9:10">
      <c r="I1384" s="14"/>
      <c r="J1384" s="14"/>
    </row>
    <row r="1385" spans="9:10">
      <c r="I1385" s="14"/>
      <c r="J1385" s="14"/>
    </row>
    <row r="1386" spans="9:10">
      <c r="I1386" s="14"/>
      <c r="J1386" s="14"/>
    </row>
    <row r="1387" spans="9:10">
      <c r="I1387" s="14"/>
      <c r="J1387" s="14"/>
    </row>
    <row r="1388" spans="9:10">
      <c r="I1388" s="14"/>
      <c r="J1388" s="14"/>
    </row>
    <row r="1389" spans="9:10">
      <c r="I1389" s="14"/>
      <c r="J1389" s="14"/>
    </row>
    <row r="1390" spans="9:10">
      <c r="I1390" s="14"/>
      <c r="J1390" s="14"/>
    </row>
    <row r="1391" spans="9:10">
      <c r="I1391" s="14"/>
      <c r="J1391" s="14"/>
    </row>
    <row r="1392" spans="9:10">
      <c r="I1392" s="14"/>
      <c r="J1392" s="14"/>
    </row>
    <row r="1393" spans="9:10">
      <c r="I1393" s="14"/>
      <c r="J1393" s="14"/>
    </row>
    <row r="1394" spans="9:10">
      <c r="I1394" s="14"/>
      <c r="J1394" s="14"/>
    </row>
    <row r="1395" spans="9:10">
      <c r="I1395" s="14"/>
      <c r="J1395" s="14"/>
    </row>
    <row r="1396" spans="9:10">
      <c r="I1396" s="14"/>
      <c r="J1396" s="14"/>
    </row>
    <row r="1397" spans="9:10">
      <c r="I1397" s="14"/>
      <c r="J1397" s="14"/>
    </row>
    <row r="1398" spans="9:10">
      <c r="I1398" s="14"/>
      <c r="J1398" s="14"/>
    </row>
    <row r="1399" spans="9:10">
      <c r="I1399" s="14"/>
      <c r="J1399" s="14"/>
    </row>
    <row r="1400" spans="9:10">
      <c r="I1400" s="14"/>
      <c r="J1400" s="14"/>
    </row>
    <row r="1401" spans="9:10">
      <c r="I1401" s="14"/>
      <c r="J1401" s="14"/>
    </row>
    <row r="1402" spans="9:10">
      <c r="I1402" s="14"/>
      <c r="J1402" s="14"/>
    </row>
    <row r="1403" spans="9:10">
      <c r="I1403" s="14"/>
      <c r="J1403" s="14"/>
    </row>
    <row r="1404" spans="9:10">
      <c r="I1404" s="14"/>
      <c r="J1404" s="14"/>
    </row>
    <row r="1405" spans="9:10">
      <c r="I1405" s="14"/>
      <c r="J1405" s="14"/>
    </row>
    <row r="1406" spans="9:10">
      <c r="I1406" s="14"/>
      <c r="J1406" s="14"/>
    </row>
    <row r="1407" spans="9:10">
      <c r="I1407" s="14"/>
      <c r="J1407" s="14"/>
    </row>
    <row r="1408" spans="9:10">
      <c r="I1408" s="14"/>
      <c r="J1408" s="14"/>
    </row>
    <row r="1409" spans="9:10">
      <c r="I1409" s="14"/>
      <c r="J1409" s="14"/>
    </row>
    <row r="1410" spans="9:10">
      <c r="I1410" s="14"/>
      <c r="J1410" s="14"/>
    </row>
    <row r="1411" spans="9:10">
      <c r="I1411" s="14"/>
      <c r="J1411" s="14"/>
    </row>
    <row r="1412" spans="9:10">
      <c r="I1412" s="14"/>
      <c r="J1412" s="14"/>
    </row>
    <row r="1413" spans="9:10">
      <c r="I1413" s="14"/>
      <c r="J1413" s="14"/>
    </row>
    <row r="1414" spans="9:10">
      <c r="I1414" s="14"/>
      <c r="J1414" s="14"/>
    </row>
    <row r="1415" spans="9:10">
      <c r="I1415" s="14"/>
      <c r="J1415" s="14"/>
    </row>
    <row r="1416" spans="9:10">
      <c r="I1416" s="14"/>
      <c r="J1416" s="14"/>
    </row>
    <row r="1417" spans="9:10">
      <c r="I1417" s="14"/>
      <c r="J1417" s="14"/>
    </row>
    <row r="1418" spans="9:10">
      <c r="I1418" s="14"/>
      <c r="J1418" s="14"/>
    </row>
    <row r="1419" spans="9:10">
      <c r="I1419" s="14"/>
      <c r="J1419" s="14"/>
    </row>
    <row r="1420" spans="9:10">
      <c r="I1420" s="14"/>
      <c r="J1420" s="14"/>
    </row>
    <row r="1421" spans="9:10">
      <c r="I1421" s="14"/>
      <c r="J1421" s="14"/>
    </row>
    <row r="1422" spans="9:10">
      <c r="I1422" s="14"/>
      <c r="J1422" s="14"/>
    </row>
    <row r="1423" spans="9:10">
      <c r="I1423" s="14"/>
      <c r="J1423" s="14"/>
    </row>
    <row r="1424" spans="9:10">
      <c r="I1424" s="14"/>
      <c r="J1424" s="14"/>
    </row>
    <row r="1425" spans="9:10">
      <c r="I1425" s="14"/>
      <c r="J1425" s="14"/>
    </row>
    <row r="1426" spans="9:10">
      <c r="I1426" s="14"/>
      <c r="J1426" s="14"/>
    </row>
    <row r="1427" spans="9:10">
      <c r="I1427" s="14"/>
      <c r="J1427" s="14"/>
    </row>
    <row r="1428" spans="9:10">
      <c r="I1428" s="14"/>
      <c r="J1428" s="14"/>
    </row>
    <row r="1429" spans="9:10">
      <c r="I1429" s="14"/>
      <c r="J1429" s="14"/>
    </row>
    <row r="1430" spans="9:10">
      <c r="I1430" s="14"/>
      <c r="J1430" s="14"/>
    </row>
    <row r="1431" spans="9:10">
      <c r="I1431" s="14"/>
      <c r="J1431" s="14"/>
    </row>
    <row r="1432" spans="9:10">
      <c r="I1432" s="14"/>
      <c r="J1432" s="14"/>
    </row>
    <row r="1433" spans="9:10">
      <c r="I1433" s="14"/>
      <c r="J1433" s="14"/>
    </row>
    <row r="1434" spans="9:10">
      <c r="I1434" s="14"/>
      <c r="J1434" s="14"/>
    </row>
    <row r="1435" spans="9:10">
      <c r="I1435" s="14"/>
      <c r="J1435" s="14"/>
    </row>
    <row r="1436" spans="9:10">
      <c r="I1436" s="14"/>
      <c r="J1436" s="14"/>
    </row>
    <row r="1437" spans="9:10">
      <c r="I1437" s="14"/>
      <c r="J1437" s="14"/>
    </row>
    <row r="1438" spans="9:10">
      <c r="I1438" s="14"/>
      <c r="J1438" s="14"/>
    </row>
    <row r="1439" spans="9:10">
      <c r="I1439" s="14"/>
      <c r="J1439" s="14"/>
    </row>
    <row r="1440" spans="9:10">
      <c r="I1440" s="14"/>
      <c r="J1440" s="14"/>
    </row>
    <row r="1441" spans="9:10">
      <c r="I1441" s="14"/>
      <c r="J1441" s="14"/>
    </row>
    <row r="1442" spans="9:10">
      <c r="I1442" s="14"/>
      <c r="J1442" s="14"/>
    </row>
    <row r="1443" spans="9:10">
      <c r="I1443" s="14"/>
      <c r="J1443" s="14"/>
    </row>
    <row r="1444" spans="9:10">
      <c r="I1444" s="14"/>
      <c r="J1444" s="14"/>
    </row>
    <row r="1445" spans="9:10">
      <c r="I1445" s="14"/>
      <c r="J1445" s="14"/>
    </row>
    <row r="1446" spans="9:10">
      <c r="I1446" s="14"/>
      <c r="J1446" s="14"/>
    </row>
    <row r="1447" spans="9:10">
      <c r="I1447" s="14"/>
      <c r="J1447" s="14"/>
    </row>
    <row r="1448" spans="9:10">
      <c r="I1448" s="14"/>
      <c r="J1448" s="14"/>
    </row>
    <row r="1449" spans="9:10">
      <c r="I1449" s="14"/>
      <c r="J1449" s="14"/>
    </row>
    <row r="1450" spans="9:10">
      <c r="I1450" s="14"/>
      <c r="J1450" s="14"/>
    </row>
    <row r="1451" spans="9:10">
      <c r="I1451" s="14"/>
      <c r="J1451" s="14"/>
    </row>
    <row r="1452" spans="9:10">
      <c r="I1452" s="14"/>
      <c r="J1452" s="14"/>
    </row>
    <row r="1453" spans="9:10">
      <c r="I1453" s="14"/>
      <c r="J1453" s="14"/>
    </row>
    <row r="1454" spans="9:10">
      <c r="I1454" s="14"/>
      <c r="J1454" s="14"/>
    </row>
    <row r="1455" spans="9:10">
      <c r="I1455" s="14"/>
      <c r="J1455" s="14"/>
    </row>
    <row r="1456" spans="9:10">
      <c r="I1456" s="14"/>
      <c r="J1456" s="14"/>
    </row>
    <row r="1457" spans="9:10">
      <c r="I1457" s="14"/>
      <c r="J1457" s="14"/>
    </row>
    <row r="1458" spans="9:10">
      <c r="I1458" s="14"/>
      <c r="J1458" s="14"/>
    </row>
    <row r="1459" spans="9:10">
      <c r="I1459" s="14"/>
      <c r="J1459" s="14"/>
    </row>
    <row r="1460" spans="9:10">
      <c r="I1460" s="14"/>
      <c r="J1460" s="14"/>
    </row>
    <row r="1461" spans="9:10">
      <c r="I1461" s="14"/>
      <c r="J1461" s="14"/>
    </row>
    <row r="1462" spans="9:10">
      <c r="I1462" s="14"/>
      <c r="J1462" s="14"/>
    </row>
    <row r="1463" spans="9:10">
      <c r="I1463" s="14"/>
      <c r="J1463" s="14"/>
    </row>
    <row r="1464" spans="9:10">
      <c r="I1464" s="14"/>
      <c r="J1464" s="14"/>
    </row>
    <row r="1465" spans="9:10">
      <c r="I1465" s="14"/>
      <c r="J1465" s="14"/>
    </row>
    <row r="1466" spans="9:10">
      <c r="I1466" s="14"/>
      <c r="J1466" s="14"/>
    </row>
    <row r="1467" spans="9:10">
      <c r="I1467" s="14"/>
      <c r="J1467" s="14"/>
    </row>
    <row r="1468" spans="9:10">
      <c r="I1468" s="14"/>
      <c r="J1468" s="14"/>
    </row>
    <row r="1469" spans="9:10">
      <c r="I1469" s="14"/>
      <c r="J1469" s="14"/>
    </row>
    <row r="1470" spans="9:10">
      <c r="I1470" s="14"/>
      <c r="J1470" s="14"/>
    </row>
    <row r="1471" spans="9:10">
      <c r="I1471" s="14"/>
      <c r="J1471" s="14"/>
    </row>
    <row r="1472" spans="9:10">
      <c r="I1472" s="14"/>
      <c r="J1472" s="14"/>
    </row>
    <row r="1473" spans="9:10">
      <c r="I1473" s="14"/>
      <c r="J1473" s="14"/>
    </row>
    <row r="1474" spans="9:10">
      <c r="I1474" s="14"/>
      <c r="J1474" s="14"/>
    </row>
    <row r="1475" spans="9:10">
      <c r="I1475" s="14"/>
      <c r="J1475" s="14"/>
    </row>
    <row r="1476" spans="9:10">
      <c r="I1476" s="14"/>
      <c r="J1476" s="14"/>
    </row>
    <row r="1477" spans="9:10">
      <c r="I1477" s="14"/>
      <c r="J1477" s="14"/>
    </row>
    <row r="1478" spans="9:10">
      <c r="I1478" s="14"/>
      <c r="J1478" s="14"/>
    </row>
    <row r="1479" spans="9:10">
      <c r="I1479" s="14"/>
      <c r="J1479" s="14"/>
    </row>
    <row r="1480" spans="9:10">
      <c r="I1480" s="14"/>
      <c r="J1480" s="14"/>
    </row>
    <row r="1481" spans="9:10">
      <c r="I1481" s="14"/>
      <c r="J1481" s="14"/>
    </row>
    <row r="1482" spans="9:10">
      <c r="I1482" s="14"/>
      <c r="J1482" s="14"/>
    </row>
    <row r="1483" spans="9:10">
      <c r="I1483" s="14"/>
      <c r="J1483" s="14"/>
    </row>
    <row r="1484" spans="9:10">
      <c r="I1484" s="14"/>
      <c r="J1484" s="14"/>
    </row>
    <row r="1485" spans="9:10">
      <c r="I1485" s="14"/>
      <c r="J1485" s="14"/>
    </row>
    <row r="1486" spans="9:10">
      <c r="I1486" s="14"/>
      <c r="J1486" s="14"/>
    </row>
    <row r="1487" spans="9:10">
      <c r="I1487" s="14"/>
      <c r="J1487" s="14"/>
    </row>
    <row r="1488" spans="9:10">
      <c r="I1488" s="14"/>
      <c r="J1488" s="14"/>
    </row>
    <row r="1489" spans="9:10">
      <c r="I1489" s="14"/>
      <c r="J1489" s="14"/>
    </row>
    <row r="1490" spans="9:10">
      <c r="I1490" s="14"/>
      <c r="J1490" s="14"/>
    </row>
    <row r="1491" spans="9:10">
      <c r="I1491" s="14"/>
      <c r="J1491" s="14"/>
    </row>
    <row r="1492" spans="9:10">
      <c r="I1492" s="14"/>
      <c r="J1492" s="14"/>
    </row>
    <row r="1493" spans="9:10">
      <c r="I1493" s="14"/>
      <c r="J1493" s="14"/>
    </row>
    <row r="1494" spans="9:10">
      <c r="I1494" s="14"/>
      <c r="J1494" s="14"/>
    </row>
    <row r="1495" spans="9:10">
      <c r="I1495" s="14"/>
      <c r="J1495" s="14"/>
    </row>
    <row r="1496" spans="9:10">
      <c r="I1496" s="14"/>
      <c r="J1496" s="14"/>
    </row>
    <row r="1497" spans="9:10">
      <c r="I1497" s="14"/>
      <c r="J1497" s="14"/>
    </row>
    <row r="1498" spans="9:10">
      <c r="I1498" s="14"/>
      <c r="J1498" s="14"/>
    </row>
    <row r="1499" spans="9:10">
      <c r="I1499" s="14"/>
      <c r="J1499" s="14"/>
    </row>
    <row r="1500" spans="9:10">
      <c r="I1500" s="14"/>
      <c r="J1500" s="14"/>
    </row>
    <row r="1501" spans="9:10">
      <c r="I1501" s="14"/>
      <c r="J1501" s="14"/>
    </row>
    <row r="1502" spans="9:10">
      <c r="I1502" s="14"/>
      <c r="J1502" s="14"/>
    </row>
    <row r="1503" spans="9:10">
      <c r="I1503" s="14"/>
      <c r="J1503" s="14"/>
    </row>
    <row r="1504" spans="9:10">
      <c r="I1504" s="14"/>
      <c r="J1504" s="14"/>
    </row>
    <row r="1505" spans="9:10">
      <c r="I1505" s="14"/>
      <c r="J1505" s="14"/>
    </row>
    <row r="1506" spans="9:10">
      <c r="I1506" s="14"/>
      <c r="J1506" s="14"/>
    </row>
    <row r="1507" spans="9:10">
      <c r="I1507" s="14"/>
      <c r="J1507" s="14"/>
    </row>
    <row r="1508" spans="9:10">
      <c r="I1508" s="14"/>
      <c r="J1508" s="14"/>
    </row>
    <row r="1509" spans="9:10">
      <c r="I1509" s="14"/>
      <c r="J1509" s="14"/>
    </row>
    <row r="1510" spans="9:10">
      <c r="I1510" s="14"/>
      <c r="J1510" s="14"/>
    </row>
    <row r="1511" spans="9:10">
      <c r="I1511" s="14"/>
      <c r="J1511" s="14"/>
    </row>
    <row r="1512" spans="9:10">
      <c r="I1512" s="14"/>
      <c r="J1512" s="14"/>
    </row>
    <row r="1513" spans="9:10">
      <c r="I1513" s="14"/>
      <c r="J1513" s="14"/>
    </row>
    <row r="1514" spans="9:10">
      <c r="I1514" s="14"/>
      <c r="J1514" s="14"/>
    </row>
    <row r="1515" spans="9:10">
      <c r="I1515" s="14"/>
      <c r="J1515" s="14"/>
    </row>
    <row r="1516" spans="9:10">
      <c r="I1516" s="14"/>
      <c r="J1516" s="14"/>
    </row>
    <row r="1517" spans="9:10">
      <c r="I1517" s="14"/>
      <c r="J1517" s="14"/>
    </row>
    <row r="1518" spans="9:10">
      <c r="I1518" s="14"/>
      <c r="J1518" s="14"/>
    </row>
    <row r="1519" spans="9:10">
      <c r="I1519" s="14"/>
      <c r="J1519" s="14"/>
    </row>
    <row r="1520" spans="9:10">
      <c r="I1520" s="14"/>
      <c r="J1520" s="14"/>
    </row>
    <row r="1521" spans="9:10">
      <c r="I1521" s="14"/>
      <c r="J1521" s="14"/>
    </row>
    <row r="1522" spans="9:10">
      <c r="I1522" s="14"/>
      <c r="J1522" s="14"/>
    </row>
    <row r="1523" spans="9:10">
      <c r="I1523" s="14"/>
      <c r="J1523" s="14"/>
    </row>
    <row r="1524" spans="9:10">
      <c r="I1524" s="14"/>
      <c r="J1524" s="14"/>
    </row>
    <row r="1525" spans="9:10">
      <c r="I1525" s="14"/>
      <c r="J1525" s="14"/>
    </row>
    <row r="1526" spans="9:10">
      <c r="I1526" s="14"/>
      <c r="J1526" s="14"/>
    </row>
    <row r="1527" spans="9:10">
      <c r="I1527" s="14"/>
      <c r="J1527" s="14"/>
    </row>
    <row r="1528" spans="9:10">
      <c r="I1528" s="14"/>
      <c r="J1528" s="14"/>
    </row>
    <row r="1529" spans="9:10">
      <c r="I1529" s="14"/>
      <c r="J1529" s="14"/>
    </row>
    <row r="1530" spans="9:10">
      <c r="I1530" s="14"/>
      <c r="J1530" s="14"/>
    </row>
    <row r="1531" spans="9:10">
      <c r="I1531" s="14"/>
      <c r="J1531" s="14"/>
    </row>
    <row r="1532" spans="9:10">
      <c r="I1532" s="14"/>
      <c r="J1532" s="14"/>
    </row>
    <row r="1533" spans="9:10">
      <c r="I1533" s="14"/>
      <c r="J1533" s="14"/>
    </row>
    <row r="1534" spans="9:10">
      <c r="I1534" s="14"/>
      <c r="J1534" s="14"/>
    </row>
    <row r="1535" spans="9:10">
      <c r="I1535" s="14"/>
      <c r="J1535" s="14"/>
    </row>
    <row r="1536" spans="9:10">
      <c r="I1536" s="14"/>
      <c r="J1536" s="14"/>
    </row>
    <row r="1537" spans="9:10">
      <c r="I1537" s="14"/>
      <c r="J1537" s="14"/>
    </row>
    <row r="1538" spans="9:10">
      <c r="I1538" s="14"/>
      <c r="J1538" s="14"/>
    </row>
    <row r="1539" spans="9:10">
      <c r="I1539" s="14"/>
      <c r="J1539" s="14"/>
    </row>
    <row r="1540" spans="9:10">
      <c r="I1540" s="14"/>
      <c r="J1540" s="14"/>
    </row>
    <row r="1541" spans="9:10">
      <c r="I1541" s="14"/>
      <c r="J1541" s="14"/>
    </row>
    <row r="1542" spans="9:10">
      <c r="I1542" s="14"/>
      <c r="J1542" s="14"/>
    </row>
    <row r="1543" spans="9:10">
      <c r="I1543" s="14"/>
      <c r="J1543" s="14"/>
    </row>
    <row r="1544" spans="9:10">
      <c r="I1544" s="14"/>
      <c r="J1544" s="14"/>
    </row>
    <row r="1545" spans="9:10">
      <c r="I1545" s="14"/>
      <c r="J1545" s="14"/>
    </row>
    <row r="1546" spans="9:10">
      <c r="I1546" s="14"/>
      <c r="J1546" s="14"/>
    </row>
    <row r="1547" spans="9:10">
      <c r="I1547" s="14"/>
      <c r="J1547" s="14"/>
    </row>
    <row r="1548" spans="9:10">
      <c r="I1548" s="14"/>
      <c r="J1548" s="14"/>
    </row>
    <row r="1549" spans="9:10">
      <c r="I1549" s="14"/>
      <c r="J1549" s="14"/>
    </row>
    <row r="1550" spans="9:10">
      <c r="I1550" s="14"/>
      <c r="J1550" s="14"/>
    </row>
    <row r="1551" spans="9:10">
      <c r="I1551" s="14"/>
      <c r="J1551" s="14"/>
    </row>
    <row r="1552" spans="9:10">
      <c r="I1552" s="14"/>
      <c r="J1552" s="14"/>
    </row>
    <row r="1553" spans="9:10">
      <c r="I1553" s="14"/>
      <c r="J1553" s="14"/>
    </row>
    <row r="1554" spans="9:10">
      <c r="I1554" s="14"/>
      <c r="J1554" s="14"/>
    </row>
    <row r="1555" spans="9:10">
      <c r="I1555" s="14"/>
      <c r="J1555" s="14"/>
    </row>
    <row r="1556" spans="9:10">
      <c r="I1556" s="14"/>
      <c r="J1556" s="14"/>
    </row>
    <row r="1557" spans="9:10">
      <c r="I1557" s="14"/>
      <c r="J1557" s="14"/>
    </row>
    <row r="1558" spans="9:10">
      <c r="I1558" s="14"/>
      <c r="J1558" s="14"/>
    </row>
    <row r="1559" spans="9:10">
      <c r="I1559" s="14"/>
      <c r="J1559" s="14"/>
    </row>
    <row r="1560" spans="9:10">
      <c r="I1560" s="14"/>
      <c r="J1560" s="14"/>
    </row>
    <row r="1561" spans="9:10">
      <c r="I1561" s="14"/>
      <c r="J1561" s="14"/>
    </row>
    <row r="1562" spans="9:10">
      <c r="I1562" s="14"/>
      <c r="J1562" s="14"/>
    </row>
    <row r="1563" spans="9:10">
      <c r="I1563" s="14"/>
      <c r="J1563" s="14"/>
    </row>
    <row r="1564" spans="9:10">
      <c r="I1564" s="14"/>
      <c r="J1564" s="14"/>
    </row>
    <row r="1565" spans="9:10">
      <c r="I1565" s="14"/>
      <c r="J1565" s="14"/>
    </row>
    <row r="1566" spans="9:10">
      <c r="I1566" s="14"/>
      <c r="J1566" s="14"/>
    </row>
    <row r="1567" spans="9:10">
      <c r="I1567" s="14"/>
      <c r="J1567" s="14"/>
    </row>
    <row r="1568" spans="9:10">
      <c r="I1568" s="14"/>
      <c r="J1568" s="14"/>
    </row>
    <row r="1569" spans="9:10">
      <c r="I1569" s="14"/>
      <c r="J1569" s="14"/>
    </row>
    <row r="1570" spans="9:10">
      <c r="I1570" s="14"/>
      <c r="J1570" s="14"/>
    </row>
    <row r="1571" spans="9:10">
      <c r="I1571" s="14"/>
      <c r="J1571" s="14"/>
    </row>
    <row r="1572" spans="9:10">
      <c r="I1572" s="14"/>
      <c r="J1572" s="14"/>
    </row>
    <row r="1573" spans="9:10">
      <c r="I1573" s="14"/>
      <c r="J1573" s="14"/>
    </row>
    <row r="1574" spans="9:10">
      <c r="I1574" s="14"/>
      <c r="J1574" s="14"/>
    </row>
    <row r="1575" spans="9:10">
      <c r="I1575" s="14"/>
      <c r="J1575" s="14"/>
    </row>
    <row r="1576" spans="9:10">
      <c r="I1576" s="14"/>
      <c r="J1576" s="14"/>
    </row>
    <row r="1577" spans="9:10">
      <c r="I1577" s="14"/>
      <c r="J1577" s="14"/>
    </row>
    <row r="1578" spans="9:10">
      <c r="I1578" s="14"/>
      <c r="J1578" s="14"/>
    </row>
    <row r="1579" spans="9:10">
      <c r="I1579" s="14"/>
      <c r="J1579" s="14"/>
    </row>
    <row r="1580" spans="9:10">
      <c r="I1580" s="14"/>
      <c r="J1580" s="14"/>
    </row>
    <row r="1581" spans="9:10">
      <c r="I1581" s="14"/>
      <c r="J1581" s="14"/>
    </row>
    <row r="1582" spans="9:10">
      <c r="I1582" s="14"/>
      <c r="J1582" s="14"/>
    </row>
    <row r="1583" spans="9:10">
      <c r="I1583" s="14"/>
      <c r="J1583" s="14"/>
    </row>
    <row r="1584" spans="9:10">
      <c r="I1584" s="14"/>
      <c r="J1584" s="14"/>
    </row>
    <row r="1585" spans="9:10">
      <c r="I1585" s="14"/>
      <c r="J1585" s="14"/>
    </row>
    <row r="1586" spans="9:10">
      <c r="I1586" s="14"/>
      <c r="J1586" s="14"/>
    </row>
    <row r="1587" spans="9:10">
      <c r="I1587" s="14"/>
      <c r="J1587" s="14"/>
    </row>
    <row r="1588" spans="9:10">
      <c r="I1588" s="14"/>
      <c r="J1588" s="14"/>
    </row>
    <row r="1589" spans="9:10">
      <c r="I1589" s="14"/>
      <c r="J1589" s="14"/>
    </row>
    <row r="1590" spans="9:10">
      <c r="I1590" s="14"/>
      <c r="J1590" s="14"/>
    </row>
    <row r="1591" spans="9:10">
      <c r="I1591" s="14"/>
      <c r="J1591" s="14"/>
    </row>
    <row r="1592" spans="9:10">
      <c r="I1592" s="14"/>
      <c r="J1592" s="14"/>
    </row>
    <row r="1593" spans="9:10">
      <c r="I1593" s="14"/>
      <c r="J1593" s="14"/>
    </row>
    <row r="1594" spans="9:10">
      <c r="I1594" s="14"/>
      <c r="J1594" s="14"/>
    </row>
    <row r="1595" spans="9:10">
      <c r="I1595" s="14"/>
      <c r="J1595" s="14"/>
    </row>
    <row r="1596" spans="9:10">
      <c r="I1596" s="14"/>
      <c r="J1596" s="14"/>
    </row>
    <row r="1597" spans="9:10">
      <c r="I1597" s="14"/>
      <c r="J1597" s="14"/>
    </row>
    <row r="1598" spans="9:10">
      <c r="I1598" s="14"/>
      <c r="J1598" s="14"/>
    </row>
    <row r="1599" spans="9:10">
      <c r="I1599" s="14"/>
      <c r="J1599" s="14"/>
    </row>
    <row r="1600" spans="9:10">
      <c r="I1600" s="14"/>
      <c r="J1600" s="14"/>
    </row>
    <row r="1601" spans="9:10">
      <c r="I1601" s="14"/>
      <c r="J1601" s="14"/>
    </row>
    <row r="1602" spans="9:10">
      <c r="I1602" s="14"/>
      <c r="J1602" s="14"/>
    </row>
    <row r="1603" spans="9:10">
      <c r="I1603" s="14"/>
      <c r="J1603" s="14"/>
    </row>
    <row r="1604" spans="9:10">
      <c r="I1604" s="14"/>
      <c r="J1604" s="14"/>
    </row>
    <row r="1605" spans="9:10">
      <c r="I1605" s="14"/>
      <c r="J1605" s="14"/>
    </row>
    <row r="1606" spans="9:10">
      <c r="I1606" s="14"/>
      <c r="J1606" s="14"/>
    </row>
    <row r="1607" spans="9:10">
      <c r="I1607" s="14"/>
      <c r="J1607" s="14"/>
    </row>
    <row r="1608" spans="9:10">
      <c r="I1608" s="14"/>
      <c r="J1608" s="14"/>
    </row>
    <row r="1609" spans="9:10">
      <c r="I1609" s="14"/>
      <c r="J1609" s="14"/>
    </row>
    <row r="1610" spans="9:10">
      <c r="I1610" s="14"/>
      <c r="J1610" s="14"/>
    </row>
    <row r="1611" spans="9:10">
      <c r="I1611" s="14"/>
      <c r="J1611" s="14"/>
    </row>
    <row r="1612" spans="9:10">
      <c r="I1612" s="14"/>
      <c r="J1612" s="14"/>
    </row>
    <row r="1613" spans="9:10">
      <c r="I1613" s="14"/>
      <c r="J1613" s="14"/>
    </row>
    <row r="1614" spans="9:10">
      <c r="I1614" s="14"/>
      <c r="J1614" s="14"/>
    </row>
    <row r="1615" spans="9:10">
      <c r="I1615" s="14"/>
      <c r="J1615" s="14"/>
    </row>
    <row r="1616" spans="9:10">
      <c r="I1616" s="14"/>
      <c r="J1616" s="14"/>
    </row>
    <row r="1617" spans="9:10">
      <c r="I1617" s="14"/>
      <c r="J1617" s="14"/>
    </row>
    <row r="1618" spans="9:10">
      <c r="I1618" s="14"/>
      <c r="J1618" s="14"/>
    </row>
    <row r="1619" spans="9:10">
      <c r="I1619" s="14"/>
      <c r="J1619" s="14"/>
    </row>
    <row r="1620" spans="9:10">
      <c r="I1620" s="14"/>
      <c r="J1620" s="14"/>
    </row>
    <row r="1621" spans="9:10">
      <c r="I1621" s="14"/>
      <c r="J1621" s="14"/>
    </row>
    <row r="1622" spans="9:10">
      <c r="I1622" s="14"/>
      <c r="J1622" s="14"/>
    </row>
    <row r="1623" spans="9:10">
      <c r="I1623" s="14"/>
      <c r="J1623" s="14"/>
    </row>
    <row r="1624" spans="9:10">
      <c r="I1624" s="14"/>
      <c r="J1624" s="14"/>
    </row>
    <row r="1625" spans="9:10">
      <c r="I1625" s="14"/>
      <c r="J1625" s="14"/>
    </row>
    <row r="1626" spans="9:10">
      <c r="I1626" s="14"/>
      <c r="J1626" s="14"/>
    </row>
    <row r="1627" spans="9:10">
      <c r="I1627" s="14"/>
      <c r="J1627" s="14"/>
    </row>
    <row r="1628" spans="9:10">
      <c r="I1628" s="14"/>
      <c r="J1628" s="14"/>
    </row>
    <row r="1629" spans="9:10">
      <c r="I1629" s="14"/>
      <c r="J1629" s="14"/>
    </row>
    <row r="1630" spans="9:10">
      <c r="I1630" s="14"/>
      <c r="J1630" s="14"/>
    </row>
    <row r="1631" spans="9:10">
      <c r="I1631" s="14"/>
      <c r="J1631" s="14"/>
    </row>
    <row r="1632" spans="9:10">
      <c r="I1632" s="14"/>
      <c r="J1632" s="14"/>
    </row>
    <row r="1633" spans="9:10">
      <c r="I1633" s="14"/>
      <c r="J1633" s="14"/>
    </row>
    <row r="1634" spans="9:10">
      <c r="I1634" s="14"/>
      <c r="J1634" s="14"/>
    </row>
    <row r="1635" spans="9:10">
      <c r="I1635" s="14"/>
      <c r="J1635" s="14"/>
    </row>
    <row r="1636" spans="9:10">
      <c r="I1636" s="14"/>
      <c r="J1636" s="14"/>
    </row>
    <row r="1637" spans="9:10">
      <c r="I1637" s="14"/>
      <c r="J1637" s="14"/>
    </row>
    <row r="1638" spans="9:10">
      <c r="I1638" s="14"/>
      <c r="J1638" s="14"/>
    </row>
    <row r="1639" spans="9:10">
      <c r="I1639" s="14"/>
      <c r="J1639" s="14"/>
    </row>
    <row r="1640" spans="9:10">
      <c r="I1640" s="14"/>
      <c r="J1640" s="14"/>
    </row>
    <row r="1641" spans="9:10">
      <c r="I1641" s="14"/>
      <c r="J1641" s="14"/>
    </row>
    <row r="1642" spans="9:10">
      <c r="I1642" s="14"/>
      <c r="J1642" s="14"/>
    </row>
    <row r="1643" spans="9:10">
      <c r="I1643" s="14"/>
      <c r="J1643" s="14"/>
    </row>
    <row r="1644" spans="9:10">
      <c r="I1644" s="14"/>
      <c r="J1644" s="14"/>
    </row>
    <row r="1645" spans="9:10">
      <c r="I1645" s="14"/>
      <c r="J1645" s="14"/>
    </row>
    <row r="1646" spans="9:10">
      <c r="I1646" s="14"/>
      <c r="J1646" s="14"/>
    </row>
    <row r="1647" spans="9:10">
      <c r="I1647" s="14"/>
      <c r="J1647" s="14"/>
    </row>
    <row r="1648" spans="9:10">
      <c r="I1648" s="14"/>
      <c r="J1648" s="14"/>
    </row>
    <row r="1649" spans="9:10">
      <c r="I1649" s="14"/>
      <c r="J1649" s="14"/>
    </row>
    <row r="1650" spans="9:10">
      <c r="I1650" s="14"/>
      <c r="J1650" s="14"/>
    </row>
    <row r="1651" spans="9:10">
      <c r="I1651" s="14"/>
      <c r="J1651" s="14"/>
    </row>
    <row r="1652" spans="9:10">
      <c r="I1652" s="14"/>
      <c r="J1652" s="14"/>
    </row>
    <row r="1653" spans="9:10">
      <c r="I1653" s="14"/>
      <c r="J1653" s="14"/>
    </row>
    <row r="1654" spans="9:10">
      <c r="I1654" s="14"/>
      <c r="J1654" s="14"/>
    </row>
    <row r="1655" spans="9:10">
      <c r="I1655" s="14"/>
      <c r="J1655" s="14"/>
    </row>
    <row r="1656" spans="9:10">
      <c r="I1656" s="14"/>
      <c r="J1656" s="14"/>
    </row>
    <row r="1657" spans="9:10">
      <c r="I1657" s="14"/>
      <c r="J1657" s="14"/>
    </row>
    <row r="1658" spans="9:10">
      <c r="I1658" s="14"/>
      <c r="J1658" s="14"/>
    </row>
    <row r="1659" spans="9:10">
      <c r="I1659" s="14"/>
      <c r="J1659" s="14"/>
    </row>
    <row r="1660" spans="9:10">
      <c r="I1660" s="14"/>
      <c r="J1660" s="14"/>
    </row>
    <row r="1661" spans="9:10">
      <c r="I1661" s="14"/>
      <c r="J1661" s="14"/>
    </row>
    <row r="1662" spans="9:10">
      <c r="I1662" s="14"/>
      <c r="J1662" s="14"/>
    </row>
    <row r="1663" spans="9:10">
      <c r="I1663" s="14"/>
      <c r="J1663" s="14"/>
    </row>
    <row r="1664" spans="9:10">
      <c r="I1664" s="14"/>
      <c r="J1664" s="14"/>
    </row>
    <row r="1665" spans="9:10">
      <c r="I1665" s="14"/>
      <c r="J1665" s="14"/>
    </row>
    <row r="1666" spans="9:10">
      <c r="I1666" s="14"/>
      <c r="J1666" s="14"/>
    </row>
    <row r="1667" spans="9:10">
      <c r="I1667" s="14"/>
      <c r="J1667" s="14"/>
    </row>
    <row r="1668" spans="9:10">
      <c r="I1668" s="14"/>
      <c r="J1668" s="14"/>
    </row>
    <row r="1669" spans="9:10">
      <c r="I1669" s="14"/>
      <c r="J1669" s="14"/>
    </row>
    <row r="1670" spans="9:10">
      <c r="I1670" s="14"/>
      <c r="J1670" s="14"/>
    </row>
    <row r="1671" spans="9:10">
      <c r="I1671" s="14"/>
      <c r="J1671" s="14"/>
    </row>
    <row r="1672" spans="9:10">
      <c r="I1672" s="14"/>
      <c r="J1672" s="14"/>
    </row>
    <row r="1673" spans="9:10">
      <c r="I1673" s="14"/>
      <c r="J1673" s="14"/>
    </row>
    <row r="1674" spans="9:10">
      <c r="I1674" s="14"/>
      <c r="J1674" s="14"/>
    </row>
    <row r="1675" spans="9:10">
      <c r="I1675" s="14"/>
      <c r="J1675" s="14"/>
    </row>
    <row r="1676" spans="9:10">
      <c r="I1676" s="14"/>
      <c r="J1676" s="14"/>
    </row>
    <row r="1677" spans="9:10">
      <c r="I1677" s="14"/>
      <c r="J1677" s="14"/>
    </row>
    <row r="1678" spans="9:10">
      <c r="I1678" s="14"/>
      <c r="J1678" s="14"/>
    </row>
    <row r="1679" spans="9:10">
      <c r="I1679" s="14"/>
      <c r="J1679" s="14"/>
    </row>
    <row r="1680" spans="9:10">
      <c r="I1680" s="14"/>
      <c r="J1680" s="14"/>
    </row>
    <row r="1681" spans="9:10">
      <c r="I1681" s="14"/>
      <c r="J1681" s="14"/>
    </row>
    <row r="1682" spans="9:10">
      <c r="I1682" s="14"/>
      <c r="J1682" s="14"/>
    </row>
    <row r="1683" spans="9:10">
      <c r="I1683" s="14"/>
      <c r="J1683" s="14"/>
    </row>
    <row r="1684" spans="9:10">
      <c r="I1684" s="14"/>
      <c r="J1684" s="14"/>
    </row>
    <row r="1685" spans="9:10">
      <c r="I1685" s="14"/>
      <c r="J1685" s="14"/>
    </row>
    <row r="1686" spans="9:10">
      <c r="I1686" s="14"/>
      <c r="J1686" s="14"/>
    </row>
    <row r="1687" spans="9:10">
      <c r="I1687" s="14"/>
      <c r="J1687" s="14"/>
    </row>
    <row r="1688" spans="9:10">
      <c r="I1688" s="14"/>
      <c r="J1688" s="14"/>
    </row>
    <row r="1689" spans="9:10">
      <c r="I1689" s="14"/>
      <c r="J1689" s="14"/>
    </row>
    <row r="1690" spans="9:10">
      <c r="I1690" s="14"/>
      <c r="J1690" s="14"/>
    </row>
    <row r="1691" spans="9:10">
      <c r="I1691" s="14"/>
      <c r="J1691" s="14"/>
    </row>
    <row r="1692" spans="9:10">
      <c r="I1692" s="14"/>
      <c r="J1692" s="14"/>
    </row>
    <row r="1693" spans="9:10">
      <c r="I1693" s="14"/>
      <c r="J1693" s="14"/>
    </row>
    <row r="1694" spans="9:10">
      <c r="I1694" s="14"/>
      <c r="J1694" s="14"/>
    </row>
    <row r="1695" spans="9:10">
      <c r="I1695" s="14"/>
      <c r="J1695" s="14"/>
    </row>
    <row r="1696" spans="9:10">
      <c r="I1696" s="14"/>
      <c r="J1696" s="14"/>
    </row>
    <row r="1697" spans="9:10">
      <c r="I1697" s="14"/>
      <c r="J1697" s="14"/>
    </row>
    <row r="1698" spans="9:10">
      <c r="I1698" s="14"/>
      <c r="J1698" s="14"/>
    </row>
    <row r="1699" spans="9:10">
      <c r="I1699" s="14"/>
      <c r="J1699" s="14"/>
    </row>
    <row r="1700" spans="9:10">
      <c r="I1700" s="14"/>
      <c r="J1700" s="14"/>
    </row>
    <row r="1701" spans="9:10">
      <c r="I1701" s="14"/>
      <c r="J1701" s="14"/>
    </row>
    <row r="1702" spans="9:10">
      <c r="I1702" s="14"/>
      <c r="J1702" s="14"/>
    </row>
    <row r="1703" spans="9:10">
      <c r="I1703" s="14"/>
      <c r="J1703" s="14"/>
    </row>
    <row r="1704" spans="9:10">
      <c r="I1704" s="14"/>
      <c r="J1704" s="14"/>
    </row>
    <row r="1705" spans="9:10">
      <c r="I1705" s="14"/>
      <c r="J1705" s="14"/>
    </row>
    <row r="1706" spans="9:10">
      <c r="I1706" s="14"/>
      <c r="J1706" s="14"/>
    </row>
    <row r="1707" spans="9:10">
      <c r="I1707" s="14"/>
      <c r="J1707" s="14"/>
    </row>
    <row r="1708" spans="9:10">
      <c r="I1708" s="14"/>
      <c r="J1708" s="14"/>
    </row>
    <row r="1709" spans="9:10">
      <c r="I1709" s="14"/>
      <c r="J1709" s="14"/>
    </row>
    <row r="1710" spans="9:10">
      <c r="I1710" s="14"/>
      <c r="J1710" s="14"/>
    </row>
    <row r="1711" spans="9:10">
      <c r="I1711" s="14"/>
      <c r="J1711" s="14"/>
    </row>
    <row r="1712" spans="9:10">
      <c r="I1712" s="14"/>
      <c r="J1712" s="14"/>
    </row>
    <row r="1713" spans="9:10">
      <c r="I1713" s="14"/>
      <c r="J1713" s="14"/>
    </row>
    <row r="1714" spans="9:10">
      <c r="I1714" s="14"/>
      <c r="J1714" s="14"/>
    </row>
    <row r="1715" spans="9:10">
      <c r="I1715" s="14"/>
      <c r="J1715" s="14"/>
    </row>
    <row r="1716" spans="9:10">
      <c r="I1716" s="14"/>
      <c r="J1716" s="14"/>
    </row>
    <row r="1717" spans="9:10">
      <c r="I1717" s="14"/>
      <c r="J1717" s="14"/>
    </row>
    <row r="1718" spans="9:10">
      <c r="I1718" s="14"/>
      <c r="J1718" s="14"/>
    </row>
    <row r="1719" spans="9:10">
      <c r="I1719" s="14"/>
      <c r="J1719" s="14"/>
    </row>
    <row r="1720" spans="9:10">
      <c r="I1720" s="14"/>
      <c r="J1720" s="14"/>
    </row>
    <row r="1721" spans="9:10">
      <c r="I1721" s="14"/>
      <c r="J1721" s="14"/>
    </row>
    <row r="1722" spans="9:10">
      <c r="I1722" s="14"/>
      <c r="J1722" s="14"/>
    </row>
    <row r="1723" spans="9:10">
      <c r="I1723" s="14"/>
      <c r="J1723" s="14"/>
    </row>
    <row r="1724" spans="9:10">
      <c r="I1724" s="14"/>
      <c r="J1724" s="14"/>
    </row>
    <row r="1725" spans="9:10">
      <c r="I1725" s="14"/>
      <c r="J1725" s="14"/>
    </row>
    <row r="1726" spans="9:10">
      <c r="I1726" s="14"/>
      <c r="J1726" s="14"/>
    </row>
    <row r="1727" spans="9:10">
      <c r="I1727" s="14"/>
      <c r="J1727" s="14"/>
    </row>
    <row r="1728" spans="9:10">
      <c r="I1728" s="14"/>
      <c r="J1728" s="14"/>
    </row>
    <row r="1729" spans="9:10">
      <c r="I1729" s="14"/>
      <c r="J1729" s="14"/>
    </row>
    <row r="1730" spans="9:10">
      <c r="I1730" s="14"/>
      <c r="J1730" s="14"/>
    </row>
    <row r="1731" spans="9:10">
      <c r="I1731" s="14"/>
      <c r="J1731" s="14"/>
    </row>
    <row r="1732" spans="9:10">
      <c r="I1732" s="14"/>
      <c r="J1732" s="14"/>
    </row>
    <row r="1733" spans="9:10">
      <c r="I1733" s="14"/>
      <c r="J1733" s="14"/>
    </row>
    <row r="1734" spans="9:10">
      <c r="I1734" s="14"/>
      <c r="J1734" s="14"/>
    </row>
    <row r="1735" spans="9:10">
      <c r="I1735" s="14"/>
      <c r="J1735" s="14"/>
    </row>
    <row r="1736" spans="9:10">
      <c r="I1736" s="14"/>
      <c r="J1736" s="14"/>
    </row>
    <row r="1737" spans="9:10">
      <c r="I1737" s="14"/>
      <c r="J1737" s="14"/>
    </row>
    <row r="1738" spans="9:10">
      <c r="I1738" s="14"/>
      <c r="J1738" s="14"/>
    </row>
    <row r="1739" spans="9:10">
      <c r="I1739" s="14"/>
      <c r="J1739" s="14"/>
    </row>
    <row r="1740" spans="9:10">
      <c r="I1740" s="14"/>
      <c r="J1740" s="14"/>
    </row>
    <row r="1741" spans="9:10">
      <c r="I1741" s="14"/>
      <c r="J1741" s="14"/>
    </row>
    <row r="1742" spans="9:10">
      <c r="I1742" s="14"/>
      <c r="J1742" s="14"/>
    </row>
    <row r="1743" spans="9:10">
      <c r="I1743" s="14"/>
      <c r="J1743" s="14"/>
    </row>
    <row r="1744" spans="9:10">
      <c r="I1744" s="14"/>
      <c r="J1744" s="14"/>
    </row>
    <row r="1745" spans="9:10">
      <c r="I1745" s="14"/>
      <c r="J1745" s="14"/>
    </row>
    <row r="1746" spans="9:10">
      <c r="I1746" s="14"/>
      <c r="J1746" s="14"/>
    </row>
    <row r="1747" spans="9:10">
      <c r="I1747" s="14"/>
      <c r="J1747" s="14"/>
    </row>
    <row r="1748" spans="9:10">
      <c r="I1748" s="14"/>
      <c r="J1748" s="14"/>
    </row>
    <row r="1749" spans="9:10">
      <c r="I1749" s="14"/>
      <c r="J1749" s="14"/>
    </row>
    <row r="1750" spans="9:10">
      <c r="I1750" s="14"/>
      <c r="J1750" s="14"/>
    </row>
    <row r="1751" spans="9:10">
      <c r="I1751" s="14"/>
      <c r="J1751" s="14"/>
    </row>
    <row r="1752" spans="9:10">
      <c r="I1752" s="14"/>
      <c r="J1752" s="14"/>
    </row>
    <row r="1753" spans="9:10">
      <c r="I1753" s="14"/>
      <c r="J1753" s="14"/>
    </row>
    <row r="1754" spans="9:10">
      <c r="I1754" s="14"/>
      <c r="J1754" s="14"/>
    </row>
    <row r="1755" spans="9:10">
      <c r="I1755" s="14"/>
      <c r="J1755" s="14"/>
    </row>
    <row r="1756" spans="9:10">
      <c r="I1756" s="14"/>
      <c r="J1756" s="14"/>
    </row>
    <row r="1757" spans="9:10">
      <c r="I1757" s="14"/>
      <c r="J1757" s="14"/>
    </row>
    <row r="1758" spans="9:10">
      <c r="I1758" s="14"/>
      <c r="J1758" s="14"/>
    </row>
    <row r="1759" spans="9:10">
      <c r="I1759" s="14"/>
      <c r="J1759" s="14"/>
    </row>
    <row r="1760" spans="9:10">
      <c r="I1760" s="14"/>
      <c r="J1760" s="14"/>
    </row>
    <row r="1761" spans="9:10">
      <c r="I1761" s="14"/>
      <c r="J1761" s="14"/>
    </row>
    <row r="1762" spans="9:10">
      <c r="I1762" s="14"/>
      <c r="J1762" s="14"/>
    </row>
    <row r="1763" spans="9:10">
      <c r="I1763" s="14"/>
      <c r="J1763" s="14"/>
    </row>
    <row r="1764" spans="9:10">
      <c r="I1764" s="14"/>
      <c r="J1764" s="14"/>
    </row>
    <row r="1765" spans="9:10">
      <c r="I1765" s="14"/>
      <c r="J1765" s="14"/>
    </row>
    <row r="1766" spans="9:10">
      <c r="I1766" s="14"/>
      <c r="J1766" s="14"/>
    </row>
    <row r="1767" spans="9:10">
      <c r="I1767" s="14"/>
      <c r="J1767" s="14"/>
    </row>
    <row r="1768" spans="9:10">
      <c r="I1768" s="14"/>
      <c r="J1768" s="14"/>
    </row>
    <row r="1769" spans="9:10">
      <c r="I1769" s="14"/>
      <c r="J1769" s="14"/>
    </row>
    <row r="1770" spans="9:10">
      <c r="I1770" s="14"/>
      <c r="J1770" s="14"/>
    </row>
    <row r="1771" spans="9:10">
      <c r="I1771" s="14"/>
      <c r="J1771" s="14"/>
    </row>
    <row r="1772" spans="9:10">
      <c r="I1772" s="14"/>
      <c r="J1772" s="14"/>
    </row>
    <row r="1773" spans="9:10">
      <c r="I1773" s="14"/>
      <c r="J1773" s="14"/>
    </row>
    <row r="1774" spans="9:10">
      <c r="I1774" s="14"/>
      <c r="J1774" s="14"/>
    </row>
    <row r="1775" spans="9:10">
      <c r="I1775" s="14"/>
      <c r="J1775" s="14"/>
    </row>
    <row r="1776" spans="9:10">
      <c r="I1776" s="14"/>
      <c r="J1776" s="14"/>
    </row>
    <row r="1777" spans="9:10">
      <c r="I1777" s="14"/>
      <c r="J1777" s="14"/>
    </row>
    <row r="1778" spans="9:10">
      <c r="I1778" s="14"/>
      <c r="J1778" s="14"/>
    </row>
    <row r="1779" spans="9:10">
      <c r="I1779" s="14"/>
      <c r="J1779" s="14"/>
    </row>
    <row r="1780" spans="9:10">
      <c r="I1780" s="14"/>
      <c r="J1780" s="14"/>
    </row>
    <row r="1781" spans="9:10">
      <c r="I1781" s="14"/>
      <c r="J1781" s="14"/>
    </row>
    <row r="1782" spans="9:10">
      <c r="I1782" s="14"/>
      <c r="J1782" s="14"/>
    </row>
    <row r="1783" spans="9:10">
      <c r="I1783" s="14"/>
      <c r="J1783" s="14"/>
    </row>
    <row r="1784" spans="9:10">
      <c r="I1784" s="14"/>
      <c r="J1784" s="14"/>
    </row>
    <row r="1785" spans="9:10">
      <c r="I1785" s="14"/>
      <c r="J1785" s="14"/>
    </row>
    <row r="1786" spans="9:10">
      <c r="I1786" s="14"/>
      <c r="J1786" s="14"/>
    </row>
    <row r="1787" spans="9:10">
      <c r="I1787" s="14"/>
      <c r="J1787" s="14"/>
    </row>
    <row r="1788" spans="9:10">
      <c r="I1788" s="14"/>
      <c r="J1788" s="14"/>
    </row>
    <row r="1789" spans="9:10">
      <c r="I1789" s="14"/>
      <c r="J1789" s="14"/>
    </row>
    <row r="1790" spans="9:10">
      <c r="I1790" s="14"/>
      <c r="J1790" s="14"/>
    </row>
    <row r="1791" spans="9:10">
      <c r="I1791" s="14"/>
      <c r="J1791" s="14"/>
    </row>
    <row r="1792" spans="9:10">
      <c r="I1792" s="14"/>
      <c r="J1792" s="14"/>
    </row>
    <row r="1793" spans="9:10">
      <c r="I1793" s="14"/>
      <c r="J1793" s="14"/>
    </row>
    <row r="1794" spans="9:10">
      <c r="I1794" s="14"/>
      <c r="J1794" s="14"/>
    </row>
    <row r="1795" spans="9:10">
      <c r="I1795" s="14"/>
      <c r="J1795" s="14"/>
    </row>
    <row r="1796" spans="9:10">
      <c r="I1796" s="14"/>
      <c r="J1796" s="14"/>
    </row>
    <row r="1797" spans="9:10">
      <c r="I1797" s="14"/>
      <c r="J1797" s="14"/>
    </row>
    <row r="1798" spans="9:10">
      <c r="I1798" s="14"/>
      <c r="J1798" s="14"/>
    </row>
    <row r="1799" spans="9:10">
      <c r="I1799" s="14"/>
      <c r="J1799" s="14"/>
    </row>
    <row r="1800" spans="9:10">
      <c r="I1800" s="14"/>
      <c r="J1800" s="14"/>
    </row>
    <row r="1801" spans="9:10">
      <c r="I1801" s="14"/>
      <c r="J1801" s="14"/>
    </row>
    <row r="1802" spans="9:10">
      <c r="I1802" s="14"/>
      <c r="J1802" s="14"/>
    </row>
    <row r="1803" spans="9:10">
      <c r="I1803" s="14"/>
      <c r="J1803" s="14"/>
    </row>
    <row r="1804" spans="9:10">
      <c r="I1804" s="14"/>
      <c r="J1804" s="14"/>
    </row>
    <row r="1805" spans="9:10">
      <c r="I1805" s="14"/>
      <c r="J1805" s="14"/>
    </row>
    <row r="1806" spans="9:10">
      <c r="I1806" s="14"/>
      <c r="J1806" s="14"/>
    </row>
    <row r="1807" spans="9:10">
      <c r="I1807" s="14"/>
      <c r="J1807" s="14"/>
    </row>
    <row r="1808" spans="9:10">
      <c r="I1808" s="14"/>
      <c r="J1808" s="14"/>
    </row>
    <row r="1809" spans="9:10">
      <c r="I1809" s="14"/>
      <c r="J1809" s="14"/>
    </row>
    <row r="1810" spans="9:10">
      <c r="I1810" s="14"/>
      <c r="J1810" s="14"/>
    </row>
    <row r="1811" spans="9:10">
      <c r="I1811" s="14"/>
      <c r="J1811" s="14"/>
    </row>
    <row r="1812" spans="9:10">
      <c r="I1812" s="14"/>
      <c r="J1812" s="14"/>
    </row>
    <row r="1813" spans="9:10">
      <c r="I1813" s="14"/>
      <c r="J1813" s="14"/>
    </row>
    <row r="1814" spans="9:10">
      <c r="I1814" s="14"/>
      <c r="J1814" s="14"/>
    </row>
    <row r="1815" spans="9:10">
      <c r="I1815" s="14"/>
      <c r="J1815" s="14"/>
    </row>
    <row r="1816" spans="9:10">
      <c r="I1816" s="14"/>
      <c r="J1816" s="14"/>
    </row>
    <row r="1817" spans="9:10">
      <c r="I1817" s="14"/>
      <c r="J1817" s="14"/>
    </row>
    <row r="1818" spans="9:10">
      <c r="I1818" s="14"/>
      <c r="J1818" s="14"/>
    </row>
    <row r="1819" spans="9:10">
      <c r="I1819" s="14"/>
      <c r="J1819" s="14"/>
    </row>
    <row r="1820" spans="9:10">
      <c r="I1820" s="14"/>
      <c r="J1820" s="14"/>
    </row>
    <row r="1821" spans="9:10">
      <c r="I1821" s="14"/>
      <c r="J1821" s="14"/>
    </row>
    <row r="1822" spans="9:10">
      <c r="I1822" s="14"/>
      <c r="J1822" s="14"/>
    </row>
    <row r="1823" spans="9:10">
      <c r="I1823" s="14"/>
      <c r="J1823" s="14"/>
    </row>
    <row r="1824" spans="9:10">
      <c r="I1824" s="14"/>
      <c r="J1824" s="14"/>
    </row>
    <row r="1825" spans="9:10">
      <c r="I1825" s="14"/>
      <c r="J1825" s="14"/>
    </row>
    <row r="1826" spans="9:10">
      <c r="I1826" s="14"/>
      <c r="J1826" s="14"/>
    </row>
    <row r="1827" spans="9:10">
      <c r="I1827" s="14"/>
      <c r="J1827" s="14"/>
    </row>
    <row r="1828" spans="9:10">
      <c r="I1828" s="14"/>
      <c r="J1828" s="14"/>
    </row>
    <row r="1829" spans="9:10">
      <c r="I1829" s="14"/>
      <c r="J1829" s="14"/>
    </row>
    <row r="1830" spans="9:10">
      <c r="I1830" s="14"/>
      <c r="J1830" s="14"/>
    </row>
    <row r="1831" spans="9:10">
      <c r="I1831" s="14"/>
      <c r="J1831" s="14"/>
    </row>
    <row r="1832" spans="9:10">
      <c r="I1832" s="14"/>
      <c r="J1832" s="14"/>
    </row>
    <row r="1833" spans="9:10">
      <c r="I1833" s="14"/>
      <c r="J1833" s="14"/>
    </row>
    <row r="1834" spans="9:10">
      <c r="I1834" s="14"/>
      <c r="J1834" s="14"/>
    </row>
    <row r="1835" spans="9:10">
      <c r="I1835" s="14"/>
      <c r="J1835" s="14"/>
    </row>
    <row r="1836" spans="9:10">
      <c r="I1836" s="14"/>
      <c r="J1836" s="14"/>
    </row>
    <row r="1837" spans="9:10">
      <c r="I1837" s="14"/>
      <c r="J1837" s="14"/>
    </row>
    <row r="1838" spans="9:10">
      <c r="I1838" s="14"/>
      <c r="J1838" s="14"/>
    </row>
    <row r="1839" spans="9:10">
      <c r="I1839" s="14"/>
      <c r="J1839" s="14"/>
    </row>
    <row r="1840" spans="9:10">
      <c r="I1840" s="14"/>
      <c r="J1840" s="14"/>
    </row>
    <row r="1841" spans="9:10">
      <c r="I1841" s="14"/>
      <c r="J1841" s="14"/>
    </row>
    <row r="1842" spans="9:10">
      <c r="I1842" s="14"/>
      <c r="J1842" s="14"/>
    </row>
    <row r="1843" spans="9:10">
      <c r="I1843" s="14"/>
      <c r="J1843" s="14"/>
    </row>
    <row r="1844" spans="9:10">
      <c r="I1844" s="14"/>
      <c r="J1844" s="14"/>
    </row>
    <row r="1845" spans="9:10">
      <c r="I1845" s="14"/>
      <c r="J1845" s="14"/>
    </row>
    <row r="1846" spans="9:10">
      <c r="I1846" s="14"/>
      <c r="J1846" s="14"/>
    </row>
    <row r="1847" spans="9:10">
      <c r="I1847" s="14"/>
      <c r="J1847" s="14"/>
    </row>
    <row r="1848" spans="9:10">
      <c r="I1848" s="14"/>
      <c r="J1848" s="14"/>
    </row>
    <row r="1849" spans="9:10">
      <c r="I1849" s="14"/>
      <c r="J1849" s="14"/>
    </row>
    <row r="1850" spans="9:10">
      <c r="I1850" s="14"/>
      <c r="J1850" s="14"/>
    </row>
    <row r="1851" spans="9:10">
      <c r="I1851" s="14"/>
      <c r="J1851" s="14"/>
    </row>
    <row r="1852" spans="9:10">
      <c r="I1852" s="14"/>
      <c r="J1852" s="14"/>
    </row>
    <row r="1853" spans="9:10">
      <c r="I1853" s="14"/>
      <c r="J1853" s="14"/>
    </row>
    <row r="1854" spans="9:10">
      <c r="I1854" s="14"/>
      <c r="J1854" s="14"/>
    </row>
    <row r="1855" spans="9:10">
      <c r="I1855" s="14"/>
      <c r="J1855" s="14"/>
    </row>
    <row r="1856" spans="9:10">
      <c r="I1856" s="14"/>
      <c r="J1856" s="14"/>
    </row>
    <row r="1857" spans="9:10">
      <c r="I1857" s="14"/>
      <c r="J1857" s="14"/>
    </row>
    <row r="1858" spans="9:10">
      <c r="I1858" s="14"/>
      <c r="J1858" s="14"/>
    </row>
    <row r="1859" spans="9:10">
      <c r="I1859" s="14"/>
      <c r="J1859" s="14"/>
    </row>
    <row r="1860" spans="9:10">
      <c r="I1860" s="14"/>
      <c r="J1860" s="14"/>
    </row>
    <row r="1861" spans="9:10">
      <c r="I1861" s="14"/>
      <c r="J1861" s="14"/>
    </row>
    <row r="1862" spans="9:10">
      <c r="I1862" s="14"/>
      <c r="J1862" s="14"/>
    </row>
    <row r="1863" spans="9:10">
      <c r="I1863" s="14"/>
      <c r="J1863" s="14"/>
    </row>
    <row r="1864" spans="9:10">
      <c r="I1864" s="14"/>
      <c r="J1864" s="14"/>
    </row>
    <row r="1865" spans="9:10">
      <c r="I1865" s="14"/>
      <c r="J1865" s="14"/>
    </row>
    <row r="1866" spans="9:10">
      <c r="I1866" s="14"/>
      <c r="J1866" s="14"/>
    </row>
    <row r="1867" spans="9:10">
      <c r="I1867" s="14"/>
      <c r="J1867" s="14"/>
    </row>
    <row r="1868" spans="9:10">
      <c r="I1868" s="14"/>
      <c r="J1868" s="14"/>
    </row>
    <row r="1869" spans="9:10">
      <c r="I1869" s="14"/>
      <c r="J1869" s="14"/>
    </row>
    <row r="1870" spans="9:10">
      <c r="I1870" s="14"/>
      <c r="J1870" s="14"/>
    </row>
    <row r="1871" spans="9:10">
      <c r="I1871" s="14"/>
      <c r="J1871" s="14"/>
    </row>
    <row r="1872" spans="9:10">
      <c r="I1872" s="14"/>
      <c r="J1872" s="14"/>
    </row>
    <row r="1873" spans="9:10">
      <c r="I1873" s="14"/>
      <c r="J1873" s="14"/>
    </row>
    <row r="1874" spans="9:10">
      <c r="I1874" s="14"/>
      <c r="J1874" s="14"/>
    </row>
    <row r="1875" spans="9:10">
      <c r="I1875" s="14"/>
      <c r="J1875" s="14"/>
    </row>
    <row r="1876" spans="9:10">
      <c r="I1876" s="14"/>
      <c r="J1876" s="14"/>
    </row>
    <row r="1877" spans="9:10">
      <c r="I1877" s="14"/>
      <c r="J1877" s="14"/>
    </row>
    <row r="1878" spans="9:10">
      <c r="I1878" s="14"/>
      <c r="J1878" s="14"/>
    </row>
    <row r="1879" spans="9:10">
      <c r="I1879" s="14"/>
      <c r="J1879" s="14"/>
    </row>
    <row r="1880" spans="9:10">
      <c r="I1880" s="14"/>
      <c r="J1880" s="14"/>
    </row>
    <row r="1881" spans="9:10">
      <c r="I1881" s="14"/>
      <c r="J1881" s="14"/>
    </row>
    <row r="1882" spans="9:10">
      <c r="I1882" s="14"/>
      <c r="J1882" s="14"/>
    </row>
    <row r="1883" spans="9:10">
      <c r="I1883" s="14"/>
      <c r="J1883" s="14"/>
    </row>
    <row r="1884" spans="9:10">
      <c r="I1884" s="14"/>
      <c r="J1884" s="14"/>
    </row>
    <row r="1885" spans="9:10">
      <c r="I1885" s="14"/>
      <c r="J1885" s="14"/>
    </row>
    <row r="1886" spans="9:10">
      <c r="I1886" s="14"/>
      <c r="J1886" s="14"/>
    </row>
    <row r="1887" spans="9:10">
      <c r="I1887" s="14"/>
      <c r="J1887" s="14"/>
    </row>
    <row r="1888" spans="9:10">
      <c r="I1888" s="14"/>
      <c r="J1888" s="14"/>
    </row>
    <row r="1889" spans="9:10">
      <c r="I1889" s="14"/>
      <c r="J1889" s="14"/>
    </row>
    <row r="1890" spans="9:10">
      <c r="I1890" s="14"/>
      <c r="J1890" s="14"/>
    </row>
    <row r="1891" spans="9:10">
      <c r="I1891" s="14"/>
      <c r="J1891" s="14"/>
    </row>
    <row r="1892" spans="9:10">
      <c r="I1892" s="14"/>
      <c r="J1892" s="14"/>
    </row>
    <row r="1893" spans="9:10">
      <c r="I1893" s="14"/>
      <c r="J1893" s="14"/>
    </row>
    <row r="1894" spans="9:10">
      <c r="I1894" s="14"/>
      <c r="J1894" s="14"/>
    </row>
    <row r="1895" spans="9:10">
      <c r="I1895" s="14"/>
      <c r="J1895" s="14"/>
    </row>
    <row r="1896" spans="9:10">
      <c r="I1896" s="14"/>
      <c r="J1896" s="14"/>
    </row>
    <row r="1897" spans="9:10">
      <c r="I1897" s="14"/>
      <c r="J1897" s="14"/>
    </row>
    <row r="1898" spans="9:10">
      <c r="I1898" s="14"/>
      <c r="J1898" s="14"/>
    </row>
    <row r="1899" spans="9:10">
      <c r="I1899" s="14"/>
      <c r="J1899" s="14"/>
    </row>
    <row r="1900" spans="9:10">
      <c r="I1900" s="14"/>
      <c r="J1900" s="14"/>
    </row>
    <row r="1901" spans="9:10">
      <c r="I1901" s="14"/>
      <c r="J1901" s="14"/>
    </row>
    <row r="1902" spans="9:10">
      <c r="I1902" s="14"/>
      <c r="J1902" s="14"/>
    </row>
    <row r="1903" spans="9:10">
      <c r="I1903" s="14"/>
      <c r="J1903" s="14"/>
    </row>
    <row r="1904" spans="9:10">
      <c r="I1904" s="14"/>
      <c r="J1904" s="14"/>
    </row>
    <row r="1905" spans="9:10">
      <c r="I1905" s="14"/>
      <c r="J1905" s="14"/>
    </row>
    <row r="1906" spans="9:10">
      <c r="I1906" s="14"/>
      <c r="J1906" s="14"/>
    </row>
    <row r="1907" spans="9:10">
      <c r="I1907" s="14"/>
      <c r="J1907" s="14"/>
    </row>
    <row r="1908" spans="9:10">
      <c r="I1908" s="14"/>
      <c r="J1908" s="14"/>
    </row>
    <row r="1909" spans="9:10">
      <c r="I1909" s="14"/>
      <c r="J1909" s="14"/>
    </row>
    <row r="1910" spans="9:10">
      <c r="I1910" s="14"/>
      <c r="J1910" s="14"/>
    </row>
    <row r="1911" spans="9:10">
      <c r="I1911" s="14"/>
      <c r="J1911" s="14"/>
    </row>
    <row r="1912" spans="9:10">
      <c r="I1912" s="14"/>
      <c r="J1912" s="14"/>
    </row>
    <row r="1913" spans="9:10">
      <c r="I1913" s="14"/>
      <c r="J1913" s="14"/>
    </row>
    <row r="1914" spans="9:10">
      <c r="I1914" s="14"/>
      <c r="J1914" s="14"/>
    </row>
    <row r="1915" spans="9:10">
      <c r="I1915" s="14"/>
      <c r="J1915" s="14"/>
    </row>
    <row r="1916" spans="9:10">
      <c r="I1916" s="14"/>
      <c r="J1916" s="14"/>
    </row>
    <row r="1917" spans="9:10">
      <c r="I1917" s="14"/>
      <c r="J1917" s="14"/>
    </row>
    <row r="1918" spans="9:10">
      <c r="I1918" s="14"/>
      <c r="J1918" s="14"/>
    </row>
    <row r="1919" spans="9:10">
      <c r="I1919" s="14"/>
      <c r="J1919" s="14"/>
    </row>
    <row r="1920" spans="9:10">
      <c r="I1920" s="14"/>
      <c r="J1920" s="14"/>
    </row>
    <row r="1921" spans="9:10">
      <c r="I1921" s="14"/>
      <c r="J1921" s="14"/>
    </row>
    <row r="1922" spans="9:10">
      <c r="I1922" s="14"/>
      <c r="J1922" s="14"/>
    </row>
    <row r="1923" spans="9:10">
      <c r="I1923" s="14"/>
      <c r="J1923" s="14"/>
    </row>
    <row r="1924" spans="9:10">
      <c r="I1924" s="14"/>
      <c r="J1924" s="14"/>
    </row>
    <row r="1925" spans="9:10">
      <c r="I1925" s="14"/>
      <c r="J1925" s="14"/>
    </row>
    <row r="1926" spans="9:10">
      <c r="I1926" s="14"/>
      <c r="J1926" s="14"/>
    </row>
    <row r="1927" spans="9:10">
      <c r="I1927" s="14"/>
      <c r="J1927" s="14"/>
    </row>
    <row r="1928" spans="9:10">
      <c r="I1928" s="14"/>
      <c r="J1928" s="14"/>
    </row>
    <row r="1929" spans="9:10">
      <c r="I1929" s="14"/>
      <c r="J1929" s="14"/>
    </row>
    <row r="1930" spans="9:10">
      <c r="I1930" s="14"/>
      <c r="J1930" s="14"/>
    </row>
    <row r="1931" spans="9:10">
      <c r="I1931" s="14"/>
      <c r="J1931" s="14"/>
    </row>
    <row r="1932" spans="9:10">
      <c r="I1932" s="14"/>
      <c r="J1932" s="14"/>
    </row>
    <row r="1933" spans="9:10">
      <c r="I1933" s="14"/>
      <c r="J1933" s="14"/>
    </row>
    <row r="1934" spans="9:10">
      <c r="I1934" s="14"/>
      <c r="J1934" s="14"/>
    </row>
    <row r="1935" spans="9:10">
      <c r="I1935" s="14"/>
      <c r="J1935" s="14"/>
    </row>
    <row r="1936" spans="9:10">
      <c r="I1936" s="14"/>
      <c r="J1936" s="14"/>
    </row>
    <row r="1937" spans="9:10">
      <c r="I1937" s="14"/>
      <c r="J1937" s="14"/>
    </row>
    <row r="1938" spans="9:10">
      <c r="I1938" s="14"/>
      <c r="J1938" s="14"/>
    </row>
    <row r="1939" spans="9:10">
      <c r="I1939" s="14"/>
      <c r="J1939" s="14"/>
    </row>
    <row r="1940" spans="9:10">
      <c r="I1940" s="14"/>
      <c r="J1940" s="14"/>
    </row>
    <row r="1941" spans="9:10">
      <c r="I1941" s="14"/>
      <c r="J1941" s="14"/>
    </row>
    <row r="1942" spans="9:10">
      <c r="I1942" s="14"/>
      <c r="J1942" s="14"/>
    </row>
    <row r="1943" spans="9:10">
      <c r="I1943" s="14"/>
      <c r="J1943" s="14"/>
    </row>
    <row r="1944" spans="9:10">
      <c r="I1944" s="14"/>
      <c r="J1944" s="14"/>
    </row>
    <row r="1945" spans="9:10">
      <c r="I1945" s="14"/>
      <c r="J1945" s="14"/>
    </row>
    <row r="1946" spans="9:10">
      <c r="I1946" s="14"/>
      <c r="J1946" s="14"/>
    </row>
    <row r="1947" spans="9:10">
      <c r="I1947" s="14"/>
      <c r="J1947" s="14"/>
    </row>
    <row r="1948" spans="9:10">
      <c r="I1948" s="14"/>
      <c r="J1948" s="14"/>
    </row>
    <row r="1949" spans="9:10">
      <c r="I1949" s="14"/>
      <c r="J1949" s="14"/>
    </row>
    <row r="1950" spans="9:10">
      <c r="I1950" s="14"/>
      <c r="J1950" s="14"/>
    </row>
    <row r="1951" spans="9:10">
      <c r="I1951" s="14"/>
      <c r="J1951" s="14"/>
    </row>
    <row r="1952" spans="9:10">
      <c r="I1952" s="14"/>
      <c r="J1952" s="14"/>
    </row>
    <row r="1953" spans="9:10">
      <c r="I1953" s="14"/>
      <c r="J1953" s="14"/>
    </row>
    <row r="1954" spans="9:10">
      <c r="I1954" s="14"/>
      <c r="J1954" s="14"/>
    </row>
    <row r="1955" spans="9:10">
      <c r="I1955" s="14"/>
      <c r="J1955" s="14"/>
    </row>
    <row r="1956" spans="9:10">
      <c r="I1956" s="14"/>
      <c r="J1956" s="14"/>
    </row>
    <row r="1957" spans="9:10">
      <c r="I1957" s="14"/>
      <c r="J1957" s="14"/>
    </row>
    <row r="1958" spans="9:10">
      <c r="I1958" s="14"/>
      <c r="J1958" s="14"/>
    </row>
    <row r="1959" spans="9:10">
      <c r="I1959" s="14"/>
      <c r="J1959" s="14"/>
    </row>
    <row r="1960" spans="9:10">
      <c r="I1960" s="14"/>
      <c r="J1960" s="14"/>
    </row>
    <row r="1961" spans="9:10">
      <c r="I1961" s="14"/>
      <c r="J1961" s="14"/>
    </row>
    <row r="1962" spans="9:10">
      <c r="I1962" s="14"/>
      <c r="J1962" s="14"/>
    </row>
    <row r="1963" spans="9:10">
      <c r="I1963" s="14"/>
      <c r="J1963" s="14"/>
    </row>
    <row r="1964" spans="9:10">
      <c r="I1964" s="14"/>
      <c r="J1964" s="14"/>
    </row>
    <row r="1965" spans="9:10">
      <c r="I1965" s="14"/>
      <c r="J1965" s="14"/>
    </row>
    <row r="1966" spans="9:10">
      <c r="I1966" s="14"/>
      <c r="J1966" s="14"/>
    </row>
    <row r="1967" spans="9:10">
      <c r="I1967" s="14"/>
      <c r="J1967" s="14"/>
    </row>
    <row r="1968" spans="9:10">
      <c r="I1968" s="14"/>
      <c r="J1968" s="14"/>
    </row>
    <row r="1969" spans="9:10">
      <c r="I1969" s="14"/>
      <c r="J1969" s="14"/>
    </row>
    <row r="1970" spans="9:10">
      <c r="I1970" s="14"/>
      <c r="J1970" s="14"/>
    </row>
    <row r="1971" spans="9:10">
      <c r="I1971" s="14"/>
      <c r="J1971" s="14"/>
    </row>
    <row r="1972" spans="9:10">
      <c r="I1972" s="14"/>
      <c r="J1972" s="14"/>
    </row>
    <row r="1973" spans="9:10">
      <c r="I1973" s="14"/>
      <c r="J1973" s="14"/>
    </row>
    <row r="1974" spans="9:10">
      <c r="I1974" s="14"/>
      <c r="J1974" s="14"/>
    </row>
    <row r="1975" spans="9:10">
      <c r="I1975" s="14"/>
      <c r="J1975" s="14"/>
    </row>
    <row r="1976" spans="9:10">
      <c r="I1976" s="14"/>
      <c r="J1976" s="14"/>
    </row>
    <row r="1977" spans="9:10">
      <c r="I1977" s="14"/>
      <c r="J1977" s="14"/>
    </row>
    <row r="1978" spans="9:10">
      <c r="I1978" s="14"/>
      <c r="J1978" s="14"/>
    </row>
    <row r="1979" spans="9:10">
      <c r="I1979" s="14"/>
      <c r="J1979" s="14"/>
    </row>
    <row r="1980" spans="9:10">
      <c r="I1980" s="14"/>
      <c r="J1980" s="14"/>
    </row>
    <row r="1981" spans="9:10">
      <c r="I1981" s="14"/>
      <c r="J1981" s="14"/>
    </row>
    <row r="1982" spans="9:10">
      <c r="I1982" s="14"/>
      <c r="J1982" s="14"/>
    </row>
    <row r="1983" spans="9:10">
      <c r="I1983" s="14"/>
      <c r="J1983" s="14"/>
    </row>
    <row r="1984" spans="9:10">
      <c r="I1984" s="14"/>
      <c r="J1984" s="14"/>
    </row>
    <row r="1985" spans="9:10">
      <c r="I1985" s="14"/>
      <c r="J1985" s="14"/>
    </row>
    <row r="1986" spans="9:10">
      <c r="I1986" s="14"/>
      <c r="J1986" s="14"/>
    </row>
    <row r="1987" spans="9:10">
      <c r="I1987" s="14"/>
      <c r="J1987" s="14"/>
    </row>
    <row r="1988" spans="9:10">
      <c r="I1988" s="14"/>
      <c r="J1988" s="14"/>
    </row>
    <row r="1989" spans="9:10">
      <c r="I1989" s="14"/>
      <c r="J1989" s="14"/>
    </row>
    <row r="1990" spans="9:10">
      <c r="I1990" s="14"/>
      <c r="J1990" s="14"/>
    </row>
    <row r="1991" spans="9:10">
      <c r="I1991" s="14"/>
      <c r="J1991" s="14"/>
    </row>
    <row r="1992" spans="9:10">
      <c r="I1992" s="14"/>
      <c r="J1992" s="14"/>
    </row>
    <row r="1993" spans="9:10">
      <c r="I1993" s="14"/>
      <c r="J1993" s="14"/>
    </row>
    <row r="1994" spans="9:10">
      <c r="I1994" s="14"/>
      <c r="J1994" s="14"/>
    </row>
    <row r="1995" spans="9:10">
      <c r="I1995" s="14"/>
      <c r="J1995" s="14"/>
    </row>
    <row r="1996" spans="9:10">
      <c r="I1996" s="14"/>
      <c r="J1996" s="14"/>
    </row>
    <row r="1997" spans="9:10">
      <c r="I1997" s="14"/>
      <c r="J1997" s="14"/>
    </row>
    <row r="1998" spans="9:10">
      <c r="I1998" s="14"/>
      <c r="J1998" s="14"/>
    </row>
    <row r="1999" spans="9:10">
      <c r="I1999" s="14"/>
      <c r="J1999" s="14"/>
    </row>
    <row r="2000" spans="9:10">
      <c r="I2000" s="14"/>
      <c r="J2000" s="14"/>
    </row>
    <row r="2001" spans="9:10">
      <c r="I2001" s="14"/>
      <c r="J2001" s="14"/>
    </row>
    <row r="2002" spans="9:10">
      <c r="I2002" s="14"/>
      <c r="J2002" s="14"/>
    </row>
    <row r="2003" spans="9:10">
      <c r="I2003" s="14"/>
      <c r="J2003" s="14"/>
    </row>
    <row r="2004" spans="9:10">
      <c r="I2004" s="14"/>
      <c r="J2004" s="14"/>
    </row>
    <row r="2005" spans="9:10">
      <c r="I2005" s="14"/>
      <c r="J2005" s="14"/>
    </row>
    <row r="2006" spans="9:10">
      <c r="I2006" s="14"/>
      <c r="J2006" s="14"/>
    </row>
    <row r="2007" spans="9:10">
      <c r="I2007" s="14"/>
      <c r="J2007" s="14"/>
    </row>
    <row r="2008" spans="9:10">
      <c r="I2008" s="14"/>
      <c r="J2008" s="14"/>
    </row>
    <row r="2009" spans="9:10">
      <c r="I2009" s="14"/>
      <c r="J2009" s="14"/>
    </row>
    <row r="2010" spans="9:10">
      <c r="I2010" s="14"/>
      <c r="J2010" s="14"/>
    </row>
    <row r="2011" spans="9:10">
      <c r="I2011" s="14"/>
      <c r="J2011" s="14"/>
    </row>
    <row r="2012" spans="9:10">
      <c r="I2012" s="14"/>
      <c r="J2012" s="14"/>
    </row>
    <row r="2013" spans="9:10">
      <c r="I2013" s="14"/>
      <c r="J2013" s="14"/>
    </row>
    <row r="2014" spans="9:10">
      <c r="I2014" s="14"/>
      <c r="J2014" s="14"/>
    </row>
    <row r="2015" spans="9:10">
      <c r="I2015" s="14"/>
      <c r="J2015" s="14"/>
    </row>
    <row r="2016" spans="9:10">
      <c r="I2016" s="14"/>
      <c r="J2016" s="14"/>
    </row>
    <row r="2017" spans="9:10">
      <c r="I2017" s="14"/>
      <c r="J2017" s="14"/>
    </row>
    <row r="2018" spans="9:10">
      <c r="I2018" s="14"/>
      <c r="J2018" s="14"/>
    </row>
    <row r="2019" spans="9:10">
      <c r="I2019" s="14"/>
      <c r="J2019" s="14"/>
    </row>
    <row r="2020" spans="9:10">
      <c r="I2020" s="14"/>
      <c r="J2020" s="14"/>
    </row>
    <row r="2021" spans="9:10">
      <c r="I2021" s="14"/>
      <c r="J2021" s="14"/>
    </row>
    <row r="2022" spans="9:10">
      <c r="I2022" s="14"/>
      <c r="J2022" s="14"/>
    </row>
    <row r="2023" spans="9:10">
      <c r="I2023" s="14"/>
      <c r="J2023" s="14"/>
    </row>
    <row r="2024" spans="9:10">
      <c r="I2024" s="14"/>
      <c r="J2024" s="14"/>
    </row>
    <row r="2025" spans="9:10">
      <c r="I2025" s="14"/>
      <c r="J2025" s="14"/>
    </row>
    <row r="2026" spans="9:10">
      <c r="I2026" s="14"/>
      <c r="J2026" s="14"/>
    </row>
    <row r="2027" spans="9:10">
      <c r="I2027" s="14"/>
      <c r="J2027" s="14"/>
    </row>
    <row r="2028" spans="9:10">
      <c r="I2028" s="14"/>
      <c r="J2028" s="14"/>
    </row>
    <row r="2029" spans="9:10">
      <c r="I2029" s="14"/>
      <c r="J2029" s="14"/>
    </row>
    <row r="2030" spans="9:10">
      <c r="I2030" s="14"/>
      <c r="J2030" s="14"/>
    </row>
    <row r="2031" spans="9:10">
      <c r="I2031" s="14"/>
      <c r="J2031" s="14"/>
    </row>
    <row r="2032" spans="9:10">
      <c r="I2032" s="14"/>
      <c r="J2032" s="14"/>
    </row>
    <row r="2033" spans="9:10">
      <c r="I2033" s="14"/>
      <c r="J2033" s="14"/>
    </row>
    <row r="2034" spans="9:10">
      <c r="I2034" s="14"/>
      <c r="J2034" s="14"/>
    </row>
    <row r="2035" spans="9:10">
      <c r="I2035" s="14"/>
      <c r="J2035" s="14"/>
    </row>
    <row r="2036" spans="9:10">
      <c r="I2036" s="14"/>
      <c r="J2036" s="14"/>
    </row>
    <row r="2037" spans="9:10">
      <c r="I2037" s="14"/>
      <c r="J2037" s="14"/>
    </row>
    <row r="2038" spans="9:10">
      <c r="I2038" s="14"/>
      <c r="J2038" s="14"/>
    </row>
    <row r="2039" spans="9:10">
      <c r="I2039" s="14"/>
      <c r="J2039" s="14"/>
    </row>
    <row r="2040" spans="9:10">
      <c r="I2040" s="14"/>
      <c r="J2040" s="14"/>
    </row>
    <row r="2041" spans="9:10">
      <c r="I2041" s="14"/>
      <c r="J2041" s="14"/>
    </row>
    <row r="2042" spans="9:10">
      <c r="I2042" s="14"/>
      <c r="J2042" s="14"/>
    </row>
    <row r="2043" spans="9:10">
      <c r="I2043" s="14"/>
      <c r="J2043" s="14"/>
    </row>
    <row r="2044" spans="9:10">
      <c r="I2044" s="14"/>
      <c r="J2044" s="14"/>
    </row>
    <row r="2045" spans="9:10">
      <c r="I2045" s="14"/>
      <c r="J2045" s="14"/>
    </row>
    <row r="2046" spans="9:10">
      <c r="I2046" s="14"/>
      <c r="J2046" s="14"/>
    </row>
    <row r="2047" spans="9:10">
      <c r="I2047" s="14"/>
      <c r="J2047" s="14"/>
    </row>
    <row r="2048" spans="9:10">
      <c r="I2048" s="14"/>
      <c r="J2048" s="14"/>
    </row>
    <row r="2049" spans="9:10">
      <c r="I2049" s="14"/>
      <c r="J2049" s="14"/>
    </row>
    <row r="2050" spans="9:10">
      <c r="I2050" s="14"/>
      <c r="J2050" s="14"/>
    </row>
    <row r="2051" spans="9:10">
      <c r="I2051" s="14"/>
      <c r="J2051" s="14"/>
    </row>
    <row r="2052" spans="9:10">
      <c r="I2052" s="14"/>
      <c r="J2052" s="14"/>
    </row>
    <row r="2053" spans="9:10">
      <c r="I2053" s="14"/>
      <c r="J2053" s="14"/>
    </row>
    <row r="2054" spans="9:10">
      <c r="I2054" s="14"/>
      <c r="J2054" s="14"/>
    </row>
    <row r="2055" spans="9:10">
      <c r="I2055" s="14"/>
      <c r="J2055" s="14"/>
    </row>
    <row r="2056" spans="9:10">
      <c r="I2056" s="14"/>
      <c r="J2056" s="14"/>
    </row>
    <row r="2057" spans="9:10">
      <c r="I2057" s="14"/>
      <c r="J2057" s="14"/>
    </row>
    <row r="2058" spans="9:10">
      <c r="I2058" s="14"/>
      <c r="J2058" s="14"/>
    </row>
    <row r="2059" spans="9:10">
      <c r="I2059" s="14"/>
      <c r="J2059" s="14"/>
    </row>
    <row r="2060" spans="9:10">
      <c r="I2060" s="14"/>
      <c r="J2060" s="14"/>
    </row>
    <row r="2061" spans="9:10">
      <c r="I2061" s="14"/>
      <c r="J2061" s="14"/>
    </row>
    <row r="2062" spans="9:10">
      <c r="I2062" s="14"/>
      <c r="J2062" s="14"/>
    </row>
    <row r="2063" spans="9:10">
      <c r="I2063" s="14"/>
      <c r="J2063" s="14"/>
    </row>
    <row r="2064" spans="9:10">
      <c r="I2064" s="14"/>
      <c r="J2064" s="14"/>
    </row>
    <row r="2065" spans="9:10">
      <c r="I2065" s="14"/>
      <c r="J2065" s="14"/>
    </row>
    <row r="2066" spans="9:10">
      <c r="I2066" s="14"/>
      <c r="J2066" s="14"/>
    </row>
    <row r="2067" spans="9:10">
      <c r="I2067" s="14"/>
      <c r="J2067" s="14"/>
    </row>
    <row r="2068" spans="9:10">
      <c r="I2068" s="14"/>
      <c r="J2068" s="14"/>
    </row>
    <row r="2069" spans="9:10">
      <c r="I2069" s="14"/>
      <c r="J2069" s="14"/>
    </row>
    <row r="2070" spans="9:10">
      <c r="I2070" s="14"/>
      <c r="J2070" s="14"/>
    </row>
    <row r="2071" spans="9:10">
      <c r="I2071" s="14"/>
      <c r="J2071" s="14"/>
    </row>
    <row r="2072" spans="9:10">
      <c r="I2072" s="14"/>
      <c r="J2072" s="14"/>
    </row>
    <row r="2073" spans="9:10">
      <c r="I2073" s="14"/>
      <c r="J2073" s="14"/>
    </row>
    <row r="2074" spans="9:10">
      <c r="I2074" s="14"/>
      <c r="J2074" s="14"/>
    </row>
    <row r="2075" spans="9:10">
      <c r="I2075" s="14"/>
      <c r="J2075" s="14"/>
    </row>
    <row r="2076" spans="9:10">
      <c r="I2076" s="14"/>
      <c r="J2076" s="14"/>
    </row>
    <row r="2077" spans="9:10">
      <c r="I2077" s="14"/>
      <c r="J2077" s="14"/>
    </row>
    <row r="2078" spans="9:10">
      <c r="I2078" s="14"/>
      <c r="J2078" s="14"/>
    </row>
    <row r="2079" spans="9:10">
      <c r="I2079" s="14"/>
      <c r="J2079" s="14"/>
    </row>
    <row r="2080" spans="9:10">
      <c r="I2080" s="14"/>
      <c r="J2080" s="14"/>
    </row>
    <row r="2081" spans="9:10">
      <c r="I2081" s="14"/>
      <c r="J2081" s="14"/>
    </row>
    <row r="2082" spans="9:10">
      <c r="I2082" s="14"/>
      <c r="J2082" s="14"/>
    </row>
    <row r="2083" spans="9:10">
      <c r="I2083" s="14"/>
      <c r="J2083" s="14"/>
    </row>
    <row r="2084" spans="9:10">
      <c r="I2084" s="14"/>
      <c r="J2084" s="14"/>
    </row>
    <row r="2085" spans="9:10">
      <c r="I2085" s="14"/>
      <c r="J2085" s="14"/>
    </row>
    <row r="2086" spans="9:10">
      <c r="I2086" s="14"/>
      <c r="J2086" s="14"/>
    </row>
    <row r="2087" spans="9:10">
      <c r="I2087" s="14"/>
      <c r="J2087" s="14"/>
    </row>
    <row r="2088" spans="9:10">
      <c r="I2088" s="14"/>
      <c r="J2088" s="14"/>
    </row>
    <row r="2089" spans="9:10">
      <c r="I2089" s="14"/>
      <c r="J2089" s="14"/>
    </row>
    <row r="2090" spans="9:10">
      <c r="I2090" s="14"/>
      <c r="J2090" s="14"/>
    </row>
    <row r="2091" spans="9:10">
      <c r="I2091" s="14"/>
      <c r="J2091" s="14"/>
    </row>
    <row r="2092" spans="9:10">
      <c r="I2092" s="14"/>
      <c r="J2092" s="14"/>
    </row>
    <row r="2093" spans="9:10">
      <c r="I2093" s="14"/>
      <c r="J2093" s="14"/>
    </row>
    <row r="2094" spans="9:10">
      <c r="I2094" s="14"/>
      <c r="J2094" s="14"/>
    </row>
    <row r="2095" spans="9:10">
      <c r="I2095" s="14"/>
      <c r="J2095" s="14"/>
    </row>
    <row r="2096" spans="9:10">
      <c r="I2096" s="14"/>
      <c r="J2096" s="14"/>
    </row>
    <row r="2097" spans="9:10">
      <c r="I2097" s="14"/>
      <c r="J2097" s="14"/>
    </row>
    <row r="2098" spans="9:10">
      <c r="I2098" s="14"/>
      <c r="J2098" s="14"/>
    </row>
    <row r="2099" spans="9:10">
      <c r="I2099" s="14"/>
      <c r="J2099" s="14"/>
    </row>
    <row r="2100" spans="9:10">
      <c r="I2100" s="14"/>
      <c r="J2100" s="14"/>
    </row>
    <row r="2101" spans="9:10">
      <c r="I2101" s="14"/>
      <c r="J2101" s="14"/>
    </row>
    <row r="2102" spans="9:10">
      <c r="I2102" s="14"/>
      <c r="J2102" s="14"/>
    </row>
    <row r="2103" spans="9:10">
      <c r="I2103" s="14"/>
      <c r="J2103" s="14"/>
    </row>
    <row r="2104" spans="9:10">
      <c r="I2104" s="14"/>
      <c r="J2104" s="14"/>
    </row>
    <row r="2105" spans="9:10">
      <c r="I2105" s="14"/>
      <c r="J2105" s="14"/>
    </row>
    <row r="2106" spans="9:10">
      <c r="I2106" s="14"/>
      <c r="J2106" s="14"/>
    </row>
    <row r="2107" spans="9:10">
      <c r="I2107" s="14"/>
      <c r="J2107" s="14"/>
    </row>
    <row r="2108" spans="9:10">
      <c r="I2108" s="14"/>
      <c r="J2108" s="14"/>
    </row>
    <row r="2109" spans="9:10">
      <c r="I2109" s="14"/>
      <c r="J2109" s="14"/>
    </row>
    <row r="2110" spans="9:10">
      <c r="I2110" s="14"/>
      <c r="J2110" s="14"/>
    </row>
    <row r="2111" spans="9:10">
      <c r="I2111" s="14"/>
      <c r="J2111" s="14"/>
    </row>
    <row r="2112" spans="9:10">
      <c r="I2112" s="14"/>
      <c r="J2112" s="14"/>
    </row>
    <row r="2113" spans="9:10">
      <c r="I2113" s="14"/>
      <c r="J2113" s="14"/>
    </row>
    <row r="2114" spans="9:10">
      <c r="I2114" s="14"/>
      <c r="J2114" s="14"/>
    </row>
    <row r="2115" spans="9:10">
      <c r="I2115" s="14"/>
      <c r="J2115" s="14"/>
    </row>
    <row r="2116" spans="9:10">
      <c r="I2116" s="14"/>
      <c r="J2116" s="14"/>
    </row>
    <row r="2117" spans="9:10">
      <c r="I2117" s="14"/>
      <c r="J2117" s="14"/>
    </row>
    <row r="2118" spans="9:10">
      <c r="I2118" s="14"/>
      <c r="J2118" s="14"/>
    </row>
    <row r="2119" spans="9:10">
      <c r="I2119" s="14"/>
      <c r="J2119" s="14"/>
    </row>
    <row r="2120" spans="9:10">
      <c r="I2120" s="14"/>
      <c r="J2120" s="14"/>
    </row>
    <row r="2121" spans="9:10">
      <c r="I2121" s="14"/>
      <c r="J2121" s="14"/>
    </row>
    <row r="2122" spans="9:10">
      <c r="I2122" s="14"/>
      <c r="J2122" s="14"/>
    </row>
    <row r="2123" spans="9:10">
      <c r="I2123" s="14"/>
      <c r="J2123" s="14"/>
    </row>
    <row r="2124" spans="9:10">
      <c r="I2124" s="14"/>
      <c r="J2124" s="14"/>
    </row>
    <row r="2125" spans="9:10">
      <c r="I2125" s="14"/>
      <c r="J2125" s="14"/>
    </row>
    <row r="2126" spans="9:10">
      <c r="I2126" s="14"/>
      <c r="J2126" s="14"/>
    </row>
    <row r="2127" spans="9:10">
      <c r="I2127" s="14"/>
      <c r="J2127" s="14"/>
    </row>
    <row r="2128" spans="9:10">
      <c r="I2128" s="14"/>
      <c r="J2128" s="14"/>
    </row>
    <row r="2129" spans="9:10">
      <c r="I2129" s="14"/>
      <c r="J2129" s="14"/>
    </row>
    <row r="2130" spans="9:10">
      <c r="I2130" s="14"/>
      <c r="J2130" s="14"/>
    </row>
    <row r="2131" spans="9:10">
      <c r="I2131" s="14"/>
      <c r="J2131" s="14"/>
    </row>
    <row r="2132" spans="9:10">
      <c r="I2132" s="14"/>
      <c r="J2132" s="14"/>
    </row>
    <row r="2133" spans="9:10">
      <c r="I2133" s="14"/>
      <c r="J2133" s="14"/>
    </row>
    <row r="2134" spans="9:10">
      <c r="I2134" s="14"/>
      <c r="J2134" s="14"/>
    </row>
    <row r="2135" spans="9:10">
      <c r="I2135" s="14"/>
      <c r="J2135" s="14"/>
    </row>
    <row r="2136" spans="9:10">
      <c r="I2136" s="14"/>
      <c r="J2136" s="14"/>
    </row>
    <row r="2137" spans="9:10">
      <c r="I2137" s="14"/>
      <c r="J2137" s="14"/>
    </row>
    <row r="2138" spans="9:10">
      <c r="I2138" s="14"/>
      <c r="J2138" s="14"/>
    </row>
    <row r="2139" spans="9:10">
      <c r="I2139" s="14"/>
      <c r="J2139" s="14"/>
    </row>
    <row r="2140" spans="9:10">
      <c r="I2140" s="14"/>
      <c r="J2140" s="14"/>
    </row>
    <row r="2141" spans="9:10">
      <c r="I2141" s="14"/>
      <c r="J2141" s="14"/>
    </row>
    <row r="2142" spans="9:10">
      <c r="I2142" s="14"/>
      <c r="J2142" s="14"/>
    </row>
    <row r="2143" spans="9:10">
      <c r="I2143" s="14"/>
      <c r="J2143" s="14"/>
    </row>
    <row r="2144" spans="9:10">
      <c r="I2144" s="14"/>
      <c r="J2144" s="14"/>
    </row>
    <row r="2145" spans="9:10">
      <c r="I2145" s="14"/>
      <c r="J2145" s="14"/>
    </row>
    <row r="2146" spans="9:10">
      <c r="I2146" s="14"/>
      <c r="J2146" s="14"/>
    </row>
    <row r="2147" spans="9:10">
      <c r="I2147" s="14"/>
      <c r="J2147" s="14"/>
    </row>
    <row r="2148" spans="9:10">
      <c r="I2148" s="14"/>
      <c r="J2148" s="14"/>
    </row>
    <row r="2149" spans="9:10">
      <c r="I2149" s="14"/>
      <c r="J2149" s="14"/>
    </row>
    <row r="2150" spans="9:10">
      <c r="I2150" s="14"/>
      <c r="J2150" s="14"/>
    </row>
    <row r="2151" spans="9:10">
      <c r="I2151" s="14"/>
      <c r="J2151" s="14"/>
    </row>
    <row r="2152" spans="9:10">
      <c r="I2152" s="14"/>
      <c r="J2152" s="14"/>
    </row>
    <row r="2153" spans="9:10">
      <c r="I2153" s="14"/>
      <c r="J2153" s="14"/>
    </row>
    <row r="2154" spans="9:10">
      <c r="I2154" s="14"/>
      <c r="J2154" s="14"/>
    </row>
    <row r="2155" spans="9:10">
      <c r="I2155" s="14"/>
      <c r="J2155" s="14"/>
    </row>
    <row r="2156" spans="9:10">
      <c r="I2156" s="14"/>
      <c r="J2156" s="14"/>
    </row>
    <row r="2157" spans="9:10">
      <c r="I2157" s="14"/>
      <c r="J2157" s="14"/>
    </row>
    <row r="2158" spans="9:10">
      <c r="I2158" s="14"/>
      <c r="J2158" s="14"/>
    </row>
    <row r="2159" spans="9:10">
      <c r="I2159" s="14"/>
      <c r="J2159" s="14"/>
    </row>
    <row r="2160" spans="9:10">
      <c r="I2160" s="14"/>
      <c r="J2160" s="14"/>
    </row>
    <row r="2161" spans="9:10">
      <c r="I2161" s="14"/>
      <c r="J2161" s="14"/>
    </row>
    <row r="2162" spans="9:10">
      <c r="I2162" s="14"/>
      <c r="J2162" s="14"/>
    </row>
    <row r="2163" spans="9:10">
      <c r="I2163" s="14"/>
      <c r="J2163" s="14"/>
    </row>
    <row r="2164" spans="9:10">
      <c r="I2164" s="14"/>
      <c r="J2164" s="14"/>
    </row>
    <row r="2165" spans="9:10">
      <c r="I2165" s="14"/>
      <c r="J2165" s="14"/>
    </row>
    <row r="2166" spans="9:10">
      <c r="I2166" s="14"/>
      <c r="J2166" s="14"/>
    </row>
    <row r="2167" spans="9:10">
      <c r="I2167" s="14"/>
      <c r="J2167" s="14"/>
    </row>
    <row r="2168" spans="9:10">
      <c r="I2168" s="14"/>
      <c r="J2168" s="14"/>
    </row>
    <row r="2169" spans="9:10">
      <c r="I2169" s="14"/>
      <c r="J2169" s="14"/>
    </row>
    <row r="2170" spans="9:10">
      <c r="I2170" s="14"/>
      <c r="J2170" s="14"/>
    </row>
    <row r="2171" spans="9:10">
      <c r="I2171" s="14"/>
      <c r="J2171" s="14"/>
    </row>
    <row r="2172" spans="9:10">
      <c r="I2172" s="14"/>
      <c r="J2172" s="14"/>
    </row>
    <row r="2173" spans="9:10">
      <c r="I2173" s="14"/>
      <c r="J2173" s="14"/>
    </row>
    <row r="2174" spans="9:10">
      <c r="I2174" s="14"/>
      <c r="J2174" s="14"/>
    </row>
    <row r="2175" spans="9:10">
      <c r="I2175" s="14"/>
      <c r="J2175" s="14"/>
    </row>
    <row r="2176" spans="9:10">
      <c r="I2176" s="14"/>
      <c r="J2176" s="14"/>
    </row>
    <row r="2177" spans="9:10">
      <c r="I2177" s="14"/>
      <c r="J2177" s="14"/>
    </row>
    <row r="2178" spans="9:10">
      <c r="I2178" s="14"/>
      <c r="J2178" s="14"/>
    </row>
    <row r="2179" spans="9:10">
      <c r="I2179" s="14"/>
      <c r="J2179" s="14"/>
    </row>
    <row r="2180" spans="9:10">
      <c r="I2180" s="14"/>
      <c r="J2180" s="14"/>
    </row>
    <row r="2181" spans="9:10">
      <c r="I2181" s="14"/>
      <c r="J2181" s="14"/>
    </row>
    <row r="2182" spans="9:10">
      <c r="I2182" s="14"/>
      <c r="J2182" s="14"/>
    </row>
    <row r="2183" spans="9:10">
      <c r="I2183" s="14"/>
      <c r="J2183" s="14"/>
    </row>
    <row r="2184" spans="9:10">
      <c r="I2184" s="14"/>
      <c r="J2184" s="14"/>
    </row>
    <row r="2185" spans="9:10">
      <c r="I2185" s="14"/>
      <c r="J2185" s="14"/>
    </row>
    <row r="2186" spans="9:10">
      <c r="I2186" s="14"/>
      <c r="J2186" s="14"/>
    </row>
    <row r="2187" spans="9:10">
      <c r="I2187" s="14"/>
      <c r="J2187" s="14"/>
    </row>
    <row r="2188" spans="9:10">
      <c r="I2188" s="14"/>
      <c r="J2188" s="14"/>
    </row>
    <row r="2189" spans="9:10">
      <c r="I2189" s="14"/>
      <c r="J2189" s="14"/>
    </row>
    <row r="2190" spans="9:10">
      <c r="I2190" s="14"/>
      <c r="J2190" s="14"/>
    </row>
    <row r="2191" spans="9:10">
      <c r="I2191" s="14"/>
      <c r="J2191" s="14"/>
    </row>
    <row r="2192" spans="9:10">
      <c r="I2192" s="14"/>
      <c r="J2192" s="14"/>
    </row>
    <row r="2193" spans="9:10">
      <c r="I2193" s="14"/>
      <c r="J2193" s="14"/>
    </row>
    <row r="2194" spans="9:10">
      <c r="I2194" s="14"/>
      <c r="J2194" s="14"/>
    </row>
    <row r="2195" spans="9:10">
      <c r="I2195" s="14"/>
      <c r="J2195" s="14"/>
    </row>
    <row r="2196" spans="9:10">
      <c r="I2196" s="14"/>
      <c r="J2196" s="14"/>
    </row>
    <row r="2197" spans="9:10">
      <c r="I2197" s="14"/>
      <c r="J2197" s="14"/>
    </row>
    <row r="2198" spans="9:10">
      <c r="I2198" s="14"/>
      <c r="J2198" s="14"/>
    </row>
    <row r="2199" spans="9:10">
      <c r="I2199" s="14"/>
      <c r="J2199" s="14"/>
    </row>
    <row r="2200" spans="9:10">
      <c r="I2200" s="14"/>
      <c r="J2200" s="14"/>
    </row>
    <row r="2201" spans="9:10">
      <c r="I2201" s="14"/>
      <c r="J2201" s="14"/>
    </row>
    <row r="2202" spans="9:10">
      <c r="I2202" s="14"/>
      <c r="J2202" s="14"/>
    </row>
    <row r="2203" spans="9:10">
      <c r="I2203" s="14"/>
      <c r="J2203" s="14"/>
    </row>
    <row r="2204" spans="9:10">
      <c r="I2204" s="14"/>
      <c r="J2204" s="14"/>
    </row>
    <row r="2205" spans="9:10">
      <c r="I2205" s="14"/>
      <c r="J2205" s="14"/>
    </row>
    <row r="2206" spans="9:10">
      <c r="I2206" s="14"/>
      <c r="J2206" s="14"/>
    </row>
    <row r="2207" spans="9:10">
      <c r="I2207" s="14"/>
      <c r="J2207" s="14"/>
    </row>
    <row r="2208" spans="9:10">
      <c r="I2208" s="14"/>
      <c r="J2208" s="14"/>
    </row>
    <row r="2209" spans="9:10">
      <c r="I2209" s="14"/>
      <c r="J2209" s="14"/>
    </row>
    <row r="2210" spans="9:10">
      <c r="I2210" s="14"/>
      <c r="J2210" s="14"/>
    </row>
    <row r="2211" spans="9:10">
      <c r="I2211" s="14"/>
      <c r="J2211" s="14"/>
    </row>
    <row r="2212" spans="9:10">
      <c r="I2212" s="14"/>
      <c r="J2212" s="14"/>
    </row>
    <row r="2213" spans="9:10">
      <c r="I2213" s="14"/>
      <c r="J2213" s="14"/>
    </row>
    <row r="2214" spans="9:10">
      <c r="I2214" s="14"/>
      <c r="J2214" s="14"/>
    </row>
    <row r="2215" spans="9:10">
      <c r="I2215" s="14"/>
      <c r="J2215" s="14"/>
    </row>
    <row r="2216" spans="9:10">
      <c r="I2216" s="14"/>
      <c r="J2216" s="14"/>
    </row>
    <row r="2217" spans="9:10">
      <c r="I2217" s="14"/>
      <c r="J2217" s="14"/>
    </row>
    <row r="2218" spans="9:10">
      <c r="I2218" s="14"/>
      <c r="J2218" s="14"/>
    </row>
    <row r="2219" spans="9:10">
      <c r="I2219" s="14"/>
      <c r="J2219" s="14"/>
    </row>
    <row r="2220" spans="9:10">
      <c r="I2220" s="14"/>
      <c r="J2220" s="14"/>
    </row>
    <row r="2221" spans="9:10">
      <c r="I2221" s="14"/>
      <c r="J2221" s="14"/>
    </row>
    <row r="2222" spans="9:10">
      <c r="I2222" s="14"/>
      <c r="J2222" s="14"/>
    </row>
    <row r="2223" spans="9:10">
      <c r="I2223" s="14"/>
      <c r="J2223" s="14"/>
    </row>
    <row r="2224" spans="9:10">
      <c r="I2224" s="14"/>
      <c r="J2224" s="14"/>
    </row>
    <row r="2225" spans="9:10">
      <c r="I2225" s="14"/>
      <c r="J2225" s="14"/>
    </row>
    <row r="2226" spans="9:10">
      <c r="I2226" s="14"/>
      <c r="J2226" s="14"/>
    </row>
    <row r="2227" spans="9:10">
      <c r="I2227" s="14"/>
      <c r="J2227" s="14"/>
    </row>
    <row r="2228" spans="9:10">
      <c r="I2228" s="14"/>
      <c r="J2228" s="14"/>
    </row>
    <row r="2229" spans="9:10">
      <c r="I2229" s="14"/>
      <c r="J2229" s="14"/>
    </row>
    <row r="2230" spans="9:10">
      <c r="I2230" s="14"/>
      <c r="J2230" s="14"/>
    </row>
    <row r="2231" spans="9:10">
      <c r="I2231" s="14"/>
      <c r="J2231" s="14"/>
    </row>
    <row r="2232" spans="9:10">
      <c r="I2232" s="14"/>
      <c r="J2232" s="14"/>
    </row>
    <row r="2233" spans="9:10">
      <c r="I2233" s="14"/>
      <c r="J2233" s="14"/>
    </row>
    <row r="2234" spans="9:10">
      <c r="I2234" s="14"/>
      <c r="J2234" s="14"/>
    </row>
    <row r="2235" spans="9:10">
      <c r="I2235" s="14"/>
      <c r="J2235" s="14"/>
    </row>
    <row r="2236" spans="9:10">
      <c r="I2236" s="14"/>
      <c r="J2236" s="14"/>
    </row>
    <row r="2237" spans="9:10">
      <c r="I2237" s="14"/>
      <c r="J2237" s="14"/>
    </row>
    <row r="2238" spans="9:10">
      <c r="I2238" s="14"/>
      <c r="J2238" s="14"/>
    </row>
    <row r="2239" spans="9:10">
      <c r="I2239" s="14"/>
      <c r="J2239" s="14"/>
    </row>
    <row r="2240" spans="9:10">
      <c r="I2240" s="14"/>
      <c r="J2240" s="14"/>
    </row>
    <row r="2241" spans="9:10">
      <c r="I2241" s="14"/>
      <c r="J2241" s="14"/>
    </row>
    <row r="2242" spans="9:10">
      <c r="I2242" s="14"/>
      <c r="J2242" s="14"/>
    </row>
    <row r="2243" spans="9:10">
      <c r="I2243" s="14"/>
      <c r="J2243" s="14"/>
    </row>
    <row r="2244" spans="9:10">
      <c r="I2244" s="14"/>
      <c r="J2244" s="14"/>
    </row>
    <row r="2245" spans="9:10">
      <c r="I2245" s="14"/>
      <c r="J2245" s="14"/>
    </row>
    <row r="2246" spans="9:10">
      <c r="I2246" s="14"/>
      <c r="J2246" s="14"/>
    </row>
    <row r="2247" spans="9:10">
      <c r="I2247" s="14"/>
      <c r="J2247" s="14"/>
    </row>
    <row r="2248" spans="9:10">
      <c r="I2248" s="14"/>
      <c r="J2248" s="14"/>
    </row>
    <row r="2249" spans="9:10">
      <c r="I2249" s="14"/>
      <c r="J2249" s="14"/>
    </row>
    <row r="2250" spans="9:10">
      <c r="I2250" s="14"/>
      <c r="J2250" s="14"/>
    </row>
    <row r="2251" spans="9:10">
      <c r="I2251" s="14"/>
      <c r="J2251" s="14"/>
    </row>
    <row r="2252" spans="9:10">
      <c r="I2252" s="14"/>
      <c r="J2252" s="14"/>
    </row>
    <row r="2253" spans="9:10">
      <c r="I2253" s="14"/>
      <c r="J2253" s="14"/>
    </row>
    <row r="2254" spans="9:10">
      <c r="I2254" s="14"/>
      <c r="J2254" s="14"/>
    </row>
    <row r="2255" spans="9:10">
      <c r="I2255" s="14"/>
      <c r="J2255" s="14"/>
    </row>
    <row r="2256" spans="9:10">
      <c r="I2256" s="14"/>
      <c r="J2256" s="14"/>
    </row>
    <row r="2257" spans="9:10">
      <c r="I2257" s="14"/>
      <c r="J2257" s="14"/>
    </row>
    <row r="2258" spans="9:10">
      <c r="I2258" s="14"/>
      <c r="J2258" s="14"/>
    </row>
    <row r="2259" spans="9:10">
      <c r="I2259" s="14"/>
      <c r="J2259" s="14"/>
    </row>
    <row r="2260" spans="9:10">
      <c r="I2260" s="14"/>
      <c r="J2260" s="14"/>
    </row>
    <row r="2261" spans="9:10">
      <c r="I2261" s="14"/>
      <c r="J2261" s="14"/>
    </row>
    <row r="2262" spans="9:10">
      <c r="I2262" s="14"/>
      <c r="J2262" s="14"/>
    </row>
    <row r="2263" spans="9:10">
      <c r="I2263" s="14"/>
      <c r="J2263" s="14"/>
    </row>
    <row r="2264" spans="9:10">
      <c r="I2264" s="14"/>
      <c r="J2264" s="14"/>
    </row>
    <row r="2265" spans="9:10">
      <c r="I2265" s="14"/>
      <c r="J2265" s="14"/>
    </row>
    <row r="2266" spans="9:10">
      <c r="I2266" s="14"/>
      <c r="J2266" s="14"/>
    </row>
    <row r="2267" spans="9:10">
      <c r="I2267" s="14"/>
      <c r="J2267" s="14"/>
    </row>
    <row r="2268" spans="9:10">
      <c r="I2268" s="14"/>
      <c r="J2268" s="14"/>
    </row>
    <row r="2269" spans="9:10">
      <c r="I2269" s="14"/>
      <c r="J2269" s="14"/>
    </row>
    <row r="2270" spans="9:10">
      <c r="I2270" s="14"/>
      <c r="J2270" s="14"/>
    </row>
    <row r="2271" spans="9:10">
      <c r="I2271" s="14"/>
      <c r="J2271" s="14"/>
    </row>
    <row r="2272" spans="9:10">
      <c r="I2272" s="14"/>
      <c r="J2272" s="14"/>
    </row>
    <row r="2273" spans="9:10">
      <c r="I2273" s="14"/>
      <c r="J2273" s="14"/>
    </row>
    <row r="2274" spans="9:10">
      <c r="I2274" s="14"/>
      <c r="J2274" s="14"/>
    </row>
    <row r="2275" spans="9:10">
      <c r="I2275" s="14"/>
      <c r="J2275" s="14"/>
    </row>
    <row r="2276" spans="9:10">
      <c r="I2276" s="14"/>
      <c r="J2276" s="14"/>
    </row>
    <row r="2277" spans="9:10">
      <c r="I2277" s="14"/>
      <c r="J2277" s="14"/>
    </row>
    <row r="2278" spans="9:10">
      <c r="I2278" s="14"/>
      <c r="J2278" s="14"/>
    </row>
    <row r="2279" spans="9:10">
      <c r="I2279" s="14"/>
      <c r="J2279" s="14"/>
    </row>
    <row r="2280" spans="9:10">
      <c r="I2280" s="14"/>
      <c r="J2280" s="14"/>
    </row>
    <row r="2281" spans="9:10">
      <c r="I2281" s="14"/>
      <c r="J2281" s="14"/>
    </row>
    <row r="2282" spans="9:10">
      <c r="I2282" s="14"/>
      <c r="J2282" s="14"/>
    </row>
    <row r="2283" spans="9:10">
      <c r="I2283" s="14"/>
      <c r="J2283" s="14"/>
    </row>
    <row r="2284" spans="9:10">
      <c r="I2284" s="14"/>
      <c r="J2284" s="14"/>
    </row>
    <row r="2285" spans="9:10">
      <c r="I2285" s="14"/>
      <c r="J2285" s="14"/>
    </row>
    <row r="2286" spans="9:10">
      <c r="I2286" s="14"/>
      <c r="J2286" s="14"/>
    </row>
    <row r="2287" spans="9:10">
      <c r="I2287" s="14"/>
      <c r="J2287" s="14"/>
    </row>
    <row r="2288" spans="9:10">
      <c r="I2288" s="14"/>
      <c r="J2288" s="14"/>
    </row>
    <row r="2289" spans="9:10">
      <c r="I2289" s="14"/>
      <c r="J2289" s="14"/>
    </row>
    <row r="2290" spans="9:10">
      <c r="I2290" s="14"/>
      <c r="J2290" s="14"/>
    </row>
    <row r="2291" spans="9:10">
      <c r="I2291" s="14"/>
      <c r="J2291" s="14"/>
    </row>
    <row r="2292" spans="9:10">
      <c r="I2292" s="14"/>
      <c r="J2292" s="14"/>
    </row>
    <row r="2293" spans="9:10">
      <c r="I2293" s="14"/>
      <c r="J2293" s="14"/>
    </row>
    <row r="2294" spans="9:10">
      <c r="I2294" s="14"/>
      <c r="J2294" s="14"/>
    </row>
    <row r="2295" spans="9:10">
      <c r="I2295" s="14"/>
      <c r="J2295" s="14"/>
    </row>
    <row r="2296" spans="9:10">
      <c r="I2296" s="14"/>
      <c r="J2296" s="14"/>
    </row>
    <row r="2297" spans="9:10">
      <c r="I2297" s="14"/>
      <c r="J2297" s="14"/>
    </row>
    <row r="2298" spans="9:10">
      <c r="I2298" s="14"/>
      <c r="J2298" s="14"/>
    </row>
    <row r="2299" spans="9:10">
      <c r="I2299" s="14"/>
      <c r="J2299" s="14"/>
    </row>
    <row r="2300" spans="9:10">
      <c r="I2300" s="14"/>
      <c r="J2300" s="14"/>
    </row>
    <row r="2301" spans="9:10">
      <c r="I2301" s="14"/>
      <c r="J2301" s="14"/>
    </row>
    <row r="2302" spans="9:10">
      <c r="I2302" s="14"/>
      <c r="J2302" s="14"/>
    </row>
    <row r="2303" spans="9:10">
      <c r="I2303" s="14"/>
      <c r="J2303" s="14"/>
    </row>
    <row r="2304" spans="9:10">
      <c r="I2304" s="14"/>
      <c r="J2304" s="14"/>
    </row>
    <row r="2305" spans="9:10">
      <c r="I2305" s="14"/>
      <c r="J2305" s="14"/>
    </row>
    <row r="2306" spans="9:10">
      <c r="I2306" s="14"/>
      <c r="J2306" s="14"/>
    </row>
    <row r="2307" spans="9:10">
      <c r="I2307" s="14"/>
      <c r="J2307" s="14"/>
    </row>
    <row r="2308" spans="9:10">
      <c r="I2308" s="14"/>
      <c r="J2308" s="14"/>
    </row>
    <row r="2309" spans="9:10">
      <c r="I2309" s="14"/>
      <c r="J2309" s="14"/>
    </row>
    <row r="2310" spans="9:10">
      <c r="I2310" s="14"/>
      <c r="J2310" s="14"/>
    </row>
    <row r="2311" spans="9:10">
      <c r="I2311" s="14"/>
      <c r="J2311" s="14"/>
    </row>
    <row r="2312" spans="9:10">
      <c r="I2312" s="14"/>
      <c r="J2312" s="14"/>
    </row>
    <row r="2313" spans="9:10">
      <c r="I2313" s="14"/>
      <c r="J2313" s="14"/>
    </row>
    <row r="2314" spans="9:10">
      <c r="I2314" s="14"/>
      <c r="J2314" s="14"/>
    </row>
    <row r="2315" spans="9:10">
      <c r="I2315" s="14"/>
      <c r="J2315" s="14"/>
    </row>
    <row r="2316" spans="9:10">
      <c r="I2316" s="14"/>
      <c r="J2316" s="14"/>
    </row>
    <row r="2317" spans="9:10">
      <c r="I2317" s="14"/>
      <c r="J2317" s="14"/>
    </row>
    <row r="2318" spans="9:10">
      <c r="I2318" s="14"/>
      <c r="J2318" s="14"/>
    </row>
    <row r="2319" spans="9:10">
      <c r="I2319" s="14"/>
      <c r="J2319" s="14"/>
    </row>
    <row r="2320" spans="9:10">
      <c r="I2320" s="14"/>
      <c r="J2320" s="14"/>
    </row>
    <row r="2321" spans="9:10">
      <c r="I2321" s="14"/>
      <c r="J2321" s="14"/>
    </row>
    <row r="2322" spans="9:10">
      <c r="I2322" s="14"/>
      <c r="J2322" s="14"/>
    </row>
    <row r="2323" spans="9:10">
      <c r="I2323" s="14"/>
      <c r="J2323" s="14"/>
    </row>
    <row r="2324" spans="9:10">
      <c r="I2324" s="14"/>
      <c r="J2324" s="14"/>
    </row>
    <row r="2325" spans="9:10">
      <c r="I2325" s="14"/>
      <c r="J2325" s="14"/>
    </row>
    <row r="2326" spans="9:10">
      <c r="I2326" s="14"/>
      <c r="J2326" s="14"/>
    </row>
    <row r="2327" spans="9:10">
      <c r="I2327" s="14"/>
      <c r="J2327" s="14"/>
    </row>
    <row r="2328" spans="9:10">
      <c r="I2328" s="14"/>
      <c r="J2328" s="14"/>
    </row>
    <row r="2329" spans="9:10">
      <c r="I2329" s="14"/>
      <c r="J2329" s="14"/>
    </row>
    <row r="2330" spans="9:10">
      <c r="I2330" s="14"/>
      <c r="J2330" s="14"/>
    </row>
    <row r="2331" spans="9:10">
      <c r="I2331" s="14"/>
      <c r="J2331" s="14"/>
    </row>
    <row r="2332" spans="9:10">
      <c r="I2332" s="14"/>
      <c r="J2332" s="14"/>
    </row>
    <row r="2333" spans="9:10">
      <c r="I2333" s="14"/>
      <c r="J2333" s="14"/>
    </row>
    <row r="2334" spans="9:10">
      <c r="I2334" s="14"/>
      <c r="J2334" s="14"/>
    </row>
    <row r="2335" spans="9:10">
      <c r="I2335" s="14"/>
      <c r="J2335" s="14"/>
    </row>
    <row r="2336" spans="9:10">
      <c r="I2336" s="14"/>
      <c r="J2336" s="14"/>
    </row>
    <row r="2337" spans="9:10">
      <c r="I2337" s="14"/>
      <c r="J2337" s="14"/>
    </row>
    <row r="2338" spans="9:10">
      <c r="I2338" s="14"/>
      <c r="J2338" s="14"/>
    </row>
    <row r="2339" spans="9:10">
      <c r="I2339" s="14"/>
      <c r="J2339" s="14"/>
    </row>
    <row r="2340" spans="9:10">
      <c r="I2340" s="14"/>
      <c r="J2340" s="14"/>
    </row>
    <row r="2341" spans="9:10">
      <c r="I2341" s="14"/>
      <c r="J2341" s="14"/>
    </row>
    <row r="2342" spans="9:10">
      <c r="I2342" s="14"/>
      <c r="J2342" s="14"/>
    </row>
    <row r="2343" spans="9:10">
      <c r="I2343" s="14"/>
      <c r="J2343" s="14"/>
    </row>
    <row r="2344" spans="9:10">
      <c r="I2344" s="14"/>
      <c r="J2344" s="14"/>
    </row>
    <row r="2345" spans="9:10">
      <c r="I2345" s="14"/>
      <c r="J2345" s="14"/>
    </row>
    <row r="2346" spans="9:10">
      <c r="I2346" s="14"/>
      <c r="J2346" s="14"/>
    </row>
    <row r="2347" spans="9:10">
      <c r="I2347" s="14"/>
      <c r="J2347" s="14"/>
    </row>
    <row r="2348" spans="9:10">
      <c r="I2348" s="14"/>
      <c r="J2348" s="14"/>
    </row>
    <row r="2349" spans="9:10">
      <c r="I2349" s="14"/>
      <c r="J2349" s="14"/>
    </row>
    <row r="2350" spans="9:10">
      <c r="I2350" s="14"/>
      <c r="J2350" s="14"/>
    </row>
    <row r="2351" spans="9:10">
      <c r="I2351" s="14"/>
      <c r="J2351" s="14"/>
    </row>
    <row r="2352" spans="9:10">
      <c r="I2352" s="14"/>
      <c r="J2352" s="14"/>
    </row>
    <row r="2353" spans="9:10">
      <c r="I2353" s="14"/>
      <c r="J2353" s="14"/>
    </row>
    <row r="2354" spans="9:10">
      <c r="I2354" s="14"/>
      <c r="J2354" s="14"/>
    </row>
    <row r="2355" spans="9:10">
      <c r="I2355" s="14"/>
      <c r="J2355" s="14"/>
    </row>
    <row r="2356" spans="9:10">
      <c r="I2356" s="14"/>
      <c r="J2356" s="14"/>
    </row>
    <row r="2357" spans="9:10">
      <c r="I2357" s="14"/>
      <c r="J2357" s="14"/>
    </row>
    <row r="2358" spans="9:10">
      <c r="I2358" s="14"/>
      <c r="J2358" s="14"/>
    </row>
    <row r="2359" spans="9:10">
      <c r="I2359" s="14"/>
      <c r="J2359" s="14"/>
    </row>
    <row r="2360" spans="9:10">
      <c r="I2360" s="14"/>
      <c r="J2360" s="14"/>
    </row>
    <row r="2361" spans="9:10">
      <c r="I2361" s="14"/>
      <c r="J2361" s="14"/>
    </row>
    <row r="2362" spans="9:10">
      <c r="I2362" s="14"/>
      <c r="J2362" s="14"/>
    </row>
    <row r="2363" spans="9:10">
      <c r="I2363" s="14"/>
      <c r="J2363" s="14"/>
    </row>
    <row r="2364" spans="9:10">
      <c r="I2364" s="14"/>
      <c r="J2364" s="14"/>
    </row>
    <row r="2365" spans="9:10">
      <c r="I2365" s="14"/>
      <c r="J2365" s="14"/>
    </row>
    <row r="2366" spans="9:10">
      <c r="I2366" s="14"/>
      <c r="J2366" s="14"/>
    </row>
    <row r="2367" spans="9:10">
      <c r="I2367" s="14"/>
      <c r="J2367" s="14"/>
    </row>
    <row r="2368" spans="9:10">
      <c r="I2368" s="14"/>
      <c r="J2368" s="14"/>
    </row>
    <row r="2369" spans="9:10">
      <c r="I2369" s="14"/>
      <c r="J2369" s="14"/>
    </row>
    <row r="2370" spans="9:10">
      <c r="I2370" s="14"/>
      <c r="J2370" s="14"/>
    </row>
    <row r="2371" spans="9:10">
      <c r="I2371" s="14"/>
      <c r="J2371" s="14"/>
    </row>
    <row r="2372" spans="9:10">
      <c r="I2372" s="14"/>
      <c r="J2372" s="14"/>
    </row>
    <row r="2373" spans="9:10">
      <c r="I2373" s="14"/>
      <c r="J2373" s="14"/>
    </row>
    <row r="2374" spans="9:10">
      <c r="I2374" s="14"/>
      <c r="J2374" s="14"/>
    </row>
    <row r="2375" spans="9:10">
      <c r="I2375" s="14"/>
      <c r="J2375" s="14"/>
    </row>
    <row r="2376" spans="9:10">
      <c r="I2376" s="14"/>
      <c r="J2376" s="14"/>
    </row>
    <row r="2377" spans="9:10">
      <c r="I2377" s="14"/>
      <c r="J2377" s="14"/>
    </row>
    <row r="2378" spans="9:10">
      <c r="I2378" s="14"/>
      <c r="J2378" s="14"/>
    </row>
    <row r="2379" spans="9:10">
      <c r="I2379" s="14"/>
      <c r="J2379" s="14"/>
    </row>
    <row r="2380" spans="9:10">
      <c r="I2380" s="14"/>
      <c r="J2380" s="14"/>
    </row>
    <row r="2381" spans="9:10">
      <c r="I2381" s="14"/>
      <c r="J2381" s="14"/>
    </row>
    <row r="2382" spans="9:10">
      <c r="I2382" s="14"/>
      <c r="J2382" s="14"/>
    </row>
    <row r="2383" spans="9:10">
      <c r="I2383" s="14"/>
      <c r="J2383" s="14"/>
    </row>
    <row r="2384" spans="9:10">
      <c r="I2384" s="14"/>
      <c r="J2384" s="14"/>
    </row>
    <row r="2385" spans="9:10">
      <c r="I2385" s="14"/>
      <c r="J2385" s="14"/>
    </row>
    <row r="2386" spans="9:10">
      <c r="I2386" s="14"/>
      <c r="J2386" s="14"/>
    </row>
    <row r="2387" spans="9:10">
      <c r="I2387" s="14"/>
      <c r="J2387" s="14"/>
    </row>
    <row r="2388" spans="9:10">
      <c r="I2388" s="14"/>
      <c r="J2388" s="14"/>
    </row>
    <row r="2389" spans="9:10">
      <c r="I2389" s="14"/>
      <c r="J2389" s="14"/>
    </row>
    <row r="2390" spans="9:10">
      <c r="I2390" s="14"/>
      <c r="J2390" s="14"/>
    </row>
    <row r="2391" spans="9:10">
      <c r="I2391" s="14"/>
      <c r="J2391" s="14"/>
    </row>
    <row r="2392" spans="9:10">
      <c r="I2392" s="14"/>
      <c r="J2392" s="14"/>
    </row>
    <row r="2393" spans="9:10">
      <c r="I2393" s="14"/>
      <c r="J2393" s="14"/>
    </row>
    <row r="2394" spans="9:10">
      <c r="I2394" s="14"/>
      <c r="J2394" s="14"/>
    </row>
    <row r="2395" spans="9:10">
      <c r="I2395" s="14"/>
      <c r="J2395" s="14"/>
    </row>
    <row r="2396" spans="9:10">
      <c r="I2396" s="14"/>
      <c r="J2396" s="14"/>
    </row>
    <row r="2397" spans="9:10">
      <c r="I2397" s="14"/>
      <c r="J2397" s="14"/>
    </row>
    <row r="2398" spans="9:10">
      <c r="I2398" s="14"/>
      <c r="J2398" s="14"/>
    </row>
    <row r="2399" spans="9:10">
      <c r="I2399" s="14"/>
      <c r="J2399" s="14"/>
    </row>
    <row r="2400" spans="9:10">
      <c r="I2400" s="14"/>
      <c r="J2400" s="14"/>
    </row>
    <row r="2401" spans="9:10">
      <c r="I2401" s="14"/>
      <c r="J2401" s="14"/>
    </row>
    <row r="2402" spans="9:10">
      <c r="I2402" s="14"/>
      <c r="J2402" s="14"/>
    </row>
    <row r="2403" spans="9:10">
      <c r="I2403" s="14"/>
      <c r="J2403" s="14"/>
    </row>
    <row r="2404" spans="9:10">
      <c r="I2404" s="14"/>
      <c r="J2404" s="14"/>
    </row>
    <row r="2405" spans="9:10">
      <c r="I2405" s="14"/>
      <c r="J2405" s="14"/>
    </row>
    <row r="2406" spans="9:10">
      <c r="I2406" s="14"/>
      <c r="J2406" s="14"/>
    </row>
    <row r="2407" spans="9:10">
      <c r="I2407" s="14"/>
      <c r="J2407" s="14"/>
    </row>
    <row r="2408" spans="9:10">
      <c r="I2408" s="14"/>
      <c r="J2408" s="14"/>
    </row>
    <row r="2409" spans="9:10">
      <c r="I2409" s="14"/>
      <c r="J2409" s="14"/>
    </row>
    <row r="2410" spans="9:10">
      <c r="I2410" s="14"/>
      <c r="J2410" s="14"/>
    </row>
    <row r="2411" spans="9:10">
      <c r="I2411" s="14"/>
      <c r="J2411" s="14"/>
    </row>
    <row r="2412" spans="9:10">
      <c r="I2412" s="14"/>
      <c r="J2412" s="14"/>
    </row>
    <row r="2413" spans="9:10">
      <c r="I2413" s="14"/>
      <c r="J2413" s="14"/>
    </row>
    <row r="2414" spans="9:10">
      <c r="I2414" s="14"/>
      <c r="J2414" s="14"/>
    </row>
    <row r="2415" spans="9:10">
      <c r="I2415" s="14"/>
      <c r="J2415" s="14"/>
    </row>
    <row r="2416" spans="9:10">
      <c r="I2416" s="14"/>
      <c r="J2416" s="14"/>
    </row>
    <row r="2417" spans="9:10">
      <c r="I2417" s="14"/>
      <c r="J2417" s="14"/>
    </row>
    <row r="2418" spans="9:10">
      <c r="I2418" s="14"/>
      <c r="J2418" s="14"/>
    </row>
    <row r="2419" spans="9:10">
      <c r="I2419" s="14"/>
      <c r="J2419" s="14"/>
    </row>
    <row r="2420" spans="9:10">
      <c r="I2420" s="14"/>
      <c r="J2420" s="14"/>
    </row>
    <row r="2421" spans="9:10">
      <c r="I2421" s="14"/>
      <c r="J2421" s="14"/>
    </row>
    <row r="2422" spans="9:10">
      <c r="I2422" s="14"/>
      <c r="J2422" s="14"/>
    </row>
    <row r="2423" spans="9:10">
      <c r="I2423" s="14"/>
      <c r="J2423" s="14"/>
    </row>
    <row r="2424" spans="9:10">
      <c r="I2424" s="14"/>
      <c r="J2424" s="14"/>
    </row>
    <row r="2425" spans="9:10">
      <c r="I2425" s="14"/>
      <c r="J2425" s="14"/>
    </row>
    <row r="2426" spans="9:10">
      <c r="I2426" s="14"/>
      <c r="J2426" s="14"/>
    </row>
    <row r="2427" spans="9:10">
      <c r="I2427" s="14"/>
      <c r="J2427" s="14"/>
    </row>
    <row r="2428" spans="9:10">
      <c r="I2428" s="14"/>
      <c r="J2428" s="14"/>
    </row>
    <row r="2429" spans="9:10">
      <c r="I2429" s="14"/>
      <c r="J2429" s="14"/>
    </row>
    <row r="2430" spans="9:10">
      <c r="I2430" s="14"/>
      <c r="J2430" s="14"/>
    </row>
    <row r="2431" spans="9:10">
      <c r="I2431" s="14"/>
      <c r="J2431" s="14"/>
    </row>
    <row r="2432" spans="9:10">
      <c r="I2432" s="14"/>
      <c r="J2432" s="14"/>
    </row>
    <row r="2433" spans="9:10">
      <c r="I2433" s="14"/>
      <c r="J2433" s="14"/>
    </row>
    <row r="2434" spans="9:10">
      <c r="I2434" s="14"/>
      <c r="J2434" s="14"/>
    </row>
    <row r="2435" spans="9:10">
      <c r="I2435" s="14"/>
      <c r="J2435" s="14"/>
    </row>
    <row r="2436" spans="9:10">
      <c r="I2436" s="14"/>
      <c r="J2436" s="14"/>
    </row>
    <row r="2437" spans="9:10">
      <c r="I2437" s="14"/>
      <c r="J2437" s="14"/>
    </row>
    <row r="2438" spans="9:10">
      <c r="I2438" s="14"/>
      <c r="J2438" s="14"/>
    </row>
    <row r="2439" spans="9:10">
      <c r="I2439" s="14"/>
      <c r="J2439" s="14"/>
    </row>
    <row r="2440" spans="9:10">
      <c r="I2440" s="14"/>
      <c r="J2440" s="14"/>
    </row>
    <row r="2441" spans="9:10">
      <c r="I2441" s="14"/>
      <c r="J2441" s="14"/>
    </row>
    <row r="2442" spans="9:10">
      <c r="I2442" s="14"/>
      <c r="J2442" s="14"/>
    </row>
    <row r="2443" spans="9:10">
      <c r="I2443" s="14"/>
      <c r="J2443" s="14"/>
    </row>
    <row r="2444" spans="9:10">
      <c r="I2444" s="14"/>
      <c r="J2444" s="14"/>
    </row>
    <row r="2445" spans="9:10">
      <c r="I2445" s="14"/>
      <c r="J2445" s="14"/>
    </row>
    <row r="2446" spans="9:10">
      <c r="I2446" s="14"/>
      <c r="J2446" s="14"/>
    </row>
    <row r="2447" spans="9:10">
      <c r="I2447" s="14"/>
      <c r="J2447" s="14"/>
    </row>
    <row r="2448" spans="9:10">
      <c r="I2448" s="14"/>
      <c r="J2448" s="14"/>
    </row>
    <row r="2449" spans="9:10">
      <c r="I2449" s="14"/>
      <c r="J2449" s="14"/>
    </row>
    <row r="2450" spans="9:10">
      <c r="I2450" s="14"/>
      <c r="J2450" s="14"/>
    </row>
    <row r="2451" spans="9:10">
      <c r="I2451" s="14"/>
      <c r="J2451" s="14"/>
    </row>
    <row r="2452" spans="9:10">
      <c r="I2452" s="14"/>
      <c r="J2452" s="14"/>
    </row>
    <row r="2453" spans="9:10">
      <c r="I2453" s="14"/>
      <c r="J2453" s="14"/>
    </row>
    <row r="2454" spans="9:10">
      <c r="I2454" s="14"/>
      <c r="J2454" s="14"/>
    </row>
    <row r="2455" spans="9:10">
      <c r="I2455" s="14"/>
      <c r="J2455" s="14"/>
    </row>
    <row r="2456" spans="9:10">
      <c r="I2456" s="14"/>
      <c r="J2456" s="14"/>
    </row>
    <row r="2457" spans="9:10">
      <c r="I2457" s="14"/>
      <c r="J2457" s="14"/>
    </row>
    <row r="2458" spans="9:10">
      <c r="I2458" s="14"/>
      <c r="J2458" s="14"/>
    </row>
    <row r="2459" spans="9:10">
      <c r="I2459" s="14"/>
      <c r="J2459" s="14"/>
    </row>
    <row r="2460" spans="9:10">
      <c r="I2460" s="14"/>
      <c r="J2460" s="14"/>
    </row>
    <row r="2461" spans="9:10">
      <c r="I2461" s="14"/>
      <c r="J2461" s="14"/>
    </row>
    <row r="2462" spans="9:10">
      <c r="I2462" s="14"/>
      <c r="J2462" s="14"/>
    </row>
    <row r="2463" spans="9:10">
      <c r="I2463" s="14"/>
      <c r="J2463" s="14"/>
    </row>
    <row r="2464" spans="9:10">
      <c r="I2464" s="14"/>
      <c r="J2464" s="14"/>
    </row>
    <row r="2465" spans="9:10">
      <c r="I2465" s="14"/>
      <c r="J2465" s="14"/>
    </row>
    <row r="2466" spans="9:10">
      <c r="I2466" s="14"/>
      <c r="J2466" s="14"/>
    </row>
    <row r="2467" spans="9:10">
      <c r="I2467" s="14"/>
      <c r="J2467" s="14"/>
    </row>
    <row r="2468" spans="9:10">
      <c r="I2468" s="14"/>
      <c r="J2468" s="14"/>
    </row>
    <row r="2469" spans="9:10">
      <c r="I2469" s="14"/>
      <c r="J2469" s="14"/>
    </row>
    <row r="2470" spans="9:10">
      <c r="I2470" s="14"/>
      <c r="J2470" s="14"/>
    </row>
    <row r="2471" spans="9:10">
      <c r="I2471" s="14"/>
      <c r="J2471" s="14"/>
    </row>
    <row r="2472" spans="9:10">
      <c r="I2472" s="14"/>
      <c r="J2472" s="14"/>
    </row>
    <row r="2473" spans="9:10">
      <c r="I2473" s="14"/>
      <c r="J2473" s="14"/>
    </row>
    <row r="2474" spans="9:10">
      <c r="I2474" s="14"/>
      <c r="J2474" s="14"/>
    </row>
    <row r="2475" spans="9:10">
      <c r="I2475" s="14"/>
      <c r="J2475" s="14"/>
    </row>
    <row r="2476" spans="9:10">
      <c r="I2476" s="14"/>
      <c r="J2476" s="14"/>
    </row>
    <row r="2477" spans="9:10">
      <c r="I2477" s="14"/>
      <c r="J2477" s="14"/>
    </row>
    <row r="2478" spans="9:10">
      <c r="I2478" s="14"/>
      <c r="J2478" s="14"/>
    </row>
    <row r="2479" spans="9:10">
      <c r="I2479" s="14"/>
      <c r="J2479" s="14"/>
    </row>
    <row r="2480" spans="9:10">
      <c r="I2480" s="14"/>
      <c r="J2480" s="14"/>
    </row>
    <row r="2481" spans="9:10">
      <c r="I2481" s="14"/>
      <c r="J2481" s="14"/>
    </row>
    <row r="2482" spans="9:10">
      <c r="I2482" s="14"/>
      <c r="J2482" s="14"/>
    </row>
    <row r="2483" spans="9:10">
      <c r="I2483" s="14"/>
      <c r="J2483" s="14"/>
    </row>
    <row r="2484" spans="9:10">
      <c r="I2484" s="14"/>
      <c r="J2484" s="14"/>
    </row>
    <row r="2485" spans="9:10">
      <c r="I2485" s="14"/>
      <c r="J2485" s="14"/>
    </row>
    <row r="2486" spans="9:10">
      <c r="I2486" s="14"/>
      <c r="J2486" s="14"/>
    </row>
    <row r="2487" spans="9:10">
      <c r="I2487" s="14"/>
      <c r="J2487" s="14"/>
    </row>
    <row r="2488" spans="9:10">
      <c r="I2488" s="14"/>
      <c r="J2488" s="14"/>
    </row>
    <row r="2489" spans="9:10">
      <c r="I2489" s="14"/>
      <c r="J2489" s="14"/>
    </row>
    <row r="2490" spans="9:10">
      <c r="I2490" s="14"/>
      <c r="J2490" s="14"/>
    </row>
    <row r="2491" spans="9:10">
      <c r="I2491" s="14"/>
      <c r="J2491" s="14"/>
    </row>
    <row r="2492" spans="9:10">
      <c r="I2492" s="14"/>
      <c r="J2492" s="14"/>
    </row>
    <row r="2493" spans="9:10">
      <c r="I2493" s="14"/>
      <c r="J2493" s="14"/>
    </row>
    <row r="2494" spans="9:10">
      <c r="I2494" s="14"/>
      <c r="J2494" s="14"/>
    </row>
    <row r="2495" spans="9:10">
      <c r="I2495" s="14"/>
      <c r="J2495" s="14"/>
    </row>
    <row r="2496" spans="9:10">
      <c r="I2496" s="14"/>
      <c r="J2496" s="14"/>
    </row>
    <row r="2497" spans="9:10">
      <c r="I2497" s="14"/>
      <c r="J2497" s="14"/>
    </row>
    <row r="2498" spans="9:10">
      <c r="I2498" s="14"/>
      <c r="J2498" s="14"/>
    </row>
    <row r="2499" spans="9:10">
      <c r="I2499" s="14"/>
      <c r="J2499" s="14"/>
    </row>
    <row r="2500" spans="9:10">
      <c r="I2500" s="14"/>
      <c r="J2500" s="14"/>
    </row>
    <row r="2501" spans="9:10">
      <c r="I2501" s="14"/>
      <c r="J2501" s="14"/>
    </row>
    <row r="2502" spans="9:10">
      <c r="I2502" s="14"/>
      <c r="J2502" s="14"/>
    </row>
    <row r="2503" spans="9:10">
      <c r="I2503" s="14"/>
      <c r="J2503" s="14"/>
    </row>
    <row r="2504" spans="9:10">
      <c r="I2504" s="14"/>
      <c r="J2504" s="14"/>
    </row>
    <row r="2505" spans="9:10">
      <c r="I2505" s="14"/>
      <c r="J2505" s="14"/>
    </row>
    <row r="2506" spans="9:10">
      <c r="I2506" s="14"/>
      <c r="J2506" s="14"/>
    </row>
    <row r="2507" spans="9:10">
      <c r="I2507" s="14"/>
      <c r="J2507" s="14"/>
    </row>
    <row r="2508" spans="9:10">
      <c r="I2508" s="14"/>
      <c r="J2508" s="14"/>
    </row>
    <row r="2509" spans="9:10">
      <c r="I2509" s="14"/>
      <c r="J2509" s="14"/>
    </row>
    <row r="2510" spans="9:10">
      <c r="I2510" s="14"/>
      <c r="J2510" s="14"/>
    </row>
    <row r="2511" spans="9:10">
      <c r="I2511" s="14"/>
      <c r="J2511" s="14"/>
    </row>
    <row r="2512" spans="9:10">
      <c r="I2512" s="14"/>
      <c r="J2512" s="14"/>
    </row>
    <row r="2513" spans="9:10">
      <c r="I2513" s="14"/>
      <c r="J2513" s="14"/>
    </row>
    <row r="2514" spans="9:10">
      <c r="I2514" s="14"/>
      <c r="J2514" s="14"/>
    </row>
    <row r="2515" spans="9:10">
      <c r="I2515" s="14"/>
      <c r="J2515" s="14"/>
    </row>
    <row r="2516" spans="9:10">
      <c r="I2516" s="14"/>
      <c r="J2516" s="14"/>
    </row>
    <row r="2517" spans="9:10">
      <c r="I2517" s="14"/>
      <c r="J2517" s="14"/>
    </row>
    <row r="2518" spans="9:10">
      <c r="I2518" s="14"/>
      <c r="J2518" s="14"/>
    </row>
    <row r="2519" spans="9:10">
      <c r="I2519" s="14"/>
      <c r="J2519" s="14"/>
    </row>
    <row r="2520" spans="9:10">
      <c r="I2520" s="14"/>
      <c r="J2520" s="14"/>
    </row>
    <row r="2521" spans="9:10">
      <c r="I2521" s="14"/>
      <c r="J2521" s="14"/>
    </row>
    <row r="2522" spans="9:10">
      <c r="I2522" s="14"/>
      <c r="J2522" s="14"/>
    </row>
    <row r="2523" spans="9:10">
      <c r="I2523" s="14"/>
      <c r="J2523" s="14"/>
    </row>
    <row r="2524" spans="9:10">
      <c r="I2524" s="14"/>
      <c r="J2524" s="14"/>
    </row>
    <row r="2525" spans="9:10">
      <c r="I2525" s="14"/>
      <c r="J2525" s="14"/>
    </row>
    <row r="2526" spans="9:10">
      <c r="I2526" s="14"/>
      <c r="J2526" s="14"/>
    </row>
    <row r="2527" spans="9:10">
      <c r="I2527" s="14"/>
      <c r="J2527" s="14"/>
    </row>
    <row r="2528" spans="9:10">
      <c r="I2528" s="14"/>
      <c r="J2528" s="14"/>
    </row>
    <row r="2529" spans="9:10">
      <c r="I2529" s="14"/>
      <c r="J2529" s="14"/>
    </row>
    <row r="2530" spans="9:10">
      <c r="I2530" s="14"/>
      <c r="J2530" s="14"/>
    </row>
    <row r="2531" spans="9:10">
      <c r="I2531" s="14"/>
      <c r="J2531" s="14"/>
    </row>
    <row r="2532" spans="9:10">
      <c r="I2532" s="14"/>
      <c r="J2532" s="14"/>
    </row>
    <row r="2533" spans="9:10">
      <c r="I2533" s="14"/>
      <c r="J2533" s="14"/>
    </row>
    <row r="2534" spans="9:10">
      <c r="I2534" s="14"/>
      <c r="J2534" s="14"/>
    </row>
    <row r="2535" spans="9:10">
      <c r="I2535" s="14"/>
      <c r="J2535" s="14"/>
    </row>
    <row r="2536" spans="9:10">
      <c r="I2536" s="14"/>
      <c r="J2536" s="14"/>
    </row>
    <row r="2537" spans="9:10">
      <c r="I2537" s="14"/>
      <c r="J2537" s="14"/>
    </row>
    <row r="2538" spans="9:10">
      <c r="I2538" s="14"/>
      <c r="J2538" s="14"/>
    </row>
    <row r="2539" spans="9:10">
      <c r="I2539" s="14"/>
      <c r="J2539" s="14"/>
    </row>
    <row r="2540" spans="9:10">
      <c r="I2540" s="14"/>
      <c r="J2540" s="14"/>
    </row>
    <row r="2541" spans="9:10">
      <c r="I2541" s="14"/>
      <c r="J2541" s="14"/>
    </row>
    <row r="2542" spans="9:10">
      <c r="I2542" s="14"/>
      <c r="J2542" s="14"/>
    </row>
    <row r="2543" spans="9:10">
      <c r="I2543" s="14"/>
      <c r="J2543" s="14"/>
    </row>
    <row r="2544" spans="9:10">
      <c r="I2544" s="14"/>
      <c r="J2544" s="14"/>
    </row>
    <row r="2545" spans="9:10">
      <c r="I2545" s="14"/>
      <c r="J2545" s="14"/>
    </row>
    <row r="2546" spans="9:10">
      <c r="I2546" s="14"/>
      <c r="J2546" s="14"/>
    </row>
    <row r="2547" spans="9:10">
      <c r="I2547" s="14"/>
      <c r="J2547" s="14"/>
    </row>
    <row r="2548" spans="9:10">
      <c r="I2548" s="14"/>
      <c r="J2548" s="14"/>
    </row>
    <row r="2549" spans="9:10">
      <c r="I2549" s="14"/>
      <c r="J2549" s="14"/>
    </row>
    <row r="2550" spans="9:10">
      <c r="I2550" s="14"/>
      <c r="J2550" s="14"/>
    </row>
    <row r="2551" spans="9:10">
      <c r="I2551" s="14"/>
      <c r="J2551" s="14"/>
    </row>
    <row r="2552" spans="9:10">
      <c r="I2552" s="14"/>
      <c r="J2552" s="14"/>
    </row>
    <row r="2553" spans="9:10">
      <c r="I2553" s="14"/>
      <c r="J2553" s="14"/>
    </row>
    <row r="2554" spans="9:10">
      <c r="I2554" s="14"/>
      <c r="J2554" s="14"/>
    </row>
    <row r="2555" spans="9:10">
      <c r="I2555" s="14"/>
      <c r="J2555" s="14"/>
    </row>
    <row r="2556" spans="9:10">
      <c r="I2556" s="14"/>
      <c r="J2556" s="14"/>
    </row>
    <row r="2557" spans="9:10">
      <c r="I2557" s="14"/>
      <c r="J2557" s="14"/>
    </row>
    <row r="2558" spans="9:10">
      <c r="I2558" s="14"/>
      <c r="J2558" s="14"/>
    </row>
    <row r="2559" spans="9:10">
      <c r="I2559" s="14"/>
      <c r="J2559" s="14"/>
    </row>
    <row r="2560" spans="9:10">
      <c r="I2560" s="14"/>
      <c r="J2560" s="14"/>
    </row>
    <row r="2561" spans="9:10">
      <c r="I2561" s="14"/>
      <c r="J2561" s="14"/>
    </row>
    <row r="2562" spans="9:10">
      <c r="I2562" s="14"/>
      <c r="J2562" s="14"/>
    </row>
    <row r="2563" spans="9:10">
      <c r="I2563" s="14"/>
      <c r="J2563" s="14"/>
    </row>
    <row r="2564" spans="9:10">
      <c r="I2564" s="14"/>
      <c r="J2564" s="14"/>
    </row>
    <row r="2565" spans="9:10">
      <c r="I2565" s="14"/>
      <c r="J2565" s="14"/>
    </row>
    <row r="2566" spans="9:10">
      <c r="I2566" s="14"/>
      <c r="J2566" s="14"/>
    </row>
    <row r="2567" spans="9:10">
      <c r="I2567" s="14"/>
      <c r="J2567" s="14"/>
    </row>
    <row r="2568" spans="9:10">
      <c r="I2568" s="14"/>
      <c r="J2568" s="14"/>
    </row>
    <row r="2569" spans="9:10">
      <c r="I2569" s="14"/>
      <c r="J2569" s="14"/>
    </row>
    <row r="2570" spans="9:10">
      <c r="I2570" s="14"/>
      <c r="J2570" s="14"/>
    </row>
    <row r="2571" spans="9:10">
      <c r="I2571" s="14"/>
      <c r="J2571" s="14"/>
    </row>
    <row r="2572" spans="9:10">
      <c r="I2572" s="14"/>
      <c r="J2572" s="14"/>
    </row>
    <row r="2573" spans="9:10">
      <c r="I2573" s="14"/>
      <c r="J2573" s="14"/>
    </row>
    <row r="2574" spans="9:10">
      <c r="I2574" s="14"/>
      <c r="J2574" s="14"/>
    </row>
    <row r="2575" spans="9:10">
      <c r="I2575" s="14"/>
      <c r="J2575" s="14"/>
    </row>
    <row r="2576" spans="9:10">
      <c r="I2576" s="14"/>
      <c r="J2576" s="14"/>
    </row>
    <row r="2577" spans="9:10">
      <c r="I2577" s="14"/>
      <c r="J2577" s="14"/>
    </row>
    <row r="2578" spans="9:10">
      <c r="I2578" s="14"/>
      <c r="J2578" s="14"/>
    </row>
    <row r="2579" spans="9:10">
      <c r="I2579" s="14"/>
      <c r="J2579" s="14"/>
    </row>
    <row r="2580" spans="9:10">
      <c r="I2580" s="14"/>
      <c r="J2580" s="14"/>
    </row>
    <row r="2581" spans="9:10">
      <c r="I2581" s="14"/>
      <c r="J2581" s="14"/>
    </row>
    <row r="2582" spans="9:10">
      <c r="I2582" s="14"/>
      <c r="J2582" s="14"/>
    </row>
    <row r="2583" spans="9:10">
      <c r="I2583" s="14"/>
      <c r="J2583" s="14"/>
    </row>
    <row r="2584" spans="9:10">
      <c r="I2584" s="14"/>
      <c r="J2584" s="14"/>
    </row>
    <row r="2585" spans="9:10">
      <c r="I2585" s="14"/>
      <c r="J2585" s="14"/>
    </row>
    <row r="2586" spans="9:10">
      <c r="I2586" s="14"/>
      <c r="J2586" s="14"/>
    </row>
    <row r="2587" spans="9:10">
      <c r="I2587" s="14"/>
      <c r="J2587" s="14"/>
    </row>
    <row r="2588" spans="9:10">
      <c r="I2588" s="14"/>
      <c r="J2588" s="14"/>
    </row>
    <row r="2589" spans="9:10">
      <c r="I2589" s="14"/>
      <c r="J2589" s="14"/>
    </row>
    <row r="2590" spans="9:10">
      <c r="I2590" s="14"/>
      <c r="J2590" s="14"/>
    </row>
    <row r="2591" spans="9:10">
      <c r="I2591" s="14"/>
      <c r="J2591" s="14"/>
    </row>
    <row r="2592" spans="9:10">
      <c r="I2592" s="14"/>
      <c r="J2592" s="14"/>
    </row>
    <row r="2593" spans="9:10">
      <c r="I2593" s="14"/>
      <c r="J2593" s="14"/>
    </row>
    <row r="2594" spans="9:10">
      <c r="I2594" s="14"/>
      <c r="J2594" s="14"/>
    </row>
    <row r="2595" spans="9:10">
      <c r="I2595" s="14"/>
      <c r="J2595" s="14"/>
    </row>
    <row r="2596" spans="9:10">
      <c r="I2596" s="14"/>
      <c r="J2596" s="14"/>
    </row>
    <row r="2597" spans="9:10">
      <c r="I2597" s="14"/>
      <c r="J2597" s="14"/>
    </row>
    <row r="2598" spans="9:10">
      <c r="I2598" s="14"/>
      <c r="J2598" s="14"/>
    </row>
    <row r="2599" spans="9:10">
      <c r="I2599" s="14"/>
      <c r="J2599" s="14"/>
    </row>
    <row r="2600" spans="9:10">
      <c r="I2600" s="14"/>
      <c r="J2600" s="14"/>
    </row>
    <row r="2601" spans="9:10">
      <c r="I2601" s="14"/>
      <c r="J2601" s="14"/>
    </row>
    <row r="2602" spans="9:10">
      <c r="I2602" s="14"/>
      <c r="J2602" s="14"/>
    </row>
    <row r="2603" spans="9:10">
      <c r="I2603" s="14"/>
      <c r="J2603" s="14"/>
    </row>
    <row r="2604" spans="9:10">
      <c r="I2604" s="14"/>
      <c r="J2604" s="14"/>
    </row>
    <row r="2605" spans="9:10">
      <c r="I2605" s="14"/>
      <c r="J2605" s="14"/>
    </row>
    <row r="2606" spans="9:10">
      <c r="I2606" s="14"/>
      <c r="J2606" s="14"/>
    </row>
    <row r="2607" spans="9:10">
      <c r="I2607" s="14"/>
      <c r="J2607" s="14"/>
    </row>
    <row r="2608" spans="9:10">
      <c r="I2608" s="14"/>
      <c r="J2608" s="14"/>
    </row>
    <row r="2609" spans="9:10">
      <c r="I2609" s="14"/>
      <c r="J2609" s="14"/>
    </row>
    <row r="2610" spans="9:10">
      <c r="I2610" s="14"/>
      <c r="J2610" s="14"/>
    </row>
    <row r="2611" spans="9:10">
      <c r="I2611" s="14"/>
      <c r="J2611" s="14"/>
    </row>
    <row r="2612" spans="9:10">
      <c r="I2612" s="14"/>
      <c r="J2612" s="14"/>
    </row>
    <row r="2613" spans="9:10">
      <c r="I2613" s="14"/>
      <c r="J2613" s="14"/>
    </row>
    <row r="2614" spans="9:10">
      <c r="I2614" s="14"/>
      <c r="J2614" s="14"/>
    </row>
    <row r="2615" spans="9:10">
      <c r="I2615" s="14"/>
      <c r="J2615" s="14"/>
    </row>
    <row r="2616" spans="9:10">
      <c r="I2616" s="14"/>
      <c r="J2616" s="14"/>
    </row>
    <row r="2617" spans="9:10">
      <c r="I2617" s="14"/>
      <c r="J2617" s="14"/>
    </row>
    <row r="2618" spans="9:10">
      <c r="I2618" s="14"/>
      <c r="J2618" s="14"/>
    </row>
    <row r="2619" spans="9:10">
      <c r="I2619" s="14"/>
      <c r="J2619" s="14"/>
    </row>
    <row r="2620" spans="9:10">
      <c r="I2620" s="14"/>
      <c r="J2620" s="14"/>
    </row>
    <row r="2621" spans="9:10">
      <c r="I2621" s="14"/>
      <c r="J2621" s="14"/>
    </row>
    <row r="2622" spans="9:10">
      <c r="I2622" s="14"/>
      <c r="J2622" s="14"/>
    </row>
    <row r="2623" spans="9:10">
      <c r="I2623" s="14"/>
      <c r="J2623" s="14"/>
    </row>
    <row r="2624" spans="9:10">
      <c r="I2624" s="14"/>
      <c r="J2624" s="14"/>
    </row>
    <row r="2625" spans="9:10">
      <c r="I2625" s="14"/>
      <c r="J2625" s="14"/>
    </row>
    <row r="2626" spans="9:10">
      <c r="I2626" s="14"/>
      <c r="J2626" s="14"/>
    </row>
    <row r="2627" spans="9:10">
      <c r="I2627" s="14"/>
      <c r="J2627" s="14"/>
    </row>
    <row r="2628" spans="9:10">
      <c r="I2628" s="14"/>
      <c r="J2628" s="14"/>
    </row>
    <row r="2629" spans="9:10">
      <c r="I2629" s="14"/>
      <c r="J2629" s="14"/>
    </row>
    <row r="2630" spans="9:10">
      <c r="I2630" s="14"/>
      <c r="J2630" s="14"/>
    </row>
    <row r="2631" spans="9:10">
      <c r="I2631" s="14"/>
      <c r="J2631" s="14"/>
    </row>
    <row r="2632" spans="9:10">
      <c r="I2632" s="14"/>
      <c r="J2632" s="14"/>
    </row>
    <row r="2633" spans="9:10">
      <c r="I2633" s="14"/>
      <c r="J2633" s="14"/>
    </row>
    <row r="2634" spans="9:10">
      <c r="I2634" s="14"/>
      <c r="J2634" s="14"/>
    </row>
    <row r="2635" spans="9:10">
      <c r="I2635" s="14"/>
      <c r="J2635" s="14"/>
    </row>
    <row r="2636" spans="9:10">
      <c r="I2636" s="14"/>
      <c r="J2636" s="14"/>
    </row>
    <row r="2637" spans="9:10">
      <c r="I2637" s="14"/>
      <c r="J2637" s="14"/>
    </row>
    <row r="2638" spans="9:10">
      <c r="I2638" s="14"/>
      <c r="J2638" s="14"/>
    </row>
    <row r="2639" spans="9:10">
      <c r="I2639" s="14"/>
      <c r="J2639" s="14"/>
    </row>
    <row r="2640" spans="9:10">
      <c r="I2640" s="14"/>
      <c r="J2640" s="14"/>
    </row>
    <row r="2641" spans="9:10">
      <c r="I2641" s="14"/>
      <c r="J2641" s="14"/>
    </row>
    <row r="2642" spans="9:10">
      <c r="I2642" s="14"/>
      <c r="J2642" s="14"/>
    </row>
    <row r="2643" spans="9:10">
      <c r="I2643" s="14"/>
      <c r="J2643" s="14"/>
    </row>
    <row r="2644" spans="9:10">
      <c r="I2644" s="14"/>
      <c r="J2644" s="14"/>
    </row>
    <row r="2645" spans="9:10">
      <c r="I2645" s="14"/>
      <c r="J2645" s="14"/>
    </row>
    <row r="2646" spans="9:10">
      <c r="I2646" s="14"/>
      <c r="J2646" s="14"/>
    </row>
    <row r="2647" spans="9:10">
      <c r="I2647" s="14"/>
      <c r="J2647" s="14"/>
    </row>
    <row r="2648" spans="9:10">
      <c r="I2648" s="14"/>
      <c r="J2648" s="14"/>
    </row>
    <row r="2649" spans="9:10">
      <c r="I2649" s="14"/>
      <c r="J2649" s="14"/>
    </row>
    <row r="2650" spans="9:10">
      <c r="I2650" s="14"/>
      <c r="J2650" s="14"/>
    </row>
    <row r="2651" spans="9:10">
      <c r="I2651" s="14"/>
      <c r="J2651" s="14"/>
    </row>
    <row r="2652" spans="9:10">
      <c r="I2652" s="14"/>
      <c r="J2652" s="14"/>
    </row>
    <row r="2653" spans="9:10">
      <c r="I2653" s="14"/>
      <c r="J2653" s="14"/>
    </row>
    <row r="2654" spans="9:10">
      <c r="I2654" s="14"/>
      <c r="J2654" s="14"/>
    </row>
    <row r="2655" spans="9:10">
      <c r="I2655" s="14"/>
      <c r="J2655" s="14"/>
    </row>
    <row r="2656" spans="9:10">
      <c r="I2656" s="14"/>
      <c r="J2656" s="14"/>
    </row>
    <row r="2657" spans="9:10">
      <c r="I2657" s="14"/>
      <c r="J2657" s="14"/>
    </row>
    <row r="2658" spans="9:10">
      <c r="I2658" s="14"/>
      <c r="J2658" s="14"/>
    </row>
    <row r="2659" spans="9:10">
      <c r="I2659" s="14"/>
      <c r="J2659" s="14"/>
    </row>
    <row r="2660" spans="9:10">
      <c r="I2660" s="14"/>
      <c r="J2660" s="14"/>
    </row>
    <row r="2661" spans="9:10">
      <c r="I2661" s="14"/>
      <c r="J2661" s="14"/>
    </row>
    <row r="2662" spans="9:10">
      <c r="I2662" s="14"/>
      <c r="J2662" s="14"/>
    </row>
    <row r="2663" spans="9:10">
      <c r="I2663" s="14"/>
      <c r="J2663" s="14"/>
    </row>
    <row r="2664" spans="9:10">
      <c r="I2664" s="14"/>
      <c r="J2664" s="14"/>
    </row>
    <row r="2665" spans="9:10">
      <c r="I2665" s="14"/>
      <c r="J2665" s="14"/>
    </row>
    <row r="2666" spans="9:10">
      <c r="I2666" s="14"/>
      <c r="J2666" s="14"/>
    </row>
    <row r="2667" spans="9:10">
      <c r="I2667" s="14"/>
      <c r="J2667" s="14"/>
    </row>
    <row r="2668" spans="9:10">
      <c r="I2668" s="14"/>
      <c r="J2668" s="14"/>
    </row>
    <row r="2669" spans="9:10">
      <c r="I2669" s="14"/>
      <c r="J2669" s="14"/>
    </row>
    <row r="2670" spans="9:10">
      <c r="I2670" s="14"/>
      <c r="J2670" s="14"/>
    </row>
    <row r="2671" spans="9:10">
      <c r="I2671" s="14"/>
      <c r="J2671" s="14"/>
    </row>
    <row r="2672" spans="9:10">
      <c r="I2672" s="14"/>
      <c r="J2672" s="14"/>
    </row>
    <row r="2673" spans="9:10">
      <c r="I2673" s="14"/>
      <c r="J2673" s="14"/>
    </row>
    <row r="2674" spans="9:10">
      <c r="I2674" s="14"/>
      <c r="J2674" s="14"/>
    </row>
    <row r="2675" spans="9:10">
      <c r="I2675" s="14"/>
      <c r="J2675" s="14"/>
    </row>
    <row r="2676" spans="9:10">
      <c r="I2676" s="14"/>
      <c r="J2676" s="14"/>
    </row>
    <row r="2677" spans="9:10">
      <c r="I2677" s="14"/>
      <c r="J2677" s="14"/>
    </row>
    <row r="2678" spans="9:10">
      <c r="I2678" s="14"/>
      <c r="J2678" s="14"/>
    </row>
    <row r="2679" spans="9:10">
      <c r="I2679" s="14"/>
      <c r="J2679" s="14"/>
    </row>
    <row r="2680" spans="9:10">
      <c r="I2680" s="14"/>
      <c r="J2680" s="14"/>
    </row>
    <row r="2681" spans="9:10">
      <c r="I2681" s="14"/>
      <c r="J2681" s="14"/>
    </row>
    <row r="2682" spans="9:10">
      <c r="I2682" s="14"/>
      <c r="J2682" s="14"/>
    </row>
    <row r="2683" spans="9:10">
      <c r="I2683" s="14"/>
      <c r="J2683" s="14"/>
    </row>
    <row r="2684" spans="9:10">
      <c r="I2684" s="14"/>
      <c r="J2684" s="14"/>
    </row>
    <row r="2685" spans="9:10">
      <c r="I2685" s="14"/>
      <c r="J2685" s="14"/>
    </row>
    <row r="2686" spans="9:10">
      <c r="I2686" s="14"/>
      <c r="J2686" s="14"/>
    </row>
    <row r="2687" spans="9:10">
      <c r="I2687" s="14"/>
      <c r="J2687" s="14"/>
    </row>
    <row r="2688" spans="9:10">
      <c r="I2688" s="14"/>
      <c r="J2688" s="14"/>
    </row>
    <row r="2689" spans="9:10">
      <c r="I2689" s="14"/>
      <c r="J2689" s="14"/>
    </row>
    <row r="2690" spans="9:10">
      <c r="I2690" s="14"/>
      <c r="J2690" s="14"/>
    </row>
    <row r="2691" spans="9:10">
      <c r="I2691" s="14"/>
      <c r="J2691" s="14"/>
    </row>
    <row r="2692" spans="9:10">
      <c r="I2692" s="14"/>
      <c r="J2692" s="14"/>
    </row>
    <row r="2693" spans="9:10">
      <c r="I2693" s="14"/>
      <c r="J2693" s="14"/>
    </row>
    <row r="2694" spans="9:10">
      <c r="I2694" s="14"/>
      <c r="J2694" s="14"/>
    </row>
    <row r="2695" spans="9:10">
      <c r="I2695" s="14"/>
      <c r="J2695" s="14"/>
    </row>
    <row r="2696" spans="9:10">
      <c r="I2696" s="14"/>
      <c r="J2696" s="14"/>
    </row>
    <row r="2697" spans="9:10">
      <c r="I2697" s="14"/>
      <c r="J2697" s="14"/>
    </row>
    <row r="2698" spans="9:10">
      <c r="I2698" s="14"/>
      <c r="J2698" s="14"/>
    </row>
    <row r="2699" spans="9:10">
      <c r="I2699" s="14"/>
      <c r="J2699" s="14"/>
    </row>
    <row r="2700" spans="9:10">
      <c r="I2700" s="14"/>
      <c r="J2700" s="14"/>
    </row>
    <row r="2701" spans="9:10">
      <c r="I2701" s="14"/>
      <c r="J2701" s="14"/>
    </row>
    <row r="2702" spans="9:10">
      <c r="I2702" s="14"/>
      <c r="J2702" s="14"/>
    </row>
    <row r="2703" spans="9:10">
      <c r="I2703" s="14"/>
      <c r="J2703" s="14"/>
    </row>
    <row r="2704" spans="9:10">
      <c r="I2704" s="14"/>
      <c r="J2704" s="14"/>
    </row>
    <row r="2705" spans="9:10">
      <c r="I2705" s="14"/>
      <c r="J2705" s="14"/>
    </row>
    <row r="2706" spans="9:10">
      <c r="I2706" s="14"/>
      <c r="J2706" s="14"/>
    </row>
    <row r="2707" spans="9:10">
      <c r="I2707" s="14"/>
      <c r="J2707" s="14"/>
    </row>
    <row r="2708" spans="9:10">
      <c r="I2708" s="14"/>
      <c r="J2708" s="14"/>
    </row>
    <row r="2709" spans="9:10">
      <c r="I2709" s="14"/>
      <c r="J2709" s="14"/>
    </row>
    <row r="2710" spans="9:10">
      <c r="I2710" s="14"/>
      <c r="J2710" s="14"/>
    </row>
    <row r="2711" spans="9:10">
      <c r="I2711" s="14"/>
      <c r="J2711" s="14"/>
    </row>
    <row r="2712" spans="9:10">
      <c r="I2712" s="14"/>
      <c r="J2712" s="14"/>
    </row>
    <row r="2713" spans="9:10">
      <c r="I2713" s="14"/>
      <c r="J2713" s="14"/>
    </row>
    <row r="2714" spans="9:10">
      <c r="I2714" s="14"/>
      <c r="J2714" s="14"/>
    </row>
    <row r="2715" spans="9:10">
      <c r="I2715" s="14"/>
      <c r="J2715" s="14"/>
    </row>
    <row r="2716" spans="9:10">
      <c r="I2716" s="14"/>
      <c r="J2716" s="14"/>
    </row>
    <row r="2717" spans="9:10">
      <c r="I2717" s="14"/>
      <c r="J2717" s="14"/>
    </row>
    <row r="2718" spans="9:10">
      <c r="I2718" s="14"/>
      <c r="J2718" s="14"/>
    </row>
    <row r="2719" spans="9:10">
      <c r="I2719" s="14"/>
      <c r="J2719" s="14"/>
    </row>
    <row r="2720" spans="9:10">
      <c r="I2720" s="14"/>
      <c r="J2720" s="14"/>
    </row>
    <row r="2721" spans="9:10">
      <c r="I2721" s="14"/>
      <c r="J2721" s="14"/>
    </row>
    <row r="2722" spans="9:10">
      <c r="I2722" s="14"/>
      <c r="J2722" s="14"/>
    </row>
    <row r="2723" spans="9:10">
      <c r="I2723" s="14"/>
      <c r="J2723" s="14"/>
    </row>
    <row r="2724" spans="9:10">
      <c r="I2724" s="14"/>
      <c r="J2724" s="14"/>
    </row>
    <row r="2725" spans="9:10">
      <c r="I2725" s="14"/>
      <c r="J2725" s="14"/>
    </row>
    <row r="2726" spans="9:10">
      <c r="I2726" s="14"/>
      <c r="J2726" s="14"/>
    </row>
    <row r="2727" spans="9:10">
      <c r="I2727" s="14"/>
      <c r="J2727" s="14"/>
    </row>
    <row r="2728" spans="9:10">
      <c r="I2728" s="14"/>
      <c r="J2728" s="14"/>
    </row>
    <row r="2729" spans="9:10">
      <c r="I2729" s="14"/>
      <c r="J2729" s="14"/>
    </row>
    <row r="2730" spans="9:10">
      <c r="I2730" s="14"/>
      <c r="J2730" s="14"/>
    </row>
    <row r="2731" spans="9:10">
      <c r="I2731" s="14"/>
      <c r="J2731" s="14"/>
    </row>
    <row r="2732" spans="9:10">
      <c r="I2732" s="14"/>
      <c r="J2732" s="14"/>
    </row>
    <row r="2733" spans="9:10">
      <c r="I2733" s="14"/>
      <c r="J2733" s="14"/>
    </row>
    <row r="2734" spans="9:10">
      <c r="I2734" s="14"/>
      <c r="J2734" s="14"/>
    </row>
    <row r="2735" spans="9:10">
      <c r="I2735" s="14"/>
      <c r="J2735" s="14"/>
    </row>
    <row r="2736" spans="9:10">
      <c r="I2736" s="14"/>
      <c r="J2736" s="14"/>
    </row>
    <row r="2737" spans="9:10">
      <c r="I2737" s="14"/>
      <c r="J2737" s="14"/>
    </row>
    <row r="2738" spans="9:10">
      <c r="I2738" s="14"/>
      <c r="J2738" s="14"/>
    </row>
    <row r="2739" spans="9:10">
      <c r="I2739" s="14"/>
      <c r="J2739" s="14"/>
    </row>
    <row r="2740" spans="9:10">
      <c r="I2740" s="14"/>
      <c r="J2740" s="14"/>
    </row>
    <row r="2741" spans="9:10">
      <c r="I2741" s="14"/>
      <c r="J2741" s="14"/>
    </row>
    <row r="2742" spans="9:10">
      <c r="I2742" s="14"/>
      <c r="J2742" s="14"/>
    </row>
    <row r="2743" spans="9:10">
      <c r="I2743" s="14"/>
      <c r="J2743" s="14"/>
    </row>
    <row r="2744" spans="9:10">
      <c r="I2744" s="14"/>
      <c r="J2744" s="14"/>
    </row>
    <row r="2745" spans="9:10">
      <c r="I2745" s="14"/>
      <c r="J2745" s="14"/>
    </row>
    <row r="2746" spans="9:10">
      <c r="I2746" s="14"/>
      <c r="J2746" s="14"/>
    </row>
    <row r="2747" spans="9:10">
      <c r="I2747" s="14"/>
      <c r="J2747" s="14"/>
    </row>
    <row r="2748" spans="9:10">
      <c r="I2748" s="14"/>
      <c r="J2748" s="14"/>
    </row>
    <row r="2749" spans="9:10">
      <c r="I2749" s="14"/>
      <c r="J2749" s="14"/>
    </row>
    <row r="2750" spans="9:10">
      <c r="I2750" s="14"/>
      <c r="J2750" s="14"/>
    </row>
    <row r="2751" spans="9:10">
      <c r="I2751" s="14"/>
      <c r="J2751" s="14"/>
    </row>
    <row r="2752" spans="9:10">
      <c r="I2752" s="14"/>
      <c r="J2752" s="14"/>
    </row>
    <row r="2753" spans="9:10">
      <c r="I2753" s="14"/>
      <c r="J2753" s="14"/>
    </row>
    <row r="2754" spans="9:10">
      <c r="I2754" s="14"/>
      <c r="J2754" s="14"/>
    </row>
    <row r="2755" spans="9:10">
      <c r="I2755" s="14"/>
      <c r="J2755" s="14"/>
    </row>
    <row r="2756" spans="9:10">
      <c r="I2756" s="14"/>
      <c r="J2756" s="14"/>
    </row>
    <row r="2757" spans="9:10">
      <c r="I2757" s="14"/>
      <c r="J2757" s="14"/>
    </row>
    <row r="2758" spans="9:10">
      <c r="I2758" s="14"/>
      <c r="J2758" s="14"/>
    </row>
    <row r="2759" spans="9:10">
      <c r="I2759" s="14"/>
      <c r="J2759" s="14"/>
    </row>
    <row r="2760" spans="9:10">
      <c r="I2760" s="14"/>
      <c r="J2760" s="14"/>
    </row>
    <row r="2761" spans="9:10">
      <c r="I2761" s="14"/>
      <c r="J2761" s="14"/>
    </row>
    <row r="2762" spans="9:10">
      <c r="I2762" s="14"/>
      <c r="J2762" s="14"/>
    </row>
    <row r="2763" spans="9:10">
      <c r="I2763" s="14"/>
      <c r="J2763" s="14"/>
    </row>
    <row r="2764" spans="9:10">
      <c r="I2764" s="14"/>
      <c r="J2764" s="14"/>
    </row>
    <row r="2765" spans="9:10">
      <c r="I2765" s="14"/>
      <c r="J2765" s="14"/>
    </row>
    <row r="2766" spans="9:10">
      <c r="I2766" s="14"/>
      <c r="J2766" s="14"/>
    </row>
    <row r="2767" spans="9:10">
      <c r="I2767" s="14"/>
      <c r="J2767" s="14"/>
    </row>
    <row r="2768" spans="9:10">
      <c r="I2768" s="14"/>
      <c r="J2768" s="14"/>
    </row>
    <row r="2769" spans="9:10">
      <c r="I2769" s="14"/>
      <c r="J2769" s="14"/>
    </row>
    <row r="2770" spans="9:10">
      <c r="I2770" s="14"/>
      <c r="J2770" s="14"/>
    </row>
    <row r="2771" spans="9:10">
      <c r="I2771" s="14"/>
      <c r="J2771" s="14"/>
    </row>
    <row r="2772" spans="9:10">
      <c r="I2772" s="14"/>
      <c r="J2772" s="14"/>
    </row>
    <row r="2773" spans="9:10">
      <c r="I2773" s="14"/>
      <c r="J2773" s="14"/>
    </row>
    <row r="2774" spans="9:10">
      <c r="I2774" s="14"/>
      <c r="J2774" s="14"/>
    </row>
    <row r="2775" spans="9:10">
      <c r="I2775" s="14"/>
      <c r="J2775" s="14"/>
    </row>
    <row r="2776" spans="9:10">
      <c r="I2776" s="14"/>
      <c r="J2776" s="14"/>
    </row>
    <row r="2777" spans="9:10">
      <c r="I2777" s="14"/>
      <c r="J2777" s="14"/>
    </row>
    <row r="2778" spans="9:10">
      <c r="I2778" s="14"/>
      <c r="J2778" s="14"/>
    </row>
    <row r="2779" spans="9:10">
      <c r="I2779" s="14"/>
      <c r="J2779" s="14"/>
    </row>
    <row r="2780" spans="9:10">
      <c r="I2780" s="14"/>
      <c r="J2780" s="14"/>
    </row>
    <row r="2781" spans="9:10">
      <c r="I2781" s="14"/>
      <c r="J2781" s="14"/>
    </row>
    <row r="2782" spans="9:10">
      <c r="I2782" s="14"/>
      <c r="J2782" s="14"/>
    </row>
    <row r="2783" spans="9:10">
      <c r="I2783" s="14"/>
      <c r="J2783" s="14"/>
    </row>
    <row r="2784" spans="9:10">
      <c r="I2784" s="14"/>
      <c r="J2784" s="14"/>
    </row>
    <row r="2785" spans="9:10">
      <c r="I2785" s="14"/>
      <c r="J2785" s="14"/>
    </row>
    <row r="2786" spans="9:10">
      <c r="I2786" s="14"/>
      <c r="J2786" s="14"/>
    </row>
    <row r="2787" spans="9:10">
      <c r="I2787" s="14"/>
      <c r="J2787" s="14"/>
    </row>
    <row r="2788" spans="9:10">
      <c r="I2788" s="14"/>
      <c r="J2788" s="14"/>
    </row>
    <row r="2789" spans="9:10">
      <c r="I2789" s="14"/>
      <c r="J2789" s="14"/>
    </row>
    <row r="2790" spans="9:10">
      <c r="I2790" s="14"/>
      <c r="J2790" s="14"/>
    </row>
    <row r="2791" spans="9:10">
      <c r="I2791" s="14"/>
      <c r="J2791" s="14"/>
    </row>
    <row r="2792" spans="9:10">
      <c r="I2792" s="14"/>
      <c r="J2792" s="14"/>
    </row>
    <row r="2793" spans="9:10">
      <c r="I2793" s="14"/>
      <c r="J2793" s="14"/>
    </row>
    <row r="2794" spans="9:10">
      <c r="I2794" s="14"/>
      <c r="J2794" s="14"/>
    </row>
    <row r="2795" spans="9:10">
      <c r="I2795" s="14"/>
      <c r="J2795" s="14"/>
    </row>
    <row r="2796" spans="9:10">
      <c r="I2796" s="14"/>
      <c r="J2796" s="14"/>
    </row>
    <row r="2797" spans="9:10">
      <c r="I2797" s="14"/>
      <c r="J2797" s="14"/>
    </row>
    <row r="2798" spans="9:10">
      <c r="I2798" s="14"/>
      <c r="J2798" s="14"/>
    </row>
    <row r="2799" spans="9:10">
      <c r="I2799" s="14"/>
      <c r="J2799" s="14"/>
    </row>
    <row r="2800" spans="9:10">
      <c r="I2800" s="14"/>
      <c r="J2800" s="14"/>
    </row>
    <row r="2801" spans="9:10">
      <c r="I2801" s="14"/>
      <c r="J2801" s="14"/>
    </row>
    <row r="2802" spans="9:10">
      <c r="I2802" s="14"/>
      <c r="J2802" s="14"/>
    </row>
    <row r="2803" spans="9:10">
      <c r="I2803" s="14"/>
      <c r="J2803" s="14"/>
    </row>
    <row r="2804" spans="9:10">
      <c r="I2804" s="14"/>
      <c r="J2804" s="14"/>
    </row>
    <row r="2805" spans="9:10">
      <c r="I2805" s="14"/>
      <c r="J2805" s="14"/>
    </row>
    <row r="2806" spans="9:10">
      <c r="I2806" s="14"/>
      <c r="J2806" s="14"/>
    </row>
    <row r="2807" spans="9:10">
      <c r="I2807" s="14"/>
      <c r="J2807" s="14"/>
    </row>
    <row r="2808" spans="9:10">
      <c r="I2808" s="14"/>
      <c r="J2808" s="14"/>
    </row>
    <row r="2809" spans="9:10">
      <c r="I2809" s="14"/>
      <c r="J2809" s="14"/>
    </row>
    <row r="2810" spans="9:10">
      <c r="I2810" s="14"/>
      <c r="J2810" s="14"/>
    </row>
    <row r="2811" spans="9:10">
      <c r="I2811" s="14"/>
      <c r="J2811" s="14"/>
    </row>
    <row r="2812" spans="9:10">
      <c r="I2812" s="14"/>
      <c r="J2812" s="14"/>
    </row>
    <row r="2813" spans="9:10">
      <c r="I2813" s="14"/>
      <c r="J2813" s="14"/>
    </row>
    <row r="2814" spans="9:10">
      <c r="I2814" s="14"/>
      <c r="J2814" s="14"/>
    </row>
    <row r="2815" spans="9:10">
      <c r="I2815" s="14"/>
      <c r="J2815" s="14"/>
    </row>
    <row r="2816" spans="9:10">
      <c r="I2816" s="14"/>
      <c r="J2816" s="14"/>
    </row>
    <row r="2817" spans="9:10">
      <c r="I2817" s="14"/>
      <c r="J2817" s="14"/>
    </row>
    <row r="2818" spans="9:10">
      <c r="I2818" s="14"/>
      <c r="J2818" s="14"/>
    </row>
    <row r="2819" spans="9:10">
      <c r="I2819" s="14"/>
      <c r="J2819" s="14"/>
    </row>
    <row r="2820" spans="9:10">
      <c r="I2820" s="14"/>
      <c r="J2820" s="14"/>
    </row>
    <row r="2821" spans="9:10">
      <c r="I2821" s="14"/>
      <c r="J2821" s="14"/>
    </row>
    <row r="2822" spans="9:10">
      <c r="I2822" s="14"/>
      <c r="J2822" s="14"/>
    </row>
    <row r="2823" spans="9:10">
      <c r="I2823" s="14"/>
      <c r="J2823" s="14"/>
    </row>
    <row r="2824" spans="9:10">
      <c r="I2824" s="14"/>
      <c r="J2824" s="14"/>
    </row>
    <row r="2825" spans="9:10">
      <c r="I2825" s="14"/>
      <c r="J2825" s="14"/>
    </row>
    <row r="2826" spans="9:10">
      <c r="I2826" s="14"/>
      <c r="J2826" s="14"/>
    </row>
    <row r="2827" spans="9:10">
      <c r="I2827" s="14"/>
      <c r="J2827" s="14"/>
    </row>
    <row r="2828" spans="9:10">
      <c r="I2828" s="14"/>
      <c r="J2828" s="14"/>
    </row>
    <row r="2829" spans="9:10">
      <c r="I2829" s="14"/>
      <c r="J2829" s="14"/>
    </row>
    <row r="2830" spans="9:10">
      <c r="I2830" s="14"/>
      <c r="J2830" s="14"/>
    </row>
    <row r="2831" spans="9:10">
      <c r="I2831" s="14"/>
      <c r="J2831" s="14"/>
    </row>
    <row r="2832" spans="9:10">
      <c r="I2832" s="14"/>
      <c r="J2832" s="14"/>
    </row>
    <row r="2833" spans="9:10">
      <c r="I2833" s="14"/>
      <c r="J2833" s="14"/>
    </row>
    <row r="2834" spans="9:10">
      <c r="I2834" s="14"/>
      <c r="J2834" s="14"/>
    </row>
    <row r="2835" spans="9:10">
      <c r="I2835" s="14"/>
      <c r="J2835" s="14"/>
    </row>
    <row r="2836" spans="9:10">
      <c r="I2836" s="14"/>
      <c r="J2836" s="14"/>
    </row>
    <row r="2837" spans="9:10">
      <c r="I2837" s="14"/>
      <c r="J2837" s="14"/>
    </row>
    <row r="2838" spans="9:10">
      <c r="I2838" s="14"/>
      <c r="J2838" s="14"/>
    </row>
    <row r="2839" spans="9:10">
      <c r="I2839" s="14"/>
      <c r="J2839" s="14"/>
    </row>
    <row r="2840" spans="9:10">
      <c r="I2840" s="14"/>
      <c r="J2840" s="14"/>
    </row>
    <row r="2841" spans="9:10">
      <c r="I2841" s="14"/>
      <c r="J2841" s="14"/>
    </row>
    <row r="2842" spans="9:10">
      <c r="I2842" s="14"/>
      <c r="J2842" s="14"/>
    </row>
    <row r="2843" spans="9:10">
      <c r="I2843" s="14"/>
      <c r="J2843" s="14"/>
    </row>
    <row r="2844" spans="9:10">
      <c r="I2844" s="14"/>
      <c r="J2844" s="14"/>
    </row>
    <row r="2845" spans="9:10">
      <c r="I2845" s="14"/>
      <c r="J2845" s="14"/>
    </row>
    <row r="2846" spans="9:10">
      <c r="I2846" s="14"/>
      <c r="J2846" s="14"/>
    </row>
    <row r="2847" spans="9:10">
      <c r="I2847" s="14"/>
      <c r="J2847" s="14"/>
    </row>
    <row r="2848" spans="9:10">
      <c r="I2848" s="14"/>
      <c r="J2848" s="14"/>
    </row>
    <row r="2849" spans="9:10">
      <c r="I2849" s="14"/>
      <c r="J2849" s="14"/>
    </row>
    <row r="2850" spans="9:10">
      <c r="I2850" s="14"/>
      <c r="J2850" s="14"/>
    </row>
    <row r="2851" spans="9:10">
      <c r="I2851" s="14"/>
      <c r="J2851" s="14"/>
    </row>
    <row r="2852" spans="9:10">
      <c r="I2852" s="14"/>
      <c r="J2852" s="14"/>
    </row>
    <row r="2853" spans="9:10">
      <c r="I2853" s="14"/>
      <c r="J2853" s="14"/>
    </row>
    <row r="2854" spans="9:10">
      <c r="I2854" s="14"/>
      <c r="J2854" s="14"/>
    </row>
    <row r="2855" spans="9:10">
      <c r="I2855" s="14"/>
      <c r="J2855" s="14"/>
    </row>
    <row r="2856" spans="9:10">
      <c r="I2856" s="14"/>
      <c r="J2856" s="14"/>
    </row>
    <row r="2857" spans="9:10">
      <c r="I2857" s="14"/>
      <c r="J2857" s="14"/>
    </row>
    <row r="2858" spans="9:10">
      <c r="I2858" s="14"/>
      <c r="J2858" s="14"/>
    </row>
    <row r="2859" spans="9:10">
      <c r="I2859" s="14"/>
      <c r="J2859" s="14"/>
    </row>
    <row r="2860" spans="9:10">
      <c r="I2860" s="14"/>
      <c r="J2860" s="14"/>
    </row>
    <row r="2861" spans="9:10">
      <c r="I2861" s="14"/>
      <c r="J2861" s="14"/>
    </row>
    <row r="2862" spans="9:10">
      <c r="I2862" s="14"/>
      <c r="J2862" s="14"/>
    </row>
    <row r="2863" spans="9:10">
      <c r="I2863" s="14"/>
      <c r="J2863" s="14"/>
    </row>
    <row r="2864" spans="9:10">
      <c r="I2864" s="14"/>
      <c r="J2864" s="14"/>
    </row>
    <row r="2865" spans="9:10">
      <c r="I2865" s="14"/>
      <c r="J2865" s="14"/>
    </row>
    <row r="2866" spans="9:10">
      <c r="I2866" s="14"/>
      <c r="J2866" s="14"/>
    </row>
    <row r="2867" spans="9:10">
      <c r="I2867" s="14"/>
      <c r="J2867" s="14"/>
    </row>
    <row r="2868" spans="9:10">
      <c r="I2868" s="14"/>
      <c r="J2868" s="14"/>
    </row>
    <row r="2869" spans="9:10">
      <c r="I2869" s="14"/>
      <c r="J2869" s="14"/>
    </row>
    <row r="2870" spans="9:10">
      <c r="I2870" s="14"/>
      <c r="J2870" s="14"/>
    </row>
    <row r="2871" spans="9:10">
      <c r="I2871" s="14"/>
      <c r="J2871" s="14"/>
    </row>
    <row r="2872" spans="9:10">
      <c r="I2872" s="14"/>
      <c r="J2872" s="14"/>
    </row>
    <row r="2873" spans="9:10">
      <c r="I2873" s="14"/>
      <c r="J2873" s="14"/>
    </row>
    <row r="2874" spans="9:10">
      <c r="I2874" s="14"/>
      <c r="J2874" s="14"/>
    </row>
    <row r="2875" spans="9:10">
      <c r="I2875" s="14"/>
      <c r="J2875" s="14"/>
    </row>
    <row r="2876" spans="9:10">
      <c r="I2876" s="14"/>
      <c r="J2876" s="14"/>
    </row>
    <row r="2877" spans="9:10">
      <c r="I2877" s="14"/>
      <c r="J2877" s="14"/>
    </row>
    <row r="2878" spans="9:10">
      <c r="I2878" s="14"/>
      <c r="J2878" s="14"/>
    </row>
    <row r="2879" spans="9:10">
      <c r="I2879" s="14"/>
      <c r="J2879" s="14"/>
    </row>
    <row r="2880" spans="9:10">
      <c r="I2880" s="14"/>
      <c r="J2880" s="14"/>
    </row>
    <row r="2881" spans="9:10">
      <c r="I2881" s="14"/>
      <c r="J2881" s="14"/>
    </row>
    <row r="2882" spans="9:10">
      <c r="I2882" s="14"/>
      <c r="J2882" s="14"/>
    </row>
    <row r="2883" spans="9:10">
      <c r="I2883" s="14"/>
      <c r="J2883" s="14"/>
    </row>
    <row r="2884" spans="9:10">
      <c r="I2884" s="14"/>
      <c r="J2884" s="14"/>
    </row>
    <row r="2885" spans="9:10">
      <c r="I2885" s="14"/>
      <c r="J2885" s="14"/>
    </row>
    <row r="2886" spans="9:10">
      <c r="I2886" s="14"/>
      <c r="J2886" s="14"/>
    </row>
    <row r="2887" spans="9:10">
      <c r="I2887" s="14"/>
      <c r="J2887" s="14"/>
    </row>
    <row r="2888" spans="9:10">
      <c r="I2888" s="14"/>
      <c r="J2888" s="14"/>
    </row>
    <row r="2889" spans="9:10">
      <c r="I2889" s="14"/>
      <c r="J2889" s="14"/>
    </row>
    <row r="2890" spans="9:10">
      <c r="I2890" s="14"/>
      <c r="J2890" s="14"/>
    </row>
    <row r="2891" spans="9:10">
      <c r="I2891" s="14"/>
      <c r="J2891" s="14"/>
    </row>
    <row r="2892" spans="9:10">
      <c r="I2892" s="14"/>
      <c r="J2892" s="14"/>
    </row>
    <row r="2893" spans="9:10">
      <c r="I2893" s="14"/>
      <c r="J2893" s="14"/>
    </row>
    <row r="2894" spans="9:10">
      <c r="I2894" s="14"/>
      <c r="J2894" s="14"/>
    </row>
    <row r="2895" spans="9:10">
      <c r="I2895" s="14"/>
      <c r="J2895" s="14"/>
    </row>
    <row r="2896" spans="9:10">
      <c r="I2896" s="14"/>
      <c r="J2896" s="14"/>
    </row>
    <row r="2897" spans="9:10">
      <c r="I2897" s="14"/>
      <c r="J2897" s="14"/>
    </row>
    <row r="2898" spans="9:10">
      <c r="I2898" s="14"/>
      <c r="J2898" s="14"/>
    </row>
    <row r="2899" spans="9:10">
      <c r="I2899" s="14"/>
      <c r="J2899" s="14"/>
    </row>
    <row r="2900" spans="9:10">
      <c r="I2900" s="14"/>
      <c r="J2900" s="14"/>
    </row>
    <row r="2901" spans="9:10">
      <c r="I2901" s="14"/>
      <c r="J2901" s="14"/>
    </row>
    <row r="2902" spans="9:10">
      <c r="I2902" s="14"/>
      <c r="J2902" s="14"/>
    </row>
    <row r="2903" spans="9:10">
      <c r="I2903" s="14"/>
      <c r="J2903" s="14"/>
    </row>
    <row r="2904" spans="9:10">
      <c r="I2904" s="14"/>
      <c r="J2904" s="14"/>
    </row>
    <row r="2905" spans="9:10">
      <c r="I2905" s="14"/>
      <c r="J2905" s="14"/>
    </row>
    <row r="2906" spans="9:10">
      <c r="I2906" s="14"/>
      <c r="J2906" s="14"/>
    </row>
    <row r="2907" spans="9:10">
      <c r="I2907" s="14"/>
      <c r="J2907" s="14"/>
    </row>
    <row r="2908" spans="9:10">
      <c r="I2908" s="14"/>
      <c r="J2908" s="14"/>
    </row>
    <row r="2909" spans="9:10">
      <c r="I2909" s="14"/>
      <c r="J2909" s="14"/>
    </row>
    <row r="2910" spans="9:10">
      <c r="I2910" s="14"/>
      <c r="J2910" s="14"/>
    </row>
    <row r="2911" spans="9:10">
      <c r="I2911" s="14"/>
      <c r="J2911" s="14"/>
    </row>
    <row r="2912" spans="9:10">
      <c r="I2912" s="14"/>
      <c r="J2912" s="14"/>
    </row>
    <row r="2913" spans="9:10">
      <c r="I2913" s="14"/>
      <c r="J2913" s="14"/>
    </row>
    <row r="2914" spans="9:10">
      <c r="I2914" s="14"/>
      <c r="J2914" s="14"/>
    </row>
    <row r="2915" spans="9:10">
      <c r="I2915" s="14"/>
      <c r="J2915" s="14"/>
    </row>
    <row r="2916" spans="9:10">
      <c r="I2916" s="14"/>
      <c r="J2916" s="14"/>
    </row>
    <row r="2917" spans="9:10">
      <c r="I2917" s="14"/>
      <c r="J2917" s="14"/>
    </row>
    <row r="2918" spans="9:10">
      <c r="I2918" s="14"/>
      <c r="J2918" s="14"/>
    </row>
    <row r="2919" spans="9:10">
      <c r="I2919" s="14"/>
      <c r="J2919" s="14"/>
    </row>
    <row r="2920" spans="9:10">
      <c r="I2920" s="14"/>
      <c r="J2920" s="14"/>
    </row>
    <row r="2921" spans="9:10">
      <c r="I2921" s="14"/>
      <c r="J2921" s="14"/>
    </row>
    <row r="2922" spans="9:10">
      <c r="I2922" s="14"/>
      <c r="J2922" s="14"/>
    </row>
    <row r="2923" spans="9:10">
      <c r="I2923" s="14"/>
      <c r="J2923" s="14"/>
    </row>
    <row r="2924" spans="9:10">
      <c r="I2924" s="14"/>
      <c r="J2924" s="14"/>
    </row>
    <row r="2925" spans="9:10">
      <c r="I2925" s="14"/>
      <c r="J2925" s="14"/>
    </row>
    <row r="2926" spans="9:10">
      <c r="I2926" s="14"/>
      <c r="J2926" s="14"/>
    </row>
    <row r="2927" spans="9:10">
      <c r="I2927" s="14"/>
      <c r="J2927" s="14"/>
    </row>
    <row r="2928" spans="9:10">
      <c r="I2928" s="14"/>
      <c r="J2928" s="14"/>
    </row>
    <row r="2929" spans="9:10">
      <c r="I2929" s="14"/>
      <c r="J2929" s="14"/>
    </row>
    <row r="2930" spans="9:10">
      <c r="I2930" s="14"/>
      <c r="J2930" s="14"/>
    </row>
    <row r="2931" spans="9:10">
      <c r="I2931" s="14"/>
      <c r="J2931" s="14"/>
    </row>
    <row r="2932" spans="9:10">
      <c r="I2932" s="14"/>
      <c r="J2932" s="14"/>
    </row>
    <row r="2933" spans="9:10">
      <c r="I2933" s="14"/>
      <c r="J2933" s="14"/>
    </row>
    <row r="2934" spans="9:10">
      <c r="I2934" s="14"/>
      <c r="J2934" s="14"/>
    </row>
    <row r="2935" spans="9:10">
      <c r="I2935" s="14"/>
      <c r="J2935" s="14"/>
    </row>
    <row r="2936" spans="9:10">
      <c r="I2936" s="14"/>
      <c r="J2936" s="14"/>
    </row>
    <row r="2937" spans="9:10">
      <c r="I2937" s="14"/>
      <c r="J2937" s="14"/>
    </row>
    <row r="2938" spans="9:10">
      <c r="I2938" s="14"/>
      <c r="J2938" s="14"/>
    </row>
    <row r="2939" spans="9:10">
      <c r="I2939" s="14"/>
      <c r="J2939" s="14"/>
    </row>
    <row r="2940" spans="9:10">
      <c r="I2940" s="14"/>
      <c r="J2940" s="14"/>
    </row>
    <row r="2941" spans="9:10">
      <c r="I2941" s="14"/>
      <c r="J2941" s="14"/>
    </row>
    <row r="2942" spans="9:10">
      <c r="I2942" s="14"/>
      <c r="J2942" s="14"/>
    </row>
    <row r="2943" spans="9:10">
      <c r="I2943" s="14"/>
      <c r="J2943" s="14"/>
    </row>
    <row r="2944" spans="9:10">
      <c r="I2944" s="14"/>
      <c r="J2944" s="14"/>
    </row>
    <row r="2945" spans="9:10">
      <c r="I2945" s="14"/>
      <c r="J2945" s="14"/>
    </row>
    <row r="2946" spans="9:10">
      <c r="I2946" s="14"/>
      <c r="J2946" s="14"/>
    </row>
    <row r="2947" spans="9:10">
      <c r="I2947" s="14"/>
      <c r="J2947" s="14"/>
    </row>
    <row r="2948" spans="9:10">
      <c r="I2948" s="14"/>
      <c r="J2948" s="14"/>
    </row>
    <row r="2949" spans="9:10">
      <c r="I2949" s="14"/>
      <c r="J2949" s="14"/>
    </row>
    <row r="2950" spans="9:10">
      <c r="I2950" s="14"/>
      <c r="J2950" s="14"/>
    </row>
    <row r="2951" spans="9:10">
      <c r="I2951" s="14"/>
      <c r="J2951" s="14"/>
    </row>
    <row r="2952" spans="9:10">
      <c r="I2952" s="14"/>
      <c r="J2952" s="14"/>
    </row>
    <row r="2953" spans="9:10">
      <c r="I2953" s="14"/>
      <c r="J2953" s="14"/>
    </row>
    <row r="2954" spans="9:10">
      <c r="I2954" s="14"/>
      <c r="J2954" s="14"/>
    </row>
    <row r="2955" spans="9:10">
      <c r="I2955" s="14"/>
      <c r="J2955" s="14"/>
    </row>
    <row r="2956" spans="9:10">
      <c r="I2956" s="14"/>
      <c r="J2956" s="14"/>
    </row>
    <row r="2957" spans="9:10">
      <c r="I2957" s="14"/>
      <c r="J2957" s="14"/>
    </row>
    <row r="2958" spans="9:10">
      <c r="I2958" s="14"/>
      <c r="J2958" s="14"/>
    </row>
    <row r="2959" spans="9:10">
      <c r="I2959" s="14"/>
      <c r="J2959" s="14"/>
    </row>
    <row r="2960" spans="9:10">
      <c r="I2960" s="14"/>
      <c r="J2960" s="14"/>
    </row>
    <row r="2961" spans="9:10">
      <c r="I2961" s="14"/>
      <c r="J2961" s="14"/>
    </row>
    <row r="2962" spans="9:10">
      <c r="I2962" s="14"/>
      <c r="J2962" s="14"/>
    </row>
    <row r="2963" spans="9:10">
      <c r="I2963" s="14"/>
      <c r="J2963" s="14"/>
    </row>
    <row r="2964" spans="9:10">
      <c r="I2964" s="14"/>
      <c r="J2964" s="14"/>
    </row>
    <row r="2965" spans="9:10">
      <c r="I2965" s="14"/>
      <c r="J2965" s="14"/>
    </row>
    <row r="2966" spans="9:10">
      <c r="I2966" s="14"/>
      <c r="J2966" s="14"/>
    </row>
    <row r="2967" spans="9:10">
      <c r="I2967" s="14"/>
      <c r="J2967" s="14"/>
    </row>
    <row r="2968" spans="9:10">
      <c r="I2968" s="14"/>
      <c r="J2968" s="14"/>
    </row>
    <row r="2969" spans="9:10">
      <c r="I2969" s="14"/>
      <c r="J2969" s="14"/>
    </row>
    <row r="2970" spans="9:10">
      <c r="I2970" s="14"/>
      <c r="J2970" s="14"/>
    </row>
    <row r="2971" spans="9:10">
      <c r="I2971" s="14"/>
      <c r="J2971" s="14"/>
    </row>
    <row r="2972" spans="9:10">
      <c r="I2972" s="14"/>
      <c r="J2972" s="14"/>
    </row>
    <row r="2973" spans="9:10">
      <c r="I2973" s="14"/>
      <c r="J2973" s="14"/>
    </row>
    <row r="2974" spans="9:10">
      <c r="I2974" s="14"/>
      <c r="J2974" s="14"/>
    </row>
    <row r="2975" spans="9:10">
      <c r="I2975" s="14"/>
      <c r="J2975" s="14"/>
    </row>
    <row r="2976" spans="9:10">
      <c r="I2976" s="14"/>
      <c r="J2976" s="14"/>
    </row>
    <row r="2977" spans="9:10">
      <c r="I2977" s="14"/>
      <c r="J2977" s="14"/>
    </row>
    <row r="2978" spans="9:10">
      <c r="I2978" s="14"/>
      <c r="J2978" s="14"/>
    </row>
    <row r="2979" spans="9:10">
      <c r="I2979" s="14"/>
      <c r="J2979" s="14"/>
    </row>
    <row r="2980" spans="9:10">
      <c r="I2980" s="14"/>
      <c r="J2980" s="14"/>
    </row>
    <row r="2981" spans="9:10">
      <c r="I2981" s="14"/>
      <c r="J2981" s="14"/>
    </row>
    <row r="2982" spans="9:10">
      <c r="I2982" s="14"/>
      <c r="J2982" s="14"/>
    </row>
    <row r="2983" spans="9:10">
      <c r="I2983" s="14"/>
      <c r="J2983" s="14"/>
    </row>
    <row r="2984" spans="9:10">
      <c r="I2984" s="14"/>
      <c r="J2984" s="14"/>
    </row>
    <row r="2985" spans="9:10">
      <c r="I2985" s="14"/>
      <c r="J2985" s="14"/>
    </row>
    <row r="2986" spans="9:10">
      <c r="I2986" s="14"/>
      <c r="J2986" s="14"/>
    </row>
    <row r="2987" spans="9:10">
      <c r="I2987" s="14"/>
      <c r="J2987" s="14"/>
    </row>
    <row r="2988" spans="9:10">
      <c r="I2988" s="14"/>
      <c r="J2988" s="14"/>
    </row>
    <row r="2989" spans="9:10">
      <c r="I2989" s="14"/>
      <c r="J2989" s="14"/>
    </row>
    <row r="2990" spans="9:10">
      <c r="I2990" s="14"/>
      <c r="J2990" s="14"/>
    </row>
    <row r="2991" spans="9:10">
      <c r="I2991" s="14"/>
      <c r="J2991" s="14"/>
    </row>
    <row r="2992" spans="9:10">
      <c r="I2992" s="14"/>
      <c r="J2992" s="14"/>
    </row>
    <row r="2993" spans="9:10">
      <c r="I2993" s="14"/>
      <c r="J2993" s="14"/>
    </row>
    <row r="2994" spans="9:10">
      <c r="I2994" s="14"/>
      <c r="J2994" s="14"/>
    </row>
    <row r="2995" spans="9:10">
      <c r="I2995" s="14"/>
      <c r="J2995" s="14"/>
    </row>
    <row r="2996" spans="9:10">
      <c r="I2996" s="14"/>
      <c r="J2996" s="14"/>
    </row>
    <row r="2997" spans="9:10">
      <c r="I2997" s="14"/>
      <c r="J2997" s="14"/>
    </row>
    <row r="2998" spans="9:10">
      <c r="I2998" s="14"/>
      <c r="J2998" s="14"/>
    </row>
    <row r="2999" spans="9:10">
      <c r="I2999" s="14"/>
      <c r="J2999" s="14"/>
    </row>
    <row r="3000" spans="9:10">
      <c r="I3000" s="14"/>
      <c r="J3000" s="14"/>
    </row>
    <row r="3001" spans="9:10">
      <c r="I3001" s="14"/>
      <c r="J3001" s="14"/>
    </row>
    <row r="3002" spans="9:10">
      <c r="I3002" s="14"/>
      <c r="J3002" s="14"/>
    </row>
    <row r="3003" spans="9:10">
      <c r="I3003" s="14"/>
      <c r="J3003" s="14"/>
    </row>
    <row r="3004" spans="9:10">
      <c r="I3004" s="14"/>
      <c r="J3004" s="14"/>
    </row>
    <row r="3005" spans="9:10">
      <c r="I3005" s="14"/>
      <c r="J3005" s="14"/>
    </row>
    <row r="3006" spans="9:10">
      <c r="I3006" s="14"/>
      <c r="J3006" s="14"/>
    </row>
    <row r="3007" spans="9:10">
      <c r="I3007" s="14"/>
      <c r="J3007" s="14"/>
    </row>
    <row r="3008" spans="9:10">
      <c r="I3008" s="14"/>
      <c r="J3008" s="14"/>
    </row>
    <row r="3009" spans="9:10">
      <c r="I3009" s="14"/>
      <c r="J3009" s="14"/>
    </row>
    <row r="3010" spans="9:10">
      <c r="I3010" s="14"/>
      <c r="J3010" s="14"/>
    </row>
    <row r="3011" spans="9:10">
      <c r="I3011" s="14"/>
      <c r="J3011" s="14"/>
    </row>
    <row r="3012" spans="9:10">
      <c r="I3012" s="14"/>
      <c r="J3012" s="14"/>
    </row>
    <row r="3013" spans="9:10">
      <c r="I3013" s="14"/>
      <c r="J3013" s="14"/>
    </row>
    <row r="3014" spans="9:10">
      <c r="I3014" s="14"/>
      <c r="J3014" s="14"/>
    </row>
    <row r="3015" spans="9:10">
      <c r="I3015" s="14"/>
      <c r="J3015" s="14"/>
    </row>
    <row r="3016" spans="9:10">
      <c r="I3016" s="14"/>
      <c r="J3016" s="14"/>
    </row>
    <row r="3017" spans="9:10">
      <c r="I3017" s="14"/>
      <c r="J3017" s="14"/>
    </row>
    <row r="3018" spans="9:10">
      <c r="I3018" s="14"/>
      <c r="J3018" s="14"/>
    </row>
    <row r="3019" spans="9:10">
      <c r="I3019" s="14"/>
      <c r="J3019" s="14"/>
    </row>
    <row r="3020" spans="9:10">
      <c r="I3020" s="14"/>
      <c r="J3020" s="14"/>
    </row>
    <row r="3021" spans="9:10">
      <c r="I3021" s="14"/>
      <c r="J3021" s="14"/>
    </row>
    <row r="3022" spans="9:10">
      <c r="I3022" s="14"/>
      <c r="J3022" s="14"/>
    </row>
    <row r="3023" spans="9:10">
      <c r="I3023" s="14"/>
      <c r="J3023" s="14"/>
    </row>
    <row r="3024" spans="9:10">
      <c r="I3024" s="14"/>
      <c r="J3024" s="14"/>
    </row>
    <row r="3025" spans="9:10">
      <c r="I3025" s="14"/>
      <c r="J3025" s="14"/>
    </row>
    <row r="3026" spans="9:10">
      <c r="I3026" s="14"/>
      <c r="J3026" s="14"/>
    </row>
    <row r="3027" spans="9:10">
      <c r="I3027" s="14"/>
      <c r="J3027" s="14"/>
    </row>
    <row r="3028" spans="9:10">
      <c r="I3028" s="14"/>
      <c r="J3028" s="14"/>
    </row>
    <row r="3029" spans="9:10">
      <c r="I3029" s="14"/>
      <c r="J3029" s="14"/>
    </row>
    <row r="3030" spans="9:10">
      <c r="I3030" s="14"/>
      <c r="J3030" s="14"/>
    </row>
    <row r="3031" spans="9:10">
      <c r="I3031" s="14"/>
      <c r="J3031" s="14"/>
    </row>
    <row r="3032" spans="9:10">
      <c r="I3032" s="14"/>
      <c r="J3032" s="14"/>
    </row>
    <row r="3033" spans="9:10">
      <c r="I3033" s="14"/>
      <c r="J3033" s="14"/>
    </row>
    <row r="3034" spans="9:10">
      <c r="I3034" s="14"/>
      <c r="J3034" s="14"/>
    </row>
    <row r="3035" spans="9:10">
      <c r="I3035" s="14"/>
      <c r="J3035" s="14"/>
    </row>
    <row r="3036" spans="9:10">
      <c r="I3036" s="14"/>
      <c r="J3036" s="14"/>
    </row>
    <row r="3037" spans="9:10">
      <c r="I3037" s="14"/>
      <c r="J3037" s="14"/>
    </row>
    <row r="3038" spans="9:10">
      <c r="I3038" s="14"/>
      <c r="J3038" s="14"/>
    </row>
    <row r="3039" spans="9:10">
      <c r="I3039" s="14"/>
      <c r="J3039" s="14"/>
    </row>
    <row r="3040" spans="9:10">
      <c r="I3040" s="14"/>
      <c r="J3040" s="14"/>
    </row>
    <row r="3041" spans="9:10">
      <c r="I3041" s="14"/>
      <c r="J3041" s="14"/>
    </row>
    <row r="3042" spans="9:10">
      <c r="I3042" s="14"/>
      <c r="J3042" s="14"/>
    </row>
    <row r="3043" spans="9:10">
      <c r="I3043" s="14"/>
      <c r="J3043" s="14"/>
    </row>
    <row r="3044" spans="9:10">
      <c r="I3044" s="14"/>
      <c r="J3044" s="14"/>
    </row>
    <row r="3045" spans="9:10">
      <c r="I3045" s="14"/>
      <c r="J3045" s="14"/>
    </row>
    <row r="3046" spans="9:10">
      <c r="I3046" s="14"/>
      <c r="J3046" s="14"/>
    </row>
    <row r="3047" spans="9:10">
      <c r="I3047" s="14"/>
      <c r="J3047" s="14"/>
    </row>
    <row r="3048" spans="9:10">
      <c r="I3048" s="14"/>
      <c r="J3048" s="14"/>
    </row>
    <row r="3049" spans="9:10">
      <c r="I3049" s="14"/>
      <c r="J3049" s="14"/>
    </row>
    <row r="3050" spans="9:10">
      <c r="I3050" s="14"/>
      <c r="J3050" s="14"/>
    </row>
    <row r="3051" spans="9:10">
      <c r="I3051" s="14"/>
      <c r="J3051" s="14"/>
    </row>
    <row r="3052" spans="9:10">
      <c r="I3052" s="14"/>
      <c r="J3052" s="14"/>
    </row>
    <row r="3053" spans="9:10">
      <c r="I3053" s="14"/>
      <c r="J3053" s="14"/>
    </row>
    <row r="3054" spans="9:10">
      <c r="I3054" s="14"/>
      <c r="J3054" s="14"/>
    </row>
    <row r="3055" spans="9:10">
      <c r="I3055" s="14"/>
      <c r="J3055" s="14"/>
    </row>
    <row r="3056" spans="9:10">
      <c r="I3056" s="14"/>
      <c r="J3056" s="14"/>
    </row>
    <row r="3057" spans="9:10">
      <c r="I3057" s="14"/>
      <c r="J3057" s="14"/>
    </row>
    <row r="3058" spans="9:10">
      <c r="I3058" s="14"/>
      <c r="J3058" s="14"/>
    </row>
    <row r="3059" spans="9:10">
      <c r="I3059" s="14"/>
      <c r="J3059" s="14"/>
    </row>
    <row r="3060" spans="9:10">
      <c r="I3060" s="14"/>
      <c r="J3060" s="14"/>
    </row>
    <row r="3061" spans="9:10">
      <c r="I3061" s="14"/>
      <c r="J3061" s="14"/>
    </row>
    <row r="3062" spans="9:10">
      <c r="I3062" s="14"/>
      <c r="J3062" s="14"/>
    </row>
    <row r="3063" spans="9:10">
      <c r="I3063" s="14"/>
      <c r="J3063" s="14"/>
    </row>
    <row r="3064" spans="9:10">
      <c r="I3064" s="14"/>
      <c r="J3064" s="14"/>
    </row>
    <row r="3065" spans="9:10">
      <c r="I3065" s="14"/>
      <c r="J3065" s="14"/>
    </row>
    <row r="3066" spans="9:10">
      <c r="I3066" s="14"/>
      <c r="J3066" s="14"/>
    </row>
    <row r="3067" spans="9:10">
      <c r="I3067" s="14"/>
      <c r="J3067" s="14"/>
    </row>
    <row r="3068" spans="9:10">
      <c r="I3068" s="14"/>
      <c r="J3068" s="14"/>
    </row>
    <row r="3069" spans="9:10">
      <c r="I3069" s="14"/>
      <c r="J3069" s="14"/>
    </row>
    <row r="3070" spans="9:10">
      <c r="I3070" s="14"/>
      <c r="J3070" s="14"/>
    </row>
    <row r="3071" spans="9:10">
      <c r="I3071" s="14"/>
      <c r="J3071" s="14"/>
    </row>
    <row r="3072" spans="9:10">
      <c r="I3072" s="14"/>
      <c r="J3072" s="14"/>
    </row>
    <row r="3073" spans="9:10">
      <c r="I3073" s="14"/>
      <c r="J3073" s="14"/>
    </row>
    <row r="3074" spans="9:10">
      <c r="I3074" s="14"/>
      <c r="J3074" s="14"/>
    </row>
    <row r="3075" spans="9:10">
      <c r="I3075" s="14"/>
      <c r="J3075" s="14"/>
    </row>
    <row r="3076" spans="9:10">
      <c r="I3076" s="14"/>
      <c r="J3076" s="14"/>
    </row>
    <row r="3077" spans="9:10">
      <c r="I3077" s="14"/>
      <c r="J3077" s="14"/>
    </row>
    <row r="3078" spans="9:10">
      <c r="I3078" s="14"/>
      <c r="J3078" s="14"/>
    </row>
    <row r="3079" spans="9:10">
      <c r="I3079" s="14"/>
      <c r="J3079" s="14"/>
    </row>
    <row r="3080" spans="9:10">
      <c r="I3080" s="14"/>
      <c r="J3080" s="14"/>
    </row>
    <row r="3081" spans="9:10">
      <c r="I3081" s="14"/>
      <c r="J3081" s="14"/>
    </row>
    <row r="3082" spans="9:10">
      <c r="I3082" s="14"/>
      <c r="J3082" s="14"/>
    </row>
    <row r="3083" spans="9:10">
      <c r="I3083" s="14"/>
      <c r="J3083" s="14"/>
    </row>
    <row r="3084" spans="9:10">
      <c r="I3084" s="14"/>
      <c r="J3084" s="14"/>
    </row>
    <row r="3085" spans="9:10">
      <c r="I3085" s="14"/>
      <c r="J3085" s="14"/>
    </row>
    <row r="3086" spans="9:10">
      <c r="I3086" s="14"/>
      <c r="J3086" s="14"/>
    </row>
    <row r="3087" spans="9:10">
      <c r="I3087" s="14"/>
      <c r="J3087" s="14"/>
    </row>
    <row r="3088" spans="9:10">
      <c r="I3088" s="14"/>
      <c r="J3088" s="14"/>
    </row>
    <row r="3089" spans="9:10">
      <c r="I3089" s="14"/>
      <c r="J3089" s="14"/>
    </row>
    <row r="3090" spans="9:10">
      <c r="I3090" s="14"/>
      <c r="J3090" s="14"/>
    </row>
    <row r="3091" spans="9:10">
      <c r="I3091" s="14"/>
      <c r="J3091" s="14"/>
    </row>
    <row r="3092" spans="9:10">
      <c r="I3092" s="14"/>
      <c r="J3092" s="14"/>
    </row>
    <row r="3093" spans="9:10">
      <c r="I3093" s="14"/>
      <c r="J3093" s="14"/>
    </row>
    <row r="3094" spans="9:10">
      <c r="I3094" s="14"/>
      <c r="J3094" s="14"/>
    </row>
    <row r="3095" spans="9:10">
      <c r="I3095" s="14"/>
      <c r="J3095" s="14"/>
    </row>
    <row r="3096" spans="9:10">
      <c r="I3096" s="14"/>
      <c r="J3096" s="14"/>
    </row>
    <row r="3097" spans="9:10">
      <c r="I3097" s="14"/>
      <c r="J3097" s="14"/>
    </row>
    <row r="3098" spans="9:10">
      <c r="I3098" s="14"/>
      <c r="J3098" s="14"/>
    </row>
    <row r="3099" spans="9:10">
      <c r="I3099" s="14"/>
      <c r="J3099" s="14"/>
    </row>
    <row r="3100" spans="9:10">
      <c r="I3100" s="14"/>
      <c r="J3100" s="14"/>
    </row>
    <row r="3101" spans="9:10">
      <c r="I3101" s="14"/>
      <c r="J3101" s="14"/>
    </row>
    <row r="3102" spans="9:10">
      <c r="I3102" s="14"/>
      <c r="J3102" s="14"/>
    </row>
    <row r="3103" spans="9:10">
      <c r="I3103" s="14"/>
      <c r="J3103" s="14"/>
    </row>
    <row r="3104" spans="9:10">
      <c r="I3104" s="14"/>
      <c r="J3104" s="14"/>
    </row>
    <row r="3105" spans="9:10">
      <c r="I3105" s="14"/>
      <c r="J3105" s="14"/>
    </row>
    <row r="3106" spans="9:10">
      <c r="I3106" s="14"/>
      <c r="J3106" s="14"/>
    </row>
    <row r="3107" spans="9:10">
      <c r="I3107" s="14"/>
      <c r="J3107" s="14"/>
    </row>
    <row r="3108" spans="9:10">
      <c r="I3108" s="14"/>
      <c r="J3108" s="14"/>
    </row>
    <row r="3109" spans="9:10">
      <c r="I3109" s="14"/>
      <c r="J3109" s="14"/>
    </row>
    <row r="3110" spans="9:10">
      <c r="I3110" s="14"/>
      <c r="J3110" s="14"/>
    </row>
    <row r="3111" spans="9:10">
      <c r="I3111" s="14"/>
      <c r="J3111" s="14"/>
    </row>
    <row r="3112" spans="9:10">
      <c r="I3112" s="14"/>
      <c r="J3112" s="14"/>
    </row>
    <row r="3113" spans="9:10">
      <c r="I3113" s="14"/>
      <c r="J3113" s="14"/>
    </row>
    <row r="3114" spans="9:10">
      <c r="I3114" s="14"/>
      <c r="J3114" s="14"/>
    </row>
    <row r="3115" spans="9:10">
      <c r="I3115" s="14"/>
      <c r="J3115" s="14"/>
    </row>
    <row r="3116" spans="9:10">
      <c r="I3116" s="14"/>
      <c r="J3116" s="14"/>
    </row>
    <row r="3117" spans="9:10">
      <c r="I3117" s="14"/>
      <c r="J3117" s="14"/>
    </row>
    <row r="3118" spans="9:10">
      <c r="I3118" s="14"/>
      <c r="J3118" s="14"/>
    </row>
    <row r="3119" spans="9:10">
      <c r="I3119" s="14"/>
      <c r="J3119" s="14"/>
    </row>
    <row r="3120" spans="9:10">
      <c r="I3120" s="14"/>
      <c r="J3120" s="14"/>
    </row>
    <row r="3121" spans="9:10">
      <c r="I3121" s="14"/>
      <c r="J3121" s="14"/>
    </row>
    <row r="3122" spans="9:10">
      <c r="I3122" s="14"/>
      <c r="J3122" s="14"/>
    </row>
    <row r="3123" spans="9:10">
      <c r="I3123" s="14"/>
      <c r="J3123" s="14"/>
    </row>
    <row r="3124" spans="9:10">
      <c r="I3124" s="14"/>
      <c r="J3124" s="14"/>
    </row>
    <row r="3125" spans="9:10">
      <c r="I3125" s="14"/>
      <c r="J3125" s="14"/>
    </row>
    <row r="3126" spans="9:10">
      <c r="I3126" s="14"/>
      <c r="J3126" s="14"/>
    </row>
    <row r="3127" spans="9:10">
      <c r="I3127" s="14"/>
      <c r="J3127" s="14"/>
    </row>
    <row r="3128" spans="9:10">
      <c r="I3128" s="14"/>
      <c r="J3128" s="14"/>
    </row>
    <row r="3129" spans="9:10">
      <c r="I3129" s="14"/>
      <c r="J3129" s="14"/>
    </row>
    <row r="3130" spans="9:10">
      <c r="I3130" s="14"/>
      <c r="J3130" s="14"/>
    </row>
    <row r="3131" spans="9:10">
      <c r="I3131" s="14"/>
      <c r="J3131" s="14"/>
    </row>
    <row r="3132" spans="9:10">
      <c r="I3132" s="14"/>
      <c r="J3132" s="14"/>
    </row>
    <row r="3133" spans="9:10">
      <c r="I3133" s="14"/>
      <c r="J3133" s="14"/>
    </row>
    <row r="3134" spans="9:10">
      <c r="I3134" s="14"/>
      <c r="J3134" s="14"/>
    </row>
    <row r="3135" spans="9:10">
      <c r="I3135" s="14"/>
      <c r="J3135" s="14"/>
    </row>
    <row r="3136" spans="9:10">
      <c r="I3136" s="14"/>
      <c r="J3136" s="14"/>
    </row>
    <row r="3137" spans="9:10">
      <c r="I3137" s="14"/>
      <c r="J3137" s="14"/>
    </row>
    <row r="3138" spans="9:10">
      <c r="I3138" s="14"/>
      <c r="J3138" s="14"/>
    </row>
    <row r="3139" spans="9:10">
      <c r="I3139" s="14"/>
      <c r="J3139" s="14"/>
    </row>
    <row r="3140" spans="9:10">
      <c r="I3140" s="14"/>
      <c r="J3140" s="14"/>
    </row>
    <row r="3141" spans="9:10">
      <c r="I3141" s="14"/>
      <c r="J3141" s="14"/>
    </row>
    <row r="3142" spans="9:10">
      <c r="I3142" s="14"/>
      <c r="J3142" s="14"/>
    </row>
    <row r="3143" spans="9:10">
      <c r="I3143" s="14"/>
      <c r="J3143" s="14"/>
    </row>
    <row r="3144" spans="9:10">
      <c r="I3144" s="14"/>
      <c r="J3144" s="14"/>
    </row>
    <row r="3145" spans="9:10">
      <c r="I3145" s="14"/>
      <c r="J3145" s="14"/>
    </row>
    <row r="3146" spans="9:10">
      <c r="I3146" s="14"/>
      <c r="J3146" s="14"/>
    </row>
    <row r="3147" spans="9:10">
      <c r="I3147" s="14"/>
      <c r="J3147" s="14"/>
    </row>
    <row r="3148" spans="9:10">
      <c r="I3148" s="14"/>
      <c r="J3148" s="14"/>
    </row>
    <row r="3149" spans="9:10">
      <c r="I3149" s="14"/>
      <c r="J3149" s="14"/>
    </row>
    <row r="3150" spans="9:10">
      <c r="I3150" s="14"/>
      <c r="J3150" s="14"/>
    </row>
    <row r="3151" spans="9:10">
      <c r="I3151" s="14"/>
      <c r="J3151" s="14"/>
    </row>
    <row r="3152" spans="9:10">
      <c r="I3152" s="14"/>
      <c r="J3152" s="14"/>
    </row>
    <row r="3153" spans="9:10">
      <c r="I3153" s="14"/>
      <c r="J3153" s="14"/>
    </row>
    <row r="3154" spans="9:10">
      <c r="I3154" s="14"/>
      <c r="J3154" s="14"/>
    </row>
    <row r="3155" spans="9:10">
      <c r="I3155" s="14"/>
      <c r="J3155" s="14"/>
    </row>
    <row r="3156" spans="9:10">
      <c r="I3156" s="14"/>
      <c r="J3156" s="14"/>
    </row>
    <row r="3157" spans="9:10">
      <c r="I3157" s="14"/>
      <c r="J3157" s="14"/>
    </row>
    <row r="3158" spans="9:10">
      <c r="I3158" s="14"/>
      <c r="J3158" s="14"/>
    </row>
    <row r="3159" spans="9:10">
      <c r="I3159" s="14"/>
      <c r="J3159" s="14"/>
    </row>
    <row r="3160" spans="9:10">
      <c r="I3160" s="14"/>
      <c r="J3160" s="14"/>
    </row>
    <row r="3161" spans="9:10">
      <c r="I3161" s="14"/>
      <c r="J3161" s="14"/>
    </row>
    <row r="3162" spans="9:10">
      <c r="I3162" s="14"/>
      <c r="J3162" s="14"/>
    </row>
    <row r="3163" spans="9:10">
      <c r="I3163" s="14"/>
      <c r="J3163" s="14"/>
    </row>
    <row r="3164" spans="9:10">
      <c r="I3164" s="14"/>
      <c r="J3164" s="14"/>
    </row>
    <row r="3165" spans="9:10">
      <c r="I3165" s="14"/>
      <c r="J3165" s="14"/>
    </row>
    <row r="3166" spans="9:10">
      <c r="I3166" s="14"/>
      <c r="J3166" s="14"/>
    </row>
    <row r="3167" spans="9:10">
      <c r="I3167" s="14"/>
      <c r="J3167" s="14"/>
    </row>
    <row r="3168" spans="9:10">
      <c r="I3168" s="14"/>
      <c r="J3168" s="14"/>
    </row>
    <row r="3169" spans="9:10">
      <c r="I3169" s="14"/>
      <c r="J3169" s="14"/>
    </row>
    <row r="3170" spans="9:10">
      <c r="I3170" s="14"/>
      <c r="J3170" s="14"/>
    </row>
    <row r="3171" spans="9:10">
      <c r="I3171" s="14"/>
      <c r="J3171" s="14"/>
    </row>
    <row r="3172" spans="9:10">
      <c r="I3172" s="14"/>
      <c r="J3172" s="14"/>
    </row>
    <row r="3173" spans="9:10">
      <c r="I3173" s="14"/>
      <c r="J3173" s="14"/>
    </row>
    <row r="3174" spans="9:10">
      <c r="I3174" s="14"/>
      <c r="J3174" s="14"/>
    </row>
    <row r="3175" spans="9:10">
      <c r="I3175" s="14"/>
      <c r="J3175" s="14"/>
    </row>
    <row r="3176" spans="9:10">
      <c r="I3176" s="14"/>
      <c r="J3176" s="14"/>
    </row>
    <row r="3177" spans="9:10">
      <c r="I3177" s="14"/>
      <c r="J3177" s="14"/>
    </row>
    <row r="3178" spans="9:10">
      <c r="I3178" s="14"/>
      <c r="J3178" s="14"/>
    </row>
    <row r="3179" spans="9:10">
      <c r="I3179" s="14"/>
      <c r="J3179" s="14"/>
    </row>
    <row r="3180" spans="9:10">
      <c r="I3180" s="14"/>
      <c r="J3180" s="14"/>
    </row>
    <row r="3181" spans="9:10">
      <c r="I3181" s="14"/>
      <c r="J3181" s="14"/>
    </row>
    <row r="3182" spans="9:10">
      <c r="I3182" s="14"/>
      <c r="J3182" s="14"/>
    </row>
    <row r="3183" spans="9:10">
      <c r="I3183" s="14"/>
      <c r="J3183" s="14"/>
    </row>
    <row r="3184" spans="9:10">
      <c r="I3184" s="14"/>
      <c r="J3184" s="14"/>
    </row>
    <row r="3185" spans="9:10">
      <c r="I3185" s="14"/>
      <c r="J3185" s="14"/>
    </row>
    <row r="3186" spans="9:10">
      <c r="I3186" s="14"/>
      <c r="J3186" s="14"/>
    </row>
    <row r="3187" spans="9:10">
      <c r="I3187" s="14"/>
      <c r="J3187" s="14"/>
    </row>
    <row r="3188" spans="9:10">
      <c r="I3188" s="14"/>
      <c r="J3188" s="14"/>
    </row>
    <row r="3189" spans="9:10">
      <c r="I3189" s="14"/>
      <c r="J3189" s="14"/>
    </row>
    <row r="3190" spans="9:10">
      <c r="I3190" s="14"/>
      <c r="J3190" s="14"/>
    </row>
    <row r="3191" spans="9:10">
      <c r="I3191" s="14"/>
      <c r="J3191" s="14"/>
    </row>
    <row r="3192" spans="9:10">
      <c r="I3192" s="14"/>
      <c r="J3192" s="14"/>
    </row>
    <row r="3193" spans="9:10">
      <c r="I3193" s="14"/>
      <c r="J3193" s="14"/>
    </row>
    <row r="3194" spans="9:10">
      <c r="I3194" s="14"/>
      <c r="J3194" s="14"/>
    </row>
    <row r="3195" spans="9:10">
      <c r="I3195" s="14"/>
      <c r="J3195" s="14"/>
    </row>
    <row r="3196" spans="9:10">
      <c r="I3196" s="14"/>
      <c r="J3196" s="14"/>
    </row>
    <row r="3197" spans="9:10">
      <c r="I3197" s="14"/>
      <c r="J3197" s="14"/>
    </row>
    <row r="3198" spans="9:10">
      <c r="I3198" s="14"/>
      <c r="J3198" s="14"/>
    </row>
    <row r="3199" spans="9:10">
      <c r="I3199" s="14"/>
      <c r="J3199" s="14"/>
    </row>
    <row r="3200" spans="9:10">
      <c r="I3200" s="14"/>
      <c r="J3200" s="14"/>
    </row>
    <row r="3201" spans="9:10">
      <c r="I3201" s="14"/>
      <c r="J3201" s="14"/>
    </row>
    <row r="3202" spans="9:10">
      <c r="I3202" s="14"/>
      <c r="J3202" s="14"/>
    </row>
    <row r="3203" spans="9:10">
      <c r="I3203" s="14"/>
      <c r="J3203" s="14"/>
    </row>
    <row r="3204" spans="9:10">
      <c r="I3204" s="14"/>
      <c r="J3204" s="14"/>
    </row>
    <row r="3205" spans="9:10">
      <c r="I3205" s="14"/>
      <c r="J3205" s="14"/>
    </row>
    <row r="3206" spans="9:10">
      <c r="I3206" s="14"/>
      <c r="J3206" s="14"/>
    </row>
    <row r="3207" spans="9:10">
      <c r="I3207" s="14"/>
      <c r="J3207" s="14"/>
    </row>
    <row r="3208" spans="9:10">
      <c r="I3208" s="14"/>
      <c r="J3208" s="14"/>
    </row>
    <row r="3209" spans="9:10">
      <c r="I3209" s="14"/>
      <c r="J3209" s="14"/>
    </row>
    <row r="3210" spans="9:10">
      <c r="I3210" s="14"/>
      <c r="J3210" s="14"/>
    </row>
    <row r="3211" spans="9:10">
      <c r="I3211" s="14"/>
      <c r="J3211" s="14"/>
    </row>
    <row r="3212" spans="9:10">
      <c r="I3212" s="14"/>
      <c r="J3212" s="14"/>
    </row>
    <row r="3213" spans="9:10">
      <c r="I3213" s="14"/>
      <c r="J3213" s="14"/>
    </row>
    <row r="3214" spans="9:10">
      <c r="I3214" s="14"/>
      <c r="J3214" s="14"/>
    </row>
    <row r="3215" spans="9:10">
      <c r="I3215" s="14"/>
      <c r="J3215" s="14"/>
    </row>
    <row r="3216" spans="9:10">
      <c r="I3216" s="14"/>
      <c r="J3216" s="14"/>
    </row>
    <row r="3217" spans="9:10">
      <c r="I3217" s="14"/>
      <c r="J3217" s="14"/>
    </row>
    <row r="3218" spans="9:10">
      <c r="I3218" s="14"/>
      <c r="J3218" s="14"/>
    </row>
    <row r="3219" spans="9:10">
      <c r="I3219" s="14"/>
      <c r="J3219" s="14"/>
    </row>
    <row r="3220" spans="9:10">
      <c r="I3220" s="14"/>
      <c r="J3220" s="14"/>
    </row>
    <row r="3221" spans="9:10">
      <c r="I3221" s="14"/>
      <c r="J3221" s="14"/>
    </row>
    <row r="3222" spans="9:10">
      <c r="I3222" s="14"/>
      <c r="J3222" s="14"/>
    </row>
    <row r="3223" spans="9:10">
      <c r="I3223" s="14"/>
      <c r="J3223" s="14"/>
    </row>
    <row r="3224" spans="9:10">
      <c r="I3224" s="14"/>
      <c r="J3224" s="14"/>
    </row>
    <row r="3225" spans="9:10">
      <c r="I3225" s="14"/>
      <c r="J3225" s="14"/>
    </row>
    <row r="3226" spans="9:10">
      <c r="I3226" s="14"/>
      <c r="J3226" s="14"/>
    </row>
    <row r="3227" spans="9:10">
      <c r="I3227" s="14"/>
      <c r="J3227" s="14"/>
    </row>
    <row r="3228" spans="9:10">
      <c r="I3228" s="14"/>
      <c r="J3228" s="14"/>
    </row>
    <row r="3229" spans="9:10">
      <c r="I3229" s="14"/>
      <c r="J3229" s="14"/>
    </row>
    <row r="3230" spans="9:10">
      <c r="I3230" s="14"/>
      <c r="J3230" s="14"/>
    </row>
    <row r="3231" spans="9:10">
      <c r="I3231" s="14"/>
      <c r="J3231" s="14"/>
    </row>
    <row r="3232" spans="9:10">
      <c r="I3232" s="14"/>
      <c r="J3232" s="14"/>
    </row>
    <row r="3233" spans="9:10">
      <c r="I3233" s="14"/>
      <c r="J3233" s="14"/>
    </row>
    <row r="3234" spans="9:10">
      <c r="I3234" s="14"/>
      <c r="J3234" s="14"/>
    </row>
    <row r="3235" spans="9:10">
      <c r="I3235" s="14"/>
      <c r="J3235" s="14"/>
    </row>
    <row r="3236" spans="9:10">
      <c r="I3236" s="14"/>
      <c r="J3236" s="14"/>
    </row>
    <row r="3237" spans="9:10">
      <c r="I3237" s="14"/>
      <c r="J3237" s="14"/>
    </row>
    <row r="3238" spans="9:10">
      <c r="I3238" s="14"/>
      <c r="J3238" s="14"/>
    </row>
    <row r="3239" spans="9:10">
      <c r="I3239" s="14"/>
      <c r="J3239" s="14"/>
    </row>
    <row r="3240" spans="9:10">
      <c r="I3240" s="14"/>
      <c r="J3240" s="14"/>
    </row>
    <row r="3241" spans="9:10">
      <c r="I3241" s="14"/>
      <c r="J3241" s="14"/>
    </row>
    <row r="3242" spans="9:10">
      <c r="I3242" s="14"/>
      <c r="J3242" s="14"/>
    </row>
    <row r="3243" spans="9:10">
      <c r="I3243" s="14"/>
      <c r="J3243" s="14"/>
    </row>
    <row r="3244" spans="9:10">
      <c r="I3244" s="14"/>
      <c r="J3244" s="14"/>
    </row>
    <row r="3245" spans="9:10">
      <c r="I3245" s="14"/>
      <c r="J3245" s="14"/>
    </row>
    <row r="3246" spans="9:10">
      <c r="I3246" s="14"/>
      <c r="J3246" s="14"/>
    </row>
    <row r="3247" spans="9:10">
      <c r="I3247" s="14"/>
      <c r="J3247" s="14"/>
    </row>
    <row r="3248" spans="9:10">
      <c r="I3248" s="14"/>
      <c r="J3248" s="14"/>
    </row>
    <row r="3249" spans="9:10">
      <c r="I3249" s="14"/>
      <c r="J3249" s="14"/>
    </row>
    <row r="3250" spans="9:10">
      <c r="I3250" s="14"/>
      <c r="J3250" s="14"/>
    </row>
    <row r="3251" spans="9:10">
      <c r="I3251" s="14"/>
      <c r="J3251" s="14"/>
    </row>
    <row r="3252" spans="9:10">
      <c r="I3252" s="14"/>
      <c r="J3252" s="14"/>
    </row>
    <row r="3253" spans="9:10">
      <c r="I3253" s="14"/>
      <c r="J3253" s="14"/>
    </row>
    <row r="3254" spans="9:10">
      <c r="I3254" s="14"/>
      <c r="J3254" s="14"/>
    </row>
    <row r="3255" spans="9:10">
      <c r="I3255" s="14"/>
      <c r="J3255" s="14"/>
    </row>
    <row r="3256" spans="9:10">
      <c r="I3256" s="14"/>
      <c r="J3256" s="14"/>
    </row>
    <row r="3257" spans="9:10">
      <c r="I3257" s="14"/>
      <c r="J3257" s="14"/>
    </row>
    <row r="3258" spans="9:10">
      <c r="I3258" s="14"/>
      <c r="J3258" s="14"/>
    </row>
    <row r="3259" spans="9:10">
      <c r="I3259" s="14"/>
      <c r="J3259" s="14"/>
    </row>
    <row r="3260" spans="9:10">
      <c r="I3260" s="14"/>
      <c r="J3260" s="14"/>
    </row>
    <row r="3261" spans="9:10">
      <c r="I3261" s="14"/>
      <c r="J3261" s="14"/>
    </row>
    <row r="3262" spans="9:10">
      <c r="I3262" s="14"/>
      <c r="J3262" s="14"/>
    </row>
    <row r="3263" spans="9:10">
      <c r="I3263" s="14"/>
      <c r="J3263" s="14"/>
    </row>
    <row r="3264" spans="9:10">
      <c r="I3264" s="14"/>
      <c r="J3264" s="14"/>
    </row>
    <row r="3265" spans="9:10">
      <c r="I3265" s="14"/>
      <c r="J3265" s="14"/>
    </row>
    <row r="3266" spans="9:10">
      <c r="I3266" s="14"/>
      <c r="J3266" s="14"/>
    </row>
    <row r="3267" spans="9:10">
      <c r="I3267" s="14"/>
      <c r="J3267" s="14"/>
    </row>
    <row r="3268" spans="9:10">
      <c r="I3268" s="14"/>
      <c r="J3268" s="14"/>
    </row>
    <row r="3269" spans="9:10">
      <c r="I3269" s="14"/>
      <c r="J3269" s="14"/>
    </row>
    <row r="3270" spans="9:10">
      <c r="I3270" s="14"/>
      <c r="J3270" s="14"/>
    </row>
    <row r="3271" spans="9:10">
      <c r="I3271" s="14"/>
      <c r="J3271" s="14"/>
    </row>
    <row r="3272" spans="9:10">
      <c r="I3272" s="14"/>
      <c r="J3272" s="14"/>
    </row>
    <row r="3273" spans="9:10">
      <c r="I3273" s="14"/>
      <c r="J3273" s="14"/>
    </row>
    <row r="3274" spans="9:10">
      <c r="I3274" s="14"/>
      <c r="J3274" s="14"/>
    </row>
    <row r="3275" spans="9:10">
      <c r="I3275" s="14"/>
      <c r="J3275" s="14"/>
    </row>
    <row r="3276" spans="9:10">
      <c r="I3276" s="14"/>
      <c r="J3276" s="14"/>
    </row>
    <row r="3277" spans="9:10">
      <c r="I3277" s="14"/>
      <c r="J3277" s="14"/>
    </row>
    <row r="3278" spans="9:10">
      <c r="I3278" s="14"/>
      <c r="J3278" s="14"/>
    </row>
    <row r="3279" spans="9:10">
      <c r="I3279" s="14"/>
      <c r="J3279" s="14"/>
    </row>
    <row r="3280" spans="9:10">
      <c r="I3280" s="14"/>
      <c r="J3280" s="14"/>
    </row>
    <row r="3281" spans="9:10">
      <c r="I3281" s="14"/>
      <c r="J3281" s="14"/>
    </row>
    <row r="3282" spans="9:10">
      <c r="I3282" s="14"/>
      <c r="J3282" s="14"/>
    </row>
    <row r="3283" spans="9:10">
      <c r="I3283" s="14"/>
      <c r="J3283" s="14"/>
    </row>
    <row r="3284" spans="9:10">
      <c r="I3284" s="14"/>
      <c r="J3284" s="14"/>
    </row>
    <row r="3285" spans="9:10">
      <c r="I3285" s="14"/>
      <c r="J3285" s="14"/>
    </row>
    <row r="3286" spans="9:10">
      <c r="I3286" s="14"/>
      <c r="J3286" s="14"/>
    </row>
    <row r="3287" spans="9:10">
      <c r="I3287" s="14"/>
      <c r="J3287" s="14"/>
    </row>
    <row r="3288" spans="9:10">
      <c r="I3288" s="14"/>
      <c r="J3288" s="14"/>
    </row>
    <row r="3289" spans="9:10">
      <c r="I3289" s="14"/>
      <c r="J3289" s="14"/>
    </row>
    <row r="3290" spans="9:10">
      <c r="I3290" s="14"/>
      <c r="J3290" s="14"/>
    </row>
    <row r="3291" spans="9:10">
      <c r="I3291" s="14"/>
      <c r="J3291" s="14"/>
    </row>
    <row r="3292" spans="9:10">
      <c r="I3292" s="14"/>
      <c r="J3292" s="14"/>
    </row>
    <row r="3293" spans="9:10">
      <c r="I3293" s="14"/>
      <c r="J3293" s="14"/>
    </row>
    <row r="3294" spans="9:10">
      <c r="I3294" s="14"/>
      <c r="J3294" s="14"/>
    </row>
    <row r="3295" spans="9:10">
      <c r="I3295" s="14"/>
      <c r="J3295" s="14"/>
    </row>
    <row r="3296" spans="9:10">
      <c r="I3296" s="14"/>
      <c r="J3296" s="14"/>
    </row>
    <row r="3297" spans="9:10">
      <c r="I3297" s="14"/>
      <c r="J3297" s="14"/>
    </row>
    <row r="3298" spans="9:10">
      <c r="I3298" s="14"/>
      <c r="J3298" s="14"/>
    </row>
    <row r="3299" spans="9:10">
      <c r="I3299" s="14"/>
      <c r="J3299" s="14"/>
    </row>
    <row r="3300" spans="9:10">
      <c r="I3300" s="14"/>
      <c r="J3300" s="14"/>
    </row>
    <row r="3301" spans="9:10">
      <c r="I3301" s="14"/>
      <c r="J3301" s="14"/>
    </row>
    <row r="3302" spans="9:10">
      <c r="I3302" s="14"/>
      <c r="J3302" s="14"/>
    </row>
    <row r="3303" spans="9:10">
      <c r="I3303" s="14"/>
      <c r="J3303" s="14"/>
    </row>
    <row r="3304" spans="9:10">
      <c r="I3304" s="14"/>
      <c r="J3304" s="14"/>
    </row>
    <row r="3305" spans="9:10">
      <c r="I3305" s="14"/>
      <c r="J3305" s="14"/>
    </row>
    <row r="3306" spans="9:10">
      <c r="I3306" s="14"/>
      <c r="J3306" s="14"/>
    </row>
    <row r="3307" spans="9:10">
      <c r="I3307" s="14"/>
      <c r="J3307" s="14"/>
    </row>
    <row r="3308" spans="9:10">
      <c r="I3308" s="14"/>
      <c r="J3308" s="14"/>
    </row>
    <row r="3309" spans="9:10">
      <c r="I3309" s="14"/>
      <c r="J3309" s="14"/>
    </row>
    <row r="3310" spans="9:10">
      <c r="I3310" s="14"/>
      <c r="J3310" s="14"/>
    </row>
    <row r="3311" spans="9:10">
      <c r="I3311" s="14"/>
      <c r="J3311" s="14"/>
    </row>
    <row r="3312" spans="9:10">
      <c r="I3312" s="14"/>
      <c r="J3312" s="14"/>
    </row>
    <row r="3313" spans="9:10">
      <c r="I3313" s="14"/>
      <c r="J3313" s="14"/>
    </row>
    <row r="3314" spans="9:10">
      <c r="I3314" s="14"/>
      <c r="J3314" s="14"/>
    </row>
    <row r="3315" spans="9:10">
      <c r="I3315" s="14"/>
      <c r="J3315" s="14"/>
    </row>
    <row r="3316" spans="9:10">
      <c r="I3316" s="14"/>
      <c r="J3316" s="14"/>
    </row>
    <row r="3317" spans="9:10">
      <c r="I3317" s="14"/>
      <c r="J3317" s="14"/>
    </row>
    <row r="3318" spans="9:10">
      <c r="I3318" s="14"/>
      <c r="J3318" s="14"/>
    </row>
    <row r="3319" spans="9:10">
      <c r="I3319" s="14"/>
      <c r="J3319" s="14"/>
    </row>
    <row r="3320" spans="9:10">
      <c r="I3320" s="14"/>
      <c r="J3320" s="14"/>
    </row>
    <row r="3321" spans="9:10">
      <c r="I3321" s="14"/>
      <c r="J3321" s="14"/>
    </row>
    <row r="3322" spans="9:10">
      <c r="I3322" s="14"/>
      <c r="J3322" s="14"/>
    </row>
    <row r="3323" spans="9:10">
      <c r="I3323" s="14"/>
      <c r="J3323" s="14"/>
    </row>
    <row r="3324" spans="9:10">
      <c r="I3324" s="14"/>
      <c r="J3324" s="14"/>
    </row>
    <row r="3325" spans="9:10">
      <c r="I3325" s="14"/>
      <c r="J3325" s="14"/>
    </row>
    <row r="3326" spans="9:10">
      <c r="I3326" s="14"/>
      <c r="J3326" s="14"/>
    </row>
    <row r="3327" spans="9:10">
      <c r="I3327" s="14"/>
      <c r="J3327" s="14"/>
    </row>
    <row r="3328" spans="9:10">
      <c r="I3328" s="14"/>
      <c r="J3328" s="14"/>
    </row>
    <row r="3329" spans="9:10">
      <c r="I3329" s="14"/>
      <c r="J3329" s="14"/>
    </row>
    <row r="3330" spans="9:10">
      <c r="I3330" s="14"/>
      <c r="J3330" s="14"/>
    </row>
    <row r="3331" spans="9:10">
      <c r="I3331" s="14"/>
      <c r="J3331" s="14"/>
    </row>
    <row r="3332" spans="9:10">
      <c r="I3332" s="14"/>
      <c r="J3332" s="14"/>
    </row>
    <row r="3333" spans="9:10">
      <c r="I3333" s="14"/>
      <c r="J3333" s="14"/>
    </row>
    <row r="3334" spans="9:10">
      <c r="I3334" s="14"/>
      <c r="J3334" s="14"/>
    </row>
    <row r="3335" spans="9:10">
      <c r="I3335" s="14"/>
      <c r="J3335" s="14"/>
    </row>
    <row r="3336" spans="9:10">
      <c r="I3336" s="14"/>
      <c r="J3336" s="14"/>
    </row>
    <row r="3337" spans="9:10">
      <c r="I3337" s="14"/>
      <c r="J3337" s="14"/>
    </row>
    <row r="3338" spans="9:10">
      <c r="I3338" s="14"/>
      <c r="J3338" s="14"/>
    </row>
    <row r="3339" spans="9:10">
      <c r="I3339" s="14"/>
      <c r="J3339" s="14"/>
    </row>
    <row r="3340" spans="9:10">
      <c r="I3340" s="14"/>
      <c r="J3340" s="14"/>
    </row>
    <row r="3341" spans="9:10">
      <c r="I3341" s="14"/>
      <c r="J3341" s="14"/>
    </row>
    <row r="3342" spans="9:10">
      <c r="I3342" s="14"/>
      <c r="J3342" s="14"/>
    </row>
    <row r="3343" spans="9:10">
      <c r="I3343" s="14"/>
      <c r="J3343" s="14"/>
    </row>
    <row r="3344" spans="9:10">
      <c r="I3344" s="14"/>
      <c r="J3344" s="14"/>
    </row>
    <row r="3345" spans="9:10">
      <c r="I3345" s="14"/>
      <c r="J3345" s="14"/>
    </row>
    <row r="3346" spans="9:10">
      <c r="I3346" s="14"/>
      <c r="J3346" s="14"/>
    </row>
    <row r="3347" spans="9:10">
      <c r="I3347" s="14"/>
      <c r="J3347" s="14"/>
    </row>
    <row r="3348" spans="9:10">
      <c r="I3348" s="14"/>
      <c r="J3348" s="14"/>
    </row>
    <row r="3349" spans="9:10">
      <c r="I3349" s="14"/>
      <c r="J3349" s="14"/>
    </row>
    <row r="3350" spans="9:10">
      <c r="I3350" s="14"/>
      <c r="J3350" s="14"/>
    </row>
    <row r="3351" spans="9:10">
      <c r="I3351" s="14"/>
      <c r="J3351" s="14"/>
    </row>
    <row r="3352" spans="9:10">
      <c r="I3352" s="14"/>
      <c r="J3352" s="14"/>
    </row>
    <row r="3353" spans="9:10">
      <c r="I3353" s="14"/>
      <c r="J3353" s="14"/>
    </row>
    <row r="3354" spans="9:10">
      <c r="I3354" s="14"/>
      <c r="J3354" s="14"/>
    </row>
    <row r="3355" spans="9:10">
      <c r="I3355" s="14"/>
      <c r="J3355" s="14"/>
    </row>
    <row r="3356" spans="9:10">
      <c r="I3356" s="14"/>
      <c r="J3356" s="14"/>
    </row>
    <row r="3357" spans="9:10">
      <c r="I3357" s="14"/>
      <c r="J3357" s="14"/>
    </row>
    <row r="3358" spans="9:10">
      <c r="I3358" s="14"/>
      <c r="J3358" s="14"/>
    </row>
    <row r="3359" spans="9:10">
      <c r="I3359" s="14"/>
      <c r="J3359" s="14"/>
    </row>
    <row r="3360" spans="9:10">
      <c r="I3360" s="14"/>
      <c r="J3360" s="14"/>
    </row>
    <row r="3361" spans="9:10">
      <c r="I3361" s="14"/>
      <c r="J3361" s="14"/>
    </row>
    <row r="3362" spans="9:10">
      <c r="I3362" s="14"/>
      <c r="J3362" s="14"/>
    </row>
    <row r="3363" spans="9:10">
      <c r="I3363" s="14"/>
      <c r="J3363" s="14"/>
    </row>
    <row r="3364" spans="9:10">
      <c r="I3364" s="14"/>
      <c r="J3364" s="14"/>
    </row>
    <row r="3365" spans="9:10">
      <c r="I3365" s="14"/>
      <c r="J3365" s="14"/>
    </row>
    <row r="3366" spans="9:10">
      <c r="I3366" s="14"/>
      <c r="J3366" s="14"/>
    </row>
    <row r="3367" spans="9:10">
      <c r="I3367" s="14"/>
      <c r="J3367" s="14"/>
    </row>
    <row r="3368" spans="9:10">
      <c r="I3368" s="14"/>
      <c r="J3368" s="14"/>
    </row>
    <row r="3369" spans="9:10">
      <c r="I3369" s="14"/>
      <c r="J3369" s="14"/>
    </row>
    <row r="3370" spans="9:10">
      <c r="I3370" s="14"/>
      <c r="J3370" s="14"/>
    </row>
    <row r="3371" spans="9:10">
      <c r="I3371" s="14"/>
      <c r="J3371" s="14"/>
    </row>
    <row r="3372" spans="9:10">
      <c r="I3372" s="14"/>
      <c r="J3372" s="14"/>
    </row>
    <row r="3373" spans="9:10">
      <c r="I3373" s="14"/>
      <c r="J3373" s="14"/>
    </row>
    <row r="3374" spans="9:10">
      <c r="I3374" s="14"/>
      <c r="J3374" s="14"/>
    </row>
    <row r="3375" spans="9:10">
      <c r="I3375" s="14"/>
      <c r="J3375" s="14"/>
    </row>
    <row r="3376" spans="9:10">
      <c r="I3376" s="14"/>
      <c r="J3376" s="14"/>
    </row>
    <row r="3377" spans="9:10">
      <c r="I3377" s="14"/>
      <c r="J3377" s="14"/>
    </row>
    <row r="3378" spans="9:10">
      <c r="I3378" s="14"/>
      <c r="J3378" s="14"/>
    </row>
    <row r="3379" spans="9:10">
      <c r="I3379" s="14"/>
      <c r="J3379" s="14"/>
    </row>
    <row r="3380" spans="9:10">
      <c r="I3380" s="14"/>
      <c r="J3380" s="14"/>
    </row>
    <row r="3381" spans="9:10">
      <c r="I3381" s="14"/>
      <c r="J3381" s="14"/>
    </row>
    <row r="3382" spans="9:10">
      <c r="I3382" s="14"/>
      <c r="J3382" s="14"/>
    </row>
    <row r="3383" spans="9:10">
      <c r="I3383" s="14"/>
      <c r="J3383" s="14"/>
    </row>
    <row r="3384" spans="9:10">
      <c r="I3384" s="14"/>
      <c r="J3384" s="14"/>
    </row>
    <row r="3385" spans="9:10">
      <c r="I3385" s="14"/>
      <c r="J3385" s="14"/>
    </row>
    <row r="3386" spans="9:10">
      <c r="I3386" s="14"/>
      <c r="J3386" s="14"/>
    </row>
    <row r="3387" spans="9:10">
      <c r="I3387" s="14"/>
      <c r="J3387" s="14"/>
    </row>
    <row r="3388" spans="9:10">
      <c r="I3388" s="14"/>
      <c r="J3388" s="14"/>
    </row>
    <row r="3389" spans="9:10">
      <c r="I3389" s="14"/>
      <c r="J3389" s="14"/>
    </row>
    <row r="3390" spans="9:10">
      <c r="I3390" s="14"/>
      <c r="J3390" s="14"/>
    </row>
    <row r="3391" spans="9:10">
      <c r="I3391" s="14"/>
      <c r="J3391" s="14"/>
    </row>
    <row r="3392" spans="9:10">
      <c r="I3392" s="14"/>
      <c r="J3392" s="14"/>
    </row>
    <row r="3393" spans="9:10">
      <c r="I3393" s="14"/>
      <c r="J3393" s="14"/>
    </row>
    <row r="3394" spans="9:10">
      <c r="I3394" s="14"/>
      <c r="J3394" s="14"/>
    </row>
    <row r="3395" spans="9:10">
      <c r="I3395" s="14"/>
      <c r="J3395" s="14"/>
    </row>
    <row r="3396" spans="9:10">
      <c r="I3396" s="14"/>
      <c r="J3396" s="14"/>
    </row>
    <row r="3397" spans="9:10">
      <c r="I3397" s="14"/>
      <c r="J3397" s="14"/>
    </row>
    <row r="3398" spans="9:10">
      <c r="I3398" s="14"/>
      <c r="J3398" s="14"/>
    </row>
    <row r="3399" spans="9:10">
      <c r="I3399" s="14"/>
      <c r="J3399" s="14"/>
    </row>
    <row r="3400" spans="9:10">
      <c r="I3400" s="14"/>
      <c r="J3400" s="14"/>
    </row>
    <row r="3401" spans="9:10">
      <c r="I3401" s="14"/>
      <c r="J3401" s="14"/>
    </row>
    <row r="3402" spans="9:10">
      <c r="I3402" s="14"/>
      <c r="J3402" s="14"/>
    </row>
    <row r="3403" spans="9:10">
      <c r="I3403" s="14"/>
      <c r="J3403" s="14"/>
    </row>
    <row r="3404" spans="9:10">
      <c r="I3404" s="14"/>
      <c r="J3404" s="14"/>
    </row>
    <row r="3405" spans="9:10">
      <c r="I3405" s="14"/>
      <c r="J3405" s="14"/>
    </row>
    <row r="3406" spans="9:10">
      <c r="I3406" s="14"/>
      <c r="J3406" s="14"/>
    </row>
    <row r="3407" spans="9:10">
      <c r="I3407" s="14"/>
      <c r="J3407" s="14"/>
    </row>
    <row r="3408" spans="9:10">
      <c r="I3408" s="14"/>
      <c r="J3408" s="14"/>
    </row>
    <row r="3409" spans="9:10">
      <c r="I3409" s="14"/>
      <c r="J3409" s="14"/>
    </row>
    <row r="3410" spans="9:10">
      <c r="I3410" s="14"/>
      <c r="J3410" s="14"/>
    </row>
    <row r="3411" spans="9:10">
      <c r="I3411" s="14"/>
      <c r="J3411" s="14"/>
    </row>
    <row r="3412" spans="9:10">
      <c r="I3412" s="14"/>
      <c r="J3412" s="14"/>
    </row>
    <row r="3413" spans="9:10">
      <c r="I3413" s="14"/>
      <c r="J3413" s="14"/>
    </row>
    <row r="3414" spans="9:10">
      <c r="I3414" s="14"/>
      <c r="J3414" s="14"/>
    </row>
    <row r="3415" spans="9:10">
      <c r="I3415" s="14"/>
      <c r="J3415" s="14"/>
    </row>
    <row r="3416" spans="9:10">
      <c r="I3416" s="14"/>
      <c r="J3416" s="14"/>
    </row>
    <row r="3417" spans="9:10">
      <c r="I3417" s="14"/>
      <c r="J3417" s="14"/>
    </row>
    <row r="3418" spans="9:10">
      <c r="I3418" s="14"/>
      <c r="J3418" s="14"/>
    </row>
    <row r="3419" spans="9:10">
      <c r="I3419" s="14"/>
      <c r="J3419" s="14"/>
    </row>
    <row r="3420" spans="9:10">
      <c r="I3420" s="14"/>
      <c r="J3420" s="14"/>
    </row>
    <row r="3421" spans="9:10">
      <c r="I3421" s="14"/>
      <c r="J3421" s="14"/>
    </row>
    <row r="3422" spans="9:10">
      <c r="I3422" s="14"/>
      <c r="J3422" s="14"/>
    </row>
    <row r="3423" spans="9:10">
      <c r="I3423" s="14"/>
      <c r="J3423" s="14"/>
    </row>
    <row r="3424" spans="9:10">
      <c r="I3424" s="14"/>
      <c r="J3424" s="14"/>
    </row>
    <row r="3425" spans="9:10">
      <c r="I3425" s="14"/>
      <c r="J3425" s="14"/>
    </row>
    <row r="3426" spans="9:10">
      <c r="I3426" s="14"/>
      <c r="J3426" s="14"/>
    </row>
    <row r="3427" spans="9:10">
      <c r="I3427" s="14"/>
      <c r="J3427" s="14"/>
    </row>
    <row r="3428" spans="9:10">
      <c r="I3428" s="14"/>
      <c r="J3428" s="14"/>
    </row>
    <row r="3429" spans="9:10">
      <c r="I3429" s="14"/>
      <c r="J3429" s="14"/>
    </row>
    <row r="3430" spans="9:10">
      <c r="I3430" s="14"/>
      <c r="J3430" s="14"/>
    </row>
    <row r="3431" spans="9:10">
      <c r="I3431" s="14"/>
      <c r="J3431" s="14"/>
    </row>
    <row r="3432" spans="9:10">
      <c r="I3432" s="14"/>
      <c r="J3432" s="14"/>
    </row>
    <row r="3433" spans="9:10">
      <c r="I3433" s="14"/>
      <c r="J3433" s="14"/>
    </row>
    <row r="3434" spans="9:10">
      <c r="I3434" s="14"/>
      <c r="J3434" s="14"/>
    </row>
    <row r="3435" spans="9:10">
      <c r="I3435" s="14"/>
      <c r="J3435" s="14"/>
    </row>
    <row r="3436" spans="9:10">
      <c r="I3436" s="14"/>
      <c r="J3436" s="14"/>
    </row>
    <row r="3437" spans="9:10">
      <c r="I3437" s="14"/>
      <c r="J3437" s="14"/>
    </row>
    <row r="3438" spans="9:10">
      <c r="I3438" s="14"/>
      <c r="J3438" s="14"/>
    </row>
    <row r="3439" spans="9:10">
      <c r="I3439" s="14"/>
      <c r="J3439" s="14"/>
    </row>
    <row r="3440" spans="9:10">
      <c r="I3440" s="14"/>
      <c r="J3440" s="14"/>
    </row>
    <row r="3441" spans="9:10">
      <c r="I3441" s="14"/>
      <c r="J3441" s="14"/>
    </row>
    <row r="3442" spans="9:10">
      <c r="I3442" s="14"/>
      <c r="J3442" s="14"/>
    </row>
    <row r="3443" spans="9:10">
      <c r="I3443" s="14"/>
      <c r="J3443" s="14"/>
    </row>
    <row r="3444" spans="9:10">
      <c r="I3444" s="14"/>
      <c r="J3444" s="14"/>
    </row>
    <row r="3445" spans="9:10">
      <c r="I3445" s="14"/>
      <c r="J3445" s="14"/>
    </row>
    <row r="3446" spans="9:10">
      <c r="I3446" s="14"/>
      <c r="J3446" s="14"/>
    </row>
    <row r="3447" spans="9:10">
      <c r="I3447" s="14"/>
      <c r="J3447" s="14"/>
    </row>
    <row r="3448" spans="9:10">
      <c r="I3448" s="14"/>
      <c r="J3448" s="14"/>
    </row>
    <row r="3449" spans="9:10">
      <c r="I3449" s="14"/>
      <c r="J3449" s="14"/>
    </row>
    <row r="3450" spans="9:10">
      <c r="I3450" s="14"/>
      <c r="J3450" s="14"/>
    </row>
    <row r="3451" spans="9:10">
      <c r="I3451" s="14"/>
      <c r="J3451" s="14"/>
    </row>
    <row r="3452" spans="9:10">
      <c r="I3452" s="14"/>
      <c r="J3452" s="14"/>
    </row>
    <row r="3453" spans="9:10">
      <c r="I3453" s="14"/>
      <c r="J3453" s="14"/>
    </row>
    <row r="3454" spans="9:10">
      <c r="I3454" s="14"/>
      <c r="J3454" s="14"/>
    </row>
    <row r="3455" spans="9:10">
      <c r="I3455" s="14"/>
      <c r="J3455" s="14"/>
    </row>
    <row r="3456" spans="9:10">
      <c r="I3456" s="14"/>
      <c r="J3456" s="14"/>
    </row>
    <row r="3457" spans="9:10">
      <c r="I3457" s="14"/>
      <c r="J3457" s="14"/>
    </row>
    <row r="3458" spans="9:10">
      <c r="I3458" s="14"/>
      <c r="J3458" s="14"/>
    </row>
    <row r="3459" spans="9:10">
      <c r="I3459" s="14"/>
      <c r="J3459" s="14"/>
    </row>
    <row r="3460" spans="9:10">
      <c r="I3460" s="14"/>
      <c r="J3460" s="14"/>
    </row>
    <row r="3461" spans="9:10">
      <c r="I3461" s="14"/>
      <c r="J3461" s="14"/>
    </row>
    <row r="3462" spans="9:10">
      <c r="I3462" s="14"/>
      <c r="J3462" s="14"/>
    </row>
    <row r="3463" spans="9:10">
      <c r="I3463" s="14"/>
      <c r="J3463" s="14"/>
    </row>
    <row r="3464" spans="9:10">
      <c r="I3464" s="14"/>
      <c r="J3464" s="14"/>
    </row>
    <row r="3465" spans="9:10">
      <c r="I3465" s="14"/>
      <c r="J3465" s="14"/>
    </row>
    <row r="3466" spans="9:10">
      <c r="I3466" s="14"/>
      <c r="J3466" s="14"/>
    </row>
    <row r="3467" spans="9:10">
      <c r="I3467" s="14"/>
      <c r="J3467" s="14"/>
    </row>
    <row r="3468" spans="9:10">
      <c r="I3468" s="14"/>
      <c r="J3468" s="14"/>
    </row>
    <row r="3469" spans="9:10">
      <c r="I3469" s="14"/>
      <c r="J3469" s="14"/>
    </row>
    <row r="3470" spans="9:10">
      <c r="I3470" s="14"/>
      <c r="J3470" s="14"/>
    </row>
    <row r="3471" spans="9:10">
      <c r="I3471" s="14"/>
      <c r="J3471" s="14"/>
    </row>
    <row r="3472" spans="9:10">
      <c r="I3472" s="14"/>
      <c r="J3472" s="14"/>
    </row>
    <row r="3473" spans="9:10">
      <c r="I3473" s="14"/>
      <c r="J3473" s="14"/>
    </row>
    <row r="3474" spans="9:10">
      <c r="I3474" s="14"/>
      <c r="J3474" s="14"/>
    </row>
    <row r="3475" spans="9:10">
      <c r="I3475" s="14"/>
      <c r="J3475" s="14"/>
    </row>
    <row r="3476" spans="9:10">
      <c r="I3476" s="14"/>
      <c r="J3476" s="14"/>
    </row>
    <row r="3477" spans="9:10">
      <c r="I3477" s="14"/>
      <c r="J3477" s="14"/>
    </row>
    <row r="3478" spans="9:10">
      <c r="I3478" s="14"/>
      <c r="J3478" s="14"/>
    </row>
    <row r="3479" spans="9:10">
      <c r="I3479" s="14"/>
      <c r="J3479" s="14"/>
    </row>
    <row r="3480" spans="9:10">
      <c r="I3480" s="14"/>
      <c r="J3480" s="14"/>
    </row>
    <row r="3481" spans="9:10">
      <c r="I3481" s="14"/>
      <c r="J3481" s="14"/>
    </row>
    <row r="3482" spans="9:10">
      <c r="I3482" s="14"/>
      <c r="J3482" s="14"/>
    </row>
    <row r="3483" spans="9:10">
      <c r="I3483" s="14"/>
      <c r="J3483" s="14"/>
    </row>
    <row r="3484" spans="9:10">
      <c r="I3484" s="14"/>
      <c r="J3484" s="14"/>
    </row>
    <row r="3485" spans="9:10">
      <c r="I3485" s="14"/>
      <c r="J3485" s="14"/>
    </row>
    <row r="3486" spans="9:10">
      <c r="I3486" s="14"/>
      <c r="J3486" s="14"/>
    </row>
    <row r="3487" spans="9:10">
      <c r="I3487" s="14"/>
      <c r="J3487" s="14"/>
    </row>
    <row r="3488" spans="9:10">
      <c r="I3488" s="14"/>
      <c r="J3488" s="14"/>
    </row>
    <row r="3489" spans="9:10">
      <c r="I3489" s="14"/>
      <c r="J3489" s="14"/>
    </row>
    <row r="3490" spans="9:10">
      <c r="I3490" s="14"/>
      <c r="J3490" s="14"/>
    </row>
    <row r="3491" spans="9:10">
      <c r="I3491" s="14"/>
      <c r="J3491" s="14"/>
    </row>
    <row r="3492" spans="9:10">
      <c r="I3492" s="14"/>
      <c r="J3492" s="14"/>
    </row>
    <row r="3493" spans="9:10">
      <c r="I3493" s="14"/>
      <c r="J3493" s="14"/>
    </row>
    <row r="3494" spans="9:10">
      <c r="I3494" s="14"/>
      <c r="J3494" s="14"/>
    </row>
    <row r="3495" spans="9:10">
      <c r="I3495" s="14"/>
      <c r="J3495" s="14"/>
    </row>
    <row r="3496" spans="9:10">
      <c r="I3496" s="14"/>
      <c r="J3496" s="14"/>
    </row>
    <row r="3497" spans="9:10">
      <c r="I3497" s="14"/>
      <c r="J3497" s="14"/>
    </row>
    <row r="3498" spans="9:10">
      <c r="I3498" s="14"/>
      <c r="J3498" s="14"/>
    </row>
    <row r="3499" spans="9:10">
      <c r="I3499" s="14"/>
      <c r="J3499" s="14"/>
    </row>
    <row r="3500" spans="9:10">
      <c r="I3500" s="14"/>
      <c r="J3500" s="14"/>
    </row>
    <row r="3501" spans="9:10">
      <c r="I3501" s="14"/>
      <c r="J3501" s="14"/>
    </row>
    <row r="3502" spans="9:10">
      <c r="I3502" s="14"/>
      <c r="J3502" s="14"/>
    </row>
    <row r="3503" spans="9:10">
      <c r="I3503" s="14"/>
      <c r="J3503" s="14"/>
    </row>
    <row r="3504" spans="9:10">
      <c r="I3504" s="14"/>
      <c r="J3504" s="14"/>
    </row>
    <row r="3505" spans="9:10">
      <c r="I3505" s="14"/>
      <c r="J3505" s="14"/>
    </row>
    <row r="3506" spans="9:10">
      <c r="I3506" s="14"/>
      <c r="J3506" s="14"/>
    </row>
    <row r="3507" spans="9:10">
      <c r="I3507" s="14"/>
      <c r="J3507" s="14"/>
    </row>
    <row r="3508" spans="9:10">
      <c r="I3508" s="14"/>
      <c r="J3508" s="14"/>
    </row>
    <row r="3509" spans="9:10">
      <c r="I3509" s="14"/>
      <c r="J3509" s="14"/>
    </row>
    <row r="3510" spans="9:10">
      <c r="I3510" s="14"/>
      <c r="J3510" s="14"/>
    </row>
    <row r="3511" spans="9:10">
      <c r="I3511" s="14"/>
      <c r="J3511" s="14"/>
    </row>
    <row r="3512" spans="9:10">
      <c r="I3512" s="14"/>
      <c r="J3512" s="14"/>
    </row>
    <row r="3513" spans="9:10">
      <c r="I3513" s="14"/>
      <c r="J3513" s="14"/>
    </row>
    <row r="3514" spans="9:10">
      <c r="I3514" s="14"/>
      <c r="J3514" s="14"/>
    </row>
    <row r="3515" spans="9:10">
      <c r="I3515" s="14"/>
      <c r="J3515" s="14"/>
    </row>
    <row r="3516" spans="9:10">
      <c r="I3516" s="14"/>
      <c r="J3516" s="14"/>
    </row>
    <row r="3517" spans="9:10">
      <c r="I3517" s="14"/>
      <c r="J3517" s="14"/>
    </row>
    <row r="3518" spans="9:10">
      <c r="I3518" s="14"/>
      <c r="J3518" s="14"/>
    </row>
    <row r="3519" spans="9:10">
      <c r="I3519" s="14"/>
      <c r="J3519" s="14"/>
    </row>
    <row r="3520" spans="9:10">
      <c r="I3520" s="14"/>
      <c r="J3520" s="14"/>
    </row>
    <row r="3521" spans="9:10">
      <c r="I3521" s="14"/>
      <c r="J3521" s="14"/>
    </row>
    <row r="3522" spans="9:10">
      <c r="I3522" s="14"/>
      <c r="J3522" s="14"/>
    </row>
    <row r="3523" spans="9:10">
      <c r="I3523" s="14"/>
      <c r="J3523" s="14"/>
    </row>
    <row r="3524" spans="9:10">
      <c r="I3524" s="14"/>
      <c r="J3524" s="14"/>
    </row>
    <row r="3525" spans="9:10">
      <c r="I3525" s="14"/>
      <c r="J3525" s="14"/>
    </row>
    <row r="3526" spans="9:10">
      <c r="I3526" s="14"/>
      <c r="J3526" s="14"/>
    </row>
    <row r="3527" spans="9:10">
      <c r="I3527" s="14"/>
      <c r="J3527" s="14"/>
    </row>
    <row r="3528" spans="9:10">
      <c r="I3528" s="14"/>
      <c r="J3528" s="14"/>
    </row>
    <row r="3529" spans="9:10">
      <c r="I3529" s="14"/>
      <c r="J3529" s="14"/>
    </row>
    <row r="3530" spans="9:10">
      <c r="I3530" s="14"/>
      <c r="J3530" s="14"/>
    </row>
    <row r="3531" spans="9:10">
      <c r="I3531" s="14"/>
      <c r="J3531" s="14"/>
    </row>
    <row r="3532" spans="9:10">
      <c r="I3532" s="14"/>
      <c r="J3532" s="14"/>
    </row>
    <row r="3533" spans="9:10">
      <c r="I3533" s="14"/>
      <c r="J3533" s="14"/>
    </row>
    <row r="3534" spans="9:10">
      <c r="I3534" s="14"/>
      <c r="J3534" s="14"/>
    </row>
    <row r="3535" spans="9:10">
      <c r="I3535" s="14"/>
      <c r="J3535" s="14"/>
    </row>
    <row r="3536" spans="9:10">
      <c r="I3536" s="14"/>
      <c r="J3536" s="14"/>
    </row>
    <row r="3537" spans="9:10">
      <c r="I3537" s="14"/>
      <c r="J3537" s="14"/>
    </row>
    <row r="3538" spans="9:10">
      <c r="I3538" s="14"/>
      <c r="J3538" s="14"/>
    </row>
    <row r="3539" spans="9:10">
      <c r="I3539" s="14"/>
      <c r="J3539" s="14"/>
    </row>
    <row r="3540" spans="9:10">
      <c r="I3540" s="14"/>
      <c r="J3540" s="14"/>
    </row>
    <row r="3541" spans="9:10">
      <c r="I3541" s="14"/>
      <c r="J3541" s="14"/>
    </row>
    <row r="3542" spans="9:10">
      <c r="I3542" s="14"/>
      <c r="J3542" s="14"/>
    </row>
    <row r="3543" spans="9:10">
      <c r="I3543" s="14"/>
      <c r="J3543" s="14"/>
    </row>
    <row r="3544" spans="9:10">
      <c r="I3544" s="14"/>
      <c r="J3544" s="14"/>
    </row>
    <row r="3545" spans="9:10">
      <c r="I3545" s="14"/>
      <c r="J3545" s="14"/>
    </row>
    <row r="3546" spans="9:10">
      <c r="I3546" s="14"/>
      <c r="J3546" s="14"/>
    </row>
    <row r="3547" spans="9:10">
      <c r="I3547" s="14"/>
      <c r="J3547" s="14"/>
    </row>
    <row r="3548" spans="9:10">
      <c r="I3548" s="14"/>
      <c r="J3548" s="14"/>
    </row>
    <row r="3549" spans="9:10">
      <c r="I3549" s="14"/>
      <c r="J3549" s="14"/>
    </row>
    <row r="3550" spans="9:10">
      <c r="I3550" s="14"/>
      <c r="J3550" s="14"/>
    </row>
    <row r="3551" spans="9:10">
      <c r="I3551" s="14"/>
      <c r="J3551" s="14"/>
    </row>
    <row r="3552" spans="9:10">
      <c r="I3552" s="14"/>
      <c r="J3552" s="14"/>
    </row>
    <row r="3553" spans="9:10">
      <c r="I3553" s="14"/>
      <c r="J3553" s="14"/>
    </row>
    <row r="3554" spans="9:10">
      <c r="I3554" s="14"/>
      <c r="J3554" s="14"/>
    </row>
    <row r="3555" spans="9:10">
      <c r="I3555" s="14"/>
      <c r="J3555" s="14"/>
    </row>
    <row r="3556" spans="9:10">
      <c r="I3556" s="14"/>
      <c r="J3556" s="14"/>
    </row>
    <row r="3557" spans="9:10">
      <c r="I3557" s="14"/>
      <c r="J3557" s="14"/>
    </row>
    <row r="3558" spans="9:10">
      <c r="I3558" s="14"/>
      <c r="J3558" s="14"/>
    </row>
    <row r="3559" spans="9:10">
      <c r="I3559" s="14"/>
      <c r="J3559" s="14"/>
    </row>
    <row r="3560" spans="9:10">
      <c r="I3560" s="14"/>
      <c r="J3560" s="14"/>
    </row>
    <row r="3561" spans="9:10">
      <c r="I3561" s="14"/>
      <c r="J3561" s="14"/>
    </row>
    <row r="3562" spans="9:10">
      <c r="I3562" s="14"/>
      <c r="J3562" s="14"/>
    </row>
    <row r="3563" spans="9:10">
      <c r="I3563" s="14"/>
      <c r="J3563" s="14"/>
    </row>
    <row r="3564" spans="9:10">
      <c r="I3564" s="14"/>
      <c r="J3564" s="14"/>
    </row>
    <row r="3565" spans="9:10">
      <c r="I3565" s="14"/>
      <c r="J3565" s="14"/>
    </row>
    <row r="3566" spans="9:10">
      <c r="I3566" s="14"/>
      <c r="J3566" s="14"/>
    </row>
    <row r="3567" spans="9:10">
      <c r="I3567" s="14"/>
      <c r="J3567" s="14"/>
    </row>
    <row r="3568" spans="9:10">
      <c r="I3568" s="14"/>
      <c r="J3568" s="14"/>
    </row>
    <row r="3569" spans="9:10">
      <c r="I3569" s="14"/>
      <c r="J3569" s="14"/>
    </row>
    <row r="3570" spans="9:10">
      <c r="I3570" s="14"/>
      <c r="J3570" s="14"/>
    </row>
    <row r="3571" spans="9:10">
      <c r="I3571" s="14"/>
      <c r="J3571" s="14"/>
    </row>
    <row r="3572" spans="9:10">
      <c r="I3572" s="14"/>
      <c r="J3572" s="14"/>
    </row>
    <row r="3573" spans="9:10">
      <c r="I3573" s="14"/>
      <c r="J3573" s="14"/>
    </row>
    <row r="3574" spans="9:10">
      <c r="I3574" s="14"/>
      <c r="J3574" s="14"/>
    </row>
    <row r="3575" spans="9:10">
      <c r="I3575" s="14"/>
      <c r="J3575" s="14"/>
    </row>
    <row r="3576" spans="9:10">
      <c r="I3576" s="14"/>
      <c r="J3576" s="14"/>
    </row>
    <row r="3577" spans="9:10">
      <c r="I3577" s="14"/>
      <c r="J3577" s="14"/>
    </row>
    <row r="3578" spans="9:10">
      <c r="I3578" s="14"/>
      <c r="J3578" s="14"/>
    </row>
    <row r="3579" spans="9:10">
      <c r="I3579" s="14"/>
      <c r="J3579" s="14"/>
    </row>
    <row r="3580" spans="9:10">
      <c r="I3580" s="14"/>
      <c r="J3580" s="14"/>
    </row>
    <row r="3581" spans="9:10">
      <c r="I3581" s="14"/>
      <c r="J3581" s="14"/>
    </row>
    <row r="3582" spans="9:10">
      <c r="I3582" s="14"/>
      <c r="J3582" s="14"/>
    </row>
    <row r="3583" spans="9:10">
      <c r="I3583" s="14"/>
      <c r="J3583" s="14"/>
    </row>
    <row r="3584" spans="9:10">
      <c r="I3584" s="14"/>
      <c r="J3584" s="14"/>
    </row>
    <row r="3585" spans="9:10">
      <c r="I3585" s="14"/>
      <c r="J3585" s="14"/>
    </row>
    <row r="3586" spans="9:10">
      <c r="I3586" s="14"/>
      <c r="J3586" s="14"/>
    </row>
    <row r="3587" spans="9:10">
      <c r="I3587" s="14"/>
      <c r="J3587" s="14"/>
    </row>
    <row r="3588" spans="9:10">
      <c r="I3588" s="14"/>
      <c r="J3588" s="14"/>
    </row>
    <row r="3589" spans="9:10">
      <c r="I3589" s="14"/>
      <c r="J3589" s="14"/>
    </row>
    <row r="3590" spans="9:10">
      <c r="I3590" s="14"/>
      <c r="J3590" s="14"/>
    </row>
    <row r="3591" spans="9:10">
      <c r="I3591" s="14"/>
      <c r="J3591" s="14"/>
    </row>
    <row r="3592" spans="9:10">
      <c r="I3592" s="14"/>
      <c r="J3592" s="14"/>
    </row>
    <row r="3593" spans="9:10">
      <c r="I3593" s="14"/>
      <c r="J3593" s="14"/>
    </row>
    <row r="3594" spans="9:10">
      <c r="I3594" s="14"/>
      <c r="J3594" s="14"/>
    </row>
    <row r="3595" spans="9:10">
      <c r="I3595" s="14"/>
      <c r="J3595" s="14"/>
    </row>
    <row r="3596" spans="9:10">
      <c r="I3596" s="14"/>
      <c r="J3596" s="14"/>
    </row>
    <row r="3597" spans="9:10">
      <c r="I3597" s="14"/>
      <c r="J3597" s="14"/>
    </row>
    <row r="3598" spans="9:10">
      <c r="I3598" s="14"/>
      <c r="J3598" s="14"/>
    </row>
    <row r="3599" spans="9:10">
      <c r="I3599" s="14"/>
      <c r="J3599" s="14"/>
    </row>
    <row r="3600" spans="9:10">
      <c r="I3600" s="14"/>
      <c r="J3600" s="14"/>
    </row>
    <row r="3601" spans="9:10">
      <c r="I3601" s="14"/>
      <c r="J3601" s="14"/>
    </row>
    <row r="3602" spans="9:10">
      <c r="I3602" s="14"/>
      <c r="J3602" s="14"/>
    </row>
    <row r="3603" spans="9:10">
      <c r="I3603" s="14"/>
      <c r="J3603" s="14"/>
    </row>
    <row r="3604" spans="9:10">
      <c r="I3604" s="14"/>
      <c r="J3604" s="14"/>
    </row>
    <row r="3605" spans="9:10">
      <c r="I3605" s="14"/>
      <c r="J3605" s="14"/>
    </row>
    <row r="3606" spans="9:10">
      <c r="I3606" s="14"/>
      <c r="J3606" s="14"/>
    </row>
    <row r="3607" spans="9:10">
      <c r="I3607" s="14"/>
      <c r="J3607" s="14"/>
    </row>
    <row r="3608" spans="9:10">
      <c r="I3608" s="14"/>
      <c r="J3608" s="14"/>
    </row>
    <row r="3609" spans="9:10">
      <c r="I3609" s="14"/>
      <c r="J3609" s="14"/>
    </row>
    <row r="3610" spans="9:10">
      <c r="I3610" s="14"/>
      <c r="J3610" s="14"/>
    </row>
    <row r="3611" spans="9:10">
      <c r="I3611" s="14"/>
      <c r="J3611" s="14"/>
    </row>
    <row r="3612" spans="9:10">
      <c r="I3612" s="14"/>
      <c r="J3612" s="14"/>
    </row>
    <row r="3613" spans="9:10">
      <c r="I3613" s="14"/>
      <c r="J3613" s="14"/>
    </row>
    <row r="3614" spans="9:10">
      <c r="I3614" s="14"/>
      <c r="J3614" s="14"/>
    </row>
    <row r="3615" spans="9:10">
      <c r="I3615" s="14"/>
      <c r="J3615" s="14"/>
    </row>
    <row r="3616" spans="9:10">
      <c r="I3616" s="14"/>
      <c r="J3616" s="14"/>
    </row>
    <row r="3617" spans="9:10">
      <c r="I3617" s="14"/>
      <c r="J3617" s="14"/>
    </row>
    <row r="3618" spans="9:10">
      <c r="I3618" s="14"/>
      <c r="J3618" s="14"/>
    </row>
    <row r="3619" spans="9:10">
      <c r="I3619" s="14"/>
      <c r="J3619" s="14"/>
    </row>
    <row r="3620" spans="9:10">
      <c r="I3620" s="14"/>
      <c r="J3620" s="14"/>
    </row>
    <row r="3621" spans="9:10">
      <c r="I3621" s="14"/>
      <c r="J3621" s="14"/>
    </row>
    <row r="3622" spans="9:10">
      <c r="I3622" s="14"/>
      <c r="J3622" s="14"/>
    </row>
    <row r="3623" spans="9:10">
      <c r="I3623" s="14"/>
      <c r="J3623" s="14"/>
    </row>
    <row r="3624" spans="9:10">
      <c r="I3624" s="14"/>
      <c r="J3624" s="14"/>
    </row>
    <row r="3625" spans="9:10">
      <c r="I3625" s="14"/>
      <c r="J3625" s="14"/>
    </row>
    <row r="3626" spans="9:10">
      <c r="I3626" s="14"/>
      <c r="J3626" s="14"/>
    </row>
    <row r="3627" spans="9:10">
      <c r="I3627" s="14"/>
      <c r="J3627" s="14"/>
    </row>
    <row r="3628" spans="9:10">
      <c r="I3628" s="14"/>
      <c r="J3628" s="14"/>
    </row>
    <row r="3629" spans="9:10">
      <c r="I3629" s="14"/>
      <c r="J3629" s="14"/>
    </row>
    <row r="3630" spans="9:10">
      <c r="I3630" s="14"/>
      <c r="J3630" s="14"/>
    </row>
    <row r="3631" spans="9:10">
      <c r="I3631" s="14"/>
      <c r="J3631" s="14"/>
    </row>
    <row r="3632" spans="9:10">
      <c r="I3632" s="14"/>
      <c r="J3632" s="14"/>
    </row>
    <row r="3633" spans="9:10">
      <c r="I3633" s="14"/>
      <c r="J3633" s="14"/>
    </row>
    <row r="3634" spans="9:10">
      <c r="I3634" s="14"/>
      <c r="J3634" s="14"/>
    </row>
    <row r="3635" spans="9:10">
      <c r="I3635" s="14"/>
      <c r="J3635" s="14"/>
    </row>
    <row r="3636" spans="9:10">
      <c r="I3636" s="14"/>
      <c r="J3636" s="14"/>
    </row>
    <row r="3637" spans="9:10">
      <c r="I3637" s="14"/>
      <c r="J3637" s="14"/>
    </row>
    <row r="3638" spans="9:10">
      <c r="I3638" s="14"/>
      <c r="J3638" s="14"/>
    </row>
    <row r="3639" spans="9:10">
      <c r="I3639" s="14"/>
      <c r="J3639" s="14"/>
    </row>
    <row r="3640" spans="9:10">
      <c r="I3640" s="14"/>
      <c r="J3640" s="14"/>
    </row>
    <row r="3641" spans="9:10">
      <c r="I3641" s="14"/>
      <c r="J3641" s="14"/>
    </row>
    <row r="3642" spans="9:10">
      <c r="I3642" s="14"/>
      <c r="J3642" s="14"/>
    </row>
    <row r="3643" spans="9:10">
      <c r="I3643" s="14"/>
      <c r="J3643" s="14"/>
    </row>
    <row r="3644" spans="9:10">
      <c r="I3644" s="14"/>
      <c r="J3644" s="14"/>
    </row>
    <row r="3645" spans="9:10">
      <c r="I3645" s="14"/>
      <c r="J3645" s="14"/>
    </row>
    <row r="3646" spans="9:10">
      <c r="I3646" s="14"/>
      <c r="J3646" s="14"/>
    </row>
    <row r="3647" spans="9:10">
      <c r="I3647" s="14"/>
      <c r="J3647" s="14"/>
    </row>
    <row r="3648" spans="9:10">
      <c r="I3648" s="14"/>
      <c r="J3648" s="14"/>
    </row>
    <row r="3649" spans="9:10">
      <c r="I3649" s="14"/>
      <c r="J3649" s="14"/>
    </row>
    <row r="3650" spans="9:10">
      <c r="I3650" s="14"/>
      <c r="J3650" s="14"/>
    </row>
    <row r="3651" spans="9:10">
      <c r="I3651" s="14"/>
      <c r="J3651" s="14"/>
    </row>
    <row r="3652" spans="9:10">
      <c r="I3652" s="14"/>
      <c r="J3652" s="14"/>
    </row>
    <row r="3653" spans="9:10">
      <c r="I3653" s="14"/>
      <c r="J3653" s="14"/>
    </row>
    <row r="3654" spans="9:10">
      <c r="I3654" s="14"/>
      <c r="J3654" s="14"/>
    </row>
    <row r="3655" spans="9:10">
      <c r="I3655" s="14"/>
      <c r="J3655" s="14"/>
    </row>
    <row r="3656" spans="9:10">
      <c r="I3656" s="14"/>
      <c r="J3656" s="14"/>
    </row>
    <row r="3657" spans="9:10">
      <c r="I3657" s="14"/>
      <c r="J3657" s="14"/>
    </row>
    <row r="3658" spans="9:10">
      <c r="I3658" s="14"/>
      <c r="J3658" s="14"/>
    </row>
    <row r="3659" spans="9:10">
      <c r="I3659" s="14"/>
      <c r="J3659" s="14"/>
    </row>
    <row r="3660" spans="9:10">
      <c r="I3660" s="14"/>
      <c r="J3660" s="14"/>
    </row>
    <row r="3661" spans="9:10">
      <c r="I3661" s="14"/>
      <c r="J3661" s="14"/>
    </row>
    <row r="3662" spans="9:10">
      <c r="I3662" s="14"/>
      <c r="J3662" s="14"/>
    </row>
    <row r="3663" spans="9:10">
      <c r="I3663" s="14"/>
      <c r="J3663" s="14"/>
    </row>
    <row r="3664" spans="9:10">
      <c r="I3664" s="14"/>
      <c r="J3664" s="14"/>
    </row>
    <row r="3665" spans="9:10">
      <c r="I3665" s="14"/>
      <c r="J3665" s="14"/>
    </row>
    <row r="3666" spans="9:10">
      <c r="I3666" s="14"/>
      <c r="J3666" s="14"/>
    </row>
    <row r="3667" spans="9:10">
      <c r="I3667" s="14"/>
      <c r="J3667" s="14"/>
    </row>
    <row r="3668" spans="9:10">
      <c r="I3668" s="14"/>
      <c r="J3668" s="14"/>
    </row>
    <row r="3669" spans="9:10">
      <c r="I3669" s="14"/>
      <c r="J3669" s="14"/>
    </row>
    <row r="3670" spans="9:10">
      <c r="I3670" s="14"/>
      <c r="J3670" s="14"/>
    </row>
    <row r="3671" spans="9:10">
      <c r="I3671" s="14"/>
      <c r="J3671" s="14"/>
    </row>
    <row r="3672" spans="9:10">
      <c r="I3672" s="14"/>
      <c r="J3672" s="14"/>
    </row>
    <row r="3673" spans="9:10">
      <c r="I3673" s="14"/>
      <c r="J3673" s="14"/>
    </row>
    <row r="3674" spans="9:10">
      <c r="I3674" s="14"/>
      <c r="J3674" s="14"/>
    </row>
    <row r="3675" spans="9:10">
      <c r="I3675" s="14"/>
      <c r="J3675" s="14"/>
    </row>
    <row r="3676" spans="9:10">
      <c r="I3676" s="14"/>
      <c r="J3676" s="14"/>
    </row>
    <row r="3677" spans="9:10">
      <c r="I3677" s="14"/>
      <c r="J3677" s="14"/>
    </row>
    <row r="3678" spans="9:10">
      <c r="I3678" s="14"/>
      <c r="J3678" s="14"/>
    </row>
    <row r="3679" spans="9:10">
      <c r="I3679" s="14"/>
      <c r="J3679" s="14"/>
    </row>
    <row r="3680" spans="9:10">
      <c r="I3680" s="14"/>
      <c r="J3680" s="14"/>
    </row>
    <row r="3681" spans="9:10">
      <c r="I3681" s="14"/>
      <c r="J3681" s="14"/>
    </row>
    <row r="3682" spans="9:10">
      <c r="I3682" s="14"/>
      <c r="J3682" s="14"/>
    </row>
    <row r="3683" spans="9:10">
      <c r="I3683" s="14"/>
      <c r="J3683" s="14"/>
    </row>
    <row r="3684" spans="9:10">
      <c r="I3684" s="14"/>
      <c r="J3684" s="14"/>
    </row>
    <row r="3685" spans="9:10">
      <c r="I3685" s="14"/>
      <c r="J3685" s="14"/>
    </row>
    <row r="3686" spans="9:10">
      <c r="I3686" s="14"/>
      <c r="J3686" s="14"/>
    </row>
    <row r="3687" spans="9:10">
      <c r="I3687" s="14"/>
      <c r="J3687" s="14"/>
    </row>
    <row r="3688" spans="9:10">
      <c r="I3688" s="14"/>
      <c r="J3688" s="14"/>
    </row>
    <row r="3689" spans="9:10">
      <c r="I3689" s="14"/>
      <c r="J3689" s="14"/>
    </row>
    <row r="3690" spans="9:10">
      <c r="I3690" s="14"/>
      <c r="J3690" s="14"/>
    </row>
    <row r="3691" spans="9:10">
      <c r="I3691" s="14"/>
      <c r="J3691" s="14"/>
    </row>
    <row r="3692" spans="9:10">
      <c r="I3692" s="14"/>
      <c r="J3692" s="14"/>
    </row>
    <row r="3693" spans="9:10">
      <c r="I3693" s="14"/>
      <c r="J3693" s="14"/>
    </row>
    <row r="3694" spans="9:10">
      <c r="I3694" s="14"/>
      <c r="J3694" s="14"/>
    </row>
    <row r="3695" spans="9:10">
      <c r="I3695" s="14"/>
      <c r="J3695" s="14"/>
    </row>
    <row r="3696" spans="9:10">
      <c r="I3696" s="14"/>
      <c r="J3696" s="14"/>
    </row>
    <row r="3697" spans="9:10">
      <c r="I3697" s="14"/>
      <c r="J3697" s="14"/>
    </row>
    <row r="3698" spans="9:10">
      <c r="I3698" s="14"/>
      <c r="J3698" s="14"/>
    </row>
    <row r="3699" spans="9:10">
      <c r="I3699" s="14"/>
      <c r="J3699" s="14"/>
    </row>
    <row r="3700" spans="9:10">
      <c r="I3700" s="14"/>
      <c r="J3700" s="14"/>
    </row>
    <row r="3701" spans="9:10">
      <c r="I3701" s="14"/>
      <c r="J3701" s="14"/>
    </row>
    <row r="3702" spans="9:10">
      <c r="I3702" s="14"/>
      <c r="J3702" s="14"/>
    </row>
    <row r="3703" spans="9:10">
      <c r="I3703" s="14"/>
      <c r="J3703" s="14"/>
    </row>
    <row r="3704" spans="9:10">
      <c r="I3704" s="14"/>
      <c r="J3704" s="14"/>
    </row>
    <row r="3705" spans="9:10">
      <c r="I3705" s="14"/>
      <c r="J3705" s="14"/>
    </row>
    <row r="3706" spans="9:10">
      <c r="I3706" s="14"/>
      <c r="J3706" s="14"/>
    </row>
    <row r="3707" spans="9:10">
      <c r="I3707" s="14"/>
      <c r="J3707" s="14"/>
    </row>
    <row r="3708" spans="9:10">
      <c r="I3708" s="14"/>
      <c r="J3708" s="14"/>
    </row>
    <row r="3709" spans="9:10">
      <c r="I3709" s="14"/>
      <c r="J3709" s="14"/>
    </row>
    <row r="3710" spans="9:10">
      <c r="I3710" s="14"/>
      <c r="J3710" s="14"/>
    </row>
    <row r="3711" spans="9:10">
      <c r="I3711" s="14"/>
      <c r="J3711" s="14"/>
    </row>
    <row r="3712" spans="9:10">
      <c r="I3712" s="14"/>
      <c r="J3712" s="14"/>
    </row>
    <row r="3713" spans="9:10">
      <c r="I3713" s="14"/>
      <c r="J3713" s="14"/>
    </row>
    <row r="3714" spans="9:10">
      <c r="I3714" s="14"/>
      <c r="J3714" s="14"/>
    </row>
    <row r="3715" spans="9:10">
      <c r="I3715" s="14"/>
      <c r="J3715" s="14"/>
    </row>
    <row r="3716" spans="9:10">
      <c r="I3716" s="14"/>
      <c r="J3716" s="14"/>
    </row>
    <row r="3717" spans="9:10">
      <c r="I3717" s="14"/>
      <c r="J3717" s="14"/>
    </row>
    <row r="3718" spans="9:10">
      <c r="I3718" s="14"/>
      <c r="J3718" s="14"/>
    </row>
    <row r="3719" spans="9:10">
      <c r="I3719" s="14"/>
      <c r="J3719" s="14"/>
    </row>
    <row r="3720" spans="9:10">
      <c r="I3720" s="14"/>
      <c r="J3720" s="14"/>
    </row>
    <row r="3721" spans="9:10">
      <c r="I3721" s="14"/>
      <c r="J3721" s="14"/>
    </row>
    <row r="3722" spans="9:10">
      <c r="I3722" s="14"/>
      <c r="J3722" s="14"/>
    </row>
    <row r="3723" spans="9:10">
      <c r="I3723" s="14"/>
      <c r="J3723" s="14"/>
    </row>
    <row r="3724" spans="9:10">
      <c r="I3724" s="14"/>
      <c r="J3724" s="14"/>
    </row>
    <row r="3725" spans="9:10">
      <c r="I3725" s="14"/>
      <c r="J3725" s="14"/>
    </row>
    <row r="3726" spans="9:10">
      <c r="I3726" s="14"/>
      <c r="J3726" s="14"/>
    </row>
    <row r="3727" spans="9:10">
      <c r="I3727" s="14"/>
      <c r="J3727" s="14"/>
    </row>
    <row r="3728" spans="9:10">
      <c r="I3728" s="14"/>
      <c r="J3728" s="14"/>
    </row>
    <row r="3729" spans="9:10">
      <c r="I3729" s="14"/>
      <c r="J3729" s="14"/>
    </row>
    <row r="3730" spans="9:10">
      <c r="I3730" s="14"/>
      <c r="J3730" s="14"/>
    </row>
    <row r="3731" spans="9:10">
      <c r="I3731" s="14"/>
      <c r="J3731" s="14"/>
    </row>
    <row r="3732" spans="9:10">
      <c r="I3732" s="14"/>
      <c r="J3732" s="14"/>
    </row>
    <row r="3733" spans="9:10">
      <c r="I3733" s="14"/>
      <c r="J3733" s="14"/>
    </row>
    <row r="3734" spans="9:10">
      <c r="I3734" s="14"/>
      <c r="J3734" s="14"/>
    </row>
    <row r="3735" spans="9:10">
      <c r="I3735" s="14"/>
      <c r="J3735" s="14"/>
    </row>
    <row r="3736" spans="9:10">
      <c r="I3736" s="14"/>
      <c r="J3736" s="14"/>
    </row>
    <row r="3737" spans="9:10">
      <c r="I3737" s="14"/>
      <c r="J3737" s="14"/>
    </row>
    <row r="3738" spans="9:10">
      <c r="I3738" s="14"/>
      <c r="J3738" s="14"/>
    </row>
    <row r="3739" spans="9:10">
      <c r="I3739" s="14"/>
      <c r="J3739" s="14"/>
    </row>
    <row r="3740" spans="9:10">
      <c r="I3740" s="14"/>
      <c r="J3740" s="14"/>
    </row>
    <row r="3741" spans="9:10">
      <c r="I3741" s="14"/>
      <c r="J3741" s="14"/>
    </row>
    <row r="3742" spans="9:10">
      <c r="I3742" s="14"/>
      <c r="J3742" s="14"/>
    </row>
    <row r="3743" spans="9:10">
      <c r="I3743" s="14"/>
      <c r="J3743" s="14"/>
    </row>
    <row r="3744" spans="9:10">
      <c r="I3744" s="14"/>
      <c r="J3744" s="14"/>
    </row>
    <row r="3745" spans="9:10">
      <c r="I3745" s="14"/>
      <c r="J3745" s="14"/>
    </row>
    <row r="3746" spans="9:10">
      <c r="I3746" s="14"/>
      <c r="J3746" s="14"/>
    </row>
    <row r="3747" spans="9:10">
      <c r="I3747" s="14"/>
      <c r="J3747" s="14"/>
    </row>
    <row r="3748" spans="9:10">
      <c r="I3748" s="14"/>
      <c r="J3748" s="14"/>
    </row>
    <row r="3749" spans="9:10">
      <c r="I3749" s="14"/>
      <c r="J3749" s="14"/>
    </row>
    <row r="3750" spans="9:10">
      <c r="I3750" s="14"/>
      <c r="J3750" s="14"/>
    </row>
    <row r="3751" spans="9:10">
      <c r="I3751" s="14"/>
      <c r="J3751" s="14"/>
    </row>
    <row r="3752" spans="9:10">
      <c r="I3752" s="14"/>
      <c r="J3752" s="14"/>
    </row>
    <row r="3753" spans="9:10">
      <c r="I3753" s="14"/>
      <c r="J3753" s="14"/>
    </row>
    <row r="3754" spans="9:10">
      <c r="I3754" s="14"/>
      <c r="J3754" s="14"/>
    </row>
    <row r="3755" spans="9:10">
      <c r="I3755" s="14"/>
      <c r="J3755" s="14"/>
    </row>
    <row r="3756" spans="9:10">
      <c r="I3756" s="14"/>
      <c r="J3756" s="14"/>
    </row>
    <row r="3757" spans="9:10">
      <c r="I3757" s="14"/>
      <c r="J3757" s="14"/>
    </row>
    <row r="3758" spans="9:10">
      <c r="I3758" s="14"/>
      <c r="J3758" s="14"/>
    </row>
    <row r="3759" spans="9:10">
      <c r="I3759" s="14"/>
      <c r="J3759" s="14"/>
    </row>
    <row r="3760" spans="9:10">
      <c r="I3760" s="14"/>
      <c r="J3760" s="14"/>
    </row>
    <row r="3761" spans="9:10">
      <c r="I3761" s="14"/>
      <c r="J3761" s="14"/>
    </row>
    <row r="3762" spans="9:10">
      <c r="I3762" s="14"/>
      <c r="J3762" s="14"/>
    </row>
    <row r="3763" spans="9:10">
      <c r="I3763" s="14"/>
      <c r="J3763" s="14"/>
    </row>
    <row r="3764" spans="9:10">
      <c r="I3764" s="14"/>
      <c r="J3764" s="14"/>
    </row>
    <row r="3765" spans="9:10">
      <c r="I3765" s="14"/>
      <c r="J3765" s="14"/>
    </row>
    <row r="3766" spans="9:10">
      <c r="I3766" s="14"/>
      <c r="J3766" s="14"/>
    </row>
    <row r="3767" spans="9:10">
      <c r="I3767" s="14"/>
      <c r="J3767" s="14"/>
    </row>
    <row r="3768" spans="9:10">
      <c r="I3768" s="14"/>
      <c r="J3768" s="14"/>
    </row>
    <row r="3769" spans="9:10">
      <c r="I3769" s="14"/>
      <c r="J3769" s="14"/>
    </row>
    <row r="3770" spans="9:10">
      <c r="I3770" s="14"/>
      <c r="J3770" s="14"/>
    </row>
    <row r="3771" spans="9:10">
      <c r="I3771" s="14"/>
      <c r="J3771" s="14"/>
    </row>
    <row r="3772" spans="9:10">
      <c r="I3772" s="14"/>
      <c r="J3772" s="14"/>
    </row>
    <row r="3773" spans="9:10">
      <c r="I3773" s="14"/>
      <c r="J3773" s="14"/>
    </row>
    <row r="3774" spans="9:10">
      <c r="I3774" s="14"/>
      <c r="J3774" s="14"/>
    </row>
    <row r="3775" spans="9:10">
      <c r="I3775" s="14"/>
      <c r="J3775" s="14"/>
    </row>
    <row r="3776" spans="9:10">
      <c r="I3776" s="14"/>
      <c r="J3776" s="14"/>
    </row>
    <row r="3777" spans="9:10">
      <c r="I3777" s="14"/>
      <c r="J3777" s="14"/>
    </row>
    <row r="3778" spans="9:10">
      <c r="I3778" s="14"/>
      <c r="J3778" s="14"/>
    </row>
    <row r="3779" spans="9:10">
      <c r="I3779" s="14"/>
      <c r="J3779" s="14"/>
    </row>
    <row r="3780" spans="9:10">
      <c r="I3780" s="14"/>
      <c r="J3780" s="14"/>
    </row>
    <row r="3781" spans="9:10">
      <c r="I3781" s="14"/>
      <c r="J3781" s="14"/>
    </row>
    <row r="3782" spans="9:10">
      <c r="I3782" s="14"/>
      <c r="J3782" s="14"/>
    </row>
    <row r="3783" spans="9:10">
      <c r="I3783" s="14"/>
      <c r="J3783" s="14"/>
    </row>
    <row r="3784" spans="9:10">
      <c r="I3784" s="14"/>
      <c r="J3784" s="14"/>
    </row>
    <row r="3785" spans="9:10">
      <c r="I3785" s="14"/>
      <c r="J3785" s="14"/>
    </row>
    <row r="3786" spans="9:10">
      <c r="I3786" s="14"/>
      <c r="J3786" s="14"/>
    </row>
    <row r="3787" spans="9:10">
      <c r="I3787" s="14"/>
      <c r="J3787" s="14"/>
    </row>
    <row r="3788" spans="9:10">
      <c r="I3788" s="14"/>
      <c r="J3788" s="14"/>
    </row>
    <row r="3789" spans="9:10">
      <c r="I3789" s="14"/>
      <c r="J3789" s="14"/>
    </row>
    <row r="3790" spans="9:10">
      <c r="I3790" s="14"/>
      <c r="J3790" s="14"/>
    </row>
    <row r="3791" spans="9:10">
      <c r="I3791" s="14"/>
      <c r="J3791" s="14"/>
    </row>
    <row r="3792" spans="9:10">
      <c r="I3792" s="14"/>
      <c r="J3792" s="14"/>
    </row>
    <row r="3793" spans="9:10">
      <c r="I3793" s="14"/>
      <c r="J3793" s="14"/>
    </row>
    <row r="3794" spans="9:10">
      <c r="I3794" s="14"/>
      <c r="J3794" s="14"/>
    </row>
    <row r="3795" spans="9:10">
      <c r="I3795" s="14"/>
      <c r="J3795" s="14"/>
    </row>
    <row r="3796" spans="9:10">
      <c r="I3796" s="14"/>
      <c r="J3796" s="14"/>
    </row>
    <row r="3797" spans="9:10">
      <c r="I3797" s="14"/>
      <c r="J3797" s="14"/>
    </row>
    <row r="3798" spans="9:10">
      <c r="I3798" s="14"/>
      <c r="J3798" s="14"/>
    </row>
    <row r="3799" spans="9:10">
      <c r="I3799" s="14"/>
      <c r="J3799" s="14"/>
    </row>
    <row r="3800" spans="9:10">
      <c r="I3800" s="14"/>
      <c r="J3800" s="14"/>
    </row>
    <row r="3801" spans="9:10">
      <c r="I3801" s="14"/>
      <c r="J3801" s="14"/>
    </row>
    <row r="3802" spans="9:10">
      <c r="I3802" s="14"/>
      <c r="J3802" s="14"/>
    </row>
    <row r="3803" spans="9:10">
      <c r="I3803" s="14"/>
      <c r="J3803" s="14"/>
    </row>
    <row r="3804" spans="9:10">
      <c r="I3804" s="14"/>
      <c r="J3804" s="14"/>
    </row>
    <row r="3805" spans="9:10">
      <c r="I3805" s="14"/>
      <c r="J3805" s="14"/>
    </row>
    <row r="3806" spans="9:10">
      <c r="I3806" s="14"/>
      <c r="J3806" s="14"/>
    </row>
    <row r="3807" spans="9:10">
      <c r="I3807" s="14"/>
      <c r="J3807" s="14"/>
    </row>
    <row r="3808" spans="9:10">
      <c r="I3808" s="14"/>
      <c r="J3808" s="14"/>
    </row>
    <row r="3809" spans="9:10">
      <c r="I3809" s="14"/>
      <c r="J3809" s="14"/>
    </row>
    <row r="3810" spans="9:10">
      <c r="I3810" s="14"/>
      <c r="J3810" s="14"/>
    </row>
    <row r="3811" spans="9:10">
      <c r="I3811" s="14"/>
      <c r="J3811" s="14"/>
    </row>
    <row r="3812" spans="9:10">
      <c r="I3812" s="14"/>
      <c r="J3812" s="14"/>
    </row>
    <row r="3813" spans="9:10">
      <c r="I3813" s="14"/>
      <c r="J3813" s="14"/>
    </row>
    <row r="3814" spans="9:10">
      <c r="I3814" s="14"/>
      <c r="J3814" s="14"/>
    </row>
    <row r="3815" spans="9:10">
      <c r="I3815" s="14"/>
      <c r="J3815" s="14"/>
    </row>
    <row r="3816" spans="9:10">
      <c r="I3816" s="14"/>
      <c r="J3816" s="14"/>
    </row>
    <row r="3817" spans="9:10">
      <c r="I3817" s="14"/>
      <c r="J3817" s="14"/>
    </row>
    <row r="3818" spans="9:10">
      <c r="I3818" s="14"/>
      <c r="J3818" s="14"/>
    </row>
    <row r="3819" spans="9:10">
      <c r="I3819" s="14"/>
      <c r="J3819" s="14"/>
    </row>
    <row r="3820" spans="9:10">
      <c r="I3820" s="14"/>
      <c r="J3820" s="14"/>
    </row>
    <row r="3821" spans="9:10">
      <c r="I3821" s="14"/>
      <c r="J3821" s="14"/>
    </row>
    <row r="3822" spans="9:10">
      <c r="I3822" s="14"/>
      <c r="J3822" s="14"/>
    </row>
    <row r="3823" spans="9:10">
      <c r="I3823" s="14"/>
      <c r="J3823" s="14"/>
    </row>
    <row r="3824" spans="9:10">
      <c r="I3824" s="14"/>
      <c r="J3824" s="14"/>
    </row>
    <row r="3825" spans="9:10">
      <c r="I3825" s="14"/>
      <c r="J3825" s="14"/>
    </row>
    <row r="3826" spans="9:10">
      <c r="I3826" s="14"/>
      <c r="J3826" s="14"/>
    </row>
    <row r="3827" spans="9:10">
      <c r="I3827" s="14"/>
      <c r="J3827" s="14"/>
    </row>
    <row r="3828" spans="9:10">
      <c r="I3828" s="14"/>
      <c r="J3828" s="14"/>
    </row>
    <row r="3829" spans="9:10">
      <c r="I3829" s="14"/>
      <c r="J3829" s="14"/>
    </row>
    <row r="3830" spans="9:10">
      <c r="I3830" s="14"/>
      <c r="J3830" s="14"/>
    </row>
    <row r="3831" spans="9:10">
      <c r="I3831" s="14"/>
      <c r="J3831" s="14"/>
    </row>
    <row r="3832" spans="9:10">
      <c r="I3832" s="14"/>
      <c r="J3832" s="14"/>
    </row>
    <row r="3833" spans="9:10">
      <c r="I3833" s="14"/>
      <c r="J3833" s="14"/>
    </row>
    <row r="3834" spans="9:10">
      <c r="I3834" s="14"/>
      <c r="J3834" s="14"/>
    </row>
    <row r="3835" spans="9:10">
      <c r="I3835" s="14"/>
      <c r="J3835" s="14"/>
    </row>
    <row r="3836" spans="9:10">
      <c r="I3836" s="14"/>
      <c r="J3836" s="14"/>
    </row>
    <row r="3837" spans="9:10">
      <c r="I3837" s="14"/>
      <c r="J3837" s="14"/>
    </row>
    <row r="3838" spans="9:10">
      <c r="I3838" s="14"/>
      <c r="J3838" s="14"/>
    </row>
    <row r="3839" spans="9:10">
      <c r="I3839" s="14"/>
      <c r="J3839" s="14"/>
    </row>
    <row r="3840" spans="9:10">
      <c r="I3840" s="14"/>
      <c r="J3840" s="14"/>
    </row>
    <row r="3841" spans="9:10">
      <c r="I3841" s="14"/>
      <c r="J3841" s="14"/>
    </row>
    <row r="3842" spans="9:10">
      <c r="I3842" s="14"/>
      <c r="J3842" s="14"/>
    </row>
    <row r="3843" spans="9:10">
      <c r="I3843" s="14"/>
      <c r="J3843" s="14"/>
    </row>
    <row r="3844" spans="9:10">
      <c r="I3844" s="14"/>
      <c r="J3844" s="14"/>
    </row>
    <row r="3845" spans="9:10">
      <c r="I3845" s="14"/>
      <c r="J3845" s="14"/>
    </row>
    <row r="3846" spans="9:10">
      <c r="I3846" s="14"/>
      <c r="J3846" s="14"/>
    </row>
    <row r="3847" spans="9:10">
      <c r="I3847" s="14"/>
      <c r="J3847" s="14"/>
    </row>
    <row r="3848" spans="9:10">
      <c r="I3848" s="14"/>
      <c r="J3848" s="14"/>
    </row>
    <row r="3849" spans="9:10">
      <c r="I3849" s="14"/>
      <c r="J3849" s="14"/>
    </row>
    <row r="3850" spans="9:10">
      <c r="I3850" s="14"/>
      <c r="J3850" s="14"/>
    </row>
    <row r="3851" spans="9:10">
      <c r="I3851" s="14"/>
      <c r="J3851" s="14"/>
    </row>
    <row r="3852" spans="9:10">
      <c r="I3852" s="14"/>
      <c r="J3852" s="14"/>
    </row>
    <row r="3853" spans="9:10">
      <c r="I3853" s="14"/>
      <c r="J3853" s="14"/>
    </row>
    <row r="3854" spans="9:10">
      <c r="I3854" s="14"/>
      <c r="J3854" s="14"/>
    </row>
    <row r="3855" spans="9:10">
      <c r="I3855" s="14"/>
      <c r="J3855" s="14"/>
    </row>
    <row r="3856" spans="9:10">
      <c r="I3856" s="14"/>
      <c r="J3856" s="14"/>
    </row>
    <row r="3857" spans="9:10">
      <c r="I3857" s="14"/>
      <c r="J3857" s="14"/>
    </row>
    <row r="3858" spans="9:10">
      <c r="I3858" s="14"/>
      <c r="J3858" s="14"/>
    </row>
    <row r="3859" spans="9:10">
      <c r="I3859" s="14"/>
      <c r="J3859" s="14"/>
    </row>
    <row r="3860" spans="9:10">
      <c r="I3860" s="14"/>
      <c r="J3860" s="14"/>
    </row>
    <row r="3861" spans="9:10">
      <c r="I3861" s="14"/>
      <c r="J3861" s="14"/>
    </row>
    <row r="3862" spans="9:10">
      <c r="I3862" s="14"/>
      <c r="J3862" s="14"/>
    </row>
    <row r="3863" spans="9:10">
      <c r="I3863" s="14"/>
      <c r="J3863" s="14"/>
    </row>
    <row r="3864" spans="9:10">
      <c r="I3864" s="14"/>
      <c r="J3864" s="14"/>
    </row>
    <row r="3865" spans="9:10">
      <c r="I3865" s="14"/>
      <c r="J3865" s="14"/>
    </row>
    <row r="3866" spans="9:10">
      <c r="I3866" s="14"/>
      <c r="J3866" s="14"/>
    </row>
    <row r="3867" spans="9:10">
      <c r="I3867" s="14"/>
      <c r="J3867" s="14"/>
    </row>
    <row r="3868" spans="9:10">
      <c r="I3868" s="14"/>
      <c r="J3868" s="14"/>
    </row>
    <row r="3869" spans="9:10">
      <c r="I3869" s="14"/>
      <c r="J3869" s="14"/>
    </row>
    <row r="3870" spans="9:10">
      <c r="I3870" s="14"/>
      <c r="J3870" s="14"/>
    </row>
    <row r="3871" spans="9:10">
      <c r="I3871" s="14"/>
      <c r="J3871" s="14"/>
    </row>
    <row r="3872" spans="9:10">
      <c r="I3872" s="14"/>
      <c r="J3872" s="14"/>
    </row>
    <row r="3873" spans="9:10">
      <c r="I3873" s="14"/>
      <c r="J3873" s="14"/>
    </row>
    <row r="3874" spans="9:10">
      <c r="I3874" s="14"/>
      <c r="J3874" s="14"/>
    </row>
    <row r="3875" spans="9:10">
      <c r="I3875" s="14"/>
      <c r="J3875" s="14"/>
    </row>
    <row r="3876" spans="9:10">
      <c r="I3876" s="14"/>
      <c r="J3876" s="14"/>
    </row>
    <row r="3877" spans="9:10">
      <c r="I3877" s="14"/>
      <c r="J3877" s="14"/>
    </row>
    <row r="3878" spans="9:10">
      <c r="I3878" s="14"/>
      <c r="J3878" s="14"/>
    </row>
    <row r="3879" spans="9:10">
      <c r="I3879" s="14"/>
      <c r="J3879" s="14"/>
    </row>
    <row r="3880" spans="9:10">
      <c r="I3880" s="14"/>
      <c r="J3880" s="14"/>
    </row>
    <row r="3881" spans="9:10">
      <c r="I3881" s="14"/>
      <c r="J3881" s="14"/>
    </row>
    <row r="3882" spans="9:10">
      <c r="I3882" s="14"/>
      <c r="J3882" s="14"/>
    </row>
    <row r="3883" spans="9:10">
      <c r="I3883" s="14"/>
      <c r="J3883" s="14"/>
    </row>
    <row r="3884" spans="9:10">
      <c r="I3884" s="14"/>
      <c r="J3884" s="14"/>
    </row>
    <row r="3885" spans="9:10">
      <c r="I3885" s="14"/>
      <c r="J3885" s="14"/>
    </row>
    <row r="3886" spans="9:10">
      <c r="I3886" s="14"/>
      <c r="J3886" s="14"/>
    </row>
    <row r="3887" spans="9:10">
      <c r="I3887" s="14"/>
      <c r="J3887" s="14"/>
    </row>
    <row r="3888" spans="9:10">
      <c r="I3888" s="14"/>
      <c r="J3888" s="14"/>
    </row>
    <row r="3889" spans="9:10">
      <c r="I3889" s="14"/>
      <c r="J3889" s="14"/>
    </row>
    <row r="3890" spans="9:10">
      <c r="I3890" s="14"/>
      <c r="J3890" s="14"/>
    </row>
    <row r="3891" spans="9:10">
      <c r="I3891" s="14"/>
      <c r="J3891" s="14"/>
    </row>
    <row r="3892" spans="9:10">
      <c r="I3892" s="14"/>
      <c r="J3892" s="14"/>
    </row>
    <row r="3893" spans="9:10">
      <c r="I3893" s="14"/>
      <c r="J3893" s="14"/>
    </row>
    <row r="3894" spans="9:10">
      <c r="I3894" s="14"/>
      <c r="J3894" s="14"/>
    </row>
    <row r="3895" spans="9:10">
      <c r="I3895" s="14"/>
      <c r="J3895" s="14"/>
    </row>
    <row r="3896" spans="9:10">
      <c r="I3896" s="14"/>
      <c r="J3896" s="14"/>
    </row>
    <row r="3897" spans="9:10">
      <c r="I3897" s="14"/>
      <c r="J3897" s="14"/>
    </row>
    <row r="3898" spans="9:10">
      <c r="I3898" s="14"/>
      <c r="J3898" s="14"/>
    </row>
    <row r="3899" spans="9:10">
      <c r="I3899" s="14"/>
      <c r="J3899" s="14"/>
    </row>
    <row r="3900" spans="9:10">
      <c r="I3900" s="14"/>
      <c r="J3900" s="14"/>
    </row>
    <row r="3901" spans="9:10">
      <c r="I3901" s="14"/>
      <c r="J3901" s="14"/>
    </row>
    <row r="3902" spans="9:10">
      <c r="I3902" s="14"/>
      <c r="J3902" s="14"/>
    </row>
    <row r="3903" spans="9:10">
      <c r="I3903" s="14"/>
      <c r="J3903" s="14"/>
    </row>
    <row r="3904" spans="9:10">
      <c r="I3904" s="14"/>
      <c r="J3904" s="14"/>
    </row>
    <row r="3905" spans="9:10">
      <c r="I3905" s="14"/>
      <c r="J3905" s="14"/>
    </row>
    <row r="3906" spans="9:10">
      <c r="I3906" s="14"/>
      <c r="J3906" s="14"/>
    </row>
    <row r="3907" spans="9:10">
      <c r="I3907" s="14"/>
      <c r="J3907" s="14"/>
    </row>
    <row r="3908" spans="9:10">
      <c r="I3908" s="14"/>
      <c r="J3908" s="14"/>
    </row>
    <row r="3909" spans="9:10">
      <c r="I3909" s="14"/>
      <c r="J3909" s="14"/>
    </row>
    <row r="3910" spans="9:10">
      <c r="I3910" s="14"/>
      <c r="J3910" s="14"/>
    </row>
    <row r="3911" spans="9:10">
      <c r="I3911" s="14"/>
      <c r="J3911" s="14"/>
    </row>
    <row r="3912" spans="9:10">
      <c r="I3912" s="14"/>
      <c r="J3912" s="14"/>
    </row>
    <row r="3913" spans="9:10">
      <c r="I3913" s="14"/>
      <c r="J3913" s="14"/>
    </row>
    <row r="3914" spans="9:10">
      <c r="I3914" s="14"/>
      <c r="J3914" s="14"/>
    </row>
    <row r="3915" spans="9:10">
      <c r="I3915" s="14"/>
      <c r="J3915" s="14"/>
    </row>
    <row r="3916" spans="9:10">
      <c r="I3916" s="14"/>
      <c r="J3916" s="14"/>
    </row>
    <row r="3917" spans="9:10">
      <c r="I3917" s="14"/>
      <c r="J3917" s="14"/>
    </row>
    <row r="3918" spans="9:10">
      <c r="I3918" s="14"/>
      <c r="J3918" s="14"/>
    </row>
    <row r="3919" spans="9:10">
      <c r="I3919" s="14"/>
      <c r="J3919" s="14"/>
    </row>
    <row r="3920" spans="9:10">
      <c r="I3920" s="14"/>
      <c r="J3920" s="14"/>
    </row>
    <row r="3921" spans="9:10">
      <c r="I3921" s="14"/>
      <c r="J3921" s="14"/>
    </row>
    <row r="3922" spans="9:10">
      <c r="I3922" s="14"/>
      <c r="J3922" s="14"/>
    </row>
    <row r="3923" spans="9:10">
      <c r="I3923" s="14"/>
      <c r="J3923" s="14"/>
    </row>
    <row r="3924" spans="9:10">
      <c r="I3924" s="14"/>
      <c r="J3924" s="14"/>
    </row>
    <row r="3925" spans="9:10">
      <c r="I3925" s="14"/>
      <c r="J3925" s="14"/>
    </row>
    <row r="3926" spans="9:10">
      <c r="I3926" s="14"/>
      <c r="J3926" s="14"/>
    </row>
    <row r="3927" spans="9:10">
      <c r="I3927" s="14"/>
      <c r="J3927" s="14"/>
    </row>
    <row r="3928" spans="9:10">
      <c r="I3928" s="14"/>
      <c r="J3928" s="14"/>
    </row>
    <row r="3929" spans="9:10">
      <c r="I3929" s="14"/>
      <c r="J3929" s="14"/>
    </row>
    <row r="3930" spans="9:10">
      <c r="I3930" s="14"/>
      <c r="J3930" s="14"/>
    </row>
    <row r="3931" spans="9:10">
      <c r="I3931" s="14"/>
      <c r="J3931" s="14"/>
    </row>
    <row r="3932" spans="9:10">
      <c r="I3932" s="14"/>
      <c r="J3932" s="14"/>
    </row>
    <row r="3933" spans="9:10">
      <c r="I3933" s="14"/>
      <c r="J3933" s="14"/>
    </row>
    <row r="3934" spans="9:10">
      <c r="I3934" s="14"/>
      <c r="J3934" s="14"/>
    </row>
    <row r="3935" spans="9:10">
      <c r="I3935" s="14"/>
      <c r="J3935" s="14"/>
    </row>
    <row r="3936" spans="9:10">
      <c r="I3936" s="14"/>
      <c r="J3936" s="14"/>
    </row>
    <row r="3937" spans="9:10">
      <c r="I3937" s="14"/>
      <c r="J3937" s="14"/>
    </row>
    <row r="3938" spans="9:10">
      <c r="I3938" s="14"/>
      <c r="J3938" s="14"/>
    </row>
    <row r="3939" spans="9:10">
      <c r="I3939" s="14"/>
      <c r="J3939" s="14"/>
    </row>
    <row r="3940" spans="9:10">
      <c r="I3940" s="14"/>
      <c r="J3940" s="14"/>
    </row>
    <row r="3941" spans="9:10">
      <c r="I3941" s="14"/>
      <c r="J3941" s="14"/>
    </row>
    <row r="3942" spans="9:10">
      <c r="I3942" s="14"/>
      <c r="J3942" s="14"/>
    </row>
    <row r="3943" spans="9:10">
      <c r="I3943" s="14"/>
      <c r="J3943" s="14"/>
    </row>
    <row r="3944" spans="9:10">
      <c r="I3944" s="14"/>
      <c r="J3944" s="14"/>
    </row>
    <row r="3945" spans="9:10">
      <c r="I3945" s="14"/>
      <c r="J3945" s="14"/>
    </row>
    <row r="3946" spans="9:10">
      <c r="I3946" s="14"/>
      <c r="J3946" s="14"/>
    </row>
    <row r="3947" spans="9:10">
      <c r="I3947" s="14"/>
      <c r="J3947" s="14"/>
    </row>
    <row r="3948" spans="9:10">
      <c r="I3948" s="14"/>
      <c r="J3948" s="14"/>
    </row>
    <row r="3949" spans="9:10">
      <c r="I3949" s="14"/>
      <c r="J3949" s="14"/>
    </row>
    <row r="3950" spans="9:10">
      <c r="I3950" s="14"/>
      <c r="J3950" s="14"/>
    </row>
    <row r="3951" spans="9:10">
      <c r="I3951" s="14"/>
      <c r="J3951" s="14"/>
    </row>
    <row r="3952" spans="9:10">
      <c r="I3952" s="14"/>
      <c r="J3952" s="14"/>
    </row>
    <row r="3953" spans="9:10">
      <c r="I3953" s="14"/>
      <c r="J3953" s="14"/>
    </row>
    <row r="3954" spans="9:10">
      <c r="I3954" s="14"/>
      <c r="J3954" s="14"/>
    </row>
    <row r="3955" spans="9:10">
      <c r="I3955" s="14"/>
      <c r="J3955" s="14"/>
    </row>
    <row r="3956" spans="9:10">
      <c r="I3956" s="14"/>
      <c r="J3956" s="14"/>
    </row>
    <row r="3957" spans="9:10">
      <c r="I3957" s="14"/>
      <c r="J3957" s="14"/>
    </row>
    <row r="3958" spans="9:10">
      <c r="I3958" s="14"/>
      <c r="J3958" s="14"/>
    </row>
    <row r="3959" spans="9:10">
      <c r="I3959" s="14"/>
      <c r="J3959" s="14"/>
    </row>
    <row r="3960" spans="9:10">
      <c r="I3960" s="14"/>
      <c r="J3960" s="14"/>
    </row>
    <row r="3961" spans="9:10">
      <c r="I3961" s="14"/>
      <c r="J3961" s="14"/>
    </row>
    <row r="3962" spans="9:10">
      <c r="I3962" s="14"/>
      <c r="J3962" s="14"/>
    </row>
    <row r="3963" spans="9:10">
      <c r="I3963" s="14"/>
      <c r="J3963" s="14"/>
    </row>
    <row r="3964" spans="9:10">
      <c r="I3964" s="14"/>
      <c r="J3964" s="14"/>
    </row>
    <row r="3965" spans="9:10">
      <c r="I3965" s="14"/>
      <c r="J3965" s="14"/>
    </row>
    <row r="3966" spans="9:10">
      <c r="I3966" s="14"/>
      <c r="J3966" s="14"/>
    </row>
    <row r="3967" spans="9:10">
      <c r="I3967" s="14"/>
      <c r="J3967" s="14"/>
    </row>
    <row r="3968" spans="9:10">
      <c r="I3968" s="14"/>
      <c r="J3968" s="14"/>
    </row>
    <row r="3969" spans="9:10">
      <c r="I3969" s="14"/>
      <c r="J3969" s="14"/>
    </row>
    <row r="3970" spans="9:10">
      <c r="I3970" s="14"/>
      <c r="J3970" s="14"/>
    </row>
    <row r="3971" spans="9:10">
      <c r="I3971" s="14"/>
      <c r="J3971" s="14"/>
    </row>
    <row r="3972" spans="9:10">
      <c r="I3972" s="14"/>
      <c r="J3972" s="14"/>
    </row>
    <row r="3973" spans="9:10">
      <c r="I3973" s="14"/>
      <c r="J3973" s="14"/>
    </row>
    <row r="3974" spans="9:10">
      <c r="I3974" s="14"/>
      <c r="J3974" s="14"/>
    </row>
    <row r="3975" spans="9:10">
      <c r="I3975" s="14"/>
      <c r="J3975" s="14"/>
    </row>
    <row r="3976" spans="9:10">
      <c r="I3976" s="14"/>
      <c r="J3976" s="14"/>
    </row>
    <row r="3977" spans="9:10">
      <c r="I3977" s="14"/>
      <c r="J3977" s="14"/>
    </row>
    <row r="3978" spans="9:10">
      <c r="I3978" s="14"/>
      <c r="J3978" s="14"/>
    </row>
    <row r="3979" spans="9:10">
      <c r="I3979" s="14"/>
      <c r="J3979" s="14"/>
    </row>
    <row r="3980" spans="9:10">
      <c r="I3980" s="14"/>
      <c r="J3980" s="14"/>
    </row>
    <row r="3981" spans="9:10">
      <c r="I3981" s="14"/>
      <c r="J3981" s="14"/>
    </row>
    <row r="3982" spans="9:10">
      <c r="I3982" s="14"/>
      <c r="J3982" s="14"/>
    </row>
    <row r="3983" spans="9:10">
      <c r="I3983" s="14"/>
      <c r="J3983" s="14"/>
    </row>
    <row r="3984" spans="9:10">
      <c r="I3984" s="14"/>
      <c r="J3984" s="14"/>
    </row>
    <row r="3985" spans="9:10">
      <c r="I3985" s="14"/>
      <c r="J3985" s="14"/>
    </row>
    <row r="3986" spans="9:10">
      <c r="I3986" s="14"/>
      <c r="J3986" s="14"/>
    </row>
    <row r="3987" spans="9:10">
      <c r="I3987" s="14"/>
      <c r="J3987" s="14"/>
    </row>
    <row r="3988" spans="9:10">
      <c r="I3988" s="14"/>
      <c r="J3988" s="14"/>
    </row>
    <row r="3989" spans="9:10">
      <c r="I3989" s="14"/>
      <c r="J3989" s="14"/>
    </row>
    <row r="3990" spans="9:10">
      <c r="I3990" s="14"/>
      <c r="J3990" s="14"/>
    </row>
    <row r="3991" spans="9:10">
      <c r="I3991" s="14"/>
      <c r="J3991" s="14"/>
    </row>
    <row r="3992" spans="9:10">
      <c r="I3992" s="14"/>
      <c r="J3992" s="14"/>
    </row>
    <row r="3993" spans="9:10">
      <c r="I3993" s="14"/>
      <c r="J3993" s="14"/>
    </row>
    <row r="3994" spans="9:10">
      <c r="I3994" s="14"/>
      <c r="J3994" s="14"/>
    </row>
    <row r="3995" spans="9:10">
      <c r="I3995" s="14"/>
      <c r="J3995" s="14"/>
    </row>
    <row r="3996" spans="9:10">
      <c r="I3996" s="14"/>
      <c r="J3996" s="14"/>
    </row>
    <row r="3997" spans="9:10">
      <c r="I3997" s="14"/>
      <c r="J3997" s="14"/>
    </row>
    <row r="3998" spans="9:10">
      <c r="I3998" s="14"/>
      <c r="J3998" s="14"/>
    </row>
    <row r="3999" spans="9:10">
      <c r="I3999" s="14"/>
      <c r="J3999" s="14"/>
    </row>
    <row r="4000" spans="9:10">
      <c r="I4000" s="14"/>
      <c r="J4000" s="14"/>
    </row>
    <row r="4001" spans="9:10">
      <c r="I4001" s="14"/>
      <c r="J4001" s="14"/>
    </row>
    <row r="4002" spans="9:10">
      <c r="I4002" s="14"/>
      <c r="J4002" s="14"/>
    </row>
    <row r="4003" spans="9:10">
      <c r="I4003" s="14"/>
      <c r="J4003" s="14"/>
    </row>
    <row r="4004" spans="9:10">
      <c r="I4004" s="14"/>
      <c r="J4004" s="14"/>
    </row>
    <row r="4005" spans="9:10">
      <c r="I4005" s="14"/>
      <c r="J4005" s="14"/>
    </row>
    <row r="4006" spans="9:10">
      <c r="I4006" s="14"/>
      <c r="J4006" s="14"/>
    </row>
    <row r="4007" spans="9:10">
      <c r="I4007" s="14"/>
      <c r="J4007" s="14"/>
    </row>
    <row r="4008" spans="9:10">
      <c r="I4008" s="14"/>
      <c r="J4008" s="14"/>
    </row>
    <row r="4009" spans="9:10">
      <c r="I4009" s="14"/>
      <c r="J4009" s="14"/>
    </row>
    <row r="4010" spans="9:10">
      <c r="I4010" s="14"/>
      <c r="J4010" s="14"/>
    </row>
    <row r="4011" spans="9:10">
      <c r="I4011" s="14"/>
      <c r="J4011" s="14"/>
    </row>
    <row r="4012" spans="9:10">
      <c r="I4012" s="14"/>
      <c r="J4012" s="14"/>
    </row>
    <row r="4013" spans="9:10">
      <c r="I4013" s="14"/>
      <c r="J4013" s="14"/>
    </row>
    <row r="4014" spans="9:10">
      <c r="I4014" s="14"/>
      <c r="J4014" s="14"/>
    </row>
    <row r="4015" spans="9:10">
      <c r="I4015" s="14"/>
      <c r="J4015" s="14"/>
    </row>
    <row r="4016" spans="9:10">
      <c r="I4016" s="14"/>
      <c r="J4016" s="14"/>
    </row>
    <row r="4017" spans="9:10">
      <c r="I4017" s="14"/>
      <c r="J4017" s="14"/>
    </row>
    <row r="4018" spans="9:10">
      <c r="I4018" s="14"/>
      <c r="J4018" s="14"/>
    </row>
    <row r="4019" spans="9:10">
      <c r="I4019" s="14"/>
      <c r="J4019" s="14"/>
    </row>
    <row r="4020" spans="9:10">
      <c r="I4020" s="14"/>
      <c r="J4020" s="14"/>
    </row>
    <row r="4021" spans="9:10">
      <c r="I4021" s="14"/>
      <c r="J4021" s="14"/>
    </row>
    <row r="4022" spans="9:10">
      <c r="I4022" s="14"/>
      <c r="J4022" s="14"/>
    </row>
    <row r="4023" spans="9:10">
      <c r="I4023" s="14"/>
      <c r="J4023" s="14"/>
    </row>
    <row r="4024" spans="9:10">
      <c r="I4024" s="14"/>
      <c r="J4024" s="14"/>
    </row>
    <row r="4025" spans="9:10">
      <c r="I4025" s="14"/>
      <c r="J4025" s="14"/>
    </row>
    <row r="4026" spans="9:10">
      <c r="I4026" s="14"/>
      <c r="J4026" s="14"/>
    </row>
    <row r="4027" spans="9:10">
      <c r="I4027" s="14"/>
      <c r="J4027" s="14"/>
    </row>
    <row r="4028" spans="9:10">
      <c r="I4028" s="14"/>
      <c r="J4028" s="14"/>
    </row>
    <row r="4029" spans="9:10">
      <c r="I4029" s="14"/>
      <c r="J4029" s="14"/>
    </row>
    <row r="4030" spans="9:10">
      <c r="I4030" s="14"/>
      <c r="J4030" s="14"/>
    </row>
    <row r="4031" spans="9:10">
      <c r="I4031" s="14"/>
      <c r="J4031" s="14"/>
    </row>
    <row r="4032" spans="9:10">
      <c r="I4032" s="14"/>
      <c r="J4032" s="14"/>
    </row>
    <row r="4033" spans="9:10">
      <c r="I4033" s="14"/>
      <c r="J4033" s="14"/>
    </row>
    <row r="4034" spans="9:10">
      <c r="I4034" s="14"/>
      <c r="J4034" s="14"/>
    </row>
    <row r="4035" spans="9:10">
      <c r="I4035" s="14"/>
      <c r="J4035" s="14"/>
    </row>
    <row r="4036" spans="9:10">
      <c r="I4036" s="14"/>
      <c r="J4036" s="14"/>
    </row>
    <row r="4037" spans="9:10">
      <c r="I4037" s="14"/>
      <c r="J4037" s="14"/>
    </row>
    <row r="4038" spans="9:10">
      <c r="I4038" s="14"/>
      <c r="J4038" s="14"/>
    </row>
    <row r="4039" spans="9:10">
      <c r="I4039" s="14"/>
      <c r="J4039" s="14"/>
    </row>
    <row r="4040" spans="9:10">
      <c r="I4040" s="14"/>
      <c r="J4040" s="14"/>
    </row>
    <row r="4041" spans="9:10">
      <c r="I4041" s="14"/>
      <c r="J4041" s="14"/>
    </row>
    <row r="4042" spans="9:10">
      <c r="I4042" s="14"/>
      <c r="J4042" s="14"/>
    </row>
    <row r="4043" spans="9:10">
      <c r="I4043" s="14"/>
      <c r="J4043" s="14"/>
    </row>
    <row r="4044" spans="9:10">
      <c r="I4044" s="14"/>
      <c r="J4044" s="14"/>
    </row>
    <row r="4045" spans="9:10">
      <c r="I4045" s="14"/>
      <c r="J4045" s="14"/>
    </row>
    <row r="4046" spans="9:10">
      <c r="I4046" s="14"/>
      <c r="J4046" s="14"/>
    </row>
    <row r="4047" spans="9:10">
      <c r="I4047" s="14"/>
      <c r="J4047" s="14"/>
    </row>
    <row r="4048" spans="9:10">
      <c r="I4048" s="14"/>
      <c r="J4048" s="14"/>
    </row>
    <row r="4049" spans="9:10">
      <c r="I4049" s="14"/>
      <c r="J4049" s="14"/>
    </row>
    <row r="4050" spans="9:10">
      <c r="I4050" s="14"/>
      <c r="J4050" s="14"/>
    </row>
    <row r="4051" spans="9:10">
      <c r="I4051" s="14"/>
      <c r="J4051" s="14"/>
    </row>
    <row r="4052" spans="9:10">
      <c r="I4052" s="14"/>
      <c r="J4052" s="14"/>
    </row>
    <row r="4053" spans="9:10">
      <c r="I4053" s="14"/>
      <c r="J4053" s="14"/>
    </row>
    <row r="4054" spans="9:10">
      <c r="I4054" s="14"/>
      <c r="J4054" s="14"/>
    </row>
    <row r="4055" spans="9:10">
      <c r="I4055" s="14"/>
      <c r="J4055" s="14"/>
    </row>
    <row r="4056" spans="9:10">
      <c r="I4056" s="14"/>
      <c r="J4056" s="14"/>
    </row>
    <row r="4057" spans="9:10">
      <c r="I4057" s="14"/>
      <c r="J4057" s="14"/>
    </row>
    <row r="4058" spans="9:10">
      <c r="I4058" s="14"/>
      <c r="J4058" s="14"/>
    </row>
    <row r="4059" spans="9:10">
      <c r="I4059" s="14"/>
      <c r="J4059" s="14"/>
    </row>
    <row r="4060" spans="9:10">
      <c r="I4060" s="14"/>
      <c r="J4060" s="14"/>
    </row>
    <row r="4061" spans="9:10">
      <c r="I4061" s="14"/>
      <c r="J4061" s="14"/>
    </row>
    <row r="4062" spans="9:10">
      <c r="I4062" s="14"/>
      <c r="J4062" s="14"/>
    </row>
    <row r="4063" spans="9:10">
      <c r="I4063" s="14"/>
      <c r="J4063" s="14"/>
    </row>
    <row r="4064" spans="9:10">
      <c r="I4064" s="14"/>
      <c r="J4064" s="14"/>
    </row>
    <row r="4065" spans="9:10">
      <c r="I4065" s="14"/>
      <c r="J4065" s="14"/>
    </row>
    <row r="4066" spans="9:10">
      <c r="I4066" s="14"/>
      <c r="J4066" s="14"/>
    </row>
    <row r="4067" spans="9:10">
      <c r="I4067" s="14"/>
      <c r="J4067" s="14"/>
    </row>
    <row r="4068" spans="9:10">
      <c r="I4068" s="14"/>
      <c r="J4068" s="14"/>
    </row>
    <row r="4069" spans="9:10">
      <c r="I4069" s="14"/>
      <c r="J4069" s="14"/>
    </row>
    <row r="4070" spans="9:10">
      <c r="I4070" s="14"/>
      <c r="J4070" s="14"/>
    </row>
    <row r="4071" spans="9:10">
      <c r="I4071" s="14"/>
      <c r="J4071" s="14"/>
    </row>
    <row r="4072" spans="9:10">
      <c r="I4072" s="14"/>
      <c r="J4072" s="14"/>
    </row>
    <row r="4073" spans="9:10">
      <c r="I4073" s="14"/>
      <c r="J4073" s="14"/>
    </row>
    <row r="4074" spans="9:10">
      <c r="I4074" s="14"/>
      <c r="J4074" s="14"/>
    </row>
    <row r="4075" spans="9:10">
      <c r="I4075" s="14"/>
      <c r="J4075" s="14"/>
    </row>
    <row r="4076" spans="9:10">
      <c r="I4076" s="14"/>
      <c r="J4076" s="14"/>
    </row>
    <row r="4077" spans="9:10">
      <c r="I4077" s="14"/>
      <c r="J4077" s="14"/>
    </row>
    <row r="4078" spans="9:10">
      <c r="I4078" s="14"/>
      <c r="J4078" s="14"/>
    </row>
    <row r="4079" spans="9:10">
      <c r="I4079" s="14"/>
      <c r="J4079" s="14"/>
    </row>
    <row r="4080" spans="9:10">
      <c r="I4080" s="14"/>
      <c r="J4080" s="14"/>
    </row>
    <row r="4081" spans="9:10">
      <c r="I4081" s="14"/>
      <c r="J4081" s="14"/>
    </row>
    <row r="4082" spans="9:10">
      <c r="I4082" s="14"/>
      <c r="J4082" s="14"/>
    </row>
    <row r="4083" spans="9:10">
      <c r="I4083" s="14"/>
      <c r="J4083" s="14"/>
    </row>
    <row r="4084" spans="9:10">
      <c r="I4084" s="14"/>
      <c r="J4084" s="14"/>
    </row>
    <row r="4085" spans="9:10">
      <c r="I4085" s="14"/>
      <c r="J4085" s="14"/>
    </row>
    <row r="4086" spans="9:10">
      <c r="I4086" s="14"/>
      <c r="J4086" s="14"/>
    </row>
    <row r="4087" spans="9:10">
      <c r="I4087" s="14"/>
      <c r="J4087" s="14"/>
    </row>
    <row r="4088" spans="9:10">
      <c r="I4088" s="14"/>
      <c r="J4088" s="14"/>
    </row>
    <row r="4089" spans="9:10">
      <c r="I4089" s="14"/>
      <c r="J4089" s="14"/>
    </row>
    <row r="4090" spans="9:10">
      <c r="I4090" s="14"/>
      <c r="J4090" s="14"/>
    </row>
    <row r="4091" spans="9:10">
      <c r="I4091" s="14"/>
      <c r="J4091" s="14"/>
    </row>
    <row r="4092" spans="9:10">
      <c r="I4092" s="14"/>
      <c r="J4092" s="14"/>
    </row>
    <row r="4093" spans="9:10">
      <c r="I4093" s="14"/>
      <c r="J4093" s="14"/>
    </row>
    <row r="4094" spans="9:10">
      <c r="I4094" s="14"/>
      <c r="J4094" s="14"/>
    </row>
    <row r="4095" spans="9:10">
      <c r="I4095" s="14"/>
      <c r="J4095" s="14"/>
    </row>
    <row r="4096" spans="9:10">
      <c r="I4096" s="14"/>
      <c r="J4096" s="14"/>
    </row>
    <row r="4097" spans="9:10">
      <c r="I4097" s="14"/>
      <c r="J4097" s="14"/>
    </row>
    <row r="4098" spans="9:10">
      <c r="I4098" s="14"/>
      <c r="J4098" s="14"/>
    </row>
    <row r="4099" spans="9:10">
      <c r="I4099" s="14"/>
      <c r="J4099" s="14"/>
    </row>
    <row r="4100" spans="9:10">
      <c r="I4100" s="14"/>
      <c r="J4100" s="14"/>
    </row>
    <row r="4101" spans="9:10">
      <c r="I4101" s="14"/>
      <c r="J4101" s="14"/>
    </row>
    <row r="4102" spans="9:10">
      <c r="I4102" s="14"/>
      <c r="J4102" s="14"/>
    </row>
    <row r="4103" spans="9:10">
      <c r="I4103" s="14"/>
      <c r="J4103" s="14"/>
    </row>
    <row r="4104" spans="9:10">
      <c r="I4104" s="14"/>
      <c r="J4104" s="14"/>
    </row>
    <row r="4105" spans="9:10">
      <c r="I4105" s="14"/>
      <c r="J4105" s="14"/>
    </row>
    <row r="4106" spans="9:10">
      <c r="I4106" s="14"/>
      <c r="J4106" s="14"/>
    </row>
    <row r="4107" spans="9:10">
      <c r="I4107" s="14"/>
      <c r="J4107" s="14"/>
    </row>
    <row r="4108" spans="9:10">
      <c r="I4108" s="14"/>
      <c r="J4108" s="14"/>
    </row>
    <row r="4109" spans="9:10">
      <c r="I4109" s="14"/>
      <c r="J4109" s="14"/>
    </row>
    <row r="4110" spans="9:10">
      <c r="I4110" s="14"/>
      <c r="J4110" s="14"/>
    </row>
    <row r="4111" spans="9:10">
      <c r="I4111" s="14"/>
      <c r="J4111" s="14"/>
    </row>
    <row r="4112" spans="9:10">
      <c r="I4112" s="14"/>
      <c r="J4112" s="14"/>
    </row>
    <row r="4113" spans="9:10">
      <c r="I4113" s="14"/>
      <c r="J4113" s="14"/>
    </row>
    <row r="4114" spans="9:10">
      <c r="I4114" s="14"/>
      <c r="J4114" s="14"/>
    </row>
    <row r="4115" spans="9:10">
      <c r="I4115" s="14"/>
      <c r="J4115" s="14"/>
    </row>
    <row r="4116" spans="9:10">
      <c r="I4116" s="14"/>
      <c r="J4116" s="14"/>
    </row>
    <row r="4117" spans="9:10">
      <c r="I4117" s="14"/>
      <c r="J4117" s="14"/>
    </row>
    <row r="4118" spans="9:10">
      <c r="I4118" s="14"/>
      <c r="J4118" s="14"/>
    </row>
    <row r="4119" spans="9:10">
      <c r="I4119" s="14"/>
      <c r="J4119" s="14"/>
    </row>
    <row r="4120" spans="9:10">
      <c r="I4120" s="14"/>
      <c r="J4120" s="14"/>
    </row>
    <row r="4121" spans="9:10">
      <c r="I4121" s="14"/>
      <c r="J4121" s="14"/>
    </row>
    <row r="4122" spans="9:10">
      <c r="I4122" s="14"/>
      <c r="J4122" s="14"/>
    </row>
    <row r="4123" spans="9:10">
      <c r="I4123" s="14"/>
      <c r="J4123" s="14"/>
    </row>
    <row r="4124" spans="9:10">
      <c r="I4124" s="14"/>
      <c r="J4124" s="14"/>
    </row>
    <row r="4125" spans="9:10">
      <c r="I4125" s="14"/>
      <c r="J4125" s="14"/>
    </row>
    <row r="4126" spans="9:10">
      <c r="I4126" s="14"/>
      <c r="J4126" s="14"/>
    </row>
    <row r="4127" spans="9:10">
      <c r="I4127" s="14"/>
      <c r="J4127" s="14"/>
    </row>
    <row r="4128" spans="9:10">
      <c r="I4128" s="14"/>
      <c r="J4128" s="14"/>
    </row>
    <row r="4129" spans="9:10">
      <c r="I4129" s="14"/>
      <c r="J4129" s="14"/>
    </row>
    <row r="4130" spans="9:10">
      <c r="I4130" s="14"/>
      <c r="J4130" s="14"/>
    </row>
    <row r="4131" spans="9:10">
      <c r="I4131" s="14"/>
      <c r="J4131" s="14"/>
    </row>
    <row r="4132" spans="9:10">
      <c r="I4132" s="14"/>
      <c r="J4132" s="14"/>
    </row>
    <row r="4133" spans="9:10">
      <c r="I4133" s="14"/>
      <c r="J4133" s="14"/>
    </row>
    <row r="4134" spans="9:10">
      <c r="I4134" s="14"/>
      <c r="J4134" s="14"/>
    </row>
    <row r="4135" spans="9:10">
      <c r="I4135" s="14"/>
      <c r="J4135" s="14"/>
    </row>
    <row r="4136" spans="9:10">
      <c r="I4136" s="14"/>
      <c r="J4136" s="14"/>
    </row>
    <row r="4137" spans="9:10">
      <c r="I4137" s="14"/>
      <c r="J4137" s="14"/>
    </row>
    <row r="4138" spans="9:10">
      <c r="I4138" s="14"/>
      <c r="J4138" s="14"/>
    </row>
    <row r="4139" spans="9:10">
      <c r="I4139" s="14"/>
      <c r="J4139" s="14"/>
    </row>
    <row r="4140" spans="9:10">
      <c r="I4140" s="14"/>
      <c r="J4140" s="14"/>
    </row>
    <row r="4141" spans="9:10">
      <c r="I4141" s="14"/>
      <c r="J4141" s="14"/>
    </row>
    <row r="4142" spans="9:10">
      <c r="I4142" s="14"/>
      <c r="J4142" s="14"/>
    </row>
    <row r="4143" spans="9:10">
      <c r="I4143" s="14"/>
      <c r="J4143" s="14"/>
    </row>
    <row r="4144" spans="9:10">
      <c r="I4144" s="14"/>
      <c r="J4144" s="14"/>
    </row>
    <row r="4145" spans="9:10">
      <c r="I4145" s="14"/>
      <c r="J4145" s="14"/>
    </row>
    <row r="4146" spans="9:10">
      <c r="I4146" s="14"/>
      <c r="J4146" s="14"/>
    </row>
    <row r="4147" spans="9:10">
      <c r="I4147" s="14"/>
      <c r="J4147" s="14"/>
    </row>
    <row r="4148" spans="9:10">
      <c r="I4148" s="14"/>
      <c r="J4148" s="14"/>
    </row>
    <row r="4149" spans="9:10">
      <c r="I4149" s="14"/>
      <c r="J4149" s="14"/>
    </row>
    <row r="4150" spans="9:10">
      <c r="I4150" s="14"/>
      <c r="J4150" s="14"/>
    </row>
    <row r="4151" spans="9:10">
      <c r="I4151" s="14"/>
      <c r="J4151" s="14"/>
    </row>
    <row r="4152" spans="9:10">
      <c r="I4152" s="14"/>
      <c r="J4152" s="14"/>
    </row>
    <row r="4153" spans="9:10">
      <c r="I4153" s="14"/>
      <c r="J4153" s="14"/>
    </row>
    <row r="4154" spans="9:10">
      <c r="I4154" s="14"/>
      <c r="J4154" s="14"/>
    </row>
    <row r="4155" spans="9:10">
      <c r="I4155" s="14"/>
      <c r="J4155" s="14"/>
    </row>
    <row r="4156" spans="9:10">
      <c r="I4156" s="14"/>
      <c r="J4156" s="14"/>
    </row>
    <row r="4157" spans="9:10">
      <c r="I4157" s="14"/>
      <c r="J4157" s="14"/>
    </row>
    <row r="4158" spans="9:10">
      <c r="I4158" s="14"/>
      <c r="J4158" s="14"/>
    </row>
    <row r="4159" spans="9:10">
      <c r="I4159" s="14"/>
      <c r="J4159" s="14"/>
    </row>
    <row r="4160" spans="9:10">
      <c r="I4160" s="14"/>
      <c r="J4160" s="14"/>
    </row>
    <row r="4161" spans="9:10">
      <c r="I4161" s="14"/>
      <c r="J4161" s="14"/>
    </row>
    <row r="4162" spans="9:10">
      <c r="I4162" s="14"/>
      <c r="J4162" s="14"/>
    </row>
    <row r="4163" spans="9:10">
      <c r="I4163" s="14"/>
      <c r="J4163" s="14"/>
    </row>
    <row r="4164" spans="9:10">
      <c r="I4164" s="14"/>
      <c r="J4164" s="14"/>
    </row>
    <row r="4165" spans="9:10">
      <c r="I4165" s="14"/>
      <c r="J4165" s="14"/>
    </row>
    <row r="4166" spans="9:10">
      <c r="I4166" s="14"/>
      <c r="J4166" s="14"/>
    </row>
    <row r="4167" spans="9:10">
      <c r="I4167" s="14"/>
      <c r="J4167" s="14"/>
    </row>
    <row r="4168" spans="9:10">
      <c r="I4168" s="14"/>
      <c r="J4168" s="14"/>
    </row>
    <row r="4169" spans="9:10">
      <c r="I4169" s="14"/>
      <c r="J4169" s="14"/>
    </row>
    <row r="4170" spans="9:10">
      <c r="I4170" s="14"/>
      <c r="J4170" s="14"/>
    </row>
    <row r="4171" spans="9:10">
      <c r="I4171" s="14"/>
      <c r="J4171" s="14"/>
    </row>
    <row r="4172" spans="9:10">
      <c r="I4172" s="14"/>
      <c r="J4172" s="14"/>
    </row>
    <row r="4173" spans="9:10">
      <c r="I4173" s="14"/>
      <c r="J4173" s="14"/>
    </row>
    <row r="4174" spans="9:10">
      <c r="I4174" s="14"/>
      <c r="J4174" s="14"/>
    </row>
    <row r="4175" spans="9:10">
      <c r="I4175" s="14"/>
      <c r="J4175" s="14"/>
    </row>
    <row r="4176" spans="9:10">
      <c r="I4176" s="14"/>
      <c r="J4176" s="14"/>
    </row>
    <row r="4177" spans="9:10">
      <c r="I4177" s="14"/>
      <c r="J4177" s="14"/>
    </row>
    <row r="4178" spans="9:10">
      <c r="I4178" s="14"/>
      <c r="J4178" s="14"/>
    </row>
    <row r="4179" spans="9:10">
      <c r="I4179" s="14"/>
      <c r="J4179" s="14"/>
    </row>
    <row r="4180" spans="9:10">
      <c r="I4180" s="14"/>
      <c r="J4180" s="14"/>
    </row>
    <row r="4181" spans="9:10">
      <c r="I4181" s="14"/>
      <c r="J4181" s="14"/>
    </row>
    <row r="4182" spans="9:10">
      <c r="I4182" s="14"/>
      <c r="J4182" s="14"/>
    </row>
    <row r="4183" spans="9:10">
      <c r="I4183" s="14"/>
      <c r="J4183" s="14"/>
    </row>
    <row r="4184" spans="9:10">
      <c r="I4184" s="14"/>
      <c r="J4184" s="14"/>
    </row>
    <row r="4185" spans="9:10">
      <c r="I4185" s="14"/>
      <c r="J4185" s="14"/>
    </row>
    <row r="4186" spans="9:10">
      <c r="I4186" s="14"/>
      <c r="J4186" s="14"/>
    </row>
    <row r="4187" spans="9:10">
      <c r="I4187" s="14"/>
      <c r="J4187" s="14"/>
    </row>
    <row r="4188" spans="9:10">
      <c r="I4188" s="14"/>
      <c r="J4188" s="14"/>
    </row>
    <row r="4189" spans="9:10">
      <c r="I4189" s="14"/>
      <c r="J4189" s="14"/>
    </row>
    <row r="4190" spans="9:10">
      <c r="I4190" s="14"/>
      <c r="J4190" s="14"/>
    </row>
    <row r="4191" spans="9:10">
      <c r="I4191" s="14"/>
      <c r="J4191" s="14"/>
    </row>
    <row r="4192" spans="9:10">
      <c r="I4192" s="14"/>
      <c r="J4192" s="14"/>
    </row>
    <row r="4193" spans="9:10">
      <c r="I4193" s="14"/>
      <c r="J4193" s="14"/>
    </row>
    <row r="4194" spans="9:10">
      <c r="I4194" s="14"/>
      <c r="J4194" s="14"/>
    </row>
    <row r="4195" spans="9:10">
      <c r="I4195" s="14"/>
      <c r="J4195" s="14"/>
    </row>
    <row r="4196" spans="9:10">
      <c r="I4196" s="14"/>
      <c r="J4196" s="14"/>
    </row>
    <row r="4197" spans="9:10">
      <c r="I4197" s="14"/>
      <c r="J4197" s="14"/>
    </row>
    <row r="4198" spans="9:10">
      <c r="I4198" s="14"/>
      <c r="J4198" s="14"/>
    </row>
    <row r="4199" spans="9:10">
      <c r="I4199" s="14"/>
      <c r="J4199" s="14"/>
    </row>
    <row r="4200" spans="9:10">
      <c r="I4200" s="14"/>
      <c r="J4200" s="14"/>
    </row>
    <row r="4201" spans="9:10">
      <c r="I4201" s="14"/>
      <c r="J4201" s="14"/>
    </row>
    <row r="4202" spans="9:10">
      <c r="I4202" s="14"/>
      <c r="J4202" s="14"/>
    </row>
    <row r="4203" spans="9:10">
      <c r="I4203" s="14"/>
      <c r="J4203" s="14"/>
    </row>
    <row r="4204" spans="9:10">
      <c r="I4204" s="14"/>
      <c r="J4204" s="14"/>
    </row>
    <row r="4205" spans="9:10">
      <c r="I4205" s="14"/>
      <c r="J4205" s="14"/>
    </row>
    <row r="4206" spans="9:10">
      <c r="I4206" s="14"/>
      <c r="J4206" s="14"/>
    </row>
    <row r="4207" spans="9:10">
      <c r="I4207" s="14"/>
      <c r="J4207" s="14"/>
    </row>
    <row r="4208" spans="9:10">
      <c r="I4208" s="14"/>
      <c r="J4208" s="14"/>
    </row>
    <row r="4209" spans="9:10">
      <c r="I4209" s="14"/>
      <c r="J4209" s="14"/>
    </row>
    <row r="4210" spans="9:10">
      <c r="I4210" s="14"/>
      <c r="J4210" s="14"/>
    </row>
    <row r="4211" spans="9:10">
      <c r="I4211" s="14"/>
      <c r="J4211" s="14"/>
    </row>
    <row r="4212" spans="9:10">
      <c r="I4212" s="14"/>
      <c r="J4212" s="14"/>
    </row>
    <row r="4213" spans="9:10">
      <c r="I4213" s="14"/>
      <c r="J4213" s="14"/>
    </row>
    <row r="4214" spans="9:10">
      <c r="I4214" s="14"/>
      <c r="J4214" s="14"/>
    </row>
    <row r="4215" spans="9:10">
      <c r="I4215" s="14"/>
      <c r="J4215" s="14"/>
    </row>
    <row r="4216" spans="9:10">
      <c r="I4216" s="14"/>
      <c r="J4216" s="14"/>
    </row>
    <row r="4217" spans="9:10">
      <c r="I4217" s="14"/>
      <c r="J4217" s="14"/>
    </row>
    <row r="4218" spans="9:10">
      <c r="I4218" s="14"/>
      <c r="J4218" s="14"/>
    </row>
    <row r="4219" spans="9:10">
      <c r="I4219" s="14"/>
      <c r="J4219" s="14"/>
    </row>
    <row r="4220" spans="9:10">
      <c r="I4220" s="14"/>
      <c r="J4220" s="14"/>
    </row>
    <row r="4221" spans="9:10">
      <c r="I4221" s="14"/>
      <c r="J4221" s="14"/>
    </row>
    <row r="4222" spans="9:10">
      <c r="I4222" s="14"/>
      <c r="J4222" s="14"/>
    </row>
    <row r="4223" spans="9:10">
      <c r="I4223" s="14"/>
      <c r="J4223" s="14"/>
    </row>
    <row r="4224" spans="9:10">
      <c r="I4224" s="14"/>
      <c r="J4224" s="14"/>
    </row>
    <row r="4225" spans="9:10">
      <c r="I4225" s="14"/>
      <c r="J4225" s="14"/>
    </row>
    <row r="4226" spans="9:10">
      <c r="I4226" s="14"/>
      <c r="J4226" s="14"/>
    </row>
    <row r="4227" spans="9:10">
      <c r="I4227" s="14"/>
      <c r="J4227" s="14"/>
    </row>
    <row r="4228" spans="9:10">
      <c r="I4228" s="14"/>
      <c r="J4228" s="14"/>
    </row>
    <row r="4229" spans="9:10">
      <c r="I4229" s="14"/>
      <c r="J4229" s="14"/>
    </row>
    <row r="4230" spans="9:10">
      <c r="I4230" s="14"/>
      <c r="J4230" s="14"/>
    </row>
    <row r="4231" spans="9:10">
      <c r="I4231" s="14"/>
      <c r="J4231" s="14"/>
    </row>
    <row r="4232" spans="9:10">
      <c r="I4232" s="14"/>
      <c r="J4232" s="14"/>
    </row>
    <row r="4233" spans="9:10">
      <c r="I4233" s="14"/>
      <c r="J4233" s="14"/>
    </row>
    <row r="4234" spans="9:10">
      <c r="I4234" s="14"/>
      <c r="J4234" s="14"/>
    </row>
    <row r="4235" spans="9:10">
      <c r="I4235" s="14"/>
      <c r="J4235" s="14"/>
    </row>
    <row r="4236" spans="9:10">
      <c r="I4236" s="14"/>
      <c r="J4236" s="14"/>
    </row>
    <row r="4237" spans="9:10">
      <c r="I4237" s="14"/>
      <c r="J4237" s="14"/>
    </row>
    <row r="4238" spans="9:10">
      <c r="I4238" s="14"/>
      <c r="J4238" s="14"/>
    </row>
    <row r="4239" spans="9:10">
      <c r="I4239" s="14"/>
      <c r="J4239" s="14"/>
    </row>
    <row r="4240" spans="9:10">
      <c r="I4240" s="14"/>
      <c r="J4240" s="14"/>
    </row>
    <row r="4241" spans="9:10">
      <c r="I4241" s="14"/>
      <c r="J4241" s="14"/>
    </row>
    <row r="4242" spans="9:10">
      <c r="I4242" s="14"/>
      <c r="J4242" s="14"/>
    </row>
    <row r="4243" spans="9:10">
      <c r="I4243" s="14"/>
      <c r="J4243" s="14"/>
    </row>
    <row r="4244" spans="9:10">
      <c r="I4244" s="14"/>
      <c r="J4244" s="14"/>
    </row>
    <row r="4245" spans="9:10">
      <c r="I4245" s="14"/>
      <c r="J4245" s="14"/>
    </row>
    <row r="4246" spans="9:10">
      <c r="I4246" s="14"/>
      <c r="J4246" s="14"/>
    </row>
    <row r="4247" spans="9:10">
      <c r="I4247" s="14"/>
      <c r="J4247" s="14"/>
    </row>
    <row r="4248" spans="9:10">
      <c r="I4248" s="14"/>
      <c r="J4248" s="14"/>
    </row>
    <row r="4249" spans="9:10">
      <c r="I4249" s="14"/>
      <c r="J4249" s="14"/>
    </row>
    <row r="4250" spans="9:10">
      <c r="I4250" s="14"/>
      <c r="J4250" s="14"/>
    </row>
    <row r="4251" spans="9:10">
      <c r="I4251" s="14"/>
      <c r="J4251" s="14"/>
    </row>
    <row r="4252" spans="9:10">
      <c r="I4252" s="14"/>
      <c r="J4252" s="14"/>
    </row>
    <row r="4253" spans="9:10">
      <c r="I4253" s="14"/>
      <c r="J4253" s="14"/>
    </row>
    <row r="4254" spans="9:10">
      <c r="I4254" s="14"/>
      <c r="J4254" s="14"/>
    </row>
    <row r="4255" spans="9:10">
      <c r="I4255" s="14"/>
      <c r="J4255" s="14"/>
    </row>
    <row r="4256" spans="9:10">
      <c r="I4256" s="14"/>
      <c r="J4256" s="14"/>
    </row>
    <row r="4257" spans="9:10">
      <c r="I4257" s="14"/>
      <c r="J4257" s="14"/>
    </row>
    <row r="4258" spans="9:10">
      <c r="I4258" s="14"/>
      <c r="J4258" s="14"/>
    </row>
    <row r="4259" spans="9:10">
      <c r="I4259" s="14"/>
      <c r="J4259" s="14"/>
    </row>
    <row r="4260" spans="9:10">
      <c r="I4260" s="14"/>
      <c r="J4260" s="14"/>
    </row>
    <row r="4261" spans="9:10">
      <c r="I4261" s="14"/>
      <c r="J4261" s="14"/>
    </row>
    <row r="4262" spans="9:10">
      <c r="I4262" s="14"/>
      <c r="J4262" s="14"/>
    </row>
    <row r="4263" spans="9:10">
      <c r="I4263" s="14"/>
      <c r="J4263" s="14"/>
    </row>
    <row r="4264" spans="9:10">
      <c r="I4264" s="14"/>
      <c r="J4264" s="14"/>
    </row>
    <row r="4265" spans="9:10">
      <c r="I4265" s="14"/>
      <c r="J4265" s="14"/>
    </row>
    <row r="4266" spans="9:10">
      <c r="I4266" s="14"/>
      <c r="J4266" s="14"/>
    </row>
    <row r="4267" spans="9:10">
      <c r="I4267" s="14"/>
      <c r="J4267" s="14"/>
    </row>
    <row r="4268" spans="9:10">
      <c r="I4268" s="14"/>
      <c r="J4268" s="14"/>
    </row>
    <row r="4269" spans="9:10">
      <c r="I4269" s="14"/>
      <c r="J4269" s="14"/>
    </row>
    <row r="4270" spans="9:10">
      <c r="I4270" s="14"/>
      <c r="J4270" s="14"/>
    </row>
    <row r="4271" spans="9:10">
      <c r="I4271" s="14"/>
      <c r="J4271" s="14"/>
    </row>
    <row r="4272" spans="9:10">
      <c r="I4272" s="14"/>
      <c r="J4272" s="14"/>
    </row>
    <row r="4273" spans="9:10">
      <c r="I4273" s="14"/>
      <c r="J4273" s="14"/>
    </row>
    <row r="4274" spans="9:10">
      <c r="I4274" s="14"/>
      <c r="J4274" s="14"/>
    </row>
    <row r="4275" spans="9:10">
      <c r="I4275" s="14"/>
      <c r="J4275" s="14"/>
    </row>
    <row r="4276" spans="9:10">
      <c r="I4276" s="14"/>
      <c r="J4276" s="14"/>
    </row>
    <row r="4277" spans="9:10">
      <c r="I4277" s="14"/>
      <c r="J4277" s="14"/>
    </row>
    <row r="4278" spans="9:10">
      <c r="I4278" s="14"/>
      <c r="J4278" s="14"/>
    </row>
    <row r="4279" spans="9:10">
      <c r="I4279" s="14"/>
      <c r="J4279" s="14"/>
    </row>
    <row r="4280" spans="9:10">
      <c r="I4280" s="14"/>
      <c r="J4280" s="14"/>
    </row>
    <row r="4281" spans="9:10">
      <c r="I4281" s="14"/>
      <c r="J4281" s="14"/>
    </row>
    <row r="4282" spans="9:10">
      <c r="I4282" s="14"/>
      <c r="J4282" s="14"/>
    </row>
    <row r="4283" spans="9:10">
      <c r="I4283" s="14"/>
      <c r="J4283" s="14"/>
    </row>
    <row r="4284" spans="9:10">
      <c r="I4284" s="14"/>
      <c r="J4284" s="14"/>
    </row>
    <row r="4285" spans="9:10">
      <c r="I4285" s="14"/>
      <c r="J4285" s="14"/>
    </row>
    <row r="4286" spans="9:10">
      <c r="I4286" s="14"/>
      <c r="J4286" s="14"/>
    </row>
    <row r="4287" spans="9:10">
      <c r="I4287" s="14"/>
      <c r="J4287" s="14"/>
    </row>
    <row r="4288" spans="9:10">
      <c r="I4288" s="14"/>
      <c r="J4288" s="14"/>
    </row>
    <row r="4289" spans="9:10">
      <c r="I4289" s="14"/>
      <c r="J4289" s="14"/>
    </row>
    <row r="4290" spans="9:10">
      <c r="I4290" s="14"/>
      <c r="J4290" s="14"/>
    </row>
    <row r="4291" spans="9:10">
      <c r="I4291" s="14"/>
      <c r="J4291" s="14"/>
    </row>
    <row r="4292" spans="9:10">
      <c r="I4292" s="14"/>
      <c r="J4292" s="14"/>
    </row>
    <row r="4293" spans="9:10">
      <c r="I4293" s="14"/>
      <c r="J4293" s="14"/>
    </row>
    <row r="4294" spans="9:10">
      <c r="I4294" s="14"/>
      <c r="J4294" s="14"/>
    </row>
    <row r="4295" spans="9:10">
      <c r="I4295" s="14"/>
      <c r="J4295" s="14"/>
    </row>
    <row r="4296" spans="9:10">
      <c r="I4296" s="14"/>
      <c r="J4296" s="14"/>
    </row>
    <row r="4297" spans="9:10">
      <c r="I4297" s="14"/>
      <c r="J4297" s="14"/>
    </row>
    <row r="4298" spans="9:10">
      <c r="I4298" s="14"/>
      <c r="J4298" s="14"/>
    </row>
    <row r="4299" spans="9:10">
      <c r="I4299" s="14"/>
      <c r="J4299" s="14"/>
    </row>
    <row r="4300" spans="9:10">
      <c r="I4300" s="14"/>
      <c r="J4300" s="14"/>
    </row>
    <row r="4301" spans="9:10">
      <c r="I4301" s="14"/>
      <c r="J4301" s="14"/>
    </row>
    <row r="4302" spans="9:10">
      <c r="I4302" s="14"/>
      <c r="J4302" s="14"/>
    </row>
    <row r="4303" spans="9:10">
      <c r="I4303" s="14"/>
      <c r="J4303" s="14"/>
    </row>
    <row r="4304" spans="9:10">
      <c r="I4304" s="14"/>
      <c r="J4304" s="14"/>
    </row>
    <row r="4305" spans="9:10">
      <c r="I4305" s="14"/>
      <c r="J4305" s="14"/>
    </row>
    <row r="4306" spans="9:10">
      <c r="I4306" s="14"/>
      <c r="J4306" s="14"/>
    </row>
    <row r="4307" spans="9:10">
      <c r="I4307" s="14"/>
      <c r="J4307" s="14"/>
    </row>
    <row r="4308" spans="9:10">
      <c r="I4308" s="14"/>
      <c r="J4308" s="14"/>
    </row>
    <row r="4309" spans="9:10">
      <c r="I4309" s="14"/>
      <c r="J4309" s="14"/>
    </row>
    <row r="4310" spans="9:10">
      <c r="I4310" s="14"/>
      <c r="J4310" s="14"/>
    </row>
    <row r="4311" spans="9:10">
      <c r="I4311" s="14"/>
      <c r="J4311" s="14"/>
    </row>
    <row r="4312" spans="9:10">
      <c r="I4312" s="14"/>
      <c r="J4312" s="14"/>
    </row>
    <row r="4313" spans="9:10">
      <c r="I4313" s="14"/>
      <c r="J4313" s="14"/>
    </row>
    <row r="4314" spans="9:10">
      <c r="I4314" s="14"/>
      <c r="J4314" s="14"/>
    </row>
    <row r="4315" spans="9:10">
      <c r="I4315" s="14"/>
      <c r="J4315" s="14"/>
    </row>
    <row r="4316" spans="9:10">
      <c r="I4316" s="14"/>
      <c r="J4316" s="14"/>
    </row>
    <row r="4317" spans="9:10">
      <c r="I4317" s="14"/>
      <c r="J4317" s="14"/>
    </row>
    <row r="4318" spans="9:10">
      <c r="I4318" s="14"/>
      <c r="J4318" s="14"/>
    </row>
    <row r="4319" spans="9:10">
      <c r="I4319" s="14"/>
      <c r="J4319" s="14"/>
    </row>
    <row r="4320" spans="9:10">
      <c r="I4320" s="14"/>
      <c r="J4320" s="14"/>
    </row>
    <row r="4321" spans="9:10">
      <c r="I4321" s="14"/>
      <c r="J4321" s="14"/>
    </row>
    <row r="4322" spans="9:10">
      <c r="I4322" s="14"/>
      <c r="J4322" s="14"/>
    </row>
    <row r="4323" spans="9:10">
      <c r="I4323" s="14"/>
      <c r="J4323" s="14"/>
    </row>
    <row r="4324" spans="9:10">
      <c r="I4324" s="14"/>
      <c r="J4324" s="14"/>
    </row>
    <row r="4325" spans="9:10">
      <c r="I4325" s="14"/>
      <c r="J4325" s="14"/>
    </row>
    <row r="4326" spans="9:10">
      <c r="I4326" s="14"/>
      <c r="J4326" s="14"/>
    </row>
    <row r="4327" spans="9:10">
      <c r="I4327" s="14"/>
      <c r="J4327" s="14"/>
    </row>
    <row r="4328" spans="9:10">
      <c r="I4328" s="14"/>
      <c r="J4328" s="14"/>
    </row>
    <row r="4329" spans="9:10">
      <c r="I4329" s="14"/>
      <c r="J4329" s="14"/>
    </row>
    <row r="4330" spans="9:10">
      <c r="I4330" s="14"/>
      <c r="J4330" s="14"/>
    </row>
    <row r="4331" spans="9:10">
      <c r="I4331" s="14"/>
      <c r="J4331" s="14"/>
    </row>
    <row r="4332" spans="9:10">
      <c r="I4332" s="14"/>
      <c r="J4332" s="14"/>
    </row>
    <row r="4333" spans="9:10">
      <c r="I4333" s="14"/>
      <c r="J4333" s="14"/>
    </row>
    <row r="4334" spans="9:10">
      <c r="I4334" s="14"/>
      <c r="J4334" s="14"/>
    </row>
    <row r="4335" spans="9:10">
      <c r="I4335" s="14"/>
      <c r="J4335" s="14"/>
    </row>
    <row r="4336" spans="9:10">
      <c r="I4336" s="14"/>
      <c r="J4336" s="14"/>
    </row>
    <row r="4337" spans="9:10">
      <c r="I4337" s="14"/>
      <c r="J4337" s="14"/>
    </row>
    <row r="4338" spans="9:10">
      <c r="I4338" s="14"/>
      <c r="J4338" s="14"/>
    </row>
    <row r="4339" spans="9:10">
      <c r="I4339" s="14"/>
      <c r="J4339" s="14"/>
    </row>
    <row r="4340" spans="9:10">
      <c r="I4340" s="14"/>
      <c r="J4340" s="14"/>
    </row>
    <row r="4341" spans="9:10">
      <c r="I4341" s="14"/>
      <c r="J4341" s="14"/>
    </row>
    <row r="4342" spans="9:10">
      <c r="I4342" s="14"/>
      <c r="J4342" s="14"/>
    </row>
    <row r="4343" spans="9:10">
      <c r="I4343" s="14"/>
      <c r="J4343" s="14"/>
    </row>
    <row r="4344" spans="9:10">
      <c r="I4344" s="14"/>
      <c r="J4344" s="14"/>
    </row>
    <row r="4345" spans="9:10">
      <c r="I4345" s="14"/>
      <c r="J4345" s="14"/>
    </row>
    <row r="4346" spans="9:10">
      <c r="I4346" s="14"/>
      <c r="J4346" s="14"/>
    </row>
    <row r="4347" spans="9:10">
      <c r="I4347" s="14"/>
      <c r="J4347" s="14"/>
    </row>
    <row r="4348" spans="9:10">
      <c r="I4348" s="14"/>
      <c r="J4348" s="14"/>
    </row>
    <row r="4349" spans="9:10">
      <c r="I4349" s="14"/>
      <c r="J4349" s="14"/>
    </row>
    <row r="4350" spans="9:10">
      <c r="I4350" s="14"/>
      <c r="J4350" s="14"/>
    </row>
    <row r="4351" spans="9:10">
      <c r="I4351" s="14"/>
      <c r="J4351" s="14"/>
    </row>
    <row r="4352" spans="9:10">
      <c r="I4352" s="14"/>
      <c r="J4352" s="14"/>
    </row>
    <row r="4353" spans="9:10">
      <c r="I4353" s="14"/>
      <c r="J4353" s="14"/>
    </row>
    <row r="4354" spans="9:10">
      <c r="I4354" s="14"/>
      <c r="J4354" s="14"/>
    </row>
    <row r="4355" spans="9:10">
      <c r="I4355" s="14"/>
      <c r="J4355" s="14"/>
    </row>
    <row r="4356" spans="9:10">
      <c r="I4356" s="14"/>
      <c r="J4356" s="14"/>
    </row>
    <row r="4357" spans="9:10">
      <c r="I4357" s="14"/>
      <c r="J4357" s="14"/>
    </row>
    <row r="4358" spans="9:10">
      <c r="I4358" s="14"/>
      <c r="J4358" s="14"/>
    </row>
    <row r="4359" spans="9:10">
      <c r="I4359" s="14"/>
      <c r="J4359" s="14"/>
    </row>
    <row r="4360" spans="9:10">
      <c r="I4360" s="14"/>
      <c r="J4360" s="14"/>
    </row>
    <row r="4361" spans="9:10">
      <c r="I4361" s="14"/>
      <c r="J4361" s="14"/>
    </row>
    <row r="4362" spans="9:10">
      <c r="I4362" s="14"/>
      <c r="J4362" s="14"/>
    </row>
    <row r="4363" spans="9:10">
      <c r="I4363" s="14"/>
      <c r="J4363" s="14"/>
    </row>
    <row r="4364" spans="9:10">
      <c r="I4364" s="14"/>
      <c r="J4364" s="14"/>
    </row>
    <row r="4365" spans="9:10">
      <c r="I4365" s="14"/>
      <c r="J4365" s="14"/>
    </row>
    <row r="4366" spans="9:10">
      <c r="I4366" s="14"/>
      <c r="J4366" s="14"/>
    </row>
    <row r="4367" spans="9:10">
      <c r="I4367" s="14"/>
      <c r="J4367" s="14"/>
    </row>
    <row r="4368" spans="9:10">
      <c r="I4368" s="14"/>
      <c r="J4368" s="14"/>
    </row>
    <row r="4369" spans="9:10">
      <c r="I4369" s="14"/>
      <c r="J4369" s="14"/>
    </row>
    <row r="4370" spans="9:10">
      <c r="I4370" s="14"/>
      <c r="J4370" s="14"/>
    </row>
    <row r="4371" spans="9:10">
      <c r="I4371" s="14"/>
      <c r="J4371" s="14"/>
    </row>
    <row r="4372" spans="9:10">
      <c r="I4372" s="14"/>
      <c r="J4372" s="14"/>
    </row>
    <row r="4373" spans="9:10">
      <c r="I4373" s="14"/>
      <c r="J4373" s="14"/>
    </row>
    <row r="4374" spans="9:10">
      <c r="I4374" s="14"/>
      <c r="J4374" s="14"/>
    </row>
    <row r="4375" spans="9:10">
      <c r="I4375" s="14"/>
      <c r="J4375" s="14"/>
    </row>
    <row r="4376" spans="9:10">
      <c r="I4376" s="14"/>
      <c r="J4376" s="14"/>
    </row>
    <row r="4377" spans="9:10">
      <c r="I4377" s="14"/>
      <c r="J4377" s="14"/>
    </row>
    <row r="4378" spans="9:10">
      <c r="I4378" s="14"/>
      <c r="J4378" s="14"/>
    </row>
    <row r="4379" spans="9:10">
      <c r="I4379" s="14"/>
      <c r="J4379" s="14"/>
    </row>
    <row r="4380" spans="9:10">
      <c r="I4380" s="14"/>
      <c r="J4380" s="14"/>
    </row>
    <row r="4381" spans="9:10">
      <c r="I4381" s="14"/>
      <c r="J4381" s="14"/>
    </row>
    <row r="4382" spans="9:10">
      <c r="I4382" s="14"/>
      <c r="J4382" s="14"/>
    </row>
    <row r="4383" spans="9:10">
      <c r="I4383" s="14"/>
      <c r="J4383" s="14"/>
    </row>
    <row r="4384" spans="9:10">
      <c r="I4384" s="14"/>
      <c r="J4384" s="14"/>
    </row>
    <row r="4385" spans="9:10">
      <c r="I4385" s="14"/>
      <c r="J4385" s="14"/>
    </row>
    <row r="4386" spans="9:10">
      <c r="I4386" s="14"/>
      <c r="J4386" s="14"/>
    </row>
    <row r="4387" spans="9:10">
      <c r="I4387" s="14"/>
      <c r="J4387" s="14"/>
    </row>
    <row r="4388" spans="9:10">
      <c r="I4388" s="14"/>
      <c r="J4388" s="14"/>
    </row>
    <row r="4389" spans="9:10">
      <c r="I4389" s="14"/>
      <c r="J4389" s="14"/>
    </row>
    <row r="4390" spans="9:10">
      <c r="I4390" s="14"/>
      <c r="J4390" s="14"/>
    </row>
    <row r="4391" spans="9:10">
      <c r="I4391" s="14"/>
      <c r="J4391" s="14"/>
    </row>
    <row r="4392" spans="9:10">
      <c r="I4392" s="14"/>
      <c r="J4392" s="14"/>
    </row>
    <row r="4393" spans="9:10">
      <c r="I4393" s="14"/>
      <c r="J4393" s="14"/>
    </row>
    <row r="4394" spans="9:10">
      <c r="I4394" s="14"/>
      <c r="J4394" s="14"/>
    </row>
    <row r="4395" spans="9:10">
      <c r="I4395" s="14"/>
      <c r="J4395" s="14"/>
    </row>
    <row r="4396" spans="9:10">
      <c r="I4396" s="14"/>
      <c r="J4396" s="14"/>
    </row>
    <row r="4397" spans="9:10">
      <c r="I4397" s="14"/>
      <c r="J4397" s="14"/>
    </row>
    <row r="4398" spans="9:10">
      <c r="I4398" s="14"/>
      <c r="J4398" s="14"/>
    </row>
    <row r="4399" spans="9:10">
      <c r="I4399" s="14"/>
      <c r="J4399" s="14"/>
    </row>
    <row r="4400" spans="9:10">
      <c r="I4400" s="14"/>
      <c r="J4400" s="14"/>
    </row>
    <row r="4401" spans="9:10">
      <c r="I4401" s="14"/>
      <c r="J4401" s="14"/>
    </row>
    <row r="4402" spans="9:10">
      <c r="I4402" s="14"/>
      <c r="J4402" s="14"/>
    </row>
    <row r="4403" spans="9:10">
      <c r="I4403" s="14"/>
      <c r="J4403" s="14"/>
    </row>
    <row r="4404" spans="9:10">
      <c r="I4404" s="14"/>
      <c r="J4404" s="14"/>
    </row>
    <row r="4405" spans="9:10">
      <c r="I4405" s="14"/>
      <c r="J4405" s="14"/>
    </row>
    <row r="4406" spans="9:10">
      <c r="I4406" s="14"/>
      <c r="J4406" s="14"/>
    </row>
    <row r="4407" spans="9:10">
      <c r="I4407" s="14"/>
      <c r="J4407" s="14"/>
    </row>
    <row r="4408" spans="9:10">
      <c r="I4408" s="14"/>
      <c r="J4408" s="14"/>
    </row>
    <row r="4409" spans="9:10">
      <c r="I4409" s="14"/>
      <c r="J4409" s="14"/>
    </row>
    <row r="4410" spans="9:10">
      <c r="I4410" s="14"/>
      <c r="J4410" s="14"/>
    </row>
    <row r="4411" spans="9:10">
      <c r="I4411" s="14"/>
      <c r="J4411" s="14"/>
    </row>
    <row r="4412" spans="9:10">
      <c r="I4412" s="14"/>
      <c r="J4412" s="14"/>
    </row>
    <row r="4413" spans="9:10">
      <c r="I4413" s="14"/>
      <c r="J4413" s="14"/>
    </row>
    <row r="4414" spans="9:10">
      <c r="I4414" s="14"/>
      <c r="J4414" s="14"/>
    </row>
    <row r="4415" spans="9:10">
      <c r="I4415" s="14"/>
      <c r="J4415" s="14"/>
    </row>
    <row r="4416" spans="9:10">
      <c r="I4416" s="14"/>
      <c r="J4416" s="14"/>
    </row>
    <row r="4417" spans="9:10">
      <c r="I4417" s="14"/>
      <c r="J4417" s="14"/>
    </row>
    <row r="4418" spans="9:10">
      <c r="I4418" s="14"/>
      <c r="J4418" s="14"/>
    </row>
    <row r="4419" spans="9:10">
      <c r="I4419" s="14"/>
      <c r="J4419" s="14"/>
    </row>
    <row r="4420" spans="9:10">
      <c r="I4420" s="14"/>
      <c r="J4420" s="14"/>
    </row>
    <row r="4421" spans="9:10">
      <c r="I4421" s="14"/>
      <c r="J4421" s="14"/>
    </row>
    <row r="4422" spans="9:10">
      <c r="I4422" s="14"/>
      <c r="J4422" s="14"/>
    </row>
    <row r="4423" spans="9:10">
      <c r="I4423" s="14"/>
      <c r="J4423" s="14"/>
    </row>
    <row r="4424" spans="9:10">
      <c r="I4424" s="14"/>
      <c r="J4424" s="14"/>
    </row>
    <row r="4425" spans="9:10">
      <c r="I4425" s="14"/>
      <c r="J4425" s="14"/>
    </row>
    <row r="4426" spans="9:10">
      <c r="I4426" s="14"/>
      <c r="J4426" s="14"/>
    </row>
    <row r="4427" spans="9:10">
      <c r="I4427" s="14"/>
      <c r="J4427" s="14"/>
    </row>
    <row r="4428" spans="9:10">
      <c r="I4428" s="14"/>
      <c r="J4428" s="14"/>
    </row>
    <row r="4429" spans="9:10">
      <c r="I4429" s="14"/>
      <c r="J4429" s="14"/>
    </row>
    <row r="4430" spans="9:10">
      <c r="I4430" s="14"/>
      <c r="J4430" s="14"/>
    </row>
    <row r="4431" spans="9:10">
      <c r="I4431" s="14"/>
      <c r="J4431" s="14"/>
    </row>
    <row r="4432" spans="9:10">
      <c r="I4432" s="14"/>
      <c r="J4432" s="14"/>
    </row>
    <row r="4433" spans="9:10">
      <c r="I4433" s="14"/>
      <c r="J4433" s="14"/>
    </row>
    <row r="4434" spans="9:10">
      <c r="I4434" s="14"/>
      <c r="J4434" s="14"/>
    </row>
    <row r="4435" spans="9:10">
      <c r="I4435" s="14"/>
      <c r="J4435" s="14"/>
    </row>
    <row r="4436" spans="9:10">
      <c r="I4436" s="14"/>
      <c r="J4436" s="14"/>
    </row>
    <row r="4437" spans="9:10">
      <c r="I4437" s="14"/>
      <c r="J4437" s="14"/>
    </row>
    <row r="4438" spans="9:10">
      <c r="I4438" s="14"/>
      <c r="J4438" s="14"/>
    </row>
    <row r="4439" spans="9:10">
      <c r="I4439" s="14"/>
      <c r="J4439" s="14"/>
    </row>
    <row r="4440" spans="9:10">
      <c r="I4440" s="14"/>
      <c r="J4440" s="14"/>
    </row>
    <row r="4441" spans="9:10">
      <c r="I4441" s="14"/>
      <c r="J4441" s="14"/>
    </row>
    <row r="4442" spans="9:10">
      <c r="I4442" s="14"/>
      <c r="J4442" s="14"/>
    </row>
    <row r="4443" spans="9:10">
      <c r="I4443" s="14"/>
      <c r="J4443" s="14"/>
    </row>
    <row r="4444" spans="9:10">
      <c r="I4444" s="14"/>
      <c r="J4444" s="14"/>
    </row>
    <row r="4445" spans="9:10">
      <c r="I4445" s="14"/>
      <c r="J4445" s="14"/>
    </row>
    <row r="4446" spans="9:10">
      <c r="I4446" s="14"/>
      <c r="J4446" s="14"/>
    </row>
    <row r="4447" spans="9:10">
      <c r="I4447" s="14"/>
      <c r="J4447" s="14"/>
    </row>
    <row r="4448" spans="9:10">
      <c r="I4448" s="14"/>
      <c r="J4448" s="14"/>
    </row>
    <row r="4449" spans="9:10">
      <c r="I4449" s="14"/>
      <c r="J4449" s="14"/>
    </row>
    <row r="4450" spans="9:10">
      <c r="I4450" s="14"/>
      <c r="J4450" s="14"/>
    </row>
    <row r="4451" spans="9:10">
      <c r="I4451" s="14"/>
      <c r="J4451" s="14"/>
    </row>
    <row r="4452" spans="9:10">
      <c r="I4452" s="14"/>
      <c r="J4452" s="14"/>
    </row>
    <row r="4453" spans="9:10">
      <c r="I4453" s="14"/>
      <c r="J4453" s="14"/>
    </row>
    <row r="4454" spans="9:10">
      <c r="I4454" s="14"/>
      <c r="J4454" s="14"/>
    </row>
    <row r="4455" spans="9:10">
      <c r="I4455" s="14"/>
      <c r="J4455" s="14"/>
    </row>
    <row r="4456" spans="9:10">
      <c r="I4456" s="14"/>
      <c r="J4456" s="14"/>
    </row>
    <row r="4457" spans="9:10">
      <c r="I4457" s="14"/>
      <c r="J4457" s="14"/>
    </row>
    <row r="4458" spans="9:10">
      <c r="I4458" s="14"/>
      <c r="J4458" s="14"/>
    </row>
    <row r="4459" spans="9:10">
      <c r="I4459" s="14"/>
      <c r="J4459" s="14"/>
    </row>
    <row r="4460" spans="9:10">
      <c r="I4460" s="14"/>
      <c r="J4460" s="14"/>
    </row>
    <row r="4461" spans="9:10">
      <c r="I4461" s="14"/>
      <c r="J4461" s="14"/>
    </row>
    <row r="4462" spans="9:10">
      <c r="I4462" s="14"/>
      <c r="J4462" s="14"/>
    </row>
    <row r="4463" spans="9:10">
      <c r="I4463" s="14"/>
      <c r="J4463" s="14"/>
    </row>
    <row r="4464" spans="9:10">
      <c r="I4464" s="14"/>
      <c r="J4464" s="14"/>
    </row>
    <row r="4465" spans="9:10">
      <c r="I4465" s="14"/>
      <c r="J4465" s="14"/>
    </row>
    <row r="4466" spans="9:10">
      <c r="I4466" s="14"/>
      <c r="J4466" s="14"/>
    </row>
    <row r="4467" spans="9:10">
      <c r="I4467" s="14"/>
      <c r="J4467" s="14"/>
    </row>
    <row r="4468" spans="9:10">
      <c r="I4468" s="14"/>
      <c r="J4468" s="14"/>
    </row>
    <row r="4469" spans="9:10">
      <c r="I4469" s="14"/>
      <c r="J4469" s="14"/>
    </row>
    <row r="4470" spans="9:10">
      <c r="I4470" s="14"/>
      <c r="J4470" s="14"/>
    </row>
    <row r="4471" spans="9:10">
      <c r="I4471" s="14"/>
      <c r="J4471" s="14"/>
    </row>
    <row r="4472" spans="9:10">
      <c r="I4472" s="14"/>
      <c r="J4472" s="14"/>
    </row>
    <row r="4473" spans="9:10">
      <c r="I4473" s="14"/>
      <c r="J4473" s="14"/>
    </row>
    <row r="4474" spans="9:10">
      <c r="I4474" s="14"/>
      <c r="J4474" s="14"/>
    </row>
    <row r="4475" spans="9:10">
      <c r="I4475" s="14"/>
      <c r="J4475" s="14"/>
    </row>
    <row r="4476" spans="9:10">
      <c r="I4476" s="14"/>
      <c r="J4476" s="14"/>
    </row>
    <row r="4477" spans="9:10">
      <c r="I4477" s="14"/>
      <c r="J4477" s="14"/>
    </row>
    <row r="4478" spans="9:10">
      <c r="I4478" s="14"/>
      <c r="J4478" s="14"/>
    </row>
    <row r="4479" spans="9:10">
      <c r="I4479" s="14"/>
      <c r="J4479" s="14"/>
    </row>
    <row r="4480" spans="9:10">
      <c r="I4480" s="14"/>
      <c r="J4480" s="14"/>
    </row>
    <row r="4481" spans="9:10">
      <c r="I4481" s="14"/>
      <c r="J4481" s="14"/>
    </row>
    <row r="4482" spans="9:10">
      <c r="I4482" s="14"/>
      <c r="J4482" s="14"/>
    </row>
    <row r="4483" spans="9:10">
      <c r="I4483" s="14"/>
      <c r="J4483" s="14"/>
    </row>
    <row r="4484" spans="9:10">
      <c r="I4484" s="14"/>
      <c r="J4484" s="14"/>
    </row>
    <row r="4485" spans="9:10">
      <c r="I4485" s="14"/>
      <c r="J4485" s="14"/>
    </row>
    <row r="4486" spans="9:10">
      <c r="I4486" s="14"/>
      <c r="J4486" s="14"/>
    </row>
    <row r="4487" spans="9:10">
      <c r="I4487" s="14"/>
      <c r="J4487" s="14"/>
    </row>
    <row r="4488" spans="9:10">
      <c r="I4488" s="14"/>
      <c r="J4488" s="14"/>
    </row>
    <row r="4489" spans="9:10">
      <c r="I4489" s="14"/>
      <c r="J4489" s="14"/>
    </row>
    <row r="4490" spans="9:10">
      <c r="I4490" s="14"/>
      <c r="J4490" s="14"/>
    </row>
    <row r="4491" spans="9:10">
      <c r="I4491" s="14"/>
      <c r="J4491" s="14"/>
    </row>
    <row r="4492" spans="9:10">
      <c r="I4492" s="14"/>
      <c r="J4492" s="14"/>
    </row>
    <row r="4493" spans="9:10">
      <c r="I4493" s="14"/>
      <c r="J4493" s="14"/>
    </row>
    <row r="4494" spans="9:10">
      <c r="I4494" s="14"/>
      <c r="J4494" s="14"/>
    </row>
    <row r="4495" spans="9:10">
      <c r="I4495" s="14"/>
      <c r="J4495" s="14"/>
    </row>
    <row r="4496" spans="9:10">
      <c r="I4496" s="14"/>
      <c r="J4496" s="14"/>
    </row>
    <row r="4497" spans="9:10">
      <c r="I4497" s="14"/>
      <c r="J4497" s="14"/>
    </row>
    <row r="4498" spans="9:10">
      <c r="I4498" s="14"/>
      <c r="J4498" s="14"/>
    </row>
    <row r="4499" spans="9:10">
      <c r="I4499" s="14"/>
      <c r="J4499" s="14"/>
    </row>
    <row r="4500" spans="9:10">
      <c r="I4500" s="14"/>
      <c r="J4500" s="14"/>
    </row>
    <row r="4501" spans="9:10">
      <c r="I4501" s="14"/>
      <c r="J4501" s="14"/>
    </row>
    <row r="4502" spans="9:10">
      <c r="I4502" s="14"/>
      <c r="J4502" s="14"/>
    </row>
    <row r="4503" spans="9:10">
      <c r="I4503" s="14"/>
      <c r="J4503" s="14"/>
    </row>
    <row r="4504" spans="9:10">
      <c r="I4504" s="14"/>
      <c r="J4504" s="14"/>
    </row>
    <row r="4505" spans="9:10">
      <c r="I4505" s="14"/>
      <c r="J4505" s="14"/>
    </row>
    <row r="4506" spans="9:10">
      <c r="I4506" s="14"/>
      <c r="J4506" s="14"/>
    </row>
    <row r="4507" spans="9:10">
      <c r="I4507" s="14"/>
      <c r="J4507" s="14"/>
    </row>
    <row r="4508" spans="9:10">
      <c r="I4508" s="14"/>
      <c r="J4508" s="14"/>
    </row>
    <row r="4509" spans="9:10">
      <c r="I4509" s="14"/>
      <c r="J4509" s="14"/>
    </row>
    <row r="4510" spans="9:10">
      <c r="I4510" s="14"/>
      <c r="J4510" s="14"/>
    </row>
    <row r="4511" spans="9:10">
      <c r="I4511" s="14"/>
      <c r="J4511" s="14"/>
    </row>
    <row r="4512" spans="9:10">
      <c r="I4512" s="14"/>
      <c r="J4512" s="14"/>
    </row>
    <row r="4513" spans="9:10">
      <c r="I4513" s="14"/>
      <c r="J4513" s="14"/>
    </row>
    <row r="4514" spans="9:10">
      <c r="I4514" s="14"/>
      <c r="J4514" s="14"/>
    </row>
    <row r="4515" spans="9:10">
      <c r="I4515" s="14"/>
      <c r="J4515" s="14"/>
    </row>
    <row r="4516" spans="9:10">
      <c r="I4516" s="14"/>
      <c r="J4516" s="14"/>
    </row>
    <row r="4517" spans="9:10">
      <c r="I4517" s="14"/>
      <c r="J4517" s="14"/>
    </row>
    <row r="4518" spans="9:10">
      <c r="I4518" s="14"/>
      <c r="J4518" s="14"/>
    </row>
    <row r="4519" spans="9:10">
      <c r="I4519" s="14"/>
      <c r="J4519" s="14"/>
    </row>
    <row r="4520" spans="9:10">
      <c r="I4520" s="14"/>
      <c r="J4520" s="14"/>
    </row>
    <row r="4521" spans="9:10">
      <c r="I4521" s="14"/>
      <c r="J4521" s="14"/>
    </row>
    <row r="4522" spans="9:10">
      <c r="I4522" s="14"/>
      <c r="J4522" s="14"/>
    </row>
    <row r="4523" spans="9:10">
      <c r="I4523" s="14"/>
      <c r="J4523" s="14"/>
    </row>
    <row r="4524" spans="9:10">
      <c r="I4524" s="14"/>
      <c r="J4524" s="14"/>
    </row>
    <row r="4525" spans="9:10">
      <c r="I4525" s="14"/>
      <c r="J4525" s="14"/>
    </row>
    <row r="4526" spans="9:10">
      <c r="I4526" s="14"/>
      <c r="J4526" s="14"/>
    </row>
    <row r="4527" spans="9:10">
      <c r="I4527" s="14"/>
      <c r="J4527" s="14"/>
    </row>
    <row r="4528" spans="9:10">
      <c r="I4528" s="14"/>
      <c r="J4528" s="14"/>
    </row>
    <row r="4529" spans="9:10">
      <c r="I4529" s="14"/>
      <c r="J4529" s="14"/>
    </row>
    <row r="4530" spans="9:10">
      <c r="I4530" s="14"/>
      <c r="J4530" s="14"/>
    </row>
    <row r="4531" spans="9:10">
      <c r="I4531" s="14"/>
      <c r="J4531" s="14"/>
    </row>
    <row r="4532" spans="9:10">
      <c r="I4532" s="14"/>
      <c r="J4532" s="14"/>
    </row>
    <row r="4533" spans="9:10">
      <c r="I4533" s="14"/>
      <c r="J4533" s="14"/>
    </row>
    <row r="4534" spans="9:10">
      <c r="I4534" s="14"/>
      <c r="J4534" s="14"/>
    </row>
    <row r="4535" spans="9:10">
      <c r="I4535" s="14"/>
      <c r="J4535" s="14"/>
    </row>
    <row r="4536" spans="9:10">
      <c r="I4536" s="14"/>
      <c r="J4536" s="14"/>
    </row>
    <row r="4537" spans="9:10">
      <c r="I4537" s="14"/>
      <c r="J4537" s="14"/>
    </row>
    <row r="4538" spans="9:10">
      <c r="I4538" s="14"/>
      <c r="J4538" s="14"/>
    </row>
    <row r="4539" spans="9:10">
      <c r="I4539" s="14"/>
      <c r="J4539" s="14"/>
    </row>
    <row r="4540" spans="9:10">
      <c r="I4540" s="14"/>
      <c r="J4540" s="14"/>
    </row>
    <row r="4541" spans="9:10">
      <c r="I4541" s="14"/>
      <c r="J4541" s="14"/>
    </row>
    <row r="4542" spans="9:10">
      <c r="I4542" s="14"/>
      <c r="J4542" s="14"/>
    </row>
    <row r="4543" spans="9:10">
      <c r="I4543" s="14"/>
      <c r="J4543" s="14"/>
    </row>
    <row r="4544" spans="9:10">
      <c r="I4544" s="14"/>
      <c r="J4544" s="14"/>
    </row>
    <row r="4545" spans="9:10">
      <c r="I4545" s="14"/>
      <c r="J4545" s="14"/>
    </row>
    <row r="4546" spans="9:10">
      <c r="I4546" s="14"/>
      <c r="J4546" s="14"/>
    </row>
    <row r="4547" spans="9:10">
      <c r="I4547" s="14"/>
      <c r="J4547" s="14"/>
    </row>
    <row r="4548" spans="9:10">
      <c r="I4548" s="14"/>
      <c r="J4548" s="14"/>
    </row>
    <row r="4549" spans="9:10">
      <c r="I4549" s="14"/>
      <c r="J4549" s="14"/>
    </row>
    <row r="4550" spans="9:10">
      <c r="I4550" s="14"/>
      <c r="J4550" s="14"/>
    </row>
    <row r="4551" spans="9:10">
      <c r="I4551" s="14"/>
      <c r="J4551" s="14"/>
    </row>
    <row r="4552" spans="9:10">
      <c r="I4552" s="14"/>
      <c r="J4552" s="14"/>
    </row>
    <row r="4553" spans="9:10">
      <c r="I4553" s="14"/>
      <c r="J4553" s="14"/>
    </row>
    <row r="4554" spans="9:10">
      <c r="I4554" s="14"/>
      <c r="J4554" s="14"/>
    </row>
    <row r="4555" spans="9:10">
      <c r="I4555" s="14"/>
      <c r="J4555" s="14"/>
    </row>
    <row r="4556" spans="9:10">
      <c r="I4556" s="14"/>
      <c r="J4556" s="14"/>
    </row>
    <row r="4557" spans="9:10">
      <c r="I4557" s="14"/>
      <c r="J4557" s="14"/>
    </row>
    <row r="4558" spans="9:10">
      <c r="I4558" s="14"/>
      <c r="J4558" s="14"/>
    </row>
    <row r="4559" spans="9:10">
      <c r="I4559" s="14"/>
      <c r="J4559" s="14"/>
    </row>
    <row r="4560" spans="9:10">
      <c r="I4560" s="14"/>
      <c r="J4560" s="14"/>
    </row>
    <row r="4561" spans="9:10">
      <c r="I4561" s="14"/>
      <c r="J4561" s="14"/>
    </row>
    <row r="4562" spans="9:10">
      <c r="I4562" s="14"/>
      <c r="J4562" s="14"/>
    </row>
    <row r="4563" spans="9:10">
      <c r="I4563" s="14"/>
      <c r="J4563" s="14"/>
    </row>
    <row r="4564" spans="9:10">
      <c r="I4564" s="14"/>
      <c r="J4564" s="14"/>
    </row>
    <row r="4565" spans="9:10">
      <c r="I4565" s="14"/>
      <c r="J4565" s="14"/>
    </row>
    <row r="4566" spans="9:10">
      <c r="I4566" s="14"/>
      <c r="J4566" s="14"/>
    </row>
    <row r="4567" spans="9:10">
      <c r="I4567" s="14"/>
      <c r="J4567" s="14"/>
    </row>
    <row r="4568" spans="9:10">
      <c r="I4568" s="14"/>
      <c r="J4568" s="14"/>
    </row>
    <row r="4569" spans="9:10">
      <c r="I4569" s="14"/>
      <c r="J4569" s="14"/>
    </row>
    <row r="4570" spans="9:10">
      <c r="I4570" s="14"/>
      <c r="J4570" s="14"/>
    </row>
    <row r="4571" spans="9:10">
      <c r="I4571" s="14"/>
      <c r="J4571" s="14"/>
    </row>
    <row r="4572" spans="9:10">
      <c r="I4572" s="14"/>
      <c r="J4572" s="14"/>
    </row>
    <row r="4573" spans="9:10">
      <c r="I4573" s="14"/>
      <c r="J4573" s="14"/>
    </row>
    <row r="4574" spans="9:10">
      <c r="I4574" s="14"/>
      <c r="J4574" s="14"/>
    </row>
    <row r="4575" spans="9:10">
      <c r="I4575" s="14"/>
      <c r="J4575" s="14"/>
    </row>
    <row r="4576" spans="9:10">
      <c r="I4576" s="14"/>
      <c r="J4576" s="14"/>
    </row>
    <row r="4577" spans="9:10">
      <c r="I4577" s="14"/>
      <c r="J4577" s="14"/>
    </row>
    <row r="4578" spans="9:10">
      <c r="I4578" s="14"/>
      <c r="J4578" s="14"/>
    </row>
    <row r="4579" spans="9:10">
      <c r="I4579" s="14"/>
      <c r="J4579" s="14"/>
    </row>
    <row r="4580" spans="9:10">
      <c r="I4580" s="14"/>
      <c r="J4580" s="14"/>
    </row>
    <row r="4581" spans="9:10">
      <c r="I4581" s="14"/>
      <c r="J4581" s="14"/>
    </row>
    <row r="4582" spans="9:10">
      <c r="I4582" s="14"/>
      <c r="J4582" s="14"/>
    </row>
    <row r="4583" spans="9:10">
      <c r="I4583" s="14"/>
      <c r="J4583" s="14"/>
    </row>
    <row r="4584" spans="9:10">
      <c r="I4584" s="14"/>
      <c r="J4584" s="14"/>
    </row>
    <row r="4585" spans="9:10">
      <c r="I4585" s="14"/>
      <c r="J4585" s="14"/>
    </row>
    <row r="4586" spans="9:10">
      <c r="I4586" s="14"/>
      <c r="J4586" s="14"/>
    </row>
    <row r="4587" spans="9:10">
      <c r="I4587" s="14"/>
      <c r="J4587" s="14"/>
    </row>
    <row r="4588" spans="9:10">
      <c r="I4588" s="14"/>
      <c r="J4588" s="14"/>
    </row>
    <row r="4589" spans="9:10">
      <c r="I4589" s="14"/>
      <c r="J4589" s="14"/>
    </row>
    <row r="4590" spans="9:10">
      <c r="I4590" s="14"/>
      <c r="J4590" s="14"/>
    </row>
    <row r="4591" spans="9:10">
      <c r="I4591" s="14"/>
      <c r="J4591" s="14"/>
    </row>
    <row r="4592" spans="9:10">
      <c r="I4592" s="14"/>
      <c r="J4592" s="14"/>
    </row>
    <row r="4593" spans="9:10">
      <c r="I4593" s="14"/>
      <c r="J4593" s="14"/>
    </row>
    <row r="4594" spans="9:10">
      <c r="I4594" s="14"/>
      <c r="J4594" s="14"/>
    </row>
    <row r="4595" spans="9:10">
      <c r="I4595" s="14"/>
      <c r="J4595" s="14"/>
    </row>
    <row r="4596" spans="9:10">
      <c r="I4596" s="14"/>
      <c r="J4596" s="14"/>
    </row>
    <row r="4597" spans="9:10">
      <c r="I4597" s="14"/>
      <c r="J4597" s="14"/>
    </row>
    <row r="4598" spans="9:10">
      <c r="I4598" s="14"/>
      <c r="J4598" s="14"/>
    </row>
    <row r="4599" spans="9:10">
      <c r="I4599" s="14"/>
      <c r="J4599" s="14"/>
    </row>
    <row r="4600" spans="9:10">
      <c r="I4600" s="14"/>
      <c r="J4600" s="14"/>
    </row>
    <row r="4601" spans="9:10">
      <c r="I4601" s="14"/>
      <c r="J4601" s="14"/>
    </row>
    <row r="4602" spans="9:10">
      <c r="I4602" s="14"/>
      <c r="J4602" s="14"/>
    </row>
    <row r="4603" spans="9:10">
      <c r="I4603" s="14"/>
      <c r="J4603" s="14"/>
    </row>
    <row r="4604" spans="9:10">
      <c r="I4604" s="14"/>
      <c r="J4604" s="14"/>
    </row>
    <row r="4605" spans="9:10">
      <c r="I4605" s="14"/>
      <c r="J4605" s="14"/>
    </row>
    <row r="4606" spans="9:10">
      <c r="I4606" s="14"/>
      <c r="J4606" s="14"/>
    </row>
    <row r="4607" spans="9:10">
      <c r="I4607" s="14"/>
      <c r="J4607" s="14"/>
    </row>
    <row r="4608" spans="9:10">
      <c r="I4608" s="14"/>
      <c r="J4608" s="14"/>
    </row>
    <row r="4609" spans="9:10">
      <c r="I4609" s="14"/>
      <c r="J4609" s="14"/>
    </row>
    <row r="4610" spans="9:10">
      <c r="I4610" s="14"/>
      <c r="J4610" s="14"/>
    </row>
    <row r="4611" spans="9:10">
      <c r="I4611" s="14"/>
      <c r="J4611" s="14"/>
    </row>
    <row r="4612" spans="9:10">
      <c r="I4612" s="14"/>
      <c r="J4612" s="14"/>
    </row>
    <row r="4613" spans="9:10">
      <c r="I4613" s="14"/>
      <c r="J4613" s="14"/>
    </row>
    <row r="4614" spans="9:10">
      <c r="I4614" s="14"/>
      <c r="J4614" s="14"/>
    </row>
    <row r="4615" spans="9:10">
      <c r="I4615" s="14"/>
      <c r="J4615" s="14"/>
    </row>
    <row r="4616" spans="9:10">
      <c r="I4616" s="14"/>
      <c r="J4616" s="14"/>
    </row>
    <row r="4617" spans="9:10">
      <c r="I4617" s="14"/>
      <c r="J4617" s="14"/>
    </row>
    <row r="4618" spans="9:10">
      <c r="I4618" s="14"/>
      <c r="J4618" s="14"/>
    </row>
    <row r="4619" spans="9:10">
      <c r="I4619" s="14"/>
      <c r="J4619" s="14"/>
    </row>
    <row r="4620" spans="9:10">
      <c r="I4620" s="14"/>
      <c r="J4620" s="14"/>
    </row>
    <row r="4621" spans="9:10">
      <c r="I4621" s="14"/>
      <c r="J4621" s="14"/>
    </row>
    <row r="4622" spans="9:10">
      <c r="I4622" s="14"/>
      <c r="J4622" s="14"/>
    </row>
    <row r="4623" spans="9:10">
      <c r="I4623" s="14"/>
      <c r="J4623" s="14"/>
    </row>
    <row r="4624" spans="9:10">
      <c r="I4624" s="14"/>
      <c r="J4624" s="14"/>
    </row>
    <row r="4625" spans="9:10">
      <c r="I4625" s="14"/>
      <c r="J4625" s="14"/>
    </row>
    <row r="4626" spans="9:10">
      <c r="I4626" s="14"/>
      <c r="J4626" s="14"/>
    </row>
    <row r="4627" spans="9:10">
      <c r="I4627" s="14"/>
      <c r="J4627" s="14"/>
    </row>
    <row r="4628" spans="9:10">
      <c r="I4628" s="14"/>
      <c r="J4628" s="14"/>
    </row>
    <row r="4629" spans="9:10">
      <c r="I4629" s="14"/>
      <c r="J4629" s="14"/>
    </row>
    <row r="4630" spans="9:10">
      <c r="I4630" s="14"/>
      <c r="J4630" s="14"/>
    </row>
    <row r="4631" spans="9:10">
      <c r="I4631" s="14"/>
      <c r="J4631" s="14"/>
    </row>
    <row r="4632" spans="9:10">
      <c r="I4632" s="14"/>
      <c r="J4632" s="14"/>
    </row>
    <row r="4633" spans="9:10">
      <c r="I4633" s="14"/>
      <c r="J4633" s="14"/>
    </row>
    <row r="4634" spans="9:10">
      <c r="I4634" s="14"/>
      <c r="J4634" s="14"/>
    </row>
    <row r="4635" spans="9:10">
      <c r="I4635" s="14"/>
      <c r="J4635" s="14"/>
    </row>
    <row r="4636" spans="9:10">
      <c r="I4636" s="14"/>
      <c r="J4636" s="14"/>
    </row>
    <row r="4637" spans="9:10">
      <c r="I4637" s="14"/>
      <c r="J4637" s="14"/>
    </row>
    <row r="4638" spans="9:10">
      <c r="I4638" s="14"/>
      <c r="J4638" s="14"/>
    </row>
    <row r="4639" spans="9:10">
      <c r="I4639" s="14"/>
      <c r="J4639" s="14"/>
    </row>
    <row r="4640" spans="9:10">
      <c r="I4640" s="14"/>
      <c r="J4640" s="14"/>
    </row>
    <row r="4641" spans="9:10">
      <c r="I4641" s="14"/>
      <c r="J4641" s="14"/>
    </row>
    <row r="4642" spans="9:10">
      <c r="I4642" s="14"/>
      <c r="J4642" s="14"/>
    </row>
    <row r="4643" spans="9:10">
      <c r="I4643" s="14"/>
      <c r="J4643" s="14"/>
    </row>
    <row r="4644" spans="9:10">
      <c r="I4644" s="14"/>
      <c r="J4644" s="14"/>
    </row>
    <row r="4645" spans="9:10">
      <c r="I4645" s="14"/>
      <c r="J4645" s="14"/>
    </row>
    <row r="4646" spans="9:10">
      <c r="I4646" s="14"/>
      <c r="J4646" s="14"/>
    </row>
    <row r="4647" spans="9:10">
      <c r="I4647" s="14"/>
      <c r="J4647" s="14"/>
    </row>
    <row r="4648" spans="9:10">
      <c r="I4648" s="14"/>
      <c r="J4648" s="14"/>
    </row>
    <row r="4649" spans="9:10">
      <c r="I4649" s="14"/>
      <c r="J4649" s="14"/>
    </row>
    <row r="4650" spans="9:10">
      <c r="I4650" s="14"/>
      <c r="J4650" s="14"/>
    </row>
    <row r="4651" spans="9:10">
      <c r="I4651" s="14"/>
      <c r="J4651" s="14"/>
    </row>
    <row r="4652" spans="9:10">
      <c r="I4652" s="14"/>
      <c r="J4652" s="14"/>
    </row>
    <row r="4653" spans="9:10">
      <c r="I4653" s="14"/>
      <c r="J4653" s="14"/>
    </row>
    <row r="4654" spans="9:10">
      <c r="I4654" s="14"/>
      <c r="J4654" s="14"/>
    </row>
    <row r="4655" spans="9:10">
      <c r="I4655" s="14"/>
      <c r="J4655" s="14"/>
    </row>
    <row r="4656" spans="9:10">
      <c r="I4656" s="14"/>
      <c r="J4656" s="14"/>
    </row>
    <row r="4657" spans="9:10">
      <c r="I4657" s="14"/>
      <c r="J4657" s="14"/>
    </row>
    <row r="4658" spans="9:10">
      <c r="I4658" s="14"/>
      <c r="J4658" s="14"/>
    </row>
    <row r="4659" spans="9:10">
      <c r="I4659" s="14"/>
      <c r="J4659" s="14"/>
    </row>
    <row r="4660" spans="9:10">
      <c r="I4660" s="14"/>
      <c r="J4660" s="14"/>
    </row>
    <row r="4661" spans="9:10">
      <c r="I4661" s="14"/>
      <c r="J4661" s="14"/>
    </row>
    <row r="4662" spans="9:10">
      <c r="I4662" s="14"/>
      <c r="J4662" s="14"/>
    </row>
    <row r="4663" spans="9:10">
      <c r="I4663" s="14"/>
      <c r="J4663" s="14"/>
    </row>
    <row r="4664" spans="9:10">
      <c r="I4664" s="14"/>
      <c r="J4664" s="14"/>
    </row>
    <row r="4665" spans="9:10">
      <c r="I4665" s="14"/>
      <c r="J4665" s="14"/>
    </row>
    <row r="4666" spans="9:10">
      <c r="I4666" s="14"/>
      <c r="J4666" s="14"/>
    </row>
    <row r="4667" spans="9:10">
      <c r="I4667" s="14"/>
      <c r="J4667" s="14"/>
    </row>
    <row r="4668" spans="9:10">
      <c r="I4668" s="14"/>
      <c r="J4668" s="14"/>
    </row>
    <row r="4669" spans="9:10">
      <c r="I4669" s="14"/>
      <c r="J4669" s="14"/>
    </row>
    <row r="4670" spans="9:10">
      <c r="I4670" s="14"/>
      <c r="J4670" s="14"/>
    </row>
    <row r="4671" spans="9:10">
      <c r="I4671" s="14"/>
      <c r="J4671" s="14"/>
    </row>
    <row r="4672" spans="9:10">
      <c r="I4672" s="14"/>
      <c r="J4672" s="14"/>
    </row>
    <row r="4673" spans="9:10">
      <c r="I4673" s="14"/>
      <c r="J4673" s="14"/>
    </row>
    <row r="4674" spans="9:10">
      <c r="I4674" s="14"/>
      <c r="J4674" s="14"/>
    </row>
    <row r="4675" spans="9:10">
      <c r="I4675" s="14"/>
      <c r="J4675" s="14"/>
    </row>
    <row r="4676" spans="9:10">
      <c r="I4676" s="14"/>
      <c r="J4676" s="14"/>
    </row>
    <row r="4677" spans="9:10">
      <c r="I4677" s="14"/>
      <c r="J4677" s="14"/>
    </row>
    <row r="4678" spans="9:10">
      <c r="I4678" s="14"/>
      <c r="J4678" s="14"/>
    </row>
    <row r="4679" spans="9:10">
      <c r="I4679" s="14"/>
      <c r="J4679" s="14"/>
    </row>
    <row r="4680" spans="9:10">
      <c r="I4680" s="14"/>
      <c r="J4680" s="14"/>
    </row>
    <row r="4681" spans="9:10">
      <c r="I4681" s="14"/>
      <c r="J4681" s="14"/>
    </row>
    <row r="4682" spans="9:10">
      <c r="I4682" s="14"/>
      <c r="J4682" s="14"/>
    </row>
    <row r="4683" spans="9:10">
      <c r="I4683" s="14"/>
      <c r="J4683" s="14"/>
    </row>
    <row r="4684" spans="9:10">
      <c r="I4684" s="14"/>
      <c r="J4684" s="14"/>
    </row>
    <row r="4685" spans="9:10">
      <c r="I4685" s="14"/>
      <c r="J4685" s="14"/>
    </row>
    <row r="4686" spans="9:10">
      <c r="I4686" s="14"/>
      <c r="J4686" s="14"/>
    </row>
    <row r="4687" spans="9:10">
      <c r="I4687" s="14"/>
      <c r="J4687" s="14"/>
    </row>
    <row r="4688" spans="9:10">
      <c r="I4688" s="14"/>
      <c r="J4688" s="14"/>
    </row>
    <row r="4689" spans="9:10">
      <c r="I4689" s="14"/>
      <c r="J4689" s="14"/>
    </row>
    <row r="4690" spans="9:10">
      <c r="I4690" s="14"/>
      <c r="J4690" s="14"/>
    </row>
    <row r="4691" spans="9:10">
      <c r="I4691" s="14"/>
      <c r="J4691" s="14"/>
    </row>
    <row r="4692" spans="9:10">
      <c r="I4692" s="14"/>
      <c r="J4692" s="14"/>
    </row>
    <row r="4693" spans="9:10">
      <c r="I4693" s="14"/>
      <c r="J4693" s="14"/>
    </row>
    <row r="4694" spans="9:10">
      <c r="I4694" s="14"/>
      <c r="J4694" s="14"/>
    </row>
    <row r="4695" spans="9:10">
      <c r="I4695" s="14"/>
      <c r="J4695" s="14"/>
    </row>
    <row r="4696" spans="9:10">
      <c r="I4696" s="14"/>
      <c r="J4696" s="14"/>
    </row>
    <row r="4697" spans="9:10">
      <c r="I4697" s="14"/>
      <c r="J4697" s="14"/>
    </row>
    <row r="4698" spans="9:10">
      <c r="I4698" s="14"/>
      <c r="J4698" s="14"/>
    </row>
    <row r="4699" spans="9:10">
      <c r="I4699" s="14"/>
      <c r="J4699" s="14"/>
    </row>
    <row r="4700" spans="9:10">
      <c r="I4700" s="14"/>
      <c r="J4700" s="14"/>
    </row>
    <row r="4701" spans="9:10">
      <c r="I4701" s="14"/>
      <c r="J4701" s="14"/>
    </row>
    <row r="4702" spans="9:10">
      <c r="I4702" s="14"/>
      <c r="J4702" s="14"/>
    </row>
    <row r="4703" spans="9:10">
      <c r="I4703" s="14"/>
      <c r="J4703" s="14"/>
    </row>
    <row r="4704" spans="9:10">
      <c r="I4704" s="14"/>
      <c r="J4704" s="14"/>
    </row>
    <row r="4705" spans="9:10">
      <c r="I4705" s="14"/>
      <c r="J4705" s="14"/>
    </row>
    <row r="4706" spans="9:10">
      <c r="I4706" s="14"/>
      <c r="J4706" s="14"/>
    </row>
    <row r="4707" spans="9:10">
      <c r="I4707" s="14"/>
      <c r="J4707" s="14"/>
    </row>
    <row r="4708" spans="9:10">
      <c r="I4708" s="14"/>
      <c r="J4708" s="14"/>
    </row>
    <row r="4709" spans="9:10">
      <c r="I4709" s="14"/>
      <c r="J4709" s="14"/>
    </row>
    <row r="4710" spans="9:10">
      <c r="I4710" s="14"/>
      <c r="J4710" s="14"/>
    </row>
    <row r="4711" spans="9:10">
      <c r="I4711" s="14"/>
      <c r="J4711" s="14"/>
    </row>
    <row r="4712" spans="9:10">
      <c r="I4712" s="14"/>
      <c r="J4712" s="14"/>
    </row>
    <row r="4713" spans="9:10">
      <c r="I4713" s="14"/>
      <c r="J4713" s="14"/>
    </row>
    <row r="4714" spans="9:10">
      <c r="I4714" s="14"/>
      <c r="J4714" s="14"/>
    </row>
    <row r="4715" spans="9:10">
      <c r="I4715" s="14"/>
      <c r="J4715" s="14"/>
    </row>
    <row r="4716" spans="9:10">
      <c r="I4716" s="14"/>
      <c r="J4716" s="14"/>
    </row>
    <row r="4717" spans="9:10">
      <c r="I4717" s="14"/>
      <c r="J4717" s="14"/>
    </row>
    <row r="4718" spans="9:10">
      <c r="I4718" s="14"/>
      <c r="J4718" s="14"/>
    </row>
    <row r="4719" spans="9:10">
      <c r="I4719" s="14"/>
      <c r="J4719" s="14"/>
    </row>
    <row r="4720" spans="9:10">
      <c r="I4720" s="14"/>
      <c r="J4720" s="14"/>
    </row>
    <row r="4721" spans="9:10">
      <c r="I4721" s="14"/>
      <c r="J4721" s="14"/>
    </row>
    <row r="4722" spans="9:10">
      <c r="I4722" s="14"/>
      <c r="J4722" s="14"/>
    </row>
    <row r="4723" spans="9:10">
      <c r="I4723" s="14"/>
      <c r="J4723" s="14"/>
    </row>
    <row r="4724" spans="9:10">
      <c r="I4724" s="14"/>
      <c r="J4724" s="14"/>
    </row>
    <row r="4725" spans="9:10">
      <c r="I4725" s="14"/>
      <c r="J4725" s="14"/>
    </row>
    <row r="4726" spans="9:10">
      <c r="I4726" s="14"/>
      <c r="J4726" s="14"/>
    </row>
    <row r="4727" spans="9:10">
      <c r="I4727" s="14"/>
      <c r="J4727" s="14"/>
    </row>
    <row r="4728" spans="9:10">
      <c r="I4728" s="14"/>
      <c r="J4728" s="14"/>
    </row>
    <row r="4729" spans="9:10">
      <c r="I4729" s="14"/>
      <c r="J4729" s="14"/>
    </row>
    <row r="4730" spans="9:10">
      <c r="I4730" s="14"/>
      <c r="J4730" s="14"/>
    </row>
    <row r="4731" spans="9:10">
      <c r="I4731" s="14"/>
      <c r="J4731" s="14"/>
    </row>
    <row r="4732" spans="9:10">
      <c r="I4732" s="14"/>
      <c r="J4732" s="14"/>
    </row>
    <row r="4733" spans="9:10">
      <c r="I4733" s="14"/>
      <c r="J4733" s="14"/>
    </row>
    <row r="4734" spans="9:10">
      <c r="I4734" s="14"/>
      <c r="J4734" s="14"/>
    </row>
    <row r="4735" spans="9:10">
      <c r="I4735" s="14"/>
      <c r="J4735" s="14"/>
    </row>
    <row r="4736" spans="9:10">
      <c r="I4736" s="14"/>
      <c r="J4736" s="14"/>
    </row>
    <row r="4737" spans="9:10">
      <c r="I4737" s="14"/>
      <c r="J4737" s="14"/>
    </row>
    <row r="4738" spans="9:10">
      <c r="I4738" s="14"/>
      <c r="J4738" s="14"/>
    </row>
    <row r="4739" spans="9:10">
      <c r="I4739" s="14"/>
      <c r="J4739" s="14"/>
    </row>
    <row r="4740" spans="9:10">
      <c r="I4740" s="14"/>
      <c r="J4740" s="14"/>
    </row>
    <row r="4741" spans="9:10">
      <c r="I4741" s="14"/>
      <c r="J4741" s="14"/>
    </row>
    <row r="4742" spans="9:10">
      <c r="I4742" s="14"/>
      <c r="J4742" s="14"/>
    </row>
    <row r="4743" spans="9:10">
      <c r="I4743" s="14"/>
      <c r="J4743" s="14"/>
    </row>
    <row r="4744" spans="9:10">
      <c r="I4744" s="14"/>
      <c r="J4744" s="14"/>
    </row>
    <row r="4745" spans="9:10">
      <c r="I4745" s="14"/>
      <c r="J4745" s="14"/>
    </row>
    <row r="4746" spans="9:10">
      <c r="I4746" s="14"/>
      <c r="J4746" s="14"/>
    </row>
    <row r="4747" spans="9:10">
      <c r="I4747" s="14"/>
      <c r="J4747" s="14"/>
    </row>
    <row r="4748" spans="9:10">
      <c r="I4748" s="14"/>
      <c r="J4748" s="14"/>
    </row>
    <row r="4749" spans="9:10">
      <c r="I4749" s="14"/>
      <c r="J4749" s="14"/>
    </row>
    <row r="4750" spans="9:10">
      <c r="I4750" s="14"/>
      <c r="J4750" s="14"/>
    </row>
    <row r="4751" spans="9:10">
      <c r="I4751" s="14"/>
      <c r="J4751" s="14"/>
    </row>
    <row r="4752" spans="9:10">
      <c r="I4752" s="14"/>
      <c r="J4752" s="14"/>
    </row>
    <row r="4753" spans="9:10">
      <c r="I4753" s="14"/>
      <c r="J4753" s="14"/>
    </row>
    <row r="4754" spans="9:10">
      <c r="I4754" s="14"/>
      <c r="J4754" s="14"/>
    </row>
    <row r="4755" spans="9:10">
      <c r="I4755" s="14"/>
      <c r="J4755" s="14"/>
    </row>
    <row r="4756" spans="9:10">
      <c r="I4756" s="14"/>
      <c r="J4756" s="14"/>
    </row>
    <row r="4757" spans="9:10">
      <c r="I4757" s="14"/>
      <c r="J4757" s="14"/>
    </row>
    <row r="4758" spans="9:10">
      <c r="I4758" s="14"/>
      <c r="J4758" s="14"/>
    </row>
    <row r="4759" spans="9:10">
      <c r="I4759" s="14"/>
      <c r="J4759" s="14"/>
    </row>
    <row r="4760" spans="9:10">
      <c r="I4760" s="14"/>
      <c r="J4760" s="14"/>
    </row>
    <row r="4761" spans="9:10">
      <c r="I4761" s="14"/>
      <c r="J4761" s="14"/>
    </row>
    <row r="4762" spans="9:10">
      <c r="I4762" s="14"/>
      <c r="J4762" s="14"/>
    </row>
    <row r="4763" spans="9:10">
      <c r="I4763" s="14"/>
      <c r="J4763" s="14"/>
    </row>
    <row r="4764" spans="9:10">
      <c r="I4764" s="14"/>
      <c r="J4764" s="14"/>
    </row>
    <row r="4765" spans="9:10">
      <c r="I4765" s="14"/>
      <c r="J4765" s="14"/>
    </row>
    <row r="4766" spans="9:10">
      <c r="I4766" s="14"/>
      <c r="J4766" s="14"/>
    </row>
    <row r="4767" spans="9:10">
      <c r="I4767" s="14"/>
      <c r="J4767" s="14"/>
    </row>
    <row r="4768" spans="9:10">
      <c r="I4768" s="14"/>
      <c r="J4768" s="14"/>
    </row>
    <row r="4769" spans="9:10">
      <c r="I4769" s="14"/>
      <c r="J4769" s="14"/>
    </row>
    <row r="4770" spans="9:10">
      <c r="I4770" s="14"/>
      <c r="J4770" s="14"/>
    </row>
    <row r="4771" spans="9:10">
      <c r="I4771" s="14"/>
      <c r="J4771" s="14"/>
    </row>
    <row r="4772" spans="9:10">
      <c r="I4772" s="14"/>
      <c r="J4772" s="14"/>
    </row>
    <row r="4773" spans="9:10">
      <c r="I4773" s="14"/>
      <c r="J4773" s="14"/>
    </row>
    <row r="4774" spans="9:10">
      <c r="I4774" s="14"/>
      <c r="J4774" s="14"/>
    </row>
    <row r="4775" spans="9:10">
      <c r="I4775" s="14"/>
      <c r="J4775" s="14"/>
    </row>
    <row r="4776" spans="9:10">
      <c r="I4776" s="14"/>
      <c r="J4776" s="14"/>
    </row>
    <row r="4777" spans="9:10">
      <c r="I4777" s="14"/>
      <c r="J4777" s="14"/>
    </row>
    <row r="4778" spans="9:10">
      <c r="I4778" s="14"/>
      <c r="J4778" s="14"/>
    </row>
    <row r="4779" spans="9:10">
      <c r="I4779" s="14"/>
      <c r="J4779" s="14"/>
    </row>
    <row r="4780" spans="9:10">
      <c r="I4780" s="14"/>
      <c r="J4780" s="14"/>
    </row>
    <row r="4781" spans="9:10">
      <c r="I4781" s="14"/>
      <c r="J4781" s="14"/>
    </row>
    <row r="4782" spans="9:10">
      <c r="I4782" s="14"/>
      <c r="J4782" s="14"/>
    </row>
    <row r="4783" spans="9:10">
      <c r="I4783" s="14"/>
      <c r="J4783" s="14"/>
    </row>
    <row r="4784" spans="9:10">
      <c r="I4784" s="14"/>
      <c r="J4784" s="14"/>
    </row>
    <row r="4785" spans="9:10">
      <c r="I4785" s="14"/>
      <c r="J4785" s="14"/>
    </row>
    <row r="4786" spans="9:10">
      <c r="I4786" s="14"/>
      <c r="J4786" s="14"/>
    </row>
    <row r="4787" spans="9:10">
      <c r="I4787" s="14"/>
      <c r="J4787" s="14"/>
    </row>
    <row r="4788" spans="9:10">
      <c r="I4788" s="14"/>
      <c r="J4788" s="14"/>
    </row>
    <row r="4789" spans="9:10">
      <c r="I4789" s="14"/>
      <c r="J4789" s="14"/>
    </row>
    <row r="4790" spans="9:10">
      <c r="I4790" s="14"/>
      <c r="J4790" s="14"/>
    </row>
    <row r="4791" spans="9:10">
      <c r="I4791" s="14"/>
      <c r="J4791" s="14"/>
    </row>
    <row r="4792" spans="9:10">
      <c r="I4792" s="14"/>
      <c r="J4792" s="14"/>
    </row>
    <row r="4793" spans="9:10">
      <c r="I4793" s="14"/>
      <c r="J4793" s="14"/>
    </row>
    <row r="4794" spans="9:10">
      <c r="I4794" s="14"/>
      <c r="J4794" s="14"/>
    </row>
    <row r="4795" spans="9:10">
      <c r="I4795" s="14"/>
      <c r="J4795" s="14"/>
    </row>
    <row r="4796" spans="9:10">
      <c r="I4796" s="14"/>
      <c r="J4796" s="14"/>
    </row>
    <row r="4797" spans="9:10">
      <c r="I4797" s="14"/>
      <c r="J4797" s="14"/>
    </row>
    <row r="4798" spans="9:10">
      <c r="I4798" s="14"/>
      <c r="J4798" s="14"/>
    </row>
    <row r="4799" spans="9:10">
      <c r="I4799" s="14"/>
      <c r="J4799" s="14"/>
    </row>
    <row r="4800" spans="9:10">
      <c r="I4800" s="14"/>
      <c r="J4800" s="14"/>
    </row>
    <row r="4801" spans="9:10">
      <c r="I4801" s="14"/>
      <c r="J4801" s="14"/>
    </row>
    <row r="4802" spans="9:10">
      <c r="I4802" s="14"/>
      <c r="J4802" s="14"/>
    </row>
    <row r="4803" spans="9:10">
      <c r="I4803" s="14"/>
      <c r="J4803" s="14"/>
    </row>
    <row r="4804" spans="9:10">
      <c r="I4804" s="14"/>
      <c r="J4804" s="14"/>
    </row>
    <row r="4805" spans="9:10">
      <c r="I4805" s="14"/>
      <c r="J4805" s="14"/>
    </row>
    <row r="4806" spans="9:10">
      <c r="I4806" s="14"/>
      <c r="J4806" s="14"/>
    </row>
    <row r="4807" spans="9:10">
      <c r="I4807" s="14"/>
      <c r="J4807" s="14"/>
    </row>
    <row r="4808" spans="9:10">
      <c r="I4808" s="14"/>
      <c r="J4808" s="14"/>
    </row>
    <row r="4809" spans="9:10">
      <c r="I4809" s="14"/>
      <c r="J4809" s="14"/>
    </row>
    <row r="4810" spans="9:10">
      <c r="I4810" s="14"/>
      <c r="J4810" s="14"/>
    </row>
    <row r="4811" spans="9:10">
      <c r="I4811" s="14"/>
      <c r="J4811" s="14"/>
    </row>
    <row r="4812" spans="9:10">
      <c r="I4812" s="14"/>
      <c r="J4812" s="14"/>
    </row>
    <row r="4813" spans="9:10">
      <c r="I4813" s="14"/>
      <c r="J4813" s="14"/>
    </row>
    <row r="4814" spans="9:10">
      <c r="I4814" s="14"/>
      <c r="J4814" s="14"/>
    </row>
    <row r="4815" spans="9:10">
      <c r="I4815" s="14"/>
      <c r="J4815" s="14"/>
    </row>
    <row r="4816" spans="9:10">
      <c r="I4816" s="14"/>
      <c r="J4816" s="14"/>
    </row>
    <row r="4817" spans="9:10">
      <c r="I4817" s="14"/>
      <c r="J4817" s="14"/>
    </row>
    <row r="4818" spans="9:10">
      <c r="I4818" s="14"/>
      <c r="J4818" s="14"/>
    </row>
    <row r="4819" spans="9:10">
      <c r="I4819" s="14"/>
      <c r="J4819" s="14"/>
    </row>
    <row r="4820" spans="9:10">
      <c r="I4820" s="14"/>
      <c r="J4820" s="14"/>
    </row>
    <row r="4821" spans="9:10">
      <c r="I4821" s="14"/>
      <c r="J4821" s="14"/>
    </row>
    <row r="4822" spans="9:10">
      <c r="I4822" s="14"/>
      <c r="J4822" s="14"/>
    </row>
    <row r="4823" spans="9:10">
      <c r="I4823" s="14"/>
      <c r="J4823" s="14"/>
    </row>
    <row r="4824" spans="9:10">
      <c r="I4824" s="14"/>
      <c r="J4824" s="14"/>
    </row>
    <row r="4825" spans="9:10">
      <c r="I4825" s="14"/>
      <c r="J4825" s="14"/>
    </row>
    <row r="4826" spans="9:10">
      <c r="I4826" s="14"/>
      <c r="J4826" s="14"/>
    </row>
    <row r="4827" spans="9:10">
      <c r="I4827" s="14"/>
      <c r="J4827" s="14"/>
    </row>
    <row r="4828" spans="9:10">
      <c r="I4828" s="14"/>
      <c r="J4828" s="14"/>
    </row>
    <row r="4829" spans="9:10">
      <c r="I4829" s="14"/>
      <c r="J4829" s="14"/>
    </row>
    <row r="4830" spans="9:10">
      <c r="I4830" s="14"/>
      <c r="J4830" s="14"/>
    </row>
    <row r="4831" spans="9:10">
      <c r="I4831" s="14"/>
      <c r="J4831" s="14"/>
    </row>
    <row r="4832" spans="9:10">
      <c r="I4832" s="14"/>
      <c r="J4832" s="14"/>
    </row>
    <row r="4833" spans="9:10">
      <c r="I4833" s="14"/>
      <c r="J4833" s="14"/>
    </row>
    <row r="4834" spans="9:10">
      <c r="I4834" s="14"/>
      <c r="J4834" s="14"/>
    </row>
    <row r="4835" spans="9:10">
      <c r="I4835" s="14"/>
      <c r="J4835" s="14"/>
    </row>
    <row r="4836" spans="9:10">
      <c r="I4836" s="14"/>
      <c r="J4836" s="14"/>
    </row>
    <row r="4837" spans="9:10">
      <c r="I4837" s="14"/>
      <c r="J4837" s="14"/>
    </row>
    <row r="4838" spans="9:10">
      <c r="I4838" s="14"/>
      <c r="J4838" s="14"/>
    </row>
    <row r="4839" spans="9:10">
      <c r="I4839" s="14"/>
      <c r="J4839" s="14"/>
    </row>
    <row r="4840" spans="9:10">
      <c r="I4840" s="14"/>
      <c r="J4840" s="14"/>
    </row>
    <row r="4841" spans="9:10">
      <c r="I4841" s="14"/>
      <c r="J4841" s="14"/>
    </row>
    <row r="4842" spans="9:10">
      <c r="I4842" s="14"/>
      <c r="J4842" s="14"/>
    </row>
    <row r="4843" spans="9:10">
      <c r="I4843" s="14"/>
      <c r="J4843" s="14"/>
    </row>
    <row r="4844" spans="9:10">
      <c r="I4844" s="14"/>
      <c r="J4844" s="14"/>
    </row>
    <row r="4845" spans="9:10">
      <c r="I4845" s="14"/>
      <c r="J4845" s="14"/>
    </row>
    <row r="4846" spans="9:10">
      <c r="I4846" s="14"/>
      <c r="J4846" s="14"/>
    </row>
    <row r="4847" spans="9:10">
      <c r="I4847" s="14"/>
      <c r="J4847" s="14"/>
    </row>
    <row r="4848" spans="9:10">
      <c r="I4848" s="14"/>
      <c r="J4848" s="14"/>
    </row>
    <row r="4849" spans="9:10">
      <c r="I4849" s="14"/>
      <c r="J4849" s="14"/>
    </row>
    <row r="4850" spans="9:10">
      <c r="I4850" s="14"/>
      <c r="J4850" s="14"/>
    </row>
    <row r="4851" spans="9:10">
      <c r="I4851" s="14"/>
      <c r="J4851" s="14"/>
    </row>
    <row r="4852" spans="9:10">
      <c r="I4852" s="14"/>
      <c r="J4852" s="14"/>
    </row>
    <row r="4853" spans="9:10">
      <c r="I4853" s="14"/>
      <c r="J4853" s="14"/>
    </row>
    <row r="4854" spans="9:10">
      <c r="I4854" s="14"/>
      <c r="J4854" s="14"/>
    </row>
    <row r="4855" spans="9:10">
      <c r="I4855" s="14"/>
      <c r="J4855" s="14"/>
    </row>
    <row r="4856" spans="9:10">
      <c r="I4856" s="14"/>
      <c r="J4856" s="14"/>
    </row>
    <row r="4857" spans="9:10">
      <c r="I4857" s="14"/>
      <c r="J4857" s="14"/>
    </row>
    <row r="4858" spans="9:10">
      <c r="I4858" s="14"/>
      <c r="J4858" s="14"/>
    </row>
    <row r="4859" spans="9:10">
      <c r="I4859" s="14"/>
      <c r="J4859" s="14"/>
    </row>
    <row r="4860" spans="9:10">
      <c r="I4860" s="14"/>
      <c r="J4860" s="14"/>
    </row>
    <row r="4861" spans="9:10">
      <c r="I4861" s="14"/>
      <c r="J4861" s="14"/>
    </row>
    <row r="4862" spans="9:10">
      <c r="I4862" s="14"/>
      <c r="J4862" s="14"/>
    </row>
    <row r="4863" spans="9:10">
      <c r="I4863" s="14"/>
      <c r="J4863" s="14"/>
    </row>
    <row r="4864" spans="9:10">
      <c r="I4864" s="14"/>
      <c r="J4864" s="14"/>
    </row>
    <row r="4865" spans="9:10">
      <c r="I4865" s="14"/>
      <c r="J4865" s="14"/>
    </row>
    <row r="4866" spans="9:10">
      <c r="I4866" s="14"/>
      <c r="J4866" s="14"/>
    </row>
    <row r="4867" spans="9:10">
      <c r="I4867" s="14"/>
      <c r="J4867" s="14"/>
    </row>
    <row r="4868" spans="9:10">
      <c r="I4868" s="14"/>
      <c r="J4868" s="14"/>
    </row>
    <row r="4869" spans="9:10">
      <c r="I4869" s="14"/>
      <c r="J4869" s="14"/>
    </row>
    <row r="4870" spans="9:10">
      <c r="I4870" s="14"/>
      <c r="J4870" s="14"/>
    </row>
    <row r="4871" spans="9:10">
      <c r="I4871" s="14"/>
      <c r="J4871" s="14"/>
    </row>
    <row r="4872" spans="9:10">
      <c r="I4872" s="14"/>
      <c r="J4872" s="14"/>
    </row>
    <row r="4873" spans="9:10">
      <c r="I4873" s="14"/>
      <c r="J4873" s="14"/>
    </row>
    <row r="4874" spans="9:10">
      <c r="I4874" s="14"/>
      <c r="J4874" s="14"/>
    </row>
    <row r="4875" spans="9:10">
      <c r="I4875" s="14"/>
      <c r="J4875" s="14"/>
    </row>
    <row r="4876" spans="9:10">
      <c r="I4876" s="14"/>
      <c r="J4876" s="14"/>
    </row>
    <row r="4877" spans="9:10">
      <c r="I4877" s="14"/>
      <c r="J4877" s="14"/>
    </row>
    <row r="4878" spans="9:10">
      <c r="I4878" s="14"/>
      <c r="J4878" s="14"/>
    </row>
    <row r="4879" spans="9:10">
      <c r="I4879" s="14"/>
      <c r="J4879" s="14"/>
    </row>
    <row r="4880" spans="9:10">
      <c r="I4880" s="14"/>
      <c r="J4880" s="14"/>
    </row>
    <row r="4881" spans="9:10">
      <c r="I4881" s="14"/>
      <c r="J4881" s="14"/>
    </row>
    <row r="4882" spans="9:10">
      <c r="I4882" s="14"/>
      <c r="J4882" s="14"/>
    </row>
    <row r="4883" spans="9:10">
      <c r="I4883" s="14"/>
      <c r="J4883" s="14"/>
    </row>
    <row r="4884" spans="9:10">
      <c r="I4884" s="14"/>
      <c r="J4884" s="14"/>
    </row>
    <row r="4885" spans="9:10">
      <c r="I4885" s="14"/>
      <c r="J4885" s="14"/>
    </row>
    <row r="4886" spans="9:10">
      <c r="I4886" s="14"/>
      <c r="J4886" s="14"/>
    </row>
    <row r="4887" spans="9:10">
      <c r="I4887" s="14"/>
      <c r="J4887" s="14"/>
    </row>
    <row r="4888" spans="9:10">
      <c r="I4888" s="14"/>
      <c r="J4888" s="14"/>
    </row>
    <row r="4889" spans="9:10">
      <c r="I4889" s="14"/>
      <c r="J4889" s="14"/>
    </row>
    <row r="4890" spans="9:10">
      <c r="I4890" s="14"/>
      <c r="J4890" s="14"/>
    </row>
    <row r="4891" spans="9:10">
      <c r="I4891" s="14"/>
      <c r="J4891" s="14"/>
    </row>
    <row r="4892" spans="9:10">
      <c r="I4892" s="14"/>
      <c r="J4892" s="14"/>
    </row>
    <row r="4893" spans="9:10">
      <c r="I4893" s="14"/>
      <c r="J4893" s="14"/>
    </row>
    <row r="4894" spans="9:10">
      <c r="I4894" s="14"/>
      <c r="J4894" s="14"/>
    </row>
    <row r="4895" spans="9:10">
      <c r="I4895" s="14"/>
      <c r="J4895" s="14"/>
    </row>
    <row r="4896" spans="9:10">
      <c r="I4896" s="14"/>
      <c r="J4896" s="14"/>
    </row>
    <row r="4897" spans="9:10">
      <c r="I4897" s="14"/>
      <c r="J4897" s="14"/>
    </row>
    <row r="4898" spans="9:10">
      <c r="I4898" s="14"/>
      <c r="J4898" s="14"/>
    </row>
    <row r="4899" spans="9:10">
      <c r="I4899" s="14"/>
      <c r="J4899" s="14"/>
    </row>
    <row r="4900" spans="9:10">
      <c r="I4900" s="14"/>
      <c r="J4900" s="14"/>
    </row>
    <row r="4901" spans="9:10">
      <c r="I4901" s="14"/>
      <c r="J4901" s="14"/>
    </row>
    <row r="4902" spans="9:10">
      <c r="I4902" s="14"/>
      <c r="J4902" s="14"/>
    </row>
    <row r="4903" spans="9:10">
      <c r="I4903" s="14"/>
      <c r="J4903" s="14"/>
    </row>
    <row r="4904" spans="9:10">
      <c r="I4904" s="14"/>
      <c r="J4904" s="14"/>
    </row>
    <row r="4905" spans="9:10">
      <c r="I4905" s="14"/>
      <c r="J4905" s="14"/>
    </row>
    <row r="4906" spans="9:10">
      <c r="I4906" s="14"/>
      <c r="J4906" s="14"/>
    </row>
    <row r="4907" spans="9:10">
      <c r="I4907" s="14"/>
      <c r="J4907" s="14"/>
    </row>
    <row r="4908" spans="9:10">
      <c r="I4908" s="14"/>
      <c r="J4908" s="14"/>
    </row>
    <row r="4909" spans="9:10">
      <c r="I4909" s="14"/>
      <c r="J4909" s="14"/>
    </row>
    <row r="4910" spans="9:10">
      <c r="I4910" s="14"/>
      <c r="J4910" s="14"/>
    </row>
    <row r="4911" spans="9:10">
      <c r="I4911" s="14"/>
      <c r="J4911" s="14"/>
    </row>
    <row r="4912" spans="9:10">
      <c r="I4912" s="14"/>
      <c r="J4912" s="14"/>
    </row>
    <row r="4913" spans="9:10">
      <c r="I4913" s="14"/>
      <c r="J4913" s="14"/>
    </row>
    <row r="4914" spans="9:10">
      <c r="I4914" s="14"/>
      <c r="J4914" s="14"/>
    </row>
    <row r="4915" spans="9:10">
      <c r="I4915" s="14"/>
      <c r="J4915" s="14"/>
    </row>
    <row r="4916" spans="9:10">
      <c r="I4916" s="14"/>
      <c r="J4916" s="14"/>
    </row>
    <row r="4917" spans="9:10">
      <c r="I4917" s="14"/>
      <c r="J4917" s="14"/>
    </row>
    <row r="4918" spans="9:10">
      <c r="I4918" s="14"/>
      <c r="J4918" s="14"/>
    </row>
    <row r="4919" spans="9:10">
      <c r="I4919" s="14"/>
      <c r="J4919" s="14"/>
    </row>
    <row r="4920" spans="9:10">
      <c r="I4920" s="14"/>
      <c r="J4920" s="14"/>
    </row>
    <row r="4921" spans="9:10">
      <c r="I4921" s="14"/>
      <c r="J4921" s="14"/>
    </row>
    <row r="4922" spans="9:10">
      <c r="I4922" s="14"/>
      <c r="J4922" s="14"/>
    </row>
    <row r="4923" spans="9:10">
      <c r="I4923" s="14"/>
      <c r="J4923" s="14"/>
    </row>
    <row r="4924" spans="9:10">
      <c r="I4924" s="14"/>
      <c r="J4924" s="14"/>
    </row>
    <row r="4925" spans="9:10">
      <c r="I4925" s="14"/>
      <c r="J4925" s="14"/>
    </row>
    <row r="4926" spans="9:10">
      <c r="I4926" s="14"/>
      <c r="J4926" s="14"/>
    </row>
    <row r="4927" spans="9:10">
      <c r="I4927" s="14"/>
      <c r="J4927" s="14"/>
    </row>
    <row r="4928" spans="9:10">
      <c r="I4928" s="14"/>
      <c r="J4928" s="14"/>
    </row>
    <row r="4929" spans="9:10">
      <c r="I4929" s="14"/>
      <c r="J4929" s="14"/>
    </row>
    <row r="4930" spans="9:10">
      <c r="I4930" s="14"/>
      <c r="J4930" s="14"/>
    </row>
    <row r="4931" spans="9:10">
      <c r="I4931" s="14"/>
      <c r="J4931" s="14"/>
    </row>
    <row r="4932" spans="9:10">
      <c r="I4932" s="14"/>
      <c r="J4932" s="14"/>
    </row>
    <row r="4933" spans="9:10">
      <c r="I4933" s="14"/>
      <c r="J4933" s="14"/>
    </row>
    <row r="4934" spans="9:10">
      <c r="I4934" s="14"/>
      <c r="J4934" s="14"/>
    </row>
    <row r="4935" spans="9:10">
      <c r="I4935" s="14"/>
      <c r="J4935" s="14"/>
    </row>
    <row r="4936" spans="9:10">
      <c r="I4936" s="14"/>
      <c r="J4936" s="14"/>
    </row>
    <row r="4937" spans="9:10">
      <c r="I4937" s="14"/>
      <c r="J4937" s="14"/>
    </row>
    <row r="4938" spans="9:10">
      <c r="I4938" s="14"/>
      <c r="J4938" s="14"/>
    </row>
    <row r="4939" spans="9:10">
      <c r="I4939" s="14"/>
      <c r="J4939" s="14"/>
    </row>
    <row r="4940" spans="9:10">
      <c r="I4940" s="14"/>
      <c r="J4940" s="14"/>
    </row>
    <row r="4941" spans="9:10">
      <c r="I4941" s="14"/>
      <c r="J4941" s="14"/>
    </row>
    <row r="4942" spans="9:10">
      <c r="I4942" s="14"/>
      <c r="J4942" s="14"/>
    </row>
    <row r="4943" spans="9:10">
      <c r="I4943" s="14"/>
      <c r="J4943" s="14"/>
    </row>
    <row r="4944" spans="9:10">
      <c r="I4944" s="14"/>
      <c r="J4944" s="14"/>
    </row>
    <row r="4945" spans="9:10">
      <c r="I4945" s="14"/>
      <c r="J4945" s="14"/>
    </row>
    <row r="4946" spans="9:10">
      <c r="I4946" s="14"/>
      <c r="J4946" s="14"/>
    </row>
    <row r="4947" spans="9:10">
      <c r="I4947" s="14"/>
      <c r="J4947" s="14"/>
    </row>
    <row r="4948" spans="9:10">
      <c r="I4948" s="14"/>
      <c r="J4948" s="14"/>
    </row>
    <row r="4949" spans="9:10">
      <c r="I4949" s="14"/>
      <c r="J4949" s="14"/>
    </row>
    <row r="4950" spans="9:10">
      <c r="I4950" s="14"/>
      <c r="J4950" s="14"/>
    </row>
    <row r="4951" spans="9:10">
      <c r="I4951" s="14"/>
      <c r="J4951" s="14"/>
    </row>
    <row r="4952" spans="9:10">
      <c r="I4952" s="14"/>
      <c r="J4952" s="14"/>
    </row>
    <row r="4953" spans="9:10">
      <c r="I4953" s="14"/>
      <c r="J4953" s="14"/>
    </row>
    <row r="4954" spans="9:10">
      <c r="I4954" s="14"/>
      <c r="J4954" s="14"/>
    </row>
    <row r="4955" spans="9:10">
      <c r="I4955" s="14"/>
      <c r="J4955" s="14"/>
    </row>
    <row r="4956" spans="9:10">
      <c r="I4956" s="14"/>
      <c r="J4956" s="14"/>
    </row>
    <row r="4957" spans="9:10">
      <c r="I4957" s="14"/>
      <c r="J4957" s="14"/>
    </row>
    <row r="4958" spans="9:10">
      <c r="I4958" s="14"/>
      <c r="J4958" s="14"/>
    </row>
    <row r="4959" spans="9:10">
      <c r="I4959" s="14"/>
      <c r="J4959" s="14"/>
    </row>
    <row r="4960" spans="9:10">
      <c r="I4960" s="14"/>
      <c r="J4960" s="14"/>
    </row>
    <row r="4961" spans="9:10">
      <c r="I4961" s="14"/>
      <c r="J4961" s="14"/>
    </row>
    <row r="4962" spans="9:10">
      <c r="I4962" s="14"/>
      <c r="J4962" s="14"/>
    </row>
    <row r="4963" spans="9:10">
      <c r="I4963" s="14"/>
      <c r="J4963" s="14"/>
    </row>
    <row r="4964" spans="9:10">
      <c r="I4964" s="14"/>
      <c r="J4964" s="14"/>
    </row>
    <row r="4965" spans="9:10">
      <c r="I4965" s="14"/>
      <c r="J4965" s="14"/>
    </row>
    <row r="4966" spans="9:10">
      <c r="I4966" s="14"/>
      <c r="J4966" s="14"/>
    </row>
    <row r="4967" spans="9:10">
      <c r="I4967" s="14"/>
      <c r="J4967" s="14"/>
    </row>
    <row r="4968" spans="9:10">
      <c r="I4968" s="14"/>
      <c r="J4968" s="14"/>
    </row>
    <row r="4969" spans="9:10">
      <c r="I4969" s="14"/>
      <c r="J4969" s="14"/>
    </row>
    <row r="4970" spans="9:10">
      <c r="I4970" s="14"/>
      <c r="J4970" s="14"/>
    </row>
    <row r="4971" spans="9:10">
      <c r="I4971" s="14"/>
      <c r="J4971" s="14"/>
    </row>
    <row r="4972" spans="9:10">
      <c r="I4972" s="14"/>
      <c r="J4972" s="14"/>
    </row>
    <row r="4973" spans="9:10">
      <c r="I4973" s="14"/>
      <c r="J4973" s="14"/>
    </row>
    <row r="4974" spans="9:10">
      <c r="I4974" s="14"/>
      <c r="J4974" s="14"/>
    </row>
    <row r="4975" spans="9:10">
      <c r="I4975" s="14"/>
      <c r="J4975" s="14"/>
    </row>
    <row r="4976" spans="9:10">
      <c r="I4976" s="14"/>
      <c r="J4976" s="14"/>
    </row>
    <row r="4977" spans="9:10">
      <c r="I4977" s="14"/>
      <c r="J4977" s="14"/>
    </row>
    <row r="4978" spans="9:10">
      <c r="I4978" s="14"/>
      <c r="J4978" s="14"/>
    </row>
    <row r="4979" spans="9:10">
      <c r="I4979" s="14"/>
      <c r="J4979" s="14"/>
    </row>
    <row r="4980" spans="9:10">
      <c r="I4980" s="14"/>
      <c r="J4980" s="14"/>
    </row>
    <row r="4981" spans="9:10">
      <c r="I4981" s="14"/>
      <c r="J4981" s="14"/>
    </row>
    <row r="4982" spans="9:10">
      <c r="I4982" s="14"/>
      <c r="J4982" s="14"/>
    </row>
    <row r="4983" spans="9:10">
      <c r="I4983" s="14"/>
      <c r="J4983" s="14"/>
    </row>
    <row r="4984" spans="9:10">
      <c r="I4984" s="14"/>
      <c r="J4984" s="14"/>
    </row>
    <row r="4985" spans="9:10">
      <c r="I4985" s="14"/>
      <c r="J4985" s="14"/>
    </row>
    <row r="4986" spans="9:10">
      <c r="I4986" s="14"/>
      <c r="J4986" s="14"/>
    </row>
    <row r="4987" spans="9:10">
      <c r="I4987" s="14"/>
      <c r="J4987" s="14"/>
    </row>
    <row r="4988" spans="9:10">
      <c r="I4988" s="14"/>
      <c r="J4988" s="14"/>
    </row>
    <row r="4989" spans="9:10">
      <c r="I4989" s="14"/>
      <c r="J4989" s="14"/>
    </row>
    <row r="4990" spans="9:10">
      <c r="I4990" s="14"/>
      <c r="J4990" s="14"/>
    </row>
    <row r="4991" spans="9:10">
      <c r="I4991" s="14"/>
      <c r="J4991" s="14"/>
    </row>
    <row r="4992" spans="9:10">
      <c r="I4992" s="14"/>
      <c r="J4992" s="14"/>
    </row>
    <row r="4993" spans="9:10">
      <c r="I4993" s="14"/>
      <c r="J4993" s="14"/>
    </row>
    <row r="4994" spans="9:10">
      <c r="I4994" s="14"/>
      <c r="J4994" s="14"/>
    </row>
    <row r="4995" spans="9:10">
      <c r="I4995" s="14"/>
      <c r="J4995" s="14"/>
    </row>
    <row r="4996" spans="9:10">
      <c r="I4996" s="14"/>
      <c r="J4996" s="14"/>
    </row>
    <row r="4997" spans="9:10">
      <c r="I4997" s="14"/>
      <c r="J4997" s="14"/>
    </row>
    <row r="4998" spans="9:10">
      <c r="I4998" s="14"/>
      <c r="J4998" s="14"/>
    </row>
    <row r="4999" spans="9:10">
      <c r="I4999" s="14"/>
      <c r="J4999" s="14"/>
    </row>
    <row r="5000" spans="9:10">
      <c r="I5000" s="14"/>
      <c r="J5000" s="14"/>
    </row>
    <row r="5001" spans="9:10">
      <c r="I5001" s="14"/>
      <c r="J5001" s="14"/>
    </row>
    <row r="5002" spans="9:10">
      <c r="I5002" s="14"/>
      <c r="J5002" s="14"/>
    </row>
    <row r="5003" spans="9:10">
      <c r="I5003" s="14"/>
      <c r="J5003" s="14"/>
    </row>
    <row r="5004" spans="9:10">
      <c r="I5004" s="14"/>
      <c r="J5004" s="14"/>
    </row>
    <row r="5005" spans="9:10">
      <c r="I5005" s="14"/>
      <c r="J5005" s="14"/>
    </row>
    <row r="5006" spans="9:10">
      <c r="I5006" s="14"/>
      <c r="J5006" s="14"/>
    </row>
    <row r="5007" spans="9:10">
      <c r="I5007" s="14"/>
      <c r="J5007" s="14"/>
    </row>
    <row r="5008" spans="9:10">
      <c r="I5008" s="14"/>
      <c r="J5008" s="14"/>
    </row>
    <row r="5009" spans="9:10">
      <c r="I5009" s="14"/>
      <c r="J5009" s="14"/>
    </row>
    <row r="5010" spans="9:10">
      <c r="I5010" s="14"/>
      <c r="J5010" s="14"/>
    </row>
    <row r="5011" spans="9:10">
      <c r="I5011" s="14"/>
      <c r="J5011" s="14"/>
    </row>
    <row r="5012" spans="9:10">
      <c r="I5012" s="14"/>
      <c r="J5012" s="14"/>
    </row>
    <row r="5013" spans="9:10">
      <c r="I5013" s="14"/>
      <c r="J5013" s="14"/>
    </row>
    <row r="5014" spans="9:10">
      <c r="I5014" s="14"/>
      <c r="J5014" s="14"/>
    </row>
    <row r="5015" spans="9:10">
      <c r="I5015" s="14"/>
      <c r="J5015" s="14"/>
    </row>
    <row r="5016" spans="9:10">
      <c r="I5016" s="14"/>
      <c r="J5016" s="14"/>
    </row>
    <row r="5017" spans="9:10">
      <c r="I5017" s="14"/>
      <c r="J5017" s="14"/>
    </row>
    <row r="5018" spans="9:10">
      <c r="I5018" s="14"/>
      <c r="J5018" s="14"/>
    </row>
    <row r="5019" spans="9:10">
      <c r="I5019" s="14"/>
      <c r="J5019" s="14"/>
    </row>
    <row r="5020" spans="9:10">
      <c r="I5020" s="14"/>
      <c r="J5020" s="14"/>
    </row>
    <row r="5021" spans="9:10">
      <c r="I5021" s="14"/>
      <c r="J5021" s="14"/>
    </row>
    <row r="5022" spans="9:10">
      <c r="I5022" s="14"/>
      <c r="J5022" s="14"/>
    </row>
    <row r="5023" spans="9:10">
      <c r="I5023" s="14"/>
      <c r="J5023" s="14"/>
    </row>
    <row r="5024" spans="9:10">
      <c r="I5024" s="14"/>
      <c r="J5024" s="14"/>
    </row>
    <row r="5025" spans="9:10">
      <c r="I5025" s="14"/>
      <c r="J5025" s="14"/>
    </row>
    <row r="5026" spans="9:10">
      <c r="I5026" s="14"/>
      <c r="J5026" s="14"/>
    </row>
    <row r="5027" spans="9:10">
      <c r="I5027" s="14"/>
      <c r="J5027" s="14"/>
    </row>
    <row r="5028" spans="9:10">
      <c r="I5028" s="14"/>
      <c r="J5028" s="14"/>
    </row>
    <row r="5029" spans="9:10">
      <c r="I5029" s="14"/>
      <c r="J5029" s="14"/>
    </row>
    <row r="5030" spans="9:10">
      <c r="I5030" s="14"/>
      <c r="J5030" s="14"/>
    </row>
    <row r="5031" spans="9:10">
      <c r="I5031" s="14"/>
      <c r="J5031" s="14"/>
    </row>
    <row r="5032" spans="9:10">
      <c r="I5032" s="14"/>
      <c r="J5032" s="14"/>
    </row>
    <row r="5033" spans="9:10">
      <c r="I5033" s="14"/>
      <c r="J5033" s="14"/>
    </row>
    <row r="5034" spans="9:10">
      <c r="I5034" s="14"/>
      <c r="J5034" s="14"/>
    </row>
    <row r="5035" spans="9:10">
      <c r="I5035" s="14"/>
      <c r="J5035" s="14"/>
    </row>
    <row r="5036" spans="9:10">
      <c r="I5036" s="14"/>
      <c r="J5036" s="14"/>
    </row>
    <row r="5037" spans="9:10">
      <c r="I5037" s="14"/>
      <c r="J5037" s="14"/>
    </row>
    <row r="5038" spans="9:10">
      <c r="I5038" s="14"/>
      <c r="J5038" s="14"/>
    </row>
    <row r="5039" spans="9:10">
      <c r="I5039" s="14"/>
      <c r="J5039" s="14"/>
    </row>
    <row r="5040" spans="9:10">
      <c r="I5040" s="14"/>
      <c r="J5040" s="14"/>
    </row>
    <row r="5041" spans="9:10">
      <c r="I5041" s="14"/>
      <c r="J5041" s="14"/>
    </row>
    <row r="5042" spans="9:10">
      <c r="I5042" s="14"/>
      <c r="J5042" s="14"/>
    </row>
    <row r="5043" spans="9:10">
      <c r="I5043" s="14"/>
      <c r="J5043" s="14"/>
    </row>
    <row r="5044" spans="9:10">
      <c r="I5044" s="14"/>
      <c r="J5044" s="14"/>
    </row>
    <row r="5045" spans="9:10">
      <c r="I5045" s="14"/>
      <c r="J5045" s="14"/>
    </row>
    <row r="5046" spans="9:10">
      <c r="I5046" s="14"/>
      <c r="J5046" s="14"/>
    </row>
    <row r="5047" spans="9:10">
      <c r="I5047" s="14"/>
      <c r="J5047" s="14"/>
    </row>
    <row r="5048" spans="9:10">
      <c r="I5048" s="14"/>
      <c r="J5048" s="14"/>
    </row>
    <row r="5049" spans="9:10">
      <c r="I5049" s="14"/>
      <c r="J5049" s="14"/>
    </row>
    <row r="5050" spans="9:10">
      <c r="I5050" s="14"/>
      <c r="J5050" s="14"/>
    </row>
    <row r="5051" spans="9:10">
      <c r="I5051" s="14"/>
      <c r="J5051" s="14"/>
    </row>
    <row r="5052" spans="9:10">
      <c r="I5052" s="14"/>
      <c r="J5052" s="14"/>
    </row>
    <row r="5053" spans="9:10">
      <c r="I5053" s="14"/>
      <c r="J5053" s="14"/>
    </row>
    <row r="5054" spans="9:10">
      <c r="I5054" s="14"/>
      <c r="J5054" s="14"/>
    </row>
    <row r="5055" spans="9:10">
      <c r="I5055" s="14"/>
      <c r="J5055" s="14"/>
    </row>
    <row r="5056" spans="9:10">
      <c r="I5056" s="14"/>
      <c r="J5056" s="14"/>
    </row>
    <row r="5057" spans="9:10">
      <c r="I5057" s="14"/>
      <c r="J5057" s="14"/>
    </row>
    <row r="5058" spans="9:10">
      <c r="I5058" s="14"/>
      <c r="J5058" s="14"/>
    </row>
    <row r="5059" spans="9:10">
      <c r="I5059" s="14"/>
      <c r="J5059" s="14"/>
    </row>
    <row r="5060" spans="9:10">
      <c r="I5060" s="14"/>
      <c r="J5060" s="14"/>
    </row>
    <row r="5061" spans="9:10">
      <c r="I5061" s="14"/>
      <c r="J5061" s="14"/>
    </row>
    <row r="5062" spans="9:10">
      <c r="I5062" s="14"/>
      <c r="J5062" s="14"/>
    </row>
    <row r="5063" spans="9:10">
      <c r="I5063" s="14"/>
      <c r="J5063" s="14"/>
    </row>
    <row r="5064" spans="9:10">
      <c r="I5064" s="14"/>
      <c r="J5064" s="14"/>
    </row>
    <row r="5065" spans="9:10">
      <c r="I5065" s="14"/>
      <c r="J5065" s="14"/>
    </row>
    <row r="5066" spans="9:10">
      <c r="I5066" s="14"/>
      <c r="J5066" s="14"/>
    </row>
    <row r="5067" spans="9:10">
      <c r="I5067" s="14"/>
      <c r="J5067" s="14"/>
    </row>
    <row r="5068" spans="9:10">
      <c r="I5068" s="14"/>
      <c r="J5068" s="14"/>
    </row>
    <row r="5069" spans="9:10">
      <c r="I5069" s="14"/>
      <c r="J5069" s="14"/>
    </row>
    <row r="5070" spans="9:10">
      <c r="I5070" s="14"/>
      <c r="J5070" s="14"/>
    </row>
    <row r="5071" spans="9:10">
      <c r="I5071" s="14"/>
      <c r="J5071" s="14"/>
    </row>
    <row r="5072" spans="9:10">
      <c r="I5072" s="14"/>
      <c r="J5072" s="14"/>
    </row>
    <row r="5073" spans="9:10">
      <c r="I5073" s="14"/>
      <c r="J5073" s="14"/>
    </row>
    <row r="5074" spans="9:10">
      <c r="I5074" s="14"/>
      <c r="J5074" s="14"/>
    </row>
    <row r="5075" spans="9:10">
      <c r="I5075" s="14"/>
      <c r="J5075" s="14"/>
    </row>
    <row r="5076" spans="9:10">
      <c r="I5076" s="14"/>
      <c r="J5076" s="14"/>
    </row>
    <row r="5077" spans="9:10">
      <c r="I5077" s="14"/>
      <c r="J5077" s="14"/>
    </row>
    <row r="5078" spans="9:10">
      <c r="I5078" s="14"/>
      <c r="J5078" s="14"/>
    </row>
    <row r="5079" spans="9:10">
      <c r="I5079" s="14"/>
      <c r="J5079" s="14"/>
    </row>
    <row r="5080" spans="9:10">
      <c r="I5080" s="14"/>
      <c r="J5080" s="14"/>
    </row>
    <row r="5081" spans="9:10">
      <c r="I5081" s="14"/>
      <c r="J5081" s="14"/>
    </row>
    <row r="5082" spans="9:10">
      <c r="I5082" s="14"/>
      <c r="J5082" s="14"/>
    </row>
    <row r="5083" spans="9:10">
      <c r="I5083" s="14"/>
      <c r="J5083" s="14"/>
    </row>
    <row r="5084" spans="9:10">
      <c r="I5084" s="14"/>
      <c r="J5084" s="14"/>
    </row>
    <row r="5085" spans="9:10">
      <c r="I5085" s="14"/>
      <c r="J5085" s="14"/>
    </row>
    <row r="5086" spans="9:10">
      <c r="I5086" s="14"/>
      <c r="J5086" s="14"/>
    </row>
    <row r="5087" spans="9:10">
      <c r="I5087" s="14"/>
      <c r="J5087" s="14"/>
    </row>
    <row r="5088" spans="9:10">
      <c r="I5088" s="14"/>
      <c r="J5088" s="14"/>
    </row>
    <row r="5089" spans="9:10">
      <c r="I5089" s="14"/>
      <c r="J5089" s="14"/>
    </row>
    <row r="5090" spans="9:10">
      <c r="I5090" s="14"/>
      <c r="J5090" s="14"/>
    </row>
    <row r="5091" spans="9:10">
      <c r="I5091" s="14"/>
      <c r="J5091" s="14"/>
    </row>
    <row r="5092" spans="9:10">
      <c r="I5092" s="14"/>
      <c r="J5092" s="14"/>
    </row>
    <row r="5093" spans="9:10">
      <c r="I5093" s="14"/>
      <c r="J5093" s="14"/>
    </row>
    <row r="5094" spans="9:10">
      <c r="I5094" s="14"/>
      <c r="J5094" s="14"/>
    </row>
    <row r="5095" spans="9:10">
      <c r="I5095" s="14"/>
      <c r="J5095" s="14"/>
    </row>
    <row r="5096" spans="9:10">
      <c r="I5096" s="14"/>
      <c r="J5096" s="14"/>
    </row>
    <row r="5097" spans="9:10">
      <c r="I5097" s="14"/>
      <c r="J5097" s="14"/>
    </row>
    <row r="5098" spans="9:10">
      <c r="I5098" s="14"/>
      <c r="J5098" s="14"/>
    </row>
    <row r="5099" spans="9:10">
      <c r="I5099" s="14"/>
      <c r="J5099" s="14"/>
    </row>
    <row r="5100" spans="9:10">
      <c r="I5100" s="14"/>
      <c r="J5100" s="14"/>
    </row>
    <row r="5101" spans="9:10">
      <c r="I5101" s="14"/>
      <c r="J5101" s="14"/>
    </row>
    <row r="5102" spans="9:10">
      <c r="I5102" s="14"/>
      <c r="J5102" s="14"/>
    </row>
    <row r="5103" spans="9:10">
      <c r="I5103" s="14"/>
      <c r="J5103" s="14"/>
    </row>
    <row r="5104" spans="9:10">
      <c r="I5104" s="14"/>
      <c r="J5104" s="14"/>
    </row>
    <row r="5105" spans="9:10">
      <c r="I5105" s="14"/>
      <c r="J5105" s="14"/>
    </row>
    <row r="5106" spans="9:10">
      <c r="I5106" s="14"/>
      <c r="J5106" s="14"/>
    </row>
    <row r="5107" spans="9:10">
      <c r="I5107" s="14"/>
      <c r="J5107" s="14"/>
    </row>
    <row r="5108" spans="9:10">
      <c r="I5108" s="14"/>
      <c r="J5108" s="14"/>
    </row>
    <row r="5109" spans="9:10">
      <c r="I5109" s="14"/>
      <c r="J5109" s="14"/>
    </row>
    <row r="5110" spans="9:10">
      <c r="I5110" s="14"/>
      <c r="J5110" s="14"/>
    </row>
    <row r="5111" spans="9:10">
      <c r="I5111" s="14"/>
      <c r="J5111" s="14"/>
    </row>
    <row r="5112" spans="9:10">
      <c r="I5112" s="14"/>
      <c r="J5112" s="14"/>
    </row>
    <row r="5113" spans="9:10">
      <c r="I5113" s="14"/>
      <c r="J5113" s="14"/>
    </row>
    <row r="5114" spans="9:10">
      <c r="I5114" s="14"/>
      <c r="J5114" s="14"/>
    </row>
    <row r="5115" spans="9:10">
      <c r="I5115" s="14"/>
      <c r="J5115" s="14"/>
    </row>
    <row r="5116" spans="9:10">
      <c r="I5116" s="14"/>
      <c r="J5116" s="14"/>
    </row>
    <row r="5117" spans="9:10">
      <c r="I5117" s="14"/>
      <c r="J5117" s="14"/>
    </row>
    <row r="5118" spans="9:10">
      <c r="I5118" s="14"/>
      <c r="J5118" s="14"/>
    </row>
    <row r="5119" spans="9:10">
      <c r="I5119" s="14"/>
      <c r="J5119" s="14"/>
    </row>
    <row r="5120" spans="9:10">
      <c r="I5120" s="14"/>
      <c r="J5120" s="14"/>
    </row>
    <row r="5121" spans="9:10">
      <c r="I5121" s="14"/>
      <c r="J5121" s="14"/>
    </row>
    <row r="5122" spans="9:10">
      <c r="I5122" s="14"/>
      <c r="J5122" s="14"/>
    </row>
    <row r="5123" spans="9:10">
      <c r="I5123" s="14"/>
      <c r="J5123" s="14"/>
    </row>
    <row r="5124" spans="9:10">
      <c r="I5124" s="14"/>
      <c r="J5124" s="14"/>
    </row>
    <row r="5125" spans="9:10">
      <c r="I5125" s="14"/>
      <c r="J5125" s="14"/>
    </row>
    <row r="5126" spans="9:10">
      <c r="I5126" s="14"/>
      <c r="J5126" s="14"/>
    </row>
    <row r="5127" spans="9:10">
      <c r="I5127" s="14"/>
      <c r="J5127" s="14"/>
    </row>
    <row r="5128" spans="9:10">
      <c r="I5128" s="14"/>
      <c r="J5128" s="14"/>
    </row>
    <row r="5129" spans="9:10">
      <c r="I5129" s="14"/>
      <c r="J5129" s="14"/>
    </row>
    <row r="5130" spans="9:10">
      <c r="I5130" s="14"/>
      <c r="J5130" s="14"/>
    </row>
    <row r="5131" spans="9:10">
      <c r="I5131" s="14"/>
      <c r="J5131" s="14"/>
    </row>
    <row r="5132" spans="9:10">
      <c r="I5132" s="14"/>
      <c r="J5132" s="14"/>
    </row>
    <row r="5133" spans="9:10">
      <c r="I5133" s="14"/>
      <c r="J5133" s="14"/>
    </row>
    <row r="5134" spans="9:10">
      <c r="I5134" s="14"/>
      <c r="J5134" s="14"/>
    </row>
    <row r="5135" spans="9:10">
      <c r="I5135" s="14"/>
      <c r="J5135" s="14"/>
    </row>
    <row r="5136" spans="9:10">
      <c r="I5136" s="14"/>
      <c r="J5136" s="14"/>
    </row>
    <row r="5137" spans="9:10">
      <c r="I5137" s="14"/>
      <c r="J5137" s="14"/>
    </row>
    <row r="5138" spans="9:10">
      <c r="I5138" s="14"/>
      <c r="J5138" s="14"/>
    </row>
    <row r="5139" spans="9:10">
      <c r="I5139" s="14"/>
      <c r="J5139" s="14"/>
    </row>
    <row r="5140" spans="9:10">
      <c r="I5140" s="14"/>
      <c r="J5140" s="14"/>
    </row>
    <row r="5141" spans="9:10">
      <c r="I5141" s="14"/>
      <c r="J5141" s="14"/>
    </row>
    <row r="5142" spans="9:10">
      <c r="I5142" s="14"/>
      <c r="J5142" s="14"/>
    </row>
    <row r="5143" spans="9:10">
      <c r="I5143" s="14"/>
      <c r="J5143" s="14"/>
    </row>
    <row r="5144" spans="9:10">
      <c r="I5144" s="14"/>
      <c r="J5144" s="14"/>
    </row>
    <row r="5145" spans="9:10">
      <c r="I5145" s="14"/>
      <c r="J5145" s="14"/>
    </row>
    <row r="5146" spans="9:10">
      <c r="I5146" s="14"/>
      <c r="J5146" s="14"/>
    </row>
    <row r="5147" spans="9:10">
      <c r="I5147" s="14"/>
      <c r="J5147" s="14"/>
    </row>
    <row r="5148" spans="9:10">
      <c r="I5148" s="14"/>
      <c r="J5148" s="14"/>
    </row>
    <row r="5149" spans="9:10">
      <c r="I5149" s="14"/>
      <c r="J5149" s="14"/>
    </row>
    <row r="5150" spans="9:10">
      <c r="I5150" s="14"/>
      <c r="J5150" s="14"/>
    </row>
    <row r="5151" spans="9:10">
      <c r="I5151" s="14"/>
      <c r="J5151" s="14"/>
    </row>
    <row r="5152" spans="9:10">
      <c r="I5152" s="14"/>
      <c r="J5152" s="14"/>
    </row>
    <row r="5153" spans="9:10">
      <c r="I5153" s="14"/>
      <c r="J5153" s="14"/>
    </row>
    <row r="5154" spans="9:10">
      <c r="I5154" s="14"/>
      <c r="J5154" s="14"/>
    </row>
    <row r="5155" spans="9:10">
      <c r="I5155" s="14"/>
      <c r="J5155" s="14"/>
    </row>
    <row r="5156" spans="9:10">
      <c r="I5156" s="14"/>
      <c r="J5156" s="14"/>
    </row>
    <row r="5157" spans="9:10">
      <c r="I5157" s="14"/>
      <c r="J5157" s="14"/>
    </row>
    <row r="5158" spans="9:10">
      <c r="I5158" s="14"/>
      <c r="J5158" s="14"/>
    </row>
    <row r="5159" spans="9:10">
      <c r="I5159" s="14"/>
      <c r="J5159" s="14"/>
    </row>
    <row r="5160" spans="9:10">
      <c r="I5160" s="14"/>
      <c r="J5160" s="14"/>
    </row>
    <row r="5161" spans="9:10">
      <c r="I5161" s="14"/>
      <c r="J5161" s="14"/>
    </row>
    <row r="5162" spans="9:10">
      <c r="I5162" s="14"/>
      <c r="J5162" s="14"/>
    </row>
    <row r="5163" spans="9:10">
      <c r="I5163" s="14"/>
      <c r="J5163" s="14"/>
    </row>
    <row r="5164" spans="9:10">
      <c r="I5164" s="14"/>
      <c r="J5164" s="14"/>
    </row>
    <row r="5165" spans="9:10">
      <c r="I5165" s="14"/>
      <c r="J5165" s="14"/>
    </row>
    <row r="5166" spans="9:10">
      <c r="I5166" s="14"/>
      <c r="J5166" s="14"/>
    </row>
    <row r="5167" spans="9:10">
      <c r="I5167" s="14"/>
      <c r="J5167" s="14"/>
    </row>
    <row r="5168" spans="9:10">
      <c r="I5168" s="14"/>
      <c r="J5168" s="14"/>
    </row>
    <row r="5169" spans="9:10">
      <c r="I5169" s="14"/>
      <c r="J5169" s="14"/>
    </row>
    <row r="5170" spans="9:10">
      <c r="I5170" s="14"/>
      <c r="J5170" s="14"/>
    </row>
    <row r="5171" spans="9:10">
      <c r="I5171" s="14"/>
      <c r="J5171" s="14"/>
    </row>
    <row r="5172" spans="9:10">
      <c r="I5172" s="14"/>
      <c r="J5172" s="14"/>
    </row>
    <row r="5173" spans="9:10">
      <c r="I5173" s="14"/>
      <c r="J5173" s="14"/>
    </row>
    <row r="5174" spans="9:10">
      <c r="I5174" s="14"/>
      <c r="J5174" s="14"/>
    </row>
    <row r="5175" spans="9:10">
      <c r="I5175" s="14"/>
      <c r="J5175" s="14"/>
    </row>
    <row r="5176" spans="9:10">
      <c r="I5176" s="14"/>
      <c r="J5176" s="14"/>
    </row>
    <row r="5177" spans="9:10">
      <c r="I5177" s="14"/>
      <c r="J5177" s="14"/>
    </row>
    <row r="5178" spans="9:10">
      <c r="I5178" s="14"/>
      <c r="J5178" s="14"/>
    </row>
    <row r="5179" spans="9:10">
      <c r="I5179" s="14"/>
      <c r="J5179" s="14"/>
    </row>
    <row r="5180" spans="9:10">
      <c r="I5180" s="14"/>
      <c r="J5180" s="14"/>
    </row>
    <row r="5181" spans="9:10">
      <c r="I5181" s="14"/>
      <c r="J5181" s="14"/>
    </row>
    <row r="5182" spans="9:10">
      <c r="I5182" s="14"/>
      <c r="J5182" s="14"/>
    </row>
    <row r="5183" spans="9:10">
      <c r="I5183" s="14"/>
      <c r="J5183" s="14"/>
    </row>
    <row r="5184" spans="9:10">
      <c r="I5184" s="14"/>
      <c r="J5184" s="14"/>
    </row>
    <row r="5185" spans="9:10">
      <c r="I5185" s="14"/>
      <c r="J5185" s="14"/>
    </row>
    <row r="5186" spans="9:10">
      <c r="I5186" s="14"/>
      <c r="J5186" s="14"/>
    </row>
    <row r="5187" spans="9:10">
      <c r="I5187" s="14"/>
      <c r="J5187" s="14"/>
    </row>
    <row r="5188" spans="9:10">
      <c r="I5188" s="14"/>
      <c r="J5188" s="14"/>
    </row>
    <row r="5189" spans="9:10">
      <c r="I5189" s="14"/>
      <c r="J5189" s="14"/>
    </row>
    <row r="5190" spans="9:10">
      <c r="I5190" s="14"/>
      <c r="J5190" s="14"/>
    </row>
    <row r="5191" spans="9:10">
      <c r="I5191" s="14"/>
      <c r="J5191" s="14"/>
    </row>
    <row r="5192" spans="9:10">
      <c r="I5192" s="14"/>
      <c r="J5192" s="14"/>
    </row>
    <row r="5193" spans="9:10">
      <c r="I5193" s="14"/>
      <c r="J5193" s="14"/>
    </row>
    <row r="5194" spans="9:10">
      <c r="I5194" s="14"/>
      <c r="J5194" s="14"/>
    </row>
    <row r="5195" spans="9:10">
      <c r="I5195" s="14"/>
      <c r="J5195" s="14"/>
    </row>
    <row r="5196" spans="9:10">
      <c r="I5196" s="14"/>
      <c r="J5196" s="14"/>
    </row>
    <row r="5197" spans="9:10">
      <c r="I5197" s="14"/>
      <c r="J5197" s="14"/>
    </row>
    <row r="5198" spans="9:10">
      <c r="I5198" s="14"/>
      <c r="J5198" s="14"/>
    </row>
    <row r="5199" spans="9:10">
      <c r="I5199" s="14"/>
      <c r="J5199" s="14"/>
    </row>
    <row r="5200" spans="9:10">
      <c r="I5200" s="14"/>
      <c r="J5200" s="14"/>
    </row>
    <row r="5201" spans="9:10">
      <c r="I5201" s="14"/>
      <c r="J5201" s="14"/>
    </row>
    <row r="5202" spans="9:10">
      <c r="I5202" s="14"/>
      <c r="J5202" s="14"/>
    </row>
    <row r="5203" spans="9:10">
      <c r="I5203" s="14"/>
      <c r="J5203" s="14"/>
    </row>
    <row r="5204" spans="9:10">
      <c r="I5204" s="14"/>
      <c r="J5204" s="14"/>
    </row>
    <row r="5205" spans="9:10">
      <c r="I5205" s="14"/>
      <c r="J5205" s="14"/>
    </row>
    <row r="5206" spans="9:10">
      <c r="I5206" s="14"/>
      <c r="J5206" s="14"/>
    </row>
    <row r="5207" spans="9:10">
      <c r="I5207" s="14"/>
      <c r="J5207" s="14"/>
    </row>
    <row r="5208" spans="9:10">
      <c r="I5208" s="14"/>
      <c r="J5208" s="14"/>
    </row>
    <row r="5209" spans="9:10">
      <c r="I5209" s="14"/>
      <c r="J5209" s="14"/>
    </row>
    <row r="5210" spans="9:10">
      <c r="I5210" s="14"/>
      <c r="J5210" s="14"/>
    </row>
    <row r="5211" spans="9:10">
      <c r="I5211" s="14"/>
      <c r="J5211" s="14"/>
    </row>
    <row r="5212" spans="9:10">
      <c r="I5212" s="14"/>
      <c r="J5212" s="14"/>
    </row>
    <row r="5213" spans="9:10">
      <c r="I5213" s="14"/>
      <c r="J5213" s="14"/>
    </row>
    <row r="5214" spans="9:10">
      <c r="I5214" s="14"/>
      <c r="J5214" s="14"/>
    </row>
    <row r="5215" spans="9:10">
      <c r="I5215" s="14"/>
      <c r="J5215" s="14"/>
    </row>
    <row r="5216" spans="9:10">
      <c r="I5216" s="14"/>
      <c r="J5216" s="14"/>
    </row>
    <row r="5217" spans="9:10">
      <c r="I5217" s="14"/>
      <c r="J5217" s="14"/>
    </row>
    <row r="5218" spans="9:10">
      <c r="I5218" s="14"/>
      <c r="J5218" s="14"/>
    </row>
    <row r="5219" spans="9:10">
      <c r="I5219" s="14"/>
      <c r="J5219" s="14"/>
    </row>
    <row r="5220" spans="9:10">
      <c r="I5220" s="14"/>
      <c r="J5220" s="14"/>
    </row>
    <row r="5221" spans="9:10">
      <c r="I5221" s="14"/>
      <c r="J5221" s="14"/>
    </row>
    <row r="5222" spans="9:10">
      <c r="I5222" s="14"/>
      <c r="J5222" s="14"/>
    </row>
    <row r="5223" spans="9:10">
      <c r="I5223" s="14"/>
      <c r="J5223" s="14"/>
    </row>
    <row r="5224" spans="9:10">
      <c r="I5224" s="14"/>
      <c r="J5224" s="14"/>
    </row>
    <row r="5225" spans="9:10">
      <c r="I5225" s="14"/>
      <c r="J5225" s="14"/>
    </row>
    <row r="5226" spans="9:10">
      <c r="I5226" s="14"/>
      <c r="J5226" s="14"/>
    </row>
    <row r="5227" spans="9:10">
      <c r="I5227" s="14"/>
      <c r="J5227" s="14"/>
    </row>
    <row r="5228" spans="9:10">
      <c r="I5228" s="14"/>
      <c r="J5228" s="14"/>
    </row>
    <row r="5229" spans="9:10">
      <c r="I5229" s="14"/>
      <c r="J5229" s="14"/>
    </row>
    <row r="5230" spans="9:10">
      <c r="I5230" s="14"/>
      <c r="J5230" s="14"/>
    </row>
    <row r="5231" spans="9:10">
      <c r="I5231" s="14"/>
      <c r="J5231" s="14"/>
    </row>
    <row r="5232" spans="9:10">
      <c r="I5232" s="14"/>
      <c r="J5232" s="14"/>
    </row>
    <row r="5233" spans="9:10">
      <c r="I5233" s="14"/>
      <c r="J5233" s="14"/>
    </row>
    <row r="5234" spans="9:10">
      <c r="I5234" s="14"/>
      <c r="J5234" s="14"/>
    </row>
    <row r="5235" spans="9:10">
      <c r="I5235" s="14"/>
      <c r="J5235" s="14"/>
    </row>
    <row r="5236" spans="9:10">
      <c r="I5236" s="14"/>
      <c r="J5236" s="14"/>
    </row>
    <row r="5237" spans="9:10">
      <c r="I5237" s="14"/>
      <c r="J5237" s="14"/>
    </row>
    <row r="5238" spans="9:10">
      <c r="I5238" s="14"/>
      <c r="J5238" s="14"/>
    </row>
    <row r="5239" spans="9:10">
      <c r="I5239" s="14"/>
      <c r="J5239" s="14"/>
    </row>
    <row r="5240" spans="9:10">
      <c r="I5240" s="14"/>
      <c r="J5240" s="14"/>
    </row>
    <row r="5241" spans="9:10">
      <c r="I5241" s="14"/>
      <c r="J5241" s="14"/>
    </row>
    <row r="5242" spans="9:10">
      <c r="I5242" s="14"/>
      <c r="J5242" s="14"/>
    </row>
    <row r="5243" spans="9:10">
      <c r="I5243" s="14"/>
      <c r="J5243" s="14"/>
    </row>
    <row r="5244" spans="9:10">
      <c r="I5244" s="14"/>
      <c r="J5244" s="14"/>
    </row>
    <row r="5245" spans="9:10">
      <c r="I5245" s="14"/>
      <c r="J5245" s="14"/>
    </row>
    <row r="5246" spans="9:10">
      <c r="I5246" s="14"/>
      <c r="J5246" s="14"/>
    </row>
    <row r="5247" spans="9:10">
      <c r="I5247" s="14"/>
      <c r="J5247" s="14"/>
    </row>
    <row r="5248" spans="9:10">
      <c r="I5248" s="14"/>
      <c r="J5248" s="14"/>
    </row>
    <row r="5249" spans="9:10">
      <c r="I5249" s="14"/>
      <c r="J5249" s="14"/>
    </row>
    <row r="5250" spans="9:10">
      <c r="I5250" s="14"/>
      <c r="J5250" s="14"/>
    </row>
    <row r="5251" spans="9:10">
      <c r="I5251" s="14"/>
      <c r="J5251" s="14"/>
    </row>
    <row r="5252" spans="9:10">
      <c r="I5252" s="14"/>
      <c r="J5252" s="14"/>
    </row>
    <row r="5253" spans="9:10">
      <c r="I5253" s="14"/>
      <c r="J5253" s="14"/>
    </row>
    <row r="5254" spans="9:10">
      <c r="I5254" s="14"/>
      <c r="J5254" s="14"/>
    </row>
    <row r="5255" spans="9:10">
      <c r="I5255" s="14"/>
      <c r="J5255" s="14"/>
    </row>
    <row r="5256" spans="9:10">
      <c r="I5256" s="14"/>
      <c r="J5256" s="14"/>
    </row>
    <row r="5257" spans="9:10">
      <c r="I5257" s="14"/>
      <c r="J5257" s="14"/>
    </row>
    <row r="5258" spans="9:10">
      <c r="I5258" s="14"/>
      <c r="J5258" s="14"/>
    </row>
    <row r="5259" spans="9:10">
      <c r="I5259" s="14"/>
      <c r="J5259" s="14"/>
    </row>
    <row r="5260" spans="9:10">
      <c r="I5260" s="14"/>
      <c r="J5260" s="14"/>
    </row>
    <row r="5261" spans="9:10">
      <c r="I5261" s="14"/>
      <c r="J5261" s="14"/>
    </row>
    <row r="5262" spans="9:10">
      <c r="I5262" s="14"/>
      <c r="J5262" s="14"/>
    </row>
    <row r="5263" spans="9:10">
      <c r="I5263" s="14"/>
      <c r="J5263" s="14"/>
    </row>
    <row r="5264" spans="9:10">
      <c r="I5264" s="14"/>
      <c r="J5264" s="14"/>
    </row>
    <row r="5265" spans="9:10">
      <c r="I5265" s="14"/>
      <c r="J5265" s="14"/>
    </row>
    <row r="5266" spans="9:10">
      <c r="I5266" s="14"/>
      <c r="J5266" s="14"/>
    </row>
    <row r="5267" spans="9:10">
      <c r="I5267" s="14"/>
      <c r="J5267" s="14"/>
    </row>
    <row r="5268" spans="9:10">
      <c r="I5268" s="14"/>
      <c r="J5268" s="14"/>
    </row>
    <row r="5269" spans="9:10">
      <c r="I5269" s="14"/>
      <c r="J5269" s="14"/>
    </row>
    <row r="5270" spans="9:10">
      <c r="I5270" s="14"/>
      <c r="J5270" s="14"/>
    </row>
    <row r="5271" spans="9:10">
      <c r="I5271" s="14"/>
      <c r="J5271" s="14"/>
    </row>
    <row r="5272" spans="9:10">
      <c r="I5272" s="14"/>
      <c r="J5272" s="14"/>
    </row>
    <row r="5273" spans="9:10">
      <c r="I5273" s="14"/>
      <c r="J5273" s="14"/>
    </row>
    <row r="5274" spans="9:10">
      <c r="I5274" s="14"/>
      <c r="J5274" s="14"/>
    </row>
    <row r="5275" spans="9:10">
      <c r="I5275" s="14"/>
      <c r="J5275" s="14"/>
    </row>
    <row r="5276" spans="9:10">
      <c r="I5276" s="14"/>
      <c r="J5276" s="14"/>
    </row>
    <row r="5277" spans="9:10">
      <c r="I5277" s="14"/>
      <c r="J5277" s="14"/>
    </row>
    <row r="5278" spans="9:10">
      <c r="I5278" s="14"/>
      <c r="J5278" s="14"/>
    </row>
    <row r="5279" spans="9:10">
      <c r="I5279" s="14"/>
      <c r="J5279" s="14"/>
    </row>
    <row r="5280" spans="9:10">
      <c r="I5280" s="14"/>
      <c r="J5280" s="14"/>
    </row>
    <row r="5281" spans="9:10">
      <c r="I5281" s="14"/>
      <c r="J5281" s="14"/>
    </row>
    <row r="5282" spans="9:10">
      <c r="I5282" s="14"/>
      <c r="J5282" s="14"/>
    </row>
    <row r="5283" spans="9:10">
      <c r="I5283" s="14"/>
      <c r="J5283" s="14"/>
    </row>
    <row r="5284" spans="9:10">
      <c r="I5284" s="14"/>
      <c r="J5284" s="14"/>
    </row>
    <row r="5285" spans="9:10">
      <c r="I5285" s="14"/>
      <c r="J5285" s="14"/>
    </row>
    <row r="5286" spans="9:10">
      <c r="I5286" s="14"/>
      <c r="J5286" s="14"/>
    </row>
    <row r="5287" spans="9:10">
      <c r="I5287" s="14"/>
      <c r="J5287" s="14"/>
    </row>
    <row r="5288" spans="9:10">
      <c r="I5288" s="14"/>
      <c r="J5288" s="14"/>
    </row>
    <row r="5289" spans="9:10">
      <c r="I5289" s="14"/>
      <c r="J5289" s="14"/>
    </row>
    <row r="5290" spans="9:10">
      <c r="I5290" s="14"/>
      <c r="J5290" s="14"/>
    </row>
    <row r="5291" spans="9:10">
      <c r="I5291" s="14"/>
      <c r="J5291" s="14"/>
    </row>
    <row r="5292" spans="9:10">
      <c r="I5292" s="14"/>
      <c r="J5292" s="14"/>
    </row>
    <row r="5293" spans="9:10">
      <c r="I5293" s="14"/>
      <c r="J5293" s="14"/>
    </row>
    <row r="5294" spans="9:10">
      <c r="I5294" s="14"/>
      <c r="J5294" s="14"/>
    </row>
    <row r="5295" spans="9:10">
      <c r="I5295" s="14"/>
      <c r="J5295" s="14"/>
    </row>
    <row r="5296" spans="9:10">
      <c r="I5296" s="14"/>
      <c r="J5296" s="14"/>
    </row>
    <row r="5297" spans="9:10">
      <c r="I5297" s="14"/>
      <c r="J5297" s="14"/>
    </row>
    <row r="5298" spans="9:10">
      <c r="I5298" s="14"/>
      <c r="J5298" s="14"/>
    </row>
    <row r="5299" spans="9:10">
      <c r="I5299" s="14"/>
      <c r="J5299" s="14"/>
    </row>
    <row r="5300" spans="9:10">
      <c r="I5300" s="14"/>
      <c r="J5300" s="14"/>
    </row>
    <row r="5301" spans="9:10">
      <c r="I5301" s="14"/>
      <c r="J5301" s="14"/>
    </row>
    <row r="5302" spans="9:10">
      <c r="I5302" s="14"/>
      <c r="J5302" s="14"/>
    </row>
    <row r="5303" spans="9:10">
      <c r="I5303" s="14"/>
      <c r="J5303" s="14"/>
    </row>
    <row r="5304" spans="9:10">
      <c r="I5304" s="14"/>
      <c r="J5304" s="14"/>
    </row>
    <row r="5305" spans="9:10">
      <c r="I5305" s="14"/>
      <c r="J5305" s="14"/>
    </row>
    <row r="5306" spans="9:10">
      <c r="I5306" s="14"/>
      <c r="J5306" s="14"/>
    </row>
    <row r="5307" spans="9:10">
      <c r="I5307" s="14"/>
      <c r="J5307" s="14"/>
    </row>
    <row r="5308" spans="9:10">
      <c r="I5308" s="14"/>
      <c r="J5308" s="14"/>
    </row>
    <row r="5309" spans="9:10">
      <c r="I5309" s="14"/>
      <c r="J5309" s="14"/>
    </row>
    <row r="5310" spans="9:10">
      <c r="I5310" s="14"/>
      <c r="J5310" s="14"/>
    </row>
    <row r="5311" spans="9:10">
      <c r="I5311" s="14"/>
      <c r="J5311" s="14"/>
    </row>
    <row r="5312" spans="9:10">
      <c r="I5312" s="14"/>
      <c r="J5312" s="14"/>
    </row>
    <row r="5313" spans="9:10">
      <c r="I5313" s="14"/>
      <c r="J5313" s="14"/>
    </row>
    <row r="5314" spans="9:10">
      <c r="I5314" s="14"/>
      <c r="J5314" s="14"/>
    </row>
    <row r="5315" spans="9:10">
      <c r="I5315" s="14"/>
      <c r="J5315" s="14"/>
    </row>
    <row r="5316" spans="9:10">
      <c r="I5316" s="14"/>
      <c r="J5316" s="14"/>
    </row>
    <row r="5317" spans="9:10">
      <c r="I5317" s="14"/>
      <c r="J5317" s="14"/>
    </row>
    <row r="5318" spans="9:10">
      <c r="I5318" s="14"/>
      <c r="J5318" s="14"/>
    </row>
    <row r="5319" spans="9:10">
      <c r="I5319" s="14"/>
      <c r="J5319" s="14"/>
    </row>
    <row r="5320" spans="9:10">
      <c r="I5320" s="14"/>
      <c r="J5320" s="14"/>
    </row>
    <row r="5321" spans="9:10">
      <c r="I5321" s="14"/>
      <c r="J5321" s="14"/>
    </row>
    <row r="5322" spans="9:10">
      <c r="I5322" s="14"/>
      <c r="J5322" s="14"/>
    </row>
    <row r="5323" spans="9:10">
      <c r="I5323" s="14"/>
      <c r="J5323" s="14"/>
    </row>
    <row r="5324" spans="9:10">
      <c r="I5324" s="14"/>
      <c r="J5324" s="14"/>
    </row>
    <row r="5325" spans="9:10">
      <c r="I5325" s="14"/>
      <c r="J5325" s="14"/>
    </row>
    <row r="5326" spans="9:10">
      <c r="I5326" s="14"/>
      <c r="J5326" s="14"/>
    </row>
    <row r="5327" spans="9:10">
      <c r="I5327" s="14"/>
      <c r="J5327" s="14"/>
    </row>
    <row r="5328" spans="9:10">
      <c r="I5328" s="14"/>
      <c r="J5328" s="14"/>
    </row>
    <row r="5329" spans="9:10">
      <c r="I5329" s="14"/>
      <c r="J5329" s="14"/>
    </row>
    <row r="5330" spans="9:10">
      <c r="I5330" s="14"/>
      <c r="J5330" s="14"/>
    </row>
    <row r="5331" spans="9:10">
      <c r="I5331" s="14"/>
      <c r="J5331" s="14"/>
    </row>
    <row r="5332" spans="9:10">
      <c r="I5332" s="14"/>
      <c r="J5332" s="14"/>
    </row>
    <row r="5333" spans="9:10">
      <c r="I5333" s="14"/>
      <c r="J5333" s="14"/>
    </row>
    <row r="5334" spans="9:10">
      <c r="I5334" s="14"/>
      <c r="J5334" s="14"/>
    </row>
    <row r="5335" spans="9:10">
      <c r="I5335" s="14"/>
      <c r="J5335" s="14"/>
    </row>
    <row r="5336" spans="9:10">
      <c r="I5336" s="14"/>
      <c r="J5336" s="14"/>
    </row>
    <row r="5337" spans="9:10">
      <c r="I5337" s="14"/>
      <c r="J5337" s="14"/>
    </row>
    <row r="5338" spans="9:10">
      <c r="I5338" s="14"/>
      <c r="J5338" s="14"/>
    </row>
    <row r="5339" spans="9:10">
      <c r="I5339" s="14"/>
      <c r="J5339" s="14"/>
    </row>
    <row r="5340" spans="9:10">
      <c r="I5340" s="14"/>
      <c r="J5340" s="14"/>
    </row>
    <row r="5341" spans="9:10">
      <c r="I5341" s="14"/>
      <c r="J5341" s="14"/>
    </row>
    <row r="5342" spans="9:10">
      <c r="I5342" s="14"/>
      <c r="J5342" s="14"/>
    </row>
    <row r="5343" spans="9:10">
      <c r="I5343" s="14"/>
      <c r="J5343" s="14"/>
    </row>
    <row r="5344" spans="9:10">
      <c r="I5344" s="14"/>
      <c r="J5344" s="14"/>
    </row>
    <row r="5345" spans="9:10">
      <c r="I5345" s="14"/>
      <c r="J5345" s="14"/>
    </row>
    <row r="5346" spans="9:10">
      <c r="I5346" s="14"/>
      <c r="J5346" s="14"/>
    </row>
    <row r="5347" spans="9:10">
      <c r="I5347" s="14"/>
      <c r="J5347" s="14"/>
    </row>
    <row r="5348" spans="9:10">
      <c r="I5348" s="14"/>
      <c r="J5348" s="14"/>
    </row>
    <row r="5349" spans="9:10">
      <c r="I5349" s="14"/>
      <c r="J5349" s="14"/>
    </row>
    <row r="5350" spans="9:10">
      <c r="I5350" s="14"/>
      <c r="J5350" s="14"/>
    </row>
    <row r="5351" spans="9:10">
      <c r="I5351" s="14"/>
      <c r="J5351" s="14"/>
    </row>
    <row r="5352" spans="9:10">
      <c r="I5352" s="14"/>
      <c r="J5352" s="14"/>
    </row>
    <row r="5353" spans="9:10">
      <c r="I5353" s="14"/>
      <c r="J5353" s="14"/>
    </row>
    <row r="5354" spans="9:10">
      <c r="I5354" s="14"/>
      <c r="J5354" s="14"/>
    </row>
    <row r="5355" spans="9:10">
      <c r="I5355" s="14"/>
      <c r="J5355" s="14"/>
    </row>
    <row r="5356" spans="9:10">
      <c r="I5356" s="14"/>
      <c r="J5356" s="14"/>
    </row>
    <row r="5357" spans="9:10">
      <c r="I5357" s="14"/>
      <c r="J5357" s="14"/>
    </row>
    <row r="5358" spans="9:10">
      <c r="I5358" s="14"/>
      <c r="J5358" s="14"/>
    </row>
    <row r="5359" spans="9:10">
      <c r="I5359" s="14"/>
      <c r="J5359" s="14"/>
    </row>
    <row r="5360" spans="9:10">
      <c r="I5360" s="14"/>
      <c r="J5360" s="14"/>
    </row>
    <row r="5361" spans="9:10">
      <c r="I5361" s="14"/>
      <c r="J5361" s="14"/>
    </row>
    <row r="5362" spans="9:10">
      <c r="I5362" s="14"/>
      <c r="J5362" s="14"/>
    </row>
    <row r="5363" spans="9:10">
      <c r="I5363" s="14"/>
      <c r="J5363" s="14"/>
    </row>
    <row r="5364" spans="9:10">
      <c r="I5364" s="14"/>
      <c r="J5364" s="14"/>
    </row>
    <row r="5365" spans="9:10">
      <c r="I5365" s="14"/>
      <c r="J5365" s="14"/>
    </row>
    <row r="5366" spans="9:10">
      <c r="I5366" s="14"/>
      <c r="J5366" s="14"/>
    </row>
    <row r="5367" spans="9:10">
      <c r="I5367" s="14"/>
      <c r="J5367" s="14"/>
    </row>
    <row r="5368" spans="9:10">
      <c r="I5368" s="14"/>
      <c r="J5368" s="14"/>
    </row>
    <row r="5369" spans="9:10">
      <c r="I5369" s="14"/>
      <c r="J5369" s="14"/>
    </row>
    <row r="5370" spans="9:10">
      <c r="I5370" s="14"/>
      <c r="J5370" s="14"/>
    </row>
    <row r="5371" spans="9:10">
      <c r="I5371" s="14"/>
      <c r="J5371" s="14"/>
    </row>
    <row r="5372" spans="9:10">
      <c r="I5372" s="14"/>
      <c r="J5372" s="14"/>
    </row>
    <row r="5373" spans="9:10">
      <c r="I5373" s="14"/>
      <c r="J5373" s="14"/>
    </row>
    <row r="5374" spans="9:10">
      <c r="I5374" s="14"/>
      <c r="J5374" s="14"/>
    </row>
    <row r="5375" spans="9:10">
      <c r="I5375" s="14"/>
      <c r="J5375" s="14"/>
    </row>
    <row r="5376" spans="9:10">
      <c r="I5376" s="14"/>
      <c r="J5376" s="14"/>
    </row>
    <row r="5377" spans="9:10">
      <c r="I5377" s="14"/>
      <c r="J5377" s="14"/>
    </row>
    <row r="5378" spans="9:10">
      <c r="I5378" s="14"/>
      <c r="J5378" s="14"/>
    </row>
    <row r="5379" spans="9:10">
      <c r="I5379" s="14"/>
      <c r="J5379" s="14"/>
    </row>
    <row r="5380" spans="9:10">
      <c r="I5380" s="14"/>
      <c r="J5380" s="14"/>
    </row>
    <row r="5381" spans="9:10">
      <c r="I5381" s="14"/>
      <c r="J5381" s="14"/>
    </row>
    <row r="5382" spans="9:10">
      <c r="I5382" s="14"/>
      <c r="J5382" s="14"/>
    </row>
    <row r="5383" spans="9:10">
      <c r="I5383" s="14"/>
      <c r="J5383" s="14"/>
    </row>
    <row r="5384" spans="9:10">
      <c r="I5384" s="14"/>
      <c r="J5384" s="14"/>
    </row>
    <row r="5385" spans="9:10">
      <c r="I5385" s="14"/>
      <c r="J5385" s="14"/>
    </row>
    <row r="5386" spans="9:10">
      <c r="I5386" s="14"/>
      <c r="J5386" s="14"/>
    </row>
    <row r="5387" spans="9:10">
      <c r="I5387" s="14"/>
      <c r="J5387" s="14"/>
    </row>
    <row r="5388" spans="9:10">
      <c r="I5388" s="14"/>
      <c r="J5388" s="14"/>
    </row>
    <row r="5389" spans="9:10">
      <c r="I5389" s="14"/>
      <c r="J5389" s="14"/>
    </row>
    <row r="5390" spans="9:10">
      <c r="I5390" s="14"/>
      <c r="J5390" s="14"/>
    </row>
    <row r="5391" spans="9:10">
      <c r="I5391" s="14"/>
      <c r="J5391" s="14"/>
    </row>
    <row r="5392" spans="9:10">
      <c r="I5392" s="14"/>
      <c r="J5392" s="14"/>
    </row>
    <row r="5393" spans="9:10">
      <c r="I5393" s="14"/>
      <c r="J5393" s="14"/>
    </row>
    <row r="5394" spans="9:10">
      <c r="I5394" s="14"/>
      <c r="J5394" s="14"/>
    </row>
    <row r="5395" spans="9:10">
      <c r="I5395" s="14"/>
      <c r="J5395" s="14"/>
    </row>
    <row r="5396" spans="9:10">
      <c r="I5396" s="14"/>
      <c r="J5396" s="14"/>
    </row>
    <row r="5397" spans="9:10">
      <c r="I5397" s="14"/>
      <c r="J5397" s="14"/>
    </row>
    <row r="5398" spans="9:10">
      <c r="I5398" s="14"/>
      <c r="J5398" s="14"/>
    </row>
    <row r="5399" spans="9:10">
      <c r="I5399" s="14"/>
      <c r="J5399" s="14"/>
    </row>
    <row r="5400" spans="9:10">
      <c r="I5400" s="14"/>
      <c r="J5400" s="14"/>
    </row>
    <row r="5401" spans="9:10">
      <c r="I5401" s="14"/>
      <c r="J5401" s="14"/>
    </row>
    <row r="5402" spans="9:10">
      <c r="I5402" s="14"/>
      <c r="J5402" s="14"/>
    </row>
    <row r="5403" spans="9:10">
      <c r="I5403" s="14"/>
      <c r="J5403" s="14"/>
    </row>
    <row r="5404" spans="9:10">
      <c r="I5404" s="14"/>
      <c r="J5404" s="14"/>
    </row>
    <row r="5405" spans="9:10">
      <c r="I5405" s="14"/>
      <c r="J5405" s="14"/>
    </row>
    <row r="5406" spans="9:10">
      <c r="I5406" s="14"/>
      <c r="J5406" s="14"/>
    </row>
    <row r="5407" spans="9:10">
      <c r="I5407" s="14"/>
      <c r="J5407" s="14"/>
    </row>
    <row r="5408" spans="9:10">
      <c r="I5408" s="14"/>
      <c r="J5408" s="14"/>
    </row>
    <row r="5409" spans="9:10">
      <c r="I5409" s="14"/>
      <c r="J5409" s="14"/>
    </row>
    <row r="5410" spans="9:10">
      <c r="I5410" s="14"/>
      <c r="J5410" s="14"/>
    </row>
    <row r="5411" spans="9:10">
      <c r="I5411" s="14"/>
      <c r="J5411" s="14"/>
    </row>
    <row r="5412" spans="9:10">
      <c r="I5412" s="14"/>
      <c r="J5412" s="14"/>
    </row>
    <row r="5413" spans="9:10">
      <c r="I5413" s="14"/>
      <c r="J5413" s="14"/>
    </row>
    <row r="5414" spans="9:10">
      <c r="I5414" s="14"/>
      <c r="J5414" s="14"/>
    </row>
    <row r="5415" spans="9:10">
      <c r="I5415" s="14"/>
      <c r="J5415" s="14"/>
    </row>
    <row r="5416" spans="9:10">
      <c r="I5416" s="14"/>
      <c r="J5416" s="14"/>
    </row>
    <row r="5417" spans="9:10">
      <c r="I5417" s="14"/>
      <c r="J5417" s="14"/>
    </row>
    <row r="5418" spans="9:10">
      <c r="I5418" s="14"/>
      <c r="J5418" s="14"/>
    </row>
    <row r="5419" spans="9:10">
      <c r="I5419" s="14"/>
      <c r="J5419" s="14"/>
    </row>
    <row r="5420" spans="9:10">
      <c r="I5420" s="14"/>
      <c r="J5420" s="14"/>
    </row>
    <row r="5421" spans="9:10">
      <c r="I5421" s="14"/>
      <c r="J5421" s="14"/>
    </row>
    <row r="5422" spans="9:10">
      <c r="I5422" s="14"/>
      <c r="J5422" s="14"/>
    </row>
    <row r="5423" spans="9:10">
      <c r="I5423" s="14"/>
      <c r="J5423" s="14"/>
    </row>
    <row r="5424" spans="9:10">
      <c r="I5424" s="14"/>
      <c r="J5424" s="14"/>
    </row>
    <row r="5425" spans="9:10">
      <c r="I5425" s="14"/>
      <c r="J5425" s="14"/>
    </row>
    <row r="5426" spans="9:10">
      <c r="I5426" s="14"/>
      <c r="J5426" s="14"/>
    </row>
    <row r="5427" spans="9:10">
      <c r="I5427" s="14"/>
      <c r="J5427" s="14"/>
    </row>
    <row r="5428" spans="9:10">
      <c r="I5428" s="14"/>
      <c r="J5428" s="14"/>
    </row>
    <row r="5429" spans="9:10">
      <c r="I5429" s="14"/>
      <c r="J5429" s="14"/>
    </row>
    <row r="5430" spans="9:10">
      <c r="I5430" s="14"/>
      <c r="J5430" s="14"/>
    </row>
    <row r="5431" spans="9:10">
      <c r="I5431" s="14"/>
      <c r="J5431" s="14"/>
    </row>
    <row r="5432" spans="9:10">
      <c r="I5432" s="14"/>
      <c r="J5432" s="14"/>
    </row>
    <row r="5433" spans="9:10">
      <c r="I5433" s="14"/>
      <c r="J5433" s="14"/>
    </row>
    <row r="5434" spans="9:10">
      <c r="I5434" s="14"/>
      <c r="J5434" s="14"/>
    </row>
    <row r="5435" spans="9:10">
      <c r="I5435" s="14"/>
      <c r="J5435" s="14"/>
    </row>
    <row r="5436" spans="9:10">
      <c r="I5436" s="14"/>
      <c r="J5436" s="14"/>
    </row>
    <row r="5437" spans="9:10">
      <c r="I5437" s="14"/>
      <c r="J5437" s="14"/>
    </row>
    <row r="5438" spans="9:10">
      <c r="I5438" s="14"/>
      <c r="J5438" s="14"/>
    </row>
    <row r="5439" spans="9:10">
      <c r="I5439" s="14"/>
      <c r="J5439" s="14"/>
    </row>
    <row r="5440" spans="9:10">
      <c r="I5440" s="14"/>
      <c r="J5440" s="14"/>
    </row>
    <row r="5441" spans="9:10">
      <c r="I5441" s="14"/>
      <c r="J5441" s="14"/>
    </row>
    <row r="5442" spans="9:10">
      <c r="I5442" s="14"/>
      <c r="J5442" s="14"/>
    </row>
    <row r="5443" spans="9:10">
      <c r="I5443" s="14"/>
      <c r="J5443" s="14"/>
    </row>
    <row r="5444" spans="9:10">
      <c r="I5444" s="14"/>
      <c r="J5444" s="14"/>
    </row>
    <row r="5445" spans="9:10">
      <c r="I5445" s="14"/>
      <c r="J5445" s="14"/>
    </row>
    <row r="5446" spans="9:10">
      <c r="I5446" s="14"/>
      <c r="J5446" s="14"/>
    </row>
    <row r="5447" spans="9:10">
      <c r="I5447" s="14"/>
      <c r="J5447" s="14"/>
    </row>
    <row r="5448" spans="9:10">
      <c r="I5448" s="14"/>
      <c r="J5448" s="14"/>
    </row>
    <row r="5449" spans="9:10">
      <c r="I5449" s="14"/>
      <c r="J5449" s="14"/>
    </row>
    <row r="5450" spans="9:10">
      <c r="I5450" s="14"/>
      <c r="J5450" s="14"/>
    </row>
    <row r="5451" spans="9:10">
      <c r="I5451" s="14"/>
      <c r="J5451" s="14"/>
    </row>
    <row r="5452" spans="9:10">
      <c r="I5452" s="14"/>
      <c r="J5452" s="14"/>
    </row>
    <row r="5453" spans="9:10">
      <c r="I5453" s="14"/>
      <c r="J5453" s="14"/>
    </row>
    <row r="5454" spans="9:10">
      <c r="I5454" s="14"/>
      <c r="J5454" s="14"/>
    </row>
    <row r="5455" spans="9:10">
      <c r="I5455" s="14"/>
      <c r="J5455" s="14"/>
    </row>
    <row r="5456" spans="9:10">
      <c r="I5456" s="14"/>
      <c r="J5456" s="14"/>
    </row>
    <row r="5457" spans="9:10">
      <c r="I5457" s="14"/>
      <c r="J5457" s="14"/>
    </row>
    <row r="5458" spans="9:10">
      <c r="I5458" s="14"/>
      <c r="J5458" s="14"/>
    </row>
    <row r="5459" spans="9:10">
      <c r="I5459" s="14"/>
      <c r="J5459" s="14"/>
    </row>
    <row r="5460" spans="9:10">
      <c r="I5460" s="14"/>
      <c r="J5460" s="14"/>
    </row>
    <row r="5461" spans="9:10">
      <c r="I5461" s="14"/>
      <c r="J5461" s="14"/>
    </row>
    <row r="5462" spans="9:10">
      <c r="I5462" s="14"/>
      <c r="J5462" s="14"/>
    </row>
    <row r="5463" spans="9:10">
      <c r="I5463" s="14"/>
      <c r="J5463" s="14"/>
    </row>
    <row r="5464" spans="9:10">
      <c r="I5464" s="14"/>
      <c r="J5464" s="14"/>
    </row>
    <row r="5465" spans="9:10">
      <c r="I5465" s="14"/>
      <c r="J5465" s="14"/>
    </row>
    <row r="5466" spans="9:10">
      <c r="I5466" s="14"/>
      <c r="J5466" s="14"/>
    </row>
    <row r="5467" spans="9:10">
      <c r="I5467" s="14"/>
      <c r="J5467" s="14"/>
    </row>
    <row r="5468" spans="9:10">
      <c r="I5468" s="14"/>
      <c r="J5468" s="14"/>
    </row>
    <row r="5469" spans="9:10">
      <c r="I5469" s="14"/>
      <c r="J5469" s="14"/>
    </row>
    <row r="5470" spans="9:10">
      <c r="I5470" s="14"/>
      <c r="J5470" s="14"/>
    </row>
    <row r="5471" spans="9:10">
      <c r="I5471" s="14"/>
      <c r="J5471" s="14"/>
    </row>
    <row r="5472" spans="9:10">
      <c r="I5472" s="14"/>
      <c r="J5472" s="14"/>
    </row>
    <row r="5473" spans="9:10">
      <c r="I5473" s="14"/>
      <c r="J5473" s="14"/>
    </row>
    <row r="5474" spans="9:10">
      <c r="I5474" s="14"/>
      <c r="J5474" s="14"/>
    </row>
    <row r="5475" spans="9:10">
      <c r="I5475" s="14"/>
      <c r="J5475" s="14"/>
    </row>
    <row r="5476" spans="9:10">
      <c r="I5476" s="14"/>
      <c r="J5476" s="14"/>
    </row>
    <row r="5477" spans="9:10">
      <c r="I5477" s="14"/>
      <c r="J5477" s="14"/>
    </row>
    <row r="5478" spans="9:10">
      <c r="I5478" s="14"/>
      <c r="J5478" s="14"/>
    </row>
    <row r="5479" spans="9:10">
      <c r="I5479" s="14"/>
      <c r="J5479" s="14"/>
    </row>
    <row r="5480" spans="9:10">
      <c r="I5480" s="14"/>
      <c r="J5480" s="14"/>
    </row>
    <row r="5481" spans="9:10">
      <c r="I5481" s="14"/>
      <c r="J5481" s="14"/>
    </row>
    <row r="5482" spans="9:10">
      <c r="I5482" s="14"/>
      <c r="J5482" s="14"/>
    </row>
    <row r="5483" spans="9:10">
      <c r="I5483" s="14"/>
      <c r="J5483" s="14"/>
    </row>
    <row r="5484" spans="9:10">
      <c r="I5484" s="14"/>
      <c r="J5484" s="14"/>
    </row>
    <row r="5485" spans="9:10">
      <c r="I5485" s="14"/>
      <c r="J5485" s="14"/>
    </row>
    <row r="5486" spans="9:10">
      <c r="I5486" s="14"/>
      <c r="J5486" s="14"/>
    </row>
    <row r="5487" spans="9:10">
      <c r="I5487" s="14"/>
      <c r="J5487" s="14"/>
    </row>
    <row r="5488" spans="9:10">
      <c r="I5488" s="14"/>
      <c r="J5488" s="14"/>
    </row>
    <row r="5489" spans="9:10">
      <c r="I5489" s="14"/>
      <c r="J5489" s="14"/>
    </row>
    <row r="5490" spans="9:10">
      <c r="I5490" s="14"/>
      <c r="J5490" s="14"/>
    </row>
    <row r="5491" spans="9:10">
      <c r="I5491" s="14"/>
      <c r="J5491" s="14"/>
    </row>
    <row r="5492" spans="9:10">
      <c r="I5492" s="14"/>
      <c r="J5492" s="14"/>
    </row>
    <row r="5493" spans="9:10">
      <c r="I5493" s="14"/>
      <c r="J5493" s="14"/>
    </row>
    <row r="5494" spans="9:10">
      <c r="I5494" s="14"/>
      <c r="J5494" s="14"/>
    </row>
    <row r="5495" spans="9:10">
      <c r="I5495" s="14"/>
      <c r="J5495" s="14"/>
    </row>
    <row r="5496" spans="9:10">
      <c r="I5496" s="14"/>
      <c r="J5496" s="14"/>
    </row>
    <row r="5497" spans="9:10">
      <c r="I5497" s="14"/>
      <c r="J5497" s="14"/>
    </row>
    <row r="5498" spans="9:10">
      <c r="I5498" s="14"/>
      <c r="J5498" s="14"/>
    </row>
    <row r="5499" spans="9:10">
      <c r="I5499" s="14"/>
      <c r="J5499" s="14"/>
    </row>
    <row r="5500" spans="9:10">
      <c r="I5500" s="14"/>
      <c r="J5500" s="14"/>
    </row>
    <row r="5501" spans="9:10">
      <c r="I5501" s="14"/>
      <c r="J5501" s="14"/>
    </row>
    <row r="5502" spans="9:10">
      <c r="I5502" s="14"/>
      <c r="J5502" s="14"/>
    </row>
    <row r="5503" spans="9:10">
      <c r="I5503" s="14"/>
      <c r="J5503" s="14"/>
    </row>
    <row r="5504" spans="9:10">
      <c r="I5504" s="14"/>
      <c r="J5504" s="14"/>
    </row>
    <row r="5505" spans="9:10">
      <c r="I5505" s="14"/>
      <c r="J5505" s="14"/>
    </row>
    <row r="5506" spans="9:10">
      <c r="I5506" s="14"/>
      <c r="J5506" s="14"/>
    </row>
    <row r="5507" spans="9:10">
      <c r="I5507" s="14"/>
      <c r="J5507" s="14"/>
    </row>
    <row r="5508" spans="9:10">
      <c r="I5508" s="14"/>
      <c r="J5508" s="14"/>
    </row>
    <row r="5509" spans="9:10">
      <c r="I5509" s="14"/>
      <c r="J5509" s="14"/>
    </row>
    <row r="5510" spans="9:10">
      <c r="I5510" s="14"/>
      <c r="J5510" s="14"/>
    </row>
    <row r="5511" spans="9:10">
      <c r="I5511" s="14"/>
      <c r="J5511" s="14"/>
    </row>
    <row r="5512" spans="9:10">
      <c r="I5512" s="14"/>
      <c r="J5512" s="14"/>
    </row>
    <row r="5513" spans="9:10">
      <c r="I5513" s="14"/>
      <c r="J5513" s="14"/>
    </row>
    <row r="5514" spans="9:10">
      <c r="I5514" s="14"/>
      <c r="J5514" s="14"/>
    </row>
    <row r="5515" spans="9:10">
      <c r="I5515" s="14"/>
      <c r="J5515" s="14"/>
    </row>
    <row r="5516" spans="9:10">
      <c r="I5516" s="14"/>
      <c r="J5516" s="14"/>
    </row>
    <row r="5517" spans="9:10">
      <c r="I5517" s="14"/>
      <c r="J5517" s="14"/>
    </row>
    <row r="5518" spans="9:10">
      <c r="I5518" s="14"/>
      <c r="J5518" s="14"/>
    </row>
    <row r="5519" spans="9:10">
      <c r="I5519" s="14"/>
      <c r="J5519" s="14"/>
    </row>
    <row r="5520" spans="9:10">
      <c r="I5520" s="14"/>
      <c r="J5520" s="14"/>
    </row>
    <row r="5521" spans="9:10">
      <c r="I5521" s="14"/>
      <c r="J5521" s="14"/>
    </row>
    <row r="5522" spans="9:10">
      <c r="I5522" s="14"/>
      <c r="J5522" s="14"/>
    </row>
    <row r="5523" spans="9:10">
      <c r="I5523" s="14"/>
      <c r="J5523" s="14"/>
    </row>
    <row r="5524" spans="9:10">
      <c r="I5524" s="14"/>
      <c r="J5524" s="14"/>
    </row>
    <row r="5525" spans="9:10">
      <c r="I5525" s="14"/>
      <c r="J5525" s="14"/>
    </row>
    <row r="5526" spans="9:10">
      <c r="I5526" s="14"/>
      <c r="J5526" s="14"/>
    </row>
    <row r="5527" spans="9:10">
      <c r="I5527" s="14"/>
      <c r="J5527" s="14"/>
    </row>
    <row r="5528" spans="9:10">
      <c r="I5528" s="14"/>
      <c r="J5528" s="14"/>
    </row>
    <row r="5529" spans="9:10">
      <c r="I5529" s="14"/>
      <c r="J5529" s="14"/>
    </row>
    <row r="5530" spans="9:10">
      <c r="I5530" s="14"/>
      <c r="J5530" s="14"/>
    </row>
    <row r="5531" spans="9:10">
      <c r="I5531" s="14"/>
      <c r="J5531" s="14"/>
    </row>
    <row r="5532" spans="9:10">
      <c r="I5532" s="14"/>
      <c r="J5532" s="14"/>
    </row>
    <row r="5533" spans="9:10">
      <c r="I5533" s="14"/>
      <c r="J5533" s="14"/>
    </row>
    <row r="5534" spans="9:10">
      <c r="I5534" s="14"/>
      <c r="J5534" s="14"/>
    </row>
    <row r="5535" spans="9:10">
      <c r="I5535" s="14"/>
      <c r="J5535" s="14"/>
    </row>
    <row r="5536" spans="9:10">
      <c r="I5536" s="14"/>
      <c r="J5536" s="14"/>
    </row>
    <row r="5537" spans="9:10">
      <c r="I5537" s="14"/>
      <c r="J5537" s="14"/>
    </row>
    <row r="5538" spans="9:10">
      <c r="I5538" s="14"/>
      <c r="J5538" s="14"/>
    </row>
    <row r="5539" spans="9:10">
      <c r="I5539" s="14"/>
      <c r="J5539" s="14"/>
    </row>
    <row r="5540" spans="9:10">
      <c r="I5540" s="14"/>
      <c r="J5540" s="14"/>
    </row>
    <row r="5541" spans="9:10">
      <c r="I5541" s="14"/>
      <c r="J5541" s="14"/>
    </row>
    <row r="5542" spans="9:10">
      <c r="I5542" s="14"/>
      <c r="J5542" s="14"/>
    </row>
    <row r="5543" spans="9:10">
      <c r="I5543" s="14"/>
      <c r="J5543" s="14"/>
    </row>
    <row r="5544" spans="9:10">
      <c r="I5544" s="14"/>
      <c r="J5544" s="14"/>
    </row>
    <row r="5545" spans="9:10">
      <c r="I5545" s="14"/>
      <c r="J5545" s="14"/>
    </row>
    <row r="5546" spans="9:10">
      <c r="I5546" s="14"/>
      <c r="J5546" s="14"/>
    </row>
    <row r="5547" spans="9:10">
      <c r="I5547" s="14"/>
      <c r="J5547" s="14"/>
    </row>
    <row r="5548" spans="9:10">
      <c r="I5548" s="14"/>
      <c r="J5548" s="14"/>
    </row>
    <row r="5549" spans="9:10">
      <c r="I5549" s="14"/>
      <c r="J5549" s="14"/>
    </row>
    <row r="5550" spans="9:10">
      <c r="I5550" s="14"/>
      <c r="J5550" s="14"/>
    </row>
    <row r="5551" spans="9:10">
      <c r="I5551" s="14"/>
      <c r="J5551" s="14"/>
    </row>
    <row r="5552" spans="9:10">
      <c r="I5552" s="14"/>
      <c r="J5552" s="14"/>
    </row>
    <row r="5553" spans="9:10">
      <c r="I5553" s="14"/>
      <c r="J5553" s="14"/>
    </row>
    <row r="5554" spans="9:10">
      <c r="I5554" s="14"/>
      <c r="J5554" s="14"/>
    </row>
    <row r="5555" spans="9:10">
      <c r="I5555" s="14"/>
      <c r="J5555" s="14"/>
    </row>
    <row r="5556" spans="9:10">
      <c r="I5556" s="14"/>
      <c r="J5556" s="14"/>
    </row>
    <row r="5557" spans="9:10">
      <c r="I5557" s="14"/>
      <c r="J5557" s="14"/>
    </row>
    <row r="5558" spans="9:10">
      <c r="I5558" s="14"/>
      <c r="J5558" s="14"/>
    </row>
    <row r="5559" spans="9:10">
      <c r="I5559" s="14"/>
      <c r="J5559" s="14"/>
    </row>
    <row r="5560" spans="9:10">
      <c r="I5560" s="14"/>
      <c r="J5560" s="14"/>
    </row>
    <row r="5561" spans="9:10">
      <c r="I5561" s="14"/>
      <c r="J5561" s="14"/>
    </row>
    <row r="5562" spans="9:10">
      <c r="I5562" s="14"/>
      <c r="J5562" s="14"/>
    </row>
    <row r="5563" spans="9:10">
      <c r="I5563" s="14"/>
      <c r="J5563" s="14"/>
    </row>
    <row r="5564" spans="9:10">
      <c r="I5564" s="14"/>
      <c r="J5564" s="14"/>
    </row>
    <row r="5565" spans="9:10">
      <c r="I5565" s="14"/>
      <c r="J5565" s="14"/>
    </row>
    <row r="5566" spans="9:10">
      <c r="I5566" s="14"/>
      <c r="J5566" s="14"/>
    </row>
    <row r="5567" spans="9:10">
      <c r="I5567" s="14"/>
      <c r="J5567" s="14"/>
    </row>
    <row r="5568" spans="9:10">
      <c r="I5568" s="14"/>
      <c r="J5568" s="14"/>
    </row>
    <row r="5569" spans="9:10">
      <c r="I5569" s="14"/>
      <c r="J5569" s="14"/>
    </row>
    <row r="5570" spans="9:10">
      <c r="I5570" s="14"/>
      <c r="J5570" s="14"/>
    </row>
    <row r="5571" spans="9:10">
      <c r="I5571" s="14"/>
      <c r="J5571" s="14"/>
    </row>
    <row r="5572" spans="9:10">
      <c r="I5572" s="14"/>
      <c r="J5572" s="14"/>
    </row>
    <row r="5573" spans="9:10">
      <c r="I5573" s="14"/>
      <c r="J5573" s="14"/>
    </row>
    <row r="5574" spans="9:10">
      <c r="I5574" s="14"/>
      <c r="J5574" s="14"/>
    </row>
    <row r="5575" spans="9:10">
      <c r="I5575" s="14"/>
      <c r="J5575" s="14"/>
    </row>
    <row r="5576" spans="9:10">
      <c r="I5576" s="14"/>
      <c r="J5576" s="14"/>
    </row>
    <row r="5577" spans="9:10">
      <c r="I5577" s="14"/>
      <c r="J5577" s="14"/>
    </row>
    <row r="5578" spans="9:10">
      <c r="I5578" s="14"/>
      <c r="J5578" s="14"/>
    </row>
    <row r="5579" spans="9:10">
      <c r="I5579" s="14"/>
      <c r="J5579" s="14"/>
    </row>
    <row r="5580" spans="9:10">
      <c r="I5580" s="14"/>
      <c r="J5580" s="14"/>
    </row>
    <row r="5581" spans="9:10">
      <c r="I5581" s="14"/>
      <c r="J5581" s="14"/>
    </row>
    <row r="5582" spans="9:10">
      <c r="I5582" s="14"/>
      <c r="J5582" s="14"/>
    </row>
    <row r="5583" spans="9:10">
      <c r="I5583" s="14"/>
      <c r="J5583" s="14"/>
    </row>
    <row r="5584" spans="9:10">
      <c r="I5584" s="14"/>
      <c r="J5584" s="14"/>
    </row>
    <row r="5585" spans="9:10">
      <c r="I5585" s="14"/>
      <c r="J5585" s="14"/>
    </row>
    <row r="5586" spans="9:10">
      <c r="I5586" s="14"/>
      <c r="J5586" s="14"/>
    </row>
    <row r="5587" spans="9:10">
      <c r="I5587" s="14"/>
      <c r="J5587" s="14"/>
    </row>
    <row r="5588" spans="9:10">
      <c r="I5588" s="14"/>
      <c r="J5588" s="14"/>
    </row>
    <row r="5589" spans="9:10">
      <c r="I5589" s="14"/>
      <c r="J5589" s="14"/>
    </row>
    <row r="5590" spans="9:10">
      <c r="I5590" s="14"/>
      <c r="J5590" s="14"/>
    </row>
    <row r="5591" spans="9:10">
      <c r="I5591" s="14"/>
      <c r="J5591" s="14"/>
    </row>
    <row r="5592" spans="9:10">
      <c r="I5592" s="14"/>
      <c r="J5592" s="14"/>
    </row>
    <row r="5593" spans="9:10">
      <c r="I5593" s="14"/>
      <c r="J5593" s="14"/>
    </row>
    <row r="5594" spans="9:10">
      <c r="I5594" s="14"/>
      <c r="J5594" s="14"/>
    </row>
    <row r="5595" spans="9:10">
      <c r="I5595" s="14"/>
      <c r="J5595" s="14"/>
    </row>
    <row r="5596" spans="9:10">
      <c r="I5596" s="14"/>
      <c r="J5596" s="14"/>
    </row>
    <row r="5597" spans="9:10">
      <c r="I5597" s="14"/>
      <c r="J5597" s="14"/>
    </row>
    <row r="5598" spans="9:10">
      <c r="I5598" s="14"/>
      <c r="J5598" s="14"/>
    </row>
    <row r="5599" spans="9:10">
      <c r="I5599" s="14"/>
      <c r="J5599" s="14"/>
    </row>
    <row r="5600" spans="9:10">
      <c r="I5600" s="14"/>
      <c r="J5600" s="14"/>
    </row>
    <row r="5601" spans="9:10">
      <c r="I5601" s="14"/>
      <c r="J5601" s="14"/>
    </row>
    <row r="5602" spans="9:10">
      <c r="I5602" s="14"/>
      <c r="J5602" s="14"/>
    </row>
    <row r="5603" spans="9:10">
      <c r="I5603" s="14"/>
      <c r="J5603" s="14"/>
    </row>
    <row r="5604" spans="9:10">
      <c r="I5604" s="14"/>
      <c r="J5604" s="14"/>
    </row>
    <row r="5605" spans="9:10">
      <c r="I5605" s="14"/>
      <c r="J5605" s="14"/>
    </row>
    <row r="5606" spans="9:10">
      <c r="I5606" s="14"/>
      <c r="J5606" s="14"/>
    </row>
    <row r="5607" spans="9:10">
      <c r="I5607" s="14"/>
      <c r="J5607" s="14"/>
    </row>
    <row r="5608" spans="9:10">
      <c r="I5608" s="14"/>
      <c r="J5608" s="14"/>
    </row>
    <row r="5609" spans="9:10">
      <c r="I5609" s="14"/>
      <c r="J5609" s="14"/>
    </row>
    <row r="5610" spans="9:10">
      <c r="I5610" s="14"/>
      <c r="J5610" s="14"/>
    </row>
    <row r="5611" spans="9:10">
      <c r="I5611" s="14"/>
      <c r="J5611" s="14"/>
    </row>
    <row r="5612" spans="9:10">
      <c r="I5612" s="14"/>
      <c r="J5612" s="14"/>
    </row>
    <row r="5613" spans="9:10">
      <c r="I5613" s="14"/>
      <c r="J5613" s="14"/>
    </row>
    <row r="5614" spans="9:10">
      <c r="I5614" s="14"/>
      <c r="J5614" s="14"/>
    </row>
    <row r="5615" spans="9:10">
      <c r="I5615" s="14"/>
      <c r="J5615" s="14"/>
    </row>
    <row r="5616" spans="9:10">
      <c r="I5616" s="14"/>
      <c r="J5616" s="14"/>
    </row>
    <row r="5617" spans="9:10">
      <c r="I5617" s="14"/>
      <c r="J5617" s="14"/>
    </row>
    <row r="5618" spans="9:10">
      <c r="I5618" s="14"/>
      <c r="J5618" s="14"/>
    </row>
    <row r="5619" spans="9:10">
      <c r="I5619" s="14"/>
      <c r="J5619" s="14"/>
    </row>
    <row r="5620" spans="9:10">
      <c r="I5620" s="14"/>
      <c r="J5620" s="14"/>
    </row>
    <row r="5621" spans="9:10">
      <c r="I5621" s="14"/>
      <c r="J5621" s="14"/>
    </row>
    <row r="5622" spans="9:10">
      <c r="I5622" s="14"/>
      <c r="J5622" s="14"/>
    </row>
    <row r="5623" spans="9:10">
      <c r="I5623" s="14"/>
      <c r="J5623" s="14"/>
    </row>
    <row r="5624" spans="9:10">
      <c r="I5624" s="14"/>
      <c r="J5624" s="14"/>
    </row>
    <row r="5625" spans="9:10">
      <c r="I5625" s="14"/>
      <c r="J5625" s="14"/>
    </row>
    <row r="5626" spans="9:10">
      <c r="I5626" s="14"/>
      <c r="J5626" s="14"/>
    </row>
    <row r="5627" spans="9:10">
      <c r="I5627" s="14"/>
      <c r="J5627" s="14"/>
    </row>
    <row r="5628" spans="9:10">
      <c r="I5628" s="14"/>
      <c r="J5628" s="14"/>
    </row>
    <row r="5629" spans="9:10">
      <c r="I5629" s="14"/>
      <c r="J5629" s="14"/>
    </row>
    <row r="5630" spans="9:10">
      <c r="I5630" s="14"/>
      <c r="J5630" s="14"/>
    </row>
    <row r="5631" spans="9:10">
      <c r="I5631" s="14"/>
      <c r="J5631" s="14"/>
    </row>
    <row r="5632" spans="9:10">
      <c r="I5632" s="14"/>
      <c r="J5632" s="14"/>
    </row>
    <row r="5633" spans="9:10">
      <c r="I5633" s="14"/>
      <c r="J5633" s="14"/>
    </row>
    <row r="5634" spans="9:10">
      <c r="I5634" s="14"/>
      <c r="J5634" s="14"/>
    </row>
    <row r="5635" spans="9:10">
      <c r="I5635" s="14"/>
      <c r="J5635" s="14"/>
    </row>
    <row r="5636" spans="9:10">
      <c r="I5636" s="14"/>
      <c r="J5636" s="14"/>
    </row>
    <row r="5637" spans="9:10">
      <c r="I5637" s="14"/>
      <c r="J5637" s="14"/>
    </row>
    <row r="5638" spans="9:10">
      <c r="I5638" s="14"/>
      <c r="J5638" s="14"/>
    </row>
    <row r="5639" spans="9:10">
      <c r="I5639" s="14"/>
      <c r="J5639" s="14"/>
    </row>
    <row r="5640" spans="9:10">
      <c r="I5640" s="14"/>
      <c r="J5640" s="14"/>
    </row>
    <row r="5641" spans="9:10">
      <c r="I5641" s="14"/>
      <c r="J5641" s="14"/>
    </row>
    <row r="5642" spans="9:10">
      <c r="I5642" s="14"/>
      <c r="J5642" s="14"/>
    </row>
    <row r="5643" spans="9:10">
      <c r="I5643" s="14"/>
      <c r="J5643" s="14"/>
    </row>
    <row r="5644" spans="9:10">
      <c r="I5644" s="14"/>
      <c r="J5644" s="14"/>
    </row>
    <row r="5645" spans="9:10">
      <c r="I5645" s="14"/>
      <c r="J5645" s="14"/>
    </row>
    <row r="5646" spans="9:10">
      <c r="I5646" s="14"/>
      <c r="J5646" s="14"/>
    </row>
    <row r="5647" spans="9:10">
      <c r="I5647" s="14"/>
      <c r="J5647" s="14"/>
    </row>
    <row r="5648" spans="9:10">
      <c r="I5648" s="14"/>
      <c r="J5648" s="14"/>
    </row>
    <row r="5649" spans="9:10">
      <c r="I5649" s="14"/>
      <c r="J5649" s="14"/>
    </row>
    <row r="5650" spans="9:10">
      <c r="I5650" s="14"/>
      <c r="J5650" s="14"/>
    </row>
    <row r="5651" spans="9:10">
      <c r="I5651" s="14"/>
      <c r="J5651" s="14"/>
    </row>
    <row r="5652" spans="9:10">
      <c r="I5652" s="14"/>
      <c r="J5652" s="14"/>
    </row>
    <row r="5653" spans="9:10">
      <c r="I5653" s="14"/>
      <c r="J5653" s="14"/>
    </row>
    <row r="5654" spans="9:10">
      <c r="I5654" s="14"/>
      <c r="J5654" s="14"/>
    </row>
    <row r="5655" spans="9:10">
      <c r="I5655" s="14"/>
      <c r="J5655" s="14"/>
    </row>
    <row r="5656" spans="9:10">
      <c r="I5656" s="14"/>
      <c r="J5656" s="14"/>
    </row>
    <row r="5657" spans="9:10">
      <c r="I5657" s="14"/>
      <c r="J5657" s="14"/>
    </row>
    <row r="5658" spans="9:10">
      <c r="I5658" s="14"/>
      <c r="J5658" s="14"/>
    </row>
    <row r="5659" spans="9:10">
      <c r="I5659" s="14"/>
      <c r="J5659" s="14"/>
    </row>
    <row r="5660" spans="9:10">
      <c r="I5660" s="14"/>
      <c r="J5660" s="14"/>
    </row>
    <row r="5661" spans="9:10">
      <c r="I5661" s="14"/>
      <c r="J5661" s="14"/>
    </row>
    <row r="5662" spans="9:10">
      <c r="I5662" s="14"/>
      <c r="J5662" s="14"/>
    </row>
    <row r="5663" spans="9:10">
      <c r="I5663" s="14"/>
      <c r="J5663" s="14"/>
    </row>
    <row r="5664" spans="9:10">
      <c r="I5664" s="14"/>
      <c r="J5664" s="14"/>
    </row>
    <row r="5665" spans="9:10">
      <c r="I5665" s="14"/>
      <c r="J5665" s="14"/>
    </row>
    <row r="5666" spans="9:10">
      <c r="I5666" s="14"/>
      <c r="J5666" s="14"/>
    </row>
    <row r="5667" spans="9:10">
      <c r="I5667" s="14"/>
      <c r="J5667" s="14"/>
    </row>
    <row r="5668" spans="9:10">
      <c r="I5668" s="14"/>
      <c r="J5668" s="14"/>
    </row>
    <row r="5669" spans="9:10">
      <c r="I5669" s="14"/>
      <c r="J5669" s="14"/>
    </row>
    <row r="5670" spans="9:10">
      <c r="I5670" s="14"/>
      <c r="J5670" s="14"/>
    </row>
    <row r="5671" spans="9:10">
      <c r="I5671" s="14"/>
      <c r="J5671" s="14"/>
    </row>
    <row r="5672" spans="9:10">
      <c r="I5672" s="14"/>
      <c r="J5672" s="14"/>
    </row>
    <row r="5673" spans="9:10">
      <c r="I5673" s="14"/>
      <c r="J5673" s="14"/>
    </row>
    <row r="5674" spans="9:10">
      <c r="I5674" s="14"/>
      <c r="J5674" s="14"/>
    </row>
    <row r="5675" spans="9:10">
      <c r="I5675" s="14"/>
      <c r="J5675" s="14"/>
    </row>
    <row r="5676" spans="9:10">
      <c r="I5676" s="14"/>
      <c r="J5676" s="14"/>
    </row>
    <row r="5677" spans="9:10">
      <c r="I5677" s="14"/>
      <c r="J5677" s="14"/>
    </row>
    <row r="5678" spans="9:10">
      <c r="I5678" s="14"/>
      <c r="J5678" s="14"/>
    </row>
    <row r="5679" spans="9:10">
      <c r="I5679" s="14"/>
      <c r="J5679" s="14"/>
    </row>
    <row r="5680" spans="9:10">
      <c r="I5680" s="14"/>
      <c r="J5680" s="14"/>
    </row>
    <row r="5681" spans="9:10">
      <c r="I5681" s="14"/>
      <c r="J5681" s="14"/>
    </row>
    <row r="5682" spans="9:10">
      <c r="I5682" s="14"/>
      <c r="J5682" s="14"/>
    </row>
    <row r="5683" spans="9:10">
      <c r="I5683" s="14"/>
      <c r="J5683" s="14"/>
    </row>
    <row r="5684" spans="9:10">
      <c r="I5684" s="14"/>
      <c r="J5684" s="14"/>
    </row>
    <row r="5685" spans="9:10">
      <c r="I5685" s="14"/>
      <c r="J5685" s="14"/>
    </row>
    <row r="5686" spans="9:10">
      <c r="I5686" s="14"/>
      <c r="J5686" s="14"/>
    </row>
    <row r="5687" spans="9:10">
      <c r="I5687" s="14"/>
      <c r="J5687" s="14"/>
    </row>
    <row r="5688" spans="9:10">
      <c r="I5688" s="14"/>
      <c r="J5688" s="14"/>
    </row>
    <row r="5689" spans="9:10">
      <c r="I5689" s="14"/>
      <c r="J5689" s="14"/>
    </row>
    <row r="5690" spans="9:10">
      <c r="I5690" s="14"/>
      <c r="J5690" s="14"/>
    </row>
    <row r="5691" spans="9:10">
      <c r="I5691" s="14"/>
      <c r="J5691" s="14"/>
    </row>
    <row r="5692" spans="9:10">
      <c r="I5692" s="14"/>
      <c r="J5692" s="14"/>
    </row>
    <row r="5693" spans="9:10">
      <c r="I5693" s="14"/>
      <c r="J5693" s="14"/>
    </row>
    <row r="5694" spans="9:10">
      <c r="I5694" s="14"/>
      <c r="J5694" s="14"/>
    </row>
    <row r="5695" spans="9:10">
      <c r="I5695" s="14"/>
      <c r="J5695" s="14"/>
    </row>
    <row r="5696" spans="9:10">
      <c r="I5696" s="14"/>
      <c r="J5696" s="14"/>
    </row>
    <row r="5697" spans="9:10">
      <c r="I5697" s="14"/>
      <c r="J5697" s="14"/>
    </row>
    <row r="5698" spans="9:10">
      <c r="I5698" s="14"/>
      <c r="J5698" s="14"/>
    </row>
    <row r="5699" spans="9:10">
      <c r="I5699" s="14"/>
      <c r="J5699" s="14"/>
    </row>
    <row r="5700" spans="9:10">
      <c r="I5700" s="14"/>
      <c r="J5700" s="14"/>
    </row>
    <row r="5701" spans="9:10">
      <c r="I5701" s="14"/>
      <c r="J5701" s="14"/>
    </row>
    <row r="5702" spans="9:10">
      <c r="I5702" s="14"/>
      <c r="J5702" s="14"/>
    </row>
    <row r="5703" spans="9:10">
      <c r="I5703" s="14"/>
      <c r="J5703" s="14"/>
    </row>
    <row r="5704" spans="9:10">
      <c r="I5704" s="14"/>
      <c r="J5704" s="14"/>
    </row>
    <row r="5705" spans="9:10">
      <c r="I5705" s="14"/>
      <c r="J5705" s="14"/>
    </row>
    <row r="5706" spans="9:10">
      <c r="I5706" s="14"/>
      <c r="J5706" s="14"/>
    </row>
    <row r="5707" spans="9:10">
      <c r="I5707" s="14"/>
      <c r="J5707" s="14"/>
    </row>
    <row r="5708" spans="9:10">
      <c r="I5708" s="14"/>
      <c r="J5708" s="14"/>
    </row>
    <row r="5709" spans="9:10">
      <c r="I5709" s="14"/>
      <c r="J5709" s="14"/>
    </row>
    <row r="5710" spans="9:10">
      <c r="I5710" s="14"/>
      <c r="J5710" s="14"/>
    </row>
    <row r="5711" spans="9:10">
      <c r="I5711" s="14"/>
      <c r="J5711" s="14"/>
    </row>
    <row r="5712" spans="9:10">
      <c r="I5712" s="14"/>
      <c r="J5712" s="14"/>
    </row>
    <row r="5713" spans="9:10">
      <c r="I5713" s="14"/>
      <c r="J5713" s="14"/>
    </row>
    <row r="5714" spans="9:10">
      <c r="I5714" s="14"/>
      <c r="J5714" s="14"/>
    </row>
    <row r="5715" spans="9:10">
      <c r="I5715" s="14"/>
      <c r="J5715" s="14"/>
    </row>
    <row r="5716" spans="9:10">
      <c r="I5716" s="14"/>
      <c r="J5716" s="14"/>
    </row>
    <row r="5717" spans="9:10">
      <c r="I5717" s="14"/>
      <c r="J5717" s="14"/>
    </row>
    <row r="5718" spans="9:10">
      <c r="I5718" s="14"/>
      <c r="J5718" s="14"/>
    </row>
    <row r="5719" spans="9:10">
      <c r="I5719" s="14"/>
      <c r="J5719" s="14"/>
    </row>
    <row r="5720" spans="9:10">
      <c r="I5720" s="14"/>
      <c r="J5720" s="14"/>
    </row>
    <row r="5721" spans="9:10">
      <c r="I5721" s="14"/>
      <c r="J5721" s="14"/>
    </row>
    <row r="5722" spans="9:10">
      <c r="I5722" s="14"/>
      <c r="J5722" s="14"/>
    </row>
    <row r="5723" spans="9:10">
      <c r="I5723" s="14"/>
      <c r="J5723" s="14"/>
    </row>
    <row r="5724" spans="9:10">
      <c r="I5724" s="14"/>
      <c r="J5724" s="14"/>
    </row>
    <row r="5725" spans="9:10">
      <c r="I5725" s="14"/>
      <c r="J5725" s="14"/>
    </row>
    <row r="5726" spans="9:10">
      <c r="I5726" s="14"/>
      <c r="J5726" s="14"/>
    </row>
    <row r="5727" spans="9:10">
      <c r="I5727" s="14"/>
      <c r="J5727" s="14"/>
    </row>
    <row r="5728" spans="9:10">
      <c r="I5728" s="14"/>
      <c r="J5728" s="14"/>
    </row>
    <row r="5729" spans="9:10">
      <c r="I5729" s="14"/>
      <c r="J5729" s="14"/>
    </row>
    <row r="5730" spans="9:10">
      <c r="I5730" s="14"/>
      <c r="J5730" s="14"/>
    </row>
    <row r="5731" spans="9:10">
      <c r="I5731" s="14"/>
      <c r="J5731" s="14"/>
    </row>
    <row r="5732" spans="9:10">
      <c r="I5732" s="14"/>
      <c r="J5732" s="14"/>
    </row>
    <row r="5733" spans="9:10">
      <c r="I5733" s="14"/>
      <c r="J5733" s="14"/>
    </row>
    <row r="5734" spans="9:10">
      <c r="I5734" s="14"/>
      <c r="J5734" s="14"/>
    </row>
    <row r="5735" spans="9:10">
      <c r="I5735" s="14"/>
      <c r="J5735" s="14"/>
    </row>
    <row r="5736" spans="9:10">
      <c r="I5736" s="14"/>
      <c r="J5736" s="14"/>
    </row>
    <row r="5737" spans="9:10">
      <c r="I5737" s="14"/>
      <c r="J5737" s="14"/>
    </row>
    <row r="5738" spans="9:10">
      <c r="I5738" s="14"/>
      <c r="J5738" s="14"/>
    </row>
    <row r="5739" spans="9:10">
      <c r="I5739" s="14"/>
      <c r="J5739" s="14"/>
    </row>
    <row r="5740" spans="9:10">
      <c r="I5740" s="14"/>
      <c r="J5740" s="14"/>
    </row>
    <row r="5741" spans="9:10">
      <c r="I5741" s="14"/>
      <c r="J5741" s="14"/>
    </row>
    <row r="5742" spans="9:10">
      <c r="I5742" s="14"/>
      <c r="J5742" s="14"/>
    </row>
    <row r="5743" spans="9:10">
      <c r="I5743" s="14"/>
      <c r="J5743" s="14"/>
    </row>
    <row r="5744" spans="9:10">
      <c r="I5744" s="14"/>
      <c r="J5744" s="14"/>
    </row>
    <row r="5745" spans="9:10">
      <c r="I5745" s="14"/>
      <c r="J5745" s="14"/>
    </row>
    <row r="5746" spans="9:10">
      <c r="I5746" s="14"/>
      <c r="J5746" s="14"/>
    </row>
    <row r="5747" spans="9:10">
      <c r="I5747" s="14"/>
      <c r="J5747" s="14"/>
    </row>
    <row r="5748" spans="9:10">
      <c r="I5748" s="14"/>
      <c r="J5748" s="14"/>
    </row>
    <row r="5749" spans="9:10">
      <c r="I5749" s="14"/>
      <c r="J5749" s="14"/>
    </row>
    <row r="5750" spans="9:10">
      <c r="I5750" s="14"/>
      <c r="J5750" s="14"/>
    </row>
    <row r="5751" spans="9:10">
      <c r="I5751" s="14"/>
      <c r="J5751" s="14"/>
    </row>
    <row r="5752" spans="9:10">
      <c r="I5752" s="14"/>
      <c r="J5752" s="14"/>
    </row>
    <row r="5753" spans="9:10">
      <c r="I5753" s="14"/>
      <c r="J5753" s="14"/>
    </row>
    <row r="5754" spans="9:10">
      <c r="I5754" s="14"/>
      <c r="J5754" s="14"/>
    </row>
    <row r="5755" spans="9:10">
      <c r="I5755" s="14"/>
      <c r="J5755" s="14"/>
    </row>
    <row r="5756" spans="9:10">
      <c r="I5756" s="14"/>
      <c r="J5756" s="14"/>
    </row>
    <row r="5757" spans="9:10">
      <c r="I5757" s="14"/>
      <c r="J5757" s="14"/>
    </row>
    <row r="5758" spans="9:10">
      <c r="I5758" s="14"/>
      <c r="J5758" s="14"/>
    </row>
    <row r="5759" spans="9:10">
      <c r="I5759" s="14"/>
      <c r="J5759" s="14"/>
    </row>
    <row r="5760" spans="9:10">
      <c r="I5760" s="14"/>
      <c r="J5760" s="14"/>
    </row>
    <row r="5761" spans="9:10">
      <c r="I5761" s="14"/>
      <c r="J5761" s="14"/>
    </row>
    <row r="5762" spans="9:10">
      <c r="I5762" s="14"/>
      <c r="J5762" s="14"/>
    </row>
    <row r="5763" spans="9:10">
      <c r="I5763" s="14"/>
      <c r="J5763" s="14"/>
    </row>
    <row r="5764" spans="9:10">
      <c r="I5764" s="14"/>
      <c r="J5764" s="14"/>
    </row>
    <row r="5765" spans="9:10">
      <c r="I5765" s="14"/>
      <c r="J5765" s="14"/>
    </row>
    <row r="5766" spans="9:10">
      <c r="I5766" s="14"/>
      <c r="J5766" s="14"/>
    </row>
    <row r="5767" spans="9:10">
      <c r="I5767" s="14"/>
      <c r="J5767" s="14"/>
    </row>
    <row r="5768" spans="9:10">
      <c r="I5768" s="14"/>
      <c r="J5768" s="14"/>
    </row>
    <row r="5769" spans="9:10">
      <c r="I5769" s="14"/>
      <c r="J5769" s="14"/>
    </row>
    <row r="5770" spans="9:10">
      <c r="I5770" s="14"/>
      <c r="J5770" s="14"/>
    </row>
    <row r="5771" spans="9:10">
      <c r="I5771" s="14"/>
      <c r="J5771" s="14"/>
    </row>
    <row r="5772" spans="9:10">
      <c r="I5772" s="14"/>
      <c r="J5772" s="14"/>
    </row>
    <row r="5773" spans="9:10">
      <c r="I5773" s="14"/>
      <c r="J5773" s="14"/>
    </row>
    <row r="5774" spans="9:10">
      <c r="I5774" s="14"/>
      <c r="J5774" s="14"/>
    </row>
    <row r="5775" spans="9:10">
      <c r="I5775" s="14"/>
      <c r="J5775" s="14"/>
    </row>
    <row r="5776" spans="9:10">
      <c r="I5776" s="14"/>
      <c r="J5776" s="14"/>
    </row>
    <row r="5777" spans="9:10">
      <c r="I5777" s="14"/>
      <c r="J5777" s="14"/>
    </row>
    <row r="5778" spans="9:10">
      <c r="I5778" s="14"/>
      <c r="J5778" s="14"/>
    </row>
    <row r="5779" spans="9:10">
      <c r="I5779" s="14"/>
      <c r="J5779" s="14"/>
    </row>
    <row r="5780" spans="9:10">
      <c r="I5780" s="14"/>
      <c r="J5780" s="14"/>
    </row>
    <row r="5781" spans="9:10">
      <c r="I5781" s="14"/>
      <c r="J5781" s="14"/>
    </row>
    <row r="5782" spans="9:10">
      <c r="I5782" s="14"/>
      <c r="J5782" s="14"/>
    </row>
    <row r="5783" spans="9:10">
      <c r="I5783" s="14"/>
      <c r="J5783" s="14"/>
    </row>
    <row r="5784" spans="9:10">
      <c r="I5784" s="14"/>
      <c r="J5784" s="14"/>
    </row>
    <row r="5785" spans="9:10">
      <c r="I5785" s="14"/>
      <c r="J5785" s="14"/>
    </row>
    <row r="5786" spans="9:10">
      <c r="I5786" s="14"/>
      <c r="J5786" s="14"/>
    </row>
    <row r="5787" spans="9:10">
      <c r="I5787" s="14"/>
      <c r="J5787" s="14"/>
    </row>
    <row r="5788" spans="9:10">
      <c r="I5788" s="14"/>
      <c r="J5788" s="14"/>
    </row>
    <row r="5789" spans="9:10">
      <c r="I5789" s="14"/>
      <c r="J5789" s="14"/>
    </row>
    <row r="5790" spans="9:10">
      <c r="I5790" s="14"/>
      <c r="J5790" s="14"/>
    </row>
    <row r="5791" spans="9:10">
      <c r="I5791" s="14"/>
      <c r="J5791" s="14"/>
    </row>
    <row r="5792" spans="9:10">
      <c r="I5792" s="14"/>
      <c r="J5792" s="14"/>
    </row>
    <row r="5793" spans="9:10">
      <c r="I5793" s="14"/>
      <c r="J5793" s="14"/>
    </row>
    <row r="5794" spans="9:10">
      <c r="I5794" s="14"/>
      <c r="J5794" s="14"/>
    </row>
    <row r="5795" spans="9:10">
      <c r="I5795" s="14"/>
      <c r="J5795" s="14"/>
    </row>
    <row r="5796" spans="9:10">
      <c r="I5796" s="14"/>
      <c r="J5796" s="14"/>
    </row>
    <row r="5797" spans="9:10">
      <c r="I5797" s="14"/>
      <c r="J5797" s="14"/>
    </row>
    <row r="5798" spans="9:10">
      <c r="I5798" s="14"/>
      <c r="J5798" s="14"/>
    </row>
    <row r="5799" spans="9:10">
      <c r="I5799" s="14"/>
      <c r="J5799" s="14"/>
    </row>
    <row r="5800" spans="9:10">
      <c r="I5800" s="14"/>
      <c r="J5800" s="14"/>
    </row>
    <row r="5801" spans="9:10">
      <c r="I5801" s="14"/>
      <c r="J5801" s="14"/>
    </row>
    <row r="5802" spans="9:10">
      <c r="I5802" s="14"/>
      <c r="J5802" s="14"/>
    </row>
    <row r="5803" spans="9:10">
      <c r="I5803" s="14"/>
      <c r="J5803" s="14"/>
    </row>
    <row r="5804" spans="9:10">
      <c r="I5804" s="14"/>
      <c r="J5804" s="14"/>
    </row>
    <row r="5805" spans="9:10">
      <c r="I5805" s="14"/>
      <c r="J5805" s="14"/>
    </row>
    <row r="5806" spans="9:10">
      <c r="I5806" s="14"/>
      <c r="J5806" s="14"/>
    </row>
    <row r="5807" spans="9:10">
      <c r="I5807" s="14"/>
      <c r="J5807" s="14"/>
    </row>
    <row r="5808" spans="9:10">
      <c r="I5808" s="14"/>
      <c r="J5808" s="14"/>
    </row>
    <row r="5809" spans="9:10">
      <c r="I5809" s="14"/>
      <c r="J5809" s="14"/>
    </row>
    <row r="5810" spans="9:10">
      <c r="I5810" s="14"/>
      <c r="J5810" s="14"/>
    </row>
    <row r="5811" spans="9:10">
      <c r="I5811" s="14"/>
      <c r="J5811" s="14"/>
    </row>
    <row r="5812" spans="9:10">
      <c r="I5812" s="14"/>
      <c r="J5812" s="14"/>
    </row>
    <row r="5813" spans="9:10">
      <c r="I5813" s="14"/>
      <c r="J5813" s="14"/>
    </row>
    <row r="5814" spans="9:10">
      <c r="I5814" s="14"/>
      <c r="J5814" s="14"/>
    </row>
    <row r="5815" spans="9:10">
      <c r="I5815" s="14"/>
      <c r="J5815" s="14"/>
    </row>
    <row r="5816" spans="9:10">
      <c r="I5816" s="14"/>
      <c r="J5816" s="14"/>
    </row>
    <row r="5817" spans="9:10">
      <c r="I5817" s="14"/>
      <c r="J5817" s="14"/>
    </row>
    <row r="5818" spans="9:10">
      <c r="I5818" s="14"/>
      <c r="J5818" s="14"/>
    </row>
    <row r="5819" spans="9:10">
      <c r="I5819" s="14"/>
      <c r="J5819" s="14"/>
    </row>
    <row r="5820" spans="9:10">
      <c r="I5820" s="14"/>
      <c r="J5820" s="14"/>
    </row>
    <row r="5821" spans="9:10">
      <c r="I5821" s="14"/>
      <c r="J5821" s="14"/>
    </row>
    <row r="5822" spans="9:10">
      <c r="I5822" s="14"/>
      <c r="J5822" s="14"/>
    </row>
    <row r="5823" spans="9:10">
      <c r="I5823" s="14"/>
      <c r="J5823" s="14"/>
    </row>
    <row r="5824" spans="9:10">
      <c r="I5824" s="14"/>
      <c r="J5824" s="14"/>
    </row>
    <row r="5825" spans="9:10">
      <c r="I5825" s="14"/>
      <c r="J5825" s="14"/>
    </row>
    <row r="5826" spans="9:10">
      <c r="I5826" s="14"/>
      <c r="J5826" s="14"/>
    </row>
    <row r="5827" spans="9:10">
      <c r="I5827" s="14"/>
      <c r="J5827" s="14"/>
    </row>
    <row r="5828" spans="9:10">
      <c r="I5828" s="14"/>
      <c r="J5828" s="14"/>
    </row>
    <row r="5829" spans="9:10">
      <c r="I5829" s="14"/>
      <c r="J5829" s="14"/>
    </row>
    <row r="5830" spans="9:10">
      <c r="I5830" s="14"/>
      <c r="J5830" s="14"/>
    </row>
    <row r="5831" spans="9:10">
      <c r="I5831" s="14"/>
      <c r="J5831" s="14"/>
    </row>
    <row r="5832" spans="9:10">
      <c r="I5832" s="14"/>
      <c r="J5832" s="14"/>
    </row>
    <row r="5833" spans="9:10">
      <c r="I5833" s="14"/>
      <c r="J5833" s="14"/>
    </row>
    <row r="5834" spans="9:10">
      <c r="I5834" s="14"/>
      <c r="J5834" s="14"/>
    </row>
    <row r="5835" spans="9:10">
      <c r="I5835" s="14"/>
      <c r="J5835" s="14"/>
    </row>
    <row r="5836" spans="9:10">
      <c r="I5836" s="14"/>
      <c r="J5836" s="14"/>
    </row>
    <row r="5837" spans="9:10">
      <c r="I5837" s="14"/>
      <c r="J5837" s="14"/>
    </row>
    <row r="5838" spans="9:10">
      <c r="I5838" s="14"/>
      <c r="J5838" s="14"/>
    </row>
    <row r="5839" spans="9:10">
      <c r="I5839" s="14"/>
      <c r="J5839" s="14"/>
    </row>
    <row r="5840" spans="9:10">
      <c r="I5840" s="14"/>
      <c r="J5840" s="14"/>
    </row>
    <row r="5841" spans="9:10">
      <c r="I5841" s="14"/>
      <c r="J5841" s="14"/>
    </row>
    <row r="5842" spans="9:10">
      <c r="I5842" s="14"/>
      <c r="J5842" s="14"/>
    </row>
    <row r="5843" spans="9:10">
      <c r="I5843" s="14"/>
      <c r="J5843" s="14"/>
    </row>
    <row r="5844" spans="9:10">
      <c r="I5844" s="14"/>
      <c r="J5844" s="14"/>
    </row>
    <row r="5845" spans="9:10">
      <c r="I5845" s="14"/>
      <c r="J5845" s="14"/>
    </row>
    <row r="5846" spans="9:10">
      <c r="I5846" s="14"/>
      <c r="J5846" s="14"/>
    </row>
    <row r="5847" spans="9:10">
      <c r="I5847" s="14"/>
      <c r="J5847" s="14"/>
    </row>
    <row r="5848" spans="9:10">
      <c r="I5848" s="14"/>
      <c r="J5848" s="14"/>
    </row>
    <row r="5849" spans="9:10">
      <c r="I5849" s="14"/>
      <c r="J5849" s="14"/>
    </row>
    <row r="5850" spans="9:10">
      <c r="I5850" s="14"/>
      <c r="J5850" s="14"/>
    </row>
    <row r="5851" spans="9:10">
      <c r="I5851" s="14"/>
      <c r="J5851" s="14"/>
    </row>
    <row r="5852" spans="9:10">
      <c r="I5852" s="14"/>
      <c r="J5852" s="14"/>
    </row>
    <row r="5853" spans="9:10">
      <c r="I5853" s="14"/>
      <c r="J5853" s="14"/>
    </row>
    <row r="5854" spans="9:10">
      <c r="I5854" s="14"/>
      <c r="J5854" s="14"/>
    </row>
    <row r="5855" spans="9:10">
      <c r="I5855" s="14"/>
      <c r="J5855" s="14"/>
    </row>
    <row r="5856" spans="9:10">
      <c r="I5856" s="14"/>
      <c r="J5856" s="14"/>
    </row>
    <row r="5857" spans="9:10">
      <c r="I5857" s="14"/>
      <c r="J5857" s="14"/>
    </row>
    <row r="5858" spans="9:10">
      <c r="I5858" s="14"/>
      <c r="J5858" s="14"/>
    </row>
    <row r="5859" spans="9:10">
      <c r="I5859" s="14"/>
      <c r="J5859" s="14"/>
    </row>
    <row r="5860" spans="9:10">
      <c r="I5860" s="14"/>
      <c r="J5860" s="14"/>
    </row>
    <row r="5861" spans="9:10">
      <c r="I5861" s="14"/>
      <c r="J5861" s="14"/>
    </row>
    <row r="5862" spans="9:10">
      <c r="I5862" s="14"/>
      <c r="J5862" s="14"/>
    </row>
    <row r="5863" spans="9:10">
      <c r="I5863" s="14"/>
      <c r="J5863" s="14"/>
    </row>
    <row r="5864" spans="9:10">
      <c r="I5864" s="14"/>
      <c r="J5864" s="14"/>
    </row>
    <row r="5865" spans="9:10">
      <c r="I5865" s="14"/>
      <c r="J5865" s="14"/>
    </row>
    <row r="5866" spans="9:10">
      <c r="I5866" s="14"/>
      <c r="J5866" s="14"/>
    </row>
    <row r="5867" spans="9:10">
      <c r="I5867" s="14"/>
      <c r="J5867" s="14"/>
    </row>
    <row r="5868" spans="9:10">
      <c r="I5868" s="14"/>
      <c r="J5868" s="14"/>
    </row>
    <row r="5869" spans="9:10">
      <c r="I5869" s="14"/>
      <c r="J5869" s="14"/>
    </row>
    <row r="5870" spans="9:10">
      <c r="I5870" s="14"/>
      <c r="J5870" s="14"/>
    </row>
    <row r="5871" spans="9:10">
      <c r="I5871" s="14"/>
      <c r="J5871" s="14"/>
    </row>
    <row r="5872" spans="9:10">
      <c r="I5872" s="14"/>
      <c r="J5872" s="14"/>
    </row>
    <row r="5873" spans="9:10">
      <c r="I5873" s="14"/>
      <c r="J5873" s="14"/>
    </row>
    <row r="5874" spans="9:10">
      <c r="I5874" s="14"/>
      <c r="J5874" s="14"/>
    </row>
    <row r="5875" spans="9:10">
      <c r="I5875" s="14"/>
      <c r="J5875" s="14"/>
    </row>
    <row r="5876" spans="9:10">
      <c r="I5876" s="14"/>
      <c r="J5876" s="14"/>
    </row>
    <row r="5877" spans="9:10">
      <c r="I5877" s="14"/>
      <c r="J5877" s="14"/>
    </row>
    <row r="5878" spans="9:10">
      <c r="I5878" s="14"/>
      <c r="J5878" s="14"/>
    </row>
    <row r="5879" spans="9:10">
      <c r="I5879" s="14"/>
      <c r="J5879" s="14"/>
    </row>
    <row r="5880" spans="9:10">
      <c r="I5880" s="14"/>
      <c r="J5880" s="14"/>
    </row>
    <row r="5881" spans="9:10">
      <c r="I5881" s="14"/>
      <c r="J5881" s="14"/>
    </row>
    <row r="5882" spans="9:10">
      <c r="I5882" s="14"/>
      <c r="J5882" s="14"/>
    </row>
    <row r="5883" spans="9:10">
      <c r="I5883" s="14"/>
      <c r="J5883" s="14"/>
    </row>
    <row r="5884" spans="9:10">
      <c r="I5884" s="14"/>
      <c r="J5884" s="14"/>
    </row>
    <row r="5885" spans="9:10">
      <c r="I5885" s="14"/>
      <c r="J5885" s="14"/>
    </row>
    <row r="5886" spans="9:10">
      <c r="I5886" s="14"/>
      <c r="J5886" s="14"/>
    </row>
    <row r="5887" spans="9:10">
      <c r="I5887" s="14"/>
      <c r="J5887" s="14"/>
    </row>
    <row r="5888" spans="9:10">
      <c r="I5888" s="14"/>
      <c r="J5888" s="14"/>
    </row>
    <row r="5889" spans="9:10">
      <c r="I5889" s="14"/>
      <c r="J5889" s="14"/>
    </row>
    <row r="5890" spans="9:10">
      <c r="I5890" s="14"/>
      <c r="J5890" s="14"/>
    </row>
    <row r="5891" spans="9:10">
      <c r="I5891" s="14"/>
      <c r="J5891" s="14"/>
    </row>
    <row r="5892" spans="9:10">
      <c r="I5892" s="14"/>
      <c r="J5892" s="14"/>
    </row>
    <row r="5893" spans="9:10">
      <c r="I5893" s="14"/>
      <c r="J5893" s="14"/>
    </row>
    <row r="5894" spans="9:10">
      <c r="I5894" s="14"/>
      <c r="J5894" s="14"/>
    </row>
    <row r="5895" spans="9:10">
      <c r="I5895" s="14"/>
      <c r="J5895" s="14"/>
    </row>
    <row r="5896" spans="9:10">
      <c r="I5896" s="14"/>
      <c r="J5896" s="14"/>
    </row>
    <row r="5897" spans="9:10">
      <c r="I5897" s="14"/>
      <c r="J5897" s="14"/>
    </row>
    <row r="5898" spans="9:10">
      <c r="I5898" s="14"/>
      <c r="J5898" s="14"/>
    </row>
    <row r="5899" spans="9:10">
      <c r="I5899" s="14"/>
      <c r="J5899" s="14"/>
    </row>
    <row r="5900" spans="9:10">
      <c r="I5900" s="14"/>
      <c r="J5900" s="14"/>
    </row>
    <row r="5901" spans="9:10">
      <c r="I5901" s="14"/>
      <c r="J5901" s="14"/>
    </row>
    <row r="5902" spans="9:10">
      <c r="I5902" s="14"/>
      <c r="J5902" s="14"/>
    </row>
    <row r="5903" spans="9:10">
      <c r="I5903" s="14"/>
      <c r="J5903" s="14"/>
    </row>
    <row r="5904" spans="9:10">
      <c r="I5904" s="14"/>
      <c r="J5904" s="14"/>
    </row>
    <row r="5905" spans="9:10">
      <c r="I5905" s="14"/>
      <c r="J5905" s="14"/>
    </row>
    <row r="5906" spans="9:10">
      <c r="I5906" s="14"/>
      <c r="J5906" s="14"/>
    </row>
    <row r="5907" spans="9:10">
      <c r="I5907" s="14"/>
      <c r="J5907" s="14"/>
    </row>
    <row r="5908" spans="9:10">
      <c r="I5908" s="14"/>
      <c r="J5908" s="14"/>
    </row>
    <row r="5909" spans="9:10">
      <c r="I5909" s="14"/>
      <c r="J5909" s="14"/>
    </row>
    <row r="5910" spans="9:10">
      <c r="I5910" s="14"/>
      <c r="J5910" s="14"/>
    </row>
    <row r="5911" spans="9:10">
      <c r="I5911" s="14"/>
      <c r="J5911" s="14"/>
    </row>
    <row r="5912" spans="9:10">
      <c r="I5912" s="14"/>
      <c r="J5912" s="14"/>
    </row>
    <row r="5913" spans="9:10">
      <c r="I5913" s="14"/>
      <c r="J5913" s="14"/>
    </row>
    <row r="5914" spans="9:10">
      <c r="I5914" s="14"/>
      <c r="J5914" s="14"/>
    </row>
    <row r="5915" spans="9:10">
      <c r="I5915" s="14"/>
      <c r="J5915" s="14"/>
    </row>
    <row r="5916" spans="9:10">
      <c r="I5916" s="14"/>
      <c r="J5916" s="14"/>
    </row>
    <row r="5917" spans="9:10">
      <c r="I5917" s="14"/>
      <c r="J5917" s="14"/>
    </row>
    <row r="5918" spans="9:10">
      <c r="I5918" s="14"/>
      <c r="J5918" s="14"/>
    </row>
    <row r="5919" spans="9:10">
      <c r="I5919" s="14"/>
      <c r="J5919" s="14"/>
    </row>
    <row r="5920" spans="9:10">
      <c r="I5920" s="14"/>
      <c r="J5920" s="14"/>
    </row>
    <row r="5921" spans="9:10">
      <c r="I5921" s="14"/>
      <c r="J5921" s="14"/>
    </row>
    <row r="5922" spans="9:10">
      <c r="I5922" s="14"/>
      <c r="J5922" s="14"/>
    </row>
    <row r="5923" spans="9:10">
      <c r="I5923" s="14"/>
      <c r="J5923" s="14"/>
    </row>
    <row r="5924" spans="9:10">
      <c r="I5924" s="14"/>
      <c r="J5924" s="14"/>
    </row>
    <row r="5925" spans="9:10">
      <c r="I5925" s="14"/>
      <c r="J5925" s="14"/>
    </row>
    <row r="5926" spans="9:10">
      <c r="I5926" s="14"/>
      <c r="J5926" s="14"/>
    </row>
    <row r="5927" spans="9:10">
      <c r="I5927" s="14"/>
      <c r="J5927" s="14"/>
    </row>
    <row r="5928" spans="9:10">
      <c r="I5928" s="14"/>
      <c r="J5928" s="14"/>
    </row>
    <row r="5929" spans="9:10">
      <c r="I5929" s="14"/>
      <c r="J5929" s="14"/>
    </row>
    <row r="5930" spans="9:10">
      <c r="I5930" s="14"/>
      <c r="J5930" s="14"/>
    </row>
    <row r="5931" spans="9:10">
      <c r="I5931" s="14"/>
      <c r="J5931" s="14"/>
    </row>
    <row r="5932" spans="9:10">
      <c r="I5932" s="14"/>
      <c r="J5932" s="14"/>
    </row>
    <row r="5933" spans="9:10">
      <c r="I5933" s="14"/>
      <c r="J5933" s="14"/>
    </row>
    <row r="5934" spans="9:10">
      <c r="I5934" s="14"/>
      <c r="J5934" s="14"/>
    </row>
    <row r="5935" spans="9:10">
      <c r="I5935" s="14"/>
      <c r="J5935" s="14"/>
    </row>
    <row r="5936" spans="9:10">
      <c r="I5936" s="14"/>
      <c r="J5936" s="14"/>
    </row>
    <row r="5937" spans="9:10">
      <c r="I5937" s="14"/>
      <c r="J5937" s="14"/>
    </row>
    <row r="5938" spans="9:10">
      <c r="I5938" s="14"/>
      <c r="J5938" s="14"/>
    </row>
    <row r="5939" spans="9:10">
      <c r="I5939" s="14"/>
      <c r="J5939" s="14"/>
    </row>
    <row r="5940" spans="9:10">
      <c r="I5940" s="14"/>
      <c r="J5940" s="14"/>
    </row>
    <row r="5941" spans="9:10">
      <c r="I5941" s="14"/>
      <c r="J5941" s="14"/>
    </row>
    <row r="5942" spans="9:10">
      <c r="I5942" s="14"/>
      <c r="J5942" s="14"/>
    </row>
    <row r="5943" spans="9:10">
      <c r="I5943" s="14"/>
      <c r="J5943" s="14"/>
    </row>
    <row r="5944" spans="9:10">
      <c r="I5944" s="14"/>
      <c r="J5944" s="14"/>
    </row>
    <row r="5945" spans="9:10">
      <c r="I5945" s="14"/>
      <c r="J5945" s="14"/>
    </row>
    <row r="5946" spans="9:10">
      <c r="I5946" s="14"/>
      <c r="J5946" s="14"/>
    </row>
    <row r="5947" spans="9:10">
      <c r="I5947" s="14"/>
      <c r="J5947" s="14"/>
    </row>
    <row r="5948" spans="9:10">
      <c r="I5948" s="14"/>
      <c r="J5948" s="14"/>
    </row>
    <row r="5949" spans="9:10">
      <c r="I5949" s="14"/>
      <c r="J5949" s="14"/>
    </row>
    <row r="5950" spans="9:10">
      <c r="I5950" s="14"/>
      <c r="J5950" s="14"/>
    </row>
    <row r="5951" spans="9:10">
      <c r="I5951" s="14"/>
      <c r="J5951" s="14"/>
    </row>
    <row r="5952" spans="9:10">
      <c r="I5952" s="14"/>
      <c r="J5952" s="14"/>
    </row>
    <row r="5953" spans="9:10">
      <c r="I5953" s="14"/>
      <c r="J5953" s="14"/>
    </row>
    <row r="5954" spans="9:10">
      <c r="I5954" s="14"/>
      <c r="J5954" s="14"/>
    </row>
    <row r="5955" spans="9:10">
      <c r="I5955" s="14"/>
      <c r="J5955" s="14"/>
    </row>
    <row r="5956" spans="9:10">
      <c r="I5956" s="14"/>
      <c r="J5956" s="14"/>
    </row>
    <row r="5957" spans="9:10">
      <c r="I5957" s="14"/>
      <c r="J5957" s="14"/>
    </row>
    <row r="5958" spans="9:10">
      <c r="I5958" s="14"/>
      <c r="J5958" s="14"/>
    </row>
    <row r="5959" spans="9:10">
      <c r="I5959" s="14"/>
      <c r="J5959" s="14"/>
    </row>
    <row r="5960" spans="9:10">
      <c r="I5960" s="14"/>
      <c r="J5960" s="14"/>
    </row>
    <row r="5961" spans="9:10">
      <c r="I5961" s="14"/>
      <c r="J5961" s="14"/>
    </row>
    <row r="5962" spans="9:10">
      <c r="I5962" s="14"/>
      <c r="J5962" s="14"/>
    </row>
    <row r="5963" spans="9:10">
      <c r="I5963" s="14"/>
      <c r="J5963" s="14"/>
    </row>
    <row r="5964" spans="9:10">
      <c r="I5964" s="14"/>
      <c r="J5964" s="14"/>
    </row>
    <row r="5965" spans="9:10">
      <c r="I5965" s="14"/>
      <c r="J5965" s="14"/>
    </row>
    <row r="5966" spans="9:10">
      <c r="I5966" s="14"/>
      <c r="J5966" s="14"/>
    </row>
    <row r="5967" spans="9:10">
      <c r="I5967" s="14"/>
      <c r="J5967" s="14"/>
    </row>
    <row r="5968" spans="9:10">
      <c r="I5968" s="14"/>
      <c r="J5968" s="14"/>
    </row>
    <row r="5969" spans="9:10">
      <c r="I5969" s="14"/>
      <c r="J5969" s="14"/>
    </row>
    <row r="5970" spans="9:10">
      <c r="I5970" s="14"/>
      <c r="J5970" s="14"/>
    </row>
    <row r="5971" spans="9:10">
      <c r="I5971" s="14"/>
      <c r="J5971" s="14"/>
    </row>
    <row r="5972" spans="9:10">
      <c r="I5972" s="14"/>
      <c r="J5972" s="14"/>
    </row>
    <row r="5973" spans="9:10">
      <c r="I5973" s="14"/>
      <c r="J5973" s="14"/>
    </row>
    <row r="5974" spans="9:10">
      <c r="I5974" s="14"/>
      <c r="J5974" s="14"/>
    </row>
    <row r="5975" spans="9:10">
      <c r="I5975" s="14"/>
      <c r="J5975" s="14"/>
    </row>
    <row r="5976" spans="9:10">
      <c r="I5976" s="14"/>
      <c r="J5976" s="14"/>
    </row>
    <row r="5977" spans="9:10">
      <c r="I5977" s="14"/>
      <c r="J5977" s="14"/>
    </row>
    <row r="5978" spans="9:10">
      <c r="I5978" s="14"/>
      <c r="J5978" s="14"/>
    </row>
    <row r="5979" spans="9:10">
      <c r="I5979" s="14"/>
      <c r="J5979" s="14"/>
    </row>
    <row r="5980" spans="9:10">
      <c r="I5980" s="14"/>
      <c r="J5980" s="14"/>
    </row>
    <row r="5981" spans="9:10">
      <c r="I5981" s="14"/>
      <c r="J5981" s="14"/>
    </row>
    <row r="5982" spans="9:10">
      <c r="I5982" s="14"/>
      <c r="J5982" s="14"/>
    </row>
    <row r="5983" spans="9:10">
      <c r="I5983" s="14"/>
      <c r="J5983" s="14"/>
    </row>
    <row r="5984" spans="9:10">
      <c r="I5984" s="14"/>
      <c r="J5984" s="14"/>
    </row>
    <row r="5985" spans="9:10">
      <c r="I5985" s="14"/>
      <c r="J5985" s="14"/>
    </row>
    <row r="5986" spans="9:10">
      <c r="I5986" s="14"/>
      <c r="J5986" s="14"/>
    </row>
    <row r="5987" spans="9:10">
      <c r="I5987" s="14"/>
      <c r="J5987" s="14"/>
    </row>
    <row r="5988" spans="9:10">
      <c r="I5988" s="14"/>
      <c r="J5988" s="14"/>
    </row>
    <row r="5989" spans="9:10">
      <c r="I5989" s="14"/>
      <c r="J5989" s="14"/>
    </row>
    <row r="5990" spans="9:10">
      <c r="I5990" s="14"/>
      <c r="J5990" s="14"/>
    </row>
    <row r="5991" spans="9:10">
      <c r="I5991" s="14"/>
      <c r="J5991" s="14"/>
    </row>
    <row r="5992" spans="9:10">
      <c r="I5992" s="14"/>
      <c r="J5992" s="14"/>
    </row>
    <row r="5993" spans="9:10">
      <c r="I5993" s="14"/>
      <c r="J5993" s="14"/>
    </row>
    <row r="5994" spans="9:10">
      <c r="I5994" s="14"/>
      <c r="J5994" s="14"/>
    </row>
    <row r="5995" spans="9:10">
      <c r="I5995" s="14"/>
      <c r="J5995" s="14"/>
    </row>
    <row r="5996" spans="9:10">
      <c r="I5996" s="14"/>
      <c r="J5996" s="14"/>
    </row>
    <row r="5997" spans="9:10">
      <c r="I5997" s="14"/>
      <c r="J5997" s="14"/>
    </row>
    <row r="5998" spans="9:10">
      <c r="I5998" s="14"/>
      <c r="J5998" s="14"/>
    </row>
    <row r="5999" spans="9:10">
      <c r="I5999" s="14"/>
      <c r="J5999" s="14"/>
    </row>
    <row r="6000" spans="9:10">
      <c r="I6000" s="14"/>
      <c r="J6000" s="14"/>
    </row>
    <row r="6001" spans="9:10">
      <c r="I6001" s="14"/>
      <c r="J6001" s="14"/>
    </row>
    <row r="6002" spans="9:10">
      <c r="I6002" s="14"/>
      <c r="J6002" s="14"/>
    </row>
    <row r="6003" spans="9:10">
      <c r="I6003" s="14"/>
      <c r="J6003" s="14"/>
    </row>
    <row r="6004" spans="9:10">
      <c r="I6004" s="14"/>
      <c r="J6004" s="14"/>
    </row>
    <row r="6005" spans="9:10">
      <c r="I6005" s="14"/>
      <c r="J6005" s="14"/>
    </row>
    <row r="6006" spans="9:10">
      <c r="I6006" s="14"/>
      <c r="J6006" s="14"/>
    </row>
    <row r="6007" spans="9:10">
      <c r="I6007" s="14"/>
      <c r="J6007" s="14"/>
    </row>
    <row r="6008" spans="9:10">
      <c r="I6008" s="14"/>
      <c r="J6008" s="14"/>
    </row>
    <row r="6009" spans="9:10">
      <c r="I6009" s="14"/>
      <c r="J6009" s="14"/>
    </row>
    <row r="6010" spans="9:10">
      <c r="I6010" s="14"/>
      <c r="J6010" s="14"/>
    </row>
    <row r="6011" spans="9:10">
      <c r="I6011" s="14"/>
      <c r="J6011" s="14"/>
    </row>
    <row r="6012" spans="9:10">
      <c r="I6012" s="14"/>
      <c r="J6012" s="14"/>
    </row>
    <row r="6013" spans="9:10">
      <c r="I6013" s="14"/>
      <c r="J6013" s="14"/>
    </row>
    <row r="6014" spans="9:10">
      <c r="I6014" s="14"/>
      <c r="J6014" s="14"/>
    </row>
    <row r="6015" spans="9:10">
      <c r="I6015" s="14"/>
      <c r="J6015" s="14"/>
    </row>
    <row r="6016" spans="9:10">
      <c r="I6016" s="14"/>
      <c r="J6016" s="14"/>
    </row>
    <row r="6017" spans="9:10">
      <c r="I6017" s="14"/>
      <c r="J6017" s="14"/>
    </row>
    <row r="6018" spans="9:10">
      <c r="I6018" s="14"/>
      <c r="J6018" s="14"/>
    </row>
    <row r="6019" spans="9:10">
      <c r="I6019" s="14"/>
      <c r="J6019" s="14"/>
    </row>
    <row r="6020" spans="9:10">
      <c r="I6020" s="14"/>
      <c r="J6020" s="14"/>
    </row>
    <row r="6021" spans="9:10">
      <c r="I6021" s="14"/>
      <c r="J6021" s="14"/>
    </row>
    <row r="6022" spans="9:10">
      <c r="I6022" s="14"/>
      <c r="J6022" s="14"/>
    </row>
    <row r="6023" spans="9:10">
      <c r="I6023" s="14"/>
      <c r="J6023" s="14"/>
    </row>
    <row r="6024" spans="9:10">
      <c r="I6024" s="14"/>
      <c r="J6024" s="14"/>
    </row>
    <row r="6025" spans="9:10">
      <c r="I6025" s="14"/>
      <c r="J6025" s="14"/>
    </row>
    <row r="6026" spans="9:10">
      <c r="I6026" s="14"/>
      <c r="J6026" s="14"/>
    </row>
    <row r="6027" spans="9:10">
      <c r="I6027" s="14"/>
      <c r="J6027" s="14"/>
    </row>
    <row r="6028" spans="9:10">
      <c r="I6028" s="14"/>
      <c r="J6028" s="14"/>
    </row>
    <row r="6029" spans="9:10">
      <c r="I6029" s="14"/>
      <c r="J6029" s="14"/>
    </row>
    <row r="6030" spans="9:10">
      <c r="I6030" s="14"/>
      <c r="J6030" s="14"/>
    </row>
    <row r="6031" spans="9:10">
      <c r="I6031" s="14"/>
      <c r="J6031" s="14"/>
    </row>
    <row r="6032" spans="9:10">
      <c r="I6032" s="14"/>
      <c r="J6032" s="14"/>
    </row>
    <row r="6033" spans="9:10">
      <c r="I6033" s="14"/>
      <c r="J6033" s="14"/>
    </row>
    <row r="6034" spans="9:10">
      <c r="I6034" s="14"/>
      <c r="J6034" s="14"/>
    </row>
    <row r="6035" spans="9:10">
      <c r="I6035" s="14"/>
      <c r="J6035" s="14"/>
    </row>
    <row r="6036" spans="9:10">
      <c r="I6036" s="14"/>
      <c r="J6036" s="14"/>
    </row>
    <row r="6037" spans="9:10">
      <c r="I6037" s="14"/>
      <c r="J6037" s="14"/>
    </row>
    <row r="6038" spans="9:10">
      <c r="I6038" s="14"/>
      <c r="J6038" s="14"/>
    </row>
    <row r="6039" spans="9:10">
      <c r="I6039" s="14"/>
      <c r="J6039" s="14"/>
    </row>
    <row r="6040" spans="9:10">
      <c r="I6040" s="14"/>
      <c r="J6040" s="14"/>
    </row>
    <row r="6041" spans="9:10">
      <c r="I6041" s="14"/>
      <c r="J6041" s="14"/>
    </row>
    <row r="6042" spans="9:10">
      <c r="I6042" s="14"/>
      <c r="J6042" s="14"/>
    </row>
    <row r="6043" spans="9:10">
      <c r="I6043" s="14"/>
      <c r="J6043" s="14"/>
    </row>
    <row r="6044" spans="9:10">
      <c r="I6044" s="14"/>
      <c r="J6044" s="14"/>
    </row>
    <row r="6045" spans="9:10">
      <c r="I6045" s="14"/>
      <c r="J6045" s="14"/>
    </row>
    <row r="6046" spans="9:10">
      <c r="I6046" s="14"/>
      <c r="J6046" s="14"/>
    </row>
    <row r="6047" spans="9:10">
      <c r="I6047" s="14"/>
      <c r="J6047" s="14"/>
    </row>
    <row r="6048" spans="9:10">
      <c r="I6048" s="14"/>
      <c r="J6048" s="14"/>
    </row>
    <row r="6049" spans="9:10">
      <c r="I6049" s="14"/>
      <c r="J6049" s="14"/>
    </row>
    <row r="6050" spans="9:10">
      <c r="I6050" s="14"/>
      <c r="J6050" s="14"/>
    </row>
    <row r="6051" spans="9:10">
      <c r="I6051" s="14"/>
      <c r="J6051" s="14"/>
    </row>
    <row r="6052" spans="9:10">
      <c r="I6052" s="14"/>
      <c r="J6052" s="14"/>
    </row>
    <row r="6053" spans="9:10">
      <c r="I6053" s="14"/>
      <c r="J6053" s="14"/>
    </row>
    <row r="6054" spans="9:10">
      <c r="I6054" s="14"/>
      <c r="J6054" s="14"/>
    </row>
    <row r="6055" spans="9:10">
      <c r="I6055" s="14"/>
      <c r="J6055" s="14"/>
    </row>
    <row r="6056" spans="9:10">
      <c r="I6056" s="14"/>
      <c r="J6056" s="14"/>
    </row>
    <row r="6057" spans="9:10">
      <c r="I6057" s="14"/>
      <c r="J6057" s="14"/>
    </row>
    <row r="6058" spans="9:10">
      <c r="I6058" s="14"/>
      <c r="J6058" s="14"/>
    </row>
    <row r="6059" spans="9:10">
      <c r="I6059" s="14"/>
      <c r="J6059" s="14"/>
    </row>
    <row r="6060" spans="9:10">
      <c r="I6060" s="14"/>
      <c r="J6060" s="14"/>
    </row>
    <row r="6061" spans="9:10">
      <c r="I6061" s="14"/>
      <c r="J6061" s="14"/>
    </row>
    <row r="6062" spans="9:10">
      <c r="I6062" s="14"/>
      <c r="J6062" s="14"/>
    </row>
    <row r="6063" spans="9:10">
      <c r="I6063" s="14"/>
      <c r="J6063" s="14"/>
    </row>
    <row r="6064" spans="9:10">
      <c r="I6064" s="14"/>
      <c r="J6064" s="14"/>
    </row>
    <row r="6065" spans="9:10">
      <c r="I6065" s="14"/>
      <c r="J6065" s="14"/>
    </row>
    <row r="6066" spans="9:10">
      <c r="I6066" s="14"/>
      <c r="J6066" s="14"/>
    </row>
    <row r="6067" spans="9:10">
      <c r="I6067" s="14"/>
      <c r="J6067" s="14"/>
    </row>
    <row r="6068" spans="9:10">
      <c r="I6068" s="14"/>
      <c r="J6068" s="14"/>
    </row>
    <row r="6069" spans="9:10">
      <c r="I6069" s="14"/>
      <c r="J6069" s="14"/>
    </row>
    <row r="6070" spans="9:10">
      <c r="I6070" s="14"/>
      <c r="J6070" s="14"/>
    </row>
    <row r="6071" spans="9:10">
      <c r="I6071" s="14"/>
      <c r="J6071" s="14"/>
    </row>
    <row r="6072" spans="9:10">
      <c r="I6072" s="14"/>
      <c r="J6072" s="14"/>
    </row>
    <row r="6073" spans="9:10">
      <c r="I6073" s="14"/>
      <c r="J6073" s="14"/>
    </row>
    <row r="6074" spans="9:10">
      <c r="I6074" s="14"/>
      <c r="J6074" s="14"/>
    </row>
    <row r="6075" spans="9:10">
      <c r="I6075" s="14"/>
      <c r="J6075" s="14"/>
    </row>
    <row r="6076" spans="9:10">
      <c r="I6076" s="14"/>
      <c r="J6076" s="14"/>
    </row>
    <row r="6077" spans="9:10">
      <c r="I6077" s="14"/>
      <c r="J6077" s="14"/>
    </row>
    <row r="6078" spans="9:10">
      <c r="I6078" s="14"/>
      <c r="J6078" s="14"/>
    </row>
    <row r="6079" spans="9:10">
      <c r="I6079" s="14"/>
      <c r="J6079" s="14"/>
    </row>
    <row r="6080" spans="9:10">
      <c r="I6080" s="14"/>
      <c r="J6080" s="14"/>
    </row>
    <row r="6081" spans="9:10">
      <c r="I6081" s="14"/>
      <c r="J6081" s="14"/>
    </row>
    <row r="6082" spans="9:10">
      <c r="I6082" s="14"/>
      <c r="J6082" s="14"/>
    </row>
    <row r="6083" spans="9:10">
      <c r="I6083" s="14"/>
      <c r="J6083" s="14"/>
    </row>
    <row r="6084" spans="9:10">
      <c r="I6084" s="14"/>
      <c r="J6084" s="14"/>
    </row>
    <row r="6085" spans="9:10">
      <c r="I6085" s="14"/>
      <c r="J6085" s="14"/>
    </row>
    <row r="6086" spans="9:10">
      <c r="I6086" s="14"/>
      <c r="J6086" s="14"/>
    </row>
    <row r="6087" spans="9:10">
      <c r="I6087" s="14"/>
      <c r="J6087" s="14"/>
    </row>
    <row r="6088" spans="9:10">
      <c r="I6088" s="14"/>
      <c r="J6088" s="14"/>
    </row>
    <row r="6089" spans="9:10">
      <c r="I6089" s="14"/>
      <c r="J6089" s="14"/>
    </row>
    <row r="6090" spans="9:10">
      <c r="I6090" s="14"/>
      <c r="J6090" s="14"/>
    </row>
    <row r="6091" spans="9:10">
      <c r="I6091" s="14"/>
      <c r="J6091" s="14"/>
    </row>
    <row r="6092" spans="9:10">
      <c r="I6092" s="14"/>
      <c r="J6092" s="14"/>
    </row>
    <row r="6093" spans="9:10">
      <c r="I6093" s="14"/>
      <c r="J6093" s="14"/>
    </row>
    <row r="6094" spans="9:10">
      <c r="I6094" s="14"/>
      <c r="J6094" s="14"/>
    </row>
    <row r="6095" spans="9:10">
      <c r="I6095" s="14"/>
      <c r="J6095" s="14"/>
    </row>
    <row r="6096" spans="9:10">
      <c r="I6096" s="14"/>
      <c r="J6096" s="14"/>
    </row>
    <row r="6097" spans="9:10">
      <c r="I6097" s="14"/>
      <c r="J6097" s="14"/>
    </row>
    <row r="6098" spans="9:10">
      <c r="I6098" s="14"/>
      <c r="J6098" s="14"/>
    </row>
    <row r="6099" spans="9:10">
      <c r="I6099" s="14"/>
      <c r="J6099" s="14"/>
    </row>
    <row r="6100" spans="9:10">
      <c r="I6100" s="14"/>
      <c r="J6100" s="14"/>
    </row>
    <row r="6101" spans="9:10">
      <c r="I6101" s="14"/>
      <c r="J6101" s="14"/>
    </row>
    <row r="6102" spans="9:10">
      <c r="I6102" s="14"/>
      <c r="J6102" s="14"/>
    </row>
    <row r="6103" spans="9:10">
      <c r="I6103" s="14"/>
      <c r="J6103" s="14"/>
    </row>
    <row r="6104" spans="9:10">
      <c r="I6104" s="14"/>
      <c r="J6104" s="14"/>
    </row>
    <row r="6105" spans="9:10">
      <c r="I6105" s="14"/>
      <c r="J6105" s="14"/>
    </row>
    <row r="6106" spans="9:10">
      <c r="I6106" s="14"/>
      <c r="J6106" s="14"/>
    </row>
    <row r="6107" spans="9:10">
      <c r="I6107" s="14"/>
      <c r="J6107" s="14"/>
    </row>
    <row r="6108" spans="9:10">
      <c r="I6108" s="14"/>
      <c r="J6108" s="14"/>
    </row>
    <row r="6109" spans="9:10">
      <c r="I6109" s="14"/>
      <c r="J6109" s="14"/>
    </row>
    <row r="6110" spans="9:10">
      <c r="I6110" s="14"/>
      <c r="J6110" s="14"/>
    </row>
    <row r="6111" spans="9:10">
      <c r="I6111" s="14"/>
      <c r="J6111" s="14"/>
    </row>
    <row r="6112" spans="9:10">
      <c r="I6112" s="14"/>
      <c r="J6112" s="14"/>
    </row>
    <row r="6113" spans="9:10">
      <c r="I6113" s="14"/>
      <c r="J6113" s="14"/>
    </row>
    <row r="6114" spans="9:10">
      <c r="I6114" s="14"/>
      <c r="J6114" s="14"/>
    </row>
    <row r="6115" spans="9:10">
      <c r="I6115" s="14"/>
      <c r="J6115" s="14"/>
    </row>
    <row r="6116" spans="9:10">
      <c r="I6116" s="14"/>
      <c r="J6116" s="14"/>
    </row>
    <row r="6117" spans="9:10">
      <c r="I6117" s="14"/>
      <c r="J6117" s="14"/>
    </row>
    <row r="6118" spans="9:10">
      <c r="I6118" s="14"/>
      <c r="J6118" s="14"/>
    </row>
    <row r="6119" spans="9:10">
      <c r="I6119" s="14"/>
      <c r="J6119" s="14"/>
    </row>
    <row r="6120" spans="9:10">
      <c r="I6120" s="14"/>
      <c r="J6120" s="14"/>
    </row>
    <row r="6121" spans="9:10">
      <c r="I6121" s="14"/>
      <c r="J6121" s="14"/>
    </row>
    <row r="6122" spans="9:10">
      <c r="I6122" s="14"/>
      <c r="J6122" s="14"/>
    </row>
    <row r="6123" spans="9:10">
      <c r="I6123" s="14"/>
      <c r="J6123" s="14"/>
    </row>
    <row r="6124" spans="9:10">
      <c r="I6124" s="14"/>
      <c r="J6124" s="14"/>
    </row>
    <row r="6125" spans="9:10">
      <c r="I6125" s="14"/>
      <c r="J6125" s="14"/>
    </row>
    <row r="6126" spans="9:10">
      <c r="I6126" s="14"/>
      <c r="J6126" s="14"/>
    </row>
    <row r="6127" spans="9:10">
      <c r="I6127" s="14"/>
      <c r="J6127" s="14"/>
    </row>
    <row r="6128" spans="9:10">
      <c r="I6128" s="14"/>
      <c r="J6128" s="14"/>
    </row>
    <row r="6129" spans="9:10">
      <c r="I6129" s="14"/>
      <c r="J6129" s="14"/>
    </row>
    <row r="6130" spans="9:10">
      <c r="I6130" s="14"/>
      <c r="J6130" s="14"/>
    </row>
    <row r="6131" spans="9:10">
      <c r="I6131" s="14"/>
      <c r="J6131" s="14"/>
    </row>
    <row r="6132" spans="9:10">
      <c r="I6132" s="14"/>
      <c r="J6132" s="14"/>
    </row>
    <row r="6133" spans="9:10">
      <c r="I6133" s="14"/>
      <c r="J6133" s="14"/>
    </row>
    <row r="6134" spans="9:10">
      <c r="I6134" s="14"/>
      <c r="J6134" s="14"/>
    </row>
    <row r="6135" spans="9:10">
      <c r="I6135" s="14"/>
      <c r="J6135" s="14"/>
    </row>
    <row r="6136" spans="9:10">
      <c r="I6136" s="14"/>
      <c r="J6136" s="14"/>
    </row>
    <row r="6137" spans="9:10">
      <c r="I6137" s="14"/>
      <c r="J6137" s="14"/>
    </row>
    <row r="6138" spans="9:10">
      <c r="I6138" s="14"/>
      <c r="J6138" s="14"/>
    </row>
    <row r="6139" spans="9:10">
      <c r="I6139" s="14"/>
      <c r="J6139" s="14"/>
    </row>
    <row r="6140" spans="9:10">
      <c r="I6140" s="14"/>
      <c r="J6140" s="14"/>
    </row>
    <row r="6141" spans="9:10">
      <c r="I6141" s="14"/>
      <c r="J6141" s="14"/>
    </row>
    <row r="6142" spans="9:10">
      <c r="I6142" s="14"/>
      <c r="J6142" s="14"/>
    </row>
    <row r="6143" spans="9:10">
      <c r="I6143" s="14"/>
      <c r="J6143" s="14"/>
    </row>
    <row r="6144" spans="9:10">
      <c r="I6144" s="14"/>
      <c r="J6144" s="14"/>
    </row>
    <row r="6145" spans="9:10">
      <c r="I6145" s="14"/>
      <c r="J6145" s="14"/>
    </row>
    <row r="6146" spans="9:10">
      <c r="I6146" s="14"/>
      <c r="J6146" s="14"/>
    </row>
    <row r="6147" spans="9:10">
      <c r="I6147" s="14"/>
      <c r="J6147" s="14"/>
    </row>
    <row r="6148" spans="9:10">
      <c r="I6148" s="14"/>
      <c r="J6148" s="14"/>
    </row>
    <row r="6149" spans="9:10">
      <c r="I6149" s="14"/>
      <c r="J6149" s="14"/>
    </row>
    <row r="6150" spans="9:10">
      <c r="I6150" s="14"/>
      <c r="J6150" s="14"/>
    </row>
    <row r="6151" spans="9:10">
      <c r="I6151" s="14"/>
      <c r="J6151" s="14"/>
    </row>
    <row r="6152" spans="9:10">
      <c r="I6152" s="14"/>
      <c r="J6152" s="14"/>
    </row>
    <row r="6153" spans="9:10">
      <c r="I6153" s="14"/>
      <c r="J6153" s="14"/>
    </row>
    <row r="6154" spans="9:10">
      <c r="I6154" s="14"/>
      <c r="J6154" s="14"/>
    </row>
    <row r="6155" spans="9:10">
      <c r="I6155" s="14"/>
      <c r="J6155" s="14"/>
    </row>
    <row r="6156" spans="9:10">
      <c r="I6156" s="14"/>
      <c r="J6156" s="14"/>
    </row>
    <row r="6157" spans="9:10">
      <c r="I6157" s="14"/>
      <c r="J6157" s="14"/>
    </row>
    <row r="6158" spans="9:10">
      <c r="I6158" s="14"/>
      <c r="J6158" s="14"/>
    </row>
    <row r="6159" spans="9:10">
      <c r="I6159" s="14"/>
      <c r="J6159" s="14"/>
    </row>
    <row r="6160" spans="9:10">
      <c r="I6160" s="14"/>
      <c r="J6160" s="14"/>
    </row>
    <row r="6161" spans="9:10">
      <c r="I6161" s="14"/>
      <c r="J6161" s="14"/>
    </row>
    <row r="6162" spans="9:10">
      <c r="I6162" s="14"/>
      <c r="J6162" s="14"/>
    </row>
    <row r="6163" spans="9:10">
      <c r="I6163" s="14"/>
      <c r="J6163" s="14"/>
    </row>
    <row r="6164" spans="9:10">
      <c r="I6164" s="14"/>
      <c r="J6164" s="14"/>
    </row>
    <row r="6165" spans="9:10">
      <c r="I6165" s="14"/>
      <c r="J6165" s="14"/>
    </row>
    <row r="6166" spans="9:10">
      <c r="I6166" s="14"/>
      <c r="J6166" s="14"/>
    </row>
    <row r="6167" spans="9:10">
      <c r="I6167" s="14"/>
      <c r="J6167" s="14"/>
    </row>
    <row r="6168" spans="9:10">
      <c r="I6168" s="14"/>
      <c r="J6168" s="14"/>
    </row>
    <row r="6169" spans="9:10">
      <c r="I6169" s="14"/>
      <c r="J6169" s="14"/>
    </row>
    <row r="6170" spans="9:10">
      <c r="I6170" s="14"/>
      <c r="J6170" s="14"/>
    </row>
    <row r="6171" spans="9:10">
      <c r="I6171" s="14"/>
      <c r="J6171" s="14"/>
    </row>
    <row r="6172" spans="9:10">
      <c r="I6172" s="14"/>
      <c r="J6172" s="14"/>
    </row>
    <row r="6173" spans="9:10">
      <c r="I6173" s="14"/>
      <c r="J6173" s="14"/>
    </row>
    <row r="6174" spans="9:10">
      <c r="I6174" s="14"/>
      <c r="J6174" s="14"/>
    </row>
    <row r="6175" spans="9:10">
      <c r="I6175" s="14"/>
      <c r="J6175" s="14"/>
    </row>
    <row r="6176" spans="9:10">
      <c r="I6176" s="14"/>
      <c r="J6176" s="14"/>
    </row>
    <row r="6177" spans="9:10">
      <c r="I6177" s="14"/>
      <c r="J6177" s="14"/>
    </row>
    <row r="6178" spans="9:10">
      <c r="I6178" s="14"/>
      <c r="J6178" s="14"/>
    </row>
    <row r="6179" spans="9:10">
      <c r="I6179" s="14"/>
      <c r="J6179" s="14"/>
    </row>
    <row r="6180" spans="9:10">
      <c r="I6180" s="14"/>
      <c r="J6180" s="14"/>
    </row>
    <row r="6181" spans="9:10">
      <c r="I6181" s="14"/>
      <c r="J6181" s="14"/>
    </row>
    <row r="6182" spans="9:10">
      <c r="I6182" s="14"/>
      <c r="J6182" s="14"/>
    </row>
    <row r="6183" spans="9:10">
      <c r="I6183" s="14"/>
      <c r="J6183" s="14"/>
    </row>
    <row r="6184" spans="9:10">
      <c r="I6184" s="14"/>
      <c r="J6184" s="14"/>
    </row>
    <row r="6185" spans="9:10">
      <c r="I6185" s="14"/>
      <c r="J6185" s="14"/>
    </row>
    <row r="6186" spans="9:10">
      <c r="I6186" s="14"/>
      <c r="J6186" s="14"/>
    </row>
    <row r="6187" spans="9:10">
      <c r="I6187" s="14"/>
      <c r="J6187" s="14"/>
    </row>
    <row r="6188" spans="9:10">
      <c r="I6188" s="14"/>
      <c r="J6188" s="14"/>
    </row>
    <row r="6189" spans="9:10">
      <c r="I6189" s="14"/>
      <c r="J6189" s="14"/>
    </row>
    <row r="6190" spans="9:10">
      <c r="I6190" s="14"/>
      <c r="J6190" s="14"/>
    </row>
    <row r="6191" spans="9:10">
      <c r="I6191" s="14"/>
      <c r="J6191" s="14"/>
    </row>
    <row r="6192" spans="9:10">
      <c r="I6192" s="14"/>
      <c r="J6192" s="14"/>
    </row>
    <row r="6193" spans="9:10">
      <c r="I6193" s="14"/>
      <c r="J6193" s="14"/>
    </row>
    <row r="6194" spans="9:10">
      <c r="I6194" s="14"/>
      <c r="J6194" s="14"/>
    </row>
    <row r="6195" spans="9:10">
      <c r="I6195" s="14"/>
      <c r="J6195" s="14"/>
    </row>
    <row r="6196" spans="9:10">
      <c r="I6196" s="14"/>
      <c r="J6196" s="14"/>
    </row>
    <row r="6197" spans="9:10">
      <c r="I6197" s="14"/>
      <c r="J6197" s="14"/>
    </row>
    <row r="6198" spans="9:10">
      <c r="I6198" s="14"/>
      <c r="J6198" s="14"/>
    </row>
    <row r="6199" spans="9:10">
      <c r="I6199" s="14"/>
      <c r="J6199" s="14"/>
    </row>
    <row r="6200" spans="9:10">
      <c r="I6200" s="14"/>
      <c r="J6200" s="14"/>
    </row>
    <row r="6201" spans="9:10">
      <c r="I6201" s="14"/>
      <c r="J6201" s="14"/>
    </row>
    <row r="6202" spans="9:10">
      <c r="I6202" s="14"/>
      <c r="J6202" s="14"/>
    </row>
    <row r="6203" spans="9:10">
      <c r="I6203" s="14"/>
      <c r="J6203" s="14"/>
    </row>
    <row r="6204" spans="9:10">
      <c r="I6204" s="14"/>
      <c r="J6204" s="14"/>
    </row>
    <row r="6205" spans="9:10">
      <c r="I6205" s="14"/>
      <c r="J6205" s="14"/>
    </row>
    <row r="6206" spans="9:10">
      <c r="I6206" s="14"/>
      <c r="J6206" s="14"/>
    </row>
    <row r="6207" spans="9:10">
      <c r="I6207" s="14"/>
      <c r="J6207" s="14"/>
    </row>
    <row r="6208" spans="9:10">
      <c r="I6208" s="14"/>
      <c r="J6208" s="14"/>
    </row>
    <row r="6209" spans="9:10">
      <c r="I6209" s="14"/>
      <c r="J6209" s="14"/>
    </row>
    <row r="6210" spans="9:10">
      <c r="I6210" s="14"/>
      <c r="J6210" s="14"/>
    </row>
    <row r="6211" spans="9:10">
      <c r="I6211" s="14"/>
      <c r="J6211" s="14"/>
    </row>
    <row r="6212" spans="9:10">
      <c r="I6212" s="14"/>
      <c r="J6212" s="14"/>
    </row>
    <row r="6213" spans="9:10">
      <c r="I6213" s="14"/>
      <c r="J6213" s="14"/>
    </row>
    <row r="6214" spans="9:10">
      <c r="I6214" s="14"/>
      <c r="J6214" s="14"/>
    </row>
    <row r="6215" spans="9:10">
      <c r="I6215" s="14"/>
      <c r="J6215" s="14"/>
    </row>
    <row r="6216" spans="9:10">
      <c r="I6216" s="14"/>
      <c r="J6216" s="14"/>
    </row>
    <row r="6217" spans="9:10">
      <c r="I6217" s="14"/>
      <c r="J6217" s="14"/>
    </row>
    <row r="6218" spans="9:10">
      <c r="I6218" s="14"/>
      <c r="J6218" s="14"/>
    </row>
    <row r="6219" spans="9:10">
      <c r="I6219" s="14"/>
      <c r="J6219" s="14"/>
    </row>
    <row r="6220" spans="9:10">
      <c r="I6220" s="14"/>
      <c r="J6220" s="14"/>
    </row>
    <row r="6221" spans="9:10">
      <c r="I6221" s="14"/>
      <c r="J6221" s="14"/>
    </row>
    <row r="6222" spans="9:10">
      <c r="I6222" s="14"/>
      <c r="J6222" s="14"/>
    </row>
    <row r="6223" spans="9:10">
      <c r="I6223" s="14"/>
      <c r="J6223" s="14"/>
    </row>
    <row r="6224" spans="9:10">
      <c r="I6224" s="14"/>
      <c r="J6224" s="14"/>
    </row>
    <row r="6225" spans="9:10">
      <c r="I6225" s="14"/>
      <c r="J6225" s="14"/>
    </row>
    <row r="6226" spans="9:10">
      <c r="I6226" s="14"/>
      <c r="J6226" s="14"/>
    </row>
    <row r="6227" spans="9:10">
      <c r="I6227" s="14"/>
      <c r="J6227" s="14"/>
    </row>
    <row r="6228" spans="9:10">
      <c r="I6228" s="14"/>
      <c r="J6228" s="14"/>
    </row>
    <row r="6229" spans="9:10">
      <c r="I6229" s="14"/>
      <c r="J6229" s="14"/>
    </row>
    <row r="6230" spans="9:10">
      <c r="I6230" s="14"/>
      <c r="J6230" s="14"/>
    </row>
    <row r="6231" spans="9:10">
      <c r="I6231" s="14"/>
      <c r="J6231" s="14"/>
    </row>
    <row r="6232" spans="9:10">
      <c r="I6232" s="14"/>
      <c r="J6232" s="14"/>
    </row>
    <row r="6233" spans="9:10">
      <c r="I6233" s="14"/>
      <c r="J6233" s="14"/>
    </row>
    <row r="6234" spans="9:10">
      <c r="I6234" s="14"/>
      <c r="J6234" s="14"/>
    </row>
    <row r="6235" spans="9:10">
      <c r="I6235" s="14"/>
      <c r="J6235" s="14"/>
    </row>
    <row r="6236" spans="9:10">
      <c r="I6236" s="14"/>
      <c r="J6236" s="14"/>
    </row>
    <row r="6237" spans="9:10">
      <c r="I6237" s="14"/>
      <c r="J6237" s="14"/>
    </row>
    <row r="6238" spans="9:10">
      <c r="I6238" s="14"/>
      <c r="J6238" s="14"/>
    </row>
    <row r="6239" spans="9:10">
      <c r="I6239" s="14"/>
      <c r="J6239" s="14"/>
    </row>
    <row r="6240" spans="9:10">
      <c r="I6240" s="14"/>
      <c r="J6240" s="14"/>
    </row>
    <row r="6241" spans="9:10">
      <c r="I6241" s="14"/>
      <c r="J6241" s="14"/>
    </row>
    <row r="6242" spans="9:10">
      <c r="I6242" s="14"/>
      <c r="J6242" s="14"/>
    </row>
    <row r="6243" spans="9:10">
      <c r="I6243" s="14"/>
      <c r="J6243" s="14"/>
    </row>
    <row r="6244" spans="9:10">
      <c r="I6244" s="14"/>
      <c r="J6244" s="14"/>
    </row>
    <row r="6245" spans="9:10">
      <c r="I6245" s="14"/>
      <c r="J6245" s="14"/>
    </row>
    <row r="6246" spans="9:10">
      <c r="I6246" s="14"/>
      <c r="J6246" s="14"/>
    </row>
    <row r="6247" spans="9:10">
      <c r="I6247" s="14"/>
      <c r="J6247" s="14"/>
    </row>
    <row r="6248" spans="9:10">
      <c r="I6248" s="14"/>
      <c r="J6248" s="14"/>
    </row>
    <row r="6249" spans="9:10">
      <c r="I6249" s="14"/>
      <c r="J6249" s="14"/>
    </row>
    <row r="6250" spans="9:10">
      <c r="I6250" s="14"/>
      <c r="J6250" s="14"/>
    </row>
    <row r="6251" spans="9:10">
      <c r="I6251" s="14"/>
      <c r="J6251" s="14"/>
    </row>
    <row r="6252" spans="9:10">
      <c r="I6252" s="14"/>
      <c r="J6252" s="14"/>
    </row>
    <row r="6253" spans="9:10">
      <c r="I6253" s="14"/>
      <c r="J6253" s="14"/>
    </row>
    <row r="6254" spans="9:10">
      <c r="I6254" s="14"/>
      <c r="J6254" s="14"/>
    </row>
    <row r="6255" spans="9:10">
      <c r="I6255" s="14"/>
      <c r="J6255" s="14"/>
    </row>
    <row r="6256" spans="9:10">
      <c r="I6256" s="14"/>
      <c r="J6256" s="14"/>
    </row>
    <row r="6257" spans="9:10">
      <c r="I6257" s="14"/>
      <c r="J6257" s="14"/>
    </row>
    <row r="6258" spans="9:10">
      <c r="I6258" s="14"/>
      <c r="J6258" s="14"/>
    </row>
    <row r="6259" spans="9:10">
      <c r="I6259" s="14"/>
      <c r="J6259" s="14"/>
    </row>
    <row r="6260" spans="9:10">
      <c r="I6260" s="14"/>
      <c r="J6260" s="14"/>
    </row>
    <row r="6261" spans="9:10">
      <c r="I6261" s="14"/>
      <c r="J6261" s="14"/>
    </row>
    <row r="6262" spans="9:10">
      <c r="I6262" s="14"/>
      <c r="J6262" s="14"/>
    </row>
    <row r="6263" spans="9:10">
      <c r="I6263" s="14"/>
      <c r="J6263" s="14"/>
    </row>
    <row r="6264" spans="9:10">
      <c r="I6264" s="14"/>
      <c r="J6264" s="14"/>
    </row>
    <row r="6265" spans="9:10">
      <c r="I6265" s="14"/>
      <c r="J6265" s="14"/>
    </row>
    <row r="6266" spans="9:10">
      <c r="I6266" s="14"/>
      <c r="J6266" s="14"/>
    </row>
    <row r="6267" spans="9:10">
      <c r="I6267" s="14"/>
      <c r="J6267" s="14"/>
    </row>
    <row r="6268" spans="9:10">
      <c r="I6268" s="14"/>
      <c r="J6268" s="14"/>
    </row>
    <row r="6269" spans="9:10">
      <c r="I6269" s="14"/>
      <c r="J6269" s="14"/>
    </row>
    <row r="6270" spans="9:10">
      <c r="I6270" s="14"/>
      <c r="J6270" s="14"/>
    </row>
    <row r="6271" spans="9:10">
      <c r="I6271" s="14"/>
      <c r="J6271" s="14"/>
    </row>
    <row r="6272" spans="9:10">
      <c r="I6272" s="14"/>
      <c r="J6272" s="14"/>
    </row>
    <row r="6273" spans="9:10">
      <c r="I6273" s="14"/>
      <c r="J6273" s="14"/>
    </row>
    <row r="6274" spans="9:10">
      <c r="I6274" s="14"/>
      <c r="J6274" s="14"/>
    </row>
    <row r="6275" spans="9:10">
      <c r="I6275" s="14"/>
      <c r="J6275" s="14"/>
    </row>
    <row r="6276" spans="9:10">
      <c r="I6276" s="14"/>
      <c r="J6276" s="14"/>
    </row>
    <row r="6277" spans="9:10">
      <c r="I6277" s="14"/>
      <c r="J6277" s="14"/>
    </row>
    <row r="6278" spans="9:10">
      <c r="I6278" s="14"/>
      <c r="J6278" s="14"/>
    </row>
    <row r="6279" spans="9:10">
      <c r="I6279" s="14"/>
      <c r="J6279" s="14"/>
    </row>
    <row r="6280" spans="9:10">
      <c r="I6280" s="14"/>
      <c r="J6280" s="14"/>
    </row>
    <row r="6281" spans="9:10">
      <c r="I6281" s="14"/>
      <c r="J6281" s="14"/>
    </row>
    <row r="6282" spans="9:10">
      <c r="I6282" s="14"/>
      <c r="J6282" s="14"/>
    </row>
    <row r="6283" spans="9:10">
      <c r="I6283" s="14"/>
      <c r="J6283" s="14"/>
    </row>
    <row r="6284" spans="9:10">
      <c r="I6284" s="14"/>
      <c r="J6284" s="14"/>
    </row>
    <row r="6285" spans="9:10">
      <c r="I6285" s="14"/>
      <c r="J6285" s="14"/>
    </row>
    <row r="6286" spans="9:10">
      <c r="I6286" s="14"/>
      <c r="J6286" s="14"/>
    </row>
    <row r="6287" spans="9:10">
      <c r="I6287" s="14"/>
      <c r="J6287" s="14"/>
    </row>
    <row r="6288" spans="9:10">
      <c r="I6288" s="14"/>
      <c r="J6288" s="14"/>
    </row>
    <row r="6289" spans="9:10">
      <c r="I6289" s="14"/>
      <c r="J6289" s="14"/>
    </row>
    <row r="6290" spans="9:10">
      <c r="I6290" s="14"/>
      <c r="J6290" s="14"/>
    </row>
    <row r="6291" spans="9:10">
      <c r="I6291" s="14"/>
      <c r="J6291" s="14"/>
    </row>
    <row r="6292" spans="9:10">
      <c r="I6292" s="14"/>
      <c r="J6292" s="14"/>
    </row>
    <row r="6293" spans="9:10">
      <c r="I6293" s="14"/>
      <c r="J6293" s="14"/>
    </row>
    <row r="6294" spans="9:10">
      <c r="I6294" s="14"/>
      <c r="J6294" s="14"/>
    </row>
    <row r="6295" spans="9:10">
      <c r="I6295" s="14"/>
      <c r="J6295" s="14"/>
    </row>
    <row r="6296" spans="9:10">
      <c r="I6296" s="14"/>
      <c r="J6296" s="14"/>
    </row>
    <row r="6297" spans="9:10">
      <c r="I6297" s="14"/>
      <c r="J6297" s="14"/>
    </row>
    <row r="6298" spans="9:10">
      <c r="I6298" s="14"/>
      <c r="J6298" s="14"/>
    </row>
    <row r="6299" spans="9:10">
      <c r="I6299" s="14"/>
      <c r="J6299" s="14"/>
    </row>
    <row r="6300" spans="9:10">
      <c r="I6300" s="14"/>
      <c r="J6300" s="14"/>
    </row>
    <row r="6301" spans="9:10">
      <c r="I6301" s="14"/>
      <c r="J6301" s="14"/>
    </row>
    <row r="6302" spans="9:10">
      <c r="I6302" s="14"/>
      <c r="J6302" s="14"/>
    </row>
    <row r="6303" spans="9:10">
      <c r="I6303" s="14"/>
      <c r="J6303" s="14"/>
    </row>
    <row r="6304" spans="9:10">
      <c r="I6304" s="14"/>
      <c r="J6304" s="14"/>
    </row>
    <row r="6305" spans="9:10">
      <c r="I6305" s="14"/>
      <c r="J6305" s="14"/>
    </row>
    <row r="6306" spans="9:10">
      <c r="I6306" s="14"/>
      <c r="J6306" s="14"/>
    </row>
    <row r="6307" spans="9:10">
      <c r="I6307" s="14"/>
      <c r="J6307" s="14"/>
    </row>
    <row r="6308" spans="9:10">
      <c r="I6308" s="14"/>
      <c r="J6308" s="14"/>
    </row>
    <row r="6309" spans="9:10">
      <c r="I6309" s="14"/>
      <c r="J6309" s="14"/>
    </row>
    <row r="6310" spans="9:10">
      <c r="I6310" s="14"/>
      <c r="J6310" s="14"/>
    </row>
    <row r="6311" spans="9:10">
      <c r="I6311" s="14"/>
      <c r="J6311" s="14"/>
    </row>
    <row r="6312" spans="9:10">
      <c r="I6312" s="14"/>
      <c r="J6312" s="14"/>
    </row>
    <row r="6313" spans="9:10">
      <c r="I6313" s="14"/>
      <c r="J6313" s="14"/>
    </row>
    <row r="6314" spans="9:10">
      <c r="I6314" s="14"/>
      <c r="J6314" s="14"/>
    </row>
    <row r="6315" spans="9:10">
      <c r="I6315" s="14"/>
      <c r="J6315" s="14"/>
    </row>
    <row r="6316" spans="9:10">
      <c r="I6316" s="14"/>
      <c r="J6316" s="14"/>
    </row>
    <row r="6317" spans="9:10">
      <c r="I6317" s="14"/>
      <c r="J6317" s="14"/>
    </row>
    <row r="6318" spans="9:10">
      <c r="I6318" s="14"/>
      <c r="J6318" s="14"/>
    </row>
    <row r="6319" spans="9:10">
      <c r="I6319" s="14"/>
      <c r="J6319" s="14"/>
    </row>
    <row r="6320" spans="9:10">
      <c r="I6320" s="14"/>
      <c r="J6320" s="14"/>
    </row>
    <row r="6321" spans="9:10">
      <c r="I6321" s="14"/>
      <c r="J6321" s="14"/>
    </row>
    <row r="6322" spans="9:10">
      <c r="I6322" s="14"/>
      <c r="J6322" s="14"/>
    </row>
    <row r="6323" spans="9:10">
      <c r="I6323" s="14"/>
      <c r="J6323" s="14"/>
    </row>
    <row r="6324" spans="9:10">
      <c r="I6324" s="14"/>
      <c r="J6324" s="14"/>
    </row>
    <row r="6325" spans="9:10">
      <c r="I6325" s="14"/>
      <c r="J6325" s="14"/>
    </row>
    <row r="6326" spans="9:10">
      <c r="I6326" s="14"/>
      <c r="J6326" s="14"/>
    </row>
    <row r="6327" spans="9:10">
      <c r="I6327" s="14"/>
      <c r="J6327" s="14"/>
    </row>
    <row r="6328" spans="9:10">
      <c r="I6328" s="14"/>
      <c r="J6328" s="14"/>
    </row>
    <row r="6329" spans="9:10">
      <c r="I6329" s="14"/>
      <c r="J6329" s="14"/>
    </row>
    <row r="6330" spans="9:10">
      <c r="I6330" s="14"/>
      <c r="J6330" s="14"/>
    </row>
    <row r="6331" spans="9:10">
      <c r="I6331" s="14"/>
      <c r="J6331" s="14"/>
    </row>
    <row r="6332" spans="9:10">
      <c r="I6332" s="14"/>
      <c r="J6332" s="14"/>
    </row>
    <row r="6333" spans="9:10">
      <c r="I6333" s="14"/>
      <c r="J6333" s="14"/>
    </row>
    <row r="6334" spans="9:10">
      <c r="I6334" s="14"/>
      <c r="J6334" s="14"/>
    </row>
    <row r="6335" spans="9:10">
      <c r="I6335" s="14"/>
      <c r="J6335" s="14"/>
    </row>
    <row r="6336" spans="9:10">
      <c r="I6336" s="14"/>
      <c r="J6336" s="14"/>
    </row>
    <row r="6337" spans="9:10">
      <c r="I6337" s="14"/>
      <c r="J6337" s="14"/>
    </row>
    <row r="6338" spans="9:10">
      <c r="I6338" s="14"/>
      <c r="J6338" s="14"/>
    </row>
    <row r="6339" spans="9:10">
      <c r="I6339" s="14"/>
      <c r="J6339" s="14"/>
    </row>
    <row r="6340" spans="9:10">
      <c r="I6340" s="14"/>
      <c r="J6340" s="14"/>
    </row>
    <row r="6341" spans="9:10">
      <c r="I6341" s="14"/>
      <c r="J6341" s="14"/>
    </row>
    <row r="6342" spans="9:10">
      <c r="I6342" s="14"/>
      <c r="J6342" s="14"/>
    </row>
    <row r="6343" spans="9:10">
      <c r="I6343" s="14"/>
      <c r="J6343" s="14"/>
    </row>
    <row r="6344" spans="9:10">
      <c r="I6344" s="14"/>
      <c r="J6344" s="14"/>
    </row>
    <row r="6345" spans="9:10">
      <c r="I6345" s="14"/>
      <c r="J6345" s="14"/>
    </row>
    <row r="6346" spans="9:10">
      <c r="I6346" s="14"/>
      <c r="J6346" s="14"/>
    </row>
    <row r="6347" spans="9:10">
      <c r="I6347" s="14"/>
      <c r="J6347" s="14"/>
    </row>
    <row r="6348" spans="9:10">
      <c r="I6348" s="14"/>
      <c r="J6348" s="14"/>
    </row>
    <row r="6349" spans="9:10">
      <c r="I6349" s="14"/>
      <c r="J6349" s="14"/>
    </row>
    <row r="6350" spans="9:10">
      <c r="I6350" s="14"/>
      <c r="J6350" s="14"/>
    </row>
    <row r="6351" spans="9:10">
      <c r="I6351" s="14"/>
      <c r="J6351" s="14"/>
    </row>
    <row r="6352" spans="9:10">
      <c r="I6352" s="14"/>
      <c r="J6352" s="14"/>
    </row>
    <row r="6353" spans="9:10">
      <c r="I6353" s="14"/>
      <c r="J6353" s="14"/>
    </row>
    <row r="6354" spans="9:10">
      <c r="I6354" s="14"/>
      <c r="J6354" s="14"/>
    </row>
    <row r="6355" spans="9:10">
      <c r="I6355" s="14"/>
      <c r="J6355" s="14"/>
    </row>
    <row r="6356" spans="9:10">
      <c r="I6356" s="14"/>
      <c r="J6356" s="14"/>
    </row>
    <row r="6357" spans="9:10">
      <c r="I6357" s="14"/>
      <c r="J6357" s="14"/>
    </row>
    <row r="6358" spans="9:10">
      <c r="I6358" s="14"/>
      <c r="J6358" s="14"/>
    </row>
    <row r="6359" spans="9:10">
      <c r="I6359" s="14"/>
      <c r="J6359" s="14"/>
    </row>
    <row r="6360" spans="9:10">
      <c r="I6360" s="14"/>
      <c r="J6360" s="14"/>
    </row>
    <row r="6361" spans="9:10">
      <c r="I6361" s="14"/>
      <c r="J6361" s="14"/>
    </row>
    <row r="6362" spans="9:10">
      <c r="I6362" s="14"/>
      <c r="J6362" s="14"/>
    </row>
    <row r="6363" spans="9:10">
      <c r="I6363" s="14"/>
      <c r="J6363" s="14"/>
    </row>
    <row r="6364" spans="9:10">
      <c r="I6364" s="14"/>
      <c r="J6364" s="14"/>
    </row>
    <row r="6365" spans="9:10">
      <c r="I6365" s="14"/>
      <c r="J6365" s="14"/>
    </row>
    <row r="6366" spans="9:10">
      <c r="I6366" s="14"/>
      <c r="J6366" s="14"/>
    </row>
    <row r="6367" spans="9:10">
      <c r="I6367" s="14"/>
      <c r="J6367" s="14"/>
    </row>
    <row r="6368" spans="9:10">
      <c r="I6368" s="14"/>
      <c r="J6368" s="14"/>
    </row>
    <row r="6369" spans="9:10">
      <c r="I6369" s="14"/>
      <c r="J6369" s="14"/>
    </row>
    <row r="6370" spans="9:10">
      <c r="I6370" s="14"/>
      <c r="J6370" s="14"/>
    </row>
    <row r="6371" spans="9:10">
      <c r="I6371" s="14"/>
      <c r="J6371" s="14"/>
    </row>
    <row r="6372" spans="9:10">
      <c r="I6372" s="14"/>
      <c r="J6372" s="14"/>
    </row>
    <row r="6373" spans="9:10">
      <c r="I6373" s="14"/>
      <c r="J6373" s="14"/>
    </row>
    <row r="6374" spans="9:10">
      <c r="I6374" s="14"/>
      <c r="J6374" s="14"/>
    </row>
    <row r="6375" spans="9:10">
      <c r="I6375" s="14"/>
      <c r="J6375" s="14"/>
    </row>
    <row r="6376" spans="9:10">
      <c r="I6376" s="14"/>
      <c r="J6376" s="14"/>
    </row>
    <row r="6377" spans="9:10">
      <c r="I6377" s="14"/>
      <c r="J6377" s="14"/>
    </row>
    <row r="6378" spans="9:10">
      <c r="I6378" s="14"/>
      <c r="J6378" s="14"/>
    </row>
    <row r="6379" spans="9:10">
      <c r="I6379" s="14"/>
      <c r="J6379" s="14"/>
    </row>
    <row r="6380" spans="9:10">
      <c r="I6380" s="14"/>
      <c r="J6380" s="14"/>
    </row>
    <row r="6381" spans="9:10">
      <c r="I6381" s="14"/>
      <c r="J6381" s="14"/>
    </row>
    <row r="6382" spans="9:10">
      <c r="I6382" s="14"/>
      <c r="J6382" s="14"/>
    </row>
    <row r="6383" spans="9:10">
      <c r="I6383" s="14"/>
      <c r="J6383" s="14"/>
    </row>
    <row r="6384" spans="9:10">
      <c r="I6384" s="14"/>
      <c r="J6384" s="14"/>
    </row>
    <row r="6385" spans="9:10">
      <c r="I6385" s="14"/>
      <c r="J6385" s="14"/>
    </row>
    <row r="6386" spans="9:10">
      <c r="I6386" s="14"/>
      <c r="J6386" s="14"/>
    </row>
    <row r="6387" spans="9:10">
      <c r="I6387" s="14"/>
      <c r="J6387" s="14"/>
    </row>
    <row r="6388" spans="9:10">
      <c r="I6388" s="14"/>
      <c r="J6388" s="14"/>
    </row>
    <row r="6389" spans="9:10">
      <c r="I6389" s="14"/>
      <c r="J6389" s="14"/>
    </row>
    <row r="6390" spans="9:10">
      <c r="I6390" s="14"/>
      <c r="J6390" s="14"/>
    </row>
    <row r="6391" spans="9:10">
      <c r="I6391" s="14"/>
      <c r="J6391" s="14"/>
    </row>
    <row r="6392" spans="9:10">
      <c r="I6392" s="14"/>
      <c r="J6392" s="14"/>
    </row>
    <row r="6393" spans="9:10">
      <c r="I6393" s="14"/>
      <c r="J6393" s="14"/>
    </row>
    <row r="6394" spans="9:10">
      <c r="I6394" s="14"/>
      <c r="J6394" s="14"/>
    </row>
    <row r="6395" spans="9:10">
      <c r="I6395" s="14"/>
      <c r="J6395" s="14"/>
    </row>
    <row r="6396" spans="9:10">
      <c r="I6396" s="14"/>
      <c r="J6396" s="14"/>
    </row>
    <row r="6397" spans="9:10">
      <c r="I6397" s="14"/>
      <c r="J6397" s="14"/>
    </row>
    <row r="6398" spans="9:10">
      <c r="I6398" s="14"/>
      <c r="J6398" s="14"/>
    </row>
    <row r="6399" spans="9:10">
      <c r="I6399" s="14"/>
      <c r="J6399" s="14"/>
    </row>
    <row r="6400" spans="9:10">
      <c r="I6400" s="14"/>
      <c r="J6400" s="14"/>
    </row>
    <row r="6401" spans="9:10">
      <c r="I6401" s="14"/>
      <c r="J6401" s="14"/>
    </row>
    <row r="6402" spans="9:10">
      <c r="I6402" s="14"/>
      <c r="J6402" s="14"/>
    </row>
    <row r="6403" spans="9:10">
      <c r="I6403" s="14"/>
      <c r="J6403" s="14"/>
    </row>
    <row r="6404" spans="9:10">
      <c r="I6404" s="14"/>
      <c r="J6404" s="14"/>
    </row>
    <row r="6405" spans="9:10">
      <c r="I6405" s="14"/>
      <c r="J6405" s="14"/>
    </row>
    <row r="6406" spans="9:10">
      <c r="I6406" s="14"/>
      <c r="J6406" s="14"/>
    </row>
    <row r="6407" spans="9:10">
      <c r="I6407" s="14"/>
      <c r="J6407" s="14"/>
    </row>
    <row r="6408" spans="9:10">
      <c r="I6408" s="14"/>
      <c r="J6408" s="14"/>
    </row>
    <row r="6409" spans="9:10">
      <c r="I6409" s="14"/>
      <c r="J6409" s="14"/>
    </row>
    <row r="6410" spans="9:10">
      <c r="I6410" s="14"/>
      <c r="J6410" s="14"/>
    </row>
    <row r="6411" spans="9:10">
      <c r="I6411" s="14"/>
      <c r="J6411" s="14"/>
    </row>
    <row r="6412" spans="9:10">
      <c r="I6412" s="14"/>
      <c r="J6412" s="14"/>
    </row>
    <row r="6413" spans="9:10">
      <c r="I6413" s="14"/>
      <c r="J6413" s="14"/>
    </row>
    <row r="6414" spans="9:10">
      <c r="I6414" s="14"/>
      <c r="J6414" s="14"/>
    </row>
    <row r="6415" spans="9:10">
      <c r="I6415" s="14"/>
      <c r="J6415" s="14"/>
    </row>
    <row r="6416" spans="9:10">
      <c r="I6416" s="14"/>
      <c r="J6416" s="14"/>
    </row>
    <row r="6417" spans="9:10">
      <c r="I6417" s="14"/>
      <c r="J6417" s="14"/>
    </row>
    <row r="6418" spans="9:10">
      <c r="I6418" s="14"/>
      <c r="J6418" s="14"/>
    </row>
    <row r="6419" spans="9:10">
      <c r="I6419" s="14"/>
      <c r="J6419" s="14"/>
    </row>
    <row r="6420" spans="9:10">
      <c r="I6420" s="14"/>
      <c r="J6420" s="14"/>
    </row>
    <row r="6421" spans="9:10">
      <c r="I6421" s="14"/>
      <c r="J6421" s="14"/>
    </row>
    <row r="6422" spans="9:10">
      <c r="I6422" s="14"/>
      <c r="J6422" s="14"/>
    </row>
    <row r="6423" spans="9:10">
      <c r="I6423" s="14"/>
      <c r="J6423" s="14"/>
    </row>
    <row r="6424" spans="9:10">
      <c r="I6424" s="14"/>
      <c r="J6424" s="14"/>
    </row>
    <row r="6425" spans="9:10">
      <c r="I6425" s="14"/>
      <c r="J6425" s="14"/>
    </row>
    <row r="6426" spans="9:10">
      <c r="I6426" s="14"/>
      <c r="J6426" s="14"/>
    </row>
    <row r="6427" spans="9:10">
      <c r="I6427" s="14"/>
      <c r="J6427" s="14"/>
    </row>
    <row r="6428" spans="9:10">
      <c r="I6428" s="14"/>
      <c r="J6428" s="14"/>
    </row>
    <row r="6429" spans="9:10">
      <c r="I6429" s="14"/>
      <c r="J6429" s="14"/>
    </row>
    <row r="6430" spans="9:10">
      <c r="I6430" s="14"/>
      <c r="J6430" s="14"/>
    </row>
    <row r="6431" spans="9:10">
      <c r="I6431" s="14"/>
      <c r="J6431" s="14"/>
    </row>
    <row r="6432" spans="9:10">
      <c r="I6432" s="14"/>
      <c r="J6432" s="14"/>
    </row>
    <row r="6433" spans="9:10">
      <c r="I6433" s="14"/>
      <c r="J6433" s="14"/>
    </row>
    <row r="6434" spans="9:10">
      <c r="I6434" s="14"/>
      <c r="J6434" s="14"/>
    </row>
    <row r="6435" spans="9:10">
      <c r="I6435" s="14"/>
      <c r="J6435" s="14"/>
    </row>
    <row r="6436" spans="9:10">
      <c r="I6436" s="14"/>
      <c r="J6436" s="14"/>
    </row>
    <row r="6437" spans="9:10">
      <c r="I6437" s="14"/>
      <c r="J6437" s="14"/>
    </row>
    <row r="6438" spans="9:10">
      <c r="I6438" s="14"/>
      <c r="J6438" s="14"/>
    </row>
    <row r="6439" spans="9:10">
      <c r="I6439" s="14"/>
      <c r="J6439" s="14"/>
    </row>
    <row r="6440" spans="9:10">
      <c r="I6440" s="14"/>
      <c r="J6440" s="14"/>
    </row>
    <row r="6441" spans="9:10">
      <c r="I6441" s="14"/>
      <c r="J6441" s="14"/>
    </row>
    <row r="6442" spans="9:10">
      <c r="I6442" s="14"/>
      <c r="J6442" s="14"/>
    </row>
    <row r="6443" spans="9:10">
      <c r="I6443" s="14"/>
      <c r="J6443" s="14"/>
    </row>
    <row r="6444" spans="9:10">
      <c r="I6444" s="14"/>
      <c r="J6444" s="14"/>
    </row>
    <row r="6445" spans="9:10">
      <c r="I6445" s="14"/>
      <c r="J6445" s="14"/>
    </row>
    <row r="6446" spans="9:10">
      <c r="I6446" s="14"/>
      <c r="J6446" s="14"/>
    </row>
    <row r="6447" spans="9:10">
      <c r="I6447" s="14"/>
      <c r="J6447" s="14"/>
    </row>
    <row r="6448" spans="9:10">
      <c r="I6448" s="14"/>
      <c r="J6448" s="14"/>
    </row>
    <row r="6449" spans="9:10">
      <c r="I6449" s="14"/>
      <c r="J6449" s="14"/>
    </row>
    <row r="6450" spans="9:10">
      <c r="I6450" s="14"/>
      <c r="J6450" s="14"/>
    </row>
    <row r="6451" spans="9:10">
      <c r="I6451" s="14"/>
      <c r="J6451" s="14"/>
    </row>
    <row r="6452" spans="9:10">
      <c r="I6452" s="14"/>
      <c r="J6452" s="14"/>
    </row>
    <row r="6453" spans="9:10">
      <c r="I6453" s="14"/>
      <c r="J6453" s="14"/>
    </row>
    <row r="6454" spans="9:10">
      <c r="I6454" s="14"/>
      <c r="J6454" s="14"/>
    </row>
    <row r="6455" spans="9:10">
      <c r="I6455" s="14"/>
      <c r="J6455" s="14"/>
    </row>
    <row r="6456" spans="9:10">
      <c r="I6456" s="14"/>
      <c r="J6456" s="14"/>
    </row>
    <row r="6457" spans="9:10">
      <c r="I6457" s="14"/>
      <c r="J6457" s="14"/>
    </row>
    <row r="6458" spans="9:10">
      <c r="I6458" s="14"/>
      <c r="J6458" s="14"/>
    </row>
    <row r="6459" spans="9:10">
      <c r="I6459" s="14"/>
      <c r="J6459" s="14"/>
    </row>
    <row r="6460" spans="9:10">
      <c r="I6460" s="14"/>
      <c r="J6460" s="14"/>
    </row>
    <row r="6461" spans="9:10">
      <c r="I6461" s="14"/>
      <c r="J6461" s="14"/>
    </row>
    <row r="6462" spans="9:10">
      <c r="I6462" s="14"/>
      <c r="J6462" s="14"/>
    </row>
    <row r="6463" spans="9:10">
      <c r="I6463" s="14"/>
      <c r="J6463" s="14"/>
    </row>
    <row r="6464" spans="9:10">
      <c r="I6464" s="14"/>
      <c r="J6464" s="14"/>
    </row>
    <row r="6465" spans="9:10">
      <c r="I6465" s="14"/>
      <c r="J6465" s="14"/>
    </row>
    <row r="6466" spans="9:10">
      <c r="I6466" s="14"/>
      <c r="J6466" s="14"/>
    </row>
    <row r="6467" spans="9:10">
      <c r="I6467" s="14"/>
      <c r="J6467" s="14"/>
    </row>
    <row r="6468" spans="9:10">
      <c r="I6468" s="14"/>
      <c r="J6468" s="14"/>
    </row>
    <row r="6469" spans="9:10">
      <c r="I6469" s="14"/>
      <c r="J6469" s="14"/>
    </row>
    <row r="6470" spans="9:10">
      <c r="I6470" s="14"/>
      <c r="J6470" s="14"/>
    </row>
    <row r="6471" spans="9:10">
      <c r="I6471" s="14"/>
      <c r="J6471" s="14"/>
    </row>
    <row r="6472" spans="9:10">
      <c r="I6472" s="14"/>
      <c r="J6472" s="14"/>
    </row>
    <row r="6473" spans="9:10">
      <c r="I6473" s="14"/>
      <c r="J6473" s="14"/>
    </row>
    <row r="6474" spans="9:10">
      <c r="I6474" s="14"/>
      <c r="J6474" s="14"/>
    </row>
    <row r="6475" spans="9:10">
      <c r="I6475" s="14"/>
      <c r="J6475" s="14"/>
    </row>
    <row r="6476" spans="9:10">
      <c r="I6476" s="14"/>
      <c r="J6476" s="14"/>
    </row>
    <row r="6477" spans="9:10">
      <c r="I6477" s="14"/>
      <c r="J6477" s="14"/>
    </row>
    <row r="6478" spans="9:10">
      <c r="I6478" s="14"/>
      <c r="J6478" s="14"/>
    </row>
    <row r="6479" spans="9:10">
      <c r="I6479" s="14"/>
      <c r="J6479" s="14"/>
    </row>
    <row r="6480" spans="9:10">
      <c r="I6480" s="14"/>
      <c r="J6480" s="14"/>
    </row>
    <row r="6481" spans="9:10">
      <c r="I6481" s="14"/>
      <c r="J6481" s="14"/>
    </row>
    <row r="6482" spans="9:10">
      <c r="I6482" s="14"/>
      <c r="J6482" s="14"/>
    </row>
    <row r="6483" spans="9:10">
      <c r="I6483" s="14"/>
      <c r="J6483" s="14"/>
    </row>
    <row r="6484" spans="9:10">
      <c r="I6484" s="14"/>
      <c r="J6484" s="14"/>
    </row>
    <row r="6485" spans="9:10">
      <c r="I6485" s="14"/>
      <c r="J6485" s="14"/>
    </row>
    <row r="6486" spans="9:10">
      <c r="I6486" s="14"/>
      <c r="J6486" s="14"/>
    </row>
    <row r="6487" spans="9:10">
      <c r="I6487" s="14"/>
      <c r="J6487" s="14"/>
    </row>
    <row r="6488" spans="9:10">
      <c r="I6488" s="14"/>
      <c r="J6488" s="14"/>
    </row>
    <row r="6489" spans="9:10">
      <c r="I6489" s="14"/>
      <c r="J6489" s="14"/>
    </row>
    <row r="6490" spans="9:10">
      <c r="I6490" s="14"/>
      <c r="J6490" s="14"/>
    </row>
    <row r="6491" spans="9:10">
      <c r="I6491" s="14"/>
      <c r="J6491" s="14"/>
    </row>
    <row r="6492" spans="9:10">
      <c r="I6492" s="14"/>
      <c r="J6492" s="14"/>
    </row>
    <row r="6493" spans="9:10">
      <c r="I6493" s="14"/>
      <c r="J6493" s="14"/>
    </row>
    <row r="6494" spans="9:10">
      <c r="I6494" s="14"/>
      <c r="J6494" s="14"/>
    </row>
    <row r="6495" spans="9:10">
      <c r="I6495" s="14"/>
      <c r="J6495" s="14"/>
    </row>
    <row r="6496" spans="9:10">
      <c r="I6496" s="14"/>
      <c r="J6496" s="14"/>
    </row>
    <row r="6497" spans="9:10">
      <c r="I6497" s="14"/>
      <c r="J6497" s="14"/>
    </row>
    <row r="6498" spans="9:10">
      <c r="I6498" s="14"/>
      <c r="J6498" s="14"/>
    </row>
    <row r="6499" spans="9:10">
      <c r="I6499" s="14"/>
      <c r="J6499" s="14"/>
    </row>
    <row r="6500" spans="9:10">
      <c r="I6500" s="14"/>
      <c r="J6500" s="14"/>
    </row>
    <row r="6501" spans="9:10">
      <c r="I6501" s="14"/>
      <c r="J6501" s="14"/>
    </row>
    <row r="6502" spans="9:10">
      <c r="I6502" s="14"/>
      <c r="J6502" s="14"/>
    </row>
    <row r="6503" spans="9:10">
      <c r="I6503" s="14"/>
      <c r="J6503" s="14"/>
    </row>
    <row r="6504" spans="9:10">
      <c r="I6504" s="14"/>
      <c r="J6504" s="14"/>
    </row>
    <row r="6505" spans="9:10">
      <c r="I6505" s="14"/>
      <c r="J6505" s="14"/>
    </row>
    <row r="6506" spans="9:10">
      <c r="I6506" s="14"/>
      <c r="J6506" s="14"/>
    </row>
    <row r="6507" spans="9:10">
      <c r="I6507" s="14"/>
      <c r="J6507" s="14"/>
    </row>
    <row r="6508" spans="9:10">
      <c r="I6508" s="14"/>
      <c r="J6508" s="14"/>
    </row>
    <row r="6509" spans="9:10">
      <c r="I6509" s="14"/>
      <c r="J6509" s="14"/>
    </row>
    <row r="6510" spans="9:10">
      <c r="I6510" s="14"/>
      <c r="J6510" s="14"/>
    </row>
    <row r="6511" spans="9:10">
      <c r="I6511" s="14"/>
      <c r="J6511" s="14"/>
    </row>
    <row r="6512" spans="9:10">
      <c r="I6512" s="14"/>
      <c r="J6512" s="14"/>
    </row>
    <row r="6513" spans="9:10">
      <c r="I6513" s="14"/>
      <c r="J6513" s="14"/>
    </row>
    <row r="6514" spans="9:10">
      <c r="I6514" s="14"/>
      <c r="J6514" s="14"/>
    </row>
    <row r="6515" spans="9:10">
      <c r="I6515" s="14"/>
      <c r="J6515" s="14"/>
    </row>
    <row r="6516" spans="9:10">
      <c r="I6516" s="14"/>
      <c r="J6516" s="14"/>
    </row>
    <row r="6517" spans="9:10">
      <c r="I6517" s="14"/>
      <c r="J6517" s="14"/>
    </row>
    <row r="6518" spans="9:10">
      <c r="I6518" s="14"/>
      <c r="J6518" s="14"/>
    </row>
    <row r="6519" spans="9:10">
      <c r="I6519" s="14"/>
      <c r="J6519" s="14"/>
    </row>
    <row r="6520" spans="9:10">
      <c r="I6520" s="14"/>
      <c r="J6520" s="14"/>
    </row>
    <row r="6521" spans="9:10">
      <c r="I6521" s="14"/>
      <c r="J6521" s="14"/>
    </row>
    <row r="6522" spans="9:10">
      <c r="I6522" s="14"/>
      <c r="J6522" s="14"/>
    </row>
    <row r="6523" spans="9:10">
      <c r="I6523" s="14"/>
      <c r="J6523" s="14"/>
    </row>
    <row r="6524" spans="9:10">
      <c r="I6524" s="14"/>
      <c r="J6524" s="14"/>
    </row>
    <row r="6525" spans="9:10">
      <c r="I6525" s="14"/>
      <c r="J6525" s="14"/>
    </row>
    <row r="6526" spans="9:10">
      <c r="I6526" s="14"/>
      <c r="J6526" s="14"/>
    </row>
    <row r="6527" spans="9:10">
      <c r="I6527" s="14"/>
      <c r="J6527" s="14"/>
    </row>
    <row r="6528" spans="9:10">
      <c r="I6528" s="14"/>
      <c r="J6528" s="14"/>
    </row>
    <row r="6529" spans="9:10">
      <c r="I6529" s="14"/>
      <c r="J6529" s="14"/>
    </row>
    <row r="6530" spans="9:10">
      <c r="I6530" s="14"/>
      <c r="J6530" s="14"/>
    </row>
    <row r="6531" spans="9:10">
      <c r="I6531" s="14"/>
      <c r="J6531" s="14"/>
    </row>
    <row r="6532" spans="9:10">
      <c r="I6532" s="14"/>
      <c r="J6532" s="14"/>
    </row>
    <row r="6533" spans="9:10">
      <c r="I6533" s="14"/>
      <c r="J6533" s="14"/>
    </row>
    <row r="6534" spans="9:10">
      <c r="I6534" s="14"/>
      <c r="J6534" s="14"/>
    </row>
    <row r="6535" spans="9:10">
      <c r="I6535" s="14"/>
      <c r="J6535" s="14"/>
    </row>
    <row r="6536" spans="9:10">
      <c r="I6536" s="14"/>
      <c r="J6536" s="14"/>
    </row>
    <row r="6537" spans="9:10">
      <c r="I6537" s="14"/>
      <c r="J6537" s="14"/>
    </row>
    <row r="6538" spans="9:10">
      <c r="I6538" s="14"/>
      <c r="J6538" s="14"/>
    </row>
    <row r="6539" spans="9:10">
      <c r="I6539" s="14"/>
      <c r="J6539" s="14"/>
    </row>
    <row r="6540" spans="9:10">
      <c r="I6540" s="14"/>
      <c r="J6540" s="14"/>
    </row>
    <row r="6541" spans="9:10">
      <c r="I6541" s="14"/>
      <c r="J6541" s="14"/>
    </row>
    <row r="6542" spans="9:10">
      <c r="I6542" s="14"/>
      <c r="J6542" s="14"/>
    </row>
    <row r="6543" spans="9:10">
      <c r="I6543" s="14"/>
      <c r="J6543" s="14"/>
    </row>
    <row r="6544" spans="9:10">
      <c r="I6544" s="14"/>
      <c r="J6544" s="14"/>
    </row>
    <row r="6545" spans="9:10">
      <c r="I6545" s="14"/>
      <c r="J6545" s="14"/>
    </row>
    <row r="6546" spans="9:10">
      <c r="I6546" s="14"/>
      <c r="J6546" s="14"/>
    </row>
    <row r="6547" spans="9:10">
      <c r="I6547" s="14"/>
      <c r="J6547" s="14"/>
    </row>
    <row r="6548" spans="9:10">
      <c r="I6548" s="14"/>
      <c r="J6548" s="14"/>
    </row>
    <row r="6549" spans="9:10">
      <c r="I6549" s="14"/>
      <c r="J6549" s="14"/>
    </row>
    <row r="6550" spans="9:10">
      <c r="I6550" s="14"/>
      <c r="J6550" s="14"/>
    </row>
    <row r="6551" spans="9:10">
      <c r="I6551" s="14"/>
      <c r="J6551" s="14"/>
    </row>
    <row r="6552" spans="9:10">
      <c r="I6552" s="14"/>
      <c r="J6552" s="14"/>
    </row>
    <row r="6553" spans="9:10">
      <c r="I6553" s="14"/>
      <c r="J6553" s="14"/>
    </row>
    <row r="6554" spans="9:10">
      <c r="I6554" s="14"/>
      <c r="J6554" s="14"/>
    </row>
    <row r="6555" spans="9:10">
      <c r="I6555" s="14"/>
      <c r="J6555" s="14"/>
    </row>
    <row r="6556" spans="9:10">
      <c r="I6556" s="14"/>
      <c r="J6556" s="14"/>
    </row>
    <row r="6557" spans="9:10">
      <c r="I6557" s="14"/>
      <c r="J6557" s="14"/>
    </row>
    <row r="6558" spans="9:10">
      <c r="I6558" s="14"/>
      <c r="J6558" s="14"/>
    </row>
    <row r="6559" spans="9:10">
      <c r="I6559" s="14"/>
      <c r="J6559" s="14"/>
    </row>
    <row r="6560" spans="9:10">
      <c r="I6560" s="14"/>
      <c r="J6560" s="14"/>
    </row>
    <row r="6561" spans="9:10">
      <c r="I6561" s="14"/>
      <c r="J6561" s="14"/>
    </row>
    <row r="6562" spans="9:10">
      <c r="I6562" s="14"/>
      <c r="J6562" s="14"/>
    </row>
    <row r="6563" spans="9:10">
      <c r="I6563" s="14"/>
      <c r="J6563" s="14"/>
    </row>
    <row r="6564" spans="9:10">
      <c r="I6564" s="14"/>
      <c r="J6564" s="14"/>
    </row>
    <row r="6565" spans="9:10">
      <c r="I6565" s="14"/>
      <c r="J6565" s="14"/>
    </row>
    <row r="6566" spans="9:10">
      <c r="I6566" s="14"/>
      <c r="J6566" s="14"/>
    </row>
    <row r="6567" spans="9:10">
      <c r="I6567" s="14"/>
      <c r="J6567" s="14"/>
    </row>
    <row r="6568" spans="9:10">
      <c r="I6568" s="14"/>
      <c r="J6568" s="14"/>
    </row>
    <row r="6569" spans="9:10">
      <c r="I6569" s="14"/>
      <c r="J6569" s="14"/>
    </row>
    <row r="6570" spans="9:10">
      <c r="I6570" s="14"/>
      <c r="J6570" s="14"/>
    </row>
    <row r="6571" spans="9:10">
      <c r="I6571" s="14"/>
      <c r="J6571" s="14"/>
    </row>
    <row r="6572" spans="9:10">
      <c r="I6572" s="14"/>
      <c r="J6572" s="14"/>
    </row>
    <row r="6573" spans="9:10">
      <c r="I6573" s="14"/>
      <c r="J6573" s="14"/>
    </row>
    <row r="6574" spans="9:10">
      <c r="I6574" s="14"/>
      <c r="J6574" s="14"/>
    </row>
    <row r="6575" spans="9:10">
      <c r="I6575" s="14"/>
      <c r="J6575" s="14"/>
    </row>
    <row r="6576" spans="9:10">
      <c r="I6576" s="14"/>
      <c r="J6576" s="14"/>
    </row>
    <row r="6577" spans="9:10">
      <c r="I6577" s="14"/>
      <c r="J6577" s="14"/>
    </row>
    <row r="6578" spans="9:10">
      <c r="I6578" s="14"/>
      <c r="J6578" s="14"/>
    </row>
    <row r="6579" spans="9:10">
      <c r="I6579" s="14"/>
      <c r="J6579" s="14"/>
    </row>
    <row r="6580" spans="9:10">
      <c r="I6580" s="14"/>
      <c r="J6580" s="14"/>
    </row>
    <row r="6581" spans="9:10">
      <c r="I6581" s="14"/>
      <c r="J6581" s="14"/>
    </row>
    <row r="6582" spans="9:10">
      <c r="I6582" s="14"/>
      <c r="J6582" s="14"/>
    </row>
    <row r="6583" spans="9:10">
      <c r="I6583" s="14"/>
      <c r="J6583" s="14"/>
    </row>
    <row r="6584" spans="9:10">
      <c r="I6584" s="14"/>
      <c r="J6584" s="14"/>
    </row>
    <row r="6585" spans="9:10">
      <c r="I6585" s="14"/>
      <c r="J6585" s="14"/>
    </row>
    <row r="6586" spans="9:10">
      <c r="I6586" s="14"/>
      <c r="J6586" s="14"/>
    </row>
    <row r="6587" spans="9:10">
      <c r="I6587" s="14"/>
      <c r="J6587" s="14"/>
    </row>
    <row r="6588" spans="9:10">
      <c r="I6588" s="14"/>
      <c r="J6588" s="14"/>
    </row>
    <row r="6589" spans="9:10">
      <c r="I6589" s="14"/>
      <c r="J6589" s="14"/>
    </row>
    <row r="6590" spans="9:10">
      <c r="I6590" s="14"/>
      <c r="J6590" s="14"/>
    </row>
    <row r="6591" spans="9:10">
      <c r="I6591" s="14"/>
      <c r="J6591" s="14"/>
    </row>
    <row r="6592" spans="9:10">
      <c r="I6592" s="14"/>
      <c r="J6592" s="14"/>
    </row>
    <row r="6593" spans="9:10">
      <c r="I6593" s="14"/>
      <c r="J6593" s="14"/>
    </row>
    <row r="6594" spans="9:10">
      <c r="I6594" s="14"/>
      <c r="J6594" s="14"/>
    </row>
    <row r="6595" spans="9:10">
      <c r="I6595" s="14"/>
      <c r="J6595" s="14"/>
    </row>
    <row r="6596" spans="9:10">
      <c r="I6596" s="14"/>
      <c r="J6596" s="14"/>
    </row>
    <row r="6597" spans="9:10">
      <c r="I6597" s="14"/>
      <c r="J6597" s="14"/>
    </row>
    <row r="6598" spans="9:10">
      <c r="I6598" s="14"/>
      <c r="J6598" s="14"/>
    </row>
    <row r="6599" spans="9:10">
      <c r="I6599" s="14"/>
      <c r="J6599" s="14"/>
    </row>
    <row r="6600" spans="9:10">
      <c r="I6600" s="14"/>
      <c r="J6600" s="14"/>
    </row>
    <row r="6601" spans="9:10">
      <c r="I6601" s="14"/>
      <c r="J6601" s="14"/>
    </row>
    <row r="6602" spans="9:10">
      <c r="I6602" s="14"/>
      <c r="J6602" s="14"/>
    </row>
    <row r="6603" spans="9:10">
      <c r="I6603" s="14"/>
      <c r="J6603" s="14"/>
    </row>
    <row r="6604" spans="9:10">
      <c r="I6604" s="14"/>
      <c r="J6604" s="14"/>
    </row>
    <row r="6605" spans="9:10">
      <c r="I6605" s="14"/>
      <c r="J6605" s="14"/>
    </row>
    <row r="6606" spans="9:10">
      <c r="I6606" s="14"/>
      <c r="J6606" s="14"/>
    </row>
    <row r="6607" spans="9:10">
      <c r="I6607" s="14"/>
      <c r="J6607" s="14"/>
    </row>
    <row r="6608" spans="9:10">
      <c r="I6608" s="14"/>
      <c r="J6608" s="14"/>
    </row>
    <row r="6609" spans="9:10">
      <c r="I6609" s="14"/>
      <c r="J6609" s="14"/>
    </row>
    <row r="6610" spans="9:10">
      <c r="I6610" s="14"/>
      <c r="J6610" s="14"/>
    </row>
    <row r="6611" spans="9:10">
      <c r="I6611" s="14"/>
      <c r="J6611" s="14"/>
    </row>
    <row r="6612" spans="9:10">
      <c r="I6612" s="14"/>
      <c r="J6612" s="14"/>
    </row>
    <row r="6613" spans="9:10">
      <c r="I6613" s="14"/>
      <c r="J6613" s="14"/>
    </row>
    <row r="6614" spans="9:10">
      <c r="I6614" s="14"/>
      <c r="J6614" s="14"/>
    </row>
    <row r="6615" spans="9:10">
      <c r="I6615" s="14"/>
      <c r="J6615" s="14"/>
    </row>
    <row r="6616" spans="9:10">
      <c r="I6616" s="14"/>
      <c r="J6616" s="14"/>
    </row>
    <row r="6617" spans="9:10">
      <c r="I6617" s="14"/>
      <c r="J6617" s="14"/>
    </row>
    <row r="6618" spans="9:10">
      <c r="I6618" s="14"/>
      <c r="J6618" s="14"/>
    </row>
    <row r="6619" spans="9:10">
      <c r="I6619" s="14"/>
      <c r="J6619" s="14"/>
    </row>
    <row r="6620" spans="9:10">
      <c r="I6620" s="14"/>
      <c r="J6620" s="14"/>
    </row>
    <row r="6621" spans="9:10">
      <c r="I6621" s="14"/>
      <c r="J6621" s="14"/>
    </row>
    <row r="6622" spans="9:10">
      <c r="I6622" s="14"/>
      <c r="J6622" s="14"/>
    </row>
    <row r="6623" spans="9:10">
      <c r="I6623" s="14"/>
      <c r="J6623" s="14"/>
    </row>
    <row r="6624" spans="9:10">
      <c r="I6624" s="14"/>
      <c r="J6624" s="14"/>
    </row>
    <row r="6625" spans="9:10">
      <c r="I6625" s="14"/>
      <c r="J6625" s="14"/>
    </row>
    <row r="6626" spans="9:10">
      <c r="I6626" s="14"/>
      <c r="J6626" s="14"/>
    </row>
    <row r="6627" spans="9:10">
      <c r="I6627" s="14"/>
      <c r="J6627" s="14"/>
    </row>
    <row r="6628" spans="9:10">
      <c r="I6628" s="14"/>
      <c r="J6628" s="14"/>
    </row>
    <row r="6629" spans="9:10">
      <c r="I6629" s="14"/>
      <c r="J6629" s="14"/>
    </row>
    <row r="6630" spans="9:10">
      <c r="I6630" s="14"/>
      <c r="J6630" s="14"/>
    </row>
    <row r="6631" spans="9:10">
      <c r="I6631" s="14"/>
      <c r="J6631" s="14"/>
    </row>
    <row r="6632" spans="9:10">
      <c r="I6632" s="14"/>
      <c r="J6632" s="14"/>
    </row>
    <row r="6633" spans="9:10">
      <c r="I6633" s="14"/>
      <c r="J6633" s="14"/>
    </row>
    <row r="6634" spans="9:10">
      <c r="I6634" s="14"/>
      <c r="J6634" s="14"/>
    </row>
    <row r="6635" spans="9:10">
      <c r="I6635" s="14"/>
      <c r="J6635" s="14"/>
    </row>
    <row r="6636" spans="9:10">
      <c r="I6636" s="14"/>
      <c r="J6636" s="14"/>
    </row>
    <row r="6637" spans="9:10">
      <c r="I6637" s="14"/>
      <c r="J6637" s="14"/>
    </row>
    <row r="6638" spans="9:10">
      <c r="I6638" s="14"/>
      <c r="J6638" s="14"/>
    </row>
    <row r="6639" spans="9:10">
      <c r="I6639" s="14"/>
      <c r="J6639" s="14"/>
    </row>
    <row r="6640" spans="9:10">
      <c r="I6640" s="14"/>
      <c r="J6640" s="14"/>
    </row>
    <row r="6641" spans="9:10">
      <c r="I6641" s="14"/>
      <c r="J6641" s="14"/>
    </row>
    <row r="6642" spans="9:10">
      <c r="I6642" s="14"/>
      <c r="J6642" s="14"/>
    </row>
    <row r="6643" spans="9:10">
      <c r="I6643" s="14"/>
      <c r="J6643" s="14"/>
    </row>
    <row r="6644" spans="9:10">
      <c r="I6644" s="14"/>
      <c r="J6644" s="14"/>
    </row>
    <row r="6645" spans="9:10">
      <c r="I6645" s="14"/>
      <c r="J6645" s="14"/>
    </row>
    <row r="6646" spans="9:10">
      <c r="I6646" s="14"/>
      <c r="J6646" s="14"/>
    </row>
    <row r="6647" spans="9:10">
      <c r="I6647" s="14"/>
      <c r="J6647" s="14"/>
    </row>
    <row r="6648" spans="9:10">
      <c r="I6648" s="14"/>
      <c r="J6648" s="14"/>
    </row>
    <row r="6649" spans="9:10">
      <c r="I6649" s="14"/>
      <c r="J6649" s="14"/>
    </row>
    <row r="6650" spans="9:10">
      <c r="I6650" s="14"/>
      <c r="J6650" s="14"/>
    </row>
    <row r="6651" spans="9:10">
      <c r="I6651" s="14"/>
      <c r="J6651" s="14"/>
    </row>
    <row r="6652" spans="9:10">
      <c r="I6652" s="14"/>
      <c r="J6652" s="14"/>
    </row>
    <row r="6653" spans="9:10">
      <c r="I6653" s="14"/>
      <c r="J6653" s="14"/>
    </row>
    <row r="6654" spans="9:10">
      <c r="I6654" s="14"/>
      <c r="J6654" s="14"/>
    </row>
    <row r="6655" spans="9:10">
      <c r="I6655" s="14"/>
      <c r="J6655" s="14"/>
    </row>
    <row r="6656" spans="9:10">
      <c r="I6656" s="14"/>
      <c r="J6656" s="14"/>
    </row>
    <row r="6657" spans="9:10">
      <c r="I6657" s="14"/>
      <c r="J6657" s="14"/>
    </row>
    <row r="6658" spans="9:10">
      <c r="I6658" s="14"/>
      <c r="J6658" s="14"/>
    </row>
    <row r="6659" spans="9:10">
      <c r="I6659" s="14"/>
      <c r="J6659" s="14"/>
    </row>
    <row r="6660" spans="9:10">
      <c r="I6660" s="14"/>
      <c r="J6660" s="14"/>
    </row>
    <row r="6661" spans="9:10">
      <c r="I6661" s="14"/>
      <c r="J6661" s="14"/>
    </row>
    <row r="6662" spans="9:10">
      <c r="I6662" s="14"/>
      <c r="J6662" s="14"/>
    </row>
    <row r="6663" spans="9:10">
      <c r="I6663" s="14"/>
      <c r="J6663" s="14"/>
    </row>
    <row r="6664" spans="9:10">
      <c r="I6664" s="14"/>
      <c r="J6664" s="14"/>
    </row>
    <row r="6665" spans="9:10">
      <c r="I6665" s="14"/>
      <c r="J6665" s="14"/>
    </row>
    <row r="6666" spans="9:10">
      <c r="I6666" s="14"/>
      <c r="J6666" s="14"/>
    </row>
    <row r="6667" spans="9:10">
      <c r="I6667" s="14"/>
      <c r="J6667" s="14"/>
    </row>
    <row r="6668" spans="9:10">
      <c r="I6668" s="14"/>
      <c r="J6668" s="14"/>
    </row>
    <row r="6669" spans="9:10">
      <c r="I6669" s="14"/>
      <c r="J6669" s="14"/>
    </row>
    <row r="6670" spans="9:10">
      <c r="I6670" s="14"/>
      <c r="J6670" s="14"/>
    </row>
    <row r="6671" spans="9:10">
      <c r="I6671" s="14"/>
      <c r="J6671" s="14"/>
    </row>
    <row r="6672" spans="9:10">
      <c r="I6672" s="14"/>
      <c r="J6672" s="14"/>
    </row>
    <row r="6673" spans="9:10">
      <c r="I6673" s="14"/>
      <c r="J6673" s="14"/>
    </row>
    <row r="6674" spans="9:10">
      <c r="I6674" s="14"/>
      <c r="J6674" s="14"/>
    </row>
    <row r="6675" spans="9:10">
      <c r="I6675" s="14"/>
      <c r="J6675" s="14"/>
    </row>
    <row r="6676" spans="9:10">
      <c r="I6676" s="14"/>
      <c r="J6676" s="14"/>
    </row>
    <row r="6677" spans="9:10">
      <c r="I6677" s="14"/>
      <c r="J6677" s="14"/>
    </row>
    <row r="6678" spans="9:10">
      <c r="I6678" s="14"/>
      <c r="J6678" s="14"/>
    </row>
    <row r="6679" spans="9:10">
      <c r="I6679" s="14"/>
      <c r="J6679" s="14"/>
    </row>
    <row r="6680" spans="9:10">
      <c r="I6680" s="14"/>
      <c r="J6680" s="14"/>
    </row>
    <row r="6681" spans="9:10">
      <c r="I6681" s="14"/>
      <c r="J6681" s="14"/>
    </row>
    <row r="6682" spans="9:10">
      <c r="I6682" s="14"/>
      <c r="J6682" s="14"/>
    </row>
    <row r="6683" spans="9:10">
      <c r="I6683" s="14"/>
      <c r="J6683" s="14"/>
    </row>
    <row r="6684" spans="9:10">
      <c r="I6684" s="14"/>
      <c r="J6684" s="14"/>
    </row>
    <row r="6685" spans="9:10">
      <c r="I6685" s="14"/>
      <c r="J6685" s="14"/>
    </row>
    <row r="6686" spans="9:10">
      <c r="I6686" s="14"/>
      <c r="J6686" s="14"/>
    </row>
    <row r="6687" spans="9:10">
      <c r="I6687" s="14"/>
      <c r="J6687" s="14"/>
    </row>
    <row r="6688" spans="9:10">
      <c r="I6688" s="14"/>
      <c r="J6688" s="14"/>
    </row>
    <row r="6689" spans="9:10">
      <c r="I6689" s="14"/>
      <c r="J6689" s="14"/>
    </row>
    <row r="6690" spans="9:10">
      <c r="I6690" s="14"/>
      <c r="J6690" s="14"/>
    </row>
    <row r="6691" spans="9:10">
      <c r="I6691" s="14"/>
      <c r="J6691" s="14"/>
    </row>
    <row r="6692" spans="9:10">
      <c r="I6692" s="14"/>
      <c r="J6692" s="14"/>
    </row>
    <row r="6693" spans="9:10">
      <c r="I6693" s="14"/>
      <c r="J6693" s="14"/>
    </row>
    <row r="6694" spans="9:10">
      <c r="I6694" s="14"/>
      <c r="J6694" s="14"/>
    </row>
    <row r="6695" spans="9:10">
      <c r="I6695" s="14"/>
      <c r="J6695" s="14"/>
    </row>
    <row r="6696" spans="9:10">
      <c r="I6696" s="14"/>
      <c r="J6696" s="14"/>
    </row>
    <row r="6697" spans="9:10">
      <c r="I6697" s="14"/>
      <c r="J6697" s="14"/>
    </row>
    <row r="6698" spans="9:10">
      <c r="I6698" s="14"/>
      <c r="J6698" s="14"/>
    </row>
    <row r="6699" spans="9:10">
      <c r="I6699" s="14"/>
      <c r="J6699" s="14"/>
    </row>
    <row r="6700" spans="9:10">
      <c r="I6700" s="14"/>
      <c r="J6700" s="14"/>
    </row>
    <row r="6701" spans="9:10">
      <c r="I6701" s="14"/>
      <c r="J6701" s="14"/>
    </row>
    <row r="6702" spans="9:10">
      <c r="I6702" s="14"/>
      <c r="J6702" s="14"/>
    </row>
    <row r="6703" spans="9:10">
      <c r="I6703" s="14"/>
      <c r="J6703" s="14"/>
    </row>
    <row r="6704" spans="9:10">
      <c r="I6704" s="14"/>
      <c r="J6704" s="14"/>
    </row>
    <row r="6705" spans="9:10">
      <c r="I6705" s="14"/>
      <c r="J6705" s="14"/>
    </row>
    <row r="6706" spans="9:10">
      <c r="I6706" s="14"/>
      <c r="J6706" s="14"/>
    </row>
    <row r="6707" spans="9:10">
      <c r="I6707" s="14"/>
      <c r="J6707" s="14"/>
    </row>
    <row r="6708" spans="9:10">
      <c r="I6708" s="14"/>
      <c r="J6708" s="14"/>
    </row>
    <row r="6709" spans="9:10">
      <c r="I6709" s="14"/>
      <c r="J6709" s="14"/>
    </row>
    <row r="6710" spans="9:10">
      <c r="I6710" s="14"/>
      <c r="J6710" s="14"/>
    </row>
    <row r="6711" spans="9:10">
      <c r="I6711" s="14"/>
      <c r="J6711" s="14"/>
    </row>
    <row r="6712" spans="9:10">
      <c r="I6712" s="14"/>
      <c r="J6712" s="14"/>
    </row>
    <row r="6713" spans="9:10">
      <c r="I6713" s="14"/>
      <c r="J6713" s="14"/>
    </row>
    <row r="6714" spans="9:10">
      <c r="I6714" s="14"/>
      <c r="J6714" s="14"/>
    </row>
    <row r="6715" spans="9:10">
      <c r="I6715" s="14"/>
      <c r="J6715" s="14"/>
    </row>
    <row r="6716" spans="9:10">
      <c r="I6716" s="14"/>
      <c r="J6716" s="14"/>
    </row>
    <row r="6717" spans="9:10">
      <c r="I6717" s="14"/>
      <c r="J6717" s="14"/>
    </row>
    <row r="6718" spans="9:10">
      <c r="I6718" s="14"/>
      <c r="J6718" s="14"/>
    </row>
    <row r="6719" spans="9:10">
      <c r="I6719" s="14"/>
      <c r="J6719" s="14"/>
    </row>
    <row r="6720" spans="9:10">
      <c r="I6720" s="14"/>
      <c r="J6720" s="14"/>
    </row>
    <row r="6721" spans="9:10">
      <c r="I6721" s="14"/>
      <c r="J6721" s="14"/>
    </row>
    <row r="6722" spans="9:10">
      <c r="I6722" s="14"/>
      <c r="J6722" s="14"/>
    </row>
    <row r="6723" spans="9:10">
      <c r="I6723" s="14"/>
      <c r="J6723" s="14"/>
    </row>
    <row r="6724" spans="9:10">
      <c r="I6724" s="14"/>
      <c r="J6724" s="14"/>
    </row>
    <row r="6725" spans="9:10">
      <c r="I6725" s="14"/>
      <c r="J6725" s="14"/>
    </row>
    <row r="6726" spans="9:10">
      <c r="I6726" s="14"/>
      <c r="J6726" s="14"/>
    </row>
    <row r="6727" spans="9:10">
      <c r="I6727" s="14"/>
      <c r="J6727" s="14"/>
    </row>
    <row r="6728" spans="9:10">
      <c r="I6728" s="14"/>
      <c r="J6728" s="14"/>
    </row>
    <row r="6729" spans="9:10">
      <c r="I6729" s="14"/>
      <c r="J6729" s="14"/>
    </row>
    <row r="6730" spans="9:10">
      <c r="I6730" s="14"/>
      <c r="J6730" s="14"/>
    </row>
    <row r="6731" spans="9:10">
      <c r="I6731" s="14"/>
      <c r="J6731" s="14"/>
    </row>
    <row r="6732" spans="9:10">
      <c r="I6732" s="14"/>
      <c r="J6732" s="14"/>
    </row>
    <row r="6733" spans="9:10">
      <c r="I6733" s="14"/>
      <c r="J6733" s="14"/>
    </row>
    <row r="6734" spans="9:10">
      <c r="I6734" s="14"/>
      <c r="J6734" s="14"/>
    </row>
    <row r="6735" spans="9:10">
      <c r="I6735" s="14"/>
      <c r="J6735" s="14"/>
    </row>
    <row r="6736" spans="9:10">
      <c r="I6736" s="14"/>
      <c r="J6736" s="14"/>
    </row>
    <row r="6737" spans="9:10">
      <c r="I6737" s="14"/>
      <c r="J6737" s="14"/>
    </row>
    <row r="6738" spans="9:10">
      <c r="I6738" s="14"/>
      <c r="J6738" s="14"/>
    </row>
    <row r="6739" spans="9:10">
      <c r="I6739" s="14"/>
      <c r="J6739" s="14"/>
    </row>
    <row r="6740" spans="9:10">
      <c r="I6740" s="14"/>
      <c r="J6740" s="14"/>
    </row>
    <row r="6741" spans="9:10">
      <c r="I6741" s="14"/>
      <c r="J6741" s="14"/>
    </row>
    <row r="6742" spans="9:10">
      <c r="I6742" s="14"/>
      <c r="J6742" s="14"/>
    </row>
    <row r="6743" spans="9:10">
      <c r="I6743" s="14"/>
      <c r="J6743" s="14"/>
    </row>
    <row r="6744" spans="9:10">
      <c r="I6744" s="14"/>
      <c r="J6744" s="14"/>
    </row>
    <row r="6745" spans="9:10">
      <c r="I6745" s="14"/>
      <c r="J6745" s="14"/>
    </row>
    <row r="6746" spans="9:10">
      <c r="I6746" s="14"/>
      <c r="J6746" s="14"/>
    </row>
    <row r="6747" spans="9:10">
      <c r="I6747" s="14"/>
      <c r="J6747" s="14"/>
    </row>
    <row r="6748" spans="9:10">
      <c r="I6748" s="14"/>
      <c r="J6748" s="14"/>
    </row>
    <row r="6749" spans="9:10">
      <c r="I6749" s="14"/>
      <c r="J6749" s="14"/>
    </row>
    <row r="6750" spans="9:10">
      <c r="I6750" s="14"/>
      <c r="J6750" s="14"/>
    </row>
    <row r="6751" spans="9:10">
      <c r="I6751" s="14"/>
      <c r="J6751" s="14"/>
    </row>
    <row r="6752" spans="9:10">
      <c r="I6752" s="14"/>
      <c r="J6752" s="14"/>
    </row>
    <row r="6753" spans="9:10">
      <c r="I6753" s="14"/>
      <c r="J6753" s="14"/>
    </row>
    <row r="6754" spans="9:10">
      <c r="I6754" s="14"/>
      <c r="J6754" s="14"/>
    </row>
    <row r="6755" spans="9:10">
      <c r="I6755" s="14"/>
      <c r="J6755" s="14"/>
    </row>
    <row r="6756" spans="9:10">
      <c r="I6756" s="14"/>
      <c r="J6756" s="14"/>
    </row>
    <row r="6757" spans="9:10">
      <c r="I6757" s="14"/>
      <c r="J6757" s="14"/>
    </row>
    <row r="6758" spans="9:10">
      <c r="I6758" s="14"/>
      <c r="J6758" s="14"/>
    </row>
    <row r="6759" spans="9:10">
      <c r="I6759" s="14"/>
      <c r="J6759" s="14"/>
    </row>
    <row r="6760" spans="9:10">
      <c r="I6760" s="14"/>
      <c r="J6760" s="14"/>
    </row>
    <row r="6761" spans="9:10">
      <c r="I6761" s="14"/>
      <c r="J6761" s="14"/>
    </row>
    <row r="6762" spans="9:10">
      <c r="I6762" s="14"/>
      <c r="J6762" s="14"/>
    </row>
    <row r="6763" spans="9:10">
      <c r="I6763" s="14"/>
      <c r="J6763" s="14"/>
    </row>
    <row r="6764" spans="9:10">
      <c r="I6764" s="14"/>
      <c r="J6764" s="14"/>
    </row>
    <row r="6765" spans="9:10">
      <c r="I6765" s="14"/>
      <c r="J6765" s="14"/>
    </row>
    <row r="6766" spans="9:10">
      <c r="I6766" s="14"/>
      <c r="J6766" s="14"/>
    </row>
    <row r="6767" spans="9:10">
      <c r="I6767" s="14"/>
      <c r="J6767" s="14"/>
    </row>
    <row r="6768" spans="9:10">
      <c r="I6768" s="14"/>
      <c r="J6768" s="14"/>
    </row>
    <row r="6769" spans="9:10">
      <c r="I6769" s="14"/>
      <c r="J6769" s="14"/>
    </row>
    <row r="6770" spans="9:10">
      <c r="I6770" s="14"/>
      <c r="J6770" s="14"/>
    </row>
    <row r="6771" spans="9:10">
      <c r="I6771" s="14"/>
      <c r="J6771" s="14"/>
    </row>
    <row r="6772" spans="9:10">
      <c r="I6772" s="14"/>
      <c r="J6772" s="14"/>
    </row>
    <row r="6773" spans="9:10">
      <c r="I6773" s="14"/>
      <c r="J6773" s="14"/>
    </row>
    <row r="6774" spans="9:10">
      <c r="I6774" s="14"/>
      <c r="J6774" s="14"/>
    </row>
    <row r="6775" spans="9:10">
      <c r="I6775" s="14"/>
      <c r="J6775" s="14"/>
    </row>
    <row r="6776" spans="9:10">
      <c r="I6776" s="14"/>
      <c r="J6776" s="14"/>
    </row>
    <row r="6777" spans="9:10">
      <c r="I6777" s="14"/>
      <c r="J6777" s="14"/>
    </row>
    <row r="6778" spans="9:10">
      <c r="I6778" s="14"/>
      <c r="J6778" s="14"/>
    </row>
    <row r="6779" spans="9:10">
      <c r="I6779" s="14"/>
      <c r="J6779" s="14"/>
    </row>
    <row r="6780" spans="9:10">
      <c r="I6780" s="14"/>
      <c r="J6780" s="14"/>
    </row>
    <row r="6781" spans="9:10">
      <c r="I6781" s="14"/>
      <c r="J6781" s="14"/>
    </row>
    <row r="6782" spans="9:10">
      <c r="I6782" s="14"/>
      <c r="J6782" s="14"/>
    </row>
    <row r="6783" spans="9:10">
      <c r="I6783" s="14"/>
      <c r="J6783" s="14"/>
    </row>
    <row r="6784" spans="9:10">
      <c r="I6784" s="14"/>
      <c r="J6784" s="14"/>
    </row>
    <row r="6785" spans="9:10">
      <c r="I6785" s="14"/>
      <c r="J6785" s="14"/>
    </row>
    <row r="6786" spans="9:10">
      <c r="I6786" s="14"/>
      <c r="J6786" s="14"/>
    </row>
    <row r="6787" spans="9:10">
      <c r="I6787" s="14"/>
      <c r="J6787" s="14"/>
    </row>
    <row r="6788" spans="9:10">
      <c r="I6788" s="14"/>
      <c r="J6788" s="14"/>
    </row>
    <row r="6789" spans="9:10">
      <c r="I6789" s="14"/>
      <c r="J6789" s="14"/>
    </row>
    <row r="6790" spans="9:10">
      <c r="I6790" s="14"/>
      <c r="J6790" s="14"/>
    </row>
    <row r="6791" spans="9:10">
      <c r="I6791" s="14"/>
      <c r="J6791" s="14"/>
    </row>
    <row r="6792" spans="9:10">
      <c r="I6792" s="14"/>
      <c r="J6792" s="14"/>
    </row>
    <row r="6793" spans="9:10">
      <c r="I6793" s="14"/>
      <c r="J6793" s="14"/>
    </row>
    <row r="6794" spans="9:10">
      <c r="I6794" s="14"/>
      <c r="J6794" s="14"/>
    </row>
    <row r="6795" spans="9:10">
      <c r="I6795" s="14"/>
      <c r="J6795" s="14"/>
    </row>
    <row r="6796" spans="9:10">
      <c r="I6796" s="14"/>
      <c r="J6796" s="14"/>
    </row>
    <row r="6797" spans="9:10">
      <c r="I6797" s="14"/>
      <c r="J6797" s="14"/>
    </row>
    <row r="6798" spans="9:10">
      <c r="I6798" s="14"/>
      <c r="J6798" s="14"/>
    </row>
    <row r="6799" spans="9:10">
      <c r="I6799" s="14"/>
      <c r="J6799" s="14"/>
    </row>
    <row r="6800" spans="9:10">
      <c r="I6800" s="14"/>
      <c r="J6800" s="14"/>
    </row>
    <row r="6801" spans="9:10">
      <c r="I6801" s="14"/>
      <c r="J6801" s="14"/>
    </row>
    <row r="6802" spans="9:10">
      <c r="I6802" s="14"/>
      <c r="J6802" s="14"/>
    </row>
    <row r="6803" spans="9:10">
      <c r="I6803" s="14"/>
      <c r="J6803" s="14"/>
    </row>
    <row r="6804" spans="9:10">
      <c r="I6804" s="14"/>
      <c r="J6804" s="14"/>
    </row>
    <row r="6805" spans="9:10">
      <c r="I6805" s="14"/>
      <c r="J6805" s="14"/>
    </row>
    <row r="6806" spans="9:10">
      <c r="I6806" s="14"/>
      <c r="J6806" s="14"/>
    </row>
    <row r="6807" spans="9:10">
      <c r="I6807" s="14"/>
      <c r="J6807" s="14"/>
    </row>
    <row r="6808" spans="9:10">
      <c r="I6808" s="14"/>
      <c r="J6808" s="14"/>
    </row>
    <row r="6809" spans="9:10">
      <c r="I6809" s="14"/>
      <c r="J6809" s="14"/>
    </row>
    <row r="6810" spans="9:10">
      <c r="I6810" s="14"/>
      <c r="J6810" s="14"/>
    </row>
    <row r="6811" spans="9:10">
      <c r="I6811" s="14"/>
      <c r="J6811" s="14"/>
    </row>
    <row r="6812" spans="9:10">
      <c r="I6812" s="14"/>
      <c r="J6812" s="14"/>
    </row>
    <row r="6813" spans="9:10">
      <c r="I6813" s="14"/>
      <c r="J6813" s="14"/>
    </row>
    <row r="6814" spans="9:10">
      <c r="I6814" s="14"/>
      <c r="J6814" s="14"/>
    </row>
    <row r="6815" spans="9:10">
      <c r="I6815" s="14"/>
      <c r="J6815" s="14"/>
    </row>
    <row r="6816" spans="9:10">
      <c r="I6816" s="14"/>
      <c r="J6816" s="14"/>
    </row>
    <row r="6817" spans="9:10">
      <c r="I6817" s="14"/>
      <c r="J6817" s="14"/>
    </row>
    <row r="6818" spans="9:10">
      <c r="I6818" s="14"/>
      <c r="J6818" s="14"/>
    </row>
    <row r="6819" spans="9:10">
      <c r="I6819" s="14"/>
      <c r="J6819" s="14"/>
    </row>
    <row r="6820" spans="9:10">
      <c r="I6820" s="14"/>
      <c r="J6820" s="14"/>
    </row>
    <row r="6821" spans="9:10">
      <c r="I6821" s="14"/>
      <c r="J6821" s="14"/>
    </row>
    <row r="6822" spans="9:10">
      <c r="I6822" s="14"/>
      <c r="J6822" s="14"/>
    </row>
    <row r="6823" spans="9:10">
      <c r="I6823" s="14"/>
      <c r="J6823" s="14"/>
    </row>
    <row r="6824" spans="9:10">
      <c r="I6824" s="14"/>
      <c r="J6824" s="14"/>
    </row>
    <row r="6825" spans="9:10">
      <c r="I6825" s="14"/>
      <c r="J6825" s="14"/>
    </row>
    <row r="6826" spans="9:10">
      <c r="I6826" s="14"/>
      <c r="J6826" s="14"/>
    </row>
    <row r="6827" spans="9:10">
      <c r="I6827" s="14"/>
      <c r="J6827" s="14"/>
    </row>
    <row r="6828" spans="9:10">
      <c r="I6828" s="14"/>
      <c r="J6828" s="14"/>
    </row>
    <row r="6829" spans="9:10">
      <c r="I6829" s="14"/>
      <c r="J6829" s="14"/>
    </row>
    <row r="6830" spans="9:10">
      <c r="I6830" s="14"/>
      <c r="J6830" s="14"/>
    </row>
    <row r="6831" spans="9:10">
      <c r="I6831" s="14"/>
      <c r="J6831" s="14"/>
    </row>
    <row r="6832" spans="9:10">
      <c r="I6832" s="14"/>
      <c r="J6832" s="14"/>
    </row>
    <row r="6833" spans="9:10">
      <c r="I6833" s="14"/>
      <c r="J6833" s="14"/>
    </row>
    <row r="6834" spans="9:10">
      <c r="I6834" s="14"/>
      <c r="J6834" s="14"/>
    </row>
    <row r="6835" spans="9:10">
      <c r="I6835" s="14"/>
      <c r="J6835" s="14"/>
    </row>
    <row r="6836" spans="9:10">
      <c r="I6836" s="14"/>
      <c r="J6836" s="14"/>
    </row>
    <row r="6837" spans="9:10">
      <c r="I6837" s="14"/>
      <c r="J6837" s="14"/>
    </row>
    <row r="6838" spans="9:10">
      <c r="I6838" s="14"/>
      <c r="J6838" s="14"/>
    </row>
    <row r="6839" spans="9:10">
      <c r="I6839" s="14"/>
      <c r="J6839" s="14"/>
    </row>
    <row r="6840" spans="9:10">
      <c r="I6840" s="14"/>
      <c r="J6840" s="14"/>
    </row>
    <row r="6841" spans="9:10">
      <c r="I6841" s="14"/>
      <c r="J6841" s="14"/>
    </row>
    <row r="6842" spans="9:10">
      <c r="I6842" s="14"/>
      <c r="J6842" s="14"/>
    </row>
    <row r="6843" spans="9:10">
      <c r="I6843" s="14"/>
      <c r="J6843" s="14"/>
    </row>
    <row r="6844" spans="9:10">
      <c r="I6844" s="14"/>
      <c r="J6844" s="14"/>
    </row>
    <row r="6845" spans="9:10">
      <c r="I6845" s="14"/>
      <c r="J6845" s="14"/>
    </row>
    <row r="6846" spans="9:10">
      <c r="I6846" s="14"/>
      <c r="J6846" s="14"/>
    </row>
    <row r="6847" spans="9:10">
      <c r="I6847" s="14"/>
      <c r="J6847" s="14"/>
    </row>
    <row r="6848" spans="9:10">
      <c r="I6848" s="14"/>
      <c r="J6848" s="14"/>
    </row>
    <row r="6849" spans="9:10">
      <c r="I6849" s="14"/>
      <c r="J6849" s="14"/>
    </row>
    <row r="6850" spans="9:10">
      <c r="I6850" s="14"/>
      <c r="J6850" s="14"/>
    </row>
    <row r="6851" spans="9:10">
      <c r="I6851" s="14"/>
      <c r="J6851" s="14"/>
    </row>
    <row r="6852" spans="9:10">
      <c r="I6852" s="14"/>
      <c r="J6852" s="14"/>
    </row>
    <row r="6853" spans="9:10">
      <c r="I6853" s="14"/>
      <c r="J6853" s="14"/>
    </row>
    <row r="6854" spans="9:10">
      <c r="I6854" s="14"/>
      <c r="J6854" s="14"/>
    </row>
    <row r="6855" spans="9:10">
      <c r="I6855" s="14"/>
      <c r="J6855" s="14"/>
    </row>
    <row r="6856" spans="9:10">
      <c r="I6856" s="14"/>
      <c r="J6856" s="14"/>
    </row>
    <row r="6857" spans="9:10">
      <c r="I6857" s="14"/>
      <c r="J6857" s="14"/>
    </row>
    <row r="6858" spans="9:10">
      <c r="I6858" s="14"/>
      <c r="J6858" s="14"/>
    </row>
    <row r="6859" spans="9:10">
      <c r="I6859" s="14"/>
      <c r="J6859" s="14"/>
    </row>
    <row r="6860" spans="9:10">
      <c r="I6860" s="14"/>
      <c r="J6860" s="14"/>
    </row>
    <row r="6861" spans="9:10">
      <c r="I6861" s="14"/>
      <c r="J6861" s="14"/>
    </row>
    <row r="6862" spans="9:10">
      <c r="I6862" s="14"/>
      <c r="J6862" s="14"/>
    </row>
    <row r="6863" spans="9:10">
      <c r="I6863" s="14"/>
      <c r="J6863" s="14"/>
    </row>
    <row r="6864" spans="9:10">
      <c r="I6864" s="14"/>
      <c r="J6864" s="14"/>
    </row>
    <row r="6865" spans="9:10">
      <c r="I6865" s="14"/>
      <c r="J6865" s="14"/>
    </row>
    <row r="6866" spans="9:10">
      <c r="I6866" s="14"/>
      <c r="J6866" s="14"/>
    </row>
    <row r="6867" spans="9:10">
      <c r="I6867" s="14"/>
      <c r="J6867" s="14"/>
    </row>
    <row r="6868" spans="9:10">
      <c r="I6868" s="14"/>
      <c r="J6868" s="14"/>
    </row>
    <row r="6869" spans="9:10">
      <c r="I6869" s="14"/>
      <c r="J6869" s="14"/>
    </row>
    <row r="6870" spans="9:10">
      <c r="I6870" s="14"/>
      <c r="J6870" s="14"/>
    </row>
    <row r="6871" spans="9:10">
      <c r="I6871" s="14"/>
      <c r="J6871" s="14"/>
    </row>
    <row r="6872" spans="9:10">
      <c r="I6872" s="14"/>
      <c r="J6872" s="14"/>
    </row>
    <row r="6873" spans="9:10">
      <c r="I6873" s="14"/>
      <c r="J6873" s="14"/>
    </row>
    <row r="6874" spans="9:10">
      <c r="I6874" s="14"/>
      <c r="J6874" s="14"/>
    </row>
    <row r="6875" spans="9:10">
      <c r="I6875" s="14"/>
      <c r="J6875" s="14"/>
    </row>
    <row r="6876" spans="9:10">
      <c r="I6876" s="14"/>
      <c r="J6876" s="14"/>
    </row>
    <row r="6877" spans="9:10">
      <c r="I6877" s="14"/>
      <c r="J6877" s="14"/>
    </row>
    <row r="6878" spans="9:10">
      <c r="I6878" s="14"/>
      <c r="J6878" s="14"/>
    </row>
    <row r="6879" spans="9:10">
      <c r="I6879" s="14"/>
      <c r="J6879" s="14"/>
    </row>
    <row r="6880" spans="9:10">
      <c r="I6880" s="14"/>
      <c r="J6880" s="14"/>
    </row>
    <row r="6881" spans="9:10">
      <c r="I6881" s="14"/>
      <c r="J6881" s="14"/>
    </row>
    <row r="6882" spans="9:10">
      <c r="I6882" s="14"/>
      <c r="J6882" s="14"/>
    </row>
    <row r="6883" spans="9:10">
      <c r="I6883" s="14"/>
      <c r="J6883" s="14"/>
    </row>
    <row r="6884" spans="9:10">
      <c r="I6884" s="14"/>
      <c r="J6884" s="14"/>
    </row>
    <row r="6885" spans="9:10">
      <c r="I6885" s="14"/>
      <c r="J6885" s="14"/>
    </row>
    <row r="6886" spans="9:10">
      <c r="I6886" s="14"/>
      <c r="J6886" s="14"/>
    </row>
    <row r="6887" spans="9:10">
      <c r="I6887" s="14"/>
      <c r="J6887" s="14"/>
    </row>
    <row r="6888" spans="9:10">
      <c r="I6888" s="14"/>
      <c r="J6888" s="14"/>
    </row>
    <row r="6889" spans="9:10">
      <c r="I6889" s="14"/>
      <c r="J6889" s="14"/>
    </row>
    <row r="6890" spans="9:10">
      <c r="I6890" s="14"/>
      <c r="J6890" s="14"/>
    </row>
    <row r="6891" spans="9:10">
      <c r="I6891" s="14"/>
      <c r="J6891" s="14"/>
    </row>
    <row r="6892" spans="9:10">
      <c r="I6892" s="14"/>
      <c r="J6892" s="14"/>
    </row>
    <row r="6893" spans="9:10">
      <c r="I6893" s="14"/>
      <c r="J6893" s="14"/>
    </row>
    <row r="6894" spans="9:10">
      <c r="I6894" s="14"/>
      <c r="J6894" s="14"/>
    </row>
    <row r="6895" spans="9:10">
      <c r="I6895" s="14"/>
      <c r="J6895" s="14"/>
    </row>
    <row r="6896" spans="9:10">
      <c r="I6896" s="14"/>
      <c r="J6896" s="14"/>
    </row>
    <row r="6897" spans="9:10">
      <c r="I6897" s="14"/>
      <c r="J6897" s="14"/>
    </row>
    <row r="6898" spans="9:10">
      <c r="I6898" s="14"/>
      <c r="J6898" s="14"/>
    </row>
    <row r="6899" spans="9:10">
      <c r="I6899" s="14"/>
      <c r="J6899" s="14"/>
    </row>
    <row r="6900" spans="9:10">
      <c r="I6900" s="14"/>
      <c r="J6900" s="14"/>
    </row>
    <row r="6901" spans="9:10">
      <c r="I6901" s="14"/>
      <c r="J6901" s="14"/>
    </row>
    <row r="6902" spans="9:10">
      <c r="I6902" s="14"/>
      <c r="J6902" s="14"/>
    </row>
    <row r="6903" spans="9:10">
      <c r="I6903" s="14"/>
      <c r="J6903" s="14"/>
    </row>
    <row r="6904" spans="9:10">
      <c r="I6904" s="14"/>
      <c r="J6904" s="14"/>
    </row>
    <row r="6905" spans="9:10">
      <c r="I6905" s="14"/>
      <c r="J6905" s="14"/>
    </row>
    <row r="6906" spans="9:10">
      <c r="I6906" s="14"/>
      <c r="J6906" s="14"/>
    </row>
    <row r="6907" spans="9:10">
      <c r="I6907" s="14"/>
      <c r="J6907" s="14"/>
    </row>
    <row r="6908" spans="9:10">
      <c r="I6908" s="14"/>
      <c r="J6908" s="14"/>
    </row>
    <row r="6909" spans="9:10">
      <c r="I6909" s="14"/>
      <c r="J6909" s="14"/>
    </row>
    <row r="6910" spans="9:10">
      <c r="I6910" s="14"/>
      <c r="J6910" s="14"/>
    </row>
    <row r="6911" spans="9:10">
      <c r="I6911" s="14"/>
      <c r="J6911" s="14"/>
    </row>
    <row r="6912" spans="9:10">
      <c r="I6912" s="14"/>
      <c r="J6912" s="14"/>
    </row>
    <row r="6913" spans="9:10">
      <c r="I6913" s="14"/>
      <c r="J6913" s="14"/>
    </row>
    <row r="6914" spans="9:10">
      <c r="I6914" s="14"/>
      <c r="J6914" s="14"/>
    </row>
    <row r="6915" spans="9:10">
      <c r="I6915" s="14"/>
      <c r="J6915" s="14"/>
    </row>
    <row r="6916" spans="9:10">
      <c r="I6916" s="14"/>
      <c r="J6916" s="14"/>
    </row>
    <row r="6917" spans="9:10">
      <c r="I6917" s="14"/>
      <c r="J6917" s="14"/>
    </row>
    <row r="6918" spans="9:10">
      <c r="I6918" s="14"/>
      <c r="J6918" s="14"/>
    </row>
    <row r="6919" spans="9:10">
      <c r="I6919" s="14"/>
      <c r="J6919" s="14"/>
    </row>
    <row r="6920" spans="9:10">
      <c r="I6920" s="14"/>
      <c r="J6920" s="14"/>
    </row>
    <row r="6921" spans="9:10">
      <c r="I6921" s="14"/>
      <c r="J6921" s="14"/>
    </row>
    <row r="6922" spans="9:10">
      <c r="I6922" s="14"/>
      <c r="J6922" s="14"/>
    </row>
    <row r="6923" spans="9:10">
      <c r="I6923" s="14"/>
      <c r="J6923" s="14"/>
    </row>
    <row r="6924" spans="9:10">
      <c r="I6924" s="14"/>
      <c r="J6924" s="14"/>
    </row>
    <row r="6925" spans="9:10">
      <c r="I6925" s="14"/>
      <c r="J6925" s="14"/>
    </row>
    <row r="6926" spans="9:10">
      <c r="I6926" s="14"/>
      <c r="J6926" s="14"/>
    </row>
    <row r="6927" spans="9:10">
      <c r="I6927" s="14"/>
      <c r="J6927" s="14"/>
    </row>
    <row r="6928" spans="9:10">
      <c r="I6928" s="14"/>
      <c r="J6928" s="14"/>
    </row>
    <row r="6929" spans="9:10">
      <c r="I6929" s="14"/>
      <c r="J6929" s="14"/>
    </row>
    <row r="6930" spans="9:10">
      <c r="I6930" s="14"/>
      <c r="J6930" s="14"/>
    </row>
    <row r="6931" spans="9:10">
      <c r="I6931" s="14"/>
      <c r="J6931" s="14"/>
    </row>
    <row r="6932" spans="9:10">
      <c r="I6932" s="14"/>
      <c r="J6932" s="14"/>
    </row>
    <row r="6933" spans="9:10">
      <c r="I6933" s="14"/>
      <c r="J6933" s="14"/>
    </row>
    <row r="6934" spans="9:10">
      <c r="I6934" s="14"/>
      <c r="J6934" s="14"/>
    </row>
    <row r="6935" spans="9:10">
      <c r="I6935" s="14"/>
      <c r="J6935" s="14"/>
    </row>
    <row r="6936" spans="9:10">
      <c r="I6936" s="14"/>
      <c r="J6936" s="14"/>
    </row>
    <row r="6937" spans="9:10">
      <c r="I6937" s="14"/>
      <c r="J6937" s="14"/>
    </row>
    <row r="6938" spans="9:10">
      <c r="I6938" s="14"/>
      <c r="J6938" s="14"/>
    </row>
    <row r="6939" spans="9:10">
      <c r="I6939" s="14"/>
      <c r="J6939" s="14"/>
    </row>
    <row r="6940" spans="9:10">
      <c r="I6940" s="14"/>
      <c r="J6940" s="14"/>
    </row>
    <row r="6941" spans="9:10">
      <c r="I6941" s="14"/>
      <c r="J6941" s="14"/>
    </row>
    <row r="6942" spans="9:10">
      <c r="I6942" s="14"/>
      <c r="J6942" s="14"/>
    </row>
    <row r="6943" spans="9:10">
      <c r="I6943" s="14"/>
      <c r="J6943" s="14"/>
    </row>
    <row r="6944" spans="9:10">
      <c r="I6944" s="14"/>
      <c r="J6944" s="14"/>
    </row>
    <row r="6945" spans="9:10">
      <c r="I6945" s="14"/>
      <c r="J6945" s="14"/>
    </row>
    <row r="6946" spans="9:10">
      <c r="I6946" s="14"/>
      <c r="J6946" s="14"/>
    </row>
    <row r="6947" spans="9:10">
      <c r="I6947" s="14"/>
      <c r="J6947" s="14"/>
    </row>
    <row r="6948" spans="9:10">
      <c r="I6948" s="14"/>
      <c r="J6948" s="14"/>
    </row>
    <row r="6949" spans="9:10">
      <c r="I6949" s="14"/>
      <c r="J6949" s="14"/>
    </row>
    <row r="6950" spans="9:10">
      <c r="I6950" s="14"/>
      <c r="J6950" s="14"/>
    </row>
    <row r="6951" spans="9:10">
      <c r="I6951" s="14"/>
      <c r="J6951" s="14"/>
    </row>
    <row r="6952" spans="9:10">
      <c r="I6952" s="14"/>
      <c r="J6952" s="14"/>
    </row>
    <row r="6953" spans="9:10">
      <c r="I6953" s="14"/>
      <c r="J6953" s="14"/>
    </row>
    <row r="6954" spans="9:10">
      <c r="I6954" s="14"/>
      <c r="J6954" s="14"/>
    </row>
    <row r="6955" spans="9:10">
      <c r="I6955" s="14"/>
      <c r="J6955" s="14"/>
    </row>
    <row r="6956" spans="9:10">
      <c r="I6956" s="14"/>
      <c r="J6956" s="14"/>
    </row>
    <row r="6957" spans="9:10">
      <c r="I6957" s="14"/>
      <c r="J6957" s="14"/>
    </row>
    <row r="6958" spans="9:10">
      <c r="I6958" s="14"/>
      <c r="J6958" s="14"/>
    </row>
    <row r="6959" spans="9:10">
      <c r="I6959" s="14"/>
      <c r="J6959" s="14"/>
    </row>
    <row r="6960" spans="9:10">
      <c r="I6960" s="14"/>
      <c r="J6960" s="14"/>
    </row>
    <row r="6961" spans="9:10">
      <c r="I6961" s="14"/>
      <c r="J6961" s="14"/>
    </row>
    <row r="6962" spans="9:10">
      <c r="I6962" s="14"/>
      <c r="J6962" s="14"/>
    </row>
    <row r="6963" spans="9:10">
      <c r="I6963" s="14"/>
      <c r="J6963" s="14"/>
    </row>
    <row r="6964" spans="9:10">
      <c r="I6964" s="14"/>
      <c r="J6964" s="14"/>
    </row>
    <row r="6965" spans="9:10">
      <c r="I6965" s="14"/>
      <c r="J6965" s="14"/>
    </row>
    <row r="6966" spans="9:10">
      <c r="I6966" s="14"/>
      <c r="J6966" s="14"/>
    </row>
    <row r="6967" spans="9:10">
      <c r="I6967" s="14"/>
      <c r="J6967" s="14"/>
    </row>
    <row r="6968" spans="9:10">
      <c r="I6968" s="14"/>
      <c r="J6968" s="14"/>
    </row>
    <row r="6969" spans="9:10">
      <c r="I6969" s="14"/>
      <c r="J6969" s="14"/>
    </row>
    <row r="6970" spans="9:10">
      <c r="I6970" s="14"/>
      <c r="J6970" s="14"/>
    </row>
    <row r="6971" spans="9:10">
      <c r="I6971" s="14"/>
      <c r="J6971" s="14"/>
    </row>
    <row r="6972" spans="9:10">
      <c r="I6972" s="14"/>
      <c r="J6972" s="14"/>
    </row>
    <row r="6973" spans="9:10">
      <c r="I6973" s="14"/>
      <c r="J6973" s="14"/>
    </row>
    <row r="6974" spans="9:10">
      <c r="I6974" s="14"/>
      <c r="J6974" s="14"/>
    </row>
    <row r="6975" spans="9:10">
      <c r="I6975" s="14"/>
      <c r="J6975" s="14"/>
    </row>
    <row r="6976" spans="9:10">
      <c r="I6976" s="14"/>
      <c r="J6976" s="14"/>
    </row>
    <row r="6977" spans="9:10">
      <c r="I6977" s="14"/>
      <c r="J6977" s="14"/>
    </row>
    <row r="6978" spans="9:10">
      <c r="I6978" s="14"/>
      <c r="J6978" s="14"/>
    </row>
    <row r="6979" spans="9:10">
      <c r="I6979" s="14"/>
      <c r="J6979" s="14"/>
    </row>
    <row r="6980" spans="9:10">
      <c r="I6980" s="14"/>
      <c r="J6980" s="14"/>
    </row>
    <row r="6981" spans="9:10">
      <c r="I6981" s="14"/>
      <c r="J6981" s="14"/>
    </row>
    <row r="6982" spans="9:10">
      <c r="I6982" s="14"/>
      <c r="J6982" s="14"/>
    </row>
    <row r="6983" spans="9:10">
      <c r="I6983" s="14"/>
      <c r="J6983" s="14"/>
    </row>
    <row r="6984" spans="9:10">
      <c r="I6984" s="14"/>
      <c r="J6984" s="14"/>
    </row>
    <row r="6985" spans="9:10">
      <c r="I6985" s="14"/>
      <c r="J6985" s="14"/>
    </row>
    <row r="6986" spans="9:10">
      <c r="I6986" s="14"/>
      <c r="J6986" s="14"/>
    </row>
    <row r="6987" spans="9:10">
      <c r="I6987" s="14"/>
      <c r="J6987" s="14"/>
    </row>
    <row r="6988" spans="9:10">
      <c r="I6988" s="14"/>
      <c r="J6988" s="14"/>
    </row>
    <row r="6989" spans="9:10">
      <c r="I6989" s="14"/>
      <c r="J6989" s="14"/>
    </row>
    <row r="6990" spans="9:10">
      <c r="I6990" s="14"/>
      <c r="J6990" s="14"/>
    </row>
    <row r="6991" spans="9:10">
      <c r="I6991" s="14"/>
      <c r="J6991" s="14"/>
    </row>
    <row r="6992" spans="9:10">
      <c r="I6992" s="14"/>
      <c r="J6992" s="14"/>
    </row>
    <row r="6993" spans="9:10">
      <c r="I6993" s="14"/>
      <c r="J6993" s="14"/>
    </row>
    <row r="6994" spans="9:10">
      <c r="I6994" s="14"/>
      <c r="J6994" s="14"/>
    </row>
    <row r="6995" spans="9:10">
      <c r="I6995" s="14"/>
      <c r="J6995" s="14"/>
    </row>
    <row r="6996" spans="9:10">
      <c r="I6996" s="14"/>
      <c r="J6996" s="14"/>
    </row>
    <row r="6997" spans="9:10">
      <c r="I6997" s="14"/>
      <c r="J6997" s="14"/>
    </row>
    <row r="6998" spans="9:10">
      <c r="I6998" s="14"/>
      <c r="J6998" s="14"/>
    </row>
    <row r="6999" spans="9:10">
      <c r="I6999" s="14"/>
      <c r="J6999" s="14"/>
    </row>
    <row r="7000" spans="9:10">
      <c r="I7000" s="14"/>
      <c r="J7000" s="14"/>
    </row>
    <row r="7001" spans="9:10">
      <c r="I7001" s="14"/>
      <c r="J7001" s="14"/>
    </row>
    <row r="7002" spans="9:10">
      <c r="I7002" s="14"/>
      <c r="J7002" s="14"/>
    </row>
    <row r="7003" spans="9:10">
      <c r="I7003" s="14"/>
      <c r="J7003" s="14"/>
    </row>
    <row r="7004" spans="9:10">
      <c r="I7004" s="14"/>
      <c r="J7004" s="14"/>
    </row>
    <row r="7005" spans="9:10">
      <c r="I7005" s="14"/>
      <c r="J7005" s="14"/>
    </row>
    <row r="7006" spans="9:10">
      <c r="I7006" s="14"/>
      <c r="J7006" s="14"/>
    </row>
    <row r="7007" spans="9:10">
      <c r="I7007" s="14"/>
      <c r="J7007" s="14"/>
    </row>
    <row r="7008" spans="9:10">
      <c r="I7008" s="14"/>
      <c r="J7008" s="14"/>
    </row>
    <row r="7009" spans="9:10">
      <c r="I7009" s="14"/>
      <c r="J7009" s="14"/>
    </row>
    <row r="7010" spans="9:10">
      <c r="I7010" s="14"/>
      <c r="J7010" s="14"/>
    </row>
    <row r="7011" spans="9:10">
      <c r="I7011" s="14"/>
      <c r="J7011" s="14"/>
    </row>
    <row r="7012" spans="9:10">
      <c r="I7012" s="14"/>
      <c r="J7012" s="14"/>
    </row>
    <row r="7013" spans="9:10">
      <c r="I7013" s="14"/>
      <c r="J7013" s="14"/>
    </row>
    <row r="7014" spans="9:10">
      <c r="I7014" s="14"/>
      <c r="J7014" s="14"/>
    </row>
    <row r="7015" spans="9:10">
      <c r="I7015" s="14"/>
      <c r="J7015" s="14"/>
    </row>
    <row r="7016" spans="9:10">
      <c r="I7016" s="14"/>
      <c r="J7016" s="14"/>
    </row>
    <row r="7017" spans="9:10">
      <c r="I7017" s="14"/>
      <c r="J7017" s="14"/>
    </row>
    <row r="7018" spans="9:10">
      <c r="I7018" s="14"/>
      <c r="J7018" s="14"/>
    </row>
    <row r="7019" spans="9:10">
      <c r="I7019" s="14"/>
      <c r="J7019" s="14"/>
    </row>
    <row r="7020" spans="9:10">
      <c r="I7020" s="14"/>
      <c r="J7020" s="14"/>
    </row>
    <row r="7021" spans="9:10">
      <c r="I7021" s="14"/>
      <c r="J7021" s="14"/>
    </row>
    <row r="7022" spans="9:10">
      <c r="I7022" s="14"/>
      <c r="J7022" s="14"/>
    </row>
    <row r="7023" spans="9:10">
      <c r="I7023" s="14"/>
      <c r="J7023" s="14"/>
    </row>
    <row r="7024" spans="9:10">
      <c r="I7024" s="14"/>
      <c r="J7024" s="14"/>
    </row>
    <row r="7025" spans="9:10">
      <c r="I7025" s="14"/>
      <c r="J7025" s="14"/>
    </row>
    <row r="7026" spans="9:10">
      <c r="I7026" s="14"/>
      <c r="J7026" s="14"/>
    </row>
    <row r="7027" spans="9:10">
      <c r="I7027" s="14"/>
      <c r="J7027" s="14"/>
    </row>
    <row r="7028" spans="9:10">
      <c r="I7028" s="14"/>
      <c r="J7028" s="14"/>
    </row>
    <row r="7029" spans="9:10">
      <c r="I7029" s="14"/>
      <c r="J7029" s="14"/>
    </row>
    <row r="7030" spans="9:10">
      <c r="I7030" s="14"/>
      <c r="J7030" s="14"/>
    </row>
    <row r="7031" spans="9:10">
      <c r="I7031" s="14"/>
      <c r="J7031" s="14"/>
    </row>
    <row r="7032" spans="9:10">
      <c r="I7032" s="14"/>
      <c r="J7032" s="14"/>
    </row>
    <row r="7033" spans="9:10">
      <c r="I7033" s="14"/>
      <c r="J7033" s="14"/>
    </row>
    <row r="7034" spans="9:10">
      <c r="I7034" s="14"/>
      <c r="J7034" s="14"/>
    </row>
    <row r="7035" spans="9:10">
      <c r="I7035" s="14"/>
      <c r="J7035" s="14"/>
    </row>
    <row r="7036" spans="9:10">
      <c r="I7036" s="14"/>
      <c r="J7036" s="14"/>
    </row>
    <row r="7037" spans="9:10">
      <c r="I7037" s="14"/>
      <c r="J7037" s="14"/>
    </row>
    <row r="7038" spans="9:10">
      <c r="I7038" s="14"/>
      <c r="J7038" s="14"/>
    </row>
    <row r="7039" spans="9:10">
      <c r="I7039" s="14"/>
      <c r="J7039" s="14"/>
    </row>
    <row r="7040" spans="9:10">
      <c r="I7040" s="14"/>
      <c r="J7040" s="14"/>
    </row>
    <row r="7041" spans="9:10">
      <c r="I7041" s="14"/>
      <c r="J7041" s="14"/>
    </row>
    <row r="7042" spans="9:10">
      <c r="I7042" s="14"/>
      <c r="J7042" s="14"/>
    </row>
    <row r="7043" spans="9:10">
      <c r="I7043" s="14"/>
      <c r="J7043" s="14"/>
    </row>
    <row r="7044" spans="9:10">
      <c r="I7044" s="14"/>
      <c r="J7044" s="14"/>
    </row>
    <row r="7045" spans="9:10">
      <c r="I7045" s="14"/>
      <c r="J7045" s="14"/>
    </row>
    <row r="7046" spans="9:10">
      <c r="I7046" s="14"/>
      <c r="J7046" s="14"/>
    </row>
    <row r="7047" spans="9:10">
      <c r="I7047" s="14"/>
      <c r="J7047" s="14"/>
    </row>
    <row r="7048" spans="9:10">
      <c r="I7048" s="14"/>
      <c r="J7048" s="14"/>
    </row>
    <row r="7049" spans="9:10">
      <c r="I7049" s="14"/>
      <c r="J7049" s="14"/>
    </row>
    <row r="7050" spans="9:10">
      <c r="I7050" s="14"/>
      <c r="J7050" s="14"/>
    </row>
    <row r="7051" spans="9:10">
      <c r="I7051" s="14"/>
      <c r="J7051" s="14"/>
    </row>
    <row r="7052" spans="9:10">
      <c r="I7052" s="14"/>
      <c r="J7052" s="14"/>
    </row>
    <row r="7053" spans="9:10">
      <c r="I7053" s="14"/>
      <c r="J7053" s="14"/>
    </row>
    <row r="7054" spans="9:10">
      <c r="I7054" s="14"/>
      <c r="J7054" s="14"/>
    </row>
    <row r="7055" spans="9:10">
      <c r="I7055" s="14"/>
      <c r="J7055" s="14"/>
    </row>
    <row r="7056" spans="9:10">
      <c r="I7056" s="14"/>
      <c r="J7056" s="14"/>
    </row>
    <row r="7057" spans="9:10">
      <c r="I7057" s="14"/>
      <c r="J7057" s="14"/>
    </row>
    <row r="7058" spans="9:10">
      <c r="I7058" s="14"/>
      <c r="J7058" s="14"/>
    </row>
    <row r="7059" spans="9:10">
      <c r="I7059" s="14"/>
      <c r="J7059" s="14"/>
    </row>
    <row r="7060" spans="9:10">
      <c r="I7060" s="14"/>
      <c r="J7060" s="14"/>
    </row>
    <row r="7061" spans="9:10">
      <c r="I7061" s="14"/>
      <c r="J7061" s="14"/>
    </row>
    <row r="7062" spans="9:10">
      <c r="I7062" s="14"/>
      <c r="J7062" s="14"/>
    </row>
    <row r="7063" spans="9:10">
      <c r="I7063" s="14"/>
      <c r="J7063" s="14"/>
    </row>
    <row r="7064" spans="9:10">
      <c r="I7064" s="14"/>
      <c r="J7064" s="14"/>
    </row>
    <row r="7065" spans="9:10">
      <c r="I7065" s="14"/>
      <c r="J7065" s="14"/>
    </row>
    <row r="7066" spans="9:10">
      <c r="I7066" s="14"/>
      <c r="J7066" s="14"/>
    </row>
    <row r="7067" spans="9:10">
      <c r="I7067" s="14"/>
      <c r="J7067" s="14"/>
    </row>
    <row r="7068" spans="9:10">
      <c r="I7068" s="14"/>
      <c r="J7068" s="14"/>
    </row>
    <row r="7069" spans="9:10">
      <c r="I7069" s="14"/>
      <c r="J7069" s="14"/>
    </row>
    <row r="7070" spans="9:10">
      <c r="I7070" s="14"/>
      <c r="J7070" s="14"/>
    </row>
    <row r="7071" spans="9:10">
      <c r="I7071" s="14"/>
      <c r="J7071" s="14"/>
    </row>
    <row r="7072" spans="9:10">
      <c r="I7072" s="14"/>
      <c r="J7072" s="14"/>
    </row>
    <row r="7073" spans="9:10">
      <c r="I7073" s="14"/>
      <c r="J7073" s="14"/>
    </row>
    <row r="7074" spans="9:10">
      <c r="I7074" s="14"/>
      <c r="J7074" s="14"/>
    </row>
    <row r="7075" spans="9:10">
      <c r="I7075" s="14"/>
      <c r="J7075" s="14"/>
    </row>
    <row r="7076" spans="9:10">
      <c r="I7076" s="14"/>
      <c r="J7076" s="14"/>
    </row>
    <row r="7077" spans="9:10">
      <c r="I7077" s="14"/>
      <c r="J7077" s="14"/>
    </row>
    <row r="7078" spans="9:10">
      <c r="I7078" s="14"/>
      <c r="J7078" s="14"/>
    </row>
    <row r="7079" spans="9:10">
      <c r="I7079" s="14"/>
      <c r="J7079" s="14"/>
    </row>
    <row r="7080" spans="9:10">
      <c r="I7080" s="14"/>
      <c r="J7080" s="14"/>
    </row>
    <row r="7081" spans="9:10">
      <c r="I7081" s="14"/>
      <c r="J7081" s="14"/>
    </row>
    <row r="7082" spans="9:10">
      <c r="I7082" s="14"/>
      <c r="J7082" s="14"/>
    </row>
    <row r="7083" spans="9:10">
      <c r="I7083" s="14"/>
      <c r="J7083" s="14"/>
    </row>
    <row r="7084" spans="9:10">
      <c r="I7084" s="14"/>
      <c r="J7084" s="14"/>
    </row>
    <row r="7085" spans="9:10">
      <c r="I7085" s="14"/>
      <c r="J7085" s="14"/>
    </row>
    <row r="7086" spans="9:10">
      <c r="I7086" s="14"/>
      <c r="J7086" s="14"/>
    </row>
    <row r="7087" spans="9:10">
      <c r="I7087" s="14"/>
      <c r="J7087" s="14"/>
    </row>
    <row r="7088" spans="9:10">
      <c r="I7088" s="14"/>
      <c r="J7088" s="14"/>
    </row>
    <row r="7089" spans="9:10">
      <c r="I7089" s="14"/>
      <c r="J7089" s="14"/>
    </row>
    <row r="7090" spans="9:10">
      <c r="I7090" s="14"/>
      <c r="J7090" s="14"/>
    </row>
    <row r="7091" spans="9:10">
      <c r="I7091" s="14"/>
      <c r="J7091" s="14"/>
    </row>
    <row r="7092" spans="9:10">
      <c r="I7092" s="14"/>
      <c r="J7092" s="14"/>
    </row>
    <row r="7093" spans="9:10">
      <c r="I7093" s="14"/>
      <c r="J7093" s="14"/>
    </row>
    <row r="7094" spans="9:10">
      <c r="I7094" s="14"/>
      <c r="J7094" s="14"/>
    </row>
    <row r="7095" spans="9:10">
      <c r="I7095" s="14"/>
      <c r="J7095" s="14"/>
    </row>
    <row r="7096" spans="9:10">
      <c r="I7096" s="14"/>
      <c r="J7096" s="14"/>
    </row>
    <row r="7097" spans="9:10">
      <c r="I7097" s="14"/>
      <c r="J7097" s="14"/>
    </row>
    <row r="7098" spans="9:10">
      <c r="I7098" s="14"/>
      <c r="J7098" s="14"/>
    </row>
    <row r="7099" spans="9:10">
      <c r="I7099" s="14"/>
      <c r="J7099" s="14"/>
    </row>
    <row r="7100" spans="9:10">
      <c r="I7100" s="14"/>
      <c r="J7100" s="14"/>
    </row>
    <row r="7101" spans="9:10">
      <c r="I7101" s="14"/>
      <c r="J7101" s="14"/>
    </row>
    <row r="7102" spans="9:10">
      <c r="I7102" s="14"/>
      <c r="J7102" s="14"/>
    </row>
    <row r="7103" spans="9:10">
      <c r="I7103" s="14"/>
      <c r="J7103" s="14"/>
    </row>
    <row r="7104" spans="9:10">
      <c r="I7104" s="14"/>
      <c r="J7104" s="14"/>
    </row>
    <row r="7105" spans="9:10">
      <c r="I7105" s="14"/>
      <c r="J7105" s="14"/>
    </row>
    <row r="7106" spans="9:10">
      <c r="I7106" s="14"/>
      <c r="J7106" s="14"/>
    </row>
    <row r="7107" spans="9:10">
      <c r="I7107" s="14"/>
      <c r="J7107" s="14"/>
    </row>
    <row r="7108" spans="9:10">
      <c r="I7108" s="14"/>
      <c r="J7108" s="14"/>
    </row>
    <row r="7109" spans="9:10">
      <c r="I7109" s="14"/>
      <c r="J7109" s="14"/>
    </row>
    <row r="7110" spans="9:10">
      <c r="I7110" s="14"/>
      <c r="J7110" s="14"/>
    </row>
    <row r="7111" spans="9:10">
      <c r="I7111" s="14"/>
      <c r="J7111" s="14"/>
    </row>
    <row r="7112" spans="9:10">
      <c r="I7112" s="14"/>
      <c r="J7112" s="14"/>
    </row>
    <row r="7113" spans="9:10">
      <c r="I7113" s="14"/>
      <c r="J7113" s="14"/>
    </row>
    <row r="7114" spans="9:10">
      <c r="I7114" s="14"/>
      <c r="J7114" s="14"/>
    </row>
    <row r="7115" spans="9:10">
      <c r="I7115" s="14"/>
      <c r="J7115" s="14"/>
    </row>
    <row r="7116" spans="9:10">
      <c r="I7116" s="14"/>
      <c r="J7116" s="14"/>
    </row>
    <row r="7117" spans="9:10">
      <c r="I7117" s="14"/>
      <c r="J7117" s="14"/>
    </row>
    <row r="7118" spans="9:10">
      <c r="I7118" s="14"/>
      <c r="J7118" s="14"/>
    </row>
    <row r="7119" spans="9:10">
      <c r="I7119" s="14"/>
      <c r="J7119" s="14"/>
    </row>
    <row r="7120" spans="9:10">
      <c r="I7120" s="14"/>
      <c r="J7120" s="14"/>
    </row>
    <row r="7121" spans="9:10">
      <c r="I7121" s="14"/>
      <c r="J7121" s="14"/>
    </row>
    <row r="7122" spans="9:10">
      <c r="I7122" s="14"/>
      <c r="J7122" s="14"/>
    </row>
    <row r="7123" spans="9:10">
      <c r="I7123" s="14"/>
      <c r="J7123" s="14"/>
    </row>
    <row r="7124" spans="9:10">
      <c r="I7124" s="14"/>
      <c r="J7124" s="14"/>
    </row>
    <row r="7125" spans="9:10">
      <c r="I7125" s="14"/>
      <c r="J7125" s="14"/>
    </row>
    <row r="7126" spans="9:10">
      <c r="I7126" s="14"/>
      <c r="J7126" s="14"/>
    </row>
    <row r="7127" spans="9:10">
      <c r="I7127" s="14"/>
      <c r="J7127" s="14"/>
    </row>
    <row r="7128" spans="9:10">
      <c r="I7128" s="14"/>
      <c r="J7128" s="14"/>
    </row>
    <row r="7129" spans="9:10">
      <c r="I7129" s="14"/>
      <c r="J7129" s="14"/>
    </row>
    <row r="7130" spans="9:10">
      <c r="I7130" s="14"/>
      <c r="J7130" s="14"/>
    </row>
    <row r="7131" spans="9:10">
      <c r="I7131" s="14"/>
      <c r="J7131" s="14"/>
    </row>
    <row r="7132" spans="9:10">
      <c r="I7132" s="14"/>
      <c r="J7132" s="14"/>
    </row>
    <row r="7133" spans="9:10">
      <c r="I7133" s="14"/>
      <c r="J7133" s="14"/>
    </row>
    <row r="7134" spans="9:10">
      <c r="I7134" s="14"/>
      <c r="J7134" s="14"/>
    </row>
    <row r="7135" spans="9:10">
      <c r="I7135" s="14"/>
      <c r="J7135" s="14"/>
    </row>
    <row r="7136" spans="9:10">
      <c r="I7136" s="14"/>
      <c r="J7136" s="14"/>
    </row>
    <row r="7137" spans="9:10">
      <c r="I7137" s="14"/>
      <c r="J7137" s="14"/>
    </row>
    <row r="7138" spans="9:10">
      <c r="I7138" s="14"/>
      <c r="J7138" s="14"/>
    </row>
    <row r="7139" spans="9:10">
      <c r="I7139" s="14"/>
      <c r="J7139" s="14"/>
    </row>
    <row r="7140" spans="9:10">
      <c r="I7140" s="14"/>
      <c r="J7140" s="14"/>
    </row>
    <row r="7141" spans="9:10">
      <c r="I7141" s="14"/>
      <c r="J7141" s="14"/>
    </row>
    <row r="7142" spans="9:10">
      <c r="I7142" s="14"/>
      <c r="J7142" s="14"/>
    </row>
    <row r="7143" spans="9:10">
      <c r="I7143" s="14"/>
      <c r="J7143" s="14"/>
    </row>
    <row r="7144" spans="9:10">
      <c r="I7144" s="14"/>
      <c r="J7144" s="14"/>
    </row>
    <row r="7145" spans="9:10">
      <c r="I7145" s="14"/>
      <c r="J7145" s="14"/>
    </row>
    <row r="7146" spans="9:10">
      <c r="I7146" s="14"/>
      <c r="J7146" s="14"/>
    </row>
    <row r="7147" spans="9:10">
      <c r="I7147" s="14"/>
      <c r="J7147" s="14"/>
    </row>
    <row r="7148" spans="9:10">
      <c r="I7148" s="14"/>
      <c r="J7148" s="14"/>
    </row>
    <row r="7149" spans="9:10">
      <c r="I7149" s="14"/>
      <c r="J7149" s="14"/>
    </row>
    <row r="7150" spans="9:10">
      <c r="I7150" s="14"/>
      <c r="J7150" s="14"/>
    </row>
    <row r="7151" spans="9:10">
      <c r="I7151" s="14"/>
      <c r="J7151" s="14"/>
    </row>
    <row r="7152" spans="9:10">
      <c r="I7152" s="14"/>
      <c r="J7152" s="14"/>
    </row>
    <row r="7153" spans="9:10">
      <c r="I7153" s="14"/>
      <c r="J7153" s="14"/>
    </row>
    <row r="7154" spans="9:10">
      <c r="I7154" s="14"/>
      <c r="J7154" s="14"/>
    </row>
    <row r="7155" spans="9:10">
      <c r="I7155" s="14"/>
      <c r="J7155" s="14"/>
    </row>
    <row r="7156" spans="9:10">
      <c r="I7156" s="14"/>
      <c r="J7156" s="14"/>
    </row>
    <row r="7157" spans="9:10">
      <c r="I7157" s="14"/>
      <c r="J7157" s="14"/>
    </row>
    <row r="7158" spans="9:10">
      <c r="I7158" s="14"/>
      <c r="J7158" s="14"/>
    </row>
    <row r="7159" spans="9:10">
      <c r="I7159" s="14"/>
      <c r="J7159" s="14"/>
    </row>
    <row r="7160" spans="9:10">
      <c r="I7160" s="14"/>
      <c r="J7160" s="14"/>
    </row>
    <row r="7161" spans="9:10">
      <c r="I7161" s="14"/>
      <c r="J7161" s="14"/>
    </row>
    <row r="7162" spans="9:10">
      <c r="I7162" s="14"/>
      <c r="J7162" s="14"/>
    </row>
    <row r="7163" spans="9:10">
      <c r="I7163" s="14"/>
      <c r="J7163" s="14"/>
    </row>
    <row r="7164" spans="9:10">
      <c r="I7164" s="14"/>
      <c r="J7164" s="14"/>
    </row>
    <row r="7165" spans="9:10">
      <c r="I7165" s="14"/>
      <c r="J7165" s="14"/>
    </row>
    <row r="7166" spans="9:10">
      <c r="I7166" s="14"/>
      <c r="J7166" s="14"/>
    </row>
    <row r="7167" spans="9:10">
      <c r="I7167" s="14"/>
      <c r="J7167" s="14"/>
    </row>
    <row r="7168" spans="9:10">
      <c r="I7168" s="14"/>
      <c r="J7168" s="14"/>
    </row>
    <row r="7169" spans="9:10">
      <c r="I7169" s="14"/>
      <c r="J7169" s="14"/>
    </row>
    <row r="7170" spans="9:10">
      <c r="I7170" s="14"/>
      <c r="J7170" s="14"/>
    </row>
    <row r="7171" spans="9:10">
      <c r="I7171" s="14"/>
      <c r="J7171" s="14"/>
    </row>
    <row r="7172" spans="9:10">
      <c r="I7172" s="14"/>
      <c r="J7172" s="14"/>
    </row>
    <row r="7173" spans="9:10">
      <c r="I7173" s="14"/>
      <c r="J7173" s="14"/>
    </row>
    <row r="7174" spans="9:10">
      <c r="I7174" s="14"/>
      <c r="J7174" s="14"/>
    </row>
    <row r="7175" spans="9:10">
      <c r="I7175" s="14"/>
      <c r="J7175" s="14"/>
    </row>
    <row r="7176" spans="9:10">
      <c r="I7176" s="14"/>
      <c r="J7176" s="14"/>
    </row>
    <row r="7177" spans="9:10">
      <c r="I7177" s="14"/>
      <c r="J7177" s="14"/>
    </row>
    <row r="7178" spans="9:10">
      <c r="I7178" s="14"/>
      <c r="J7178" s="14"/>
    </row>
    <row r="7179" spans="9:10">
      <c r="I7179" s="14"/>
      <c r="J7179" s="14"/>
    </row>
    <row r="7180" spans="9:10">
      <c r="I7180" s="14"/>
      <c r="J7180" s="14"/>
    </row>
    <row r="7181" spans="9:10">
      <c r="I7181" s="14"/>
      <c r="J7181" s="14"/>
    </row>
    <row r="7182" spans="9:10">
      <c r="I7182" s="14"/>
      <c r="J7182" s="14"/>
    </row>
    <row r="7183" spans="9:10">
      <c r="I7183" s="14"/>
      <c r="J7183" s="14"/>
    </row>
    <row r="7184" spans="9:10">
      <c r="I7184" s="14"/>
      <c r="J7184" s="14"/>
    </row>
    <row r="7185" spans="9:10">
      <c r="I7185" s="14"/>
      <c r="J7185" s="14"/>
    </row>
    <row r="7186" spans="9:10">
      <c r="I7186" s="14"/>
      <c r="J7186" s="14"/>
    </row>
    <row r="7187" spans="9:10">
      <c r="I7187" s="14"/>
      <c r="J7187" s="14"/>
    </row>
    <row r="7188" spans="9:10">
      <c r="I7188" s="14"/>
      <c r="J7188" s="14"/>
    </row>
    <row r="7189" spans="9:10">
      <c r="I7189" s="14"/>
      <c r="J7189" s="14"/>
    </row>
    <row r="7190" spans="9:10">
      <c r="I7190" s="14"/>
      <c r="J7190" s="14"/>
    </row>
    <row r="7191" spans="9:10">
      <c r="I7191" s="14"/>
      <c r="J7191" s="14"/>
    </row>
    <row r="7192" spans="9:10">
      <c r="I7192" s="14"/>
      <c r="J7192" s="14"/>
    </row>
    <row r="7193" spans="9:10">
      <c r="I7193" s="14"/>
      <c r="J7193" s="14"/>
    </row>
    <row r="7194" spans="9:10">
      <c r="I7194" s="14"/>
      <c r="J7194" s="14"/>
    </row>
    <row r="7195" spans="9:10">
      <c r="I7195" s="14"/>
      <c r="J7195" s="14"/>
    </row>
    <row r="7196" spans="9:10">
      <c r="I7196" s="14"/>
      <c r="J7196" s="14"/>
    </row>
    <row r="7197" spans="9:10">
      <c r="I7197" s="14"/>
      <c r="J7197" s="14"/>
    </row>
    <row r="7198" spans="9:10">
      <c r="I7198" s="14"/>
      <c r="J7198" s="14"/>
    </row>
    <row r="7199" spans="9:10">
      <c r="I7199" s="14"/>
      <c r="J7199" s="14"/>
    </row>
    <row r="7200" spans="9:10">
      <c r="I7200" s="14"/>
      <c r="J7200" s="14"/>
    </row>
    <row r="7201" spans="9:10">
      <c r="I7201" s="14"/>
      <c r="J7201" s="14"/>
    </row>
    <row r="7202" spans="9:10">
      <c r="I7202" s="14"/>
      <c r="J7202" s="14"/>
    </row>
    <row r="7203" spans="9:10">
      <c r="I7203" s="14"/>
      <c r="J7203" s="14"/>
    </row>
    <row r="7204" spans="9:10">
      <c r="I7204" s="14"/>
      <c r="J7204" s="14"/>
    </row>
    <row r="7205" spans="9:10">
      <c r="I7205" s="14"/>
      <c r="J7205" s="14"/>
    </row>
    <row r="7206" spans="9:10">
      <c r="I7206" s="14"/>
      <c r="J7206" s="14"/>
    </row>
    <row r="7207" spans="9:10">
      <c r="I7207" s="14"/>
      <c r="J7207" s="14"/>
    </row>
    <row r="7208" spans="9:10">
      <c r="I7208" s="14"/>
      <c r="J7208" s="14"/>
    </row>
    <row r="7209" spans="9:10">
      <c r="I7209" s="14"/>
      <c r="J7209" s="14"/>
    </row>
    <row r="7210" spans="9:10">
      <c r="I7210" s="14"/>
      <c r="J7210" s="14"/>
    </row>
    <row r="7211" spans="9:10">
      <c r="I7211" s="14"/>
      <c r="J7211" s="14"/>
    </row>
    <row r="7212" spans="9:10">
      <c r="I7212" s="14"/>
      <c r="J7212" s="14"/>
    </row>
    <row r="7213" spans="9:10">
      <c r="I7213" s="14"/>
      <c r="J7213" s="14"/>
    </row>
    <row r="7214" spans="9:10">
      <c r="I7214" s="14"/>
      <c r="J7214" s="14"/>
    </row>
    <row r="7215" spans="9:10">
      <c r="I7215" s="14"/>
      <c r="J7215" s="14"/>
    </row>
    <row r="7216" spans="9:10">
      <c r="I7216" s="14"/>
      <c r="J7216" s="14"/>
    </row>
    <row r="7217" spans="9:10">
      <c r="I7217" s="14"/>
      <c r="J7217" s="14"/>
    </row>
    <row r="7218" spans="9:10">
      <c r="I7218" s="14"/>
      <c r="J7218" s="14"/>
    </row>
    <row r="7219" spans="9:10">
      <c r="I7219" s="14"/>
      <c r="J7219" s="14"/>
    </row>
    <row r="7220" spans="9:10">
      <c r="I7220" s="14"/>
      <c r="J7220" s="14"/>
    </row>
    <row r="7221" spans="9:10">
      <c r="I7221" s="14"/>
      <c r="J7221" s="14"/>
    </row>
    <row r="7222" spans="9:10">
      <c r="I7222" s="14"/>
      <c r="J7222" s="14"/>
    </row>
    <row r="7223" spans="9:10">
      <c r="I7223" s="14"/>
      <c r="J7223" s="14"/>
    </row>
    <row r="7224" spans="9:10">
      <c r="I7224" s="14"/>
      <c r="J7224" s="14"/>
    </row>
    <row r="7225" spans="9:10">
      <c r="I7225" s="14"/>
      <c r="J7225" s="14"/>
    </row>
    <row r="7226" spans="9:10">
      <c r="I7226" s="14"/>
      <c r="J7226" s="14"/>
    </row>
    <row r="7227" spans="9:10">
      <c r="I7227" s="14"/>
      <c r="J7227" s="14"/>
    </row>
    <row r="7228" spans="9:10">
      <c r="I7228" s="14"/>
      <c r="J7228" s="14"/>
    </row>
    <row r="7229" spans="9:10">
      <c r="I7229" s="14"/>
      <c r="J7229" s="14"/>
    </row>
    <row r="7230" spans="9:10">
      <c r="I7230" s="14"/>
      <c r="J7230" s="14"/>
    </row>
    <row r="7231" spans="9:10">
      <c r="I7231" s="14"/>
      <c r="J7231" s="14"/>
    </row>
    <row r="7232" spans="9:10">
      <c r="I7232" s="14"/>
      <c r="J7232" s="14"/>
    </row>
    <row r="7233" spans="9:10">
      <c r="I7233" s="14"/>
      <c r="J7233" s="14"/>
    </row>
    <row r="7234" spans="9:10">
      <c r="I7234" s="14"/>
      <c r="J7234" s="14"/>
    </row>
    <row r="7235" spans="9:10">
      <c r="I7235" s="14"/>
      <c r="J7235" s="14"/>
    </row>
    <row r="7236" spans="9:10">
      <c r="I7236" s="14"/>
      <c r="J7236" s="14"/>
    </row>
    <row r="7237" spans="9:10">
      <c r="I7237" s="14"/>
      <c r="J7237" s="14"/>
    </row>
    <row r="7238" spans="9:10">
      <c r="I7238" s="14"/>
      <c r="J7238" s="14"/>
    </row>
    <row r="7239" spans="9:10">
      <c r="I7239" s="14"/>
      <c r="J7239" s="14"/>
    </row>
    <row r="7240" spans="9:10">
      <c r="I7240" s="14"/>
      <c r="J7240" s="14"/>
    </row>
    <row r="7241" spans="9:10">
      <c r="I7241" s="14"/>
      <c r="J7241" s="14"/>
    </row>
    <row r="7242" spans="9:10">
      <c r="I7242" s="14"/>
      <c r="J7242" s="14"/>
    </row>
    <row r="7243" spans="9:10">
      <c r="I7243" s="14"/>
      <c r="J7243" s="14"/>
    </row>
    <row r="7244" spans="9:10">
      <c r="I7244" s="14"/>
      <c r="J7244" s="14"/>
    </row>
    <row r="7245" spans="9:10">
      <c r="I7245" s="14"/>
      <c r="J7245" s="14"/>
    </row>
    <row r="7246" spans="9:10">
      <c r="I7246" s="14"/>
      <c r="J7246" s="14"/>
    </row>
    <row r="7247" spans="9:10">
      <c r="I7247" s="14"/>
      <c r="J7247" s="14"/>
    </row>
    <row r="7248" spans="9:10">
      <c r="I7248" s="14"/>
      <c r="J7248" s="14"/>
    </row>
    <row r="7249" spans="9:10">
      <c r="I7249" s="14"/>
      <c r="J7249" s="14"/>
    </row>
    <row r="7250" spans="9:10">
      <c r="I7250" s="14"/>
      <c r="J7250" s="14"/>
    </row>
    <row r="7251" spans="9:10">
      <c r="I7251" s="14"/>
      <c r="J7251" s="14"/>
    </row>
    <row r="7252" spans="9:10">
      <c r="I7252" s="14"/>
      <c r="J7252" s="14"/>
    </row>
    <row r="7253" spans="9:10">
      <c r="I7253" s="14"/>
      <c r="J7253" s="14"/>
    </row>
    <row r="7254" spans="9:10">
      <c r="I7254" s="14"/>
      <c r="J7254" s="14"/>
    </row>
    <row r="7255" spans="9:10">
      <c r="I7255" s="14"/>
      <c r="J7255" s="14"/>
    </row>
    <row r="7256" spans="9:10">
      <c r="I7256" s="14"/>
      <c r="J7256" s="14"/>
    </row>
    <row r="7257" spans="9:10">
      <c r="I7257" s="14"/>
      <c r="J7257" s="14"/>
    </row>
    <row r="7258" spans="9:10">
      <c r="I7258" s="14"/>
      <c r="J7258" s="14"/>
    </row>
    <row r="7259" spans="9:10">
      <c r="I7259" s="14"/>
      <c r="J7259" s="14"/>
    </row>
    <row r="7260" spans="9:10">
      <c r="I7260" s="14"/>
      <c r="J7260" s="14"/>
    </row>
    <row r="7261" spans="9:10">
      <c r="I7261" s="14"/>
      <c r="J7261" s="14"/>
    </row>
    <row r="7262" spans="9:10">
      <c r="I7262" s="14"/>
      <c r="J7262" s="14"/>
    </row>
    <row r="7263" spans="9:10">
      <c r="I7263" s="14"/>
      <c r="J7263" s="14"/>
    </row>
    <row r="7264" spans="9:10">
      <c r="I7264" s="14"/>
      <c r="J7264" s="14"/>
    </row>
    <row r="7265" spans="9:10">
      <c r="I7265" s="14"/>
      <c r="J7265" s="14"/>
    </row>
    <row r="7266" spans="9:10">
      <c r="I7266" s="14"/>
      <c r="J7266" s="14"/>
    </row>
    <row r="7267" spans="9:10">
      <c r="I7267" s="14"/>
      <c r="J7267" s="14"/>
    </row>
    <row r="7268" spans="9:10">
      <c r="I7268" s="14"/>
      <c r="J7268" s="14"/>
    </row>
    <row r="7269" spans="9:10">
      <c r="I7269" s="14"/>
      <c r="J7269" s="14"/>
    </row>
    <row r="7270" spans="9:10">
      <c r="I7270" s="14"/>
      <c r="J7270" s="14"/>
    </row>
    <row r="7271" spans="9:10">
      <c r="I7271" s="14"/>
      <c r="J7271" s="14"/>
    </row>
    <row r="7272" spans="9:10">
      <c r="I7272" s="14"/>
      <c r="J7272" s="14"/>
    </row>
    <row r="7273" spans="9:10">
      <c r="I7273" s="14"/>
      <c r="J7273" s="14"/>
    </row>
    <row r="7274" spans="9:10">
      <c r="I7274" s="14"/>
      <c r="J7274" s="14"/>
    </row>
    <row r="7275" spans="9:10">
      <c r="I7275" s="14"/>
      <c r="J7275" s="14"/>
    </row>
    <row r="7276" spans="9:10">
      <c r="I7276" s="14"/>
      <c r="J7276" s="14"/>
    </row>
    <row r="7277" spans="9:10">
      <c r="I7277" s="14"/>
      <c r="J7277" s="14"/>
    </row>
    <row r="7278" spans="9:10">
      <c r="I7278" s="14"/>
      <c r="J7278" s="14"/>
    </row>
    <row r="7279" spans="9:10">
      <c r="I7279" s="14"/>
      <c r="J7279" s="14"/>
    </row>
    <row r="7280" spans="9:10">
      <c r="I7280" s="14"/>
      <c r="J7280" s="14"/>
    </row>
    <row r="7281" spans="9:10">
      <c r="I7281" s="14"/>
      <c r="J7281" s="14"/>
    </row>
    <row r="7282" spans="9:10">
      <c r="I7282" s="14"/>
      <c r="J7282" s="14"/>
    </row>
    <row r="7283" spans="9:10">
      <c r="I7283" s="14"/>
      <c r="J7283" s="14"/>
    </row>
    <row r="7284" spans="9:10">
      <c r="I7284" s="14"/>
      <c r="J7284" s="14"/>
    </row>
    <row r="7285" spans="9:10">
      <c r="I7285" s="14"/>
      <c r="J7285" s="14"/>
    </row>
    <row r="7286" spans="9:10">
      <c r="I7286" s="14"/>
      <c r="J7286" s="14"/>
    </row>
    <row r="7287" spans="9:10">
      <c r="I7287" s="14"/>
      <c r="J7287" s="14"/>
    </row>
    <row r="7288" spans="9:10">
      <c r="I7288" s="14"/>
      <c r="J7288" s="14"/>
    </row>
    <row r="7289" spans="9:10">
      <c r="I7289" s="14"/>
      <c r="J7289" s="14"/>
    </row>
    <row r="7290" spans="9:10">
      <c r="I7290" s="14"/>
      <c r="J7290" s="14"/>
    </row>
    <row r="7291" spans="9:10">
      <c r="I7291" s="14"/>
      <c r="J7291" s="14"/>
    </row>
    <row r="7292" spans="9:10">
      <c r="I7292" s="14"/>
      <c r="J7292" s="14"/>
    </row>
    <row r="7293" spans="9:10">
      <c r="I7293" s="14"/>
      <c r="J7293" s="14"/>
    </row>
    <row r="7294" spans="9:10">
      <c r="I7294" s="14"/>
      <c r="J7294" s="14"/>
    </row>
    <row r="7295" spans="9:10">
      <c r="I7295" s="14"/>
      <c r="J7295" s="14"/>
    </row>
    <row r="7296" spans="9:10">
      <c r="I7296" s="14"/>
      <c r="J7296" s="14"/>
    </row>
    <row r="7297" spans="9:10">
      <c r="I7297" s="14"/>
      <c r="J7297" s="14"/>
    </row>
    <row r="7298" spans="9:10">
      <c r="I7298" s="14"/>
      <c r="J7298" s="14"/>
    </row>
    <row r="7299" spans="9:10">
      <c r="I7299" s="14"/>
      <c r="J7299" s="14"/>
    </row>
    <row r="7300" spans="9:10">
      <c r="I7300" s="14"/>
      <c r="J7300" s="14"/>
    </row>
    <row r="7301" spans="9:10">
      <c r="I7301" s="14"/>
      <c r="J7301" s="14"/>
    </row>
    <row r="7302" spans="9:10">
      <c r="I7302" s="14"/>
      <c r="J7302" s="14"/>
    </row>
    <row r="7303" spans="9:10">
      <c r="I7303" s="14"/>
      <c r="J7303" s="14"/>
    </row>
    <row r="7304" spans="9:10">
      <c r="I7304" s="14"/>
      <c r="J7304" s="14"/>
    </row>
    <row r="7305" spans="9:10">
      <c r="I7305" s="14"/>
      <c r="J7305" s="14"/>
    </row>
    <row r="7306" spans="9:10">
      <c r="I7306" s="14"/>
      <c r="J7306" s="14"/>
    </row>
    <row r="7307" spans="9:10">
      <c r="I7307" s="14"/>
      <c r="J7307" s="14"/>
    </row>
    <row r="7308" spans="9:10">
      <c r="I7308" s="14"/>
      <c r="J7308" s="14"/>
    </row>
    <row r="7309" spans="9:10">
      <c r="I7309" s="14"/>
      <c r="J7309" s="14"/>
    </row>
    <row r="7310" spans="9:10">
      <c r="I7310" s="14"/>
      <c r="J7310" s="14"/>
    </row>
    <row r="7311" spans="9:10">
      <c r="I7311" s="14"/>
      <c r="J7311" s="14"/>
    </row>
    <row r="7312" spans="9:10">
      <c r="I7312" s="14"/>
      <c r="J7312" s="14"/>
    </row>
    <row r="7313" spans="9:10">
      <c r="I7313" s="14"/>
      <c r="J7313" s="14"/>
    </row>
    <row r="7314" spans="9:10">
      <c r="I7314" s="14"/>
      <c r="J7314" s="14"/>
    </row>
    <row r="7315" spans="9:10">
      <c r="I7315" s="14"/>
      <c r="J7315" s="14"/>
    </row>
    <row r="7316" spans="9:10">
      <c r="I7316" s="14"/>
      <c r="J7316" s="14"/>
    </row>
    <row r="7317" spans="9:10">
      <c r="I7317" s="14"/>
      <c r="J7317" s="14"/>
    </row>
    <row r="7318" spans="9:10">
      <c r="I7318" s="14"/>
      <c r="J7318" s="14"/>
    </row>
    <row r="7319" spans="9:10">
      <c r="I7319" s="14"/>
      <c r="J7319" s="14"/>
    </row>
    <row r="7320" spans="9:10">
      <c r="I7320" s="14"/>
      <c r="J7320" s="14"/>
    </row>
    <row r="7321" spans="9:10">
      <c r="I7321" s="14"/>
      <c r="J7321" s="14"/>
    </row>
    <row r="7322" spans="9:10">
      <c r="I7322" s="14"/>
      <c r="J7322" s="14"/>
    </row>
    <row r="7323" spans="9:10">
      <c r="I7323" s="14"/>
      <c r="J7323" s="14"/>
    </row>
    <row r="7324" spans="9:10">
      <c r="I7324" s="14"/>
      <c r="J7324" s="14"/>
    </row>
    <row r="7325" spans="9:10">
      <c r="I7325" s="14"/>
      <c r="J7325" s="14"/>
    </row>
    <row r="7326" spans="9:10">
      <c r="I7326" s="14"/>
      <c r="J7326" s="14"/>
    </row>
    <row r="7327" spans="9:10">
      <c r="I7327" s="14"/>
      <c r="J7327" s="14"/>
    </row>
    <row r="7328" spans="9:10">
      <c r="I7328" s="14"/>
      <c r="J7328" s="14"/>
    </row>
    <row r="7329" spans="9:10">
      <c r="I7329" s="14"/>
      <c r="J7329" s="14"/>
    </row>
    <row r="7330" spans="9:10">
      <c r="I7330" s="14"/>
      <c r="J7330" s="14"/>
    </row>
    <row r="7331" spans="9:10">
      <c r="I7331" s="14"/>
      <c r="J7331" s="14"/>
    </row>
    <row r="7332" spans="9:10">
      <c r="I7332" s="14"/>
      <c r="J7332" s="14"/>
    </row>
    <row r="7333" spans="9:10">
      <c r="I7333" s="14"/>
      <c r="J7333" s="14"/>
    </row>
    <row r="7334" spans="9:10">
      <c r="I7334" s="14"/>
      <c r="J7334" s="14"/>
    </row>
    <row r="7335" spans="9:10">
      <c r="I7335" s="14"/>
      <c r="J7335" s="14"/>
    </row>
    <row r="7336" spans="9:10">
      <c r="I7336" s="14"/>
      <c r="J7336" s="14"/>
    </row>
    <row r="7337" spans="9:10">
      <c r="I7337" s="14"/>
      <c r="J7337" s="14"/>
    </row>
    <row r="7338" spans="9:10">
      <c r="I7338" s="14"/>
      <c r="J7338" s="14"/>
    </row>
    <row r="7339" spans="9:10">
      <c r="I7339" s="14"/>
      <c r="J7339" s="14"/>
    </row>
    <row r="7340" spans="9:10">
      <c r="I7340" s="14"/>
      <c r="J7340" s="14"/>
    </row>
    <row r="7341" spans="9:10">
      <c r="I7341" s="14"/>
      <c r="J7341" s="14"/>
    </row>
    <row r="7342" spans="9:10">
      <c r="I7342" s="14"/>
      <c r="J7342" s="14"/>
    </row>
    <row r="7343" spans="9:10">
      <c r="I7343" s="14"/>
      <c r="J7343" s="14"/>
    </row>
    <row r="7344" spans="9:10">
      <c r="I7344" s="14"/>
      <c r="J7344" s="14"/>
    </row>
    <row r="7345" spans="9:10">
      <c r="I7345" s="14"/>
      <c r="J7345" s="14"/>
    </row>
    <row r="7346" spans="9:10">
      <c r="I7346" s="14"/>
      <c r="J7346" s="14"/>
    </row>
    <row r="7347" spans="9:10">
      <c r="I7347" s="14"/>
      <c r="J7347" s="14"/>
    </row>
    <row r="7348" spans="9:10">
      <c r="I7348" s="14"/>
      <c r="J7348" s="14"/>
    </row>
    <row r="7349" spans="9:10">
      <c r="I7349" s="14"/>
      <c r="J7349" s="14"/>
    </row>
    <row r="7350" spans="9:10">
      <c r="I7350" s="14"/>
      <c r="J7350" s="14"/>
    </row>
    <row r="7351" spans="9:10">
      <c r="I7351" s="14"/>
      <c r="J7351" s="14"/>
    </row>
    <row r="7352" spans="9:10">
      <c r="I7352" s="14"/>
      <c r="J7352" s="14"/>
    </row>
    <row r="7353" spans="9:10">
      <c r="I7353" s="14"/>
      <c r="J7353" s="14"/>
    </row>
    <row r="7354" spans="9:10">
      <c r="I7354" s="14"/>
      <c r="J7354" s="14"/>
    </row>
    <row r="7355" spans="9:10">
      <c r="I7355" s="14"/>
      <c r="J7355" s="14"/>
    </row>
    <row r="7356" spans="9:10">
      <c r="I7356" s="14"/>
      <c r="J7356" s="14"/>
    </row>
    <row r="7357" spans="9:10">
      <c r="I7357" s="14"/>
      <c r="J7357" s="14"/>
    </row>
    <row r="7358" spans="9:10">
      <c r="I7358" s="14"/>
      <c r="J7358" s="14"/>
    </row>
    <row r="7359" spans="9:10">
      <c r="I7359" s="14"/>
      <c r="J7359" s="14"/>
    </row>
    <row r="7360" spans="9:10">
      <c r="I7360" s="14"/>
      <c r="J7360" s="14"/>
    </row>
    <row r="7361" spans="9:10">
      <c r="I7361" s="14"/>
      <c r="J7361" s="14"/>
    </row>
    <row r="7362" spans="9:10">
      <c r="I7362" s="14"/>
      <c r="J7362" s="14"/>
    </row>
    <row r="7363" spans="9:10">
      <c r="I7363" s="14"/>
      <c r="J7363" s="14"/>
    </row>
    <row r="7364" spans="9:10">
      <c r="I7364" s="14"/>
      <c r="J7364" s="14"/>
    </row>
    <row r="7365" spans="9:10">
      <c r="I7365" s="14"/>
      <c r="J7365" s="14"/>
    </row>
    <row r="7366" spans="9:10">
      <c r="I7366" s="14"/>
      <c r="J7366" s="14"/>
    </row>
    <row r="7367" spans="9:10">
      <c r="I7367" s="14"/>
      <c r="J7367" s="14"/>
    </row>
    <row r="7368" spans="9:10">
      <c r="I7368" s="14"/>
      <c r="J7368" s="14"/>
    </row>
    <row r="7369" spans="9:10">
      <c r="I7369" s="14"/>
      <c r="J7369" s="14"/>
    </row>
    <row r="7370" spans="9:10">
      <c r="I7370" s="14"/>
      <c r="J7370" s="14"/>
    </row>
    <row r="7371" spans="9:10">
      <c r="I7371" s="14"/>
      <c r="J7371" s="14"/>
    </row>
    <row r="7372" spans="9:10">
      <c r="I7372" s="14"/>
      <c r="J7372" s="14"/>
    </row>
    <row r="7373" spans="9:10">
      <c r="I7373" s="14"/>
      <c r="J7373" s="14"/>
    </row>
    <row r="7374" spans="9:10">
      <c r="I7374" s="14"/>
      <c r="J7374" s="14"/>
    </row>
    <row r="7375" spans="9:10">
      <c r="I7375" s="14"/>
      <c r="J7375" s="14"/>
    </row>
    <row r="7376" spans="9:10">
      <c r="I7376" s="14"/>
      <c r="J7376" s="14"/>
    </row>
    <row r="7377" spans="9:10">
      <c r="I7377" s="14"/>
      <c r="J7377" s="14"/>
    </row>
    <row r="7378" spans="9:10">
      <c r="I7378" s="14"/>
      <c r="J7378" s="14"/>
    </row>
    <row r="7379" spans="9:10">
      <c r="I7379" s="14"/>
      <c r="J7379" s="14"/>
    </row>
    <row r="7380" spans="9:10">
      <c r="I7380" s="14"/>
      <c r="J7380" s="14"/>
    </row>
    <row r="7381" spans="9:10">
      <c r="I7381" s="14"/>
      <c r="J7381" s="14"/>
    </row>
    <row r="7382" spans="9:10">
      <c r="I7382" s="14"/>
      <c r="J7382" s="14"/>
    </row>
    <row r="7383" spans="9:10">
      <c r="I7383" s="14"/>
      <c r="J7383" s="14"/>
    </row>
    <row r="7384" spans="9:10">
      <c r="I7384" s="14"/>
      <c r="J7384" s="14"/>
    </row>
    <row r="7385" spans="9:10">
      <c r="I7385" s="14"/>
      <c r="J7385" s="14"/>
    </row>
    <row r="7386" spans="9:10">
      <c r="I7386" s="14"/>
      <c r="J7386" s="14"/>
    </row>
    <row r="7387" spans="9:10">
      <c r="I7387" s="14"/>
      <c r="J7387" s="14"/>
    </row>
    <row r="7388" spans="9:10">
      <c r="I7388" s="14"/>
      <c r="J7388" s="14"/>
    </row>
    <row r="7389" spans="9:10">
      <c r="I7389" s="14"/>
      <c r="J7389" s="14"/>
    </row>
    <row r="7390" spans="9:10">
      <c r="I7390" s="14"/>
      <c r="J7390" s="14"/>
    </row>
    <row r="7391" spans="9:10">
      <c r="I7391" s="14"/>
      <c r="J7391" s="14"/>
    </row>
    <row r="7392" spans="9:10">
      <c r="I7392" s="14"/>
      <c r="J7392" s="14"/>
    </row>
    <row r="7393" spans="9:10">
      <c r="I7393" s="14"/>
      <c r="J7393" s="14"/>
    </row>
    <row r="7394" spans="9:10">
      <c r="I7394" s="14"/>
      <c r="J7394" s="14"/>
    </row>
    <row r="7395" spans="9:10">
      <c r="I7395" s="14"/>
      <c r="J7395" s="14"/>
    </row>
    <row r="7396" spans="9:10">
      <c r="I7396" s="14"/>
      <c r="J7396" s="14"/>
    </row>
    <row r="7397" spans="9:10">
      <c r="I7397" s="14"/>
      <c r="J7397" s="14"/>
    </row>
    <row r="7398" spans="9:10">
      <c r="I7398" s="14"/>
      <c r="J7398" s="14"/>
    </row>
    <row r="7399" spans="9:10">
      <c r="I7399" s="14"/>
      <c r="J7399" s="14"/>
    </row>
    <row r="7400" spans="9:10">
      <c r="I7400" s="14"/>
      <c r="J7400" s="14"/>
    </row>
    <row r="7401" spans="9:10">
      <c r="I7401" s="14"/>
      <c r="J7401" s="14"/>
    </row>
    <row r="7402" spans="9:10">
      <c r="I7402" s="14"/>
      <c r="J7402" s="14"/>
    </row>
    <row r="7403" spans="9:10">
      <c r="I7403" s="14"/>
      <c r="J7403" s="14"/>
    </row>
    <row r="7404" spans="9:10">
      <c r="I7404" s="14"/>
      <c r="J7404" s="14"/>
    </row>
    <row r="7405" spans="9:10">
      <c r="I7405" s="14"/>
      <c r="J7405" s="14"/>
    </row>
    <row r="7406" spans="9:10">
      <c r="I7406" s="14"/>
      <c r="J7406" s="14"/>
    </row>
    <row r="7407" spans="9:10">
      <c r="I7407" s="14"/>
      <c r="J7407" s="14"/>
    </row>
    <row r="7408" spans="9:10">
      <c r="I7408" s="14"/>
      <c r="J7408" s="14"/>
    </row>
    <row r="7409" spans="9:10">
      <c r="I7409" s="14"/>
      <c r="J7409" s="14"/>
    </row>
    <row r="7410" spans="9:10">
      <c r="I7410" s="14"/>
      <c r="J7410" s="14"/>
    </row>
    <row r="7411" spans="9:10">
      <c r="I7411" s="14"/>
      <c r="J7411" s="14"/>
    </row>
    <row r="7412" spans="9:10">
      <c r="I7412" s="14"/>
      <c r="J7412" s="14"/>
    </row>
    <row r="7413" spans="9:10">
      <c r="I7413" s="14"/>
      <c r="J7413" s="14"/>
    </row>
    <row r="7414" spans="9:10">
      <c r="I7414" s="14"/>
      <c r="J7414" s="14"/>
    </row>
    <row r="7415" spans="9:10">
      <c r="I7415" s="14"/>
      <c r="J7415" s="14"/>
    </row>
    <row r="7416" spans="9:10">
      <c r="I7416" s="14"/>
      <c r="J7416" s="14"/>
    </row>
    <row r="7417" spans="9:10">
      <c r="I7417" s="14"/>
      <c r="J7417" s="14"/>
    </row>
    <row r="7418" spans="9:10">
      <c r="I7418" s="14"/>
      <c r="J7418" s="14"/>
    </row>
    <row r="7419" spans="9:10">
      <c r="I7419" s="14"/>
      <c r="J7419" s="14"/>
    </row>
    <row r="7420" spans="9:10">
      <c r="I7420" s="14"/>
      <c r="J7420" s="14"/>
    </row>
    <row r="7421" spans="9:10">
      <c r="I7421" s="14"/>
      <c r="J7421" s="14"/>
    </row>
    <row r="7422" spans="9:10">
      <c r="I7422" s="14"/>
      <c r="J7422" s="14"/>
    </row>
    <row r="7423" spans="9:10">
      <c r="I7423" s="14"/>
      <c r="J7423" s="14"/>
    </row>
    <row r="7424" spans="9:10">
      <c r="I7424" s="14"/>
      <c r="J7424" s="14"/>
    </row>
    <row r="7425" spans="9:10">
      <c r="I7425" s="14"/>
      <c r="J7425" s="14"/>
    </row>
    <row r="7426" spans="9:10">
      <c r="I7426" s="14"/>
      <c r="J7426" s="14"/>
    </row>
    <row r="7427" spans="9:10">
      <c r="I7427" s="14"/>
      <c r="J7427" s="14"/>
    </row>
    <row r="7428" spans="9:10">
      <c r="I7428" s="14"/>
      <c r="J7428" s="14"/>
    </row>
    <row r="7429" spans="9:10">
      <c r="I7429" s="14"/>
      <c r="J7429" s="14"/>
    </row>
    <row r="7430" spans="9:10">
      <c r="I7430" s="14"/>
      <c r="J7430" s="14"/>
    </row>
    <row r="7431" spans="9:10">
      <c r="I7431" s="14"/>
      <c r="J7431" s="14"/>
    </row>
    <row r="7432" spans="9:10">
      <c r="I7432" s="14"/>
      <c r="J7432" s="14"/>
    </row>
    <row r="7433" spans="9:10">
      <c r="I7433" s="14"/>
      <c r="J7433" s="14"/>
    </row>
    <row r="7434" spans="9:10">
      <c r="I7434" s="14"/>
      <c r="J7434" s="14"/>
    </row>
    <row r="7435" spans="9:10">
      <c r="I7435" s="14"/>
      <c r="J7435" s="14"/>
    </row>
    <row r="7436" spans="9:10">
      <c r="I7436" s="14"/>
      <c r="J7436" s="14"/>
    </row>
    <row r="7437" spans="9:10">
      <c r="I7437" s="14"/>
      <c r="J7437" s="14"/>
    </row>
    <row r="7438" spans="9:10">
      <c r="I7438" s="14"/>
      <c r="J7438" s="14"/>
    </row>
    <row r="7439" spans="9:10">
      <c r="I7439" s="14"/>
      <c r="J7439" s="14"/>
    </row>
    <row r="7440" spans="9:10">
      <c r="I7440" s="14"/>
      <c r="J7440" s="14"/>
    </row>
    <row r="7441" spans="9:10">
      <c r="I7441" s="14"/>
      <c r="J7441" s="14"/>
    </row>
    <row r="7442" spans="9:10">
      <c r="I7442" s="14"/>
      <c r="J7442" s="14"/>
    </row>
    <row r="7443" spans="9:10">
      <c r="I7443" s="14"/>
      <c r="J7443" s="14"/>
    </row>
    <row r="7444" spans="9:10">
      <c r="I7444" s="14"/>
      <c r="J7444" s="14"/>
    </row>
    <row r="7445" spans="9:10">
      <c r="I7445" s="14"/>
      <c r="J7445" s="14"/>
    </row>
    <row r="7446" spans="9:10">
      <c r="I7446" s="14"/>
      <c r="J7446" s="14"/>
    </row>
    <row r="7447" spans="9:10">
      <c r="I7447" s="14"/>
      <c r="J7447" s="14"/>
    </row>
    <row r="7448" spans="9:10">
      <c r="I7448" s="14"/>
      <c r="J7448" s="14"/>
    </row>
    <row r="7449" spans="9:10">
      <c r="I7449" s="14"/>
      <c r="J7449" s="14"/>
    </row>
    <row r="7450" spans="9:10">
      <c r="I7450" s="14"/>
      <c r="J7450" s="14"/>
    </row>
    <row r="7451" spans="9:10">
      <c r="I7451" s="14"/>
      <c r="J7451" s="14"/>
    </row>
    <row r="7452" spans="9:10">
      <c r="I7452" s="14"/>
      <c r="J7452" s="14"/>
    </row>
    <row r="7453" spans="9:10">
      <c r="I7453" s="14"/>
      <c r="J7453" s="14"/>
    </row>
    <row r="7454" spans="9:10">
      <c r="I7454" s="14"/>
      <c r="J7454" s="14"/>
    </row>
    <row r="7455" spans="9:10">
      <c r="I7455" s="14"/>
      <c r="J7455" s="14"/>
    </row>
    <row r="7456" spans="9:10">
      <c r="I7456" s="14"/>
      <c r="J7456" s="14"/>
    </row>
    <row r="7457" spans="9:10">
      <c r="I7457" s="14"/>
      <c r="J7457" s="14"/>
    </row>
    <row r="7458" spans="9:10">
      <c r="I7458" s="14"/>
      <c r="J7458" s="14"/>
    </row>
    <row r="7459" spans="9:10">
      <c r="I7459" s="14"/>
      <c r="J7459" s="14"/>
    </row>
    <row r="7460" spans="9:10">
      <c r="I7460" s="14"/>
      <c r="J7460" s="14"/>
    </row>
    <row r="7461" spans="9:10">
      <c r="I7461" s="14"/>
      <c r="J7461" s="14"/>
    </row>
    <row r="7462" spans="9:10">
      <c r="I7462" s="14"/>
      <c r="J7462" s="14"/>
    </row>
    <row r="7463" spans="9:10">
      <c r="I7463" s="14"/>
      <c r="J7463" s="14"/>
    </row>
    <row r="7464" spans="9:10">
      <c r="I7464" s="14"/>
      <c r="J7464" s="14"/>
    </row>
    <row r="7465" spans="9:10">
      <c r="I7465" s="14"/>
      <c r="J7465" s="14"/>
    </row>
    <row r="7466" spans="9:10">
      <c r="I7466" s="14"/>
      <c r="J7466" s="14"/>
    </row>
    <row r="7467" spans="9:10">
      <c r="I7467" s="14"/>
      <c r="J7467" s="14"/>
    </row>
    <row r="7468" spans="9:10">
      <c r="I7468" s="14"/>
      <c r="J7468" s="14"/>
    </row>
    <row r="7469" spans="9:10">
      <c r="I7469" s="14"/>
      <c r="J7469" s="14"/>
    </row>
    <row r="7470" spans="9:10">
      <c r="I7470" s="14"/>
      <c r="J7470" s="14"/>
    </row>
    <row r="7471" spans="9:10">
      <c r="I7471" s="14"/>
      <c r="J7471" s="14"/>
    </row>
    <row r="7472" spans="9:10">
      <c r="I7472" s="14"/>
      <c r="J7472" s="14"/>
    </row>
    <row r="7473" spans="9:10">
      <c r="I7473" s="14"/>
      <c r="J7473" s="14"/>
    </row>
    <row r="7474" spans="9:10">
      <c r="I7474" s="14"/>
      <c r="J7474" s="14"/>
    </row>
    <row r="7475" spans="9:10">
      <c r="I7475" s="14"/>
      <c r="J7475" s="14"/>
    </row>
    <row r="7476" spans="9:10">
      <c r="I7476" s="14"/>
      <c r="J7476" s="14"/>
    </row>
    <row r="7477" spans="9:10">
      <c r="I7477" s="14"/>
      <c r="J7477" s="14"/>
    </row>
    <row r="7478" spans="9:10">
      <c r="I7478" s="14"/>
      <c r="J7478" s="14"/>
    </row>
    <row r="7479" spans="9:10">
      <c r="I7479" s="14"/>
      <c r="J7479" s="14"/>
    </row>
    <row r="7480" spans="9:10">
      <c r="I7480" s="14"/>
      <c r="J7480" s="14"/>
    </row>
    <row r="7481" spans="9:10">
      <c r="I7481" s="14"/>
      <c r="J7481" s="14"/>
    </row>
    <row r="7482" spans="9:10">
      <c r="I7482" s="14"/>
      <c r="J7482" s="14"/>
    </row>
    <row r="7483" spans="9:10">
      <c r="I7483" s="14"/>
      <c r="J7483" s="14"/>
    </row>
    <row r="7484" spans="9:10">
      <c r="I7484" s="14"/>
      <c r="J7484" s="14"/>
    </row>
    <row r="7485" spans="9:10">
      <c r="I7485" s="14"/>
      <c r="J7485" s="14"/>
    </row>
    <row r="7486" spans="9:10">
      <c r="I7486" s="14"/>
      <c r="J7486" s="14"/>
    </row>
    <row r="7487" spans="9:10">
      <c r="I7487" s="14"/>
      <c r="J7487" s="14"/>
    </row>
    <row r="7488" spans="9:10">
      <c r="I7488" s="14"/>
      <c r="J7488" s="14"/>
    </row>
    <row r="7489" spans="9:10">
      <c r="I7489" s="14"/>
      <c r="J7489" s="14"/>
    </row>
    <row r="7490" spans="9:10">
      <c r="I7490" s="14"/>
      <c r="J7490" s="14"/>
    </row>
    <row r="7491" spans="9:10">
      <c r="I7491" s="14"/>
      <c r="J7491" s="14"/>
    </row>
    <row r="7492" spans="9:10">
      <c r="I7492" s="14"/>
      <c r="J7492" s="14"/>
    </row>
    <row r="7493" spans="9:10">
      <c r="I7493" s="14"/>
      <c r="J7493" s="14"/>
    </row>
    <row r="7494" spans="9:10">
      <c r="I7494" s="14"/>
      <c r="J7494" s="14"/>
    </row>
    <row r="7495" spans="9:10">
      <c r="I7495" s="14"/>
      <c r="J7495" s="14"/>
    </row>
    <row r="7496" spans="9:10">
      <c r="I7496" s="14"/>
      <c r="J7496" s="14"/>
    </row>
    <row r="7497" spans="9:10">
      <c r="I7497" s="14"/>
      <c r="J7497" s="14"/>
    </row>
    <row r="7498" spans="9:10">
      <c r="I7498" s="14"/>
      <c r="J7498" s="14"/>
    </row>
    <row r="7499" spans="9:10">
      <c r="I7499" s="14"/>
      <c r="J7499" s="14"/>
    </row>
    <row r="7500" spans="9:10">
      <c r="I7500" s="14"/>
      <c r="J7500" s="14"/>
    </row>
    <row r="7501" spans="9:10">
      <c r="I7501" s="14"/>
      <c r="J7501" s="14"/>
    </row>
    <row r="7502" spans="9:10">
      <c r="I7502" s="14"/>
      <c r="J7502" s="14"/>
    </row>
    <row r="7503" spans="9:10">
      <c r="I7503" s="14"/>
      <c r="J7503" s="14"/>
    </row>
    <row r="7504" spans="9:10">
      <c r="I7504" s="14"/>
      <c r="J7504" s="14"/>
    </row>
    <row r="7505" spans="9:10">
      <c r="I7505" s="14"/>
      <c r="J7505" s="14"/>
    </row>
    <row r="7506" spans="9:10">
      <c r="I7506" s="14"/>
      <c r="J7506" s="14"/>
    </row>
    <row r="7507" spans="9:10">
      <c r="I7507" s="14"/>
      <c r="J7507" s="14"/>
    </row>
    <row r="7508" spans="9:10">
      <c r="I7508" s="14"/>
      <c r="J7508" s="14"/>
    </row>
    <row r="7509" spans="9:10">
      <c r="I7509" s="14"/>
      <c r="J7509" s="14"/>
    </row>
    <row r="7510" spans="9:10">
      <c r="I7510" s="14"/>
      <c r="J7510" s="14"/>
    </row>
    <row r="7511" spans="9:10">
      <c r="I7511" s="14"/>
      <c r="J7511" s="14"/>
    </row>
    <row r="7512" spans="9:10">
      <c r="I7512" s="14"/>
      <c r="J7512" s="14"/>
    </row>
    <row r="7513" spans="9:10">
      <c r="I7513" s="14"/>
      <c r="J7513" s="14"/>
    </row>
    <row r="7514" spans="9:10">
      <c r="I7514" s="14"/>
      <c r="J7514" s="14"/>
    </row>
    <row r="7515" spans="9:10">
      <c r="I7515" s="14"/>
      <c r="J7515" s="14"/>
    </row>
    <row r="7516" spans="9:10">
      <c r="I7516" s="14"/>
      <c r="J7516" s="14"/>
    </row>
    <row r="7517" spans="9:10">
      <c r="I7517" s="14"/>
      <c r="J7517" s="14"/>
    </row>
    <row r="7518" spans="9:10">
      <c r="I7518" s="14"/>
      <c r="J7518" s="14"/>
    </row>
    <row r="7519" spans="9:10">
      <c r="I7519" s="14"/>
      <c r="J7519" s="14"/>
    </row>
    <row r="7520" spans="9:10">
      <c r="I7520" s="14"/>
      <c r="J7520" s="14"/>
    </row>
    <row r="7521" spans="9:10">
      <c r="I7521" s="14"/>
      <c r="J7521" s="14"/>
    </row>
    <row r="7522" spans="9:10">
      <c r="I7522" s="14"/>
      <c r="J7522" s="14"/>
    </row>
    <row r="7523" spans="9:10">
      <c r="I7523" s="14"/>
      <c r="J7523" s="14"/>
    </row>
    <row r="7524" spans="9:10">
      <c r="I7524" s="14"/>
      <c r="J7524" s="14"/>
    </row>
    <row r="7525" spans="9:10">
      <c r="I7525" s="14"/>
      <c r="J7525" s="14"/>
    </row>
    <row r="7526" spans="9:10">
      <c r="I7526" s="14"/>
      <c r="J7526" s="14"/>
    </row>
    <row r="7527" spans="9:10">
      <c r="I7527" s="14"/>
      <c r="J7527" s="14"/>
    </row>
    <row r="7528" spans="9:10">
      <c r="I7528" s="14"/>
      <c r="J7528" s="14"/>
    </row>
    <row r="7529" spans="9:10">
      <c r="I7529" s="14"/>
      <c r="J7529" s="14"/>
    </row>
    <row r="7530" spans="9:10">
      <c r="I7530" s="14"/>
      <c r="J7530" s="14"/>
    </row>
    <row r="7531" spans="9:10">
      <c r="I7531" s="14"/>
      <c r="J7531" s="14"/>
    </row>
    <row r="7532" spans="9:10">
      <c r="I7532" s="14"/>
      <c r="J7532" s="14"/>
    </row>
    <row r="7533" spans="9:10">
      <c r="I7533" s="14"/>
      <c r="J7533" s="14"/>
    </row>
    <row r="7534" spans="9:10">
      <c r="I7534" s="14"/>
      <c r="J7534" s="14"/>
    </row>
    <row r="7535" spans="9:10">
      <c r="I7535" s="14"/>
      <c r="J7535" s="14"/>
    </row>
    <row r="7536" spans="9:10">
      <c r="I7536" s="14"/>
      <c r="J7536" s="14"/>
    </row>
    <row r="7537" spans="9:10">
      <c r="I7537" s="14"/>
      <c r="J7537" s="14"/>
    </row>
    <row r="7538" spans="9:10">
      <c r="I7538" s="14"/>
      <c r="J7538" s="14"/>
    </row>
    <row r="7539" spans="9:10">
      <c r="I7539" s="14"/>
      <c r="J7539" s="14"/>
    </row>
    <row r="7540" spans="9:10">
      <c r="I7540" s="14"/>
      <c r="J7540" s="14"/>
    </row>
    <row r="7541" spans="9:10">
      <c r="I7541" s="14"/>
      <c r="J7541" s="14"/>
    </row>
    <row r="7542" spans="9:10">
      <c r="I7542" s="14"/>
      <c r="J7542" s="14"/>
    </row>
    <row r="7543" spans="9:10">
      <c r="I7543" s="14"/>
      <c r="J7543" s="14"/>
    </row>
    <row r="7544" spans="9:10">
      <c r="I7544" s="14"/>
      <c r="J7544" s="14"/>
    </row>
    <row r="7545" spans="9:10">
      <c r="I7545" s="14"/>
      <c r="J7545" s="14"/>
    </row>
    <row r="7546" spans="9:10">
      <c r="I7546" s="14"/>
      <c r="J7546" s="14"/>
    </row>
    <row r="7547" spans="9:10">
      <c r="I7547" s="14"/>
      <c r="J7547" s="14"/>
    </row>
    <row r="7548" spans="9:10">
      <c r="I7548" s="14"/>
      <c r="J7548" s="14"/>
    </row>
    <row r="7549" spans="9:10">
      <c r="I7549" s="14"/>
      <c r="J7549" s="14"/>
    </row>
    <row r="7550" spans="9:10">
      <c r="I7550" s="14"/>
      <c r="J7550" s="14"/>
    </row>
    <row r="7551" spans="9:10">
      <c r="I7551" s="14"/>
      <c r="J7551" s="14"/>
    </row>
    <row r="7552" spans="9:10">
      <c r="I7552" s="14"/>
      <c r="J7552" s="14"/>
    </row>
    <row r="7553" spans="9:10">
      <c r="I7553" s="14"/>
      <c r="J7553" s="14"/>
    </row>
    <row r="7554" spans="9:10">
      <c r="I7554" s="14"/>
      <c r="J7554" s="14"/>
    </row>
    <row r="7555" spans="9:10">
      <c r="I7555" s="14"/>
      <c r="J7555" s="14"/>
    </row>
    <row r="7556" spans="9:10">
      <c r="I7556" s="14"/>
      <c r="J7556" s="14"/>
    </row>
    <row r="7557" spans="9:10">
      <c r="I7557" s="14"/>
      <c r="J7557" s="14"/>
    </row>
    <row r="7558" spans="9:10">
      <c r="I7558" s="14"/>
      <c r="J7558" s="14"/>
    </row>
    <row r="7559" spans="9:10">
      <c r="I7559" s="14"/>
      <c r="J7559" s="14"/>
    </row>
    <row r="7560" spans="9:10">
      <c r="I7560" s="14"/>
      <c r="J7560" s="14"/>
    </row>
    <row r="7561" spans="9:10">
      <c r="I7561" s="14"/>
      <c r="J7561" s="14"/>
    </row>
    <row r="7562" spans="9:10">
      <c r="I7562" s="14"/>
      <c r="J7562" s="14"/>
    </row>
    <row r="7563" spans="9:10">
      <c r="I7563" s="14"/>
      <c r="J7563" s="14"/>
    </row>
    <row r="7564" spans="9:10">
      <c r="I7564" s="14"/>
      <c r="J7564" s="14"/>
    </row>
    <row r="7565" spans="9:10">
      <c r="I7565" s="14"/>
      <c r="J7565" s="14"/>
    </row>
    <row r="7566" spans="9:10">
      <c r="I7566" s="14"/>
      <c r="J7566" s="14"/>
    </row>
    <row r="7567" spans="9:10">
      <c r="I7567" s="14"/>
      <c r="J7567" s="14"/>
    </row>
    <row r="7568" spans="9:10">
      <c r="I7568" s="14"/>
      <c r="J7568" s="14"/>
    </row>
    <row r="7569" spans="9:10">
      <c r="I7569" s="14"/>
      <c r="J7569" s="14"/>
    </row>
    <row r="7570" spans="9:10">
      <c r="I7570" s="14"/>
      <c r="J7570" s="14"/>
    </row>
    <row r="7571" spans="9:10">
      <c r="I7571" s="14"/>
      <c r="J7571" s="14"/>
    </row>
    <row r="7572" spans="9:10">
      <c r="I7572" s="14"/>
      <c r="J7572" s="14"/>
    </row>
    <row r="7573" spans="9:10">
      <c r="I7573" s="14"/>
      <c r="J7573" s="14"/>
    </row>
    <row r="7574" spans="9:10">
      <c r="I7574" s="14"/>
      <c r="J7574" s="14"/>
    </row>
    <row r="7575" spans="9:10">
      <c r="I7575" s="14"/>
      <c r="J7575" s="14"/>
    </row>
    <row r="7576" spans="9:10">
      <c r="I7576" s="14"/>
      <c r="J7576" s="14"/>
    </row>
    <row r="7577" spans="9:10">
      <c r="I7577" s="14"/>
      <c r="J7577" s="14"/>
    </row>
    <row r="7578" spans="9:10">
      <c r="I7578" s="14"/>
      <c r="J7578" s="14"/>
    </row>
    <row r="7579" spans="9:10">
      <c r="I7579" s="14"/>
      <c r="J7579" s="14"/>
    </row>
    <row r="7580" spans="9:10">
      <c r="I7580" s="14"/>
      <c r="J7580" s="14"/>
    </row>
    <row r="7581" spans="9:10">
      <c r="I7581" s="14"/>
      <c r="J7581" s="14"/>
    </row>
    <row r="7582" spans="9:10">
      <c r="I7582" s="14"/>
      <c r="J7582" s="14"/>
    </row>
    <row r="7583" spans="9:10">
      <c r="I7583" s="14"/>
      <c r="J7583" s="14"/>
    </row>
    <row r="7584" spans="9:10">
      <c r="I7584" s="14"/>
      <c r="J7584" s="14"/>
    </row>
    <row r="7585" spans="9:10">
      <c r="I7585" s="14"/>
      <c r="J7585" s="14"/>
    </row>
    <row r="7586" spans="9:10">
      <c r="I7586" s="14"/>
      <c r="J7586" s="14"/>
    </row>
    <row r="7587" spans="9:10">
      <c r="I7587" s="14"/>
      <c r="J7587" s="14"/>
    </row>
    <row r="7588" spans="9:10">
      <c r="I7588" s="14"/>
      <c r="J7588" s="14"/>
    </row>
    <row r="7589" spans="9:10">
      <c r="I7589" s="14"/>
      <c r="J7589" s="14"/>
    </row>
    <row r="7590" spans="9:10">
      <c r="I7590" s="14"/>
      <c r="J7590" s="14"/>
    </row>
    <row r="7591" spans="9:10">
      <c r="I7591" s="14"/>
      <c r="J7591" s="14"/>
    </row>
    <row r="7592" spans="9:10">
      <c r="I7592" s="14"/>
      <c r="J7592" s="14"/>
    </row>
    <row r="7593" spans="9:10">
      <c r="I7593" s="14"/>
      <c r="J7593" s="14"/>
    </row>
    <row r="7594" spans="9:10">
      <c r="I7594" s="14"/>
      <c r="J7594" s="14"/>
    </row>
    <row r="7595" spans="9:10">
      <c r="I7595" s="14"/>
      <c r="J7595" s="14"/>
    </row>
    <row r="7596" spans="9:10">
      <c r="I7596" s="14"/>
      <c r="J7596" s="14"/>
    </row>
    <row r="7597" spans="9:10">
      <c r="I7597" s="14"/>
      <c r="J7597" s="14"/>
    </row>
    <row r="7598" spans="9:10">
      <c r="I7598" s="14"/>
      <c r="J7598" s="14"/>
    </row>
    <row r="7599" spans="9:10">
      <c r="I7599" s="14"/>
      <c r="J7599" s="14"/>
    </row>
    <row r="7600" spans="9:10">
      <c r="I7600" s="14"/>
      <c r="J7600" s="14"/>
    </row>
    <row r="7601" spans="9:10">
      <c r="I7601" s="14"/>
      <c r="J7601" s="14"/>
    </row>
    <row r="7602" spans="9:10">
      <c r="I7602" s="14"/>
      <c r="J7602" s="14"/>
    </row>
    <row r="7603" spans="9:10">
      <c r="I7603" s="14"/>
      <c r="J7603" s="14"/>
    </row>
    <row r="7604" spans="9:10">
      <c r="I7604" s="14"/>
      <c r="J7604" s="14"/>
    </row>
    <row r="7605" spans="9:10">
      <c r="I7605" s="14"/>
      <c r="J7605" s="14"/>
    </row>
    <row r="7606" spans="9:10">
      <c r="I7606" s="14"/>
      <c r="J7606" s="14"/>
    </row>
    <row r="7607" spans="9:10">
      <c r="I7607" s="14"/>
      <c r="J7607" s="14"/>
    </row>
    <row r="7608" spans="9:10">
      <c r="I7608" s="14"/>
      <c r="J7608" s="14"/>
    </row>
    <row r="7609" spans="9:10">
      <c r="I7609" s="14"/>
      <c r="J7609" s="14"/>
    </row>
    <row r="7610" spans="9:10">
      <c r="I7610" s="14"/>
      <c r="J7610" s="14"/>
    </row>
    <row r="7611" spans="9:10">
      <c r="I7611" s="14"/>
      <c r="J7611" s="14"/>
    </row>
    <row r="7612" spans="9:10">
      <c r="I7612" s="14"/>
      <c r="J7612" s="14"/>
    </row>
    <row r="7613" spans="9:10">
      <c r="I7613" s="14"/>
      <c r="J7613" s="14"/>
    </row>
    <row r="7614" spans="9:10">
      <c r="I7614" s="14"/>
      <c r="J7614" s="14"/>
    </row>
    <row r="7615" spans="9:10">
      <c r="I7615" s="14"/>
      <c r="J7615" s="14"/>
    </row>
    <row r="7616" spans="9:10">
      <c r="I7616" s="14"/>
      <c r="J7616" s="14"/>
    </row>
    <row r="7617" spans="9:10">
      <c r="I7617" s="14"/>
      <c r="J7617" s="14"/>
    </row>
    <row r="7618" spans="9:10">
      <c r="I7618" s="14"/>
      <c r="J7618" s="14"/>
    </row>
    <row r="7619" spans="9:10">
      <c r="I7619" s="14"/>
      <c r="J7619" s="14"/>
    </row>
    <row r="7620" spans="9:10">
      <c r="I7620" s="14"/>
      <c r="J7620" s="14"/>
    </row>
    <row r="7621" spans="9:10">
      <c r="I7621" s="14"/>
      <c r="J7621" s="14"/>
    </row>
    <row r="7622" spans="9:10">
      <c r="I7622" s="14"/>
      <c r="J7622" s="14"/>
    </row>
    <row r="7623" spans="9:10">
      <c r="I7623" s="14"/>
      <c r="J7623" s="14"/>
    </row>
    <row r="7624" spans="9:10">
      <c r="I7624" s="14"/>
      <c r="J7624" s="14"/>
    </row>
    <row r="7625" spans="9:10">
      <c r="I7625" s="14"/>
      <c r="J7625" s="14"/>
    </row>
    <row r="7626" spans="9:10">
      <c r="I7626" s="14"/>
      <c r="J7626" s="14"/>
    </row>
    <row r="7627" spans="9:10">
      <c r="I7627" s="14"/>
      <c r="J7627" s="14"/>
    </row>
    <row r="7628" spans="9:10">
      <c r="I7628" s="14"/>
      <c r="J7628" s="14"/>
    </row>
    <row r="7629" spans="9:10">
      <c r="I7629" s="14"/>
      <c r="J7629" s="14"/>
    </row>
    <row r="7630" spans="9:10">
      <c r="I7630" s="14"/>
      <c r="J7630" s="14"/>
    </row>
    <row r="7631" spans="9:10">
      <c r="I7631" s="14"/>
      <c r="J7631" s="14"/>
    </row>
    <row r="7632" spans="9:10">
      <c r="I7632" s="14"/>
      <c r="J7632" s="14"/>
    </row>
    <row r="7633" spans="9:10">
      <c r="I7633" s="14"/>
      <c r="J7633" s="14"/>
    </row>
    <row r="7634" spans="9:10">
      <c r="I7634" s="14"/>
      <c r="J7634" s="14"/>
    </row>
    <row r="7635" spans="9:10">
      <c r="I7635" s="14"/>
      <c r="J7635" s="14"/>
    </row>
    <row r="7636" spans="9:10">
      <c r="I7636" s="14"/>
      <c r="J7636" s="14"/>
    </row>
    <row r="7637" spans="9:10">
      <c r="I7637" s="14"/>
      <c r="J7637" s="14"/>
    </row>
    <row r="7638" spans="9:10">
      <c r="I7638" s="14"/>
      <c r="J7638" s="14"/>
    </row>
    <row r="7639" spans="9:10">
      <c r="I7639" s="14"/>
      <c r="J7639" s="14"/>
    </row>
    <row r="7640" spans="9:10">
      <c r="I7640" s="14"/>
      <c r="J7640" s="14"/>
    </row>
    <row r="7641" spans="9:10">
      <c r="I7641" s="14"/>
      <c r="J7641" s="14"/>
    </row>
    <row r="7642" spans="9:10">
      <c r="I7642" s="14"/>
      <c r="J7642" s="14"/>
    </row>
    <row r="7643" spans="9:10">
      <c r="I7643" s="14"/>
      <c r="J7643" s="14"/>
    </row>
    <row r="7644" spans="9:10">
      <c r="I7644" s="14"/>
      <c r="J7644" s="14"/>
    </row>
    <row r="7645" spans="9:10">
      <c r="I7645" s="14"/>
      <c r="J7645" s="14"/>
    </row>
    <row r="7646" spans="9:10">
      <c r="I7646" s="14"/>
      <c r="J7646" s="14"/>
    </row>
    <row r="7647" spans="9:10">
      <c r="I7647" s="14"/>
      <c r="J7647" s="14"/>
    </row>
    <row r="7648" spans="9:10">
      <c r="I7648" s="14"/>
      <c r="J7648" s="14"/>
    </row>
    <row r="7649" spans="9:10">
      <c r="I7649" s="14"/>
      <c r="J7649" s="14"/>
    </row>
    <row r="7650" spans="9:10">
      <c r="I7650" s="14"/>
      <c r="J7650" s="14"/>
    </row>
    <row r="7651" spans="9:10">
      <c r="I7651" s="14"/>
      <c r="J7651" s="14"/>
    </row>
    <row r="7652" spans="9:10">
      <c r="I7652" s="14"/>
      <c r="J7652" s="14"/>
    </row>
    <row r="7653" spans="9:10">
      <c r="I7653" s="14"/>
      <c r="J7653" s="14"/>
    </row>
    <row r="7654" spans="9:10">
      <c r="I7654" s="14"/>
      <c r="J7654" s="14"/>
    </row>
    <row r="7655" spans="9:10">
      <c r="I7655" s="14"/>
      <c r="J7655" s="14"/>
    </row>
    <row r="7656" spans="9:10">
      <c r="I7656" s="14"/>
      <c r="J7656" s="14"/>
    </row>
    <row r="7657" spans="9:10">
      <c r="I7657" s="14"/>
      <c r="J7657" s="14"/>
    </row>
    <row r="7658" spans="9:10">
      <c r="I7658" s="14"/>
      <c r="J7658" s="14"/>
    </row>
    <row r="7659" spans="9:10">
      <c r="I7659" s="14"/>
      <c r="J7659" s="14"/>
    </row>
    <row r="7660" spans="9:10">
      <c r="I7660" s="14"/>
      <c r="J7660" s="14"/>
    </row>
    <row r="7661" spans="9:10">
      <c r="I7661" s="14"/>
      <c r="J7661" s="14"/>
    </row>
    <row r="7662" spans="9:10">
      <c r="I7662" s="14"/>
      <c r="J7662" s="14"/>
    </row>
    <row r="7663" spans="9:10">
      <c r="I7663" s="14"/>
      <c r="J7663" s="14"/>
    </row>
    <row r="7664" spans="9:10">
      <c r="I7664" s="14"/>
      <c r="J7664" s="14"/>
    </row>
    <row r="7665" spans="9:10">
      <c r="I7665" s="14"/>
      <c r="J7665" s="14"/>
    </row>
    <row r="7666" spans="9:10">
      <c r="I7666" s="14"/>
      <c r="J7666" s="14"/>
    </row>
    <row r="7667" spans="9:10">
      <c r="I7667" s="14"/>
      <c r="J7667" s="14"/>
    </row>
    <row r="7668" spans="9:10">
      <c r="I7668" s="14"/>
      <c r="J7668" s="14"/>
    </row>
    <row r="7669" spans="9:10">
      <c r="I7669" s="14"/>
      <c r="J7669" s="14"/>
    </row>
    <row r="7670" spans="9:10">
      <c r="I7670" s="14"/>
      <c r="J7670" s="14"/>
    </row>
    <row r="7671" spans="9:10">
      <c r="I7671" s="14"/>
      <c r="J7671" s="14"/>
    </row>
    <row r="7672" spans="9:10">
      <c r="I7672" s="14"/>
      <c r="J7672" s="14"/>
    </row>
    <row r="7673" spans="9:10">
      <c r="I7673" s="14"/>
      <c r="J7673" s="14"/>
    </row>
    <row r="7674" spans="9:10">
      <c r="I7674" s="14"/>
      <c r="J7674" s="14"/>
    </row>
    <row r="7675" spans="9:10">
      <c r="I7675" s="14"/>
      <c r="J7675" s="14"/>
    </row>
    <row r="7676" spans="9:10">
      <c r="I7676" s="14"/>
      <c r="J7676" s="14"/>
    </row>
    <row r="7677" spans="9:10">
      <c r="I7677" s="14"/>
      <c r="J7677" s="14"/>
    </row>
    <row r="7678" spans="9:10">
      <c r="I7678" s="14"/>
      <c r="J7678" s="14"/>
    </row>
    <row r="7679" spans="9:10">
      <c r="I7679" s="14"/>
      <c r="J7679" s="14"/>
    </row>
    <row r="7680" spans="9:10">
      <c r="I7680" s="14"/>
      <c r="J7680" s="14"/>
    </row>
    <row r="7681" spans="9:10">
      <c r="I7681" s="14"/>
      <c r="J7681" s="14"/>
    </row>
    <row r="7682" spans="9:10">
      <c r="I7682" s="14"/>
      <c r="J7682" s="14"/>
    </row>
    <row r="7683" spans="9:10">
      <c r="I7683" s="14"/>
      <c r="J7683" s="14"/>
    </row>
    <row r="7684" spans="9:10">
      <c r="I7684" s="14"/>
      <c r="J7684" s="14"/>
    </row>
    <row r="7685" spans="9:10">
      <c r="I7685" s="14"/>
      <c r="J7685" s="14"/>
    </row>
    <row r="7686" spans="9:10">
      <c r="I7686" s="14"/>
      <c r="J7686" s="14"/>
    </row>
    <row r="7687" spans="9:10">
      <c r="I7687" s="14"/>
      <c r="J7687" s="14"/>
    </row>
    <row r="7688" spans="9:10">
      <c r="I7688" s="14"/>
      <c r="J7688" s="14"/>
    </row>
    <row r="7689" spans="9:10">
      <c r="I7689" s="14"/>
      <c r="J7689" s="14"/>
    </row>
    <row r="7690" spans="9:10">
      <c r="I7690" s="14"/>
      <c r="J7690" s="14"/>
    </row>
    <row r="7691" spans="9:10">
      <c r="I7691" s="14"/>
      <c r="J7691" s="14"/>
    </row>
    <row r="7692" spans="9:10">
      <c r="I7692" s="14"/>
      <c r="J7692" s="14"/>
    </row>
    <row r="7693" spans="9:10">
      <c r="I7693" s="14"/>
      <c r="J7693" s="14"/>
    </row>
    <row r="7694" spans="9:10">
      <c r="I7694" s="14"/>
      <c r="J7694" s="14"/>
    </row>
    <row r="7695" spans="9:10">
      <c r="I7695" s="14"/>
      <c r="J7695" s="14"/>
    </row>
    <row r="7696" spans="9:10">
      <c r="I7696" s="14"/>
      <c r="J7696" s="14"/>
    </row>
    <row r="7697" spans="9:10">
      <c r="I7697" s="14"/>
      <c r="J7697" s="14"/>
    </row>
    <row r="7698" spans="9:10">
      <c r="I7698" s="14"/>
      <c r="J7698" s="14"/>
    </row>
    <row r="7699" spans="9:10">
      <c r="I7699" s="14"/>
      <c r="J7699" s="14"/>
    </row>
    <row r="7700" spans="9:10">
      <c r="I7700" s="14"/>
      <c r="J7700" s="14"/>
    </row>
    <row r="7701" spans="9:10">
      <c r="I7701" s="14"/>
      <c r="J7701" s="14"/>
    </row>
    <row r="7702" spans="9:10">
      <c r="I7702" s="14"/>
      <c r="J7702" s="14"/>
    </row>
    <row r="7703" spans="9:10">
      <c r="I7703" s="14"/>
      <c r="J7703" s="14"/>
    </row>
    <row r="7704" spans="9:10">
      <c r="I7704" s="14"/>
      <c r="J7704" s="14"/>
    </row>
    <row r="7705" spans="9:10">
      <c r="I7705" s="14"/>
      <c r="J7705" s="14"/>
    </row>
    <row r="7706" spans="9:10">
      <c r="I7706" s="14"/>
      <c r="J7706" s="14"/>
    </row>
    <row r="7707" spans="9:10">
      <c r="I7707" s="14"/>
      <c r="J7707" s="14"/>
    </row>
    <row r="7708" spans="9:10">
      <c r="I7708" s="14"/>
      <c r="J7708" s="14"/>
    </row>
    <row r="7709" spans="9:10">
      <c r="I7709" s="14"/>
      <c r="J7709" s="14"/>
    </row>
    <row r="7710" spans="9:10">
      <c r="I7710" s="14"/>
      <c r="J7710" s="14"/>
    </row>
    <row r="7711" spans="9:10">
      <c r="I7711" s="14"/>
      <c r="J7711" s="14"/>
    </row>
    <row r="7712" spans="9:10">
      <c r="I7712" s="14"/>
      <c r="J7712" s="14"/>
    </row>
    <row r="7713" spans="9:10">
      <c r="I7713" s="14"/>
      <c r="J7713" s="14"/>
    </row>
    <row r="7714" spans="9:10">
      <c r="I7714" s="14"/>
      <c r="J7714" s="14"/>
    </row>
    <row r="7715" spans="9:10">
      <c r="I7715" s="14"/>
      <c r="J7715" s="14"/>
    </row>
    <row r="7716" spans="9:10">
      <c r="I7716" s="14"/>
      <c r="J7716" s="14"/>
    </row>
    <row r="7717" spans="9:10">
      <c r="I7717" s="14"/>
      <c r="J7717" s="14"/>
    </row>
    <row r="7718" spans="9:10">
      <c r="I7718" s="14"/>
      <c r="J7718" s="14"/>
    </row>
    <row r="7719" spans="9:10">
      <c r="I7719" s="14"/>
      <c r="J7719" s="14"/>
    </row>
    <row r="7720" spans="9:10">
      <c r="I7720" s="14"/>
      <c r="J7720" s="14"/>
    </row>
    <row r="7721" spans="9:10">
      <c r="I7721" s="14"/>
      <c r="J7721" s="14"/>
    </row>
    <row r="7722" spans="9:10">
      <c r="I7722" s="14"/>
      <c r="J7722" s="14"/>
    </row>
    <row r="7723" spans="9:10">
      <c r="I7723" s="14"/>
      <c r="J7723" s="14"/>
    </row>
    <row r="7724" spans="9:10">
      <c r="I7724" s="14"/>
      <c r="J7724" s="14"/>
    </row>
    <row r="7725" spans="9:10">
      <c r="I7725" s="14"/>
      <c r="J7725" s="14"/>
    </row>
    <row r="7726" spans="9:10">
      <c r="I7726" s="14"/>
      <c r="J7726" s="14"/>
    </row>
    <row r="7727" spans="9:10">
      <c r="I7727" s="14"/>
      <c r="J7727" s="14"/>
    </row>
    <row r="7728" spans="9:10">
      <c r="I7728" s="14"/>
      <c r="J7728" s="14"/>
    </row>
    <row r="7729" spans="9:10">
      <c r="I7729" s="14"/>
      <c r="J7729" s="14"/>
    </row>
    <row r="7730" spans="9:10">
      <c r="I7730" s="14"/>
      <c r="J7730" s="14"/>
    </row>
    <row r="7731" spans="9:10">
      <c r="I7731" s="14"/>
      <c r="J7731" s="14"/>
    </row>
    <row r="7732" spans="9:10">
      <c r="I7732" s="14"/>
      <c r="J7732" s="14"/>
    </row>
    <row r="7733" spans="9:10">
      <c r="I7733" s="14"/>
      <c r="J7733" s="14"/>
    </row>
    <row r="7734" spans="9:10">
      <c r="I7734" s="14"/>
      <c r="J7734" s="14"/>
    </row>
    <row r="7735" spans="9:10">
      <c r="I7735" s="14"/>
      <c r="J7735" s="14"/>
    </row>
    <row r="7736" spans="9:10">
      <c r="I7736" s="14"/>
      <c r="J7736" s="14"/>
    </row>
    <row r="7737" spans="9:10">
      <c r="I7737" s="14"/>
      <c r="J7737" s="14"/>
    </row>
    <row r="7738" spans="9:10">
      <c r="I7738" s="14"/>
      <c r="J7738" s="14"/>
    </row>
    <row r="7739" spans="9:10">
      <c r="I7739" s="14"/>
      <c r="J7739" s="14"/>
    </row>
    <row r="7740" spans="9:10">
      <c r="I7740" s="14"/>
      <c r="J7740" s="14"/>
    </row>
    <row r="7741" spans="9:10">
      <c r="I7741" s="14"/>
      <c r="J7741" s="14"/>
    </row>
    <row r="7742" spans="9:10">
      <c r="I7742" s="14"/>
      <c r="J7742" s="14"/>
    </row>
    <row r="7743" spans="9:10">
      <c r="I7743" s="14"/>
      <c r="J7743" s="14"/>
    </row>
    <row r="7744" spans="9:10">
      <c r="I7744" s="14"/>
      <c r="J7744" s="14"/>
    </row>
    <row r="7745" spans="9:10">
      <c r="I7745" s="14"/>
      <c r="J7745" s="14"/>
    </row>
    <row r="7746" spans="9:10">
      <c r="I7746" s="14"/>
      <c r="J7746" s="14"/>
    </row>
    <row r="7747" spans="9:10">
      <c r="I7747" s="14"/>
      <c r="J7747" s="14"/>
    </row>
    <row r="7748" spans="9:10">
      <c r="I7748" s="14"/>
      <c r="J7748" s="14"/>
    </row>
    <row r="7749" spans="9:10">
      <c r="I7749" s="14"/>
      <c r="J7749" s="14"/>
    </row>
    <row r="7750" spans="9:10">
      <c r="I7750" s="14"/>
      <c r="J7750" s="14"/>
    </row>
    <row r="7751" spans="9:10">
      <c r="I7751" s="14"/>
      <c r="J7751" s="14"/>
    </row>
    <row r="7752" spans="9:10">
      <c r="I7752" s="14"/>
      <c r="J7752" s="14"/>
    </row>
    <row r="7753" spans="9:10">
      <c r="I7753" s="14"/>
      <c r="J7753" s="14"/>
    </row>
    <row r="7754" spans="9:10">
      <c r="I7754" s="14"/>
      <c r="J7754" s="14"/>
    </row>
    <row r="7755" spans="9:10">
      <c r="I7755" s="14"/>
      <c r="J7755" s="14"/>
    </row>
    <row r="7756" spans="9:10">
      <c r="I7756" s="14"/>
      <c r="J7756" s="14"/>
    </row>
    <row r="7757" spans="9:10">
      <c r="I7757" s="14"/>
      <c r="J7757" s="14"/>
    </row>
    <row r="7758" spans="9:10">
      <c r="I7758" s="14"/>
      <c r="J7758" s="14"/>
    </row>
    <row r="7759" spans="9:10">
      <c r="I7759" s="14"/>
      <c r="J7759" s="14"/>
    </row>
    <row r="7760" spans="9:10">
      <c r="I7760" s="14"/>
      <c r="J7760" s="14"/>
    </row>
    <row r="7761" spans="9:10">
      <c r="I7761" s="14"/>
      <c r="J7761" s="14"/>
    </row>
    <row r="7762" spans="9:10">
      <c r="I7762" s="14"/>
      <c r="J7762" s="14"/>
    </row>
    <row r="7763" spans="9:10">
      <c r="I7763" s="14"/>
      <c r="J7763" s="14"/>
    </row>
    <row r="7764" spans="9:10">
      <c r="I7764" s="14"/>
      <c r="J7764" s="14"/>
    </row>
    <row r="7765" spans="9:10">
      <c r="I7765" s="14"/>
      <c r="J7765" s="14"/>
    </row>
    <row r="7766" spans="9:10">
      <c r="I7766" s="14"/>
      <c r="J7766" s="14"/>
    </row>
    <row r="7767" spans="9:10">
      <c r="I7767" s="14"/>
      <c r="J7767" s="14"/>
    </row>
    <row r="7768" spans="9:10">
      <c r="I7768" s="14"/>
      <c r="J7768" s="14"/>
    </row>
    <row r="7769" spans="9:10">
      <c r="I7769" s="14"/>
      <c r="J7769" s="14"/>
    </row>
    <row r="7770" spans="9:10">
      <c r="I7770" s="14"/>
      <c r="J7770" s="14"/>
    </row>
    <row r="7771" spans="9:10">
      <c r="I7771" s="14"/>
      <c r="J7771" s="14"/>
    </row>
    <row r="7772" spans="9:10">
      <c r="I7772" s="14"/>
      <c r="J7772" s="14"/>
    </row>
    <row r="7773" spans="9:10">
      <c r="I7773" s="14"/>
      <c r="J7773" s="14"/>
    </row>
    <row r="7774" spans="9:10">
      <c r="I7774" s="14"/>
      <c r="J7774" s="14"/>
    </row>
    <row r="7775" spans="9:10">
      <c r="I7775" s="14"/>
      <c r="J7775" s="14"/>
    </row>
    <row r="7776" spans="9:10">
      <c r="I7776" s="14"/>
      <c r="J7776" s="14"/>
    </row>
    <row r="7777" spans="9:10">
      <c r="I7777" s="14"/>
      <c r="J7777" s="14"/>
    </row>
    <row r="7778" spans="9:10">
      <c r="I7778" s="14"/>
      <c r="J7778" s="14"/>
    </row>
    <row r="7779" spans="9:10">
      <c r="I7779" s="14"/>
      <c r="J7779" s="14"/>
    </row>
    <row r="7780" spans="9:10">
      <c r="I7780" s="14"/>
      <c r="J7780" s="14"/>
    </row>
    <row r="7781" spans="9:10">
      <c r="I7781" s="14"/>
      <c r="J7781" s="14"/>
    </row>
    <row r="7782" spans="9:10">
      <c r="I7782" s="14"/>
      <c r="J7782" s="14"/>
    </row>
    <row r="7783" spans="9:10">
      <c r="I7783" s="14"/>
      <c r="J7783" s="14"/>
    </row>
    <row r="7784" spans="9:10">
      <c r="I7784" s="14"/>
      <c r="J7784" s="14"/>
    </row>
    <row r="7785" spans="9:10">
      <c r="I7785" s="14"/>
      <c r="J7785" s="14"/>
    </row>
    <row r="7786" spans="9:10">
      <c r="I7786" s="14"/>
      <c r="J7786" s="14"/>
    </row>
    <row r="7787" spans="9:10">
      <c r="I7787" s="14"/>
      <c r="J7787" s="14"/>
    </row>
    <row r="7788" spans="9:10">
      <c r="I7788" s="14"/>
      <c r="J7788" s="14"/>
    </row>
    <row r="7789" spans="9:10">
      <c r="I7789" s="14"/>
      <c r="J7789" s="14"/>
    </row>
    <row r="7790" spans="9:10">
      <c r="I7790" s="14"/>
      <c r="J7790" s="14"/>
    </row>
    <row r="7791" spans="9:10">
      <c r="I7791" s="14"/>
      <c r="J7791" s="14"/>
    </row>
    <row r="7792" spans="9:10">
      <c r="I7792" s="14"/>
      <c r="J7792" s="14"/>
    </row>
    <row r="7793" spans="9:10">
      <c r="I7793" s="14"/>
      <c r="J7793" s="14"/>
    </row>
    <row r="7794" spans="9:10">
      <c r="I7794" s="14"/>
      <c r="J7794" s="14"/>
    </row>
    <row r="7795" spans="9:10">
      <c r="I7795" s="14"/>
      <c r="J7795" s="14"/>
    </row>
    <row r="7796" spans="9:10">
      <c r="I7796" s="14"/>
      <c r="J7796" s="14"/>
    </row>
    <row r="7797" spans="9:10">
      <c r="I7797" s="14"/>
      <c r="J7797" s="14"/>
    </row>
    <row r="7798" spans="9:10">
      <c r="I7798" s="14"/>
      <c r="J7798" s="14"/>
    </row>
    <row r="7799" spans="9:10">
      <c r="I7799" s="14"/>
      <c r="J7799" s="14"/>
    </row>
    <row r="7800" spans="9:10">
      <c r="I7800" s="14"/>
      <c r="J7800" s="14"/>
    </row>
    <row r="7801" spans="9:10">
      <c r="I7801" s="14"/>
      <c r="J7801" s="14"/>
    </row>
    <row r="7802" spans="9:10">
      <c r="I7802" s="14"/>
      <c r="J7802" s="14"/>
    </row>
    <row r="7803" spans="9:10">
      <c r="I7803" s="14"/>
      <c r="J7803" s="14"/>
    </row>
    <row r="7804" spans="9:10">
      <c r="I7804" s="14"/>
      <c r="J7804" s="14"/>
    </row>
    <row r="7805" spans="9:10">
      <c r="I7805" s="14"/>
      <c r="J7805" s="14"/>
    </row>
    <row r="7806" spans="9:10">
      <c r="I7806" s="14"/>
      <c r="J7806" s="14"/>
    </row>
    <row r="7807" spans="9:10">
      <c r="I7807" s="14"/>
      <c r="J7807" s="14"/>
    </row>
    <row r="7808" spans="9:10">
      <c r="I7808" s="14"/>
      <c r="J7808" s="14"/>
    </row>
    <row r="7809" spans="9:10">
      <c r="I7809" s="14"/>
      <c r="J7809" s="14"/>
    </row>
    <row r="7810" spans="9:10">
      <c r="I7810" s="14"/>
      <c r="J7810" s="14"/>
    </row>
    <row r="7811" spans="9:10">
      <c r="I7811" s="14"/>
      <c r="J7811" s="14"/>
    </row>
    <row r="7812" spans="9:10">
      <c r="I7812" s="14"/>
      <c r="J7812" s="14"/>
    </row>
    <row r="7813" spans="9:10">
      <c r="I7813" s="14"/>
      <c r="J7813" s="14"/>
    </row>
    <row r="7814" spans="9:10">
      <c r="I7814" s="14"/>
      <c r="J7814" s="14"/>
    </row>
    <row r="7815" spans="9:10">
      <c r="I7815" s="14"/>
      <c r="J7815" s="14"/>
    </row>
    <row r="7816" spans="9:10">
      <c r="I7816" s="14"/>
      <c r="J7816" s="14"/>
    </row>
    <row r="7817" spans="9:10">
      <c r="I7817" s="14"/>
      <c r="J7817" s="14"/>
    </row>
    <row r="7818" spans="9:10">
      <c r="I7818" s="14"/>
      <c r="J7818" s="14"/>
    </row>
    <row r="7819" spans="9:10">
      <c r="I7819" s="14"/>
      <c r="J7819" s="14"/>
    </row>
    <row r="7820" spans="9:10">
      <c r="I7820" s="14"/>
      <c r="J7820" s="14"/>
    </row>
    <row r="7821" spans="9:10">
      <c r="I7821" s="14"/>
      <c r="J7821" s="14"/>
    </row>
    <row r="7822" spans="9:10">
      <c r="I7822" s="14"/>
      <c r="J7822" s="14"/>
    </row>
    <row r="7823" spans="9:10">
      <c r="I7823" s="14"/>
      <c r="J7823" s="14"/>
    </row>
    <row r="7824" spans="9:10">
      <c r="I7824" s="14"/>
      <c r="J7824" s="14"/>
    </row>
    <row r="7825" spans="9:10">
      <c r="I7825" s="14"/>
      <c r="J7825" s="14"/>
    </row>
    <row r="7826" spans="9:10">
      <c r="I7826" s="14"/>
      <c r="J7826" s="14"/>
    </row>
    <row r="7827" spans="9:10">
      <c r="I7827" s="14"/>
      <c r="J7827" s="14"/>
    </row>
    <row r="7828" spans="9:10">
      <c r="I7828" s="14"/>
      <c r="J7828" s="14"/>
    </row>
    <row r="7829" spans="9:10">
      <c r="I7829" s="14"/>
      <c r="J7829" s="14"/>
    </row>
    <row r="7830" spans="9:10">
      <c r="I7830" s="14"/>
      <c r="J7830" s="14"/>
    </row>
    <row r="7831" spans="9:10">
      <c r="I7831" s="14"/>
      <c r="J7831" s="14"/>
    </row>
    <row r="7832" spans="9:10">
      <c r="I7832" s="14"/>
      <c r="J7832" s="14"/>
    </row>
    <row r="7833" spans="9:10">
      <c r="I7833" s="14"/>
      <c r="J7833" s="14"/>
    </row>
    <row r="7834" spans="9:10">
      <c r="I7834" s="14"/>
      <c r="J7834" s="14"/>
    </row>
    <row r="7835" spans="9:10">
      <c r="I7835" s="14"/>
      <c r="J7835" s="14"/>
    </row>
    <row r="7836" spans="9:10">
      <c r="I7836" s="14"/>
      <c r="J7836" s="14"/>
    </row>
    <row r="7837" spans="9:10">
      <c r="I7837" s="14"/>
      <c r="J7837" s="14"/>
    </row>
    <row r="7838" spans="9:10">
      <c r="I7838" s="14"/>
      <c r="J7838" s="14"/>
    </row>
    <row r="7839" spans="9:10">
      <c r="I7839" s="14"/>
      <c r="J7839" s="14"/>
    </row>
    <row r="7840" spans="9:10">
      <c r="I7840" s="14"/>
      <c r="J7840" s="14"/>
    </row>
    <row r="7841" spans="9:10">
      <c r="I7841" s="14"/>
      <c r="J7841" s="14"/>
    </row>
    <row r="7842" spans="9:10">
      <c r="I7842" s="14"/>
      <c r="J7842" s="14"/>
    </row>
    <row r="7843" spans="9:10">
      <c r="I7843" s="14"/>
      <c r="J7843" s="14"/>
    </row>
    <row r="7844" spans="9:10">
      <c r="I7844" s="14"/>
      <c r="J7844" s="14"/>
    </row>
    <row r="7845" spans="9:10">
      <c r="I7845" s="14"/>
      <c r="J7845" s="14"/>
    </row>
    <row r="7846" spans="9:10">
      <c r="I7846" s="14"/>
      <c r="J7846" s="14"/>
    </row>
    <row r="7847" spans="9:10">
      <c r="I7847" s="14"/>
      <c r="J7847" s="14"/>
    </row>
    <row r="7848" spans="9:10">
      <c r="I7848" s="14"/>
      <c r="J7848" s="14"/>
    </row>
    <row r="7849" spans="9:10">
      <c r="I7849" s="14"/>
      <c r="J7849" s="14"/>
    </row>
    <row r="7850" spans="9:10">
      <c r="I7850" s="14"/>
      <c r="J7850" s="14"/>
    </row>
    <row r="7851" spans="9:10">
      <c r="I7851" s="14"/>
      <c r="J7851" s="14"/>
    </row>
    <row r="7852" spans="9:10">
      <c r="I7852" s="14"/>
      <c r="J7852" s="14"/>
    </row>
    <row r="7853" spans="9:10">
      <c r="I7853" s="14"/>
      <c r="J7853" s="14"/>
    </row>
    <row r="7854" spans="9:10">
      <c r="I7854" s="14"/>
      <c r="J7854" s="14"/>
    </row>
    <row r="7855" spans="9:10">
      <c r="I7855" s="14"/>
      <c r="J7855" s="14"/>
    </row>
    <row r="7856" spans="9:10">
      <c r="I7856" s="14"/>
      <c r="J7856" s="14"/>
    </row>
    <row r="7857" spans="9:10">
      <c r="I7857" s="14"/>
      <c r="J7857" s="14"/>
    </row>
    <row r="7858" spans="9:10">
      <c r="I7858" s="14"/>
      <c r="J7858" s="14"/>
    </row>
    <row r="7859" spans="9:10">
      <c r="I7859" s="14"/>
      <c r="J7859" s="14"/>
    </row>
    <row r="7860" spans="9:10">
      <c r="I7860" s="14"/>
      <c r="J7860" s="14"/>
    </row>
    <row r="7861" spans="9:10">
      <c r="I7861" s="14"/>
      <c r="J7861" s="14"/>
    </row>
    <row r="7862" spans="9:10">
      <c r="I7862" s="14"/>
      <c r="J7862" s="14"/>
    </row>
    <row r="7863" spans="9:10">
      <c r="I7863" s="14"/>
      <c r="J7863" s="14"/>
    </row>
    <row r="7864" spans="9:10">
      <c r="I7864" s="14"/>
      <c r="J7864" s="14"/>
    </row>
    <row r="7865" spans="9:10">
      <c r="I7865" s="14"/>
      <c r="J7865" s="14"/>
    </row>
    <row r="7866" spans="9:10">
      <c r="I7866" s="14"/>
      <c r="J7866" s="14"/>
    </row>
    <row r="7867" spans="9:10">
      <c r="I7867" s="14"/>
      <c r="J7867" s="14"/>
    </row>
    <row r="7868" spans="9:10">
      <c r="I7868" s="14"/>
      <c r="J7868" s="14"/>
    </row>
    <row r="7869" spans="9:10">
      <c r="I7869" s="14"/>
      <c r="J7869" s="14"/>
    </row>
    <row r="7870" spans="9:10">
      <c r="I7870" s="14"/>
      <c r="J7870" s="14"/>
    </row>
    <row r="7871" spans="9:10">
      <c r="I7871" s="14"/>
      <c r="J7871" s="14"/>
    </row>
    <row r="7872" spans="9:10">
      <c r="I7872" s="14"/>
      <c r="J7872" s="14"/>
    </row>
    <row r="7873" spans="9:10">
      <c r="I7873" s="14"/>
      <c r="J7873" s="14"/>
    </row>
    <row r="7874" spans="9:10">
      <c r="I7874" s="14"/>
      <c r="J7874" s="14"/>
    </row>
    <row r="7875" spans="9:10">
      <c r="I7875" s="14"/>
      <c r="J7875" s="14"/>
    </row>
    <row r="7876" spans="9:10">
      <c r="I7876" s="14"/>
      <c r="J7876" s="14"/>
    </row>
    <row r="7877" spans="9:10">
      <c r="I7877" s="14"/>
      <c r="J7877" s="14"/>
    </row>
    <row r="7878" spans="9:10">
      <c r="I7878" s="14"/>
      <c r="J7878" s="14"/>
    </row>
    <row r="7879" spans="9:10">
      <c r="I7879" s="14"/>
      <c r="J7879" s="14"/>
    </row>
    <row r="7880" spans="9:10">
      <c r="I7880" s="14"/>
      <c r="J7880" s="14"/>
    </row>
    <row r="7881" spans="9:10">
      <c r="I7881" s="14"/>
      <c r="J7881" s="14"/>
    </row>
    <row r="7882" spans="9:10">
      <c r="I7882" s="14"/>
      <c r="J7882" s="14"/>
    </row>
    <row r="7883" spans="9:10">
      <c r="I7883" s="14"/>
      <c r="J7883" s="14"/>
    </row>
    <row r="7884" spans="9:10">
      <c r="I7884" s="14"/>
      <c r="J7884" s="14"/>
    </row>
    <row r="7885" spans="9:10">
      <c r="I7885" s="14"/>
      <c r="J7885" s="14"/>
    </row>
    <row r="7886" spans="9:10">
      <c r="I7886" s="14"/>
      <c r="J7886" s="14"/>
    </row>
    <row r="7887" spans="9:10">
      <c r="I7887" s="14"/>
      <c r="J7887" s="14"/>
    </row>
    <row r="7888" spans="9:10">
      <c r="I7888" s="14"/>
      <c r="J7888" s="14"/>
    </row>
    <row r="7889" spans="9:10">
      <c r="I7889" s="14"/>
      <c r="J7889" s="14"/>
    </row>
    <row r="7890" spans="9:10">
      <c r="I7890" s="14"/>
      <c r="J7890" s="14"/>
    </row>
    <row r="7891" spans="9:10">
      <c r="I7891" s="14"/>
      <c r="J7891" s="14"/>
    </row>
    <row r="7892" spans="9:10">
      <c r="I7892" s="14"/>
      <c r="J7892" s="14"/>
    </row>
    <row r="7893" spans="9:10">
      <c r="I7893" s="14"/>
      <c r="J7893" s="14"/>
    </row>
    <row r="7894" spans="9:10">
      <c r="I7894" s="14"/>
      <c r="J7894" s="14"/>
    </row>
    <row r="7895" spans="9:10">
      <c r="I7895" s="14"/>
      <c r="J7895" s="14"/>
    </row>
    <row r="7896" spans="9:10">
      <c r="I7896" s="14"/>
      <c r="J7896" s="14"/>
    </row>
    <row r="7897" spans="9:10">
      <c r="I7897" s="14"/>
      <c r="J7897" s="14"/>
    </row>
    <row r="7898" spans="9:10">
      <c r="I7898" s="14"/>
      <c r="J7898" s="14"/>
    </row>
    <row r="7899" spans="9:10">
      <c r="I7899" s="14"/>
      <c r="J7899" s="14"/>
    </row>
    <row r="7900" spans="9:10">
      <c r="I7900" s="14"/>
      <c r="J7900" s="14"/>
    </row>
    <row r="7901" spans="9:10">
      <c r="I7901" s="14"/>
      <c r="J7901" s="14"/>
    </row>
    <row r="7902" spans="9:10">
      <c r="I7902" s="14"/>
      <c r="J7902" s="14"/>
    </row>
    <row r="7903" spans="9:10">
      <c r="I7903" s="14"/>
      <c r="J7903" s="14"/>
    </row>
    <row r="7904" spans="9:10">
      <c r="I7904" s="14"/>
      <c r="J7904" s="14"/>
    </row>
    <row r="7905" spans="9:10">
      <c r="I7905" s="14"/>
      <c r="J7905" s="14"/>
    </row>
    <row r="7906" spans="9:10">
      <c r="I7906" s="14"/>
      <c r="J7906" s="14"/>
    </row>
    <row r="7907" spans="9:10">
      <c r="I7907" s="14"/>
      <c r="J7907" s="14"/>
    </row>
    <row r="7908" spans="9:10">
      <c r="I7908" s="14"/>
      <c r="J7908" s="14"/>
    </row>
    <row r="7909" spans="9:10">
      <c r="I7909" s="14"/>
      <c r="J7909" s="14"/>
    </row>
    <row r="7910" spans="9:10">
      <c r="I7910" s="14"/>
      <c r="J7910" s="14"/>
    </row>
    <row r="7911" spans="9:10">
      <c r="I7911" s="14"/>
      <c r="J7911" s="14"/>
    </row>
    <row r="7912" spans="9:10">
      <c r="I7912" s="14"/>
      <c r="J7912" s="14"/>
    </row>
    <row r="7913" spans="9:10">
      <c r="I7913" s="14"/>
      <c r="J7913" s="14"/>
    </row>
    <row r="7914" spans="9:10">
      <c r="I7914" s="14"/>
      <c r="J7914" s="14"/>
    </row>
    <row r="7915" spans="9:10">
      <c r="I7915" s="14"/>
      <c r="J7915" s="14"/>
    </row>
    <row r="7916" spans="9:10">
      <c r="I7916" s="14"/>
      <c r="J7916" s="14"/>
    </row>
    <row r="7917" spans="9:10">
      <c r="I7917" s="14"/>
      <c r="J7917" s="14"/>
    </row>
    <row r="7918" spans="9:10">
      <c r="I7918" s="14"/>
      <c r="J7918" s="14"/>
    </row>
    <row r="7919" spans="9:10">
      <c r="I7919" s="14"/>
      <c r="J7919" s="14"/>
    </row>
    <row r="7920" spans="9:10">
      <c r="I7920" s="14"/>
      <c r="J7920" s="14"/>
    </row>
    <row r="7921" spans="9:10">
      <c r="I7921" s="14"/>
      <c r="J7921" s="14"/>
    </row>
    <row r="7922" spans="9:10">
      <c r="I7922" s="14"/>
      <c r="J7922" s="14"/>
    </row>
    <row r="7923" spans="9:10">
      <c r="I7923" s="14"/>
      <c r="J7923" s="14"/>
    </row>
    <row r="7924" spans="9:10">
      <c r="I7924" s="14"/>
      <c r="J7924" s="14"/>
    </row>
    <row r="7925" spans="9:10">
      <c r="I7925" s="14"/>
      <c r="J7925" s="14"/>
    </row>
    <row r="7926" spans="9:10">
      <c r="I7926" s="14"/>
      <c r="J7926" s="14"/>
    </row>
    <row r="7927" spans="9:10">
      <c r="I7927" s="14"/>
      <c r="J7927" s="14"/>
    </row>
    <row r="7928" spans="9:10">
      <c r="I7928" s="14"/>
      <c r="J7928" s="14"/>
    </row>
    <row r="7929" spans="9:10">
      <c r="I7929" s="14"/>
      <c r="J7929" s="14"/>
    </row>
    <row r="7930" spans="9:10">
      <c r="I7930" s="14"/>
      <c r="J7930" s="14"/>
    </row>
    <row r="7931" spans="9:10">
      <c r="I7931" s="14"/>
      <c r="J7931" s="14"/>
    </row>
    <row r="7932" spans="9:10">
      <c r="I7932" s="14"/>
      <c r="J7932" s="14"/>
    </row>
    <row r="7933" spans="9:10">
      <c r="I7933" s="14"/>
      <c r="J7933" s="14"/>
    </row>
    <row r="7934" spans="9:10">
      <c r="I7934" s="14"/>
      <c r="J7934" s="14"/>
    </row>
    <row r="7935" spans="9:10">
      <c r="I7935" s="14"/>
      <c r="J7935" s="14"/>
    </row>
    <row r="7936" spans="9:10">
      <c r="I7936" s="14"/>
      <c r="J7936" s="14"/>
    </row>
    <row r="7937" spans="9:10">
      <c r="I7937" s="14"/>
      <c r="J7937" s="14"/>
    </row>
    <row r="7938" spans="9:10">
      <c r="I7938" s="14"/>
      <c r="J7938" s="14"/>
    </row>
    <row r="7939" spans="9:10">
      <c r="I7939" s="14"/>
      <c r="J7939" s="14"/>
    </row>
    <row r="7940" spans="9:10">
      <c r="I7940" s="14"/>
      <c r="J7940" s="14"/>
    </row>
    <row r="7941" spans="9:10">
      <c r="I7941" s="14"/>
      <c r="J7941" s="14"/>
    </row>
    <row r="7942" spans="9:10">
      <c r="I7942" s="14"/>
      <c r="J7942" s="14"/>
    </row>
    <row r="7943" spans="9:10">
      <c r="I7943" s="14"/>
      <c r="J7943" s="14"/>
    </row>
    <row r="7944" spans="9:10">
      <c r="I7944" s="14"/>
      <c r="J7944" s="14"/>
    </row>
    <row r="7945" spans="9:10">
      <c r="I7945" s="14"/>
      <c r="J7945" s="14"/>
    </row>
    <row r="7946" spans="9:10">
      <c r="I7946" s="14"/>
      <c r="J7946" s="14"/>
    </row>
    <row r="7947" spans="9:10">
      <c r="I7947" s="14"/>
      <c r="J7947" s="14"/>
    </row>
    <row r="7948" spans="9:10">
      <c r="I7948" s="14"/>
      <c r="J7948" s="14"/>
    </row>
    <row r="7949" spans="9:10">
      <c r="I7949" s="14"/>
      <c r="J7949" s="14"/>
    </row>
    <row r="7950" spans="9:10">
      <c r="I7950" s="14"/>
      <c r="J7950" s="14"/>
    </row>
    <row r="7951" spans="9:10">
      <c r="I7951" s="14"/>
      <c r="J7951" s="14"/>
    </row>
    <row r="7952" spans="9:10">
      <c r="I7952" s="14"/>
      <c r="J7952" s="14"/>
    </row>
    <row r="7953" spans="9:10">
      <c r="I7953" s="14"/>
      <c r="J7953" s="14"/>
    </row>
    <row r="7954" spans="9:10">
      <c r="I7954" s="14"/>
      <c r="J7954" s="14"/>
    </row>
    <row r="7955" spans="9:10">
      <c r="I7955" s="14"/>
      <c r="J7955" s="14"/>
    </row>
    <row r="7956" spans="9:10">
      <c r="I7956" s="14"/>
      <c r="J7956" s="14"/>
    </row>
    <row r="7957" spans="9:10">
      <c r="I7957" s="14"/>
      <c r="J7957" s="14"/>
    </row>
    <row r="7958" spans="9:10">
      <c r="I7958" s="14"/>
      <c r="J7958" s="14"/>
    </row>
    <row r="7959" spans="9:10">
      <c r="I7959" s="14"/>
      <c r="J7959" s="14"/>
    </row>
    <row r="7960" spans="9:10">
      <c r="I7960" s="14"/>
      <c r="J7960" s="14"/>
    </row>
    <row r="7961" spans="9:10">
      <c r="I7961" s="14"/>
      <c r="J7961" s="14"/>
    </row>
    <row r="7962" spans="9:10">
      <c r="I7962" s="14"/>
      <c r="J7962" s="14"/>
    </row>
    <row r="7963" spans="9:10">
      <c r="I7963" s="14"/>
      <c r="J7963" s="14"/>
    </row>
    <row r="7964" spans="9:10">
      <c r="I7964" s="14"/>
      <c r="J7964" s="14"/>
    </row>
    <row r="7965" spans="9:10">
      <c r="I7965" s="14"/>
      <c r="J7965" s="14"/>
    </row>
    <row r="7966" spans="9:10">
      <c r="I7966" s="14"/>
      <c r="J7966" s="14"/>
    </row>
    <row r="7967" spans="9:10">
      <c r="I7967" s="14"/>
      <c r="J7967" s="14"/>
    </row>
    <row r="7968" spans="9:10">
      <c r="I7968" s="14"/>
      <c r="J7968" s="14"/>
    </row>
    <row r="7969" spans="9:10">
      <c r="I7969" s="14"/>
      <c r="J7969" s="14"/>
    </row>
    <row r="7970" spans="9:10">
      <c r="I7970" s="14"/>
      <c r="J7970" s="14"/>
    </row>
    <row r="7971" spans="9:10">
      <c r="I7971" s="14"/>
      <c r="J7971" s="14"/>
    </row>
    <row r="7972" spans="9:10">
      <c r="I7972" s="14"/>
      <c r="J7972" s="14"/>
    </row>
    <row r="7973" spans="9:10">
      <c r="I7973" s="14"/>
      <c r="J7973" s="14"/>
    </row>
    <row r="7974" spans="9:10">
      <c r="I7974" s="14"/>
      <c r="J7974" s="14"/>
    </row>
    <row r="7975" spans="9:10">
      <c r="I7975" s="14"/>
      <c r="J7975" s="14"/>
    </row>
    <row r="7976" spans="9:10">
      <c r="I7976" s="14"/>
      <c r="J7976" s="14"/>
    </row>
    <row r="7977" spans="9:10">
      <c r="I7977" s="14"/>
      <c r="J7977" s="14"/>
    </row>
    <row r="7978" spans="9:10">
      <c r="I7978" s="14"/>
      <c r="J7978" s="14"/>
    </row>
    <row r="7979" spans="9:10">
      <c r="I7979" s="14"/>
      <c r="J7979" s="14"/>
    </row>
    <row r="7980" spans="9:10">
      <c r="I7980" s="14"/>
      <c r="J7980" s="14"/>
    </row>
    <row r="7981" spans="9:10">
      <c r="I7981" s="14"/>
      <c r="J7981" s="14"/>
    </row>
    <row r="7982" spans="9:10">
      <c r="I7982" s="14"/>
      <c r="J7982" s="14"/>
    </row>
    <row r="7983" spans="9:10">
      <c r="I7983" s="14"/>
      <c r="J7983" s="14"/>
    </row>
    <row r="7984" spans="9:10">
      <c r="I7984" s="14"/>
      <c r="J7984" s="14"/>
    </row>
    <row r="7985" spans="9:10">
      <c r="I7985" s="14"/>
      <c r="J7985" s="14"/>
    </row>
    <row r="7986" spans="9:10">
      <c r="I7986" s="14"/>
      <c r="J7986" s="14"/>
    </row>
    <row r="7987" spans="9:10">
      <c r="I7987" s="14"/>
      <c r="J7987" s="14"/>
    </row>
    <row r="7988" spans="9:10">
      <c r="I7988" s="14"/>
      <c r="J7988" s="14"/>
    </row>
    <row r="7989" spans="9:10">
      <c r="I7989" s="14"/>
      <c r="J7989" s="14"/>
    </row>
    <row r="7990" spans="9:10">
      <c r="I7990" s="14"/>
      <c r="J7990" s="14"/>
    </row>
    <row r="7991" spans="9:10">
      <c r="I7991" s="14"/>
      <c r="J7991" s="14"/>
    </row>
    <row r="7992" spans="9:10">
      <c r="I7992" s="14"/>
      <c r="J7992" s="14"/>
    </row>
    <row r="7993" spans="9:10">
      <c r="I7993" s="14"/>
      <c r="J7993" s="14"/>
    </row>
    <row r="7994" spans="9:10">
      <c r="I7994" s="14"/>
      <c r="J7994" s="14"/>
    </row>
    <row r="7995" spans="9:10">
      <c r="I7995" s="14"/>
      <c r="J7995" s="14"/>
    </row>
    <row r="7996" spans="9:10">
      <c r="I7996" s="14"/>
      <c r="J7996" s="14"/>
    </row>
    <row r="7997" spans="9:10">
      <c r="I7997" s="14"/>
      <c r="J7997" s="14"/>
    </row>
    <row r="7998" spans="9:10">
      <c r="I7998" s="14"/>
      <c r="J7998" s="14"/>
    </row>
    <row r="7999" spans="9:10">
      <c r="I7999" s="14"/>
      <c r="J7999" s="14"/>
    </row>
    <row r="8000" spans="9:10">
      <c r="I8000" s="14"/>
      <c r="J8000" s="14"/>
    </row>
    <row r="8001" spans="9:10">
      <c r="I8001" s="14"/>
      <c r="J8001" s="14"/>
    </row>
    <row r="8002" spans="9:10">
      <c r="I8002" s="14"/>
      <c r="J8002" s="14"/>
    </row>
    <row r="8003" spans="9:10">
      <c r="I8003" s="14"/>
      <c r="J8003" s="14"/>
    </row>
    <row r="8004" spans="9:10">
      <c r="I8004" s="14"/>
      <c r="J8004" s="14"/>
    </row>
    <row r="8005" spans="9:10">
      <c r="I8005" s="14"/>
      <c r="J8005" s="14"/>
    </row>
    <row r="8006" spans="9:10">
      <c r="I8006" s="14"/>
      <c r="J8006" s="14"/>
    </row>
    <row r="8007" spans="9:10">
      <c r="I8007" s="14"/>
      <c r="J8007" s="14"/>
    </row>
    <row r="8008" spans="9:10">
      <c r="I8008" s="14"/>
      <c r="J8008" s="14"/>
    </row>
    <row r="8009" spans="9:10">
      <c r="I8009" s="14"/>
      <c r="J8009" s="14"/>
    </row>
    <row r="8010" spans="9:10">
      <c r="I8010" s="14"/>
      <c r="J8010" s="14"/>
    </row>
    <row r="8011" spans="9:10">
      <c r="I8011" s="14"/>
      <c r="J8011" s="14"/>
    </row>
    <row r="8012" spans="9:10">
      <c r="I8012" s="14"/>
      <c r="J8012" s="14"/>
    </row>
    <row r="8013" spans="9:10">
      <c r="I8013" s="14"/>
      <c r="J8013" s="14"/>
    </row>
    <row r="8014" spans="9:10">
      <c r="I8014" s="14"/>
      <c r="J8014" s="14"/>
    </row>
    <row r="8015" spans="9:10">
      <c r="I8015" s="14"/>
      <c r="J8015" s="14"/>
    </row>
    <row r="8016" spans="9:10">
      <c r="I8016" s="14"/>
      <c r="J8016" s="14"/>
    </row>
    <row r="8017" spans="9:10">
      <c r="I8017" s="14"/>
      <c r="J8017" s="14"/>
    </row>
    <row r="8018" spans="9:10">
      <c r="I8018" s="14"/>
      <c r="J8018" s="14"/>
    </row>
    <row r="8019" spans="9:10">
      <c r="I8019" s="14"/>
      <c r="J8019" s="14"/>
    </row>
    <row r="8020" spans="9:10">
      <c r="I8020" s="14"/>
      <c r="J8020" s="14"/>
    </row>
    <row r="8021" spans="9:10">
      <c r="I8021" s="14"/>
      <c r="J8021" s="14"/>
    </row>
    <row r="8022" spans="9:10">
      <c r="I8022" s="14"/>
      <c r="J8022" s="14"/>
    </row>
    <row r="8023" spans="9:10">
      <c r="I8023" s="14"/>
      <c r="J8023" s="14"/>
    </row>
    <row r="8024" spans="9:10">
      <c r="I8024" s="14"/>
      <c r="J8024" s="14"/>
    </row>
    <row r="8025" spans="9:10">
      <c r="I8025" s="14"/>
      <c r="J8025" s="14"/>
    </row>
    <row r="8026" spans="9:10">
      <c r="I8026" s="14"/>
      <c r="J8026" s="14"/>
    </row>
    <row r="8027" spans="9:10">
      <c r="I8027" s="14"/>
      <c r="J8027" s="14"/>
    </row>
    <row r="8028" spans="9:10">
      <c r="I8028" s="14"/>
      <c r="J8028" s="14"/>
    </row>
    <row r="8029" spans="9:10">
      <c r="I8029" s="14"/>
      <c r="J8029" s="14"/>
    </row>
    <row r="8030" spans="9:10">
      <c r="I8030" s="14"/>
      <c r="J8030" s="14"/>
    </row>
    <row r="8031" spans="9:10">
      <c r="I8031" s="14"/>
      <c r="J8031" s="14"/>
    </row>
    <row r="8032" spans="9:10">
      <c r="I8032" s="14"/>
      <c r="J8032" s="14"/>
    </row>
    <row r="8033" spans="9:10">
      <c r="I8033" s="14"/>
      <c r="J8033" s="14"/>
    </row>
    <row r="8034" spans="9:10">
      <c r="I8034" s="14"/>
      <c r="J8034" s="14"/>
    </row>
    <row r="8035" spans="9:10">
      <c r="I8035" s="14"/>
      <c r="J8035" s="14"/>
    </row>
    <row r="8036" spans="9:10">
      <c r="I8036" s="14"/>
      <c r="J8036" s="14"/>
    </row>
    <row r="8037" spans="9:10">
      <c r="I8037" s="14"/>
      <c r="J8037" s="14"/>
    </row>
    <row r="8038" spans="9:10">
      <c r="I8038" s="14"/>
      <c r="J8038" s="14"/>
    </row>
    <row r="8039" spans="9:10">
      <c r="I8039" s="14"/>
      <c r="J8039" s="14"/>
    </row>
    <row r="8040" spans="9:10">
      <c r="I8040" s="14"/>
      <c r="J8040" s="14"/>
    </row>
    <row r="8041" spans="9:10">
      <c r="I8041" s="14"/>
      <c r="J8041" s="14"/>
    </row>
    <row r="8042" spans="9:10">
      <c r="I8042" s="14"/>
      <c r="J8042" s="14"/>
    </row>
    <row r="8043" spans="9:10">
      <c r="I8043" s="14"/>
      <c r="J8043" s="14"/>
    </row>
    <row r="8044" spans="9:10">
      <c r="I8044" s="14"/>
      <c r="J8044" s="14"/>
    </row>
    <row r="8045" spans="9:10">
      <c r="I8045" s="14"/>
      <c r="J8045" s="14"/>
    </row>
    <row r="8046" spans="9:10">
      <c r="I8046" s="14"/>
      <c r="J8046" s="14"/>
    </row>
    <row r="8047" spans="9:10">
      <c r="I8047" s="14"/>
      <c r="J8047" s="14"/>
    </row>
    <row r="8048" spans="9:10">
      <c r="I8048" s="14"/>
      <c r="J8048" s="14"/>
    </row>
    <row r="8049" spans="9:10">
      <c r="I8049" s="14"/>
      <c r="J8049" s="14"/>
    </row>
    <row r="8050" spans="9:10">
      <c r="I8050" s="14"/>
      <c r="J8050" s="14"/>
    </row>
    <row r="8051" spans="9:10">
      <c r="I8051" s="14"/>
      <c r="J8051" s="14"/>
    </row>
    <row r="8052" spans="9:10">
      <c r="I8052" s="14"/>
      <c r="J8052" s="14"/>
    </row>
    <row r="8053" spans="9:10">
      <c r="I8053" s="14"/>
      <c r="J8053" s="14"/>
    </row>
    <row r="8054" spans="9:10">
      <c r="I8054" s="14"/>
      <c r="J8054" s="14"/>
    </row>
    <row r="8055" spans="9:10">
      <c r="I8055" s="14"/>
      <c r="J8055" s="14"/>
    </row>
    <row r="8056" spans="9:10">
      <c r="I8056" s="14"/>
      <c r="J8056" s="14"/>
    </row>
    <row r="8057" spans="9:10">
      <c r="I8057" s="14"/>
      <c r="J8057" s="14"/>
    </row>
    <row r="8058" spans="9:10">
      <c r="I8058" s="14"/>
      <c r="J8058" s="14"/>
    </row>
    <row r="8059" spans="9:10">
      <c r="I8059" s="14"/>
      <c r="J8059" s="14"/>
    </row>
    <row r="8060" spans="9:10">
      <c r="I8060" s="14"/>
      <c r="J8060" s="14"/>
    </row>
    <row r="8061" spans="9:10">
      <c r="I8061" s="14"/>
      <c r="J8061" s="14"/>
    </row>
    <row r="8062" spans="9:10">
      <c r="I8062" s="14"/>
      <c r="J8062" s="14"/>
    </row>
    <row r="8063" spans="9:10">
      <c r="I8063" s="14"/>
      <c r="J8063" s="14"/>
    </row>
    <row r="8064" spans="9:10">
      <c r="I8064" s="14"/>
      <c r="J8064" s="14"/>
    </row>
    <row r="8065" spans="9:10">
      <c r="I8065" s="14"/>
      <c r="J8065" s="14"/>
    </row>
    <row r="8066" spans="9:10">
      <c r="I8066" s="14"/>
      <c r="J8066" s="14"/>
    </row>
    <row r="8067" spans="9:10">
      <c r="I8067" s="14"/>
      <c r="J8067" s="14"/>
    </row>
    <row r="8068" spans="9:10">
      <c r="I8068" s="14"/>
      <c r="J8068" s="14"/>
    </row>
    <row r="8069" spans="9:10">
      <c r="I8069" s="14"/>
      <c r="J8069" s="14"/>
    </row>
    <row r="8070" spans="9:10">
      <c r="I8070" s="14"/>
      <c r="J8070" s="14"/>
    </row>
    <row r="8071" spans="9:10">
      <c r="I8071" s="14"/>
      <c r="J8071" s="14"/>
    </row>
    <row r="8072" spans="9:10">
      <c r="I8072" s="14"/>
      <c r="J8072" s="14"/>
    </row>
    <row r="8073" spans="9:10">
      <c r="I8073" s="14"/>
      <c r="J8073" s="14"/>
    </row>
    <row r="8074" spans="9:10">
      <c r="I8074" s="14"/>
      <c r="J8074" s="14"/>
    </row>
    <row r="8075" spans="9:10">
      <c r="I8075" s="14"/>
      <c r="J8075" s="14"/>
    </row>
    <row r="8076" spans="9:10">
      <c r="I8076" s="14"/>
      <c r="J8076" s="14"/>
    </row>
    <row r="8077" spans="9:10">
      <c r="I8077" s="14"/>
      <c r="J8077" s="14"/>
    </row>
    <row r="8078" spans="9:10">
      <c r="I8078" s="14"/>
      <c r="J8078" s="14"/>
    </row>
    <row r="8079" spans="9:10">
      <c r="I8079" s="14"/>
      <c r="J8079" s="14"/>
    </row>
    <row r="8080" spans="9:10">
      <c r="I8080" s="14"/>
      <c r="J8080" s="14"/>
    </row>
    <row r="8081" spans="9:10">
      <c r="I8081" s="14"/>
      <c r="J8081" s="14"/>
    </row>
    <row r="8082" spans="9:10">
      <c r="I8082" s="14"/>
      <c r="J8082" s="14"/>
    </row>
    <row r="8083" spans="9:10">
      <c r="I8083" s="14"/>
      <c r="J8083" s="14"/>
    </row>
    <row r="8084" spans="9:10">
      <c r="I8084" s="14"/>
      <c r="J8084" s="14"/>
    </row>
    <row r="8085" spans="9:10">
      <c r="I8085" s="14"/>
      <c r="J8085" s="14"/>
    </row>
    <row r="8086" spans="9:10">
      <c r="I8086" s="14"/>
      <c r="J8086" s="14"/>
    </row>
    <row r="8087" spans="9:10">
      <c r="I8087" s="14"/>
      <c r="J8087" s="14"/>
    </row>
    <row r="8088" spans="9:10">
      <c r="I8088" s="14"/>
      <c r="J8088" s="14"/>
    </row>
    <row r="8089" spans="9:10">
      <c r="I8089" s="14"/>
      <c r="J8089" s="14"/>
    </row>
    <row r="8090" spans="9:10">
      <c r="I8090" s="14"/>
      <c r="J8090" s="14"/>
    </row>
    <row r="8091" spans="9:10">
      <c r="I8091" s="14"/>
      <c r="J8091" s="14"/>
    </row>
    <row r="8092" spans="9:10">
      <c r="I8092" s="14"/>
      <c r="J8092" s="14"/>
    </row>
    <row r="8093" spans="9:10">
      <c r="I8093" s="14"/>
      <c r="J8093" s="14"/>
    </row>
    <row r="8094" spans="9:10">
      <c r="I8094" s="14"/>
      <c r="J8094" s="14"/>
    </row>
    <row r="8095" spans="9:10">
      <c r="I8095" s="14"/>
      <c r="J8095" s="14"/>
    </row>
    <row r="8096" spans="9:10">
      <c r="I8096" s="14"/>
      <c r="J8096" s="14"/>
    </row>
    <row r="8097" spans="9:10">
      <c r="I8097" s="14"/>
      <c r="J8097" s="14"/>
    </row>
    <row r="8098" spans="9:10">
      <c r="I8098" s="14"/>
      <c r="J8098" s="14"/>
    </row>
    <row r="8099" spans="9:10">
      <c r="I8099" s="14"/>
      <c r="J8099" s="14"/>
    </row>
    <row r="8100" spans="9:10">
      <c r="I8100" s="14"/>
      <c r="J8100" s="14"/>
    </row>
    <row r="8101" spans="9:10">
      <c r="I8101" s="14"/>
      <c r="J8101" s="14"/>
    </row>
    <row r="8102" spans="9:10">
      <c r="I8102" s="14"/>
      <c r="J8102" s="14"/>
    </row>
    <row r="8103" spans="9:10">
      <c r="I8103" s="14"/>
      <c r="J8103" s="14"/>
    </row>
    <row r="8104" spans="9:10">
      <c r="I8104" s="14"/>
      <c r="J8104" s="14"/>
    </row>
    <row r="8105" spans="9:10">
      <c r="I8105" s="14"/>
      <c r="J8105" s="14"/>
    </row>
    <row r="8106" spans="9:10">
      <c r="I8106" s="14"/>
      <c r="J8106" s="14"/>
    </row>
    <row r="8107" spans="9:10">
      <c r="I8107" s="14"/>
      <c r="J8107" s="14"/>
    </row>
    <row r="8108" spans="9:10">
      <c r="I8108" s="14"/>
      <c r="J8108" s="14"/>
    </row>
    <row r="8109" spans="9:10">
      <c r="I8109" s="14"/>
      <c r="J8109" s="14"/>
    </row>
    <row r="8110" spans="9:10">
      <c r="I8110" s="14"/>
      <c r="J8110" s="14"/>
    </row>
    <row r="8111" spans="9:10">
      <c r="I8111" s="14"/>
      <c r="J8111" s="14"/>
    </row>
    <row r="8112" spans="9:10">
      <c r="I8112" s="14"/>
      <c r="J8112" s="14"/>
    </row>
    <row r="8113" spans="9:10">
      <c r="I8113" s="14"/>
      <c r="J8113" s="14"/>
    </row>
    <row r="8114" spans="9:10">
      <c r="I8114" s="14"/>
      <c r="J8114" s="14"/>
    </row>
    <row r="8115" spans="9:10">
      <c r="I8115" s="14"/>
      <c r="J8115" s="14"/>
    </row>
    <row r="8116" spans="9:10">
      <c r="I8116" s="14"/>
      <c r="J8116" s="14"/>
    </row>
    <row r="8117" spans="9:10">
      <c r="I8117" s="14"/>
      <c r="J8117" s="14"/>
    </row>
    <row r="8118" spans="9:10">
      <c r="I8118" s="14"/>
      <c r="J8118" s="14"/>
    </row>
    <row r="8119" spans="9:10">
      <c r="I8119" s="14"/>
      <c r="J8119" s="14"/>
    </row>
    <row r="8120" spans="9:10">
      <c r="I8120" s="14"/>
      <c r="J8120" s="14"/>
    </row>
    <row r="8121" spans="9:10">
      <c r="I8121" s="14"/>
      <c r="J8121" s="14"/>
    </row>
    <row r="8122" spans="9:10">
      <c r="I8122" s="14"/>
      <c r="J8122" s="14"/>
    </row>
    <row r="8123" spans="9:10">
      <c r="I8123" s="14"/>
      <c r="J8123" s="14"/>
    </row>
    <row r="8124" spans="9:10">
      <c r="I8124" s="14"/>
      <c r="J8124" s="14"/>
    </row>
    <row r="8125" spans="9:10">
      <c r="I8125" s="14"/>
      <c r="J8125" s="14"/>
    </row>
    <row r="8126" spans="9:10">
      <c r="I8126" s="14"/>
      <c r="J8126" s="14"/>
    </row>
    <row r="8127" spans="9:10">
      <c r="I8127" s="14"/>
      <c r="J8127" s="14"/>
    </row>
    <row r="8128" spans="9:10">
      <c r="I8128" s="14"/>
      <c r="J8128" s="14"/>
    </row>
    <row r="8129" spans="9:10">
      <c r="I8129" s="14"/>
      <c r="J8129" s="14"/>
    </row>
    <row r="8130" spans="9:10">
      <c r="I8130" s="14"/>
      <c r="J8130" s="14"/>
    </row>
    <row r="8131" spans="9:10">
      <c r="I8131" s="14"/>
      <c r="J8131" s="14"/>
    </row>
    <row r="8132" spans="9:10">
      <c r="I8132" s="14"/>
      <c r="J8132" s="14"/>
    </row>
    <row r="8133" spans="9:10">
      <c r="I8133" s="14"/>
      <c r="J8133" s="14"/>
    </row>
    <row r="8134" spans="9:10">
      <c r="I8134" s="14"/>
      <c r="J8134" s="14"/>
    </row>
    <row r="8135" spans="9:10">
      <c r="I8135" s="14"/>
      <c r="J8135" s="14"/>
    </row>
    <row r="8136" spans="9:10">
      <c r="I8136" s="14"/>
      <c r="J8136" s="14"/>
    </row>
    <row r="8137" spans="9:10">
      <c r="I8137" s="14"/>
      <c r="J8137" s="14"/>
    </row>
    <row r="8138" spans="9:10">
      <c r="I8138" s="14"/>
      <c r="J8138" s="14"/>
    </row>
    <row r="8139" spans="9:10">
      <c r="I8139" s="14"/>
      <c r="J8139" s="14"/>
    </row>
    <row r="8140" spans="9:10">
      <c r="I8140" s="14"/>
      <c r="J8140" s="14"/>
    </row>
    <row r="8141" spans="9:10">
      <c r="I8141" s="14"/>
      <c r="J8141" s="14"/>
    </row>
    <row r="8142" spans="9:10">
      <c r="I8142" s="14"/>
      <c r="J8142" s="14"/>
    </row>
    <row r="8143" spans="9:10">
      <c r="I8143" s="14"/>
      <c r="J8143" s="14"/>
    </row>
    <row r="8144" spans="9:10">
      <c r="I8144" s="14"/>
      <c r="J8144" s="14"/>
    </row>
    <row r="8145" spans="9:10">
      <c r="I8145" s="14"/>
      <c r="J8145" s="14"/>
    </row>
    <row r="8146" spans="9:10">
      <c r="I8146" s="14"/>
      <c r="J8146" s="14"/>
    </row>
    <row r="8147" spans="9:10">
      <c r="I8147" s="14"/>
      <c r="J8147" s="14"/>
    </row>
    <row r="8148" spans="9:10">
      <c r="I8148" s="14"/>
      <c r="J8148" s="14"/>
    </row>
    <row r="8149" spans="9:10">
      <c r="I8149" s="14"/>
      <c r="J8149" s="14"/>
    </row>
    <row r="8150" spans="9:10">
      <c r="I8150" s="14"/>
      <c r="J8150" s="14"/>
    </row>
    <row r="8151" spans="9:10">
      <c r="I8151" s="14"/>
      <c r="J8151" s="14"/>
    </row>
    <row r="8152" spans="9:10">
      <c r="I8152" s="14"/>
      <c r="J8152" s="14"/>
    </row>
    <row r="8153" spans="9:10">
      <c r="I8153" s="14"/>
      <c r="J8153" s="14"/>
    </row>
    <row r="8154" spans="9:10">
      <c r="I8154" s="14"/>
      <c r="J8154" s="14"/>
    </row>
    <row r="8155" spans="9:10">
      <c r="I8155" s="14"/>
      <c r="J8155" s="14"/>
    </row>
    <row r="8156" spans="9:10">
      <c r="I8156" s="14"/>
      <c r="J8156" s="14"/>
    </row>
    <row r="8157" spans="9:10">
      <c r="I8157" s="14"/>
      <c r="J8157" s="14"/>
    </row>
    <row r="8158" spans="9:10">
      <c r="I8158" s="14"/>
      <c r="J8158" s="14"/>
    </row>
    <row r="8159" spans="9:10">
      <c r="I8159" s="14"/>
      <c r="J8159" s="14"/>
    </row>
    <row r="8160" spans="9:10">
      <c r="I8160" s="14"/>
      <c r="J8160" s="14"/>
    </row>
    <row r="8161" spans="9:10">
      <c r="I8161" s="14"/>
      <c r="J8161" s="14"/>
    </row>
    <row r="8162" spans="9:10">
      <c r="I8162" s="14"/>
      <c r="J8162" s="14"/>
    </row>
    <row r="8163" spans="9:10">
      <c r="I8163" s="14"/>
      <c r="J8163" s="14"/>
    </row>
    <row r="8164" spans="9:10">
      <c r="I8164" s="14"/>
      <c r="J8164" s="14"/>
    </row>
    <row r="8165" spans="9:10">
      <c r="I8165" s="14"/>
      <c r="J8165" s="14"/>
    </row>
    <row r="8166" spans="9:10">
      <c r="I8166" s="14"/>
      <c r="J8166" s="14"/>
    </row>
    <row r="8167" spans="9:10">
      <c r="I8167" s="14"/>
      <c r="J8167" s="14"/>
    </row>
    <row r="8168" spans="9:10">
      <c r="I8168" s="14"/>
      <c r="J8168" s="14"/>
    </row>
    <row r="8169" spans="9:10">
      <c r="I8169" s="14"/>
      <c r="J8169" s="14"/>
    </row>
    <row r="8170" spans="9:10">
      <c r="I8170" s="14"/>
      <c r="J8170" s="14"/>
    </row>
    <row r="8171" spans="9:10">
      <c r="I8171" s="14"/>
      <c r="J8171" s="14"/>
    </row>
    <row r="8172" spans="9:10">
      <c r="I8172" s="14"/>
      <c r="J8172" s="14"/>
    </row>
    <row r="8173" spans="9:10">
      <c r="I8173" s="14"/>
      <c r="J8173" s="14"/>
    </row>
    <row r="8174" spans="9:10">
      <c r="I8174" s="14"/>
      <c r="J8174" s="14"/>
    </row>
    <row r="8175" spans="9:10">
      <c r="I8175" s="14"/>
      <c r="J8175" s="14"/>
    </row>
    <row r="8176" spans="9:10">
      <c r="I8176" s="14"/>
      <c r="J8176" s="14"/>
    </row>
    <row r="8177" spans="9:10">
      <c r="I8177" s="14"/>
      <c r="J8177" s="14"/>
    </row>
    <row r="8178" spans="9:10">
      <c r="I8178" s="14"/>
      <c r="J8178" s="14"/>
    </row>
    <row r="8179" spans="9:10">
      <c r="I8179" s="14"/>
      <c r="J8179" s="14"/>
    </row>
    <row r="8180" spans="9:10">
      <c r="I8180" s="14"/>
      <c r="J8180" s="14"/>
    </row>
    <row r="8181" spans="9:10">
      <c r="I8181" s="14"/>
      <c r="J8181" s="14"/>
    </row>
    <row r="8182" spans="9:10">
      <c r="I8182" s="14"/>
      <c r="J8182" s="14"/>
    </row>
    <row r="8183" spans="9:10">
      <c r="I8183" s="14"/>
      <c r="J8183" s="14"/>
    </row>
    <row r="8184" spans="9:10">
      <c r="I8184" s="14"/>
      <c r="J8184" s="14"/>
    </row>
    <row r="8185" spans="9:10">
      <c r="I8185" s="14"/>
      <c r="J8185" s="14"/>
    </row>
    <row r="8186" spans="9:10">
      <c r="I8186" s="14"/>
      <c r="J8186" s="14"/>
    </row>
    <row r="8187" spans="9:10">
      <c r="I8187" s="14"/>
      <c r="J8187" s="14"/>
    </row>
    <row r="8188" spans="9:10">
      <c r="I8188" s="14"/>
      <c r="J8188" s="14"/>
    </row>
    <row r="8189" spans="9:10">
      <c r="I8189" s="14"/>
      <c r="J8189" s="14"/>
    </row>
    <row r="8190" spans="9:10">
      <c r="I8190" s="14"/>
      <c r="J8190" s="14"/>
    </row>
    <row r="8191" spans="9:10">
      <c r="I8191" s="14"/>
      <c r="J8191" s="14"/>
    </row>
    <row r="8192" spans="9:10">
      <c r="I8192" s="14"/>
      <c r="J8192" s="14"/>
    </row>
    <row r="8193" spans="9:10">
      <c r="I8193" s="14"/>
      <c r="J8193" s="14"/>
    </row>
    <row r="8194" spans="9:10">
      <c r="I8194" s="14"/>
      <c r="J8194" s="14"/>
    </row>
    <row r="8195" spans="9:10">
      <c r="I8195" s="14"/>
      <c r="J8195" s="14"/>
    </row>
    <row r="8196" spans="9:10">
      <c r="I8196" s="14"/>
      <c r="J8196" s="14"/>
    </row>
    <row r="8197" spans="9:10">
      <c r="I8197" s="14"/>
      <c r="J8197" s="14"/>
    </row>
    <row r="8198" spans="9:10">
      <c r="I8198" s="14"/>
      <c r="J8198" s="14"/>
    </row>
    <row r="8199" spans="9:10">
      <c r="I8199" s="14"/>
      <c r="J8199" s="14"/>
    </row>
    <row r="8200" spans="9:10">
      <c r="I8200" s="14"/>
      <c r="J8200" s="14"/>
    </row>
    <row r="8201" spans="9:10">
      <c r="I8201" s="14"/>
      <c r="J8201" s="14"/>
    </row>
    <row r="8202" spans="9:10">
      <c r="I8202" s="14"/>
      <c r="J8202" s="14"/>
    </row>
    <row r="8203" spans="9:10">
      <c r="I8203" s="14"/>
      <c r="J8203" s="14"/>
    </row>
    <row r="8204" spans="9:10">
      <c r="I8204" s="14"/>
      <c r="J8204" s="14"/>
    </row>
    <row r="8205" spans="9:10">
      <c r="I8205" s="14"/>
      <c r="J8205" s="14"/>
    </row>
    <row r="8206" spans="9:10">
      <c r="I8206" s="14"/>
      <c r="J8206" s="14"/>
    </row>
    <row r="8207" spans="9:10">
      <c r="I8207" s="14"/>
      <c r="J8207" s="14"/>
    </row>
    <row r="8208" spans="9:10">
      <c r="I8208" s="14"/>
      <c r="J8208" s="14"/>
    </row>
    <row r="8209" spans="9:10">
      <c r="I8209" s="14"/>
      <c r="J8209" s="14"/>
    </row>
    <row r="8210" spans="9:10">
      <c r="I8210" s="14"/>
      <c r="J8210" s="14"/>
    </row>
    <row r="8211" spans="9:10">
      <c r="I8211" s="14"/>
      <c r="J8211" s="14"/>
    </row>
    <row r="8212" spans="9:10">
      <c r="I8212" s="14"/>
      <c r="J8212" s="14"/>
    </row>
    <row r="8213" spans="9:10">
      <c r="I8213" s="14"/>
      <c r="J8213" s="14"/>
    </row>
    <row r="8214" spans="9:10">
      <c r="I8214" s="14"/>
      <c r="J8214" s="14"/>
    </row>
    <row r="8215" spans="9:10">
      <c r="I8215" s="14"/>
      <c r="J8215" s="14"/>
    </row>
    <row r="8216" spans="9:10">
      <c r="I8216" s="14"/>
      <c r="J8216" s="14"/>
    </row>
    <row r="8217" spans="9:10">
      <c r="I8217" s="14"/>
      <c r="J8217" s="14"/>
    </row>
    <row r="8218" spans="9:10">
      <c r="I8218" s="14"/>
      <c r="J8218" s="14"/>
    </row>
    <row r="8219" spans="9:10">
      <c r="I8219" s="14"/>
      <c r="J8219" s="14"/>
    </row>
    <row r="8220" spans="9:10">
      <c r="I8220" s="14"/>
      <c r="J8220" s="14"/>
    </row>
    <row r="8221" spans="9:10">
      <c r="I8221" s="14"/>
      <c r="J8221" s="14"/>
    </row>
    <row r="8222" spans="9:10">
      <c r="I8222" s="14"/>
      <c r="J8222" s="14"/>
    </row>
    <row r="8223" spans="9:10">
      <c r="I8223" s="14"/>
      <c r="J8223" s="14"/>
    </row>
    <row r="8224" spans="9:10">
      <c r="I8224" s="14"/>
      <c r="J8224" s="14"/>
    </row>
    <row r="8225" spans="9:10">
      <c r="I8225" s="14"/>
      <c r="J8225" s="14"/>
    </row>
    <row r="8226" spans="9:10">
      <c r="I8226" s="14"/>
      <c r="J8226" s="14"/>
    </row>
    <row r="8227" spans="9:10">
      <c r="I8227" s="14"/>
      <c r="J8227" s="14"/>
    </row>
    <row r="8228" spans="9:10">
      <c r="I8228" s="14"/>
      <c r="J8228" s="14"/>
    </row>
    <row r="8229" spans="9:10">
      <c r="I8229" s="14"/>
      <c r="J8229" s="14"/>
    </row>
    <row r="8230" spans="9:10">
      <c r="I8230" s="14"/>
      <c r="J8230" s="14"/>
    </row>
    <row r="8231" spans="9:10">
      <c r="I8231" s="14"/>
      <c r="J8231" s="14"/>
    </row>
    <row r="8232" spans="9:10">
      <c r="I8232" s="14"/>
      <c r="J8232" s="14"/>
    </row>
    <row r="8233" spans="9:10">
      <c r="I8233" s="14"/>
      <c r="J8233" s="14"/>
    </row>
    <row r="8234" spans="9:10">
      <c r="I8234" s="14"/>
      <c r="J8234" s="14"/>
    </row>
    <row r="8235" spans="9:10">
      <c r="I8235" s="14"/>
      <c r="J8235" s="14"/>
    </row>
    <row r="8236" spans="9:10">
      <c r="I8236" s="14"/>
      <c r="J8236" s="14"/>
    </row>
    <row r="8237" spans="9:10">
      <c r="I8237" s="14"/>
      <c r="J8237" s="14"/>
    </row>
    <row r="8238" spans="9:10">
      <c r="I8238" s="14"/>
      <c r="J8238" s="14"/>
    </row>
    <row r="8239" spans="9:10">
      <c r="I8239" s="14"/>
      <c r="J8239" s="14"/>
    </row>
    <row r="8240" spans="9:10">
      <c r="I8240" s="14"/>
      <c r="J8240" s="14"/>
    </row>
    <row r="8241" spans="9:10">
      <c r="I8241" s="14"/>
      <c r="J8241" s="14"/>
    </row>
    <row r="8242" spans="9:10">
      <c r="I8242" s="14"/>
      <c r="J8242" s="14"/>
    </row>
    <row r="8243" spans="9:10">
      <c r="I8243" s="14"/>
      <c r="J8243" s="14"/>
    </row>
    <row r="8244" spans="9:10">
      <c r="I8244" s="14"/>
      <c r="J8244" s="14"/>
    </row>
    <row r="8245" spans="9:10">
      <c r="I8245" s="14"/>
      <c r="J8245" s="14"/>
    </row>
    <row r="8246" spans="9:10">
      <c r="I8246" s="14"/>
      <c r="J8246" s="14"/>
    </row>
    <row r="8247" spans="9:10">
      <c r="I8247" s="14"/>
      <c r="J8247" s="14"/>
    </row>
    <row r="8248" spans="9:10">
      <c r="I8248" s="14"/>
      <c r="J8248" s="14"/>
    </row>
    <row r="8249" spans="9:10">
      <c r="I8249" s="14"/>
      <c r="J8249" s="14"/>
    </row>
    <row r="8250" spans="9:10">
      <c r="I8250" s="14"/>
      <c r="J8250" s="14"/>
    </row>
    <row r="8251" spans="9:10">
      <c r="I8251" s="14"/>
      <c r="J8251" s="14"/>
    </row>
    <row r="8252" spans="9:10">
      <c r="I8252" s="14"/>
      <c r="J8252" s="14"/>
    </row>
    <row r="8253" spans="9:10">
      <c r="I8253" s="14"/>
      <c r="J8253" s="14"/>
    </row>
    <row r="8254" spans="9:10">
      <c r="I8254" s="14"/>
      <c r="J8254" s="14"/>
    </row>
    <row r="8255" spans="9:10">
      <c r="I8255" s="14"/>
      <c r="J8255" s="14"/>
    </row>
    <row r="8256" spans="9:10">
      <c r="I8256" s="14"/>
      <c r="J8256" s="14"/>
    </row>
    <row r="8257" spans="9:10">
      <c r="I8257" s="14"/>
      <c r="J8257" s="14"/>
    </row>
    <row r="8258" spans="9:10">
      <c r="I8258" s="14"/>
      <c r="J8258" s="14"/>
    </row>
    <row r="8259" spans="9:10">
      <c r="I8259" s="14"/>
      <c r="J8259" s="14"/>
    </row>
    <row r="8260" spans="9:10">
      <c r="I8260" s="14"/>
      <c r="J8260" s="14"/>
    </row>
    <row r="8261" spans="9:10">
      <c r="I8261" s="14"/>
      <c r="J8261" s="14"/>
    </row>
    <row r="8262" spans="9:10">
      <c r="I8262" s="14"/>
      <c r="J8262" s="14"/>
    </row>
    <row r="8263" spans="9:10">
      <c r="I8263" s="14"/>
      <c r="J8263" s="14"/>
    </row>
    <row r="8264" spans="9:10">
      <c r="I8264" s="14"/>
      <c r="J8264" s="14"/>
    </row>
    <row r="8265" spans="9:10">
      <c r="I8265" s="14"/>
      <c r="J8265" s="14"/>
    </row>
    <row r="8266" spans="9:10">
      <c r="I8266" s="14"/>
      <c r="J8266" s="14"/>
    </row>
    <row r="8267" spans="9:10">
      <c r="I8267" s="14"/>
      <c r="J8267" s="14"/>
    </row>
    <row r="8268" spans="9:10">
      <c r="I8268" s="14"/>
      <c r="J8268" s="14"/>
    </row>
    <row r="8269" spans="9:10">
      <c r="I8269" s="14"/>
      <c r="J8269" s="14"/>
    </row>
    <row r="8270" spans="9:10">
      <c r="I8270" s="14"/>
      <c r="J8270" s="14"/>
    </row>
    <row r="8271" spans="9:10">
      <c r="I8271" s="14"/>
      <c r="J8271" s="14"/>
    </row>
    <row r="8272" spans="9:10">
      <c r="I8272" s="14"/>
      <c r="J8272" s="14"/>
    </row>
    <row r="8273" spans="9:10">
      <c r="I8273" s="14"/>
      <c r="J8273" s="14"/>
    </row>
    <row r="8274" spans="9:10">
      <c r="I8274" s="14"/>
      <c r="J8274" s="14"/>
    </row>
    <row r="8275" spans="9:10">
      <c r="I8275" s="14"/>
      <c r="J8275" s="14"/>
    </row>
    <row r="8276" spans="9:10">
      <c r="I8276" s="14"/>
      <c r="J8276" s="14"/>
    </row>
    <row r="8277" spans="9:10">
      <c r="I8277" s="14"/>
      <c r="J8277" s="14"/>
    </row>
    <row r="8278" spans="9:10">
      <c r="I8278" s="14"/>
      <c r="J8278" s="14"/>
    </row>
    <row r="8279" spans="9:10">
      <c r="I8279" s="14"/>
      <c r="J8279" s="14"/>
    </row>
    <row r="8280" spans="9:10">
      <c r="I8280" s="14"/>
      <c r="J8280" s="14"/>
    </row>
    <row r="8281" spans="9:10">
      <c r="I8281" s="14"/>
      <c r="J8281" s="14"/>
    </row>
    <row r="8282" spans="9:10">
      <c r="I8282" s="14"/>
      <c r="J8282" s="14"/>
    </row>
    <row r="8283" spans="9:10">
      <c r="I8283" s="14"/>
      <c r="J8283" s="14"/>
    </row>
    <row r="8284" spans="9:10">
      <c r="I8284" s="14"/>
      <c r="J8284" s="14"/>
    </row>
    <row r="8285" spans="9:10">
      <c r="I8285" s="14"/>
      <c r="J8285" s="14"/>
    </row>
    <row r="8286" spans="9:10">
      <c r="I8286" s="14"/>
      <c r="J8286" s="14"/>
    </row>
    <row r="8287" spans="9:10">
      <c r="I8287" s="14"/>
      <c r="J8287" s="14"/>
    </row>
    <row r="8288" spans="9:10">
      <c r="I8288" s="14"/>
      <c r="J8288" s="14"/>
    </row>
    <row r="8289" spans="9:10">
      <c r="I8289" s="14"/>
      <c r="J8289" s="14"/>
    </row>
    <row r="8290" spans="9:10">
      <c r="I8290" s="14"/>
      <c r="J8290" s="14"/>
    </row>
    <row r="8291" spans="9:10">
      <c r="I8291" s="14"/>
      <c r="J8291" s="14"/>
    </row>
    <row r="8292" spans="9:10">
      <c r="I8292" s="14"/>
      <c r="J8292" s="14"/>
    </row>
    <row r="8293" spans="9:10">
      <c r="I8293" s="14"/>
      <c r="J8293" s="14"/>
    </row>
    <row r="8294" spans="9:10">
      <c r="I8294" s="14"/>
      <c r="J8294" s="14"/>
    </row>
    <row r="8295" spans="9:10">
      <c r="I8295" s="14"/>
      <c r="J8295" s="14"/>
    </row>
    <row r="8296" spans="9:10">
      <c r="I8296" s="14"/>
      <c r="J8296" s="14"/>
    </row>
    <row r="8297" spans="9:10">
      <c r="I8297" s="14"/>
      <c r="J8297" s="14"/>
    </row>
    <row r="8298" spans="9:10">
      <c r="I8298" s="14"/>
      <c r="J8298" s="14"/>
    </row>
    <row r="8299" spans="9:10">
      <c r="I8299" s="14"/>
      <c r="J8299" s="14"/>
    </row>
    <row r="8300" spans="9:10">
      <c r="I8300" s="14"/>
      <c r="J8300" s="14"/>
    </row>
    <row r="8301" spans="9:10">
      <c r="I8301" s="14"/>
      <c r="J8301" s="14"/>
    </row>
    <row r="8302" spans="9:10">
      <c r="I8302" s="14"/>
      <c r="J8302" s="14"/>
    </row>
    <row r="8303" spans="9:10">
      <c r="I8303" s="14"/>
      <c r="J8303" s="14"/>
    </row>
    <row r="8304" spans="9:10">
      <c r="I8304" s="14"/>
      <c r="J8304" s="14"/>
    </row>
    <row r="8305" spans="9:10">
      <c r="I8305" s="14"/>
      <c r="J8305" s="14"/>
    </row>
    <row r="8306" spans="9:10">
      <c r="I8306" s="14"/>
      <c r="J8306" s="14"/>
    </row>
    <row r="8307" spans="9:10">
      <c r="I8307" s="14"/>
      <c r="J8307" s="14"/>
    </row>
    <row r="8308" spans="9:10">
      <c r="I8308" s="14"/>
      <c r="J8308" s="14"/>
    </row>
    <row r="8309" spans="9:10">
      <c r="I8309" s="14"/>
      <c r="J8309" s="14"/>
    </row>
    <row r="8310" spans="9:10">
      <c r="I8310" s="14"/>
      <c r="J8310" s="14"/>
    </row>
    <row r="8311" spans="9:10">
      <c r="I8311" s="14"/>
      <c r="J8311" s="14"/>
    </row>
    <row r="8312" spans="9:10">
      <c r="I8312" s="14"/>
      <c r="J8312" s="14"/>
    </row>
    <row r="8313" spans="9:10">
      <c r="I8313" s="14"/>
      <c r="J8313" s="14"/>
    </row>
    <row r="8314" spans="9:10">
      <c r="I8314" s="14"/>
      <c r="J8314" s="14"/>
    </row>
    <row r="8315" spans="9:10">
      <c r="I8315" s="14"/>
      <c r="J8315" s="14"/>
    </row>
    <row r="8316" spans="9:10">
      <c r="I8316" s="14"/>
      <c r="J8316" s="14"/>
    </row>
    <row r="8317" spans="9:10">
      <c r="I8317" s="14"/>
      <c r="J8317" s="14"/>
    </row>
    <row r="8318" spans="9:10">
      <c r="I8318" s="14"/>
      <c r="J8318" s="14"/>
    </row>
    <row r="8319" spans="9:10">
      <c r="I8319" s="14"/>
      <c r="J8319" s="14"/>
    </row>
    <row r="8320" spans="9:10">
      <c r="I8320" s="14"/>
      <c r="J8320" s="14"/>
    </row>
    <row r="8321" spans="9:10">
      <c r="I8321" s="14"/>
      <c r="J8321" s="14"/>
    </row>
    <row r="8322" spans="9:10">
      <c r="I8322" s="14"/>
      <c r="J8322" s="14"/>
    </row>
    <row r="8323" spans="9:10">
      <c r="I8323" s="14"/>
      <c r="J8323" s="14"/>
    </row>
    <row r="8324" spans="9:10">
      <c r="I8324" s="14"/>
      <c r="J8324" s="14"/>
    </row>
    <row r="8325" spans="9:10">
      <c r="I8325" s="14"/>
      <c r="J8325" s="14"/>
    </row>
    <row r="8326" spans="9:10">
      <c r="I8326" s="14"/>
      <c r="J8326" s="14"/>
    </row>
    <row r="8327" spans="9:10">
      <c r="I8327" s="14"/>
      <c r="J8327" s="14"/>
    </row>
    <row r="8328" spans="9:10">
      <c r="I8328" s="14"/>
      <c r="J8328" s="14"/>
    </row>
    <row r="8329" spans="9:10">
      <c r="I8329" s="14"/>
      <c r="J8329" s="14"/>
    </row>
    <row r="8330" spans="9:10">
      <c r="I8330" s="14"/>
      <c r="J8330" s="14"/>
    </row>
    <row r="8331" spans="9:10">
      <c r="I8331" s="14"/>
      <c r="J8331" s="14"/>
    </row>
    <row r="8332" spans="9:10">
      <c r="I8332" s="14"/>
      <c r="J8332" s="14"/>
    </row>
    <row r="8333" spans="9:10">
      <c r="I8333" s="14"/>
      <c r="J8333" s="14"/>
    </row>
    <row r="8334" spans="9:10">
      <c r="I8334" s="14"/>
      <c r="J8334" s="14"/>
    </row>
    <row r="8335" spans="9:10">
      <c r="I8335" s="14"/>
      <c r="J8335" s="14"/>
    </row>
    <row r="8336" spans="9:10">
      <c r="I8336" s="14"/>
      <c r="J8336" s="14"/>
    </row>
    <row r="8337" spans="9:10">
      <c r="I8337" s="14"/>
      <c r="J8337" s="14"/>
    </row>
    <row r="8338" spans="9:10">
      <c r="I8338" s="14"/>
      <c r="J8338" s="14"/>
    </row>
    <row r="8339" spans="9:10">
      <c r="I8339" s="14"/>
      <c r="J8339" s="14"/>
    </row>
    <row r="8340" spans="9:10">
      <c r="I8340" s="14"/>
      <c r="J8340" s="14"/>
    </row>
    <row r="8341" spans="9:10">
      <c r="I8341" s="14"/>
      <c r="J8341" s="14"/>
    </row>
    <row r="8342" spans="9:10">
      <c r="I8342" s="14"/>
      <c r="J8342" s="14"/>
    </row>
    <row r="8343" spans="9:10">
      <c r="I8343" s="14"/>
      <c r="J8343" s="14"/>
    </row>
    <row r="8344" spans="9:10">
      <c r="I8344" s="14"/>
      <c r="J8344" s="14"/>
    </row>
    <row r="8345" spans="9:10">
      <c r="I8345" s="14"/>
      <c r="J8345" s="14"/>
    </row>
    <row r="8346" spans="9:10">
      <c r="I8346" s="14"/>
      <c r="J8346" s="14"/>
    </row>
    <row r="8347" spans="9:10">
      <c r="I8347" s="14"/>
      <c r="J8347" s="14"/>
    </row>
    <row r="8348" spans="9:10">
      <c r="I8348" s="14"/>
      <c r="J8348" s="14"/>
    </row>
    <row r="8349" spans="9:10">
      <c r="I8349" s="14"/>
      <c r="J8349" s="14"/>
    </row>
    <row r="8350" spans="9:10">
      <c r="I8350" s="14"/>
      <c r="J8350" s="14"/>
    </row>
    <row r="8351" spans="9:10">
      <c r="I8351" s="14"/>
      <c r="J8351" s="14"/>
    </row>
    <row r="8352" spans="9:10">
      <c r="I8352" s="14"/>
      <c r="J8352" s="14"/>
    </row>
    <row r="8353" spans="9:10">
      <c r="I8353" s="14"/>
      <c r="J8353" s="14"/>
    </row>
    <row r="8354" spans="9:10">
      <c r="I8354" s="14"/>
      <c r="J8354" s="14"/>
    </row>
    <row r="8355" spans="9:10">
      <c r="I8355" s="14"/>
      <c r="J8355" s="14"/>
    </row>
    <row r="8356" spans="9:10">
      <c r="I8356" s="14"/>
      <c r="J8356" s="14"/>
    </row>
    <row r="8357" spans="9:10">
      <c r="I8357" s="14"/>
      <c r="J8357" s="14"/>
    </row>
    <row r="8358" spans="9:10">
      <c r="I8358" s="14"/>
      <c r="J8358" s="14"/>
    </row>
    <row r="8359" spans="9:10">
      <c r="I8359" s="14"/>
      <c r="J8359" s="14"/>
    </row>
    <row r="8360" spans="9:10">
      <c r="I8360" s="14"/>
      <c r="J8360" s="14"/>
    </row>
    <row r="8361" spans="9:10">
      <c r="I8361" s="14"/>
      <c r="J8361" s="14"/>
    </row>
    <row r="8362" spans="9:10">
      <c r="I8362" s="14"/>
      <c r="J8362" s="14"/>
    </row>
    <row r="8363" spans="9:10">
      <c r="I8363" s="14"/>
      <c r="J8363" s="14"/>
    </row>
    <row r="8364" spans="9:10">
      <c r="I8364" s="14"/>
      <c r="J8364" s="14"/>
    </row>
    <row r="8365" spans="9:10">
      <c r="I8365" s="14"/>
      <c r="J8365" s="14"/>
    </row>
    <row r="8366" spans="9:10">
      <c r="I8366" s="14"/>
      <c r="J8366" s="14"/>
    </row>
    <row r="8367" spans="9:10">
      <c r="I8367" s="14"/>
      <c r="J8367" s="14"/>
    </row>
    <row r="8368" spans="9:10">
      <c r="I8368" s="14"/>
      <c r="J8368" s="14"/>
    </row>
    <row r="8369" spans="9:10">
      <c r="I8369" s="14"/>
      <c r="J8369" s="14"/>
    </row>
    <row r="8370" spans="9:10">
      <c r="I8370" s="14"/>
      <c r="J8370" s="14"/>
    </row>
    <row r="8371" spans="9:10">
      <c r="I8371" s="14"/>
      <c r="J8371" s="14"/>
    </row>
    <row r="8372" spans="9:10">
      <c r="I8372" s="14"/>
      <c r="J8372" s="14"/>
    </row>
    <row r="8373" spans="9:10">
      <c r="I8373" s="14"/>
      <c r="J8373" s="14"/>
    </row>
    <row r="8374" spans="9:10">
      <c r="I8374" s="14"/>
      <c r="J8374" s="14"/>
    </row>
    <row r="8375" spans="9:10">
      <c r="I8375" s="14"/>
      <c r="J8375" s="14"/>
    </row>
    <row r="8376" spans="9:10">
      <c r="I8376" s="14"/>
      <c r="J8376" s="14"/>
    </row>
    <row r="8377" spans="9:10">
      <c r="I8377" s="14"/>
      <c r="J8377" s="14"/>
    </row>
    <row r="8378" spans="9:10">
      <c r="I8378" s="14"/>
      <c r="J8378" s="14"/>
    </row>
    <row r="8379" spans="9:10">
      <c r="I8379" s="14"/>
      <c r="J8379" s="14"/>
    </row>
    <row r="8380" spans="9:10">
      <c r="I8380" s="14"/>
      <c r="J8380" s="14"/>
    </row>
    <row r="8381" spans="9:10">
      <c r="I8381" s="14"/>
      <c r="J8381" s="14"/>
    </row>
    <row r="8382" spans="9:10">
      <c r="I8382" s="14"/>
      <c r="J8382" s="14"/>
    </row>
    <row r="8383" spans="9:10">
      <c r="I8383" s="14"/>
      <c r="J8383" s="14"/>
    </row>
    <row r="8384" spans="9:10">
      <c r="I8384" s="14"/>
      <c r="J8384" s="14"/>
    </row>
    <row r="8385" spans="9:10">
      <c r="I8385" s="14"/>
      <c r="J8385" s="14"/>
    </row>
    <row r="8386" spans="9:10">
      <c r="I8386" s="14"/>
      <c r="J8386" s="14"/>
    </row>
    <row r="8387" spans="9:10">
      <c r="I8387" s="14"/>
      <c r="J8387" s="14"/>
    </row>
    <row r="8388" spans="9:10">
      <c r="I8388" s="14"/>
      <c r="J8388" s="14"/>
    </row>
    <row r="8389" spans="9:10">
      <c r="I8389" s="14"/>
      <c r="J8389" s="14"/>
    </row>
    <row r="8390" spans="9:10">
      <c r="I8390" s="14"/>
      <c r="J8390" s="14"/>
    </row>
    <row r="8391" spans="9:10">
      <c r="I8391" s="14"/>
      <c r="J8391" s="14"/>
    </row>
    <row r="8392" spans="9:10">
      <c r="I8392" s="14"/>
      <c r="J8392" s="14"/>
    </row>
    <row r="8393" spans="9:10">
      <c r="I8393" s="14"/>
      <c r="J8393" s="14"/>
    </row>
    <row r="8394" spans="9:10">
      <c r="I8394" s="14"/>
      <c r="J8394" s="14"/>
    </row>
    <row r="8395" spans="9:10">
      <c r="I8395" s="14"/>
      <c r="J8395" s="14"/>
    </row>
    <row r="8396" spans="9:10">
      <c r="I8396" s="14"/>
      <c r="J8396" s="14"/>
    </row>
    <row r="8397" spans="9:10">
      <c r="I8397" s="14"/>
      <c r="J8397" s="14"/>
    </row>
    <row r="8398" spans="9:10">
      <c r="I8398" s="14"/>
      <c r="J8398" s="14"/>
    </row>
    <row r="8399" spans="9:10">
      <c r="I8399" s="14"/>
      <c r="J8399" s="14"/>
    </row>
    <row r="8400" spans="9:10">
      <c r="I8400" s="14"/>
      <c r="J8400" s="14"/>
    </row>
    <row r="8401" spans="9:10">
      <c r="I8401" s="14"/>
      <c r="J8401" s="14"/>
    </row>
    <row r="8402" spans="9:10">
      <c r="I8402" s="14"/>
      <c r="J8402" s="14"/>
    </row>
    <row r="8403" spans="9:10">
      <c r="I8403" s="14"/>
      <c r="J8403" s="14"/>
    </row>
    <row r="8404" spans="9:10">
      <c r="I8404" s="14"/>
      <c r="J8404" s="14"/>
    </row>
    <row r="8405" spans="9:10">
      <c r="I8405" s="14"/>
      <c r="J8405" s="14"/>
    </row>
    <row r="8406" spans="9:10">
      <c r="I8406" s="14"/>
      <c r="J8406" s="14"/>
    </row>
    <row r="8407" spans="9:10">
      <c r="I8407" s="14"/>
      <c r="J8407" s="14"/>
    </row>
    <row r="8408" spans="9:10">
      <c r="I8408" s="14"/>
      <c r="J8408" s="14"/>
    </row>
    <row r="8409" spans="9:10">
      <c r="I8409" s="14"/>
      <c r="J8409" s="14"/>
    </row>
    <row r="8410" spans="9:10">
      <c r="I8410" s="14"/>
      <c r="J8410" s="14"/>
    </row>
    <row r="8411" spans="9:10">
      <c r="I8411" s="14"/>
      <c r="J8411" s="14"/>
    </row>
    <row r="8412" spans="9:10">
      <c r="I8412" s="14"/>
      <c r="J8412" s="14"/>
    </row>
    <row r="8413" spans="9:10">
      <c r="I8413" s="14"/>
      <c r="J8413" s="14"/>
    </row>
    <row r="8414" spans="9:10">
      <c r="I8414" s="14"/>
      <c r="J8414" s="14"/>
    </row>
    <row r="8415" spans="9:10">
      <c r="I8415" s="14"/>
      <c r="J8415" s="14"/>
    </row>
    <row r="8416" spans="9:10">
      <c r="I8416" s="14"/>
      <c r="J8416" s="14"/>
    </row>
    <row r="8417" spans="9:10">
      <c r="I8417" s="14"/>
      <c r="J8417" s="14"/>
    </row>
    <row r="8418" spans="9:10">
      <c r="I8418" s="14"/>
      <c r="J8418" s="14"/>
    </row>
    <row r="8419" spans="9:10">
      <c r="I8419" s="14"/>
      <c r="J8419" s="14"/>
    </row>
    <row r="8420" spans="9:10">
      <c r="I8420" s="14"/>
      <c r="J8420" s="14"/>
    </row>
    <row r="8421" spans="9:10">
      <c r="I8421" s="14"/>
      <c r="J8421" s="14"/>
    </row>
    <row r="8422" spans="9:10">
      <c r="I8422" s="14"/>
      <c r="J8422" s="14"/>
    </row>
    <row r="8423" spans="9:10">
      <c r="I8423" s="14"/>
      <c r="J8423" s="14"/>
    </row>
    <row r="8424" spans="9:10">
      <c r="I8424" s="14"/>
      <c r="J8424" s="14"/>
    </row>
    <row r="8425" spans="9:10">
      <c r="I8425" s="14"/>
      <c r="J8425" s="14"/>
    </row>
    <row r="8426" spans="9:10">
      <c r="I8426" s="14"/>
      <c r="J8426" s="14"/>
    </row>
    <row r="8427" spans="9:10">
      <c r="I8427" s="14"/>
      <c r="J8427" s="14"/>
    </row>
    <row r="8428" spans="9:10">
      <c r="I8428" s="14"/>
      <c r="J8428" s="14"/>
    </row>
    <row r="8429" spans="9:10">
      <c r="I8429" s="14"/>
      <c r="J8429" s="14"/>
    </row>
    <row r="8430" spans="9:10">
      <c r="I8430" s="14"/>
      <c r="J8430" s="14"/>
    </row>
    <row r="8431" spans="9:10">
      <c r="I8431" s="14"/>
      <c r="J8431" s="14"/>
    </row>
    <row r="8432" spans="9:10">
      <c r="I8432" s="14"/>
      <c r="J8432" s="14"/>
    </row>
    <row r="8433" spans="9:10">
      <c r="I8433" s="14"/>
      <c r="J8433" s="14"/>
    </row>
    <row r="8434" spans="9:10">
      <c r="I8434" s="14"/>
      <c r="J8434" s="14"/>
    </row>
    <row r="8435" spans="9:10">
      <c r="I8435" s="14"/>
      <c r="J8435" s="14"/>
    </row>
    <row r="8436" spans="9:10">
      <c r="I8436" s="14"/>
      <c r="J8436" s="14"/>
    </row>
    <row r="8437" spans="9:10">
      <c r="I8437" s="14"/>
      <c r="J8437" s="14"/>
    </row>
    <row r="8438" spans="9:10">
      <c r="I8438" s="14"/>
      <c r="J8438" s="14"/>
    </row>
    <row r="8439" spans="9:10">
      <c r="I8439" s="14"/>
      <c r="J8439" s="14"/>
    </row>
    <row r="8440" spans="9:10">
      <c r="I8440" s="14"/>
      <c r="J8440" s="14"/>
    </row>
    <row r="8441" spans="9:10">
      <c r="I8441" s="14"/>
      <c r="J8441" s="14"/>
    </row>
    <row r="8442" spans="9:10">
      <c r="I8442" s="14"/>
      <c r="J8442" s="14"/>
    </row>
    <row r="8443" spans="9:10">
      <c r="I8443" s="14"/>
      <c r="J8443" s="14"/>
    </row>
    <row r="8444" spans="9:10">
      <c r="I8444" s="14"/>
      <c r="J8444" s="14"/>
    </row>
    <row r="8445" spans="9:10">
      <c r="I8445" s="14"/>
      <c r="J8445" s="14"/>
    </row>
    <row r="8446" spans="9:10">
      <c r="I8446" s="14"/>
      <c r="J8446" s="14"/>
    </row>
    <row r="8447" spans="9:10">
      <c r="I8447" s="14"/>
      <c r="J8447" s="14"/>
    </row>
    <row r="8448" spans="9:10">
      <c r="I8448" s="14"/>
      <c r="J8448" s="14"/>
    </row>
    <row r="8449" spans="9:10">
      <c r="I8449" s="14"/>
      <c r="J8449" s="14"/>
    </row>
    <row r="8450" spans="9:10">
      <c r="I8450" s="14"/>
      <c r="J8450" s="14"/>
    </row>
    <row r="8451" spans="9:10">
      <c r="I8451" s="14"/>
      <c r="J8451" s="14"/>
    </row>
    <row r="8452" spans="9:10">
      <c r="I8452" s="14"/>
      <c r="J8452" s="14"/>
    </row>
    <row r="8453" spans="9:10">
      <c r="I8453" s="14"/>
      <c r="J8453" s="14"/>
    </row>
    <row r="8454" spans="9:10">
      <c r="I8454" s="14"/>
      <c r="J8454" s="14"/>
    </row>
    <row r="8455" spans="9:10">
      <c r="I8455" s="14"/>
      <c r="J8455" s="14"/>
    </row>
    <row r="8456" spans="9:10">
      <c r="I8456" s="14"/>
      <c r="J8456" s="14"/>
    </row>
    <row r="8457" spans="9:10">
      <c r="I8457" s="14"/>
      <c r="J8457" s="14"/>
    </row>
    <row r="8458" spans="9:10">
      <c r="I8458" s="14"/>
      <c r="J8458" s="14"/>
    </row>
    <row r="8459" spans="9:10">
      <c r="I8459" s="14"/>
      <c r="J8459" s="14"/>
    </row>
    <row r="8460" spans="9:10">
      <c r="I8460" s="14"/>
      <c r="J8460" s="14"/>
    </row>
    <row r="8461" spans="9:10">
      <c r="I8461" s="14"/>
      <c r="J8461" s="14"/>
    </row>
    <row r="8462" spans="9:10">
      <c r="I8462" s="14"/>
      <c r="J8462" s="14"/>
    </row>
    <row r="8463" spans="9:10">
      <c r="I8463" s="14"/>
      <c r="J8463" s="14"/>
    </row>
    <row r="8464" spans="9:10">
      <c r="I8464" s="14"/>
      <c r="J8464" s="14"/>
    </row>
    <row r="8465" spans="9:10">
      <c r="I8465" s="14"/>
      <c r="J8465" s="14"/>
    </row>
    <row r="8466" spans="9:10">
      <c r="I8466" s="14"/>
      <c r="J8466" s="14"/>
    </row>
    <row r="8467" spans="9:10">
      <c r="I8467" s="14"/>
      <c r="J8467" s="14"/>
    </row>
    <row r="8468" spans="9:10">
      <c r="I8468" s="14"/>
      <c r="J8468" s="14"/>
    </row>
    <row r="8469" spans="9:10">
      <c r="I8469" s="14"/>
      <c r="J8469" s="14"/>
    </row>
    <row r="8470" spans="9:10">
      <c r="I8470" s="14"/>
      <c r="J8470" s="14"/>
    </row>
    <row r="8471" spans="9:10">
      <c r="I8471" s="14"/>
      <c r="J8471" s="14"/>
    </row>
    <row r="8472" spans="9:10">
      <c r="I8472" s="14"/>
      <c r="J8472" s="14"/>
    </row>
    <row r="8473" spans="9:10">
      <c r="I8473" s="14"/>
      <c r="J8473" s="14"/>
    </row>
    <row r="8474" spans="9:10">
      <c r="I8474" s="14"/>
      <c r="J8474" s="14"/>
    </row>
    <row r="8475" spans="9:10">
      <c r="I8475" s="14"/>
      <c r="J8475" s="14"/>
    </row>
    <row r="8476" spans="9:10">
      <c r="I8476" s="14"/>
      <c r="J8476" s="14"/>
    </row>
    <row r="8477" spans="9:10">
      <c r="I8477" s="14"/>
      <c r="J8477" s="14"/>
    </row>
    <row r="8478" spans="9:10">
      <c r="I8478" s="14"/>
      <c r="J8478" s="14"/>
    </row>
    <row r="8479" spans="9:10">
      <c r="I8479" s="14"/>
      <c r="J8479" s="14"/>
    </row>
    <row r="8480" spans="9:10">
      <c r="I8480" s="14"/>
      <c r="J8480" s="14"/>
    </row>
    <row r="8481" spans="9:10">
      <c r="I8481" s="14"/>
      <c r="J8481" s="14"/>
    </row>
    <row r="8482" spans="9:10">
      <c r="I8482" s="14"/>
      <c r="J8482" s="14"/>
    </row>
    <row r="8483" spans="9:10">
      <c r="I8483" s="14"/>
      <c r="J8483" s="14"/>
    </row>
    <row r="8484" spans="9:10">
      <c r="I8484" s="14"/>
      <c r="J8484" s="14"/>
    </row>
    <row r="8485" spans="9:10">
      <c r="I8485" s="14"/>
      <c r="J8485" s="14"/>
    </row>
    <row r="8486" spans="9:10">
      <c r="I8486" s="14"/>
      <c r="J8486" s="14"/>
    </row>
    <row r="8487" spans="9:10">
      <c r="I8487" s="14"/>
      <c r="J8487" s="14"/>
    </row>
    <row r="8488" spans="9:10">
      <c r="I8488" s="14"/>
      <c r="J8488" s="14"/>
    </row>
    <row r="8489" spans="9:10">
      <c r="I8489" s="14"/>
      <c r="J8489" s="14"/>
    </row>
    <row r="8490" spans="9:10">
      <c r="I8490" s="14"/>
      <c r="J8490" s="14"/>
    </row>
    <row r="8491" spans="9:10">
      <c r="I8491" s="14"/>
      <c r="J8491" s="14"/>
    </row>
    <row r="8492" spans="9:10">
      <c r="I8492" s="14"/>
      <c r="J8492" s="14"/>
    </row>
    <row r="8493" spans="9:10">
      <c r="I8493" s="14"/>
      <c r="J8493" s="14"/>
    </row>
    <row r="8494" spans="9:10">
      <c r="I8494" s="14"/>
      <c r="J8494" s="14"/>
    </row>
    <row r="8495" spans="9:10">
      <c r="I8495" s="14"/>
      <c r="J8495" s="14"/>
    </row>
    <row r="8496" spans="9:10">
      <c r="I8496" s="14"/>
      <c r="J8496" s="14"/>
    </row>
    <row r="8497" spans="9:10">
      <c r="I8497" s="14"/>
      <c r="J8497" s="14"/>
    </row>
    <row r="8498" spans="9:10">
      <c r="I8498" s="14"/>
      <c r="J8498" s="14"/>
    </row>
    <row r="8499" spans="9:10">
      <c r="I8499" s="14"/>
      <c r="J8499" s="14"/>
    </row>
    <row r="8500" spans="9:10">
      <c r="I8500" s="14"/>
      <c r="J8500" s="14"/>
    </row>
    <row r="8501" spans="9:10">
      <c r="I8501" s="14"/>
      <c r="J8501" s="14"/>
    </row>
    <row r="8502" spans="9:10">
      <c r="I8502" s="14"/>
      <c r="J8502" s="14"/>
    </row>
    <row r="8503" spans="9:10">
      <c r="I8503" s="14"/>
      <c r="J8503" s="14"/>
    </row>
    <row r="8504" spans="9:10">
      <c r="I8504" s="14"/>
      <c r="J8504" s="14"/>
    </row>
    <row r="8505" spans="9:10">
      <c r="I8505" s="14"/>
      <c r="J8505" s="14"/>
    </row>
    <row r="8506" spans="9:10">
      <c r="I8506" s="14"/>
      <c r="J8506" s="14"/>
    </row>
    <row r="8507" spans="9:10">
      <c r="I8507" s="14"/>
      <c r="J8507" s="14"/>
    </row>
    <row r="8508" spans="9:10">
      <c r="I8508" s="14"/>
      <c r="J8508" s="14"/>
    </row>
    <row r="8509" spans="9:10">
      <c r="I8509" s="14"/>
      <c r="J8509" s="14"/>
    </row>
    <row r="8510" spans="9:10">
      <c r="I8510" s="14"/>
      <c r="J8510" s="14"/>
    </row>
    <row r="8511" spans="9:10">
      <c r="I8511" s="14"/>
      <c r="J8511" s="14"/>
    </row>
    <row r="8512" spans="9:10">
      <c r="I8512" s="14"/>
      <c r="J8512" s="14"/>
    </row>
    <row r="8513" spans="9:10">
      <c r="I8513" s="14"/>
      <c r="J8513" s="14"/>
    </row>
    <row r="8514" spans="9:10">
      <c r="I8514" s="14"/>
      <c r="J8514" s="14"/>
    </row>
    <row r="8515" spans="9:10">
      <c r="I8515" s="14"/>
      <c r="J8515" s="14"/>
    </row>
    <row r="8516" spans="9:10">
      <c r="I8516" s="14"/>
      <c r="J8516" s="14"/>
    </row>
    <row r="8517" spans="9:10">
      <c r="I8517" s="14"/>
      <c r="J8517" s="14"/>
    </row>
    <row r="8518" spans="9:10">
      <c r="I8518" s="14"/>
      <c r="J8518" s="14"/>
    </row>
    <row r="8519" spans="9:10">
      <c r="I8519" s="14"/>
      <c r="J8519" s="14"/>
    </row>
    <row r="8520" spans="9:10">
      <c r="I8520" s="14"/>
      <c r="J8520" s="14"/>
    </row>
    <row r="8521" spans="9:10">
      <c r="I8521" s="14"/>
      <c r="J8521" s="14"/>
    </row>
    <row r="8522" spans="9:10">
      <c r="I8522" s="14"/>
      <c r="J8522" s="14"/>
    </row>
    <row r="8523" spans="9:10">
      <c r="I8523" s="14"/>
      <c r="J8523" s="14"/>
    </row>
    <row r="8524" spans="9:10">
      <c r="I8524" s="14"/>
      <c r="J8524" s="14"/>
    </row>
    <row r="8525" spans="9:10">
      <c r="I8525" s="14"/>
      <c r="J8525" s="14"/>
    </row>
    <row r="8526" spans="9:10">
      <c r="I8526" s="14"/>
      <c r="J8526" s="14"/>
    </row>
    <row r="8527" spans="9:10">
      <c r="I8527" s="14"/>
      <c r="J8527" s="14"/>
    </row>
    <row r="8528" spans="9:10">
      <c r="I8528" s="14"/>
      <c r="J8528" s="14"/>
    </row>
    <row r="8529" spans="9:10">
      <c r="I8529" s="14"/>
      <c r="J8529" s="14"/>
    </row>
    <row r="8530" spans="9:10">
      <c r="I8530" s="14"/>
      <c r="J8530" s="14"/>
    </row>
    <row r="8531" spans="9:10">
      <c r="I8531" s="14"/>
      <c r="J8531" s="14"/>
    </row>
    <row r="8532" spans="9:10">
      <c r="I8532" s="14"/>
      <c r="J8532" s="14"/>
    </row>
    <row r="8533" spans="9:10">
      <c r="I8533" s="14"/>
      <c r="J8533" s="14"/>
    </row>
    <row r="8534" spans="9:10">
      <c r="I8534" s="14"/>
      <c r="J8534" s="14"/>
    </row>
    <row r="8535" spans="9:10">
      <c r="I8535" s="14"/>
      <c r="J8535" s="14"/>
    </row>
    <row r="8536" spans="9:10">
      <c r="I8536" s="14"/>
      <c r="J8536" s="14"/>
    </row>
    <row r="8537" spans="9:10">
      <c r="I8537" s="14"/>
      <c r="J8537" s="14"/>
    </row>
    <row r="8538" spans="9:10">
      <c r="I8538" s="14"/>
      <c r="J8538" s="14"/>
    </row>
    <row r="8539" spans="9:10">
      <c r="I8539" s="14"/>
      <c r="J8539" s="14"/>
    </row>
    <row r="8540" spans="9:10">
      <c r="I8540" s="14"/>
      <c r="J8540" s="14"/>
    </row>
    <row r="8541" spans="9:10">
      <c r="I8541" s="14"/>
      <c r="J8541" s="14"/>
    </row>
    <row r="8542" spans="9:10">
      <c r="I8542" s="14"/>
      <c r="J8542" s="14"/>
    </row>
    <row r="8543" spans="9:10">
      <c r="I8543" s="14"/>
      <c r="J8543" s="14"/>
    </row>
    <row r="8544" spans="9:10">
      <c r="I8544" s="14"/>
      <c r="J8544" s="14"/>
    </row>
    <row r="8545" spans="9:10">
      <c r="I8545" s="14"/>
      <c r="J8545" s="14"/>
    </row>
    <row r="8546" spans="9:10">
      <c r="I8546" s="14"/>
      <c r="J8546" s="14"/>
    </row>
    <row r="8547" spans="9:10">
      <c r="I8547" s="14"/>
      <c r="J8547" s="14"/>
    </row>
    <row r="8548" spans="9:10">
      <c r="I8548" s="14"/>
      <c r="J8548" s="14"/>
    </row>
    <row r="8549" spans="9:10">
      <c r="I8549" s="14"/>
      <c r="J8549" s="14"/>
    </row>
    <row r="8550" spans="9:10">
      <c r="I8550" s="14"/>
      <c r="J8550" s="14"/>
    </row>
    <row r="8551" spans="9:10">
      <c r="I8551" s="14"/>
      <c r="J8551" s="14"/>
    </row>
    <row r="8552" spans="9:10">
      <c r="I8552" s="14"/>
      <c r="J8552" s="14"/>
    </row>
    <row r="8553" spans="9:10">
      <c r="I8553" s="14"/>
      <c r="J8553" s="14"/>
    </row>
    <row r="8554" spans="9:10">
      <c r="I8554" s="14"/>
      <c r="J8554" s="14"/>
    </row>
    <row r="8555" spans="9:10">
      <c r="I8555" s="14"/>
      <c r="J8555" s="14"/>
    </row>
    <row r="8556" spans="9:10">
      <c r="I8556" s="14"/>
      <c r="J8556" s="14"/>
    </row>
    <row r="8557" spans="9:10">
      <c r="I8557" s="14"/>
      <c r="J8557" s="14"/>
    </row>
    <row r="8558" spans="9:10">
      <c r="I8558" s="14"/>
      <c r="J8558" s="14"/>
    </row>
    <row r="8559" spans="9:10">
      <c r="I8559" s="14"/>
      <c r="J8559" s="14"/>
    </row>
    <row r="8560" spans="9:10">
      <c r="I8560" s="14"/>
      <c r="J8560" s="14"/>
    </row>
    <row r="8561" spans="9:10">
      <c r="I8561" s="14"/>
      <c r="J8561" s="14"/>
    </row>
    <row r="8562" spans="9:10">
      <c r="I8562" s="14"/>
      <c r="J8562" s="14"/>
    </row>
    <row r="8563" spans="9:10">
      <c r="I8563" s="14"/>
      <c r="J8563" s="14"/>
    </row>
    <row r="8564" spans="9:10">
      <c r="I8564" s="14"/>
      <c r="J8564" s="14"/>
    </row>
    <row r="8565" spans="9:10">
      <c r="I8565" s="14"/>
      <c r="J8565" s="14"/>
    </row>
    <row r="8566" spans="9:10">
      <c r="I8566" s="14"/>
      <c r="J8566" s="14"/>
    </row>
    <row r="8567" spans="9:10">
      <c r="I8567" s="14"/>
      <c r="J8567" s="14"/>
    </row>
    <row r="8568" spans="9:10">
      <c r="I8568" s="14"/>
      <c r="J8568" s="14"/>
    </row>
    <row r="8569" spans="9:10">
      <c r="I8569" s="14"/>
      <c r="J8569" s="14"/>
    </row>
    <row r="8570" spans="9:10">
      <c r="I8570" s="14"/>
      <c r="J8570" s="14"/>
    </row>
    <row r="8571" spans="9:10">
      <c r="I8571" s="14"/>
      <c r="J8571" s="14"/>
    </row>
    <row r="8572" spans="9:10">
      <c r="I8572" s="14"/>
      <c r="J8572" s="14"/>
    </row>
    <row r="8573" spans="9:10">
      <c r="I8573" s="14"/>
      <c r="J8573" s="14"/>
    </row>
    <row r="8574" spans="9:10">
      <c r="I8574" s="14"/>
      <c r="J8574" s="14"/>
    </row>
    <row r="8575" spans="9:10">
      <c r="I8575" s="14"/>
      <c r="J8575" s="14"/>
    </row>
    <row r="8576" spans="9:10">
      <c r="I8576" s="14"/>
      <c r="J8576" s="14"/>
    </row>
    <row r="8577" spans="9:10">
      <c r="I8577" s="14"/>
      <c r="J8577" s="14"/>
    </row>
    <row r="8578" spans="9:10">
      <c r="I8578" s="14"/>
      <c r="J8578" s="14"/>
    </row>
    <row r="8579" spans="9:10">
      <c r="I8579" s="14"/>
      <c r="J8579" s="14"/>
    </row>
    <row r="8580" spans="9:10">
      <c r="I8580" s="14"/>
      <c r="J8580" s="14"/>
    </row>
    <row r="8581" spans="9:10">
      <c r="I8581" s="14"/>
      <c r="J8581" s="14"/>
    </row>
    <row r="8582" spans="9:10">
      <c r="I8582" s="14"/>
      <c r="J8582" s="14"/>
    </row>
    <row r="8583" spans="9:10">
      <c r="I8583" s="14"/>
      <c r="J8583" s="14"/>
    </row>
    <row r="8584" spans="9:10">
      <c r="I8584" s="14"/>
      <c r="J8584" s="14"/>
    </row>
    <row r="8585" spans="9:10">
      <c r="I8585" s="14"/>
      <c r="J8585" s="14"/>
    </row>
    <row r="8586" spans="9:10">
      <c r="I8586" s="14"/>
      <c r="J8586" s="14"/>
    </row>
    <row r="8587" spans="9:10">
      <c r="I8587" s="14"/>
      <c r="J8587" s="14"/>
    </row>
    <row r="8588" spans="9:10">
      <c r="I8588" s="14"/>
      <c r="J8588" s="14"/>
    </row>
    <row r="8589" spans="9:10">
      <c r="I8589" s="14"/>
      <c r="J8589" s="14"/>
    </row>
    <row r="8590" spans="9:10">
      <c r="I8590" s="14"/>
      <c r="J8590" s="14"/>
    </row>
    <row r="8591" spans="9:10">
      <c r="I8591" s="14"/>
      <c r="J8591" s="14"/>
    </row>
    <row r="8592" spans="9:10">
      <c r="I8592" s="14"/>
      <c r="J8592" s="14"/>
    </row>
    <row r="8593" spans="9:10">
      <c r="I8593" s="14"/>
      <c r="J8593" s="14"/>
    </row>
    <row r="8594" spans="9:10">
      <c r="I8594" s="14"/>
      <c r="J8594" s="14"/>
    </row>
    <row r="8595" spans="9:10">
      <c r="I8595" s="14"/>
      <c r="J8595" s="14"/>
    </row>
    <row r="8596" spans="9:10">
      <c r="I8596" s="14"/>
      <c r="J8596" s="14"/>
    </row>
    <row r="8597" spans="9:10">
      <c r="I8597" s="14"/>
      <c r="J8597" s="14"/>
    </row>
    <row r="8598" spans="9:10">
      <c r="I8598" s="14"/>
      <c r="J8598" s="14"/>
    </row>
    <row r="8599" spans="9:10">
      <c r="I8599" s="14"/>
      <c r="J8599" s="14"/>
    </row>
    <row r="8600" spans="9:10">
      <c r="I8600" s="14"/>
      <c r="J8600" s="14"/>
    </row>
    <row r="8601" spans="9:10">
      <c r="I8601" s="14"/>
      <c r="J8601" s="14"/>
    </row>
    <row r="8602" spans="9:10">
      <c r="I8602" s="14"/>
      <c r="J8602" s="14"/>
    </row>
    <row r="8603" spans="9:10">
      <c r="I8603" s="14"/>
      <c r="J8603" s="14"/>
    </row>
    <row r="8604" spans="9:10">
      <c r="I8604" s="14"/>
      <c r="J8604" s="14"/>
    </row>
    <row r="8605" spans="9:10">
      <c r="I8605" s="14"/>
      <c r="J8605" s="14"/>
    </row>
    <row r="8606" spans="9:10">
      <c r="I8606" s="14"/>
      <c r="J8606" s="14"/>
    </row>
    <row r="8607" spans="9:10">
      <c r="I8607" s="14"/>
      <c r="J8607" s="14"/>
    </row>
    <row r="8608" spans="9:10">
      <c r="I8608" s="14"/>
      <c r="J8608" s="14"/>
    </row>
    <row r="8609" spans="9:10">
      <c r="I8609" s="14"/>
      <c r="J8609" s="14"/>
    </row>
    <row r="8610" spans="9:10">
      <c r="I8610" s="14"/>
      <c r="J8610" s="14"/>
    </row>
    <row r="8611" spans="9:10">
      <c r="I8611" s="14"/>
      <c r="J8611" s="14"/>
    </row>
    <row r="8612" spans="9:10">
      <c r="I8612" s="14"/>
      <c r="J8612" s="14"/>
    </row>
    <row r="8613" spans="9:10">
      <c r="I8613" s="14"/>
      <c r="J8613" s="14"/>
    </row>
    <row r="8614" spans="9:10">
      <c r="I8614" s="14"/>
      <c r="J8614" s="14"/>
    </row>
    <row r="8615" spans="9:10">
      <c r="I8615" s="14"/>
      <c r="J8615" s="14"/>
    </row>
    <row r="8616" spans="9:10">
      <c r="I8616" s="14"/>
      <c r="J8616" s="14"/>
    </row>
    <row r="8617" spans="9:10">
      <c r="I8617" s="14"/>
      <c r="J8617" s="14"/>
    </row>
    <row r="8618" spans="9:10">
      <c r="I8618" s="14"/>
      <c r="J8618" s="14"/>
    </row>
    <row r="8619" spans="9:10">
      <c r="I8619" s="14"/>
      <c r="J8619" s="14"/>
    </row>
    <row r="8620" spans="9:10">
      <c r="I8620" s="14"/>
      <c r="J8620" s="14"/>
    </row>
    <row r="8621" spans="9:10">
      <c r="I8621" s="14"/>
      <c r="J8621" s="14"/>
    </row>
    <row r="8622" spans="9:10">
      <c r="I8622" s="14"/>
      <c r="J8622" s="14"/>
    </row>
    <row r="8623" spans="9:10">
      <c r="I8623" s="14"/>
      <c r="J8623" s="14"/>
    </row>
    <row r="8624" spans="9:10">
      <c r="I8624" s="14"/>
      <c r="J8624" s="14"/>
    </row>
    <row r="8625" spans="9:10">
      <c r="I8625" s="14"/>
      <c r="J8625" s="14"/>
    </row>
    <row r="8626" spans="9:10">
      <c r="I8626" s="14"/>
      <c r="J8626" s="14"/>
    </row>
    <row r="8627" spans="9:10">
      <c r="I8627" s="14"/>
      <c r="J8627" s="14"/>
    </row>
    <row r="8628" spans="9:10">
      <c r="I8628" s="14"/>
      <c r="J8628" s="14"/>
    </row>
    <row r="8629" spans="9:10">
      <c r="I8629" s="14"/>
      <c r="J8629" s="14"/>
    </row>
    <row r="8630" spans="9:10">
      <c r="I8630" s="14"/>
      <c r="J8630" s="14"/>
    </row>
    <row r="8631" spans="9:10">
      <c r="I8631" s="14"/>
      <c r="J8631" s="14"/>
    </row>
    <row r="8632" spans="9:10">
      <c r="I8632" s="14"/>
      <c r="J8632" s="14"/>
    </row>
    <row r="8633" spans="9:10">
      <c r="I8633" s="14"/>
      <c r="J8633" s="14"/>
    </row>
    <row r="8634" spans="9:10">
      <c r="I8634" s="14"/>
      <c r="J8634" s="14"/>
    </row>
    <row r="8635" spans="9:10">
      <c r="I8635" s="14"/>
      <c r="J8635" s="14"/>
    </row>
    <row r="8636" spans="9:10">
      <c r="I8636" s="14"/>
      <c r="J8636" s="14"/>
    </row>
    <row r="8637" spans="9:10">
      <c r="I8637" s="14"/>
      <c r="J8637" s="14"/>
    </row>
    <row r="8638" spans="9:10">
      <c r="I8638" s="14"/>
      <c r="J8638" s="14"/>
    </row>
    <row r="8639" spans="9:10">
      <c r="I8639" s="14"/>
      <c r="J8639" s="14"/>
    </row>
    <row r="8640" spans="9:10">
      <c r="I8640" s="14"/>
      <c r="J8640" s="14"/>
    </row>
    <row r="8641" spans="9:10">
      <c r="I8641" s="14"/>
      <c r="J8641" s="14"/>
    </row>
    <row r="8642" spans="9:10">
      <c r="I8642" s="14"/>
      <c r="J8642" s="14"/>
    </row>
    <row r="8643" spans="9:10">
      <c r="I8643" s="14"/>
      <c r="J8643" s="14"/>
    </row>
    <row r="8644" spans="9:10">
      <c r="I8644" s="14"/>
      <c r="J8644" s="14"/>
    </row>
    <row r="8645" spans="9:10">
      <c r="I8645" s="14"/>
      <c r="J8645" s="14"/>
    </row>
    <row r="8646" spans="9:10">
      <c r="I8646" s="14"/>
      <c r="J8646" s="14"/>
    </row>
    <row r="8647" spans="9:10">
      <c r="I8647" s="14"/>
      <c r="J8647" s="14"/>
    </row>
    <row r="8648" spans="9:10">
      <c r="I8648" s="14"/>
      <c r="J8648" s="14"/>
    </row>
    <row r="8649" spans="9:10">
      <c r="I8649" s="14"/>
      <c r="J8649" s="14"/>
    </row>
    <row r="8650" spans="9:10">
      <c r="I8650" s="14"/>
      <c r="J8650" s="14"/>
    </row>
    <row r="8651" spans="9:10">
      <c r="I8651" s="14"/>
      <c r="J8651" s="14"/>
    </row>
    <row r="8652" spans="9:10">
      <c r="I8652" s="14"/>
      <c r="J8652" s="14"/>
    </row>
    <row r="8653" spans="9:10">
      <c r="I8653" s="14"/>
      <c r="J8653" s="14"/>
    </row>
    <row r="8654" spans="9:10">
      <c r="I8654" s="14"/>
      <c r="J8654" s="14"/>
    </row>
    <row r="8655" spans="9:10">
      <c r="I8655" s="14"/>
      <c r="J8655" s="14"/>
    </row>
    <row r="8656" spans="9:10">
      <c r="I8656" s="14"/>
      <c r="J8656" s="14"/>
    </row>
    <row r="8657" spans="9:10">
      <c r="I8657" s="14"/>
      <c r="J8657" s="14"/>
    </row>
    <row r="8658" spans="9:10">
      <c r="I8658" s="14"/>
      <c r="J8658" s="14"/>
    </row>
    <row r="8659" spans="9:10">
      <c r="I8659" s="14"/>
      <c r="J8659" s="14"/>
    </row>
    <row r="8660" spans="9:10">
      <c r="I8660" s="14"/>
      <c r="J8660" s="14"/>
    </row>
    <row r="8661" spans="9:10">
      <c r="I8661" s="14"/>
      <c r="J8661" s="14"/>
    </row>
    <row r="8662" spans="9:10">
      <c r="I8662" s="14"/>
      <c r="J8662" s="14"/>
    </row>
    <row r="8663" spans="9:10">
      <c r="I8663" s="14"/>
      <c r="J8663" s="14"/>
    </row>
    <row r="8664" spans="9:10">
      <c r="I8664" s="14"/>
      <c r="J8664" s="14"/>
    </row>
    <row r="8665" spans="9:10">
      <c r="I8665" s="14"/>
      <c r="J8665" s="14"/>
    </row>
    <row r="8666" spans="9:10">
      <c r="I8666" s="14"/>
      <c r="J8666" s="14"/>
    </row>
    <row r="8667" spans="9:10">
      <c r="I8667" s="14"/>
      <c r="J8667" s="14"/>
    </row>
    <row r="8668" spans="9:10">
      <c r="I8668" s="14"/>
      <c r="J8668" s="14"/>
    </row>
    <row r="8669" spans="9:10">
      <c r="I8669" s="14"/>
      <c r="J8669" s="14"/>
    </row>
    <row r="8670" spans="9:10">
      <c r="I8670" s="14"/>
      <c r="J8670" s="14"/>
    </row>
    <row r="8671" spans="9:10">
      <c r="I8671" s="14"/>
      <c r="J8671" s="14"/>
    </row>
    <row r="8672" spans="9:10">
      <c r="I8672" s="14"/>
      <c r="J8672" s="14"/>
    </row>
    <row r="8673" spans="9:10">
      <c r="I8673" s="14"/>
      <c r="J8673" s="14"/>
    </row>
    <row r="8674" spans="9:10">
      <c r="I8674" s="14"/>
      <c r="J8674" s="14"/>
    </row>
    <row r="8675" spans="9:10">
      <c r="I8675" s="14"/>
      <c r="J8675" s="14"/>
    </row>
    <row r="8676" spans="9:10">
      <c r="I8676" s="14"/>
      <c r="J8676" s="14"/>
    </row>
    <row r="8677" spans="9:10">
      <c r="I8677" s="14"/>
      <c r="J8677" s="14"/>
    </row>
    <row r="8678" spans="9:10">
      <c r="I8678" s="14"/>
      <c r="J8678" s="14"/>
    </row>
    <row r="8679" spans="9:10">
      <c r="I8679" s="14"/>
      <c r="J8679" s="14"/>
    </row>
    <row r="8680" spans="9:10">
      <c r="I8680" s="14"/>
      <c r="J8680" s="14"/>
    </row>
    <row r="8681" spans="9:10">
      <c r="I8681" s="14"/>
      <c r="J8681" s="14"/>
    </row>
    <row r="8682" spans="9:10">
      <c r="I8682" s="14"/>
      <c r="J8682" s="14"/>
    </row>
    <row r="8683" spans="9:10">
      <c r="I8683" s="14"/>
      <c r="J8683" s="14"/>
    </row>
    <row r="8684" spans="9:10">
      <c r="I8684" s="14"/>
      <c r="J8684" s="14"/>
    </row>
    <row r="8685" spans="9:10">
      <c r="I8685" s="14"/>
      <c r="J8685" s="14"/>
    </row>
    <row r="8686" spans="9:10">
      <c r="I8686" s="14"/>
      <c r="J8686" s="14"/>
    </row>
    <row r="8687" spans="9:10">
      <c r="I8687" s="14"/>
      <c r="J8687" s="14"/>
    </row>
    <row r="8688" spans="9:10">
      <c r="I8688" s="14"/>
      <c r="J8688" s="14"/>
    </row>
    <row r="8689" spans="9:10">
      <c r="I8689" s="14"/>
      <c r="J8689" s="14"/>
    </row>
    <row r="8690" spans="9:10">
      <c r="I8690" s="14"/>
      <c r="J8690" s="14"/>
    </row>
    <row r="8691" spans="9:10">
      <c r="I8691" s="14"/>
      <c r="J8691" s="14"/>
    </row>
    <row r="8692" spans="9:10">
      <c r="I8692" s="14"/>
      <c r="J8692" s="14"/>
    </row>
    <row r="8693" spans="9:10">
      <c r="I8693" s="14"/>
      <c r="J8693" s="14"/>
    </row>
    <row r="8694" spans="9:10">
      <c r="I8694" s="14"/>
      <c r="J8694" s="14"/>
    </row>
    <row r="8695" spans="9:10">
      <c r="I8695" s="14"/>
      <c r="J8695" s="14"/>
    </row>
    <row r="8696" spans="9:10">
      <c r="I8696" s="14"/>
      <c r="J8696" s="14"/>
    </row>
    <row r="8697" spans="9:10">
      <c r="I8697" s="14"/>
      <c r="J8697" s="14"/>
    </row>
    <row r="8698" spans="9:10">
      <c r="I8698" s="14"/>
      <c r="J8698" s="14"/>
    </row>
    <row r="8699" spans="9:10">
      <c r="I8699" s="14"/>
      <c r="J8699" s="14"/>
    </row>
    <row r="8700" spans="9:10">
      <c r="I8700" s="14"/>
      <c r="J8700" s="14"/>
    </row>
    <row r="8701" spans="9:10">
      <c r="I8701" s="14"/>
      <c r="J8701" s="14"/>
    </row>
    <row r="8702" spans="9:10">
      <c r="I8702" s="14"/>
      <c r="J8702" s="14"/>
    </row>
    <row r="8703" spans="9:10">
      <c r="I8703" s="14"/>
      <c r="J8703" s="14"/>
    </row>
    <row r="8704" spans="9:10">
      <c r="I8704" s="14"/>
      <c r="J8704" s="14"/>
    </row>
    <row r="8705" spans="9:10">
      <c r="I8705" s="14"/>
      <c r="J8705" s="14"/>
    </row>
    <row r="8706" spans="9:10">
      <c r="I8706" s="14"/>
      <c r="J8706" s="14"/>
    </row>
    <row r="8707" spans="9:10">
      <c r="I8707" s="14"/>
      <c r="J8707" s="14"/>
    </row>
    <row r="8708" spans="9:10">
      <c r="I8708" s="14"/>
      <c r="J8708" s="14"/>
    </row>
    <row r="8709" spans="9:10">
      <c r="I8709" s="14"/>
      <c r="J8709" s="14"/>
    </row>
    <row r="8710" spans="9:10">
      <c r="I8710" s="14"/>
      <c r="J8710" s="14"/>
    </row>
    <row r="8711" spans="9:10">
      <c r="I8711" s="14"/>
      <c r="J8711" s="14"/>
    </row>
    <row r="8712" spans="9:10">
      <c r="I8712" s="14"/>
      <c r="J8712" s="14"/>
    </row>
    <row r="8713" spans="9:10">
      <c r="I8713" s="14"/>
      <c r="J8713" s="14"/>
    </row>
    <row r="8714" spans="9:10">
      <c r="I8714" s="14"/>
      <c r="J8714" s="14"/>
    </row>
    <row r="8715" spans="9:10">
      <c r="I8715" s="14"/>
      <c r="J8715" s="14"/>
    </row>
    <row r="8716" spans="9:10">
      <c r="I8716" s="14"/>
      <c r="J8716" s="14"/>
    </row>
    <row r="8717" spans="9:10">
      <c r="I8717" s="14"/>
      <c r="J8717" s="14"/>
    </row>
    <row r="8718" spans="9:10">
      <c r="I8718" s="14"/>
      <c r="J8718" s="14"/>
    </row>
    <row r="8719" spans="9:10">
      <c r="I8719" s="14"/>
      <c r="J8719" s="14"/>
    </row>
    <row r="8720" spans="9:10">
      <c r="I8720" s="14"/>
      <c r="J8720" s="14"/>
    </row>
    <row r="8721" spans="9:10">
      <c r="I8721" s="14"/>
      <c r="J8721" s="14"/>
    </row>
    <row r="8722" spans="9:10">
      <c r="I8722" s="14"/>
      <c r="J8722" s="14"/>
    </row>
    <row r="8723" spans="9:10">
      <c r="I8723" s="14"/>
      <c r="J8723" s="14"/>
    </row>
    <row r="8724" spans="9:10">
      <c r="I8724" s="14"/>
      <c r="J8724" s="14"/>
    </row>
    <row r="8725" spans="9:10">
      <c r="I8725" s="14"/>
      <c r="J8725" s="14"/>
    </row>
    <row r="8726" spans="9:10">
      <c r="I8726" s="14"/>
      <c r="J8726" s="14"/>
    </row>
    <row r="8727" spans="9:10">
      <c r="I8727" s="14"/>
      <c r="J8727" s="14"/>
    </row>
    <row r="8728" spans="9:10">
      <c r="I8728" s="14"/>
      <c r="J8728" s="14"/>
    </row>
    <row r="8729" spans="9:10">
      <c r="I8729" s="14"/>
      <c r="J8729" s="14"/>
    </row>
    <row r="8730" spans="9:10">
      <c r="I8730" s="14"/>
      <c r="J8730" s="14"/>
    </row>
    <row r="8731" spans="9:10">
      <c r="I8731" s="14"/>
      <c r="J8731" s="14"/>
    </row>
    <row r="8732" spans="9:10">
      <c r="I8732" s="14"/>
      <c r="J8732" s="14"/>
    </row>
    <row r="8733" spans="9:10">
      <c r="I8733" s="14"/>
      <c r="J8733" s="14"/>
    </row>
    <row r="8734" spans="9:10">
      <c r="I8734" s="14"/>
      <c r="J8734" s="14"/>
    </row>
    <row r="8735" spans="9:10">
      <c r="I8735" s="14"/>
      <c r="J8735" s="14"/>
    </row>
    <row r="8736" spans="9:10">
      <c r="I8736" s="14"/>
      <c r="J8736" s="14"/>
    </row>
    <row r="8737" spans="9:10">
      <c r="I8737" s="14"/>
      <c r="J8737" s="14"/>
    </row>
    <row r="8738" spans="9:10">
      <c r="I8738" s="14"/>
      <c r="J8738" s="14"/>
    </row>
    <row r="8739" spans="9:10">
      <c r="I8739" s="14"/>
      <c r="J8739" s="14"/>
    </row>
    <row r="8740" spans="9:10">
      <c r="I8740" s="14"/>
      <c r="J8740" s="14"/>
    </row>
    <row r="8741" spans="9:10">
      <c r="I8741" s="14"/>
      <c r="J8741" s="14"/>
    </row>
    <row r="8742" spans="9:10">
      <c r="I8742" s="14"/>
      <c r="J8742" s="14"/>
    </row>
    <row r="8743" spans="9:10">
      <c r="I8743" s="14"/>
      <c r="J8743" s="14"/>
    </row>
    <row r="8744" spans="9:10">
      <c r="I8744" s="14"/>
      <c r="J8744" s="14"/>
    </row>
    <row r="8745" spans="9:10">
      <c r="I8745" s="14"/>
      <c r="J8745" s="14"/>
    </row>
    <row r="8746" spans="9:10">
      <c r="I8746" s="14"/>
      <c r="J8746" s="14"/>
    </row>
    <row r="8747" spans="9:10">
      <c r="I8747" s="14"/>
      <c r="J8747" s="14"/>
    </row>
    <row r="8748" spans="9:10">
      <c r="I8748" s="14"/>
      <c r="J8748" s="14"/>
    </row>
    <row r="8749" spans="9:10">
      <c r="I8749" s="14"/>
      <c r="J8749" s="14"/>
    </row>
    <row r="8750" spans="9:10">
      <c r="I8750" s="14"/>
      <c r="J8750" s="14"/>
    </row>
    <row r="8751" spans="9:10">
      <c r="I8751" s="14"/>
      <c r="J8751" s="14"/>
    </row>
    <row r="8752" spans="9:10">
      <c r="I8752" s="14"/>
      <c r="J8752" s="14"/>
    </row>
    <row r="8753" spans="9:10">
      <c r="I8753" s="14"/>
      <c r="J8753" s="14"/>
    </row>
    <row r="8754" spans="9:10">
      <c r="I8754" s="14"/>
      <c r="J8754" s="14"/>
    </row>
    <row r="8755" spans="9:10">
      <c r="I8755" s="14"/>
      <c r="J8755" s="14"/>
    </row>
    <row r="8756" spans="9:10">
      <c r="I8756" s="14"/>
      <c r="J8756" s="14"/>
    </row>
    <row r="8757" spans="9:10">
      <c r="I8757" s="14"/>
      <c r="J8757" s="14"/>
    </row>
    <row r="8758" spans="9:10">
      <c r="I8758" s="14"/>
      <c r="J8758" s="14"/>
    </row>
    <row r="8759" spans="9:10">
      <c r="I8759" s="14"/>
      <c r="J8759" s="14"/>
    </row>
    <row r="8760" spans="9:10">
      <c r="I8760" s="14"/>
      <c r="J8760" s="14"/>
    </row>
    <row r="8761" spans="9:10">
      <c r="I8761" s="14"/>
      <c r="J8761" s="14"/>
    </row>
    <row r="8762" spans="9:10">
      <c r="I8762" s="14"/>
      <c r="J8762" s="14"/>
    </row>
    <row r="8763" spans="9:10">
      <c r="I8763" s="14"/>
      <c r="J8763" s="14"/>
    </row>
    <row r="8764" spans="9:10">
      <c r="I8764" s="14"/>
      <c r="J8764" s="14"/>
    </row>
    <row r="8765" spans="9:10">
      <c r="I8765" s="14"/>
      <c r="J8765" s="14"/>
    </row>
    <row r="8766" spans="9:10">
      <c r="I8766" s="14"/>
      <c r="J8766" s="14"/>
    </row>
    <row r="8767" spans="9:10">
      <c r="I8767" s="14"/>
      <c r="J8767" s="14"/>
    </row>
    <row r="8768" spans="9:10">
      <c r="I8768" s="14"/>
      <c r="J8768" s="14"/>
    </row>
    <row r="8769" spans="9:10">
      <c r="I8769" s="14"/>
      <c r="J8769" s="14"/>
    </row>
    <row r="8770" spans="9:10">
      <c r="I8770" s="14"/>
      <c r="J8770" s="14"/>
    </row>
    <row r="8771" spans="9:10">
      <c r="I8771" s="14"/>
      <c r="J8771" s="14"/>
    </row>
    <row r="8772" spans="9:10">
      <c r="I8772" s="14"/>
      <c r="J8772" s="14"/>
    </row>
    <row r="8773" spans="9:10">
      <c r="I8773" s="14"/>
      <c r="J8773" s="14"/>
    </row>
    <row r="8774" spans="9:10">
      <c r="I8774" s="14"/>
      <c r="J8774" s="14"/>
    </row>
    <row r="8775" spans="9:10">
      <c r="I8775" s="14"/>
      <c r="J8775" s="14"/>
    </row>
    <row r="8776" spans="9:10">
      <c r="I8776" s="14"/>
      <c r="J8776" s="14"/>
    </row>
    <row r="8777" spans="9:10">
      <c r="I8777" s="14"/>
      <c r="J8777" s="14"/>
    </row>
    <row r="8778" spans="9:10">
      <c r="I8778" s="14"/>
      <c r="J8778" s="14"/>
    </row>
    <row r="8779" spans="9:10">
      <c r="I8779" s="14"/>
      <c r="J8779" s="14"/>
    </row>
    <row r="8780" spans="9:10">
      <c r="I8780" s="14"/>
      <c r="J8780" s="14"/>
    </row>
    <row r="8781" spans="9:10">
      <c r="I8781" s="14"/>
      <c r="J8781" s="14"/>
    </row>
    <row r="8782" spans="9:10">
      <c r="I8782" s="14"/>
      <c r="J8782" s="14"/>
    </row>
    <row r="8783" spans="9:10">
      <c r="I8783" s="14"/>
      <c r="J8783" s="14"/>
    </row>
    <row r="8784" spans="9:10">
      <c r="I8784" s="14"/>
      <c r="J8784" s="14"/>
    </row>
    <row r="8785" spans="9:10">
      <c r="I8785" s="14"/>
      <c r="J8785" s="14"/>
    </row>
    <row r="8786" spans="9:10">
      <c r="I8786" s="14"/>
      <c r="J8786" s="14"/>
    </row>
    <row r="8787" spans="9:10">
      <c r="I8787" s="14"/>
      <c r="J8787" s="14"/>
    </row>
    <row r="8788" spans="9:10">
      <c r="I8788" s="14"/>
      <c r="J8788" s="14"/>
    </row>
    <row r="8789" spans="9:10">
      <c r="I8789" s="14"/>
      <c r="J8789" s="14"/>
    </row>
    <row r="8790" spans="9:10">
      <c r="I8790" s="14"/>
      <c r="J8790" s="14"/>
    </row>
    <row r="8791" spans="9:10">
      <c r="I8791" s="14"/>
      <c r="J8791" s="14"/>
    </row>
    <row r="8792" spans="9:10">
      <c r="I8792" s="14"/>
      <c r="J8792" s="14"/>
    </row>
    <row r="8793" spans="9:10">
      <c r="I8793" s="14"/>
      <c r="J8793" s="14"/>
    </row>
    <row r="8794" spans="9:10">
      <c r="I8794" s="14"/>
      <c r="J8794" s="14"/>
    </row>
    <row r="8795" spans="9:10">
      <c r="I8795" s="14"/>
      <c r="J8795" s="14"/>
    </row>
    <row r="8796" spans="9:10">
      <c r="I8796" s="14"/>
      <c r="J8796" s="14"/>
    </row>
    <row r="8797" spans="9:10">
      <c r="I8797" s="14"/>
      <c r="J8797" s="14"/>
    </row>
    <row r="8798" spans="9:10">
      <c r="I8798" s="14"/>
      <c r="J8798" s="14"/>
    </row>
    <row r="8799" spans="9:10">
      <c r="I8799" s="14"/>
      <c r="J8799" s="14"/>
    </row>
    <row r="8800" spans="9:10">
      <c r="I8800" s="14"/>
      <c r="J8800" s="14"/>
    </row>
    <row r="8801" spans="9:10">
      <c r="I8801" s="14"/>
      <c r="J8801" s="14"/>
    </row>
    <row r="8802" spans="9:10">
      <c r="I8802" s="14"/>
      <c r="J8802" s="14"/>
    </row>
    <row r="8803" spans="9:10">
      <c r="I8803" s="14"/>
      <c r="J8803" s="14"/>
    </row>
    <row r="8804" spans="9:10">
      <c r="I8804" s="14"/>
      <c r="J8804" s="14"/>
    </row>
    <row r="8805" spans="9:10">
      <c r="I8805" s="14"/>
      <c r="J8805" s="14"/>
    </row>
    <row r="8806" spans="9:10">
      <c r="I8806" s="14"/>
      <c r="J8806" s="14"/>
    </row>
    <row r="8807" spans="9:10">
      <c r="I8807" s="14"/>
      <c r="J8807" s="14"/>
    </row>
    <row r="8808" spans="9:10">
      <c r="I8808" s="14"/>
      <c r="J8808" s="14"/>
    </row>
    <row r="8809" spans="9:10">
      <c r="I8809" s="14"/>
      <c r="J8809" s="14"/>
    </row>
    <row r="8810" spans="9:10">
      <c r="I8810" s="14"/>
      <c r="J8810" s="14"/>
    </row>
    <row r="8811" spans="9:10">
      <c r="I8811" s="14"/>
      <c r="J8811" s="14"/>
    </row>
    <row r="8812" spans="9:10">
      <c r="I8812" s="14"/>
      <c r="J8812" s="14"/>
    </row>
    <row r="8813" spans="9:10">
      <c r="I8813" s="14"/>
      <c r="J8813" s="14"/>
    </row>
    <row r="8814" spans="9:10">
      <c r="I8814" s="14"/>
      <c r="J8814" s="14"/>
    </row>
    <row r="8815" spans="9:10">
      <c r="I8815" s="14"/>
      <c r="J8815" s="14"/>
    </row>
    <row r="8816" spans="9:10">
      <c r="I8816" s="14"/>
      <c r="J8816" s="14"/>
    </row>
    <row r="8817" spans="9:10">
      <c r="I8817" s="14"/>
      <c r="J8817" s="14"/>
    </row>
    <row r="8818" spans="9:10">
      <c r="I8818" s="14"/>
      <c r="J8818" s="14"/>
    </row>
    <row r="8819" spans="9:10">
      <c r="I8819" s="14"/>
      <c r="J8819" s="14"/>
    </row>
    <row r="8820" spans="9:10">
      <c r="I8820" s="14"/>
      <c r="J8820" s="14"/>
    </row>
    <row r="8821" spans="9:10">
      <c r="I8821" s="14"/>
      <c r="J8821" s="14"/>
    </row>
    <row r="8822" spans="9:10">
      <c r="I8822" s="14"/>
      <c r="J8822" s="14"/>
    </row>
    <row r="8823" spans="9:10">
      <c r="I8823" s="14"/>
      <c r="J8823" s="14"/>
    </row>
    <row r="8824" spans="9:10">
      <c r="I8824" s="14"/>
      <c r="J8824" s="14"/>
    </row>
    <row r="8825" spans="9:10">
      <c r="I8825" s="14"/>
      <c r="J8825" s="14"/>
    </row>
    <row r="8826" spans="9:10">
      <c r="I8826" s="14"/>
      <c r="J8826" s="14"/>
    </row>
    <row r="8827" spans="9:10">
      <c r="I8827" s="14"/>
      <c r="J8827" s="14"/>
    </row>
    <row r="8828" spans="9:10">
      <c r="I8828" s="14"/>
      <c r="J8828" s="14"/>
    </row>
    <row r="8829" spans="9:10">
      <c r="I8829" s="14"/>
      <c r="J8829" s="14"/>
    </row>
    <row r="8830" spans="9:10">
      <c r="I8830" s="14"/>
      <c r="J8830" s="14"/>
    </row>
    <row r="8831" spans="9:10">
      <c r="I8831" s="14"/>
      <c r="J8831" s="14"/>
    </row>
    <row r="8832" spans="9:10">
      <c r="I8832" s="14"/>
      <c r="J8832" s="14"/>
    </row>
    <row r="8833" spans="9:10">
      <c r="I8833" s="14"/>
      <c r="J8833" s="14"/>
    </row>
    <row r="8834" spans="9:10">
      <c r="I8834" s="14"/>
      <c r="J8834" s="14"/>
    </row>
    <row r="8835" spans="9:10">
      <c r="I8835" s="14"/>
      <c r="J8835" s="14"/>
    </row>
    <row r="8836" spans="9:10">
      <c r="I8836" s="14"/>
      <c r="J8836" s="14"/>
    </row>
    <row r="8837" spans="9:10">
      <c r="I8837" s="14"/>
      <c r="J8837" s="14"/>
    </row>
    <row r="8838" spans="9:10">
      <c r="I8838" s="14"/>
      <c r="J8838" s="14"/>
    </row>
    <row r="8839" spans="9:10">
      <c r="I8839" s="14"/>
      <c r="J8839" s="14"/>
    </row>
    <row r="8840" spans="9:10">
      <c r="I8840" s="14"/>
      <c r="J8840" s="14"/>
    </row>
    <row r="8841" spans="9:10">
      <c r="I8841" s="14"/>
      <c r="J8841" s="14"/>
    </row>
    <row r="8842" spans="9:10">
      <c r="I8842" s="14"/>
      <c r="J8842" s="14"/>
    </row>
    <row r="8843" spans="9:10">
      <c r="I8843" s="14"/>
      <c r="J8843" s="14"/>
    </row>
    <row r="8844" spans="9:10">
      <c r="I8844" s="14"/>
      <c r="J8844" s="14"/>
    </row>
    <row r="8845" spans="9:10">
      <c r="I8845" s="14"/>
      <c r="J8845" s="14"/>
    </row>
    <row r="8846" spans="9:10">
      <c r="I8846" s="14"/>
      <c r="J8846" s="14"/>
    </row>
    <row r="8847" spans="9:10">
      <c r="I8847" s="14"/>
      <c r="J8847" s="14"/>
    </row>
    <row r="8848" spans="9:10">
      <c r="I8848" s="14"/>
      <c r="J8848" s="14"/>
    </row>
    <row r="8849" spans="9:10">
      <c r="I8849" s="14"/>
      <c r="J8849" s="14"/>
    </row>
    <row r="8850" spans="9:10">
      <c r="I8850" s="14"/>
      <c r="J8850" s="14"/>
    </row>
    <row r="8851" spans="9:10">
      <c r="I8851" s="14"/>
      <c r="J8851" s="14"/>
    </row>
    <row r="8852" spans="9:10">
      <c r="I8852" s="14"/>
      <c r="J8852" s="14"/>
    </row>
    <row r="8853" spans="9:10">
      <c r="I8853" s="14"/>
      <c r="J8853" s="14"/>
    </row>
    <row r="8854" spans="9:10">
      <c r="I8854" s="14"/>
      <c r="J8854" s="14"/>
    </row>
    <row r="8855" spans="9:10">
      <c r="I8855" s="14"/>
      <c r="J8855" s="14"/>
    </row>
    <row r="8856" spans="9:10">
      <c r="I8856" s="14"/>
      <c r="J8856" s="14"/>
    </row>
    <row r="8857" spans="9:10">
      <c r="I8857" s="14"/>
      <c r="J8857" s="14"/>
    </row>
    <row r="8858" spans="9:10">
      <c r="I8858" s="14"/>
      <c r="J8858" s="14"/>
    </row>
    <row r="8859" spans="9:10">
      <c r="I8859" s="14"/>
      <c r="J8859" s="14"/>
    </row>
    <row r="8860" spans="9:10">
      <c r="I8860" s="14"/>
      <c r="J8860" s="14"/>
    </row>
    <row r="8861" spans="9:10">
      <c r="I8861" s="14"/>
      <c r="J8861" s="14"/>
    </row>
    <row r="8862" spans="9:10">
      <c r="I8862" s="14"/>
      <c r="J8862" s="14"/>
    </row>
    <row r="8863" spans="9:10">
      <c r="I8863" s="14"/>
      <c r="J8863" s="14"/>
    </row>
    <row r="8864" spans="9:10">
      <c r="I8864" s="14"/>
      <c r="J8864" s="14"/>
    </row>
    <row r="8865" spans="9:10">
      <c r="I8865" s="14"/>
      <c r="J8865" s="14"/>
    </row>
    <row r="8866" spans="9:10">
      <c r="I8866" s="14"/>
      <c r="J8866" s="14"/>
    </row>
    <row r="8867" spans="9:10">
      <c r="I8867" s="14"/>
      <c r="J8867" s="14"/>
    </row>
    <row r="8868" spans="9:10">
      <c r="I8868" s="14"/>
      <c r="J8868" s="14"/>
    </row>
    <row r="8869" spans="9:10">
      <c r="I8869" s="14"/>
      <c r="J8869" s="14"/>
    </row>
    <row r="8870" spans="9:10">
      <c r="I8870" s="14"/>
      <c r="J8870" s="14"/>
    </row>
    <row r="8871" spans="9:10">
      <c r="I8871" s="14"/>
      <c r="J8871" s="14"/>
    </row>
    <row r="8872" spans="9:10">
      <c r="I8872" s="14"/>
      <c r="J8872" s="14"/>
    </row>
    <row r="8873" spans="9:10">
      <c r="I8873" s="14"/>
      <c r="J8873" s="14"/>
    </row>
    <row r="8874" spans="9:10">
      <c r="I8874" s="14"/>
      <c r="J8874" s="14"/>
    </row>
    <row r="8875" spans="9:10">
      <c r="I8875" s="14"/>
      <c r="J8875" s="14"/>
    </row>
    <row r="8876" spans="9:10">
      <c r="I8876" s="14"/>
      <c r="J8876" s="14"/>
    </row>
    <row r="8877" spans="9:10">
      <c r="I8877" s="14"/>
      <c r="J8877" s="14"/>
    </row>
    <row r="8878" spans="9:10">
      <c r="I8878" s="14"/>
      <c r="J8878" s="14"/>
    </row>
    <row r="8879" spans="9:10">
      <c r="I8879" s="14"/>
      <c r="J8879" s="14"/>
    </row>
    <row r="8880" spans="9:10">
      <c r="I8880" s="14"/>
      <c r="J8880" s="14"/>
    </row>
    <row r="8881" spans="9:10">
      <c r="I8881" s="14"/>
      <c r="J8881" s="14"/>
    </row>
    <row r="8882" spans="9:10">
      <c r="I8882" s="14"/>
      <c r="J8882" s="14"/>
    </row>
    <row r="8883" spans="9:10">
      <c r="I8883" s="14"/>
      <c r="J8883" s="14"/>
    </row>
    <row r="8884" spans="9:10">
      <c r="I8884" s="14"/>
      <c r="J8884" s="14"/>
    </row>
    <row r="8885" spans="9:10">
      <c r="I8885" s="14"/>
      <c r="J8885" s="14"/>
    </row>
    <row r="8886" spans="9:10">
      <c r="I8886" s="14"/>
      <c r="J8886" s="14"/>
    </row>
    <row r="8887" spans="9:10">
      <c r="I8887" s="14"/>
      <c r="J8887" s="14"/>
    </row>
    <row r="8888" spans="9:10">
      <c r="I8888" s="14"/>
      <c r="J8888" s="14"/>
    </row>
    <row r="8889" spans="9:10">
      <c r="I8889" s="14"/>
      <c r="J8889" s="14"/>
    </row>
    <row r="8890" spans="9:10">
      <c r="I8890" s="14"/>
      <c r="J8890" s="14"/>
    </row>
    <row r="8891" spans="9:10">
      <c r="I8891" s="14"/>
      <c r="J8891" s="14"/>
    </row>
    <row r="8892" spans="9:10">
      <c r="I8892" s="14"/>
      <c r="J8892" s="14"/>
    </row>
    <row r="8893" spans="9:10">
      <c r="I8893" s="14"/>
      <c r="J8893" s="14"/>
    </row>
    <row r="8894" spans="9:10">
      <c r="I8894" s="14"/>
      <c r="J8894" s="14"/>
    </row>
    <row r="8895" spans="9:10">
      <c r="I8895" s="14"/>
      <c r="J8895" s="14"/>
    </row>
    <row r="8896" spans="9:10">
      <c r="I8896" s="14"/>
      <c r="J8896" s="14"/>
    </row>
    <row r="8897" spans="9:10">
      <c r="I8897" s="14"/>
      <c r="J8897" s="14"/>
    </row>
    <row r="8898" spans="9:10">
      <c r="I8898" s="14"/>
      <c r="J8898" s="14"/>
    </row>
    <row r="8899" spans="9:10">
      <c r="I8899" s="14"/>
      <c r="J8899" s="14"/>
    </row>
    <row r="8900" spans="9:10">
      <c r="I8900" s="14"/>
      <c r="J8900" s="14"/>
    </row>
    <row r="8901" spans="9:10">
      <c r="I8901" s="14"/>
      <c r="J8901" s="14"/>
    </row>
    <row r="8902" spans="9:10">
      <c r="I8902" s="14"/>
      <c r="J8902" s="14"/>
    </row>
    <row r="8903" spans="9:10">
      <c r="I8903" s="14"/>
      <c r="J8903" s="14"/>
    </row>
    <row r="8904" spans="9:10">
      <c r="I8904" s="14"/>
      <c r="J8904" s="14"/>
    </row>
    <row r="8905" spans="9:10">
      <c r="I8905" s="14"/>
      <c r="J8905" s="14"/>
    </row>
    <row r="8906" spans="9:10">
      <c r="I8906" s="14"/>
      <c r="J8906" s="14"/>
    </row>
    <row r="8907" spans="9:10">
      <c r="I8907" s="14"/>
      <c r="J8907" s="14"/>
    </row>
    <row r="8908" spans="9:10">
      <c r="I8908" s="14"/>
      <c r="J8908" s="14"/>
    </row>
    <row r="8909" spans="9:10">
      <c r="I8909" s="14"/>
      <c r="J8909" s="14"/>
    </row>
    <row r="8910" spans="9:10">
      <c r="I8910" s="14"/>
      <c r="J8910" s="14"/>
    </row>
    <row r="8911" spans="9:10">
      <c r="I8911" s="14"/>
      <c r="J8911" s="14"/>
    </row>
    <row r="8912" spans="9:10">
      <c r="I8912" s="14"/>
      <c r="J8912" s="14"/>
    </row>
    <row r="8913" spans="9:10">
      <c r="I8913" s="14"/>
      <c r="J8913" s="14"/>
    </row>
    <row r="8914" spans="9:10">
      <c r="I8914" s="14"/>
      <c r="J8914" s="14"/>
    </row>
    <row r="8915" spans="9:10">
      <c r="I8915" s="14"/>
      <c r="J8915" s="14"/>
    </row>
    <row r="8916" spans="9:10">
      <c r="I8916" s="14"/>
      <c r="J8916" s="14"/>
    </row>
    <row r="8917" spans="9:10">
      <c r="I8917" s="14"/>
      <c r="J8917" s="14"/>
    </row>
    <row r="8918" spans="9:10">
      <c r="I8918" s="14"/>
      <c r="J8918" s="14"/>
    </row>
    <row r="8919" spans="9:10">
      <c r="I8919" s="14"/>
      <c r="J8919" s="14"/>
    </row>
    <row r="8920" spans="9:10">
      <c r="I8920" s="14"/>
      <c r="J8920" s="14"/>
    </row>
    <row r="8921" spans="9:10">
      <c r="I8921" s="14"/>
      <c r="J8921" s="14"/>
    </row>
    <row r="8922" spans="9:10">
      <c r="I8922" s="14"/>
      <c r="J8922" s="14"/>
    </row>
    <row r="8923" spans="9:10">
      <c r="I8923" s="14"/>
      <c r="J8923" s="14"/>
    </row>
    <row r="8924" spans="9:10">
      <c r="I8924" s="14"/>
      <c r="J8924" s="14"/>
    </row>
    <row r="8925" spans="9:10">
      <c r="I8925" s="14"/>
      <c r="J8925" s="14"/>
    </row>
    <row r="8926" spans="9:10">
      <c r="I8926" s="14"/>
      <c r="J8926" s="14"/>
    </row>
    <row r="8927" spans="9:10">
      <c r="I8927" s="14"/>
      <c r="J8927" s="14"/>
    </row>
    <row r="8928" spans="9:10">
      <c r="I8928" s="14"/>
      <c r="J8928" s="14"/>
    </row>
    <row r="8929" spans="9:10">
      <c r="I8929" s="14"/>
      <c r="J8929" s="14"/>
    </row>
    <row r="8930" spans="9:10">
      <c r="I8930" s="14"/>
      <c r="J8930" s="14"/>
    </row>
    <row r="8931" spans="9:10">
      <c r="I8931" s="14"/>
      <c r="J8931" s="14"/>
    </row>
    <row r="8932" spans="9:10">
      <c r="I8932" s="14"/>
      <c r="J8932" s="14"/>
    </row>
    <row r="8933" spans="9:10">
      <c r="I8933" s="14"/>
      <c r="J8933" s="14"/>
    </row>
    <row r="8934" spans="9:10">
      <c r="I8934" s="14"/>
      <c r="J8934" s="14"/>
    </row>
    <row r="8935" spans="9:10">
      <c r="I8935" s="14"/>
      <c r="J8935" s="14"/>
    </row>
    <row r="8936" spans="9:10">
      <c r="I8936" s="14"/>
      <c r="J8936" s="14"/>
    </row>
    <row r="8937" spans="9:10">
      <c r="I8937" s="14"/>
      <c r="J8937" s="14"/>
    </row>
    <row r="8938" spans="9:10">
      <c r="I8938" s="14"/>
      <c r="J8938" s="14"/>
    </row>
    <row r="8939" spans="9:10">
      <c r="I8939" s="14"/>
      <c r="J8939" s="14"/>
    </row>
    <row r="8940" spans="9:10">
      <c r="I8940" s="14"/>
      <c r="J8940" s="14"/>
    </row>
    <row r="8941" spans="9:10">
      <c r="I8941" s="14"/>
      <c r="J8941" s="14"/>
    </row>
    <row r="8942" spans="9:10">
      <c r="I8942" s="14"/>
      <c r="J8942" s="14"/>
    </row>
    <row r="8943" spans="9:10">
      <c r="I8943" s="14"/>
      <c r="J8943" s="14"/>
    </row>
    <row r="8944" spans="9:10">
      <c r="I8944" s="14"/>
      <c r="J8944" s="14"/>
    </row>
    <row r="8945" spans="9:10">
      <c r="I8945" s="14"/>
      <c r="J8945" s="14"/>
    </row>
    <row r="8946" spans="9:10">
      <c r="I8946" s="14"/>
      <c r="J8946" s="14"/>
    </row>
    <row r="8947" spans="9:10">
      <c r="I8947" s="14"/>
      <c r="J8947" s="14"/>
    </row>
    <row r="8948" spans="9:10">
      <c r="I8948" s="14"/>
      <c r="J8948" s="14"/>
    </row>
    <row r="8949" spans="9:10">
      <c r="I8949" s="14"/>
      <c r="J8949" s="14"/>
    </row>
    <row r="8950" spans="9:10">
      <c r="I8950" s="14"/>
      <c r="J8950" s="14"/>
    </row>
    <row r="8951" spans="9:10">
      <c r="I8951" s="14"/>
      <c r="J8951" s="14"/>
    </row>
    <row r="8952" spans="9:10">
      <c r="I8952" s="14"/>
      <c r="J8952" s="14"/>
    </row>
    <row r="8953" spans="9:10">
      <c r="I8953" s="14"/>
      <c r="J8953" s="14"/>
    </row>
    <row r="8954" spans="9:10">
      <c r="I8954" s="14"/>
      <c r="J8954" s="14"/>
    </row>
    <row r="8955" spans="9:10">
      <c r="I8955" s="14"/>
      <c r="J8955" s="14"/>
    </row>
    <row r="8956" spans="9:10">
      <c r="I8956" s="14"/>
      <c r="J8956" s="14"/>
    </row>
    <row r="8957" spans="9:10">
      <c r="I8957" s="14"/>
      <c r="J8957" s="14"/>
    </row>
    <row r="8958" spans="9:10">
      <c r="I8958" s="14"/>
      <c r="J8958" s="14"/>
    </row>
    <row r="8959" spans="9:10">
      <c r="I8959" s="14"/>
      <c r="J8959" s="14"/>
    </row>
    <row r="8960" spans="9:10">
      <c r="I8960" s="14"/>
      <c r="J8960" s="14"/>
    </row>
    <row r="8961" spans="9:10">
      <c r="I8961" s="14"/>
      <c r="J8961" s="14"/>
    </row>
    <row r="8962" spans="9:10">
      <c r="I8962" s="14"/>
      <c r="J8962" s="14"/>
    </row>
    <row r="8963" spans="9:10">
      <c r="I8963" s="14"/>
      <c r="J8963" s="14"/>
    </row>
    <row r="8964" spans="9:10">
      <c r="I8964" s="14"/>
      <c r="J8964" s="14"/>
    </row>
    <row r="8965" spans="9:10">
      <c r="I8965" s="14"/>
      <c r="J8965" s="14"/>
    </row>
    <row r="8966" spans="9:10">
      <c r="I8966" s="14"/>
      <c r="J8966" s="14"/>
    </row>
    <row r="8967" spans="9:10">
      <c r="I8967" s="14"/>
      <c r="J8967" s="14"/>
    </row>
    <row r="8968" spans="9:10">
      <c r="I8968" s="14"/>
      <c r="J8968" s="14"/>
    </row>
    <row r="8969" spans="9:10">
      <c r="I8969" s="14"/>
      <c r="J8969" s="14"/>
    </row>
    <row r="8970" spans="9:10">
      <c r="I8970" s="14"/>
      <c r="J8970" s="14"/>
    </row>
    <row r="8971" spans="9:10">
      <c r="I8971" s="14"/>
      <c r="J8971" s="14"/>
    </row>
    <row r="8972" spans="9:10">
      <c r="I8972" s="14"/>
      <c r="J8972" s="14"/>
    </row>
    <row r="8973" spans="9:10">
      <c r="I8973" s="14"/>
      <c r="J8973" s="14"/>
    </row>
    <row r="8974" spans="9:10">
      <c r="I8974" s="14"/>
      <c r="J8974" s="14"/>
    </row>
    <row r="8975" spans="9:10">
      <c r="I8975" s="14"/>
      <c r="J8975" s="14"/>
    </row>
    <row r="8976" spans="9:10">
      <c r="I8976" s="14"/>
      <c r="J8976" s="14"/>
    </row>
    <row r="8977" spans="9:10">
      <c r="I8977" s="14"/>
      <c r="J8977" s="14"/>
    </row>
    <row r="8978" spans="9:10">
      <c r="I8978" s="14"/>
      <c r="J8978" s="14"/>
    </row>
    <row r="8979" spans="9:10">
      <c r="I8979" s="14"/>
      <c r="J8979" s="14"/>
    </row>
    <row r="8980" spans="9:10">
      <c r="I8980" s="14"/>
      <c r="J8980" s="14"/>
    </row>
    <row r="8981" spans="9:10">
      <c r="I8981" s="14"/>
      <c r="J8981" s="14"/>
    </row>
    <row r="8982" spans="9:10">
      <c r="I8982" s="14"/>
      <c r="J8982" s="14"/>
    </row>
    <row r="8983" spans="9:10">
      <c r="I8983" s="14"/>
      <c r="J8983" s="14"/>
    </row>
    <row r="8984" spans="9:10">
      <c r="I8984" s="14"/>
      <c r="J8984" s="14"/>
    </row>
    <row r="8985" spans="9:10">
      <c r="I8985" s="14"/>
      <c r="J8985" s="14"/>
    </row>
    <row r="8986" spans="9:10">
      <c r="I8986" s="14"/>
      <c r="J8986" s="14"/>
    </row>
    <row r="8987" spans="9:10">
      <c r="I8987" s="14"/>
      <c r="J8987" s="14"/>
    </row>
    <row r="8988" spans="9:10">
      <c r="I8988" s="14"/>
      <c r="J8988" s="14"/>
    </row>
    <row r="8989" spans="9:10">
      <c r="I8989" s="14"/>
      <c r="J8989" s="14"/>
    </row>
    <row r="8990" spans="9:10">
      <c r="I8990" s="14"/>
      <c r="J8990" s="14"/>
    </row>
    <row r="8991" spans="9:10">
      <c r="I8991" s="14"/>
      <c r="J8991" s="14"/>
    </row>
    <row r="8992" spans="9:10">
      <c r="I8992" s="14"/>
      <c r="J8992" s="14"/>
    </row>
    <row r="8993" spans="9:10">
      <c r="I8993" s="14"/>
      <c r="J8993" s="14"/>
    </row>
    <row r="8994" spans="9:10">
      <c r="I8994" s="14"/>
      <c r="J8994" s="14"/>
    </row>
    <row r="8995" spans="9:10">
      <c r="I8995" s="14"/>
      <c r="J8995" s="14"/>
    </row>
    <row r="8996" spans="9:10">
      <c r="I8996" s="14"/>
      <c r="J8996" s="14"/>
    </row>
    <row r="8997" spans="9:10">
      <c r="I8997" s="14"/>
      <c r="J8997" s="14"/>
    </row>
    <row r="8998" spans="9:10">
      <c r="I8998" s="14"/>
      <c r="J8998" s="14"/>
    </row>
    <row r="8999" spans="9:10">
      <c r="I8999" s="14"/>
      <c r="J8999" s="14"/>
    </row>
    <row r="9000" spans="9:10">
      <c r="I9000" s="14"/>
      <c r="J9000" s="14"/>
    </row>
    <row r="9001" spans="9:10">
      <c r="I9001" s="14"/>
      <c r="J9001" s="14"/>
    </row>
    <row r="9002" spans="9:10">
      <c r="I9002" s="14"/>
      <c r="J9002" s="14"/>
    </row>
    <row r="9003" spans="9:10">
      <c r="I9003" s="14"/>
      <c r="J9003" s="14"/>
    </row>
    <row r="9004" spans="9:10">
      <c r="I9004" s="14"/>
      <c r="J9004" s="14"/>
    </row>
    <row r="9005" spans="9:10">
      <c r="I9005" s="14"/>
      <c r="J9005" s="14"/>
    </row>
    <row r="9006" spans="9:10">
      <c r="I9006" s="14"/>
      <c r="J9006" s="14"/>
    </row>
    <row r="9007" spans="9:10">
      <c r="I9007" s="14"/>
      <c r="J9007" s="14"/>
    </row>
    <row r="9008" spans="9:10">
      <c r="I9008" s="14"/>
      <c r="J9008" s="14"/>
    </row>
    <row r="9009" spans="9:10">
      <c r="I9009" s="14"/>
      <c r="J9009" s="14"/>
    </row>
    <row r="9010" spans="9:10">
      <c r="I9010" s="14"/>
      <c r="J9010" s="14"/>
    </row>
    <row r="9011" spans="9:10">
      <c r="I9011" s="14"/>
      <c r="J9011" s="14"/>
    </row>
    <row r="9012" spans="9:10">
      <c r="I9012" s="14"/>
      <c r="J9012" s="14"/>
    </row>
    <row r="9013" spans="9:10">
      <c r="I9013" s="14"/>
      <c r="J9013" s="14"/>
    </row>
    <row r="9014" spans="9:10">
      <c r="I9014" s="14"/>
      <c r="J9014" s="14"/>
    </row>
    <row r="9015" spans="9:10">
      <c r="I9015" s="14"/>
      <c r="J9015" s="14"/>
    </row>
    <row r="9016" spans="9:10">
      <c r="I9016" s="14"/>
      <c r="J9016" s="14"/>
    </row>
    <row r="9017" spans="9:10">
      <c r="I9017" s="14"/>
      <c r="J9017" s="14"/>
    </row>
    <row r="9018" spans="9:10">
      <c r="I9018" s="14"/>
      <c r="J9018" s="14"/>
    </row>
    <row r="9019" spans="9:10">
      <c r="I9019" s="14"/>
      <c r="J9019" s="14"/>
    </row>
    <row r="9020" spans="9:10">
      <c r="I9020" s="14"/>
      <c r="J9020" s="14"/>
    </row>
    <row r="9021" spans="9:10">
      <c r="I9021" s="14"/>
      <c r="J9021" s="14"/>
    </row>
    <row r="9022" spans="9:10">
      <c r="I9022" s="14"/>
      <c r="J9022" s="14"/>
    </row>
    <row r="9023" spans="9:10">
      <c r="I9023" s="14"/>
      <c r="J9023" s="14"/>
    </row>
    <row r="9024" spans="9:10">
      <c r="I9024" s="14"/>
      <c r="J9024" s="14"/>
    </row>
    <row r="9025" spans="9:10">
      <c r="I9025" s="14"/>
      <c r="J9025" s="14"/>
    </row>
    <row r="9026" spans="9:10">
      <c r="I9026" s="14"/>
      <c r="J9026" s="14"/>
    </row>
    <row r="9027" spans="9:10">
      <c r="I9027" s="14"/>
      <c r="J9027" s="14"/>
    </row>
    <row r="9028" spans="9:10">
      <c r="I9028" s="14"/>
      <c r="J9028" s="14"/>
    </row>
    <row r="9029" spans="9:10">
      <c r="I9029" s="14"/>
      <c r="J9029" s="14"/>
    </row>
    <row r="9030" spans="9:10">
      <c r="I9030" s="14"/>
      <c r="J9030" s="14"/>
    </row>
    <row r="9031" spans="9:10">
      <c r="I9031" s="14"/>
      <c r="J9031" s="14"/>
    </row>
    <row r="9032" spans="9:10">
      <c r="I9032" s="14"/>
      <c r="J9032" s="14"/>
    </row>
    <row r="9033" spans="9:10">
      <c r="I9033" s="14"/>
      <c r="J9033" s="14"/>
    </row>
    <row r="9034" spans="9:10">
      <c r="I9034" s="14"/>
      <c r="J9034" s="14"/>
    </row>
    <row r="9035" spans="9:10">
      <c r="I9035" s="14"/>
      <c r="J9035" s="14"/>
    </row>
    <row r="9036" spans="9:10">
      <c r="I9036" s="14"/>
      <c r="J9036" s="14"/>
    </row>
    <row r="9037" spans="9:10">
      <c r="I9037" s="14"/>
      <c r="J9037" s="14"/>
    </row>
    <row r="9038" spans="9:10">
      <c r="I9038" s="14"/>
      <c r="J9038" s="14"/>
    </row>
    <row r="9039" spans="9:10">
      <c r="I9039" s="14"/>
      <c r="J9039" s="14"/>
    </row>
    <row r="9040" spans="9:10">
      <c r="I9040" s="14"/>
      <c r="J9040" s="14"/>
    </row>
    <row r="9041" spans="9:10">
      <c r="I9041" s="14"/>
      <c r="J9041" s="14"/>
    </row>
    <row r="9042" spans="9:10">
      <c r="I9042" s="14"/>
      <c r="J9042" s="14"/>
    </row>
    <row r="9043" spans="9:10">
      <c r="I9043" s="14"/>
      <c r="J9043" s="14"/>
    </row>
    <row r="9044" spans="9:10">
      <c r="I9044" s="14"/>
      <c r="J9044" s="14"/>
    </row>
    <row r="9045" spans="9:10">
      <c r="I9045" s="14"/>
      <c r="J9045" s="14"/>
    </row>
    <row r="9046" spans="9:10">
      <c r="I9046" s="14"/>
      <c r="J9046" s="14"/>
    </row>
    <row r="9047" spans="9:10">
      <c r="I9047" s="14"/>
      <c r="J9047" s="14"/>
    </row>
    <row r="9048" spans="9:10">
      <c r="I9048" s="14"/>
      <c r="J9048" s="14"/>
    </row>
    <row r="9049" spans="9:10">
      <c r="I9049" s="14"/>
      <c r="J9049" s="14"/>
    </row>
    <row r="9050" spans="9:10">
      <c r="I9050" s="14"/>
      <c r="J9050" s="14"/>
    </row>
    <row r="9051" spans="9:10">
      <c r="I9051" s="14"/>
      <c r="J9051" s="14"/>
    </row>
    <row r="9052" spans="9:10">
      <c r="I9052" s="14"/>
      <c r="J9052" s="14"/>
    </row>
    <row r="9053" spans="9:10">
      <c r="I9053" s="14"/>
      <c r="J9053" s="14"/>
    </row>
    <row r="9054" spans="9:10">
      <c r="I9054" s="14"/>
      <c r="J9054" s="14"/>
    </row>
    <row r="9055" spans="9:10">
      <c r="I9055" s="14"/>
      <c r="J9055" s="14"/>
    </row>
    <row r="9056" spans="9:10">
      <c r="I9056" s="14"/>
      <c r="J9056" s="14"/>
    </row>
    <row r="9057" spans="9:10">
      <c r="I9057" s="14"/>
      <c r="J9057" s="14"/>
    </row>
    <row r="9058" spans="9:10">
      <c r="I9058" s="14"/>
      <c r="J9058" s="14"/>
    </row>
    <row r="9059" spans="9:10">
      <c r="I9059" s="14"/>
      <c r="J9059" s="14"/>
    </row>
    <row r="9060" spans="9:10">
      <c r="I9060" s="14"/>
      <c r="J9060" s="14"/>
    </row>
    <row r="9061" spans="9:10">
      <c r="I9061" s="14"/>
      <c r="J9061" s="14"/>
    </row>
    <row r="9062" spans="9:10">
      <c r="I9062" s="14"/>
      <c r="J9062" s="14"/>
    </row>
    <row r="9063" spans="9:10">
      <c r="I9063" s="14"/>
      <c r="J9063" s="14"/>
    </row>
    <row r="9064" spans="9:10">
      <c r="I9064" s="14"/>
      <c r="J9064" s="14"/>
    </row>
    <row r="9065" spans="9:10">
      <c r="I9065" s="14"/>
      <c r="J9065" s="14"/>
    </row>
    <row r="9066" spans="9:10">
      <c r="I9066" s="14"/>
      <c r="J9066" s="14"/>
    </row>
    <row r="9067" spans="9:10">
      <c r="I9067" s="14"/>
      <c r="J9067" s="14"/>
    </row>
    <row r="9068" spans="9:10">
      <c r="I9068" s="14"/>
      <c r="J9068" s="14"/>
    </row>
    <row r="9069" spans="9:10">
      <c r="I9069" s="14"/>
      <c r="J9069" s="14"/>
    </row>
    <row r="9070" spans="9:10">
      <c r="I9070" s="14"/>
      <c r="J9070" s="14"/>
    </row>
    <row r="9071" spans="9:10">
      <c r="I9071" s="14"/>
      <c r="J9071" s="14"/>
    </row>
    <row r="9072" spans="9:10">
      <c r="I9072" s="14"/>
      <c r="J9072" s="14"/>
    </row>
    <row r="9073" spans="9:10">
      <c r="I9073" s="14"/>
      <c r="J9073" s="14"/>
    </row>
    <row r="9074" spans="9:10">
      <c r="I9074" s="14"/>
      <c r="J9074" s="14"/>
    </row>
    <row r="9075" spans="9:10">
      <c r="I9075" s="14"/>
      <c r="J9075" s="14"/>
    </row>
    <row r="9076" spans="9:10">
      <c r="I9076" s="14"/>
      <c r="J9076" s="14"/>
    </row>
    <row r="9077" spans="9:10">
      <c r="I9077" s="14"/>
      <c r="J9077" s="14"/>
    </row>
    <row r="9078" spans="9:10">
      <c r="I9078" s="14"/>
      <c r="J9078" s="14"/>
    </row>
    <row r="9079" spans="9:10">
      <c r="I9079" s="14"/>
      <c r="J9079" s="14"/>
    </row>
    <row r="9080" spans="9:10">
      <c r="I9080" s="14"/>
      <c r="J9080" s="14"/>
    </row>
    <row r="9081" spans="9:10">
      <c r="I9081" s="14"/>
      <c r="J9081" s="14"/>
    </row>
    <row r="9082" spans="9:10">
      <c r="I9082" s="14"/>
      <c r="J9082" s="14"/>
    </row>
    <row r="9083" spans="9:10">
      <c r="I9083" s="14"/>
      <c r="J9083" s="14"/>
    </row>
    <row r="9084" spans="9:10">
      <c r="I9084" s="14"/>
      <c r="J9084" s="14"/>
    </row>
    <row r="9085" spans="9:10">
      <c r="I9085" s="14"/>
      <c r="J9085" s="14"/>
    </row>
    <row r="9086" spans="9:10">
      <c r="I9086" s="14"/>
      <c r="J9086" s="14"/>
    </row>
    <row r="9087" spans="9:10">
      <c r="I9087" s="14"/>
      <c r="J9087" s="14"/>
    </row>
    <row r="9088" spans="9:10">
      <c r="I9088" s="14"/>
      <c r="J9088" s="14"/>
    </row>
    <row r="9089" spans="9:10">
      <c r="I9089" s="14"/>
      <c r="J9089" s="14"/>
    </row>
    <row r="9090" spans="9:10">
      <c r="I9090" s="14"/>
      <c r="J9090" s="14"/>
    </row>
    <row r="9091" spans="9:10">
      <c r="I9091" s="14"/>
      <c r="J9091" s="14"/>
    </row>
    <row r="9092" spans="9:10">
      <c r="I9092" s="14"/>
      <c r="J9092" s="14"/>
    </row>
    <row r="9093" spans="9:10">
      <c r="I9093" s="14"/>
      <c r="J9093" s="14"/>
    </row>
    <row r="9094" spans="9:10">
      <c r="I9094" s="14"/>
      <c r="J9094" s="14"/>
    </row>
    <row r="9095" spans="9:10">
      <c r="I9095" s="14"/>
      <c r="J9095" s="14"/>
    </row>
    <row r="9096" spans="9:10">
      <c r="I9096" s="14"/>
      <c r="J9096" s="14"/>
    </row>
    <row r="9097" spans="9:10">
      <c r="I9097" s="14"/>
      <c r="J9097" s="14"/>
    </row>
    <row r="9098" spans="9:10">
      <c r="I9098" s="14"/>
      <c r="J9098" s="14"/>
    </row>
    <row r="9099" spans="9:10">
      <c r="I9099" s="14"/>
      <c r="J9099" s="14"/>
    </row>
    <row r="9100" spans="9:10">
      <c r="I9100" s="14"/>
      <c r="J9100" s="14"/>
    </row>
    <row r="9101" spans="9:10">
      <c r="I9101" s="14"/>
      <c r="J9101" s="14"/>
    </row>
    <row r="9102" spans="9:10">
      <c r="I9102" s="14"/>
      <c r="J9102" s="14"/>
    </row>
    <row r="9103" spans="9:10">
      <c r="I9103" s="14"/>
      <c r="J9103" s="14"/>
    </row>
    <row r="9104" spans="9:10">
      <c r="I9104" s="14"/>
      <c r="J9104" s="14"/>
    </row>
    <row r="9105" spans="9:10">
      <c r="I9105" s="14"/>
      <c r="J9105" s="14"/>
    </row>
    <row r="9106" spans="9:10">
      <c r="I9106" s="14"/>
      <c r="J9106" s="14"/>
    </row>
    <row r="9107" spans="9:10">
      <c r="I9107" s="14"/>
      <c r="J9107" s="14"/>
    </row>
    <row r="9108" spans="9:10">
      <c r="I9108" s="14"/>
      <c r="J9108" s="14"/>
    </row>
    <row r="9109" spans="9:10">
      <c r="I9109" s="14"/>
      <c r="J9109" s="14"/>
    </row>
    <row r="9110" spans="9:10">
      <c r="I9110" s="14"/>
      <c r="J9110" s="14"/>
    </row>
    <row r="9111" spans="9:10">
      <c r="I9111" s="14"/>
      <c r="J9111" s="14"/>
    </row>
    <row r="9112" spans="9:10">
      <c r="I9112" s="14"/>
      <c r="J9112" s="14"/>
    </row>
    <row r="9113" spans="9:10">
      <c r="I9113" s="14"/>
      <c r="J9113" s="14"/>
    </row>
    <row r="9114" spans="9:10">
      <c r="I9114" s="14"/>
      <c r="J9114" s="14"/>
    </row>
    <row r="9115" spans="9:10">
      <c r="I9115" s="14"/>
      <c r="J9115" s="14"/>
    </row>
    <row r="9116" spans="9:10">
      <c r="I9116" s="14"/>
      <c r="J9116" s="14"/>
    </row>
    <row r="9117" spans="9:10">
      <c r="I9117" s="14"/>
      <c r="J9117" s="14"/>
    </row>
    <row r="9118" spans="9:10">
      <c r="I9118" s="14"/>
      <c r="J9118" s="14"/>
    </row>
    <row r="9119" spans="9:10">
      <c r="I9119" s="14"/>
      <c r="J9119" s="14"/>
    </row>
    <row r="9120" spans="9:10">
      <c r="I9120" s="14"/>
      <c r="J9120" s="14"/>
    </row>
    <row r="9121" spans="9:10">
      <c r="I9121" s="14"/>
      <c r="J9121" s="14"/>
    </row>
    <row r="9122" spans="9:10">
      <c r="I9122" s="14"/>
      <c r="J9122" s="14"/>
    </row>
    <row r="9123" spans="9:10">
      <c r="I9123" s="14"/>
      <c r="J9123" s="14"/>
    </row>
    <row r="9124" spans="9:10">
      <c r="I9124" s="14"/>
      <c r="J9124" s="14"/>
    </row>
    <row r="9125" spans="9:10">
      <c r="I9125" s="14"/>
      <c r="J9125" s="14"/>
    </row>
    <row r="9126" spans="9:10">
      <c r="I9126" s="14"/>
      <c r="J9126" s="14"/>
    </row>
    <row r="9127" spans="9:10">
      <c r="I9127" s="14"/>
      <c r="J9127" s="14"/>
    </row>
    <row r="9128" spans="9:10">
      <c r="I9128" s="14"/>
      <c r="J9128" s="14"/>
    </row>
    <row r="9129" spans="9:10">
      <c r="I9129" s="14"/>
      <c r="J9129" s="14"/>
    </row>
    <row r="9130" spans="9:10">
      <c r="I9130" s="14"/>
      <c r="J9130" s="14"/>
    </row>
    <row r="9131" spans="9:10">
      <c r="I9131" s="14"/>
      <c r="J9131" s="14"/>
    </row>
    <row r="9132" spans="9:10">
      <c r="I9132" s="14"/>
      <c r="J9132" s="14"/>
    </row>
    <row r="9133" spans="9:10">
      <c r="I9133" s="14"/>
      <c r="J9133" s="14"/>
    </row>
    <row r="9134" spans="9:10">
      <c r="I9134" s="14"/>
      <c r="J9134" s="14"/>
    </row>
    <row r="9135" spans="9:10">
      <c r="I9135" s="14"/>
      <c r="J9135" s="14"/>
    </row>
    <row r="9136" spans="9:10">
      <c r="I9136" s="14"/>
      <c r="J9136" s="14"/>
    </row>
    <row r="9137" spans="9:10">
      <c r="I9137" s="14"/>
      <c r="J9137" s="14"/>
    </row>
    <row r="9138" spans="9:10">
      <c r="I9138" s="14"/>
      <c r="J9138" s="14"/>
    </row>
    <row r="9139" spans="9:10">
      <c r="I9139" s="14"/>
      <c r="J9139" s="14"/>
    </row>
    <row r="9140" spans="9:10">
      <c r="I9140" s="14"/>
      <c r="J9140" s="14"/>
    </row>
    <row r="9141" spans="9:10">
      <c r="I9141" s="14"/>
      <c r="J9141" s="14"/>
    </row>
    <row r="9142" spans="9:10">
      <c r="I9142" s="14"/>
      <c r="J9142" s="14"/>
    </row>
    <row r="9143" spans="9:10">
      <c r="I9143" s="14"/>
      <c r="J9143" s="14"/>
    </row>
    <row r="9144" spans="9:10">
      <c r="I9144" s="14"/>
      <c r="J9144" s="14"/>
    </row>
    <row r="9145" spans="9:10">
      <c r="I9145" s="14"/>
      <c r="J9145" s="14"/>
    </row>
    <row r="9146" spans="9:10">
      <c r="I9146" s="14"/>
      <c r="J9146" s="14"/>
    </row>
    <row r="9147" spans="9:10">
      <c r="I9147" s="14"/>
      <c r="J9147" s="14"/>
    </row>
    <row r="9148" spans="9:10">
      <c r="I9148" s="14"/>
      <c r="J9148" s="14"/>
    </row>
    <row r="9149" spans="9:10">
      <c r="I9149" s="14"/>
      <c r="J9149" s="14"/>
    </row>
    <row r="9150" spans="9:10">
      <c r="I9150" s="14"/>
      <c r="J9150" s="14"/>
    </row>
    <row r="9151" spans="9:10">
      <c r="I9151" s="14"/>
      <c r="J9151" s="14"/>
    </row>
    <row r="9152" spans="9:10">
      <c r="I9152" s="14"/>
      <c r="J9152" s="14"/>
    </row>
    <row r="9153" spans="9:10">
      <c r="I9153" s="14"/>
      <c r="J9153" s="14"/>
    </row>
    <row r="9154" spans="9:10">
      <c r="I9154" s="14"/>
      <c r="J9154" s="14"/>
    </row>
    <row r="9155" spans="9:10">
      <c r="I9155" s="14"/>
      <c r="J9155" s="14"/>
    </row>
    <row r="9156" spans="9:10">
      <c r="I9156" s="14"/>
      <c r="J9156" s="14"/>
    </row>
    <row r="9157" spans="9:10">
      <c r="I9157" s="14"/>
      <c r="J9157" s="14"/>
    </row>
    <row r="9158" spans="9:10">
      <c r="I9158" s="14"/>
      <c r="J9158" s="14"/>
    </row>
    <row r="9159" spans="9:10">
      <c r="I9159" s="14"/>
      <c r="J9159" s="14"/>
    </row>
    <row r="9160" spans="9:10">
      <c r="I9160" s="14"/>
      <c r="J9160" s="14"/>
    </row>
    <row r="9161" spans="9:10">
      <c r="I9161" s="14"/>
      <c r="J9161" s="14"/>
    </row>
    <row r="9162" spans="9:10">
      <c r="I9162" s="14"/>
      <c r="J9162" s="14"/>
    </row>
    <row r="9163" spans="9:10">
      <c r="I9163" s="14"/>
      <c r="J9163" s="14"/>
    </row>
    <row r="9164" spans="9:10">
      <c r="I9164" s="14"/>
      <c r="J9164" s="14"/>
    </row>
    <row r="9165" spans="9:10">
      <c r="I9165" s="14"/>
      <c r="J9165" s="14"/>
    </row>
    <row r="9166" spans="9:10">
      <c r="I9166" s="14"/>
      <c r="J9166" s="14"/>
    </row>
    <row r="9167" spans="9:10">
      <c r="I9167" s="14"/>
      <c r="J9167" s="14"/>
    </row>
    <row r="9168" spans="9:10">
      <c r="I9168" s="14"/>
      <c r="J9168" s="14"/>
    </row>
    <row r="9169" spans="9:10">
      <c r="I9169" s="14"/>
      <c r="J9169" s="14"/>
    </row>
    <row r="9170" spans="9:10">
      <c r="I9170" s="14"/>
      <c r="J9170" s="14"/>
    </row>
    <row r="9171" spans="9:10">
      <c r="I9171" s="14"/>
      <c r="J9171" s="14"/>
    </row>
    <row r="9172" spans="9:10">
      <c r="I9172" s="14"/>
      <c r="J9172" s="14"/>
    </row>
    <row r="9173" spans="9:10">
      <c r="I9173" s="14"/>
      <c r="J9173" s="14"/>
    </row>
    <row r="9174" spans="9:10">
      <c r="I9174" s="14"/>
      <c r="J9174" s="14"/>
    </row>
    <row r="9175" spans="9:10">
      <c r="I9175" s="14"/>
      <c r="J9175" s="14"/>
    </row>
    <row r="9176" spans="9:10">
      <c r="I9176" s="14"/>
      <c r="J9176" s="14"/>
    </row>
    <row r="9177" spans="9:10">
      <c r="I9177" s="14"/>
      <c r="J9177" s="14"/>
    </row>
    <row r="9178" spans="9:10">
      <c r="I9178" s="14"/>
      <c r="J9178" s="14"/>
    </row>
    <row r="9179" spans="9:10">
      <c r="I9179" s="14"/>
      <c r="J9179" s="14"/>
    </row>
    <row r="9180" spans="9:10">
      <c r="I9180" s="14"/>
      <c r="J9180" s="14"/>
    </row>
    <row r="9181" spans="9:10">
      <c r="I9181" s="14"/>
      <c r="J9181" s="14"/>
    </row>
    <row r="9182" spans="9:10">
      <c r="I9182" s="14"/>
      <c r="J9182" s="14"/>
    </row>
    <row r="9183" spans="9:10">
      <c r="I9183" s="14"/>
      <c r="J9183" s="14"/>
    </row>
    <row r="9184" spans="9:10">
      <c r="I9184" s="14"/>
      <c r="J9184" s="14"/>
    </row>
    <row r="9185" spans="9:10">
      <c r="I9185" s="14"/>
      <c r="J9185" s="14"/>
    </row>
    <row r="9186" spans="9:10">
      <c r="I9186" s="14"/>
      <c r="J9186" s="14"/>
    </row>
    <row r="9187" spans="9:10">
      <c r="I9187" s="14"/>
      <c r="J9187" s="14"/>
    </row>
    <row r="9188" spans="9:10">
      <c r="I9188" s="14"/>
      <c r="J9188" s="14"/>
    </row>
    <row r="9189" spans="9:10">
      <c r="I9189" s="14"/>
      <c r="J9189" s="14"/>
    </row>
    <row r="9190" spans="9:10">
      <c r="I9190" s="14"/>
      <c r="J9190" s="14"/>
    </row>
    <row r="9191" spans="9:10">
      <c r="I9191" s="14"/>
      <c r="J9191" s="14"/>
    </row>
    <row r="9192" spans="9:10">
      <c r="I9192" s="14"/>
      <c r="J9192" s="14"/>
    </row>
    <row r="9193" spans="9:10">
      <c r="I9193" s="14"/>
      <c r="J9193" s="14"/>
    </row>
    <row r="9194" spans="9:10">
      <c r="I9194" s="14"/>
      <c r="J9194" s="14"/>
    </row>
    <row r="9195" spans="9:10">
      <c r="I9195" s="14"/>
      <c r="J9195" s="14"/>
    </row>
    <row r="9196" spans="9:10">
      <c r="I9196" s="14"/>
      <c r="J9196" s="14"/>
    </row>
    <row r="9197" spans="9:10">
      <c r="I9197" s="14"/>
      <c r="J9197" s="14"/>
    </row>
    <row r="9198" spans="9:10">
      <c r="I9198" s="14"/>
      <c r="J9198" s="14"/>
    </row>
    <row r="9199" spans="9:10">
      <c r="I9199" s="14"/>
      <c r="J9199" s="14"/>
    </row>
    <row r="9200" spans="9:10">
      <c r="I9200" s="14"/>
      <c r="J9200" s="14"/>
    </row>
    <row r="9201" spans="9:10">
      <c r="I9201" s="14"/>
      <c r="J9201" s="14"/>
    </row>
    <row r="9202" spans="9:10">
      <c r="I9202" s="14"/>
      <c r="J9202" s="14"/>
    </row>
    <row r="9203" spans="9:10">
      <c r="I9203" s="14"/>
      <c r="J9203" s="14"/>
    </row>
    <row r="9204" spans="9:10">
      <c r="I9204" s="14"/>
      <c r="J9204" s="14"/>
    </row>
    <row r="9205" spans="9:10">
      <c r="I9205" s="14"/>
      <c r="J9205" s="14"/>
    </row>
    <row r="9206" spans="9:10">
      <c r="I9206" s="14"/>
      <c r="J9206" s="14"/>
    </row>
    <row r="9207" spans="9:10">
      <c r="I9207" s="14"/>
      <c r="J9207" s="14"/>
    </row>
    <row r="9208" spans="9:10">
      <c r="I9208" s="14"/>
      <c r="J9208" s="14"/>
    </row>
    <row r="9209" spans="9:10">
      <c r="I9209" s="14"/>
      <c r="J9209" s="14"/>
    </row>
    <row r="9210" spans="9:10">
      <c r="I9210" s="14"/>
      <c r="J9210" s="14"/>
    </row>
    <row r="9211" spans="9:10">
      <c r="I9211" s="14"/>
      <c r="J9211" s="14"/>
    </row>
    <row r="9212" spans="9:10">
      <c r="I9212" s="14"/>
      <c r="J9212" s="14"/>
    </row>
    <row r="9213" spans="9:10">
      <c r="I9213" s="14"/>
      <c r="J9213" s="14"/>
    </row>
    <row r="9214" spans="9:10">
      <c r="I9214" s="14"/>
      <c r="J9214" s="14"/>
    </row>
    <row r="9215" spans="9:10">
      <c r="I9215" s="14"/>
      <c r="J9215" s="14"/>
    </row>
    <row r="9216" spans="9:10">
      <c r="I9216" s="14"/>
      <c r="J9216" s="14"/>
    </row>
    <row r="9217" spans="9:10">
      <c r="I9217" s="14"/>
      <c r="J9217" s="14"/>
    </row>
    <row r="9218" spans="9:10">
      <c r="I9218" s="14"/>
      <c r="J9218" s="14"/>
    </row>
    <row r="9219" spans="9:10">
      <c r="I9219" s="14"/>
      <c r="J9219" s="14"/>
    </row>
    <row r="9220" spans="9:10">
      <c r="I9220" s="14"/>
      <c r="J9220" s="14"/>
    </row>
    <row r="9221" spans="9:10">
      <c r="I9221" s="14"/>
      <c r="J9221" s="14"/>
    </row>
    <row r="9222" spans="9:10">
      <c r="I9222" s="14"/>
      <c r="J9222" s="14"/>
    </row>
    <row r="9223" spans="9:10">
      <c r="I9223" s="14"/>
      <c r="J9223" s="14"/>
    </row>
    <row r="9224" spans="9:10">
      <c r="I9224" s="14"/>
      <c r="J9224" s="14"/>
    </row>
    <row r="9225" spans="9:10">
      <c r="I9225" s="14"/>
      <c r="J9225" s="14"/>
    </row>
    <row r="9226" spans="9:10">
      <c r="I9226" s="14"/>
      <c r="J9226" s="14"/>
    </row>
    <row r="9227" spans="9:10">
      <c r="I9227" s="14"/>
      <c r="J9227" s="14"/>
    </row>
    <row r="9228" spans="9:10">
      <c r="I9228" s="14"/>
      <c r="J9228" s="14"/>
    </row>
    <row r="9229" spans="9:10">
      <c r="I9229" s="14"/>
      <c r="J9229" s="14"/>
    </row>
    <row r="9230" spans="9:10">
      <c r="I9230" s="14"/>
      <c r="J9230" s="14"/>
    </row>
    <row r="9231" spans="9:10">
      <c r="I9231" s="14"/>
      <c r="J9231" s="14"/>
    </row>
    <row r="9232" spans="9:10">
      <c r="I9232" s="14"/>
      <c r="J9232" s="14"/>
    </row>
    <row r="9233" spans="9:10">
      <c r="I9233" s="14"/>
      <c r="J9233" s="14"/>
    </row>
    <row r="9234" spans="9:10">
      <c r="I9234" s="14"/>
      <c r="J9234" s="14"/>
    </row>
    <row r="9235" spans="9:10">
      <c r="I9235" s="14"/>
      <c r="J9235" s="14"/>
    </row>
    <row r="9236" spans="9:10">
      <c r="I9236" s="14"/>
      <c r="J9236" s="14"/>
    </row>
    <row r="9237" spans="9:10">
      <c r="I9237" s="14"/>
      <c r="J9237" s="14"/>
    </row>
    <row r="9238" spans="9:10">
      <c r="I9238" s="14"/>
      <c r="J9238" s="14"/>
    </row>
    <row r="9239" spans="9:10">
      <c r="I9239" s="14"/>
      <c r="J9239" s="14"/>
    </row>
    <row r="9240" spans="9:10">
      <c r="I9240" s="14"/>
      <c r="J9240" s="14"/>
    </row>
    <row r="9241" spans="9:10">
      <c r="I9241" s="14"/>
      <c r="J9241" s="14"/>
    </row>
    <row r="9242" spans="9:10">
      <c r="I9242" s="14"/>
      <c r="J9242" s="14"/>
    </row>
    <row r="9243" spans="9:10">
      <c r="I9243" s="14"/>
      <c r="J9243" s="14"/>
    </row>
    <row r="9244" spans="9:10">
      <c r="I9244" s="14"/>
      <c r="J9244" s="14"/>
    </row>
    <row r="9245" spans="9:10">
      <c r="I9245" s="14"/>
      <c r="J9245" s="14"/>
    </row>
    <row r="9246" spans="9:10">
      <c r="I9246" s="14"/>
      <c r="J9246" s="14"/>
    </row>
    <row r="9247" spans="9:10">
      <c r="I9247" s="14"/>
      <c r="J9247" s="14"/>
    </row>
    <row r="9248" spans="9:10">
      <c r="I9248" s="14"/>
      <c r="J9248" s="14"/>
    </row>
    <row r="9249" spans="9:10">
      <c r="I9249" s="14"/>
      <c r="J9249" s="14"/>
    </row>
    <row r="9250" spans="9:10">
      <c r="I9250" s="14"/>
      <c r="J9250" s="14"/>
    </row>
    <row r="9251" spans="9:10">
      <c r="I9251" s="14"/>
      <c r="J9251" s="14"/>
    </row>
    <row r="9252" spans="9:10">
      <c r="I9252" s="14"/>
      <c r="J9252" s="14"/>
    </row>
    <row r="9253" spans="9:10">
      <c r="I9253" s="14"/>
      <c r="J9253" s="14"/>
    </row>
    <row r="9254" spans="9:10">
      <c r="I9254" s="14"/>
      <c r="J9254" s="14"/>
    </row>
    <row r="9255" spans="9:10">
      <c r="I9255" s="14"/>
      <c r="J9255" s="14"/>
    </row>
    <row r="9256" spans="9:10">
      <c r="I9256" s="14"/>
      <c r="J9256" s="14"/>
    </row>
    <row r="9257" spans="9:10">
      <c r="I9257" s="14"/>
      <c r="J9257" s="14"/>
    </row>
    <row r="9258" spans="9:10">
      <c r="I9258" s="14"/>
      <c r="J9258" s="14"/>
    </row>
    <row r="9259" spans="9:10">
      <c r="I9259" s="14"/>
      <c r="J9259" s="14"/>
    </row>
    <row r="9260" spans="9:10">
      <c r="I9260" s="14"/>
      <c r="J9260" s="14"/>
    </row>
    <row r="9261" spans="9:10">
      <c r="I9261" s="14"/>
      <c r="J9261" s="14"/>
    </row>
    <row r="9262" spans="9:10">
      <c r="I9262" s="14"/>
      <c r="J9262" s="14"/>
    </row>
    <row r="9263" spans="9:10">
      <c r="I9263" s="14"/>
      <c r="J9263" s="14"/>
    </row>
    <row r="9264" spans="9:10">
      <c r="I9264" s="14"/>
      <c r="J9264" s="14"/>
    </row>
    <row r="9265" spans="9:10">
      <c r="I9265" s="14"/>
      <c r="J9265" s="14"/>
    </row>
    <row r="9266" spans="9:10">
      <c r="I9266" s="14"/>
      <c r="J9266" s="14"/>
    </row>
    <row r="9267" spans="9:10">
      <c r="I9267" s="14"/>
      <c r="J9267" s="14"/>
    </row>
    <row r="9268" spans="9:10">
      <c r="I9268" s="14"/>
      <c r="J9268" s="14"/>
    </row>
    <row r="9269" spans="9:10">
      <c r="I9269" s="14"/>
      <c r="J9269" s="14"/>
    </row>
    <row r="9270" spans="9:10">
      <c r="I9270" s="14"/>
      <c r="J9270" s="14"/>
    </row>
    <row r="9271" spans="9:10">
      <c r="I9271" s="14"/>
      <c r="J9271" s="14"/>
    </row>
    <row r="9272" spans="9:10">
      <c r="I9272" s="14"/>
      <c r="J9272" s="14"/>
    </row>
    <row r="9273" spans="9:10">
      <c r="I9273" s="14"/>
      <c r="J9273" s="14"/>
    </row>
    <row r="9274" spans="9:10">
      <c r="I9274" s="14"/>
      <c r="J9274" s="14"/>
    </row>
    <row r="9275" spans="9:10">
      <c r="I9275" s="14"/>
      <c r="J9275" s="14"/>
    </row>
    <row r="9276" spans="9:10">
      <c r="I9276" s="14"/>
      <c r="J9276" s="14"/>
    </row>
    <row r="9277" spans="9:10">
      <c r="I9277" s="14"/>
      <c r="J9277" s="14"/>
    </row>
    <row r="9278" spans="9:10">
      <c r="I9278" s="14"/>
      <c r="J9278" s="14"/>
    </row>
    <row r="9279" spans="9:10">
      <c r="I9279" s="14"/>
      <c r="J9279" s="14"/>
    </row>
    <row r="9280" spans="9:10">
      <c r="I9280" s="14"/>
      <c r="J9280" s="14"/>
    </row>
    <row r="9281" spans="9:10">
      <c r="I9281" s="14"/>
      <c r="J9281" s="14"/>
    </row>
    <row r="9282" spans="9:10">
      <c r="I9282" s="14"/>
      <c r="J9282" s="14"/>
    </row>
    <row r="9283" spans="9:10">
      <c r="I9283" s="14"/>
      <c r="J9283" s="14"/>
    </row>
    <row r="9284" spans="9:10">
      <c r="I9284" s="14"/>
      <c r="J9284" s="14"/>
    </row>
    <row r="9285" spans="9:10">
      <c r="I9285" s="14"/>
      <c r="J9285" s="14"/>
    </row>
    <row r="9286" spans="9:10">
      <c r="I9286" s="14"/>
      <c r="J9286" s="14"/>
    </row>
    <row r="9287" spans="9:10">
      <c r="I9287" s="14"/>
      <c r="J9287" s="14"/>
    </row>
    <row r="9288" spans="9:10">
      <c r="I9288" s="14"/>
      <c r="J9288" s="14"/>
    </row>
    <row r="9289" spans="9:10">
      <c r="I9289" s="14"/>
      <c r="J9289" s="14"/>
    </row>
    <row r="9290" spans="9:10">
      <c r="I9290" s="14"/>
      <c r="J9290" s="14"/>
    </row>
    <row r="9291" spans="9:10">
      <c r="I9291" s="14"/>
      <c r="J9291" s="14"/>
    </row>
    <row r="9292" spans="9:10">
      <c r="I9292" s="14"/>
      <c r="J9292" s="14"/>
    </row>
    <row r="9293" spans="9:10">
      <c r="I9293" s="14"/>
      <c r="J9293" s="14"/>
    </row>
    <row r="9294" spans="9:10">
      <c r="I9294" s="14"/>
      <c r="J9294" s="14"/>
    </row>
    <row r="9295" spans="9:10">
      <c r="I9295" s="14"/>
      <c r="J9295" s="14"/>
    </row>
    <row r="9296" spans="9:10">
      <c r="I9296" s="14"/>
      <c r="J9296" s="14"/>
    </row>
    <row r="9297" spans="9:10">
      <c r="I9297" s="14"/>
      <c r="J9297" s="14"/>
    </row>
    <row r="9298" spans="9:10">
      <c r="I9298" s="14"/>
      <c r="J9298" s="14"/>
    </row>
    <row r="9299" spans="9:10">
      <c r="I9299" s="14"/>
      <c r="J9299" s="14"/>
    </row>
    <row r="9300" spans="9:10">
      <c r="I9300" s="14"/>
      <c r="J9300" s="14"/>
    </row>
    <row r="9301" spans="9:10">
      <c r="I9301" s="14"/>
      <c r="J9301" s="14"/>
    </row>
    <row r="9302" spans="9:10">
      <c r="I9302" s="14"/>
      <c r="J9302" s="14"/>
    </row>
    <row r="9303" spans="9:10">
      <c r="I9303" s="14"/>
      <c r="J9303" s="14"/>
    </row>
    <row r="9304" spans="9:10">
      <c r="I9304" s="14"/>
      <c r="J9304" s="14"/>
    </row>
    <row r="9305" spans="9:10">
      <c r="I9305" s="14"/>
      <c r="J9305" s="14"/>
    </row>
    <row r="9306" spans="9:10">
      <c r="I9306" s="14"/>
      <c r="J9306" s="14"/>
    </row>
    <row r="9307" spans="9:10">
      <c r="I9307" s="14"/>
      <c r="J9307" s="14"/>
    </row>
    <row r="9308" spans="9:10">
      <c r="I9308" s="14"/>
      <c r="J9308" s="14"/>
    </row>
    <row r="9309" spans="9:10">
      <c r="I9309" s="14"/>
      <c r="J9309" s="14"/>
    </row>
    <row r="9310" spans="9:10">
      <c r="I9310" s="14"/>
      <c r="J9310" s="14"/>
    </row>
    <row r="9311" spans="9:10">
      <c r="I9311" s="14"/>
      <c r="J9311" s="14"/>
    </row>
    <row r="9312" spans="9:10">
      <c r="I9312" s="14"/>
      <c r="J9312" s="14"/>
    </row>
    <row r="9313" spans="9:10">
      <c r="I9313" s="14"/>
      <c r="J9313" s="14"/>
    </row>
    <row r="9314" spans="9:10">
      <c r="I9314" s="14"/>
      <c r="J9314" s="14"/>
    </row>
    <row r="9315" spans="9:10">
      <c r="I9315" s="14"/>
      <c r="J9315" s="14"/>
    </row>
    <row r="9316" spans="9:10">
      <c r="I9316" s="14"/>
      <c r="J9316" s="14"/>
    </row>
    <row r="9317" spans="9:10">
      <c r="I9317" s="14"/>
      <c r="J9317" s="14"/>
    </row>
    <row r="9318" spans="9:10">
      <c r="I9318" s="14"/>
      <c r="J9318" s="14"/>
    </row>
    <row r="9319" spans="9:10">
      <c r="I9319" s="14"/>
      <c r="J9319" s="14"/>
    </row>
    <row r="9320" spans="9:10">
      <c r="I9320" s="14"/>
      <c r="J9320" s="14"/>
    </row>
    <row r="9321" spans="9:10">
      <c r="I9321" s="14"/>
      <c r="J9321" s="14"/>
    </row>
    <row r="9322" spans="9:10">
      <c r="I9322" s="14"/>
      <c r="J9322" s="14"/>
    </row>
    <row r="9323" spans="9:10">
      <c r="I9323" s="14"/>
      <c r="J9323" s="14"/>
    </row>
    <row r="9324" spans="9:10">
      <c r="I9324" s="14"/>
      <c r="J9324" s="14"/>
    </row>
    <row r="9325" spans="9:10">
      <c r="I9325" s="14"/>
      <c r="J9325" s="14"/>
    </row>
    <row r="9326" spans="9:10">
      <c r="I9326" s="14"/>
      <c r="J9326" s="14"/>
    </row>
    <row r="9327" spans="9:10">
      <c r="I9327" s="14"/>
      <c r="J9327" s="14"/>
    </row>
    <row r="9328" spans="9:10">
      <c r="I9328" s="14"/>
      <c r="J9328" s="14"/>
    </row>
    <row r="9329" spans="9:10">
      <c r="I9329" s="14"/>
      <c r="J9329" s="14"/>
    </row>
    <row r="9330" spans="9:10">
      <c r="I9330" s="14"/>
      <c r="J9330" s="14"/>
    </row>
    <row r="9331" spans="9:10">
      <c r="I9331" s="14"/>
      <c r="J9331" s="14"/>
    </row>
    <row r="9332" spans="9:10">
      <c r="I9332" s="14"/>
      <c r="J9332" s="14"/>
    </row>
    <row r="9333" spans="9:10">
      <c r="I9333" s="14"/>
      <c r="J9333" s="14"/>
    </row>
    <row r="9334" spans="9:10">
      <c r="I9334" s="14"/>
      <c r="J9334" s="14"/>
    </row>
    <row r="9335" spans="9:10">
      <c r="I9335" s="14"/>
      <c r="J9335" s="14"/>
    </row>
    <row r="9336" spans="9:10">
      <c r="I9336" s="14"/>
      <c r="J9336" s="14"/>
    </row>
    <row r="9337" spans="9:10">
      <c r="I9337" s="14"/>
      <c r="J9337" s="14"/>
    </row>
    <row r="9338" spans="9:10">
      <c r="I9338" s="14"/>
      <c r="J9338" s="14"/>
    </row>
    <row r="9339" spans="9:10">
      <c r="I9339" s="14"/>
      <c r="J9339" s="14"/>
    </row>
    <row r="9340" spans="9:10">
      <c r="I9340" s="14"/>
      <c r="J9340" s="14"/>
    </row>
    <row r="9341" spans="9:10">
      <c r="I9341" s="14"/>
      <c r="J9341" s="14"/>
    </row>
    <row r="9342" spans="9:10">
      <c r="I9342" s="14"/>
      <c r="J9342" s="14"/>
    </row>
    <row r="9343" spans="9:10">
      <c r="I9343" s="14"/>
      <c r="J9343" s="14"/>
    </row>
    <row r="9344" spans="9:10">
      <c r="I9344" s="14"/>
      <c r="J9344" s="14"/>
    </row>
    <row r="9345" spans="9:10">
      <c r="I9345" s="14"/>
      <c r="J9345" s="14"/>
    </row>
    <row r="9346" spans="9:10">
      <c r="I9346" s="14"/>
      <c r="J9346" s="14"/>
    </row>
    <row r="9347" spans="9:10">
      <c r="I9347" s="14"/>
      <c r="J9347" s="14"/>
    </row>
    <row r="9348" spans="9:10">
      <c r="I9348" s="14"/>
      <c r="J9348" s="14"/>
    </row>
    <row r="9349" spans="9:10">
      <c r="I9349" s="14"/>
      <c r="J9349" s="14"/>
    </row>
    <row r="9350" spans="9:10">
      <c r="I9350" s="14"/>
      <c r="J9350" s="14"/>
    </row>
    <row r="9351" spans="9:10">
      <c r="I9351" s="14"/>
      <c r="J9351" s="14"/>
    </row>
    <row r="9352" spans="9:10">
      <c r="I9352" s="14"/>
      <c r="J9352" s="14"/>
    </row>
    <row r="9353" spans="9:10">
      <c r="I9353" s="14"/>
      <c r="J9353" s="14"/>
    </row>
    <row r="9354" spans="9:10">
      <c r="I9354" s="14"/>
      <c r="J9354" s="14"/>
    </row>
    <row r="9355" spans="9:10">
      <c r="I9355" s="14"/>
      <c r="J9355" s="14"/>
    </row>
    <row r="9356" spans="9:10">
      <c r="I9356" s="14"/>
      <c r="J9356" s="14"/>
    </row>
    <row r="9357" spans="9:10">
      <c r="I9357" s="14"/>
      <c r="J9357" s="14"/>
    </row>
    <row r="9358" spans="9:10">
      <c r="I9358" s="14"/>
      <c r="J9358" s="14"/>
    </row>
    <row r="9359" spans="9:10">
      <c r="I9359" s="14"/>
      <c r="J9359" s="14"/>
    </row>
    <row r="9360" spans="9:10">
      <c r="I9360" s="14"/>
      <c r="J9360" s="14"/>
    </row>
    <row r="9361" spans="9:10">
      <c r="I9361" s="14"/>
      <c r="J9361" s="14"/>
    </row>
    <row r="9362" spans="9:10">
      <c r="I9362" s="14"/>
      <c r="J9362" s="14"/>
    </row>
    <row r="9363" spans="9:10">
      <c r="I9363" s="14"/>
      <c r="J9363" s="14"/>
    </row>
    <row r="9364" spans="9:10">
      <c r="I9364" s="14"/>
      <c r="J9364" s="14"/>
    </row>
    <row r="9365" spans="9:10">
      <c r="I9365" s="14"/>
      <c r="J9365" s="14"/>
    </row>
    <row r="9366" spans="9:10">
      <c r="I9366" s="14"/>
      <c r="J9366" s="14"/>
    </row>
    <row r="9367" spans="9:10">
      <c r="I9367" s="14"/>
      <c r="J9367" s="14"/>
    </row>
    <row r="9368" spans="9:10">
      <c r="I9368" s="14"/>
      <c r="J9368" s="14"/>
    </row>
    <row r="9369" spans="9:10">
      <c r="I9369" s="14"/>
      <c r="J9369" s="14"/>
    </row>
    <row r="9370" spans="9:10">
      <c r="I9370" s="14"/>
      <c r="J9370" s="14"/>
    </row>
    <row r="9371" spans="9:10">
      <c r="I9371" s="14"/>
      <c r="J9371" s="14"/>
    </row>
    <row r="9372" spans="9:10">
      <c r="I9372" s="14"/>
      <c r="J9372" s="14"/>
    </row>
    <row r="9373" spans="9:10">
      <c r="I9373" s="14"/>
      <c r="J9373" s="14"/>
    </row>
    <row r="9374" spans="9:10">
      <c r="I9374" s="14"/>
      <c r="J9374" s="14"/>
    </row>
    <row r="9375" spans="9:10">
      <c r="I9375" s="14"/>
      <c r="J9375" s="14"/>
    </row>
    <row r="9376" spans="9:10">
      <c r="I9376" s="14"/>
      <c r="J9376" s="14"/>
    </row>
    <row r="9377" spans="9:10">
      <c r="I9377" s="14"/>
      <c r="J9377" s="14"/>
    </row>
    <row r="9378" spans="9:10">
      <c r="I9378" s="14"/>
      <c r="J9378" s="14"/>
    </row>
    <row r="9379" spans="9:10">
      <c r="I9379" s="14"/>
      <c r="J9379" s="14"/>
    </row>
    <row r="9380" spans="9:10">
      <c r="I9380" s="14"/>
      <c r="J9380" s="14"/>
    </row>
    <row r="9381" spans="9:10">
      <c r="I9381" s="14"/>
      <c r="J9381" s="14"/>
    </row>
    <row r="9382" spans="9:10">
      <c r="I9382" s="14"/>
      <c r="J9382" s="14"/>
    </row>
    <row r="9383" spans="9:10">
      <c r="I9383" s="14"/>
      <c r="J9383" s="14"/>
    </row>
    <row r="9384" spans="9:10">
      <c r="I9384" s="14"/>
      <c r="J9384" s="14"/>
    </row>
    <row r="9385" spans="9:10">
      <c r="I9385" s="14"/>
      <c r="J9385" s="14"/>
    </row>
    <row r="9386" spans="9:10">
      <c r="I9386" s="14"/>
      <c r="J9386" s="14"/>
    </row>
    <row r="9387" spans="9:10">
      <c r="I9387" s="14"/>
      <c r="J9387" s="14"/>
    </row>
    <row r="9388" spans="9:10">
      <c r="I9388" s="14"/>
      <c r="J9388" s="14"/>
    </row>
    <row r="9389" spans="9:10">
      <c r="I9389" s="14"/>
      <c r="J9389" s="14"/>
    </row>
    <row r="9390" spans="9:10">
      <c r="I9390" s="14"/>
      <c r="J9390" s="14"/>
    </row>
    <row r="9391" spans="9:10">
      <c r="I9391" s="14"/>
      <c r="J9391" s="14"/>
    </row>
    <row r="9392" spans="9:10">
      <c r="I9392" s="14"/>
      <c r="J9392" s="14"/>
    </row>
    <row r="9393" spans="9:10">
      <c r="I9393" s="14"/>
      <c r="J9393" s="14"/>
    </row>
    <row r="9394" spans="9:10">
      <c r="I9394" s="14"/>
      <c r="J9394" s="14"/>
    </row>
    <row r="9395" spans="9:10">
      <c r="I9395" s="14"/>
      <c r="J9395" s="14"/>
    </row>
    <row r="9396" spans="9:10">
      <c r="I9396" s="14"/>
      <c r="J9396" s="14"/>
    </row>
    <row r="9397" spans="9:10">
      <c r="I9397" s="14"/>
      <c r="J9397" s="14"/>
    </row>
    <row r="9398" spans="9:10">
      <c r="I9398" s="14"/>
      <c r="J9398" s="14"/>
    </row>
    <row r="9399" spans="9:10">
      <c r="I9399" s="14"/>
      <c r="J9399" s="14"/>
    </row>
    <row r="9400" spans="9:10">
      <c r="I9400" s="14"/>
      <c r="J9400" s="14"/>
    </row>
    <row r="9401" spans="9:10">
      <c r="I9401" s="14"/>
      <c r="J9401" s="14"/>
    </row>
    <row r="9402" spans="9:10">
      <c r="I9402" s="14"/>
      <c r="J9402" s="14"/>
    </row>
    <row r="9403" spans="9:10">
      <c r="I9403" s="14"/>
      <c r="J9403" s="14"/>
    </row>
    <row r="9404" spans="9:10">
      <c r="I9404" s="14"/>
      <c r="J9404" s="14"/>
    </row>
    <row r="9405" spans="9:10">
      <c r="I9405" s="14"/>
      <c r="J9405" s="14"/>
    </row>
    <row r="9406" spans="9:10">
      <c r="I9406" s="14"/>
      <c r="J9406" s="14"/>
    </row>
    <row r="9407" spans="9:10">
      <c r="I9407" s="14"/>
      <c r="J9407" s="14"/>
    </row>
    <row r="9408" spans="9:10">
      <c r="I9408" s="14"/>
      <c r="J9408" s="14"/>
    </row>
    <row r="9409" spans="9:10">
      <c r="I9409" s="14"/>
      <c r="J9409" s="14"/>
    </row>
    <row r="9410" spans="9:10">
      <c r="I9410" s="14"/>
      <c r="J9410" s="14"/>
    </row>
    <row r="9411" spans="9:10">
      <c r="I9411" s="14"/>
      <c r="J9411" s="14"/>
    </row>
    <row r="9412" spans="9:10">
      <c r="I9412" s="14"/>
      <c r="J9412" s="14"/>
    </row>
    <row r="9413" spans="9:10">
      <c r="I9413" s="14"/>
      <c r="J9413" s="14"/>
    </row>
    <row r="9414" spans="9:10">
      <c r="I9414" s="14"/>
      <c r="J9414" s="14"/>
    </row>
    <row r="9415" spans="9:10">
      <c r="I9415" s="14"/>
      <c r="J9415" s="14"/>
    </row>
    <row r="9416" spans="9:10">
      <c r="I9416" s="14"/>
      <c r="J9416" s="14"/>
    </row>
    <row r="9417" spans="9:10">
      <c r="I9417" s="14"/>
      <c r="J9417" s="14"/>
    </row>
    <row r="9418" spans="9:10">
      <c r="I9418" s="14"/>
      <c r="J9418" s="14"/>
    </row>
    <row r="9419" spans="9:10">
      <c r="I9419" s="14"/>
      <c r="J9419" s="14"/>
    </row>
    <row r="9420" spans="9:10">
      <c r="I9420" s="14"/>
      <c r="J9420" s="14"/>
    </row>
    <row r="9421" spans="9:10">
      <c r="I9421" s="14"/>
      <c r="J9421" s="14"/>
    </row>
    <row r="9422" spans="9:10">
      <c r="I9422" s="14"/>
      <c r="J9422" s="14"/>
    </row>
    <row r="9423" spans="9:10">
      <c r="I9423" s="14"/>
      <c r="J9423" s="14"/>
    </row>
    <row r="9424" spans="9:10">
      <c r="I9424" s="14"/>
      <c r="J9424" s="14"/>
    </row>
    <row r="9425" spans="9:10">
      <c r="I9425" s="14"/>
      <c r="J9425" s="14"/>
    </row>
    <row r="9426" spans="9:10">
      <c r="I9426" s="14"/>
      <c r="J9426" s="14"/>
    </row>
    <row r="9427" spans="9:10">
      <c r="I9427" s="14"/>
      <c r="J9427" s="14"/>
    </row>
    <row r="9428" spans="9:10">
      <c r="I9428" s="14"/>
      <c r="J9428" s="14"/>
    </row>
    <row r="9429" spans="9:10">
      <c r="I9429" s="14"/>
      <c r="J9429" s="14"/>
    </row>
    <row r="9430" spans="9:10">
      <c r="I9430" s="14"/>
      <c r="J9430" s="14"/>
    </row>
    <row r="9431" spans="9:10">
      <c r="I9431" s="14"/>
      <c r="J9431" s="14"/>
    </row>
    <row r="9432" spans="9:10">
      <c r="I9432" s="14"/>
      <c r="J9432" s="14"/>
    </row>
    <row r="9433" spans="9:10">
      <c r="I9433" s="14"/>
      <c r="J9433" s="14"/>
    </row>
    <row r="9434" spans="9:10">
      <c r="I9434" s="14"/>
      <c r="J9434" s="14"/>
    </row>
    <row r="9435" spans="9:10">
      <c r="I9435" s="14"/>
      <c r="J9435" s="14"/>
    </row>
    <row r="9436" spans="9:10">
      <c r="I9436" s="14"/>
      <c r="J9436" s="14"/>
    </row>
    <row r="9437" spans="9:10">
      <c r="I9437" s="14"/>
      <c r="J9437" s="14"/>
    </row>
    <row r="9438" spans="9:10">
      <c r="I9438" s="14"/>
      <c r="J9438" s="14"/>
    </row>
    <row r="9439" spans="9:10">
      <c r="I9439" s="14"/>
      <c r="J9439" s="14"/>
    </row>
    <row r="9440" spans="9:10">
      <c r="I9440" s="14"/>
      <c r="J9440" s="14"/>
    </row>
    <row r="9441" spans="9:10">
      <c r="I9441" s="14"/>
      <c r="J9441" s="14"/>
    </row>
    <row r="9442" spans="9:10">
      <c r="I9442" s="14"/>
      <c r="J9442" s="14"/>
    </row>
    <row r="9443" spans="9:10">
      <c r="I9443" s="14"/>
      <c r="J9443" s="14"/>
    </row>
    <row r="9444" spans="9:10">
      <c r="I9444" s="14"/>
      <c r="J9444" s="14"/>
    </row>
    <row r="9445" spans="9:10">
      <c r="I9445" s="14"/>
      <c r="J9445" s="14"/>
    </row>
    <row r="9446" spans="9:10">
      <c r="I9446" s="14"/>
      <c r="J9446" s="14"/>
    </row>
    <row r="9447" spans="9:10">
      <c r="I9447" s="14"/>
      <c r="J9447" s="14"/>
    </row>
    <row r="9448" spans="9:10">
      <c r="I9448" s="14"/>
      <c r="J9448" s="14"/>
    </row>
    <row r="9449" spans="9:10">
      <c r="I9449" s="14"/>
      <c r="J9449" s="14"/>
    </row>
    <row r="9450" spans="9:10">
      <c r="I9450" s="14"/>
      <c r="J9450" s="14"/>
    </row>
    <row r="9451" spans="9:10">
      <c r="I9451" s="14"/>
      <c r="J9451" s="14"/>
    </row>
    <row r="9452" spans="9:10">
      <c r="I9452" s="14"/>
      <c r="J9452" s="14"/>
    </row>
    <row r="9453" spans="9:10">
      <c r="I9453" s="14"/>
      <c r="J9453" s="14"/>
    </row>
    <row r="9454" spans="9:10">
      <c r="I9454" s="14"/>
      <c r="J9454" s="14"/>
    </row>
    <row r="9455" spans="9:10">
      <c r="I9455" s="14"/>
      <c r="J9455" s="14"/>
    </row>
    <row r="9456" spans="9:10">
      <c r="I9456" s="14"/>
      <c r="J9456" s="14"/>
    </row>
    <row r="9457" spans="9:10">
      <c r="I9457" s="14"/>
      <c r="J9457" s="14"/>
    </row>
    <row r="9458" spans="9:10">
      <c r="I9458" s="14"/>
      <c r="J9458" s="14"/>
    </row>
    <row r="9459" spans="9:10">
      <c r="I9459" s="14"/>
      <c r="J9459" s="14"/>
    </row>
    <row r="9460" spans="9:10">
      <c r="I9460" s="14"/>
      <c r="J9460" s="14"/>
    </row>
    <row r="9461" spans="9:10">
      <c r="I9461" s="14"/>
      <c r="J9461" s="14"/>
    </row>
    <row r="9462" spans="9:10">
      <c r="I9462" s="14"/>
      <c r="J9462" s="14"/>
    </row>
    <row r="9463" spans="9:10">
      <c r="I9463" s="14"/>
      <c r="J9463" s="14"/>
    </row>
    <row r="9464" spans="9:10">
      <c r="I9464" s="14"/>
      <c r="J9464" s="14"/>
    </row>
    <row r="9465" spans="9:10">
      <c r="I9465" s="14"/>
      <c r="J9465" s="14"/>
    </row>
    <row r="9466" spans="9:10">
      <c r="I9466" s="14"/>
      <c r="J9466" s="14"/>
    </row>
    <row r="9467" spans="9:10">
      <c r="I9467" s="14"/>
      <c r="J9467" s="14"/>
    </row>
    <row r="9468" spans="9:10">
      <c r="I9468" s="14"/>
      <c r="J9468" s="14"/>
    </row>
    <row r="9469" spans="9:10">
      <c r="I9469" s="14"/>
      <c r="J9469" s="14"/>
    </row>
    <row r="9470" spans="9:10">
      <c r="I9470" s="14"/>
      <c r="J9470" s="14"/>
    </row>
    <row r="9471" spans="9:10">
      <c r="I9471" s="14"/>
      <c r="J9471" s="14"/>
    </row>
    <row r="9472" spans="9:10">
      <c r="I9472" s="14"/>
      <c r="J9472" s="14"/>
    </row>
    <row r="9473" spans="9:10">
      <c r="I9473" s="14"/>
      <c r="J9473" s="14"/>
    </row>
    <row r="9474" spans="9:10">
      <c r="I9474" s="14"/>
      <c r="J9474" s="14"/>
    </row>
    <row r="9475" spans="9:10">
      <c r="I9475" s="14"/>
      <c r="J9475" s="14"/>
    </row>
    <row r="9476" spans="9:10">
      <c r="I9476" s="14"/>
      <c r="J9476" s="14"/>
    </row>
    <row r="9477" spans="9:10">
      <c r="I9477" s="14"/>
      <c r="J9477" s="14"/>
    </row>
    <row r="9478" spans="9:10">
      <c r="I9478" s="14"/>
      <c r="J9478" s="14"/>
    </row>
    <row r="9479" spans="9:10">
      <c r="I9479" s="14"/>
      <c r="J9479" s="14"/>
    </row>
    <row r="9480" spans="9:10">
      <c r="I9480" s="14"/>
      <c r="J9480" s="14"/>
    </row>
    <row r="9481" spans="9:10">
      <c r="I9481" s="14"/>
      <c r="J9481" s="14"/>
    </row>
    <row r="9482" spans="9:10">
      <c r="I9482" s="14"/>
      <c r="J9482" s="14"/>
    </row>
    <row r="9483" spans="9:10">
      <c r="I9483" s="14"/>
      <c r="J9483" s="14"/>
    </row>
    <row r="9484" spans="9:10">
      <c r="I9484" s="14"/>
      <c r="J9484" s="14"/>
    </row>
    <row r="9485" spans="9:10">
      <c r="I9485" s="14"/>
      <c r="J9485" s="14"/>
    </row>
    <row r="9486" spans="9:10">
      <c r="I9486" s="14"/>
      <c r="J9486" s="14"/>
    </row>
    <row r="9487" spans="9:10">
      <c r="I9487" s="14"/>
      <c r="J9487" s="14"/>
    </row>
    <row r="9488" spans="9:10">
      <c r="I9488" s="14"/>
      <c r="J9488" s="14"/>
    </row>
    <row r="9489" spans="9:10">
      <c r="I9489" s="14"/>
      <c r="J9489" s="14"/>
    </row>
    <row r="9490" spans="9:10">
      <c r="I9490" s="14"/>
      <c r="J9490" s="14"/>
    </row>
    <row r="9491" spans="9:10">
      <c r="I9491" s="14"/>
      <c r="J9491" s="14"/>
    </row>
    <row r="9492" spans="9:10">
      <c r="I9492" s="14"/>
      <c r="J9492" s="14"/>
    </row>
    <row r="9493" spans="9:10">
      <c r="I9493" s="14"/>
      <c r="J9493" s="14"/>
    </row>
    <row r="9494" spans="9:10">
      <c r="I9494" s="14"/>
      <c r="J9494" s="14"/>
    </row>
    <row r="9495" spans="9:10">
      <c r="I9495" s="14"/>
      <c r="J9495" s="14"/>
    </row>
    <row r="9496" spans="9:10">
      <c r="I9496" s="14"/>
      <c r="J9496" s="14"/>
    </row>
    <row r="9497" spans="9:10">
      <c r="I9497" s="14"/>
      <c r="J9497" s="14"/>
    </row>
    <row r="9498" spans="9:10">
      <c r="I9498" s="14"/>
      <c r="J9498" s="14"/>
    </row>
    <row r="9499" spans="9:10">
      <c r="I9499" s="14"/>
      <c r="J9499" s="14"/>
    </row>
    <row r="9500" spans="9:10">
      <c r="I9500" s="14"/>
      <c r="J9500" s="14"/>
    </row>
    <row r="9501" spans="9:10">
      <c r="I9501" s="14"/>
      <c r="J9501" s="14"/>
    </row>
    <row r="9502" spans="9:10">
      <c r="I9502" s="14"/>
      <c r="J9502" s="14"/>
    </row>
    <row r="9503" spans="9:10">
      <c r="I9503" s="14"/>
      <c r="J9503" s="14"/>
    </row>
    <row r="9504" spans="9:10">
      <c r="I9504" s="14"/>
      <c r="J9504" s="14"/>
    </row>
    <row r="9505" spans="9:10">
      <c r="I9505" s="14"/>
      <c r="J9505" s="14"/>
    </row>
    <row r="9506" spans="9:10">
      <c r="I9506" s="14"/>
      <c r="J9506" s="14"/>
    </row>
    <row r="9507" spans="9:10">
      <c r="I9507" s="14"/>
      <c r="J9507" s="14"/>
    </row>
    <row r="9508" spans="9:10">
      <c r="I9508" s="14"/>
      <c r="J9508" s="14"/>
    </row>
    <row r="9509" spans="9:10">
      <c r="I9509" s="14"/>
      <c r="J9509" s="14"/>
    </row>
    <row r="9510" spans="9:10">
      <c r="I9510" s="14"/>
      <c r="J9510" s="14"/>
    </row>
    <row r="9511" spans="9:10">
      <c r="I9511" s="14"/>
      <c r="J9511" s="14"/>
    </row>
    <row r="9512" spans="9:10">
      <c r="I9512" s="14"/>
      <c r="J9512" s="14"/>
    </row>
    <row r="9513" spans="9:10">
      <c r="I9513" s="14"/>
      <c r="J9513" s="14"/>
    </row>
    <row r="9514" spans="9:10">
      <c r="I9514" s="14"/>
      <c r="J9514" s="14"/>
    </row>
    <row r="9515" spans="9:10">
      <c r="I9515" s="14"/>
      <c r="J9515" s="14"/>
    </row>
    <row r="9516" spans="9:10">
      <c r="I9516" s="14"/>
      <c r="J9516" s="14"/>
    </row>
    <row r="9517" spans="9:10">
      <c r="I9517" s="14"/>
      <c r="J9517" s="14"/>
    </row>
    <row r="9518" spans="9:10">
      <c r="I9518" s="14"/>
      <c r="J9518" s="14"/>
    </row>
    <row r="9519" spans="9:10">
      <c r="I9519" s="14"/>
      <c r="J9519" s="14"/>
    </row>
    <row r="9520" spans="9:10">
      <c r="I9520" s="14"/>
      <c r="J9520" s="14"/>
    </row>
    <row r="9521" spans="9:10">
      <c r="I9521" s="14"/>
      <c r="J9521" s="14"/>
    </row>
    <row r="9522" spans="9:10">
      <c r="I9522" s="14"/>
      <c r="J9522" s="14"/>
    </row>
    <row r="9523" spans="9:10">
      <c r="I9523" s="14"/>
      <c r="J9523" s="14"/>
    </row>
    <row r="9524" spans="9:10">
      <c r="I9524" s="14"/>
      <c r="J9524" s="14"/>
    </row>
    <row r="9525" spans="9:10">
      <c r="I9525" s="14"/>
      <c r="J9525" s="14"/>
    </row>
    <row r="9526" spans="9:10">
      <c r="I9526" s="14"/>
      <c r="J9526" s="14"/>
    </row>
    <row r="9527" spans="9:10">
      <c r="I9527" s="14"/>
      <c r="J9527" s="14"/>
    </row>
    <row r="9528" spans="9:10">
      <c r="I9528" s="14"/>
      <c r="J9528" s="14"/>
    </row>
    <row r="9529" spans="9:10">
      <c r="I9529" s="14"/>
      <c r="J9529" s="14"/>
    </row>
    <row r="9530" spans="9:10">
      <c r="I9530" s="14"/>
      <c r="J9530" s="14"/>
    </row>
    <row r="9531" spans="9:10">
      <c r="I9531" s="14"/>
      <c r="J9531" s="14"/>
    </row>
    <row r="9532" spans="9:10">
      <c r="I9532" s="14"/>
      <c r="J9532" s="14"/>
    </row>
    <row r="9533" spans="9:10">
      <c r="I9533" s="14"/>
      <c r="J9533" s="14"/>
    </row>
    <row r="9534" spans="9:10">
      <c r="I9534" s="14"/>
      <c r="J9534" s="14"/>
    </row>
    <row r="9535" spans="9:10">
      <c r="I9535" s="14"/>
      <c r="J9535" s="14"/>
    </row>
    <row r="9536" spans="9:10">
      <c r="I9536" s="14"/>
      <c r="J9536" s="14"/>
    </row>
    <row r="9537" spans="9:10">
      <c r="I9537" s="14"/>
      <c r="J9537" s="14"/>
    </row>
    <row r="9538" spans="9:10">
      <c r="I9538" s="14"/>
      <c r="J9538" s="14"/>
    </row>
    <row r="9539" spans="9:10">
      <c r="I9539" s="14"/>
      <c r="J9539" s="14"/>
    </row>
    <row r="9540" spans="9:10">
      <c r="I9540" s="14"/>
      <c r="J9540" s="14"/>
    </row>
    <row r="9541" spans="9:10">
      <c r="I9541" s="14"/>
      <c r="J9541" s="14"/>
    </row>
    <row r="9542" spans="9:10">
      <c r="I9542" s="14"/>
      <c r="J9542" s="14"/>
    </row>
    <row r="9543" spans="9:10">
      <c r="I9543" s="14"/>
      <c r="J9543" s="14"/>
    </row>
    <row r="9544" spans="9:10">
      <c r="I9544" s="14"/>
      <c r="J9544" s="14"/>
    </row>
    <row r="9545" spans="9:10">
      <c r="I9545" s="14"/>
      <c r="J9545" s="14"/>
    </row>
    <row r="9546" spans="9:10">
      <c r="I9546" s="14"/>
      <c r="J9546" s="14"/>
    </row>
    <row r="9547" spans="9:10">
      <c r="I9547" s="14"/>
      <c r="J9547" s="14"/>
    </row>
    <row r="9548" spans="9:10">
      <c r="I9548" s="14"/>
      <c r="J9548" s="14"/>
    </row>
    <row r="9549" spans="9:10">
      <c r="I9549" s="14"/>
      <c r="J9549" s="14"/>
    </row>
    <row r="9550" spans="9:10">
      <c r="I9550" s="14"/>
      <c r="J9550" s="14"/>
    </row>
    <row r="9551" spans="9:10">
      <c r="I9551" s="14"/>
      <c r="J9551" s="14"/>
    </row>
    <row r="9552" spans="9:10">
      <c r="I9552" s="14"/>
      <c r="J9552" s="14"/>
    </row>
    <row r="9553" spans="9:10">
      <c r="I9553" s="14"/>
      <c r="J9553" s="14"/>
    </row>
    <row r="9554" spans="9:10">
      <c r="I9554" s="14"/>
      <c r="J9554" s="14"/>
    </row>
    <row r="9555" spans="9:10">
      <c r="I9555" s="14"/>
      <c r="J9555" s="14"/>
    </row>
    <row r="9556" spans="9:10">
      <c r="I9556" s="14"/>
      <c r="J9556" s="14"/>
    </row>
    <row r="9557" spans="9:10">
      <c r="I9557" s="14"/>
      <c r="J9557" s="14"/>
    </row>
    <row r="9558" spans="9:10">
      <c r="I9558" s="14"/>
      <c r="J9558" s="14"/>
    </row>
    <row r="9559" spans="9:10">
      <c r="I9559" s="14"/>
      <c r="J9559" s="14"/>
    </row>
    <row r="9560" spans="9:10">
      <c r="I9560" s="14"/>
      <c r="J9560" s="14"/>
    </row>
    <row r="9561" spans="9:10">
      <c r="I9561" s="14"/>
      <c r="J9561" s="14"/>
    </row>
    <row r="9562" spans="9:10">
      <c r="I9562" s="14"/>
      <c r="J9562" s="14"/>
    </row>
    <row r="9563" spans="9:10">
      <c r="I9563" s="14"/>
      <c r="J9563" s="14"/>
    </row>
    <row r="9564" spans="9:10">
      <c r="I9564" s="14"/>
      <c r="J9564" s="14"/>
    </row>
    <row r="9565" spans="9:10">
      <c r="I9565" s="14"/>
      <c r="J9565" s="14"/>
    </row>
    <row r="9566" spans="9:10">
      <c r="I9566" s="14"/>
      <c r="J9566" s="14"/>
    </row>
    <row r="9567" spans="9:10">
      <c r="I9567" s="14"/>
      <c r="J9567" s="14"/>
    </row>
    <row r="9568" spans="9:10">
      <c r="I9568" s="14"/>
      <c r="J9568" s="14"/>
    </row>
    <row r="9569" spans="9:10">
      <c r="I9569" s="14"/>
      <c r="J9569" s="14"/>
    </row>
    <row r="9570" spans="9:10">
      <c r="I9570" s="14"/>
      <c r="J9570" s="14"/>
    </row>
    <row r="9571" spans="9:10">
      <c r="I9571" s="14"/>
      <c r="J9571" s="14"/>
    </row>
    <row r="9572" spans="9:10">
      <c r="I9572" s="14"/>
      <c r="J9572" s="14"/>
    </row>
    <row r="9573" spans="9:10">
      <c r="I9573" s="14"/>
      <c r="J9573" s="14"/>
    </row>
    <row r="9574" spans="9:10">
      <c r="I9574" s="14"/>
      <c r="J9574" s="14"/>
    </row>
    <row r="9575" spans="9:10">
      <c r="I9575" s="14"/>
      <c r="J9575" s="14"/>
    </row>
    <row r="9576" spans="9:10">
      <c r="I9576" s="14"/>
      <c r="J9576" s="14"/>
    </row>
    <row r="9577" spans="9:10">
      <c r="I9577" s="14"/>
      <c r="J9577" s="14"/>
    </row>
    <row r="9578" spans="9:10">
      <c r="I9578" s="14"/>
      <c r="J9578" s="14"/>
    </row>
    <row r="9579" spans="9:10">
      <c r="I9579" s="14"/>
      <c r="J9579" s="14"/>
    </row>
    <row r="9580" spans="9:10">
      <c r="I9580" s="14"/>
      <c r="J9580" s="14"/>
    </row>
    <row r="9581" spans="9:10">
      <c r="I9581" s="14"/>
      <c r="J9581" s="14"/>
    </row>
    <row r="9582" spans="9:10">
      <c r="I9582" s="14"/>
      <c r="J9582" s="14"/>
    </row>
    <row r="9583" spans="9:10">
      <c r="I9583" s="14"/>
      <c r="J9583" s="14"/>
    </row>
    <row r="9584" spans="9:10">
      <c r="I9584" s="14"/>
      <c r="J9584" s="14"/>
    </row>
    <row r="9585" spans="9:10">
      <c r="I9585" s="14"/>
      <c r="J9585" s="14"/>
    </row>
    <row r="9586" spans="9:10">
      <c r="I9586" s="14"/>
      <c r="J9586" s="14"/>
    </row>
    <row r="9587" spans="9:10">
      <c r="I9587" s="14"/>
      <c r="J9587" s="14"/>
    </row>
    <row r="9588" spans="9:10">
      <c r="I9588" s="14"/>
      <c r="J9588" s="14"/>
    </row>
    <row r="9589" spans="9:10">
      <c r="I9589" s="14"/>
      <c r="J9589" s="14"/>
    </row>
    <row r="9590" spans="9:10">
      <c r="I9590" s="14"/>
      <c r="J9590" s="14"/>
    </row>
    <row r="9591" spans="9:10">
      <c r="I9591" s="14"/>
      <c r="J9591" s="14"/>
    </row>
    <row r="9592" spans="9:10">
      <c r="I9592" s="14"/>
      <c r="J9592" s="14"/>
    </row>
    <row r="9593" spans="9:10">
      <c r="I9593" s="14"/>
      <c r="J9593" s="14"/>
    </row>
    <row r="9594" spans="9:10">
      <c r="I9594" s="14"/>
      <c r="J9594" s="14"/>
    </row>
    <row r="9595" spans="9:10">
      <c r="I9595" s="14"/>
      <c r="J9595" s="14"/>
    </row>
    <row r="9596" spans="9:10">
      <c r="I9596" s="14"/>
      <c r="J9596" s="14"/>
    </row>
    <row r="9597" spans="9:10">
      <c r="I9597" s="14"/>
      <c r="J9597" s="14"/>
    </row>
    <row r="9598" spans="9:10">
      <c r="I9598" s="14"/>
      <c r="J9598" s="14"/>
    </row>
    <row r="9599" spans="9:10">
      <c r="I9599" s="14"/>
      <c r="J9599" s="14"/>
    </row>
    <row r="9600" spans="9:10">
      <c r="I9600" s="14"/>
      <c r="J9600" s="14"/>
    </row>
    <row r="9601" spans="9:10">
      <c r="I9601" s="14"/>
      <c r="J9601" s="14"/>
    </row>
    <row r="9602" spans="9:10">
      <c r="I9602" s="14"/>
      <c r="J9602" s="14"/>
    </row>
    <row r="9603" spans="9:10">
      <c r="I9603" s="14"/>
      <c r="J9603" s="14"/>
    </row>
    <row r="9604" spans="9:10">
      <c r="I9604" s="14"/>
      <c r="J9604" s="14"/>
    </row>
    <row r="9605" spans="9:10">
      <c r="I9605" s="14"/>
      <c r="J9605" s="14"/>
    </row>
    <row r="9606" spans="9:10">
      <c r="I9606" s="14"/>
      <c r="J9606" s="14"/>
    </row>
    <row r="9607" spans="9:10">
      <c r="I9607" s="14"/>
      <c r="J9607" s="14"/>
    </row>
    <row r="9608" spans="9:10">
      <c r="I9608" s="14"/>
      <c r="J9608" s="14"/>
    </row>
    <row r="9609" spans="9:10">
      <c r="I9609" s="14"/>
      <c r="J9609" s="14"/>
    </row>
    <row r="9610" spans="9:10">
      <c r="I9610" s="14"/>
      <c r="J9610" s="14"/>
    </row>
    <row r="9611" spans="9:10">
      <c r="I9611" s="14"/>
      <c r="J9611" s="14"/>
    </row>
    <row r="9612" spans="9:10">
      <c r="I9612" s="14"/>
      <c r="J9612" s="14"/>
    </row>
    <row r="9613" spans="9:10">
      <c r="I9613" s="14"/>
      <c r="J9613" s="14"/>
    </row>
    <row r="9614" spans="9:10">
      <c r="I9614" s="14"/>
      <c r="J9614" s="14"/>
    </row>
    <row r="9615" spans="9:10">
      <c r="I9615" s="14"/>
      <c r="J9615" s="14"/>
    </row>
    <row r="9616" spans="9:10">
      <c r="I9616" s="14"/>
      <c r="J9616" s="14"/>
    </row>
    <row r="9617" spans="9:10">
      <c r="I9617" s="14"/>
      <c r="J9617" s="14"/>
    </row>
    <row r="9618" spans="9:10">
      <c r="I9618" s="14"/>
      <c r="J9618" s="14"/>
    </row>
    <row r="9619" spans="9:10">
      <c r="I9619" s="14"/>
      <c r="J9619" s="14"/>
    </row>
    <row r="9620" spans="9:10">
      <c r="I9620" s="14"/>
      <c r="J9620" s="14"/>
    </row>
    <row r="9621" spans="9:10">
      <c r="I9621" s="14"/>
      <c r="J9621" s="14"/>
    </row>
    <row r="9622" spans="9:10">
      <c r="I9622" s="14"/>
      <c r="J9622" s="14"/>
    </row>
    <row r="9623" spans="9:10">
      <c r="I9623" s="14"/>
      <c r="J9623" s="14"/>
    </row>
    <row r="9624" spans="9:10">
      <c r="I9624" s="14"/>
      <c r="J9624" s="14"/>
    </row>
    <row r="9625" spans="9:10">
      <c r="I9625" s="14"/>
      <c r="J9625" s="14"/>
    </row>
    <row r="9626" spans="9:10">
      <c r="I9626" s="14"/>
      <c r="J9626" s="14"/>
    </row>
    <row r="9627" spans="9:10">
      <c r="I9627" s="14"/>
      <c r="J9627" s="14"/>
    </row>
    <row r="9628" spans="9:10">
      <c r="I9628" s="14"/>
      <c r="J9628" s="14"/>
    </row>
    <row r="9629" spans="9:10">
      <c r="I9629" s="14"/>
      <c r="J9629" s="14"/>
    </row>
    <row r="9630" spans="9:10">
      <c r="I9630" s="14"/>
      <c r="J9630" s="14"/>
    </row>
    <row r="9631" spans="9:10">
      <c r="I9631" s="14"/>
      <c r="J9631" s="14"/>
    </row>
    <row r="9632" spans="9:10">
      <c r="I9632" s="14"/>
      <c r="J9632" s="14"/>
    </row>
    <row r="9633" spans="9:10">
      <c r="I9633" s="14"/>
      <c r="J9633" s="14"/>
    </row>
    <row r="9634" spans="9:10">
      <c r="I9634" s="14"/>
      <c r="J9634" s="14"/>
    </row>
    <row r="9635" spans="9:10">
      <c r="I9635" s="14"/>
      <c r="J9635" s="14"/>
    </row>
    <row r="9636" spans="9:10">
      <c r="I9636" s="14"/>
      <c r="J9636" s="14"/>
    </row>
    <row r="9637" spans="9:10">
      <c r="I9637" s="14"/>
      <c r="J9637" s="14"/>
    </row>
    <row r="9638" spans="9:10">
      <c r="I9638" s="14"/>
      <c r="J9638" s="14"/>
    </row>
    <row r="9639" spans="9:10">
      <c r="I9639" s="14"/>
      <c r="J9639" s="14"/>
    </row>
    <row r="9640" spans="9:10">
      <c r="I9640" s="14"/>
      <c r="J9640" s="14"/>
    </row>
    <row r="9641" spans="9:10">
      <c r="I9641" s="14"/>
      <c r="J9641" s="14"/>
    </row>
    <row r="9642" spans="9:10">
      <c r="I9642" s="14"/>
      <c r="J9642" s="14"/>
    </row>
    <row r="9643" spans="9:10">
      <c r="I9643" s="14"/>
      <c r="J9643" s="14"/>
    </row>
    <row r="9644" spans="9:10">
      <c r="I9644" s="14"/>
      <c r="J9644" s="14"/>
    </row>
    <row r="9645" spans="9:10">
      <c r="I9645" s="14"/>
      <c r="J9645" s="14"/>
    </row>
    <row r="9646" spans="9:10">
      <c r="I9646" s="14"/>
      <c r="J9646" s="14"/>
    </row>
    <row r="9647" spans="9:10">
      <c r="I9647" s="14"/>
      <c r="J9647" s="14"/>
    </row>
    <row r="9648" spans="9:10">
      <c r="I9648" s="14"/>
      <c r="J9648" s="14"/>
    </row>
    <row r="9649" spans="9:10">
      <c r="I9649" s="14"/>
      <c r="J9649" s="14"/>
    </row>
    <row r="9650" spans="9:10">
      <c r="I9650" s="14"/>
      <c r="J9650" s="14"/>
    </row>
    <row r="9651" spans="9:10">
      <c r="I9651" s="14"/>
      <c r="J9651" s="14"/>
    </row>
    <row r="9652" spans="9:10">
      <c r="I9652" s="14"/>
      <c r="J9652" s="14"/>
    </row>
    <row r="9653" spans="9:10">
      <c r="I9653" s="14"/>
      <c r="J9653" s="14"/>
    </row>
    <row r="9654" spans="9:10">
      <c r="I9654" s="14"/>
      <c r="J9654" s="14"/>
    </row>
    <row r="9655" spans="9:10">
      <c r="I9655" s="14"/>
      <c r="J9655" s="14"/>
    </row>
    <row r="9656" spans="9:10">
      <c r="I9656" s="14"/>
      <c r="J9656" s="14"/>
    </row>
    <row r="9657" spans="9:10">
      <c r="I9657" s="14"/>
      <c r="J9657" s="14"/>
    </row>
    <row r="9658" spans="9:10">
      <c r="I9658" s="14"/>
      <c r="J9658" s="14"/>
    </row>
    <row r="9659" spans="9:10">
      <c r="I9659" s="14"/>
      <c r="J9659" s="14"/>
    </row>
    <row r="9660" spans="9:10">
      <c r="I9660" s="14"/>
      <c r="J9660" s="14"/>
    </row>
    <row r="9661" spans="9:10">
      <c r="I9661" s="14"/>
      <c r="J9661" s="14"/>
    </row>
    <row r="9662" spans="9:10">
      <c r="I9662" s="14"/>
      <c r="J9662" s="14"/>
    </row>
    <row r="9663" spans="9:10">
      <c r="I9663" s="14"/>
      <c r="J9663" s="14"/>
    </row>
    <row r="9664" spans="9:10">
      <c r="I9664" s="14"/>
      <c r="J9664" s="14"/>
    </row>
    <row r="9665" spans="9:10">
      <c r="I9665" s="14"/>
      <c r="J9665" s="14"/>
    </row>
    <row r="9666" spans="9:10">
      <c r="I9666" s="14"/>
      <c r="J9666" s="14"/>
    </row>
    <row r="9667" spans="9:10">
      <c r="I9667" s="14"/>
      <c r="J9667" s="14"/>
    </row>
    <row r="9668" spans="9:10">
      <c r="I9668" s="14"/>
      <c r="J9668" s="14"/>
    </row>
    <row r="9669" spans="9:10">
      <c r="I9669" s="14"/>
      <c r="J9669" s="14"/>
    </row>
    <row r="9670" spans="9:10">
      <c r="I9670" s="14"/>
      <c r="J9670" s="14"/>
    </row>
    <row r="9671" spans="9:10">
      <c r="I9671" s="14"/>
      <c r="J9671" s="14"/>
    </row>
    <row r="9672" spans="9:10">
      <c r="I9672" s="14"/>
      <c r="J9672" s="14"/>
    </row>
    <row r="9673" spans="9:10">
      <c r="I9673" s="14"/>
      <c r="J9673" s="14"/>
    </row>
    <row r="9674" spans="9:10">
      <c r="I9674" s="14"/>
      <c r="J9674" s="14"/>
    </row>
    <row r="9675" spans="9:10">
      <c r="I9675" s="14"/>
      <c r="J9675" s="14"/>
    </row>
    <row r="9676" spans="9:10">
      <c r="I9676" s="14"/>
      <c r="J9676" s="14"/>
    </row>
    <row r="9677" spans="9:10">
      <c r="I9677" s="14"/>
      <c r="J9677" s="14"/>
    </row>
    <row r="9678" spans="9:10">
      <c r="I9678" s="14"/>
      <c r="J9678" s="14"/>
    </row>
    <row r="9679" spans="9:10">
      <c r="I9679" s="14"/>
      <c r="J9679" s="14"/>
    </row>
    <row r="9680" spans="9:10">
      <c r="I9680" s="14"/>
      <c r="J9680" s="14"/>
    </row>
    <row r="9681" spans="9:10">
      <c r="I9681" s="14"/>
      <c r="J9681" s="14"/>
    </row>
    <row r="9682" spans="9:10">
      <c r="I9682" s="14"/>
      <c r="J9682" s="14"/>
    </row>
    <row r="9683" spans="9:10">
      <c r="I9683" s="14"/>
      <c r="J9683" s="14"/>
    </row>
    <row r="9684" spans="9:10">
      <c r="I9684" s="14"/>
      <c r="J9684" s="14"/>
    </row>
    <row r="9685" spans="9:10">
      <c r="I9685" s="14"/>
      <c r="J9685" s="14"/>
    </row>
    <row r="9686" spans="9:10">
      <c r="I9686" s="14"/>
      <c r="J9686" s="14"/>
    </row>
    <row r="9687" spans="9:10">
      <c r="I9687" s="14"/>
      <c r="J9687" s="14"/>
    </row>
    <row r="9688" spans="9:10">
      <c r="I9688" s="14"/>
      <c r="J9688" s="14"/>
    </row>
    <row r="9689" spans="9:10">
      <c r="I9689" s="14"/>
      <c r="J9689" s="14"/>
    </row>
    <row r="9690" spans="9:10">
      <c r="I9690" s="14"/>
      <c r="J9690" s="14"/>
    </row>
    <row r="9691" spans="9:10">
      <c r="I9691" s="14"/>
      <c r="J9691" s="14"/>
    </row>
    <row r="9692" spans="9:10">
      <c r="I9692" s="14"/>
      <c r="J9692" s="14"/>
    </row>
    <row r="9693" spans="9:10">
      <c r="I9693" s="14"/>
      <c r="J9693" s="14"/>
    </row>
    <row r="9694" spans="9:10">
      <c r="I9694" s="14"/>
      <c r="J9694" s="14"/>
    </row>
    <row r="9695" spans="9:10">
      <c r="I9695" s="14"/>
      <c r="J9695" s="14"/>
    </row>
    <row r="9696" spans="9:10">
      <c r="I9696" s="14"/>
      <c r="J9696" s="14"/>
    </row>
    <row r="9697" spans="9:10">
      <c r="I9697" s="14"/>
      <c r="J9697" s="14"/>
    </row>
    <row r="9698" spans="9:10">
      <c r="I9698" s="14"/>
      <c r="J9698" s="14"/>
    </row>
    <row r="9699" spans="9:10">
      <c r="I9699" s="14"/>
      <c r="J9699" s="14"/>
    </row>
    <row r="9700" spans="9:10">
      <c r="I9700" s="14"/>
      <c r="J9700" s="14"/>
    </row>
    <row r="9701" spans="9:10">
      <c r="I9701" s="14"/>
      <c r="J9701" s="14"/>
    </row>
    <row r="9702" spans="9:10">
      <c r="I9702" s="14"/>
      <c r="J9702" s="14"/>
    </row>
    <row r="9703" spans="9:10">
      <c r="I9703" s="14"/>
      <c r="J9703" s="14"/>
    </row>
    <row r="9704" spans="9:10">
      <c r="I9704" s="14"/>
      <c r="J9704" s="14"/>
    </row>
    <row r="9705" spans="9:10">
      <c r="I9705" s="14"/>
      <c r="J9705" s="14"/>
    </row>
    <row r="9706" spans="9:10">
      <c r="I9706" s="14"/>
      <c r="J9706" s="14"/>
    </row>
    <row r="9707" spans="9:10">
      <c r="I9707" s="14"/>
      <c r="J9707" s="14"/>
    </row>
    <row r="9708" spans="9:10">
      <c r="I9708" s="14"/>
      <c r="J9708" s="14"/>
    </row>
    <row r="9709" spans="9:10">
      <c r="I9709" s="14"/>
      <c r="J9709" s="14"/>
    </row>
    <row r="9710" spans="9:10">
      <c r="I9710" s="14"/>
      <c r="J9710" s="14"/>
    </row>
    <row r="9711" spans="9:10">
      <c r="I9711" s="14"/>
      <c r="J9711" s="14"/>
    </row>
    <row r="9712" spans="9:10">
      <c r="I9712" s="14"/>
      <c r="J9712" s="14"/>
    </row>
    <row r="9713" spans="9:10">
      <c r="I9713" s="14"/>
      <c r="J9713" s="14"/>
    </row>
    <row r="9714" spans="9:10">
      <c r="I9714" s="14"/>
      <c r="J9714" s="14"/>
    </row>
    <row r="9715" spans="9:10">
      <c r="I9715" s="14"/>
      <c r="J9715" s="14"/>
    </row>
    <row r="9716" spans="9:10">
      <c r="I9716" s="14"/>
      <c r="J9716" s="14"/>
    </row>
    <row r="9717" spans="9:10">
      <c r="I9717" s="14"/>
      <c r="J9717" s="14"/>
    </row>
    <row r="9718" spans="9:10">
      <c r="I9718" s="14"/>
      <c r="J9718" s="14"/>
    </row>
    <row r="9719" spans="9:10">
      <c r="I9719" s="14"/>
      <c r="J9719" s="14"/>
    </row>
    <row r="9720" spans="9:10">
      <c r="I9720" s="14"/>
      <c r="J9720" s="14"/>
    </row>
    <row r="9721" spans="9:10">
      <c r="I9721" s="14"/>
      <c r="J9721" s="14"/>
    </row>
    <row r="9722" spans="9:10">
      <c r="I9722" s="14"/>
      <c r="J9722" s="14"/>
    </row>
    <row r="9723" spans="9:10">
      <c r="I9723" s="14"/>
      <c r="J9723" s="14"/>
    </row>
    <row r="9724" spans="9:10">
      <c r="I9724" s="14"/>
      <c r="J9724" s="14"/>
    </row>
    <row r="9725" spans="9:10">
      <c r="I9725" s="14"/>
      <c r="J9725" s="14"/>
    </row>
    <row r="9726" spans="9:10">
      <c r="I9726" s="14"/>
      <c r="J9726" s="14"/>
    </row>
    <row r="9727" spans="9:10">
      <c r="I9727" s="14"/>
      <c r="J9727" s="14"/>
    </row>
    <row r="9728" spans="9:10">
      <c r="I9728" s="14"/>
      <c r="J9728" s="14"/>
    </row>
    <row r="9729" spans="9:10">
      <c r="I9729" s="14"/>
      <c r="J9729" s="14"/>
    </row>
    <row r="9730" spans="9:10">
      <c r="I9730" s="14"/>
      <c r="J9730" s="14"/>
    </row>
    <row r="9731" spans="9:10">
      <c r="I9731" s="14"/>
      <c r="J9731" s="14"/>
    </row>
    <row r="9732" spans="9:10">
      <c r="I9732" s="14"/>
      <c r="J9732" s="14"/>
    </row>
    <row r="9733" spans="9:10">
      <c r="I9733" s="14"/>
      <c r="J9733" s="14"/>
    </row>
    <row r="9734" spans="9:10">
      <c r="I9734" s="14"/>
      <c r="J9734" s="14"/>
    </row>
    <row r="9735" spans="9:10">
      <c r="I9735" s="14"/>
      <c r="J9735" s="14"/>
    </row>
    <row r="9736" spans="9:10">
      <c r="I9736" s="14"/>
      <c r="J9736" s="14"/>
    </row>
    <row r="9737" spans="9:10">
      <c r="I9737" s="14"/>
      <c r="J9737" s="14"/>
    </row>
    <row r="9738" spans="9:10">
      <c r="I9738" s="14"/>
      <c r="J9738" s="14"/>
    </row>
    <row r="9739" spans="9:10">
      <c r="I9739" s="14"/>
      <c r="J9739" s="14"/>
    </row>
    <row r="9740" spans="9:10">
      <c r="I9740" s="14"/>
      <c r="J9740" s="14"/>
    </row>
    <row r="9741" spans="9:10">
      <c r="I9741" s="14"/>
      <c r="J9741" s="14"/>
    </row>
    <row r="9742" spans="9:10">
      <c r="I9742" s="14"/>
      <c r="J9742" s="14"/>
    </row>
    <row r="9743" spans="9:10">
      <c r="I9743" s="14"/>
      <c r="J9743" s="14"/>
    </row>
    <row r="9744" spans="9:10">
      <c r="I9744" s="14"/>
      <c r="J9744" s="14"/>
    </row>
    <row r="9745" spans="9:10">
      <c r="I9745" s="14"/>
      <c r="J9745" s="14"/>
    </row>
    <row r="9746" spans="9:10">
      <c r="I9746" s="14"/>
      <c r="J9746" s="14"/>
    </row>
    <row r="9747" spans="9:10">
      <c r="I9747" s="14"/>
      <c r="J9747" s="14"/>
    </row>
    <row r="9748" spans="9:10">
      <c r="I9748" s="14"/>
      <c r="J9748" s="14"/>
    </row>
    <row r="9749" spans="9:10">
      <c r="I9749" s="14"/>
      <c r="J9749" s="14"/>
    </row>
    <row r="9750" spans="9:10">
      <c r="I9750" s="14"/>
      <c r="J9750" s="14"/>
    </row>
    <row r="9751" spans="9:10">
      <c r="I9751" s="14"/>
      <c r="J9751" s="14"/>
    </row>
    <row r="9752" spans="9:10">
      <c r="I9752" s="14"/>
      <c r="J9752" s="14"/>
    </row>
    <row r="9753" spans="9:10">
      <c r="I9753" s="14"/>
      <c r="J9753" s="14"/>
    </row>
    <row r="9754" spans="9:10">
      <c r="I9754" s="14"/>
      <c r="J9754" s="14"/>
    </row>
    <row r="9755" spans="9:10">
      <c r="I9755" s="14"/>
      <c r="J9755" s="14"/>
    </row>
    <row r="9756" spans="9:10">
      <c r="I9756" s="14"/>
      <c r="J9756" s="14"/>
    </row>
    <row r="9757" spans="9:10">
      <c r="I9757" s="14"/>
      <c r="J9757" s="14"/>
    </row>
    <row r="9758" spans="9:10">
      <c r="I9758" s="14"/>
      <c r="J9758" s="14"/>
    </row>
    <row r="9759" spans="9:10">
      <c r="I9759" s="14"/>
      <c r="J9759" s="14"/>
    </row>
    <row r="9760" spans="9:10">
      <c r="I9760" s="14"/>
      <c r="J9760" s="14"/>
    </row>
    <row r="9761" spans="9:10">
      <c r="I9761" s="14"/>
      <c r="J9761" s="14"/>
    </row>
    <row r="9762" spans="9:10">
      <c r="I9762" s="14"/>
      <c r="J9762" s="14"/>
    </row>
    <row r="9763" spans="9:10">
      <c r="I9763" s="14"/>
      <c r="J9763" s="14"/>
    </row>
    <row r="9764" spans="9:10">
      <c r="I9764" s="14"/>
      <c r="J9764" s="14"/>
    </row>
    <row r="9765" spans="9:10">
      <c r="I9765" s="14"/>
      <c r="J9765" s="14"/>
    </row>
    <row r="9766" spans="9:10">
      <c r="I9766" s="14"/>
      <c r="J9766" s="14"/>
    </row>
    <row r="9767" spans="9:10">
      <c r="I9767" s="14"/>
      <c r="J9767" s="14"/>
    </row>
    <row r="9768" spans="9:10">
      <c r="I9768" s="14"/>
      <c r="J9768" s="14"/>
    </row>
    <row r="9769" spans="9:10">
      <c r="I9769" s="14"/>
      <c r="J9769" s="14"/>
    </row>
    <row r="9770" spans="9:10">
      <c r="I9770" s="14"/>
      <c r="J9770" s="14"/>
    </row>
    <row r="9771" spans="9:10">
      <c r="I9771" s="14"/>
      <c r="J9771" s="14"/>
    </row>
    <row r="9772" spans="9:10">
      <c r="I9772" s="14"/>
      <c r="J9772" s="14"/>
    </row>
    <row r="9773" spans="9:10">
      <c r="I9773" s="14"/>
      <c r="J9773" s="14"/>
    </row>
    <row r="9774" spans="9:10">
      <c r="I9774" s="14"/>
      <c r="J9774" s="14"/>
    </row>
    <row r="9775" spans="9:10">
      <c r="I9775" s="14"/>
      <c r="J9775" s="14"/>
    </row>
    <row r="9776" spans="9:10">
      <c r="I9776" s="14"/>
      <c r="J9776" s="14"/>
    </row>
    <row r="9777" spans="9:10">
      <c r="I9777" s="14"/>
      <c r="J9777" s="14"/>
    </row>
    <row r="9778" spans="9:10">
      <c r="I9778" s="14"/>
      <c r="J9778" s="14"/>
    </row>
    <row r="9779" spans="9:10">
      <c r="I9779" s="14"/>
      <c r="J9779" s="14"/>
    </row>
    <row r="9780" spans="9:10">
      <c r="I9780" s="14"/>
      <c r="J9780" s="14"/>
    </row>
    <row r="9781" spans="9:10">
      <c r="I9781" s="14"/>
      <c r="J9781" s="14"/>
    </row>
    <row r="9782" spans="9:10">
      <c r="I9782" s="14"/>
      <c r="J9782" s="14"/>
    </row>
    <row r="9783" spans="9:10">
      <c r="I9783" s="14"/>
      <c r="J9783" s="14"/>
    </row>
    <row r="9784" spans="9:10">
      <c r="I9784" s="14"/>
      <c r="J9784" s="14"/>
    </row>
    <row r="9785" spans="9:10">
      <c r="I9785" s="14"/>
      <c r="J9785" s="14"/>
    </row>
    <row r="9786" spans="9:10">
      <c r="I9786" s="14"/>
      <c r="J9786" s="14"/>
    </row>
    <row r="9787" spans="9:10">
      <c r="I9787" s="14"/>
      <c r="J9787" s="14"/>
    </row>
    <row r="9788" spans="9:10">
      <c r="I9788" s="14"/>
      <c r="J9788" s="14"/>
    </row>
    <row r="9789" spans="9:10">
      <c r="I9789" s="14"/>
      <c r="J9789" s="14"/>
    </row>
    <row r="9790" spans="9:10">
      <c r="I9790" s="14"/>
      <c r="J9790" s="14"/>
    </row>
    <row r="9791" spans="9:10">
      <c r="I9791" s="14"/>
      <c r="J9791" s="14"/>
    </row>
    <row r="9792" spans="9:10">
      <c r="I9792" s="14"/>
      <c r="J9792" s="14"/>
    </row>
    <row r="9793" spans="9:10">
      <c r="I9793" s="14"/>
      <c r="J9793" s="14"/>
    </row>
    <row r="9794" spans="9:10">
      <c r="I9794" s="14"/>
      <c r="J9794" s="14"/>
    </row>
    <row r="9795" spans="9:10">
      <c r="I9795" s="14"/>
      <c r="J9795" s="14"/>
    </row>
    <row r="9796" spans="9:10">
      <c r="I9796" s="14"/>
      <c r="J9796" s="14"/>
    </row>
    <row r="9797" spans="9:10">
      <c r="I9797" s="14"/>
      <c r="J9797" s="14"/>
    </row>
    <row r="9798" spans="9:10">
      <c r="I9798" s="14"/>
      <c r="J9798" s="14"/>
    </row>
    <row r="9799" spans="9:10">
      <c r="I9799" s="14"/>
      <c r="J9799" s="14"/>
    </row>
    <row r="9800" spans="9:10">
      <c r="I9800" s="14"/>
      <c r="J9800" s="14"/>
    </row>
    <row r="9801" spans="9:10">
      <c r="I9801" s="14"/>
      <c r="J9801" s="14"/>
    </row>
    <row r="9802" spans="9:10">
      <c r="I9802" s="14"/>
      <c r="J9802" s="14"/>
    </row>
    <row r="9803" spans="9:10">
      <c r="I9803" s="14"/>
      <c r="J9803" s="14"/>
    </row>
    <row r="9804" spans="9:10">
      <c r="I9804" s="14"/>
      <c r="J9804" s="14"/>
    </row>
    <row r="9805" spans="9:10">
      <c r="I9805" s="14"/>
      <c r="J9805" s="14"/>
    </row>
    <row r="9806" spans="9:10">
      <c r="I9806" s="14"/>
      <c r="J9806" s="14"/>
    </row>
    <row r="9807" spans="9:10">
      <c r="I9807" s="14"/>
      <c r="J9807" s="14"/>
    </row>
    <row r="9808" spans="9:10">
      <c r="I9808" s="14"/>
      <c r="J9808" s="14"/>
    </row>
    <row r="9809" spans="9:10">
      <c r="I9809" s="14"/>
      <c r="J9809" s="14"/>
    </row>
    <row r="9810" spans="9:10">
      <c r="I9810" s="14"/>
      <c r="J9810" s="14"/>
    </row>
    <row r="9811" spans="9:10">
      <c r="I9811" s="14"/>
      <c r="J9811" s="14"/>
    </row>
    <row r="9812" spans="9:10">
      <c r="I9812" s="14"/>
      <c r="J9812" s="14"/>
    </row>
    <row r="9813" spans="9:10">
      <c r="I9813" s="14"/>
      <c r="J9813" s="14"/>
    </row>
    <row r="9814" spans="9:10">
      <c r="I9814" s="14"/>
      <c r="J9814" s="14"/>
    </row>
    <row r="9815" spans="9:10">
      <c r="I9815" s="14"/>
      <c r="J9815" s="14"/>
    </row>
    <row r="9816" spans="9:10">
      <c r="I9816" s="14"/>
      <c r="J9816" s="14"/>
    </row>
    <row r="9817" spans="9:10">
      <c r="I9817" s="14"/>
      <c r="J9817" s="14"/>
    </row>
    <row r="9818" spans="9:10">
      <c r="I9818" s="14"/>
      <c r="J9818" s="14"/>
    </row>
    <row r="9819" spans="9:10">
      <c r="I9819" s="14"/>
      <c r="J9819" s="14"/>
    </row>
    <row r="9820" spans="9:10">
      <c r="I9820" s="14"/>
      <c r="J9820" s="14"/>
    </row>
    <row r="9821" spans="9:10">
      <c r="I9821" s="14"/>
      <c r="J9821" s="14"/>
    </row>
    <row r="9822" spans="9:10">
      <c r="I9822" s="14"/>
      <c r="J9822" s="14"/>
    </row>
    <row r="9823" spans="9:10">
      <c r="I9823" s="14"/>
      <c r="J9823" s="14"/>
    </row>
    <row r="9824" spans="9:10">
      <c r="I9824" s="14"/>
      <c r="J9824" s="14"/>
    </row>
    <row r="9825" spans="9:10">
      <c r="I9825" s="14"/>
      <c r="J9825" s="14"/>
    </row>
    <row r="9826" spans="9:10">
      <c r="I9826" s="14"/>
      <c r="J9826" s="14"/>
    </row>
    <row r="9827" spans="9:10">
      <c r="I9827" s="14"/>
      <c r="J9827" s="14"/>
    </row>
    <row r="9828" spans="9:10">
      <c r="I9828" s="14"/>
      <c r="J9828" s="14"/>
    </row>
    <row r="9829" spans="9:10">
      <c r="I9829" s="14"/>
      <c r="J9829" s="14"/>
    </row>
    <row r="9830" spans="9:10">
      <c r="I9830" s="14"/>
      <c r="J9830" s="14"/>
    </row>
    <row r="9831" spans="9:10">
      <c r="I9831" s="14"/>
      <c r="J9831" s="14"/>
    </row>
    <row r="9832" spans="9:10">
      <c r="I9832" s="14"/>
      <c r="J9832" s="14"/>
    </row>
    <row r="9833" spans="9:10">
      <c r="I9833" s="14"/>
      <c r="J9833" s="14"/>
    </row>
    <row r="9834" spans="9:10">
      <c r="I9834" s="14"/>
      <c r="J9834" s="14"/>
    </row>
    <row r="9835" spans="9:10">
      <c r="I9835" s="14"/>
      <c r="J9835" s="14"/>
    </row>
    <row r="9836" spans="9:10">
      <c r="I9836" s="14"/>
      <c r="J9836" s="14"/>
    </row>
    <row r="9837" spans="9:10">
      <c r="I9837" s="14"/>
      <c r="J9837" s="14"/>
    </row>
    <row r="9838" spans="9:10">
      <c r="I9838" s="14"/>
      <c r="J9838" s="14"/>
    </row>
    <row r="9839" spans="9:10">
      <c r="I9839" s="14"/>
      <c r="J9839" s="14"/>
    </row>
    <row r="9840" spans="9:10">
      <c r="I9840" s="14"/>
      <c r="J9840" s="14"/>
    </row>
    <row r="9841" spans="9:10">
      <c r="I9841" s="14"/>
      <c r="J9841" s="14"/>
    </row>
    <row r="9842" spans="9:10">
      <c r="I9842" s="14"/>
      <c r="J9842" s="14"/>
    </row>
    <row r="9843" spans="9:10">
      <c r="I9843" s="14"/>
      <c r="J9843" s="14"/>
    </row>
    <row r="9844" spans="9:10">
      <c r="I9844" s="14"/>
      <c r="J9844" s="14"/>
    </row>
    <row r="9845" spans="9:10">
      <c r="I9845" s="14"/>
      <c r="J9845" s="14"/>
    </row>
    <row r="9846" spans="9:10">
      <c r="I9846" s="14"/>
      <c r="J9846" s="14"/>
    </row>
    <row r="9847" spans="9:10">
      <c r="I9847" s="14"/>
      <c r="J9847" s="14"/>
    </row>
    <row r="9848" spans="9:10">
      <c r="I9848" s="14"/>
      <c r="J9848" s="14"/>
    </row>
    <row r="9849" spans="9:10">
      <c r="I9849" s="14"/>
      <c r="J9849" s="14"/>
    </row>
    <row r="9850" spans="9:10">
      <c r="I9850" s="14"/>
      <c r="J9850" s="14"/>
    </row>
    <row r="9851" spans="9:10">
      <c r="I9851" s="14"/>
      <c r="J9851" s="14"/>
    </row>
    <row r="9852" spans="9:10">
      <c r="I9852" s="14"/>
      <c r="J9852" s="14"/>
    </row>
    <row r="9853" spans="9:10">
      <c r="I9853" s="14"/>
      <c r="J9853" s="14"/>
    </row>
    <row r="9854" spans="9:10">
      <c r="I9854" s="14"/>
      <c r="J9854" s="14"/>
    </row>
    <row r="9855" spans="9:10">
      <c r="I9855" s="14"/>
      <c r="J9855" s="14"/>
    </row>
    <row r="9856" spans="9:10">
      <c r="I9856" s="14"/>
      <c r="J9856" s="14"/>
    </row>
    <row r="9857" spans="9:10">
      <c r="I9857" s="14"/>
      <c r="J9857" s="14"/>
    </row>
    <row r="9858" spans="9:10">
      <c r="I9858" s="14"/>
      <c r="J9858" s="14"/>
    </row>
    <row r="9859" spans="9:10">
      <c r="I9859" s="14"/>
      <c r="J9859" s="14"/>
    </row>
    <row r="9860" spans="9:10">
      <c r="I9860" s="14"/>
      <c r="J9860" s="14"/>
    </row>
    <row r="9861" spans="9:10">
      <c r="I9861" s="14"/>
      <c r="J9861" s="14"/>
    </row>
    <row r="9862" spans="9:10">
      <c r="I9862" s="14"/>
      <c r="J9862" s="14"/>
    </row>
    <row r="9863" spans="9:10">
      <c r="I9863" s="14"/>
      <c r="J9863" s="14"/>
    </row>
    <row r="9864" spans="9:10">
      <c r="I9864" s="14"/>
      <c r="J9864" s="14"/>
    </row>
    <row r="9865" spans="9:10">
      <c r="I9865" s="14"/>
      <c r="J9865" s="14"/>
    </row>
    <row r="9866" spans="9:10">
      <c r="I9866" s="14"/>
      <c r="J9866" s="14"/>
    </row>
    <row r="9867" spans="9:10">
      <c r="I9867" s="14"/>
      <c r="J9867" s="14"/>
    </row>
    <row r="9868" spans="9:10">
      <c r="I9868" s="14"/>
      <c r="J9868" s="14"/>
    </row>
    <row r="9869" spans="9:10">
      <c r="I9869" s="14"/>
      <c r="J9869" s="14"/>
    </row>
    <row r="9870" spans="9:10">
      <c r="I9870" s="14"/>
      <c r="J9870" s="14"/>
    </row>
    <row r="9871" spans="9:10">
      <c r="I9871" s="14"/>
      <c r="J9871" s="14"/>
    </row>
    <row r="9872" spans="9:10">
      <c r="I9872" s="14"/>
      <c r="J9872" s="14"/>
    </row>
    <row r="9873" spans="9:10">
      <c r="I9873" s="14"/>
      <c r="J9873" s="14"/>
    </row>
    <row r="9874" spans="9:10">
      <c r="I9874" s="14"/>
      <c r="J9874" s="14"/>
    </row>
    <row r="9875" spans="9:10">
      <c r="I9875" s="14"/>
      <c r="J9875" s="14"/>
    </row>
    <row r="9876" spans="9:10">
      <c r="I9876" s="14"/>
      <c r="J9876" s="14"/>
    </row>
    <row r="9877" spans="9:10">
      <c r="I9877" s="14"/>
      <c r="J9877" s="14"/>
    </row>
    <row r="9878" spans="9:10">
      <c r="I9878" s="14"/>
      <c r="J9878" s="14"/>
    </row>
    <row r="9879" spans="9:10">
      <c r="I9879" s="14"/>
      <c r="J9879" s="14"/>
    </row>
    <row r="9880" spans="9:10">
      <c r="I9880" s="14"/>
      <c r="J9880" s="14"/>
    </row>
    <row r="9881" spans="9:10">
      <c r="I9881" s="14"/>
      <c r="J9881" s="14"/>
    </row>
    <row r="9882" spans="9:10">
      <c r="I9882" s="14"/>
      <c r="J9882" s="14"/>
    </row>
    <row r="9883" spans="9:10">
      <c r="I9883" s="14"/>
      <c r="J9883" s="14"/>
    </row>
    <row r="9884" spans="9:10">
      <c r="I9884" s="14"/>
      <c r="J9884" s="14"/>
    </row>
    <row r="9885" spans="9:10">
      <c r="I9885" s="14"/>
      <c r="J9885" s="14"/>
    </row>
    <row r="9886" spans="9:10">
      <c r="I9886" s="14"/>
      <c r="J9886" s="14"/>
    </row>
    <row r="9887" spans="9:10">
      <c r="I9887" s="14"/>
      <c r="J9887" s="14"/>
    </row>
    <row r="9888" spans="9:10">
      <c r="I9888" s="14"/>
      <c r="J9888" s="14"/>
    </row>
    <row r="9889" spans="9:10">
      <c r="I9889" s="14"/>
      <c r="J9889" s="14"/>
    </row>
    <row r="9890" spans="9:10">
      <c r="I9890" s="14"/>
      <c r="J9890" s="14"/>
    </row>
    <row r="9891" spans="9:10">
      <c r="I9891" s="14"/>
      <c r="J9891" s="14"/>
    </row>
    <row r="9892" spans="9:10">
      <c r="I9892" s="14"/>
      <c r="J9892" s="14"/>
    </row>
    <row r="9893" spans="9:10">
      <c r="I9893" s="14"/>
      <c r="J9893" s="14"/>
    </row>
    <row r="9894" spans="9:10">
      <c r="I9894" s="14"/>
      <c r="J9894" s="14"/>
    </row>
    <row r="9895" spans="9:10">
      <c r="I9895" s="14"/>
      <c r="J9895" s="14"/>
    </row>
    <row r="9896" spans="9:10">
      <c r="I9896" s="14"/>
      <c r="J9896" s="14"/>
    </row>
    <row r="9897" spans="9:10">
      <c r="I9897" s="14"/>
      <c r="J9897" s="14"/>
    </row>
    <row r="9898" spans="9:10">
      <c r="I9898" s="14"/>
      <c r="J9898" s="14"/>
    </row>
    <row r="9899" spans="9:10">
      <c r="I9899" s="14"/>
      <c r="J9899" s="14"/>
    </row>
    <row r="9900" spans="9:10">
      <c r="I9900" s="14"/>
      <c r="J9900" s="14"/>
    </row>
    <row r="9901" spans="9:10">
      <c r="I9901" s="14"/>
      <c r="J9901" s="14"/>
    </row>
    <row r="9902" spans="9:10">
      <c r="I9902" s="14"/>
      <c r="J9902" s="14"/>
    </row>
    <row r="9903" spans="9:10">
      <c r="I9903" s="14"/>
      <c r="J9903" s="14"/>
    </row>
    <row r="9904" spans="9:10">
      <c r="I9904" s="14"/>
      <c r="J9904" s="14"/>
    </row>
    <row r="9905" spans="9:10">
      <c r="I9905" s="14"/>
      <c r="J9905" s="14"/>
    </row>
    <row r="9906" spans="9:10">
      <c r="I9906" s="14"/>
      <c r="J9906" s="14"/>
    </row>
    <row r="9907" spans="9:10">
      <c r="I9907" s="14"/>
      <c r="J9907" s="14"/>
    </row>
    <row r="9908" spans="9:10">
      <c r="I9908" s="14"/>
      <c r="J9908" s="14"/>
    </row>
    <row r="9909" spans="9:10">
      <c r="I9909" s="14"/>
      <c r="J9909" s="14"/>
    </row>
    <row r="9910" spans="9:10">
      <c r="I9910" s="14"/>
      <c r="J9910" s="14"/>
    </row>
    <row r="9911" spans="9:10">
      <c r="I9911" s="14"/>
      <c r="J9911" s="14"/>
    </row>
    <row r="9912" spans="9:10">
      <c r="I9912" s="14"/>
      <c r="J9912" s="14"/>
    </row>
    <row r="9913" spans="9:10">
      <c r="I9913" s="14"/>
      <c r="J9913" s="14"/>
    </row>
    <row r="9914" spans="9:10">
      <c r="I9914" s="14"/>
      <c r="J9914" s="14"/>
    </row>
    <row r="9915" spans="9:10">
      <c r="I9915" s="14"/>
      <c r="J9915" s="14"/>
    </row>
    <row r="9916" spans="9:10">
      <c r="I9916" s="14"/>
      <c r="J9916" s="14"/>
    </row>
    <row r="9917" spans="9:10">
      <c r="I9917" s="14"/>
      <c r="J9917" s="14"/>
    </row>
    <row r="9918" spans="9:10">
      <c r="I9918" s="14"/>
      <c r="J9918" s="14"/>
    </row>
    <row r="9919" spans="9:10">
      <c r="I9919" s="14"/>
      <c r="J9919" s="14"/>
    </row>
    <row r="9920" spans="9:10">
      <c r="I9920" s="14"/>
      <c r="J9920" s="14"/>
    </row>
    <row r="9921" spans="9:10">
      <c r="I9921" s="14"/>
      <c r="J9921" s="14"/>
    </row>
    <row r="9922" spans="9:10">
      <c r="I9922" s="14"/>
      <c r="J9922" s="14"/>
    </row>
    <row r="9923" spans="9:10">
      <c r="I9923" s="14"/>
      <c r="J9923" s="14"/>
    </row>
    <row r="9924" spans="9:10">
      <c r="I9924" s="14"/>
      <c r="J9924" s="14"/>
    </row>
    <row r="9925" spans="9:10">
      <c r="I9925" s="14"/>
      <c r="J9925" s="14"/>
    </row>
    <row r="9926" spans="9:10">
      <c r="I9926" s="14"/>
      <c r="J9926" s="14"/>
    </row>
    <row r="9927" spans="9:10">
      <c r="I9927" s="14"/>
      <c r="J9927" s="14"/>
    </row>
    <row r="9928" spans="9:10">
      <c r="I9928" s="14"/>
      <c r="J9928" s="14"/>
    </row>
    <row r="9929" spans="9:10">
      <c r="I9929" s="14"/>
      <c r="J9929" s="14"/>
    </row>
    <row r="9930" spans="9:10">
      <c r="I9930" s="14"/>
      <c r="J9930" s="14"/>
    </row>
    <row r="9931" spans="9:10">
      <c r="I9931" s="14"/>
      <c r="J9931" s="14"/>
    </row>
    <row r="9932" spans="9:10">
      <c r="I9932" s="14"/>
      <c r="J9932" s="14"/>
    </row>
    <row r="9933" spans="9:10">
      <c r="I9933" s="14"/>
      <c r="J9933" s="14"/>
    </row>
    <row r="9934" spans="9:10">
      <c r="I9934" s="14"/>
      <c r="J9934" s="14"/>
    </row>
    <row r="9935" spans="9:10">
      <c r="I9935" s="14"/>
      <c r="J9935" s="14"/>
    </row>
    <row r="9936" spans="9:10">
      <c r="I9936" s="14"/>
      <c r="J9936" s="14"/>
    </row>
    <row r="9937" spans="9:10">
      <c r="I9937" s="14"/>
      <c r="J9937" s="14"/>
    </row>
    <row r="9938" spans="9:10">
      <c r="I9938" s="14"/>
      <c r="J9938" s="14"/>
    </row>
    <row r="9939" spans="9:10">
      <c r="I9939" s="14"/>
      <c r="J9939" s="14"/>
    </row>
    <row r="9940" spans="9:10">
      <c r="I9940" s="14"/>
      <c r="J9940" s="14"/>
    </row>
    <row r="9941" spans="9:10">
      <c r="I9941" s="14"/>
      <c r="J9941" s="14"/>
    </row>
    <row r="9942" spans="9:10">
      <c r="I9942" s="14"/>
      <c r="J9942" s="14"/>
    </row>
    <row r="9943" spans="9:10">
      <c r="I9943" s="14"/>
      <c r="J9943" s="14"/>
    </row>
    <row r="9944" spans="9:10">
      <c r="I9944" s="14"/>
      <c r="J9944" s="14"/>
    </row>
    <row r="9945" spans="9:10">
      <c r="I9945" s="14"/>
      <c r="J9945" s="14"/>
    </row>
    <row r="9946" spans="9:10">
      <c r="I9946" s="14"/>
      <c r="J9946" s="14"/>
    </row>
    <row r="9947" spans="9:10">
      <c r="I9947" s="14"/>
      <c r="J9947" s="14"/>
    </row>
    <row r="9948" spans="9:10">
      <c r="I9948" s="14"/>
      <c r="J9948" s="14"/>
    </row>
    <row r="9949" spans="9:10">
      <c r="I9949" s="14"/>
      <c r="J9949" s="14"/>
    </row>
    <row r="9950" spans="9:10">
      <c r="I9950" s="14"/>
      <c r="J9950" s="14"/>
    </row>
    <row r="9951" spans="9:10">
      <c r="I9951" s="14"/>
      <c r="J9951" s="14"/>
    </row>
    <row r="9952" spans="9:10">
      <c r="I9952" s="14"/>
      <c r="J9952" s="14"/>
    </row>
    <row r="9953" spans="9:10">
      <c r="I9953" s="14"/>
      <c r="J9953" s="14"/>
    </row>
    <row r="9954" spans="9:10">
      <c r="I9954" s="14"/>
      <c r="J9954" s="14"/>
    </row>
    <row r="9955" spans="9:10">
      <c r="I9955" s="14"/>
      <c r="J9955" s="14"/>
    </row>
    <row r="9956" spans="9:10">
      <c r="I9956" s="14"/>
      <c r="J9956" s="14"/>
    </row>
    <row r="9957" spans="9:10">
      <c r="I9957" s="14"/>
      <c r="J9957" s="14"/>
    </row>
    <row r="9958" spans="9:10">
      <c r="I9958" s="14"/>
      <c r="J9958" s="14"/>
    </row>
    <row r="9959" spans="9:10">
      <c r="I9959" s="14"/>
      <c r="J9959" s="14"/>
    </row>
    <row r="9960" spans="9:10">
      <c r="I9960" s="14"/>
      <c r="J9960" s="14"/>
    </row>
    <row r="9961" spans="9:10">
      <c r="I9961" s="14"/>
      <c r="J9961" s="14"/>
    </row>
    <row r="9962" spans="9:10">
      <c r="I9962" s="14"/>
      <c r="J9962" s="14"/>
    </row>
    <row r="9963" spans="9:10">
      <c r="I9963" s="14"/>
      <c r="J9963" s="14"/>
    </row>
    <row r="9964" spans="9:10">
      <c r="I9964" s="14"/>
      <c r="J9964" s="14"/>
    </row>
    <row r="9965" spans="9:10">
      <c r="I9965" s="14"/>
      <c r="J9965" s="14"/>
    </row>
    <row r="9966" spans="9:10">
      <c r="I9966" s="14"/>
      <c r="J9966" s="14"/>
    </row>
    <row r="9967" spans="9:10">
      <c r="I9967" s="14"/>
      <c r="J9967" s="14"/>
    </row>
    <row r="9968" spans="9:10">
      <c r="I9968" s="14"/>
      <c r="J9968" s="14"/>
    </row>
    <row r="9969" spans="9:10">
      <c r="I9969" s="14"/>
      <c r="J9969" s="14"/>
    </row>
    <row r="9970" spans="9:10">
      <c r="I9970" s="14"/>
      <c r="J9970" s="14"/>
    </row>
    <row r="9971" spans="9:10">
      <c r="I9971" s="14"/>
      <c r="J9971" s="14"/>
    </row>
    <row r="9972" spans="9:10">
      <c r="I9972" s="14"/>
      <c r="J9972" s="14"/>
    </row>
    <row r="9973" spans="9:10">
      <c r="I9973" s="14"/>
      <c r="J9973" s="14"/>
    </row>
    <row r="9974" spans="9:10">
      <c r="I9974" s="14"/>
      <c r="J9974" s="14"/>
    </row>
    <row r="9975" spans="9:10">
      <c r="I9975" s="14"/>
      <c r="J9975" s="14"/>
    </row>
    <row r="9976" spans="9:10">
      <c r="I9976" s="14"/>
      <c r="J9976" s="14"/>
    </row>
    <row r="9977" spans="9:10">
      <c r="I9977" s="14"/>
      <c r="J9977" s="14"/>
    </row>
    <row r="9978" spans="9:10">
      <c r="I9978" s="14"/>
      <c r="J9978" s="14"/>
    </row>
    <row r="9979" spans="9:10">
      <c r="I9979" s="14"/>
      <c r="J9979" s="14"/>
    </row>
    <row r="9980" spans="9:10">
      <c r="I9980" s="14"/>
      <c r="J9980" s="14"/>
    </row>
    <row r="9981" spans="9:10">
      <c r="I9981" s="14"/>
      <c r="J9981" s="14"/>
    </row>
    <row r="9982" spans="9:10">
      <c r="I9982" s="14"/>
      <c r="J9982" s="14"/>
    </row>
    <row r="9983" spans="9:10">
      <c r="I9983" s="14"/>
      <c r="J9983" s="14"/>
    </row>
    <row r="9984" spans="9:10">
      <c r="I9984" s="14"/>
      <c r="J9984" s="14"/>
    </row>
    <row r="9985" spans="9:10">
      <c r="I9985" s="14"/>
      <c r="J9985" s="14"/>
    </row>
    <row r="9986" spans="9:10">
      <c r="I9986" s="14"/>
      <c r="J9986" s="14"/>
    </row>
    <row r="9987" spans="9:10">
      <c r="I9987" s="14"/>
      <c r="J9987" s="14"/>
    </row>
    <row r="9988" spans="9:10">
      <c r="I9988" s="14"/>
      <c r="J9988" s="14"/>
    </row>
    <row r="9989" spans="9:10">
      <c r="I9989" s="14"/>
      <c r="J9989" s="14"/>
    </row>
    <row r="9990" spans="9:10">
      <c r="I9990" s="14"/>
      <c r="J9990" s="14"/>
    </row>
    <row r="9991" spans="9:10">
      <c r="I9991" s="14"/>
      <c r="J9991" s="14"/>
    </row>
    <row r="9992" spans="9:10">
      <c r="I9992" s="14"/>
      <c r="J9992" s="14"/>
    </row>
    <row r="9993" spans="9:10">
      <c r="I9993" s="14"/>
      <c r="J9993" s="14"/>
    </row>
    <row r="9994" spans="9:10">
      <c r="I9994" s="14"/>
      <c r="J9994" s="14"/>
    </row>
    <row r="9995" spans="9:10">
      <c r="I9995" s="14"/>
      <c r="J9995" s="14"/>
    </row>
    <row r="9996" spans="9:10">
      <c r="I9996" s="14"/>
      <c r="J9996" s="14"/>
    </row>
    <row r="9997" spans="9:10">
      <c r="I9997" s="14"/>
      <c r="J9997" s="14"/>
    </row>
    <row r="9998" spans="9:10">
      <c r="I9998" s="14"/>
      <c r="J9998" s="14"/>
    </row>
    <row r="9999" spans="9:10">
      <c r="I9999" s="14"/>
      <c r="J9999" s="14"/>
    </row>
    <row r="10000" spans="9:10">
      <c r="I10000" s="14"/>
      <c r="J10000" s="14"/>
    </row>
    <row r="10001" spans="9:10">
      <c r="I10001" s="14"/>
      <c r="J10001" s="14"/>
    </row>
    <row r="10002" spans="9:10">
      <c r="I10002" s="14"/>
      <c r="J10002" s="14"/>
    </row>
    <row r="10003" spans="9:10">
      <c r="I10003" s="14"/>
      <c r="J10003" s="14"/>
    </row>
    <row r="10004" spans="9:10">
      <c r="I10004" s="14"/>
      <c r="J10004" s="14"/>
    </row>
    <row r="10005" spans="9:10">
      <c r="I10005" s="14"/>
      <c r="J10005" s="14"/>
    </row>
    <row r="10006" spans="9:10">
      <c r="I10006" s="14"/>
      <c r="J10006" s="14"/>
    </row>
    <row r="10007" spans="9:10">
      <c r="I10007" s="14"/>
      <c r="J10007" s="14"/>
    </row>
    <row r="10008" spans="9:10">
      <c r="I10008" s="14"/>
      <c r="J10008" s="14"/>
    </row>
    <row r="10009" spans="9:10">
      <c r="I10009" s="14"/>
      <c r="J10009" s="14"/>
    </row>
    <row r="10010" spans="9:10">
      <c r="I10010" s="14"/>
      <c r="J10010" s="14"/>
    </row>
    <row r="10011" spans="9:10">
      <c r="I10011" s="14"/>
      <c r="J10011" s="14"/>
    </row>
    <row r="10012" spans="9:10">
      <c r="I10012" s="14"/>
      <c r="J10012" s="14"/>
    </row>
    <row r="10013" spans="9:10">
      <c r="I10013" s="14"/>
      <c r="J10013" s="14"/>
    </row>
    <row r="10014" spans="9:10">
      <c r="I10014" s="14"/>
      <c r="J10014" s="14"/>
    </row>
    <row r="10015" spans="9:10">
      <c r="I10015" s="14"/>
      <c r="J10015" s="14"/>
    </row>
    <row r="10016" spans="9:10">
      <c r="I10016" s="14"/>
      <c r="J10016" s="14"/>
    </row>
    <row r="10017" spans="9:10">
      <c r="I10017" s="14"/>
      <c r="J10017" s="14"/>
    </row>
    <row r="10018" spans="9:10">
      <c r="I10018" s="14"/>
      <c r="J10018" s="14"/>
    </row>
    <row r="10019" spans="9:10">
      <c r="I10019" s="14"/>
      <c r="J10019" s="14"/>
    </row>
    <row r="10020" spans="9:10">
      <c r="I10020" s="14"/>
      <c r="J10020" s="14"/>
    </row>
    <row r="10021" spans="9:10">
      <c r="I10021" s="14"/>
      <c r="J10021" s="14"/>
    </row>
    <row r="10022" spans="9:10">
      <c r="I10022" s="14"/>
      <c r="J10022" s="14"/>
    </row>
    <row r="10023" spans="9:10">
      <c r="I10023" s="14"/>
      <c r="J10023" s="14"/>
    </row>
    <row r="10024" spans="9:10">
      <c r="I10024" s="14"/>
      <c r="J10024" s="14"/>
    </row>
    <row r="10025" spans="9:10">
      <c r="I10025" s="14"/>
      <c r="J10025" s="14"/>
    </row>
    <row r="10026" spans="9:10">
      <c r="I10026" s="14"/>
      <c r="J10026" s="14"/>
    </row>
    <row r="10027" spans="9:10">
      <c r="I10027" s="14"/>
      <c r="J10027" s="14"/>
    </row>
    <row r="10028" spans="9:10">
      <c r="I10028" s="14"/>
      <c r="J10028" s="14"/>
    </row>
    <row r="10029" spans="9:10">
      <c r="I10029" s="14"/>
      <c r="J10029" s="14"/>
    </row>
    <row r="10030" spans="9:10">
      <c r="I10030" s="14"/>
      <c r="J10030" s="14"/>
    </row>
    <row r="10031" spans="9:10">
      <c r="I10031" s="14"/>
      <c r="J10031" s="14"/>
    </row>
    <row r="10032" spans="9:10">
      <c r="I10032" s="14"/>
      <c r="J10032" s="14"/>
    </row>
    <row r="10033" spans="9:10">
      <c r="I10033" s="14"/>
      <c r="J10033" s="14"/>
    </row>
    <row r="10034" spans="9:10">
      <c r="I10034" s="14"/>
      <c r="J10034" s="14"/>
    </row>
    <row r="10035" spans="9:10">
      <c r="I10035" s="14"/>
      <c r="J10035" s="14"/>
    </row>
    <row r="10036" spans="9:10">
      <c r="I10036" s="14"/>
      <c r="J10036" s="14"/>
    </row>
    <row r="10037" spans="9:10">
      <c r="I10037" s="14"/>
      <c r="J10037" s="14"/>
    </row>
    <row r="10038" spans="9:10">
      <c r="I10038" s="14"/>
      <c r="J10038" s="14"/>
    </row>
    <row r="10039" spans="9:10">
      <c r="I10039" s="14"/>
      <c r="J10039" s="14"/>
    </row>
    <row r="10040" spans="9:10">
      <c r="I10040" s="14"/>
      <c r="J10040" s="14"/>
    </row>
    <row r="10041" spans="9:10">
      <c r="I10041" s="14"/>
      <c r="J10041" s="14"/>
    </row>
    <row r="10042" spans="9:10">
      <c r="I10042" s="14"/>
      <c r="J10042" s="14"/>
    </row>
    <row r="10043" spans="9:10">
      <c r="I10043" s="14"/>
      <c r="J10043" s="14"/>
    </row>
    <row r="10044" spans="9:10">
      <c r="I10044" s="14"/>
      <c r="J10044" s="14"/>
    </row>
    <row r="10045" spans="9:10">
      <c r="I10045" s="14"/>
      <c r="J10045" s="14"/>
    </row>
    <row r="10046" spans="9:10">
      <c r="I10046" s="14"/>
      <c r="J10046" s="14"/>
    </row>
    <row r="10047" spans="9:10">
      <c r="I10047" s="14"/>
      <c r="J10047" s="14"/>
    </row>
    <row r="10048" spans="9:10">
      <c r="I10048" s="14"/>
      <c r="J10048" s="14"/>
    </row>
    <row r="10049" spans="9:10">
      <c r="I10049" s="14"/>
      <c r="J10049" s="14"/>
    </row>
    <row r="10050" spans="9:10">
      <c r="I10050" s="14"/>
      <c r="J10050" s="14"/>
    </row>
    <row r="10051" spans="9:10">
      <c r="I10051" s="14"/>
      <c r="J10051" s="14"/>
    </row>
    <row r="10052" spans="9:10">
      <c r="I10052" s="14"/>
      <c r="J10052" s="14"/>
    </row>
    <row r="10053" spans="9:10">
      <c r="I10053" s="14"/>
      <c r="J10053" s="14"/>
    </row>
    <row r="10054" spans="9:10">
      <c r="I10054" s="14"/>
      <c r="J10054" s="14"/>
    </row>
    <row r="10055" spans="9:10">
      <c r="I10055" s="14"/>
      <c r="J10055" s="14"/>
    </row>
    <row r="10056" spans="9:10">
      <c r="I10056" s="14"/>
      <c r="J10056" s="14"/>
    </row>
    <row r="10057" spans="9:10">
      <c r="I10057" s="14"/>
      <c r="J10057" s="14"/>
    </row>
    <row r="10058" spans="9:10">
      <c r="I10058" s="14"/>
      <c r="J10058" s="14"/>
    </row>
    <row r="10059" spans="9:10">
      <c r="I10059" s="14"/>
      <c r="J10059" s="14"/>
    </row>
    <row r="10060" spans="9:10">
      <c r="I10060" s="14"/>
      <c r="J10060" s="14"/>
    </row>
    <row r="10061" spans="9:10">
      <c r="I10061" s="14"/>
      <c r="J10061" s="14"/>
    </row>
    <row r="10062" spans="9:10">
      <c r="I10062" s="14"/>
      <c r="J10062" s="14"/>
    </row>
    <row r="10063" spans="9:10">
      <c r="I10063" s="14"/>
      <c r="J10063" s="14"/>
    </row>
    <row r="10064" spans="9:10">
      <c r="I10064" s="14"/>
      <c r="J10064" s="14"/>
    </row>
    <row r="10065" spans="9:10">
      <c r="I10065" s="14"/>
      <c r="J10065" s="14"/>
    </row>
    <row r="10066" spans="9:10">
      <c r="I10066" s="14"/>
      <c r="J10066" s="14"/>
    </row>
    <row r="10067" spans="9:10">
      <c r="I10067" s="14"/>
      <c r="J10067" s="14"/>
    </row>
    <row r="10068" spans="9:10">
      <c r="I10068" s="14"/>
      <c r="J10068" s="14"/>
    </row>
    <row r="10069" spans="9:10">
      <c r="I10069" s="14"/>
      <c r="J10069" s="14"/>
    </row>
    <row r="10070" spans="9:10">
      <c r="I10070" s="14"/>
      <c r="J10070" s="14"/>
    </row>
    <row r="10071" spans="9:10">
      <c r="I10071" s="14"/>
      <c r="J10071" s="14"/>
    </row>
    <row r="10072" spans="9:10">
      <c r="I10072" s="14"/>
      <c r="J10072" s="14"/>
    </row>
    <row r="10073" spans="9:10">
      <c r="I10073" s="14"/>
      <c r="J10073" s="14"/>
    </row>
    <row r="10074" spans="9:10">
      <c r="I10074" s="14"/>
      <c r="J10074" s="14"/>
    </row>
    <row r="10075" spans="9:10">
      <c r="I10075" s="14"/>
      <c r="J10075" s="14"/>
    </row>
    <row r="10076" spans="9:10">
      <c r="I10076" s="14"/>
      <c r="J10076" s="14"/>
    </row>
    <row r="10077" spans="9:10">
      <c r="I10077" s="14"/>
      <c r="J10077" s="14"/>
    </row>
    <row r="10078" spans="9:10">
      <c r="I10078" s="14"/>
      <c r="J10078" s="14"/>
    </row>
    <row r="10079" spans="9:10">
      <c r="I10079" s="14"/>
      <c r="J10079" s="14"/>
    </row>
    <row r="10080" spans="9:10">
      <c r="I10080" s="14"/>
      <c r="J10080" s="14"/>
    </row>
    <row r="10081" spans="9:10">
      <c r="I10081" s="14"/>
      <c r="J10081" s="14"/>
    </row>
    <row r="10082" spans="9:10">
      <c r="I10082" s="14"/>
      <c r="J10082" s="14"/>
    </row>
    <row r="10083" spans="9:10">
      <c r="I10083" s="14"/>
      <c r="J10083" s="14"/>
    </row>
    <row r="10084" spans="9:10">
      <c r="I10084" s="14"/>
      <c r="J10084" s="14"/>
    </row>
    <row r="10085" spans="9:10">
      <c r="I10085" s="14"/>
      <c r="J10085" s="14"/>
    </row>
    <row r="10086" spans="9:10">
      <c r="I10086" s="14"/>
      <c r="J10086" s="14"/>
    </row>
    <row r="10087" spans="9:10">
      <c r="I10087" s="14"/>
      <c r="J10087" s="14"/>
    </row>
    <row r="10088" spans="9:10">
      <c r="I10088" s="14"/>
      <c r="J10088" s="14"/>
    </row>
    <row r="10089" spans="9:10">
      <c r="I10089" s="14"/>
      <c r="J10089" s="14"/>
    </row>
    <row r="10090" spans="9:10">
      <c r="I10090" s="14"/>
      <c r="J10090" s="14"/>
    </row>
    <row r="10091" spans="9:10">
      <c r="I10091" s="14"/>
      <c r="J10091" s="14"/>
    </row>
    <row r="10092" spans="9:10">
      <c r="I10092" s="14"/>
      <c r="J10092" s="14"/>
    </row>
    <row r="10093" spans="9:10">
      <c r="I10093" s="14"/>
      <c r="J10093" s="14"/>
    </row>
    <row r="10094" spans="9:10">
      <c r="I10094" s="14"/>
      <c r="J10094" s="14"/>
    </row>
    <row r="10095" spans="9:10">
      <c r="I10095" s="14"/>
      <c r="J10095" s="14"/>
    </row>
    <row r="10096" spans="9:10">
      <c r="I10096" s="14"/>
      <c r="J10096" s="14"/>
    </row>
    <row r="10097" spans="9:10">
      <c r="I10097" s="14"/>
      <c r="J10097" s="14"/>
    </row>
    <row r="10098" spans="9:10">
      <c r="I10098" s="14"/>
      <c r="J10098" s="14"/>
    </row>
    <row r="10099" spans="9:10">
      <c r="I10099" s="14"/>
      <c r="J10099" s="14"/>
    </row>
    <row r="10100" spans="9:10">
      <c r="I10100" s="14"/>
      <c r="J10100" s="14"/>
    </row>
    <row r="10101" spans="9:10">
      <c r="I10101" s="14"/>
      <c r="J10101" s="14"/>
    </row>
    <row r="10102" spans="9:10">
      <c r="I10102" s="14"/>
      <c r="J10102" s="14"/>
    </row>
    <row r="10103" spans="9:10">
      <c r="I10103" s="14"/>
      <c r="J10103" s="14"/>
    </row>
    <row r="10104" spans="9:10">
      <c r="I10104" s="14"/>
      <c r="J10104" s="14"/>
    </row>
    <row r="10105" spans="9:10">
      <c r="I10105" s="14"/>
      <c r="J10105" s="14"/>
    </row>
    <row r="10106" spans="9:10">
      <c r="I10106" s="14"/>
      <c r="J10106" s="14"/>
    </row>
    <row r="10107" spans="9:10">
      <c r="I10107" s="14"/>
      <c r="J10107" s="14"/>
    </row>
    <row r="10108" spans="9:10">
      <c r="I10108" s="14"/>
      <c r="J10108" s="14"/>
    </row>
    <row r="10109" spans="9:10">
      <c r="I10109" s="14"/>
      <c r="J10109" s="14"/>
    </row>
    <row r="10110" spans="9:10">
      <c r="I10110" s="14"/>
      <c r="J10110" s="14"/>
    </row>
    <row r="10111" spans="9:10">
      <c r="I10111" s="14"/>
      <c r="J10111" s="14"/>
    </row>
    <row r="10112" spans="9:10">
      <c r="I10112" s="14"/>
      <c r="J10112" s="14"/>
    </row>
    <row r="10113" spans="9:10">
      <c r="I10113" s="14"/>
      <c r="J10113" s="14"/>
    </row>
    <row r="10114" spans="9:10">
      <c r="I10114" s="14"/>
      <c r="J10114" s="14"/>
    </row>
    <row r="10115" spans="9:10">
      <c r="I10115" s="14"/>
      <c r="J10115" s="14"/>
    </row>
    <row r="10116" spans="9:10">
      <c r="I10116" s="14"/>
      <c r="J10116" s="14"/>
    </row>
    <row r="10117" spans="9:10">
      <c r="I10117" s="14"/>
      <c r="J10117" s="14"/>
    </row>
    <row r="10118" spans="9:10">
      <c r="I10118" s="14"/>
      <c r="J10118" s="14"/>
    </row>
    <row r="10119" spans="9:10">
      <c r="I10119" s="14"/>
      <c r="J10119" s="14"/>
    </row>
    <row r="10120" spans="9:10">
      <c r="I10120" s="14"/>
      <c r="J10120" s="14"/>
    </row>
    <row r="10121" spans="9:10">
      <c r="I10121" s="14"/>
      <c r="J10121" s="14"/>
    </row>
    <row r="10122" spans="9:10">
      <c r="I10122" s="14"/>
      <c r="J10122" s="14"/>
    </row>
    <row r="10123" spans="9:10">
      <c r="I10123" s="14"/>
      <c r="J10123" s="14"/>
    </row>
    <row r="10124" spans="9:10">
      <c r="I10124" s="14"/>
      <c r="J10124" s="14"/>
    </row>
    <row r="10125" spans="9:10">
      <c r="I10125" s="14"/>
      <c r="J10125" s="14"/>
    </row>
    <row r="10126" spans="9:10">
      <c r="I10126" s="14"/>
      <c r="J10126" s="14"/>
    </row>
    <row r="10127" spans="9:10">
      <c r="I10127" s="14"/>
      <c r="J10127" s="14"/>
    </row>
    <row r="10128" spans="9:10">
      <c r="I10128" s="14"/>
      <c r="J10128" s="14"/>
    </row>
    <row r="10129" spans="9:10">
      <c r="I10129" s="14"/>
      <c r="J10129" s="14"/>
    </row>
    <row r="10130" spans="9:10">
      <c r="I10130" s="14"/>
      <c r="J10130" s="14"/>
    </row>
    <row r="10131" spans="9:10">
      <c r="I10131" s="14"/>
      <c r="J10131" s="14"/>
    </row>
    <row r="10132" spans="9:10">
      <c r="I10132" s="14"/>
      <c r="J10132" s="14"/>
    </row>
    <row r="10133" spans="9:10">
      <c r="I10133" s="14"/>
      <c r="J10133" s="14"/>
    </row>
    <row r="10134" spans="9:10">
      <c r="I10134" s="14"/>
      <c r="J10134" s="14"/>
    </row>
    <row r="10135" spans="9:10">
      <c r="I10135" s="14"/>
      <c r="J10135" s="14"/>
    </row>
    <row r="10136" spans="9:10">
      <c r="I10136" s="14"/>
      <c r="J10136" s="14"/>
    </row>
    <row r="10137" spans="9:10">
      <c r="I10137" s="14"/>
      <c r="J10137" s="14"/>
    </row>
    <row r="10138" spans="9:10">
      <c r="I10138" s="14"/>
      <c r="J10138" s="14"/>
    </row>
    <row r="10139" spans="9:10">
      <c r="I10139" s="14"/>
      <c r="J10139" s="14"/>
    </row>
    <row r="10140" spans="9:10">
      <c r="I10140" s="14"/>
      <c r="J10140" s="14"/>
    </row>
    <row r="10141" spans="9:10">
      <c r="I10141" s="14"/>
      <c r="J10141" s="14"/>
    </row>
    <row r="10142" spans="9:10">
      <c r="I10142" s="14"/>
      <c r="J10142" s="14"/>
    </row>
    <row r="10143" spans="9:10">
      <c r="I10143" s="14"/>
      <c r="J10143" s="14"/>
    </row>
    <row r="10144" spans="9:10">
      <c r="I10144" s="14"/>
      <c r="J10144" s="14"/>
    </row>
    <row r="10145" spans="9:10">
      <c r="I10145" s="14"/>
      <c r="J10145" s="14"/>
    </row>
    <row r="10146" spans="9:10">
      <c r="I10146" s="14"/>
      <c r="J10146" s="14"/>
    </row>
    <row r="10147" spans="9:10">
      <c r="I10147" s="14"/>
      <c r="J10147" s="14"/>
    </row>
    <row r="10148" spans="9:10">
      <c r="I10148" s="14"/>
      <c r="J10148" s="14"/>
    </row>
    <row r="10149" spans="9:10">
      <c r="I10149" s="14"/>
      <c r="J10149" s="14"/>
    </row>
    <row r="10150" spans="9:10">
      <c r="I10150" s="14"/>
      <c r="J10150" s="14"/>
    </row>
    <row r="10151" spans="9:10">
      <c r="I10151" s="14"/>
      <c r="J10151" s="14"/>
    </row>
    <row r="10152" spans="9:10">
      <c r="I10152" s="14"/>
      <c r="J10152" s="14"/>
    </row>
    <row r="10153" spans="9:10">
      <c r="I10153" s="14"/>
      <c r="J10153" s="14"/>
    </row>
    <row r="10154" spans="9:10">
      <c r="I10154" s="14"/>
      <c r="J10154" s="14"/>
    </row>
    <row r="10155" spans="9:10">
      <c r="I10155" s="14"/>
      <c r="J10155" s="14"/>
    </row>
    <row r="10156" spans="9:10">
      <c r="I10156" s="14"/>
      <c r="J10156" s="14"/>
    </row>
    <row r="10157" spans="9:10">
      <c r="I10157" s="14"/>
      <c r="J10157" s="14"/>
    </row>
    <row r="10158" spans="9:10">
      <c r="I10158" s="14"/>
      <c r="J10158" s="14"/>
    </row>
    <row r="10159" spans="9:10">
      <c r="I10159" s="14"/>
      <c r="J10159" s="14"/>
    </row>
    <row r="10160" spans="9:10">
      <c r="I10160" s="14"/>
      <c r="J10160" s="14"/>
    </row>
    <row r="10161" spans="9:10">
      <c r="I10161" s="14"/>
      <c r="J10161" s="14"/>
    </row>
    <row r="10162" spans="9:10">
      <c r="I10162" s="14"/>
      <c r="J10162" s="14"/>
    </row>
    <row r="10163" spans="9:10">
      <c r="I10163" s="14"/>
      <c r="J10163" s="14"/>
    </row>
    <row r="10164" spans="9:10">
      <c r="I10164" s="14"/>
      <c r="J10164" s="14"/>
    </row>
    <row r="10165" spans="9:10">
      <c r="I10165" s="14"/>
      <c r="J10165" s="14"/>
    </row>
    <row r="10166" spans="9:10">
      <c r="I10166" s="14"/>
      <c r="J10166" s="14"/>
    </row>
    <row r="10167" spans="9:10">
      <c r="I10167" s="14"/>
      <c r="J10167" s="14"/>
    </row>
    <row r="10168" spans="9:10">
      <c r="I10168" s="14"/>
      <c r="J10168" s="14"/>
    </row>
    <row r="10169" spans="9:10">
      <c r="I10169" s="14"/>
      <c r="J10169" s="14"/>
    </row>
    <row r="10170" spans="9:10">
      <c r="I10170" s="14"/>
      <c r="J10170" s="14"/>
    </row>
    <row r="10171" spans="9:10">
      <c r="I10171" s="14"/>
      <c r="J10171" s="14"/>
    </row>
    <row r="10172" spans="9:10">
      <c r="I10172" s="14"/>
      <c r="J10172" s="14"/>
    </row>
    <row r="10173" spans="9:10">
      <c r="I10173" s="14"/>
      <c r="J10173" s="14"/>
    </row>
    <row r="10174" spans="9:10">
      <c r="I10174" s="14"/>
      <c r="J10174" s="14"/>
    </row>
    <row r="10175" spans="9:10">
      <c r="I10175" s="14"/>
      <c r="J10175" s="14"/>
    </row>
    <row r="10176" spans="9:10">
      <c r="I10176" s="14"/>
      <c r="J10176" s="14"/>
    </row>
    <row r="10177" spans="9:10">
      <c r="I10177" s="14"/>
      <c r="J10177" s="14"/>
    </row>
    <row r="10178" spans="9:10">
      <c r="I10178" s="14"/>
      <c r="J10178" s="14"/>
    </row>
    <row r="10179" spans="9:10">
      <c r="I10179" s="14"/>
      <c r="J10179" s="14"/>
    </row>
    <row r="10180" spans="9:10">
      <c r="I10180" s="14"/>
      <c r="J10180" s="14"/>
    </row>
    <row r="10181" spans="9:10">
      <c r="I10181" s="14"/>
      <c r="J10181" s="14"/>
    </row>
    <row r="10182" spans="9:10">
      <c r="I10182" s="14"/>
      <c r="J10182" s="14"/>
    </row>
    <row r="10183" spans="9:10">
      <c r="I10183" s="14"/>
      <c r="J10183" s="14"/>
    </row>
    <row r="10184" spans="9:10">
      <c r="I10184" s="14"/>
      <c r="J10184" s="14"/>
    </row>
    <row r="10185" spans="9:10">
      <c r="I10185" s="14"/>
      <c r="J10185" s="14"/>
    </row>
    <row r="10186" spans="9:10">
      <c r="I10186" s="14"/>
      <c r="J10186" s="14"/>
    </row>
    <row r="10187" spans="9:10">
      <c r="I10187" s="14"/>
      <c r="J10187" s="14"/>
    </row>
    <row r="10188" spans="9:10">
      <c r="I10188" s="14"/>
      <c r="J10188" s="14"/>
    </row>
    <row r="10189" spans="9:10">
      <c r="I10189" s="14"/>
      <c r="J10189" s="14"/>
    </row>
    <row r="10190" spans="9:10">
      <c r="I10190" s="14"/>
      <c r="J10190" s="14"/>
    </row>
    <row r="10191" spans="9:10">
      <c r="I10191" s="14"/>
      <c r="J10191" s="14"/>
    </row>
    <row r="10192" spans="9:10">
      <c r="I10192" s="14"/>
      <c r="J10192" s="14"/>
    </row>
    <row r="10193" spans="9:10">
      <c r="I10193" s="14"/>
      <c r="J10193" s="14"/>
    </row>
    <row r="10194" spans="9:10">
      <c r="I10194" s="14"/>
      <c r="J10194" s="14"/>
    </row>
    <row r="10195" spans="9:10">
      <c r="I10195" s="14"/>
      <c r="J10195" s="14"/>
    </row>
    <row r="10196" spans="9:10">
      <c r="I10196" s="14"/>
      <c r="J10196" s="14"/>
    </row>
    <row r="10197" spans="9:10">
      <c r="I10197" s="14"/>
      <c r="J10197" s="14"/>
    </row>
    <row r="10198" spans="9:10">
      <c r="I10198" s="14"/>
      <c r="J10198" s="14"/>
    </row>
    <row r="10199" spans="9:10">
      <c r="I10199" s="14"/>
      <c r="J10199" s="14"/>
    </row>
    <row r="10200" spans="9:10">
      <c r="I10200" s="14"/>
      <c r="J10200" s="14"/>
    </row>
    <row r="10201" spans="9:10">
      <c r="I10201" s="14"/>
      <c r="J10201" s="14"/>
    </row>
    <row r="10202" spans="9:10">
      <c r="I10202" s="14"/>
      <c r="J10202" s="14"/>
    </row>
    <row r="10203" spans="9:10">
      <c r="I10203" s="14"/>
      <c r="J10203" s="14"/>
    </row>
    <row r="10204" spans="9:10">
      <c r="I10204" s="14"/>
      <c r="J10204" s="14"/>
    </row>
    <row r="10205" spans="9:10">
      <c r="I10205" s="14"/>
      <c r="J10205" s="14"/>
    </row>
    <row r="10206" spans="9:10">
      <c r="I10206" s="14"/>
      <c r="J10206" s="14"/>
    </row>
    <row r="10207" spans="9:10">
      <c r="I10207" s="14"/>
      <c r="J10207" s="14"/>
    </row>
    <row r="10208" spans="9:10">
      <c r="I10208" s="14"/>
      <c r="J10208" s="14"/>
    </row>
    <row r="10209" spans="9:10">
      <c r="I10209" s="14"/>
      <c r="J10209" s="14"/>
    </row>
    <row r="10210" spans="9:10">
      <c r="I10210" s="14"/>
      <c r="J10210" s="14"/>
    </row>
    <row r="10211" spans="9:10">
      <c r="I10211" s="14"/>
      <c r="J10211" s="14"/>
    </row>
    <row r="10212" spans="9:10">
      <c r="I10212" s="14"/>
      <c r="J10212" s="14"/>
    </row>
    <row r="10213" spans="9:10">
      <c r="I10213" s="14"/>
      <c r="J10213" s="14"/>
    </row>
    <row r="10214" spans="9:10">
      <c r="I10214" s="14"/>
      <c r="J10214" s="14"/>
    </row>
    <row r="10215" spans="9:10">
      <c r="I10215" s="14"/>
      <c r="J10215" s="14"/>
    </row>
    <row r="10216" spans="9:10">
      <c r="I10216" s="14"/>
      <c r="J10216" s="14"/>
    </row>
    <row r="10217" spans="9:10">
      <c r="I10217" s="14"/>
      <c r="J10217" s="14"/>
    </row>
    <row r="10218" spans="9:10">
      <c r="I10218" s="14"/>
      <c r="J10218" s="14"/>
    </row>
    <row r="10219" spans="9:10">
      <c r="I10219" s="14"/>
      <c r="J10219" s="14"/>
    </row>
    <row r="10220" spans="9:10">
      <c r="I10220" s="14"/>
      <c r="J10220" s="14"/>
    </row>
    <row r="10221" spans="9:10">
      <c r="I10221" s="14"/>
      <c r="J10221" s="14"/>
    </row>
    <row r="10222" spans="9:10">
      <c r="I10222" s="14"/>
      <c r="J10222" s="14"/>
    </row>
    <row r="10223" spans="9:10">
      <c r="I10223" s="14"/>
      <c r="J10223" s="14"/>
    </row>
    <row r="10224" spans="9:10">
      <c r="I10224" s="14"/>
      <c r="J10224" s="14"/>
    </row>
    <row r="10225" spans="9:10">
      <c r="I10225" s="14"/>
      <c r="J10225" s="14"/>
    </row>
    <row r="10226" spans="9:10">
      <c r="I10226" s="14"/>
      <c r="J10226" s="14"/>
    </row>
    <row r="10227" spans="9:10">
      <c r="I10227" s="14"/>
      <c r="J10227" s="14"/>
    </row>
    <row r="10228" spans="9:10">
      <c r="I10228" s="14"/>
      <c r="J10228" s="14"/>
    </row>
    <row r="10229" spans="9:10">
      <c r="I10229" s="14"/>
      <c r="J10229" s="14"/>
    </row>
    <row r="10230" spans="9:10">
      <c r="I10230" s="14"/>
      <c r="J10230" s="14"/>
    </row>
    <row r="10231" spans="9:10">
      <c r="I10231" s="14"/>
      <c r="J10231" s="14"/>
    </row>
    <row r="10232" spans="9:10">
      <c r="I10232" s="14"/>
      <c r="J10232" s="14"/>
    </row>
    <row r="10233" spans="9:10">
      <c r="I10233" s="14"/>
      <c r="J10233" s="14"/>
    </row>
    <row r="10234" spans="9:10">
      <c r="I10234" s="14"/>
      <c r="J10234" s="14"/>
    </row>
    <row r="10235" spans="9:10">
      <c r="I10235" s="14"/>
      <c r="J10235" s="14"/>
    </row>
    <row r="10236" spans="9:10">
      <c r="I10236" s="14"/>
      <c r="J10236" s="14"/>
    </row>
    <row r="10237" spans="9:10">
      <c r="I10237" s="14"/>
      <c r="J10237" s="14"/>
    </row>
    <row r="10238" spans="9:10">
      <c r="I10238" s="14"/>
      <c r="J10238" s="14"/>
    </row>
    <row r="10239" spans="9:10">
      <c r="I10239" s="14"/>
      <c r="J10239" s="14"/>
    </row>
    <row r="10240" spans="9:10">
      <c r="I10240" s="14"/>
      <c r="J10240" s="14"/>
    </row>
    <row r="10241" spans="9:10">
      <c r="I10241" s="14"/>
      <c r="J10241" s="14"/>
    </row>
    <row r="10242" spans="9:10">
      <c r="I10242" s="14"/>
      <c r="J10242" s="14"/>
    </row>
    <row r="10243" spans="9:10">
      <c r="I10243" s="14"/>
      <c r="J10243" s="14"/>
    </row>
    <row r="10244" spans="9:10">
      <c r="I10244" s="14"/>
      <c r="J10244" s="14"/>
    </row>
    <row r="10245" spans="9:10">
      <c r="I10245" s="14"/>
      <c r="J10245" s="14"/>
    </row>
    <row r="10246" spans="9:10">
      <c r="I10246" s="14"/>
      <c r="J10246" s="14"/>
    </row>
    <row r="10247" spans="9:10">
      <c r="I10247" s="14"/>
      <c r="J10247" s="14"/>
    </row>
    <row r="10248" spans="9:10">
      <c r="I10248" s="14"/>
      <c r="J10248" s="14"/>
    </row>
    <row r="10249" spans="9:10">
      <c r="I10249" s="14"/>
      <c r="J10249" s="14"/>
    </row>
    <row r="10250" spans="9:10">
      <c r="I10250" s="14"/>
      <c r="J10250" s="14"/>
    </row>
    <row r="10251" spans="9:10">
      <c r="I10251" s="14"/>
      <c r="J10251" s="14"/>
    </row>
    <row r="10252" spans="9:10">
      <c r="I10252" s="14"/>
      <c r="J10252" s="14"/>
    </row>
    <row r="10253" spans="9:10">
      <c r="I10253" s="14"/>
      <c r="J10253" s="14"/>
    </row>
    <row r="10254" spans="9:10">
      <c r="I10254" s="14"/>
      <c r="J10254" s="14"/>
    </row>
    <row r="10255" spans="9:10">
      <c r="I10255" s="14"/>
      <c r="J10255" s="14"/>
    </row>
    <row r="10256" spans="9:10">
      <c r="I10256" s="14"/>
      <c r="J10256" s="14"/>
    </row>
    <row r="10257" spans="9:10">
      <c r="I10257" s="14"/>
      <c r="J10257" s="14"/>
    </row>
    <row r="10258" spans="9:10">
      <c r="I10258" s="14"/>
      <c r="J10258" s="14"/>
    </row>
    <row r="10259" spans="9:10">
      <c r="I10259" s="14"/>
      <c r="J10259" s="14"/>
    </row>
    <row r="10260" spans="9:10">
      <c r="I10260" s="14"/>
      <c r="J10260" s="14"/>
    </row>
    <row r="10261" spans="9:10">
      <c r="I10261" s="14"/>
      <c r="J10261" s="14"/>
    </row>
    <row r="10262" spans="9:10">
      <c r="I10262" s="14"/>
      <c r="J10262" s="14"/>
    </row>
    <row r="10263" spans="9:10">
      <c r="I10263" s="14"/>
      <c r="J10263" s="14"/>
    </row>
    <row r="10264" spans="9:10">
      <c r="I10264" s="14"/>
      <c r="J10264" s="14"/>
    </row>
    <row r="10265" spans="9:10">
      <c r="I10265" s="14"/>
      <c r="J10265" s="14"/>
    </row>
    <row r="10266" spans="9:10">
      <c r="I10266" s="14"/>
      <c r="J10266" s="14"/>
    </row>
    <row r="10267" spans="9:10">
      <c r="I10267" s="14"/>
      <c r="J10267" s="14"/>
    </row>
    <row r="10268" spans="9:10">
      <c r="I10268" s="14"/>
      <c r="J10268" s="14"/>
    </row>
    <row r="10269" spans="9:10">
      <c r="I10269" s="14"/>
      <c r="J10269" s="14"/>
    </row>
    <row r="10270" spans="9:10">
      <c r="I10270" s="14"/>
      <c r="J10270" s="14"/>
    </row>
    <row r="10271" spans="9:10">
      <c r="I10271" s="14"/>
      <c r="J10271" s="14"/>
    </row>
    <row r="10272" spans="9:10">
      <c r="I10272" s="14"/>
      <c r="J10272" s="14"/>
    </row>
    <row r="10273" spans="9:10">
      <c r="I10273" s="14"/>
      <c r="J10273" s="14"/>
    </row>
    <row r="10274" spans="9:10">
      <c r="I10274" s="14"/>
      <c r="J10274" s="14"/>
    </row>
    <row r="10275" spans="9:10">
      <c r="I10275" s="14"/>
      <c r="J10275" s="14"/>
    </row>
    <row r="10276" spans="9:10">
      <c r="I10276" s="14"/>
      <c r="J10276" s="14"/>
    </row>
    <row r="10277" spans="9:10">
      <c r="I10277" s="14"/>
      <c r="J10277" s="14"/>
    </row>
    <row r="10278" spans="9:10">
      <c r="I10278" s="14"/>
      <c r="J10278" s="14"/>
    </row>
    <row r="10279" spans="9:10">
      <c r="I10279" s="14"/>
      <c r="J10279" s="14"/>
    </row>
    <row r="10280" spans="9:10">
      <c r="I10280" s="14"/>
      <c r="J10280" s="14"/>
    </row>
    <row r="10281" spans="9:10">
      <c r="I10281" s="14"/>
      <c r="J10281" s="14"/>
    </row>
    <row r="10282" spans="9:10">
      <c r="I10282" s="14"/>
      <c r="J10282" s="14"/>
    </row>
    <row r="10283" spans="9:10">
      <c r="I10283" s="14"/>
      <c r="J10283" s="14"/>
    </row>
    <row r="10284" spans="9:10">
      <c r="I10284" s="14"/>
      <c r="J10284" s="14"/>
    </row>
    <row r="10285" spans="9:10">
      <c r="I10285" s="14"/>
      <c r="J10285" s="14"/>
    </row>
    <row r="10286" spans="9:10">
      <c r="I10286" s="14"/>
      <c r="J10286" s="14"/>
    </row>
    <row r="10287" spans="9:10">
      <c r="I10287" s="14"/>
      <c r="J10287" s="14"/>
    </row>
    <row r="10288" spans="9:10">
      <c r="I10288" s="14"/>
      <c r="J10288" s="14"/>
    </row>
    <row r="10289" spans="9:10">
      <c r="I10289" s="14"/>
      <c r="J10289" s="14"/>
    </row>
    <row r="10290" spans="9:10">
      <c r="I10290" s="14"/>
      <c r="J10290" s="14"/>
    </row>
    <row r="10291" spans="9:10">
      <c r="I10291" s="14"/>
      <c r="J10291" s="14"/>
    </row>
    <row r="10292" spans="9:10">
      <c r="I10292" s="14"/>
      <c r="J10292" s="14"/>
    </row>
    <row r="10293" spans="9:10">
      <c r="I10293" s="14"/>
      <c r="J10293" s="14"/>
    </row>
    <row r="10294" spans="9:10">
      <c r="I10294" s="14"/>
      <c r="J10294" s="14"/>
    </row>
    <row r="10295" spans="9:10">
      <c r="I10295" s="14"/>
      <c r="J10295" s="14"/>
    </row>
    <row r="10296" spans="9:10">
      <c r="I10296" s="14"/>
      <c r="J10296" s="14"/>
    </row>
    <row r="10297" spans="9:10">
      <c r="I10297" s="14"/>
      <c r="J10297" s="14"/>
    </row>
    <row r="10298" spans="9:10">
      <c r="I10298" s="14"/>
      <c r="J10298" s="14"/>
    </row>
    <row r="10299" spans="9:10">
      <c r="I10299" s="14"/>
      <c r="J10299" s="14"/>
    </row>
    <row r="10300" spans="9:10">
      <c r="I10300" s="14"/>
      <c r="J10300" s="14"/>
    </row>
    <row r="10301" spans="9:10">
      <c r="I10301" s="14"/>
      <c r="J10301" s="14"/>
    </row>
    <row r="10302" spans="9:10">
      <c r="I10302" s="14"/>
      <c r="J10302" s="14"/>
    </row>
    <row r="10303" spans="9:10">
      <c r="I10303" s="14"/>
      <c r="J10303" s="14"/>
    </row>
    <row r="10304" spans="9:10">
      <c r="I10304" s="14"/>
      <c r="J10304" s="14"/>
    </row>
    <row r="10305" spans="9:10">
      <c r="I10305" s="14"/>
      <c r="J10305" s="14"/>
    </row>
    <row r="10306" spans="9:10">
      <c r="I10306" s="14"/>
      <c r="J10306" s="14"/>
    </row>
    <row r="10307" spans="9:10">
      <c r="I10307" s="14"/>
      <c r="J10307" s="14"/>
    </row>
    <row r="10308" spans="9:10">
      <c r="I10308" s="14"/>
      <c r="J10308" s="14"/>
    </row>
    <row r="10309" spans="9:10">
      <c r="I10309" s="14"/>
      <c r="J10309" s="14"/>
    </row>
    <row r="10310" spans="9:10">
      <c r="I10310" s="14"/>
      <c r="J10310" s="14"/>
    </row>
    <row r="10311" spans="9:10">
      <c r="I10311" s="14"/>
      <c r="J10311" s="14"/>
    </row>
    <row r="10312" spans="9:10">
      <c r="I10312" s="14"/>
      <c r="J10312" s="14"/>
    </row>
    <row r="10313" spans="9:10">
      <c r="I10313" s="14"/>
      <c r="J10313" s="14"/>
    </row>
    <row r="10314" spans="9:10">
      <c r="I10314" s="14"/>
      <c r="J10314" s="14"/>
    </row>
    <row r="10315" spans="9:10">
      <c r="I10315" s="14"/>
      <c r="J10315" s="14"/>
    </row>
    <row r="10316" spans="9:10">
      <c r="I10316" s="14"/>
      <c r="J10316" s="14"/>
    </row>
    <row r="10317" spans="9:10">
      <c r="I10317" s="14"/>
      <c r="J10317" s="14"/>
    </row>
    <row r="10318" spans="9:10">
      <c r="I10318" s="14"/>
      <c r="J10318" s="14"/>
    </row>
    <row r="10319" spans="9:10">
      <c r="I10319" s="14"/>
      <c r="J10319" s="14"/>
    </row>
    <row r="10320" spans="9:10">
      <c r="I10320" s="14"/>
      <c r="J10320" s="14"/>
    </row>
    <row r="10321" spans="9:10">
      <c r="I10321" s="14"/>
      <c r="J10321" s="14"/>
    </row>
    <row r="10322" spans="9:10">
      <c r="I10322" s="14"/>
      <c r="J10322" s="14"/>
    </row>
    <row r="10323" spans="9:10">
      <c r="I10323" s="14"/>
      <c r="J10323" s="14"/>
    </row>
    <row r="10324" spans="9:10">
      <c r="I10324" s="14"/>
      <c r="J10324" s="14"/>
    </row>
    <row r="10325" spans="9:10">
      <c r="I10325" s="14"/>
      <c r="J10325" s="14"/>
    </row>
    <row r="10326" spans="9:10">
      <c r="I10326" s="14"/>
      <c r="J10326" s="14"/>
    </row>
    <row r="10327" spans="9:10">
      <c r="I10327" s="14"/>
      <c r="J10327" s="14"/>
    </row>
    <row r="10328" spans="9:10">
      <c r="I10328" s="14"/>
      <c r="J10328" s="14"/>
    </row>
    <row r="10329" spans="9:10">
      <c r="I10329" s="14"/>
      <c r="J10329" s="14"/>
    </row>
    <row r="10330" spans="9:10">
      <c r="I10330" s="14"/>
      <c r="J10330" s="14"/>
    </row>
    <row r="10331" spans="9:10">
      <c r="I10331" s="14"/>
      <c r="J10331" s="14"/>
    </row>
    <row r="10332" spans="9:10">
      <c r="I10332" s="14"/>
      <c r="J10332" s="14"/>
    </row>
    <row r="10333" spans="9:10">
      <c r="I10333" s="14"/>
      <c r="J10333" s="14"/>
    </row>
    <row r="10334" spans="9:10">
      <c r="I10334" s="14"/>
      <c r="J10334" s="14"/>
    </row>
    <row r="10335" spans="9:10">
      <c r="I10335" s="14"/>
      <c r="J10335" s="14"/>
    </row>
    <row r="10336" spans="9:10">
      <c r="I10336" s="14"/>
      <c r="J10336" s="14"/>
    </row>
    <row r="10337" spans="9:10">
      <c r="I10337" s="14"/>
      <c r="J10337" s="14"/>
    </row>
    <row r="10338" spans="9:10">
      <c r="I10338" s="14"/>
      <c r="J10338" s="14"/>
    </row>
    <row r="10339" spans="9:10">
      <c r="I10339" s="14"/>
      <c r="J10339" s="14"/>
    </row>
    <row r="10340" spans="9:10">
      <c r="I10340" s="14"/>
      <c r="J10340" s="14"/>
    </row>
    <row r="10341" spans="9:10">
      <c r="I10341" s="14"/>
      <c r="J10341" s="14"/>
    </row>
    <row r="10342" spans="9:10">
      <c r="I10342" s="14"/>
      <c r="J10342" s="14"/>
    </row>
    <row r="10343" spans="9:10">
      <c r="I10343" s="14"/>
      <c r="J10343" s="14"/>
    </row>
    <row r="10344" spans="9:10">
      <c r="I10344" s="14"/>
      <c r="J10344" s="14"/>
    </row>
    <row r="10345" spans="9:10">
      <c r="I10345" s="14"/>
      <c r="J10345" s="14"/>
    </row>
    <row r="10346" spans="9:10">
      <c r="I10346" s="14"/>
      <c r="J10346" s="14"/>
    </row>
    <row r="10347" spans="9:10">
      <c r="I10347" s="14"/>
      <c r="J10347" s="14"/>
    </row>
    <row r="10348" spans="9:10">
      <c r="I10348" s="14"/>
      <c r="J10348" s="14"/>
    </row>
    <row r="10349" spans="9:10">
      <c r="I10349" s="14"/>
      <c r="J10349" s="14"/>
    </row>
    <row r="10350" spans="9:10">
      <c r="I10350" s="14"/>
      <c r="J10350" s="14"/>
    </row>
    <row r="10351" spans="9:10">
      <c r="I10351" s="14"/>
      <c r="J10351" s="14"/>
    </row>
    <row r="10352" spans="9:10">
      <c r="I10352" s="14"/>
      <c r="J10352" s="14"/>
    </row>
    <row r="10353" spans="9:10">
      <c r="I10353" s="14"/>
      <c r="J10353" s="14"/>
    </row>
    <row r="10354" spans="9:10">
      <c r="I10354" s="14"/>
      <c r="J10354" s="14"/>
    </row>
    <row r="10355" spans="9:10">
      <c r="I10355" s="14"/>
      <c r="J10355" s="14"/>
    </row>
    <row r="10356" spans="9:10">
      <c r="I10356" s="14"/>
      <c r="J10356" s="14"/>
    </row>
    <row r="10357" spans="9:10">
      <c r="I10357" s="14"/>
      <c r="J10357" s="14"/>
    </row>
    <row r="10358" spans="9:10">
      <c r="I10358" s="14"/>
      <c r="J10358" s="14"/>
    </row>
    <row r="10359" spans="9:10">
      <c r="I10359" s="14"/>
      <c r="J10359" s="14"/>
    </row>
    <row r="10360" spans="9:10">
      <c r="I10360" s="14"/>
      <c r="J10360" s="14"/>
    </row>
    <row r="10361" spans="9:10">
      <c r="I10361" s="14"/>
      <c r="J10361" s="14"/>
    </row>
    <row r="10362" spans="9:10">
      <c r="I10362" s="14"/>
      <c r="J10362" s="14"/>
    </row>
    <row r="10363" spans="9:10">
      <c r="I10363" s="14"/>
      <c r="J10363" s="14"/>
    </row>
    <row r="10364" spans="9:10">
      <c r="I10364" s="14"/>
      <c r="J10364" s="14"/>
    </row>
    <row r="10365" spans="9:10">
      <c r="I10365" s="14"/>
      <c r="J10365" s="14"/>
    </row>
    <row r="10366" spans="9:10">
      <c r="I10366" s="14"/>
      <c r="J10366" s="14"/>
    </row>
    <row r="10367" spans="9:10">
      <c r="I10367" s="14"/>
      <c r="J10367" s="14"/>
    </row>
    <row r="10368" spans="9:10">
      <c r="I10368" s="14"/>
      <c r="J10368" s="14"/>
    </row>
    <row r="10369" spans="9:10">
      <c r="I10369" s="14"/>
      <c r="J10369" s="14"/>
    </row>
    <row r="10370" spans="9:10">
      <c r="I10370" s="14"/>
      <c r="J10370" s="14"/>
    </row>
    <row r="10371" spans="9:10">
      <c r="I10371" s="14"/>
      <c r="J10371" s="14"/>
    </row>
    <row r="10372" spans="9:10">
      <c r="I10372" s="14"/>
      <c r="J10372" s="14"/>
    </row>
    <row r="10373" spans="9:10">
      <c r="I10373" s="14"/>
      <c r="J10373" s="14"/>
    </row>
    <row r="10374" spans="9:10">
      <c r="I10374" s="14"/>
      <c r="J10374" s="14"/>
    </row>
    <row r="10375" spans="9:10">
      <c r="I10375" s="14"/>
      <c r="J10375" s="14"/>
    </row>
    <row r="10376" spans="9:10">
      <c r="I10376" s="14"/>
      <c r="J10376" s="14"/>
    </row>
    <row r="10377" spans="9:10">
      <c r="I10377" s="14"/>
      <c r="J10377" s="14"/>
    </row>
    <row r="10378" spans="9:10">
      <c r="I10378" s="14"/>
      <c r="J10378" s="14"/>
    </row>
    <row r="10379" spans="9:10">
      <c r="I10379" s="14"/>
      <c r="J10379" s="14"/>
    </row>
    <row r="10380" spans="9:10">
      <c r="I10380" s="14"/>
      <c r="J10380" s="14"/>
    </row>
    <row r="10381" spans="9:10">
      <c r="I10381" s="14"/>
      <c r="J10381" s="14"/>
    </row>
    <row r="10382" spans="9:10">
      <c r="I10382" s="14"/>
      <c r="J10382" s="14"/>
    </row>
    <row r="10383" spans="9:10">
      <c r="I10383" s="14"/>
      <c r="J10383" s="14"/>
    </row>
    <row r="10384" spans="9:10">
      <c r="I10384" s="14"/>
      <c r="J10384" s="14"/>
    </row>
    <row r="10385" spans="9:10">
      <c r="I10385" s="14"/>
      <c r="J10385" s="14"/>
    </row>
    <row r="10386" spans="9:10">
      <c r="I10386" s="14"/>
      <c r="J10386" s="14"/>
    </row>
    <row r="10387" spans="9:10">
      <c r="I10387" s="14"/>
      <c r="J10387" s="14"/>
    </row>
    <row r="10388" spans="9:10">
      <c r="I10388" s="14"/>
      <c r="J10388" s="14"/>
    </row>
    <row r="10389" spans="9:10">
      <c r="I10389" s="14"/>
      <c r="J10389" s="14"/>
    </row>
    <row r="10390" spans="9:10">
      <c r="I10390" s="14"/>
      <c r="J10390" s="14"/>
    </row>
    <row r="10391" spans="9:10">
      <c r="I10391" s="14"/>
      <c r="J10391" s="14"/>
    </row>
    <row r="10392" spans="9:10">
      <c r="I10392" s="14"/>
      <c r="J10392" s="14"/>
    </row>
    <row r="10393" spans="9:10">
      <c r="I10393" s="14"/>
      <c r="J10393" s="14"/>
    </row>
    <row r="10394" spans="9:10">
      <c r="I10394" s="14"/>
      <c r="J10394" s="14"/>
    </row>
    <row r="10395" spans="9:10">
      <c r="I10395" s="14"/>
      <c r="J10395" s="14"/>
    </row>
    <row r="10396" spans="9:10">
      <c r="I10396" s="14"/>
      <c r="J10396" s="14"/>
    </row>
    <row r="10397" spans="9:10">
      <c r="I10397" s="14"/>
      <c r="J10397" s="14"/>
    </row>
    <row r="10398" spans="9:10">
      <c r="I10398" s="14"/>
      <c r="J10398" s="14"/>
    </row>
    <row r="10399" spans="9:10">
      <c r="I10399" s="14"/>
      <c r="J10399" s="14"/>
    </row>
    <row r="10400" spans="9:10">
      <c r="I10400" s="14"/>
      <c r="J10400" s="14"/>
    </row>
    <row r="10401" spans="9:10">
      <c r="I10401" s="14"/>
      <c r="J10401" s="14"/>
    </row>
    <row r="10402" spans="9:10">
      <c r="I10402" s="14"/>
      <c r="J10402" s="14"/>
    </row>
    <row r="10403" spans="9:10">
      <c r="I10403" s="14"/>
      <c r="J10403" s="14"/>
    </row>
    <row r="10404" spans="9:10">
      <c r="I10404" s="14"/>
      <c r="J10404" s="14"/>
    </row>
    <row r="10405" spans="9:10">
      <c r="I10405" s="14"/>
      <c r="J10405" s="14"/>
    </row>
    <row r="10406" spans="9:10">
      <c r="I10406" s="14"/>
      <c r="J10406" s="14"/>
    </row>
    <row r="10407" spans="9:10">
      <c r="I10407" s="14"/>
      <c r="J10407" s="14"/>
    </row>
    <row r="10408" spans="9:10">
      <c r="I10408" s="14"/>
      <c r="J10408" s="14"/>
    </row>
    <row r="10409" spans="9:10">
      <c r="I10409" s="14"/>
      <c r="J10409" s="14"/>
    </row>
    <row r="10410" spans="9:10">
      <c r="I10410" s="14"/>
      <c r="J10410" s="14"/>
    </row>
    <row r="10411" spans="9:10">
      <c r="I10411" s="14"/>
      <c r="J10411" s="14"/>
    </row>
    <row r="10412" spans="9:10">
      <c r="I10412" s="14"/>
      <c r="J10412" s="14"/>
    </row>
    <row r="10413" spans="9:10">
      <c r="I10413" s="14"/>
      <c r="J10413" s="14"/>
    </row>
    <row r="10414" spans="9:10">
      <c r="I10414" s="14"/>
      <c r="J10414" s="14"/>
    </row>
    <row r="10415" spans="9:10">
      <c r="I10415" s="14"/>
      <c r="J10415" s="14"/>
    </row>
    <row r="10416" spans="9:10">
      <c r="I10416" s="14"/>
      <c r="J10416" s="14"/>
    </row>
    <row r="10417" spans="9:10">
      <c r="I10417" s="14"/>
      <c r="J10417" s="14"/>
    </row>
    <row r="10418" spans="9:10">
      <c r="I10418" s="14"/>
      <c r="J10418" s="14"/>
    </row>
    <row r="10419" spans="9:10">
      <c r="I10419" s="14"/>
      <c r="J10419" s="14"/>
    </row>
    <row r="10420" spans="9:10">
      <c r="I10420" s="14"/>
      <c r="J10420" s="14"/>
    </row>
    <row r="10421" spans="9:10">
      <c r="I10421" s="14"/>
      <c r="J10421" s="14"/>
    </row>
    <row r="10422" spans="9:10">
      <c r="I10422" s="14"/>
      <c r="J10422" s="14"/>
    </row>
    <row r="10423" spans="9:10">
      <c r="I10423" s="14"/>
      <c r="J10423" s="14"/>
    </row>
    <row r="10424" spans="9:10">
      <c r="I10424" s="14"/>
      <c r="J10424" s="14"/>
    </row>
    <row r="10425" spans="9:10">
      <c r="I10425" s="14"/>
      <c r="J10425" s="14"/>
    </row>
    <row r="10426" spans="9:10">
      <c r="I10426" s="14"/>
      <c r="J10426" s="14"/>
    </row>
    <row r="10427" spans="9:10">
      <c r="I10427" s="14"/>
      <c r="J10427" s="14"/>
    </row>
    <row r="10428" spans="9:10">
      <c r="I10428" s="14"/>
      <c r="J10428" s="14"/>
    </row>
    <row r="10429" spans="9:10">
      <c r="I10429" s="14"/>
      <c r="J10429" s="14"/>
    </row>
    <row r="10430" spans="9:10">
      <c r="I10430" s="14"/>
      <c r="J10430" s="14"/>
    </row>
    <row r="10431" spans="9:10">
      <c r="I10431" s="14"/>
      <c r="J10431" s="14"/>
    </row>
    <row r="10432" spans="9:10">
      <c r="I10432" s="14"/>
      <c r="J10432" s="14"/>
    </row>
    <row r="10433" spans="9:10">
      <c r="I10433" s="14"/>
      <c r="J10433" s="14"/>
    </row>
    <row r="10434" spans="9:10">
      <c r="I10434" s="14"/>
      <c r="J10434" s="14"/>
    </row>
    <row r="10435" spans="9:10">
      <c r="I10435" s="14"/>
      <c r="J10435" s="14"/>
    </row>
    <row r="10436" spans="9:10">
      <c r="I10436" s="14"/>
      <c r="J10436" s="14"/>
    </row>
    <row r="10437" spans="9:10">
      <c r="I10437" s="14"/>
      <c r="J10437" s="14"/>
    </row>
    <row r="10438" spans="9:10">
      <c r="I10438" s="14"/>
      <c r="J10438" s="14"/>
    </row>
    <row r="10439" spans="9:10">
      <c r="I10439" s="14"/>
      <c r="J10439" s="14"/>
    </row>
    <row r="10440" spans="9:10">
      <c r="I10440" s="14"/>
      <c r="J10440" s="14"/>
    </row>
    <row r="10441" spans="9:10">
      <c r="I10441" s="14"/>
      <c r="J10441" s="14"/>
    </row>
    <row r="10442" spans="9:10">
      <c r="I10442" s="14"/>
      <c r="J10442" s="14"/>
    </row>
    <row r="10443" spans="9:10">
      <c r="I10443" s="14"/>
      <c r="J10443" s="14"/>
    </row>
    <row r="10444" spans="9:10">
      <c r="I10444" s="14"/>
      <c r="J10444" s="14"/>
    </row>
    <row r="10445" spans="9:10">
      <c r="I10445" s="14"/>
      <c r="J10445" s="14"/>
    </row>
    <row r="10446" spans="9:10">
      <c r="I10446" s="14"/>
      <c r="J10446" s="14"/>
    </row>
    <row r="10447" spans="9:10">
      <c r="I10447" s="14"/>
      <c r="J10447" s="14"/>
    </row>
    <row r="10448" spans="9:10">
      <c r="I10448" s="14"/>
      <c r="J10448" s="14"/>
    </row>
    <row r="10449" spans="9:10">
      <c r="I10449" s="14"/>
      <c r="J10449" s="14"/>
    </row>
    <row r="10450" spans="9:10">
      <c r="I10450" s="14"/>
      <c r="J10450" s="14"/>
    </row>
    <row r="10451" spans="9:10">
      <c r="I10451" s="14"/>
      <c r="J10451" s="14"/>
    </row>
    <row r="10452" spans="9:10">
      <c r="I10452" s="14"/>
      <c r="J10452" s="14"/>
    </row>
    <row r="10453" spans="9:10">
      <c r="I10453" s="14"/>
      <c r="J10453" s="14"/>
    </row>
    <row r="10454" spans="9:10">
      <c r="I10454" s="14"/>
      <c r="J10454" s="14"/>
    </row>
    <row r="10455" spans="9:10">
      <c r="I10455" s="14"/>
      <c r="J10455" s="14"/>
    </row>
    <row r="10456" spans="9:10">
      <c r="I10456" s="14"/>
      <c r="J10456" s="14"/>
    </row>
    <row r="10457" spans="9:10">
      <c r="I10457" s="14"/>
      <c r="J10457" s="14"/>
    </row>
    <row r="10458" spans="9:10">
      <c r="I10458" s="14"/>
      <c r="J10458" s="14"/>
    </row>
    <row r="10459" spans="9:10">
      <c r="I10459" s="14"/>
      <c r="J10459" s="14"/>
    </row>
    <row r="10460" spans="9:10">
      <c r="I10460" s="14"/>
      <c r="J10460" s="14"/>
    </row>
    <row r="10461" spans="9:10">
      <c r="I10461" s="14"/>
      <c r="J10461" s="14"/>
    </row>
    <row r="10462" spans="9:10">
      <c r="I10462" s="14"/>
      <c r="J10462" s="14"/>
    </row>
    <row r="10463" spans="9:10">
      <c r="I10463" s="14"/>
      <c r="J10463" s="14"/>
    </row>
    <row r="10464" spans="9:10">
      <c r="I10464" s="14"/>
      <c r="J10464" s="14"/>
    </row>
    <row r="10465" spans="9:10">
      <c r="I10465" s="14"/>
      <c r="J10465" s="14"/>
    </row>
    <row r="10466" spans="9:10">
      <c r="I10466" s="14"/>
      <c r="J10466" s="14"/>
    </row>
    <row r="10467" spans="9:10">
      <c r="I10467" s="14"/>
      <c r="J10467" s="14"/>
    </row>
    <row r="10468" spans="9:10">
      <c r="I10468" s="14"/>
      <c r="J10468" s="14"/>
    </row>
    <row r="10469" spans="9:10">
      <c r="I10469" s="14"/>
      <c r="J10469" s="14"/>
    </row>
    <row r="10470" spans="9:10">
      <c r="I10470" s="14"/>
      <c r="J10470" s="14"/>
    </row>
    <row r="10471" spans="9:10">
      <c r="I10471" s="14"/>
      <c r="J10471" s="14"/>
    </row>
    <row r="10472" spans="9:10">
      <c r="I10472" s="14"/>
      <c r="J10472" s="14"/>
    </row>
    <row r="10473" spans="9:10">
      <c r="I10473" s="14"/>
      <c r="J10473" s="14"/>
    </row>
    <row r="10474" spans="9:10">
      <c r="I10474" s="14"/>
      <c r="J10474" s="14"/>
    </row>
    <row r="10475" spans="9:10">
      <c r="I10475" s="14"/>
      <c r="J10475" s="14"/>
    </row>
    <row r="10476" spans="9:10">
      <c r="I10476" s="14"/>
      <c r="J10476" s="14"/>
    </row>
    <row r="10477" spans="9:10">
      <c r="I10477" s="14"/>
      <c r="J10477" s="14"/>
    </row>
    <row r="10478" spans="9:10">
      <c r="I10478" s="14"/>
      <c r="J10478" s="14"/>
    </row>
    <row r="10479" spans="9:10">
      <c r="I10479" s="14"/>
      <c r="J10479" s="14"/>
    </row>
    <row r="10480" spans="9:10">
      <c r="I10480" s="14"/>
      <c r="J10480" s="14"/>
    </row>
    <row r="10481" spans="9:10">
      <c r="I10481" s="14"/>
      <c r="J10481" s="14"/>
    </row>
    <row r="10482" spans="9:10">
      <c r="I10482" s="14"/>
      <c r="J10482" s="14"/>
    </row>
    <row r="10483" spans="9:10">
      <c r="I10483" s="14"/>
      <c r="J10483" s="14"/>
    </row>
    <row r="10484" spans="9:10">
      <c r="I10484" s="14"/>
      <c r="J10484" s="14"/>
    </row>
    <row r="10485" spans="9:10">
      <c r="I10485" s="14"/>
      <c r="J10485" s="14"/>
    </row>
    <row r="10486" spans="9:10">
      <c r="I10486" s="14"/>
      <c r="J10486" s="14"/>
    </row>
    <row r="10487" spans="9:10">
      <c r="I10487" s="14"/>
      <c r="J10487" s="14"/>
    </row>
    <row r="10488" spans="9:10">
      <c r="I10488" s="14"/>
      <c r="J10488" s="14"/>
    </row>
    <row r="10489" spans="9:10">
      <c r="I10489" s="14"/>
      <c r="J10489" s="14"/>
    </row>
    <row r="10490" spans="9:10">
      <c r="I10490" s="14"/>
      <c r="J10490" s="14"/>
    </row>
    <row r="10491" spans="9:10">
      <c r="I10491" s="14"/>
      <c r="J10491" s="14"/>
    </row>
    <row r="10492" spans="9:10">
      <c r="I10492" s="14"/>
      <c r="J10492" s="14"/>
    </row>
    <row r="10493" spans="9:10">
      <c r="I10493" s="14"/>
      <c r="J10493" s="14"/>
    </row>
    <row r="10494" spans="9:10">
      <c r="I10494" s="14"/>
      <c r="J10494" s="14"/>
    </row>
    <row r="10495" spans="9:10">
      <c r="I10495" s="14"/>
      <c r="J10495" s="14"/>
    </row>
    <row r="10496" spans="9:10">
      <c r="I10496" s="14"/>
      <c r="J10496" s="14"/>
    </row>
    <row r="10497" spans="9:10">
      <c r="I10497" s="14"/>
      <c r="J10497" s="14"/>
    </row>
    <row r="10498" spans="9:10">
      <c r="I10498" s="14"/>
      <c r="J10498" s="14"/>
    </row>
    <row r="10499" spans="9:10">
      <c r="I10499" s="14"/>
      <c r="J10499" s="14"/>
    </row>
    <row r="10500" spans="9:10">
      <c r="I10500" s="14"/>
      <c r="J10500" s="14"/>
    </row>
    <row r="10501" spans="9:10">
      <c r="I10501" s="14"/>
      <c r="J10501" s="14"/>
    </row>
    <row r="10502" spans="9:10">
      <c r="I10502" s="14"/>
      <c r="J10502" s="14"/>
    </row>
    <row r="10503" spans="9:10">
      <c r="I10503" s="14"/>
      <c r="J10503" s="14"/>
    </row>
    <row r="10504" spans="9:10">
      <c r="I10504" s="14"/>
      <c r="J10504" s="14"/>
    </row>
    <row r="10505" spans="9:10">
      <c r="I10505" s="14"/>
      <c r="J10505" s="14"/>
    </row>
    <row r="10506" spans="9:10">
      <c r="I10506" s="14"/>
      <c r="J10506" s="14"/>
    </row>
    <row r="10507" spans="9:10">
      <c r="I10507" s="14"/>
      <c r="J10507" s="14"/>
    </row>
    <row r="10508" spans="9:10">
      <c r="I10508" s="14"/>
      <c r="J10508" s="14"/>
    </row>
    <row r="10509" spans="9:10">
      <c r="I10509" s="14"/>
      <c r="J10509" s="14"/>
    </row>
    <row r="10510" spans="9:10">
      <c r="I10510" s="14"/>
      <c r="J10510" s="14"/>
    </row>
    <row r="10511" spans="9:10">
      <c r="I10511" s="14"/>
      <c r="J10511" s="14"/>
    </row>
    <row r="10512" spans="9:10">
      <c r="I10512" s="14"/>
      <c r="J10512" s="14"/>
    </row>
    <row r="10513" spans="9:10">
      <c r="I10513" s="14"/>
      <c r="J10513" s="14"/>
    </row>
    <row r="10514" spans="9:10">
      <c r="I10514" s="14"/>
      <c r="J10514" s="14"/>
    </row>
    <row r="10515" spans="9:10">
      <c r="I10515" s="14"/>
      <c r="J10515" s="14"/>
    </row>
    <row r="10516" spans="9:10">
      <c r="I10516" s="14"/>
      <c r="J10516" s="14"/>
    </row>
    <row r="10517" spans="9:10">
      <c r="I10517" s="14"/>
      <c r="J10517" s="14"/>
    </row>
    <row r="10518" spans="9:10">
      <c r="I10518" s="14"/>
      <c r="J10518" s="14"/>
    </row>
    <row r="10519" spans="9:10">
      <c r="I10519" s="14"/>
      <c r="J10519" s="14"/>
    </row>
    <row r="10520" spans="9:10">
      <c r="I10520" s="14"/>
      <c r="J10520" s="14"/>
    </row>
    <row r="10521" spans="9:10">
      <c r="I10521" s="14"/>
      <c r="J10521" s="14"/>
    </row>
    <row r="10522" spans="9:10">
      <c r="I10522" s="14"/>
      <c r="J10522" s="14"/>
    </row>
    <row r="10523" spans="9:10">
      <c r="I10523" s="14"/>
      <c r="J10523" s="14"/>
    </row>
    <row r="10524" spans="9:10">
      <c r="I10524" s="14"/>
      <c r="J10524" s="14"/>
    </row>
    <row r="10525" spans="9:10">
      <c r="I10525" s="14"/>
      <c r="J10525" s="14"/>
    </row>
    <row r="10526" spans="9:10">
      <c r="I10526" s="14"/>
      <c r="J10526" s="14"/>
    </row>
    <row r="10527" spans="9:10">
      <c r="I10527" s="14"/>
      <c r="J10527" s="14"/>
    </row>
    <row r="10528" spans="9:10">
      <c r="I10528" s="14"/>
      <c r="J10528" s="14"/>
    </row>
    <row r="10529" spans="9:10">
      <c r="I10529" s="14"/>
      <c r="J10529" s="14"/>
    </row>
    <row r="10530" spans="9:10">
      <c r="I10530" s="14"/>
      <c r="J10530" s="14"/>
    </row>
    <row r="10531" spans="9:10">
      <c r="I10531" s="14"/>
      <c r="J10531" s="14"/>
    </row>
    <row r="10532" spans="9:10">
      <c r="I10532" s="14"/>
      <c r="J10532" s="14"/>
    </row>
    <row r="10533" spans="9:10">
      <c r="I10533" s="14"/>
      <c r="J10533" s="14"/>
    </row>
    <row r="10534" spans="9:10">
      <c r="I10534" s="14"/>
      <c r="J10534" s="14"/>
    </row>
    <row r="10535" spans="9:10">
      <c r="I10535" s="14"/>
      <c r="J10535" s="14"/>
    </row>
    <row r="10536" spans="9:10">
      <c r="I10536" s="14"/>
      <c r="J10536" s="14"/>
    </row>
    <row r="10537" spans="9:10">
      <c r="I10537" s="14"/>
      <c r="J10537" s="14"/>
    </row>
    <row r="10538" spans="9:10">
      <c r="I10538" s="14"/>
      <c r="J10538" s="14"/>
    </row>
    <row r="10539" spans="9:10">
      <c r="I10539" s="14"/>
      <c r="J10539" s="14"/>
    </row>
    <row r="10540" spans="9:10">
      <c r="I10540" s="14"/>
      <c r="J10540" s="14"/>
    </row>
    <row r="10541" spans="9:10">
      <c r="I10541" s="14"/>
      <c r="J10541" s="14"/>
    </row>
    <row r="10542" spans="9:10">
      <c r="I10542" s="14"/>
      <c r="J10542" s="14"/>
    </row>
    <row r="10543" spans="9:10">
      <c r="I10543" s="14"/>
      <c r="J10543" s="14"/>
    </row>
    <row r="10544" spans="9:10">
      <c r="I10544" s="14"/>
      <c r="J10544" s="14"/>
    </row>
    <row r="10545" spans="9:10">
      <c r="I10545" s="14"/>
      <c r="J10545" s="14"/>
    </row>
    <row r="10546" spans="9:10">
      <c r="I10546" s="14"/>
      <c r="J10546" s="14"/>
    </row>
    <row r="10547" spans="9:10">
      <c r="I10547" s="14"/>
      <c r="J10547" s="14"/>
    </row>
    <row r="10548" spans="9:10">
      <c r="I10548" s="14"/>
      <c r="J10548" s="14"/>
    </row>
    <row r="10549" spans="9:10">
      <c r="I10549" s="14"/>
      <c r="J10549" s="14"/>
    </row>
    <row r="10550" spans="9:10">
      <c r="I10550" s="14"/>
      <c r="J10550" s="14"/>
    </row>
    <row r="10551" spans="9:10">
      <c r="I10551" s="14"/>
      <c r="J10551" s="14"/>
    </row>
    <row r="10552" spans="9:10">
      <c r="I10552" s="14"/>
      <c r="J10552" s="14"/>
    </row>
    <row r="10553" spans="9:10">
      <c r="I10553" s="14"/>
      <c r="J10553" s="14"/>
    </row>
    <row r="10554" spans="9:10">
      <c r="I10554" s="14"/>
      <c r="J10554" s="14"/>
    </row>
    <row r="10555" spans="9:10">
      <c r="I10555" s="14"/>
      <c r="J10555" s="14"/>
    </row>
    <row r="10556" spans="9:10">
      <c r="I10556" s="14"/>
      <c r="J10556" s="14"/>
    </row>
    <row r="10557" spans="9:10">
      <c r="I10557" s="14"/>
      <c r="J10557" s="14"/>
    </row>
    <row r="10558" spans="9:10">
      <c r="I10558" s="14"/>
      <c r="J10558" s="14"/>
    </row>
    <row r="10559" spans="9:10">
      <c r="I10559" s="14"/>
      <c r="J10559" s="14"/>
    </row>
    <row r="10560" spans="9:10">
      <c r="I10560" s="14"/>
      <c r="J10560" s="14"/>
    </row>
    <row r="10561" spans="9:10">
      <c r="I10561" s="14"/>
      <c r="J10561" s="14"/>
    </row>
    <row r="10562" spans="9:10">
      <c r="I10562" s="14"/>
      <c r="J10562" s="14"/>
    </row>
    <row r="10563" spans="9:10">
      <c r="I10563" s="14"/>
      <c r="J10563" s="14"/>
    </row>
    <row r="10564" spans="9:10">
      <c r="I10564" s="14"/>
      <c r="J10564" s="14"/>
    </row>
    <row r="10565" spans="9:10">
      <c r="I10565" s="14"/>
      <c r="J10565" s="14"/>
    </row>
    <row r="10566" spans="9:10">
      <c r="I10566" s="14"/>
      <c r="J10566" s="14"/>
    </row>
    <row r="10567" spans="9:10">
      <c r="I10567" s="14"/>
      <c r="J10567" s="14"/>
    </row>
    <row r="10568" spans="9:10">
      <c r="I10568" s="14"/>
      <c r="J10568" s="14"/>
    </row>
    <row r="10569" spans="9:10">
      <c r="I10569" s="14"/>
      <c r="J10569" s="14"/>
    </row>
    <row r="10570" spans="9:10">
      <c r="I10570" s="14"/>
      <c r="J10570" s="14"/>
    </row>
    <row r="10571" spans="9:10">
      <c r="I10571" s="14"/>
      <c r="J10571" s="14"/>
    </row>
    <row r="10572" spans="9:10">
      <c r="I10572" s="14"/>
      <c r="J10572" s="14"/>
    </row>
    <row r="10573" spans="9:10">
      <c r="I10573" s="14"/>
      <c r="J10573" s="14"/>
    </row>
    <row r="10574" spans="9:10">
      <c r="I10574" s="14"/>
      <c r="J10574" s="14"/>
    </row>
    <row r="10575" spans="9:10">
      <c r="I10575" s="14"/>
      <c r="J10575" s="14"/>
    </row>
    <row r="10576" spans="9:10">
      <c r="I10576" s="14"/>
      <c r="J10576" s="14"/>
    </row>
    <row r="10577" spans="9:10">
      <c r="I10577" s="14"/>
      <c r="J10577" s="14"/>
    </row>
    <row r="10578" spans="9:10">
      <c r="I10578" s="14"/>
      <c r="J10578" s="14"/>
    </row>
    <row r="10579" spans="9:10">
      <c r="I10579" s="14"/>
      <c r="J10579" s="14"/>
    </row>
    <row r="10580" spans="9:10">
      <c r="I10580" s="14"/>
      <c r="J10580" s="14"/>
    </row>
    <row r="10581" spans="9:10">
      <c r="I10581" s="14"/>
      <c r="J10581" s="14"/>
    </row>
    <row r="10582" spans="9:10">
      <c r="I10582" s="14"/>
      <c r="J10582" s="14"/>
    </row>
    <row r="10583" spans="9:10">
      <c r="I10583" s="14"/>
      <c r="J10583" s="14"/>
    </row>
    <row r="10584" spans="9:10">
      <c r="I10584" s="14"/>
      <c r="J10584" s="14"/>
    </row>
    <row r="10585" spans="9:10">
      <c r="I10585" s="14"/>
      <c r="J10585" s="14"/>
    </row>
    <row r="10586" spans="9:10">
      <c r="I10586" s="14"/>
      <c r="J10586" s="14"/>
    </row>
    <row r="10587" spans="9:10">
      <c r="I10587" s="14"/>
      <c r="J10587" s="14"/>
    </row>
    <row r="10588" spans="9:10">
      <c r="I10588" s="14"/>
      <c r="J10588" s="14"/>
    </row>
    <row r="10589" spans="9:10">
      <c r="I10589" s="14"/>
      <c r="J10589" s="14"/>
    </row>
    <row r="10590" spans="9:10">
      <c r="I10590" s="14"/>
      <c r="J10590" s="14"/>
    </row>
    <row r="10591" spans="9:10">
      <c r="I10591" s="14"/>
      <c r="J10591" s="14"/>
    </row>
    <row r="10592" spans="9:10">
      <c r="I10592" s="14"/>
      <c r="J10592" s="14"/>
    </row>
    <row r="10593" spans="9:10">
      <c r="I10593" s="14"/>
      <c r="J10593" s="14"/>
    </row>
    <row r="10594" spans="9:10">
      <c r="I10594" s="14"/>
      <c r="J10594" s="14"/>
    </row>
    <row r="10595" spans="9:10">
      <c r="I10595" s="14"/>
      <c r="J10595" s="14"/>
    </row>
    <row r="10596" spans="9:10">
      <c r="I10596" s="14"/>
      <c r="J10596" s="14"/>
    </row>
    <row r="10597" spans="9:10">
      <c r="I10597" s="14"/>
      <c r="J10597" s="14"/>
    </row>
    <row r="10598" spans="9:10">
      <c r="I10598" s="14"/>
      <c r="J10598" s="14"/>
    </row>
    <row r="10599" spans="9:10">
      <c r="I10599" s="14"/>
      <c r="J10599" s="14"/>
    </row>
    <row r="10600" spans="9:10">
      <c r="I10600" s="14"/>
      <c r="J10600" s="14"/>
    </row>
    <row r="10601" spans="9:10">
      <c r="I10601" s="14"/>
      <c r="J10601" s="14"/>
    </row>
    <row r="10602" spans="9:10">
      <c r="I10602" s="14"/>
      <c r="J10602" s="14"/>
    </row>
    <row r="10603" spans="9:10">
      <c r="I10603" s="14"/>
      <c r="J10603" s="14"/>
    </row>
    <row r="10604" spans="9:10">
      <c r="I10604" s="14"/>
      <c r="J10604" s="14"/>
    </row>
    <row r="10605" spans="9:10">
      <c r="I10605" s="14"/>
      <c r="J10605" s="14"/>
    </row>
    <row r="10606" spans="9:10">
      <c r="I10606" s="14"/>
      <c r="J10606" s="14"/>
    </row>
    <row r="10607" spans="9:10">
      <c r="I10607" s="14"/>
      <c r="J10607" s="14"/>
    </row>
    <row r="10608" spans="9:10">
      <c r="I10608" s="14"/>
      <c r="J10608" s="14"/>
    </row>
    <row r="10609" spans="9:10">
      <c r="I10609" s="14"/>
      <c r="J10609" s="14"/>
    </row>
    <row r="10610" spans="9:10">
      <c r="I10610" s="14"/>
      <c r="J10610" s="14"/>
    </row>
    <row r="10611" spans="9:10">
      <c r="I10611" s="14"/>
      <c r="J10611" s="14"/>
    </row>
    <row r="10612" spans="9:10">
      <c r="I10612" s="14"/>
      <c r="J10612" s="14"/>
    </row>
    <row r="10613" spans="9:10">
      <c r="I10613" s="14"/>
      <c r="J10613" s="14"/>
    </row>
    <row r="10614" spans="9:10">
      <c r="I10614" s="14"/>
      <c r="J10614" s="14"/>
    </row>
    <row r="10615" spans="9:10">
      <c r="I10615" s="14"/>
      <c r="J10615" s="14"/>
    </row>
    <row r="10616" spans="9:10">
      <c r="I10616" s="14"/>
      <c r="J10616" s="14"/>
    </row>
    <row r="10617" spans="9:10">
      <c r="I10617" s="14"/>
      <c r="J10617" s="14"/>
    </row>
    <row r="10618" spans="9:10">
      <c r="I10618" s="14"/>
      <c r="J10618" s="14"/>
    </row>
    <row r="10619" spans="9:10">
      <c r="I10619" s="14"/>
      <c r="J10619" s="14"/>
    </row>
    <row r="10620" spans="9:10">
      <c r="I10620" s="14"/>
      <c r="J10620" s="14"/>
    </row>
    <row r="10621" spans="9:10">
      <c r="I10621" s="14"/>
      <c r="J10621" s="14"/>
    </row>
    <row r="10622" spans="9:10">
      <c r="I10622" s="14"/>
      <c r="J10622" s="14"/>
    </row>
    <row r="10623" spans="9:10">
      <c r="I10623" s="14"/>
      <c r="J10623" s="14"/>
    </row>
    <row r="10624" spans="9:10">
      <c r="I10624" s="14"/>
      <c r="J10624" s="14"/>
    </row>
    <row r="10625" spans="9:10">
      <c r="I10625" s="14"/>
      <c r="J10625" s="14"/>
    </row>
    <row r="10626" spans="9:10">
      <c r="I10626" s="14"/>
      <c r="J10626" s="14"/>
    </row>
    <row r="10627" spans="9:10">
      <c r="I10627" s="14"/>
      <c r="J10627" s="14"/>
    </row>
    <row r="10628" spans="9:10">
      <c r="I10628" s="14"/>
      <c r="J10628" s="14"/>
    </row>
    <row r="10629" spans="9:10">
      <c r="I10629" s="14"/>
      <c r="J10629" s="14"/>
    </row>
    <row r="10630" spans="9:10">
      <c r="I10630" s="14"/>
      <c r="J10630" s="14"/>
    </row>
    <row r="10631" spans="9:10">
      <c r="I10631" s="14"/>
      <c r="J10631" s="14"/>
    </row>
    <row r="10632" spans="9:10">
      <c r="I10632" s="14"/>
      <c r="J10632" s="14"/>
    </row>
    <row r="10633" spans="9:10">
      <c r="I10633" s="14"/>
      <c r="J10633" s="14"/>
    </row>
    <row r="10634" spans="9:10">
      <c r="I10634" s="14"/>
      <c r="J10634" s="14"/>
    </row>
    <row r="10635" spans="9:10">
      <c r="I10635" s="14"/>
      <c r="J10635" s="14"/>
    </row>
    <row r="10636" spans="9:10">
      <c r="I10636" s="14"/>
      <c r="J10636" s="14"/>
    </row>
    <row r="10637" spans="9:10">
      <c r="I10637" s="14"/>
      <c r="J10637" s="14"/>
    </row>
    <row r="10638" spans="9:10">
      <c r="I10638" s="14"/>
      <c r="J10638" s="14"/>
    </row>
    <row r="10639" spans="9:10">
      <c r="I10639" s="14"/>
      <c r="J10639" s="14"/>
    </row>
    <row r="10640" spans="9:10">
      <c r="I10640" s="14"/>
      <c r="J10640" s="14"/>
    </row>
    <row r="10641" spans="9:10">
      <c r="I10641" s="14"/>
      <c r="J10641" s="14"/>
    </row>
    <row r="10642" spans="9:10">
      <c r="I10642" s="14"/>
      <c r="J10642" s="14"/>
    </row>
    <row r="10643" spans="9:10">
      <c r="I10643" s="14"/>
      <c r="J10643" s="14"/>
    </row>
    <row r="10644" spans="9:10">
      <c r="I10644" s="14"/>
      <c r="J10644" s="14"/>
    </row>
    <row r="10645" spans="9:10">
      <c r="I10645" s="14"/>
      <c r="J10645" s="14"/>
    </row>
    <row r="10646" spans="9:10">
      <c r="I10646" s="14"/>
      <c r="J10646" s="14"/>
    </row>
    <row r="10647" spans="9:10">
      <c r="I10647" s="14"/>
      <c r="J10647" s="14"/>
    </row>
    <row r="10648" spans="9:10">
      <c r="I10648" s="14"/>
      <c r="J10648" s="14"/>
    </row>
    <row r="10649" spans="9:10">
      <c r="I10649" s="14"/>
      <c r="J10649" s="14"/>
    </row>
    <row r="10650" spans="9:10">
      <c r="I10650" s="14"/>
      <c r="J10650" s="14"/>
    </row>
    <row r="10651" spans="9:10">
      <c r="I10651" s="14"/>
      <c r="J10651" s="14"/>
    </row>
    <row r="10652" spans="9:10">
      <c r="I10652" s="14"/>
      <c r="J10652" s="14"/>
    </row>
    <row r="10653" spans="9:10">
      <c r="I10653" s="14"/>
      <c r="J10653" s="14"/>
    </row>
    <row r="10654" spans="9:10">
      <c r="I10654" s="14"/>
      <c r="J10654" s="14"/>
    </row>
    <row r="10655" spans="9:10">
      <c r="I10655" s="14"/>
      <c r="J10655" s="14"/>
    </row>
    <row r="10656" spans="9:10">
      <c r="I10656" s="14"/>
      <c r="J10656" s="14"/>
    </row>
    <row r="10657" spans="9:10">
      <c r="I10657" s="14"/>
      <c r="J10657" s="14"/>
    </row>
    <row r="10658" spans="9:10">
      <c r="I10658" s="14"/>
      <c r="J10658" s="14"/>
    </row>
    <row r="10659" spans="9:10">
      <c r="I10659" s="14"/>
      <c r="J10659" s="14"/>
    </row>
    <row r="10660" spans="9:10">
      <c r="I10660" s="14"/>
      <c r="J10660" s="14"/>
    </row>
    <row r="10661" spans="9:10">
      <c r="I10661" s="14"/>
      <c r="J10661" s="14"/>
    </row>
    <row r="10662" spans="9:10">
      <c r="I10662" s="14"/>
      <c r="J10662" s="14"/>
    </row>
    <row r="10663" spans="9:10">
      <c r="I10663" s="14"/>
      <c r="J10663" s="14"/>
    </row>
    <row r="10664" spans="9:10">
      <c r="I10664" s="14"/>
      <c r="J10664" s="14"/>
    </row>
    <row r="10665" spans="9:10">
      <c r="I10665" s="14"/>
      <c r="J10665" s="14"/>
    </row>
    <row r="10666" spans="9:10">
      <c r="I10666" s="14"/>
      <c r="J10666" s="14"/>
    </row>
    <row r="10667" spans="9:10">
      <c r="I10667" s="14"/>
      <c r="J10667" s="14"/>
    </row>
    <row r="10668" spans="9:10">
      <c r="I10668" s="14"/>
      <c r="J10668" s="14"/>
    </row>
    <row r="10669" spans="9:10">
      <c r="I10669" s="14"/>
      <c r="J10669" s="14"/>
    </row>
    <row r="10670" spans="9:10">
      <c r="I10670" s="14"/>
      <c r="J10670" s="14"/>
    </row>
    <row r="10671" spans="9:10">
      <c r="I10671" s="14"/>
      <c r="J10671" s="14"/>
    </row>
    <row r="10672" spans="9:10">
      <c r="I10672" s="14"/>
      <c r="J10672" s="14"/>
    </row>
    <row r="10673" spans="9:10">
      <c r="I10673" s="14"/>
      <c r="J10673" s="14"/>
    </row>
    <row r="10674" spans="9:10">
      <c r="I10674" s="14"/>
      <c r="J10674" s="14"/>
    </row>
    <row r="10675" spans="9:10">
      <c r="I10675" s="14"/>
      <c r="J10675" s="14"/>
    </row>
    <row r="10676" spans="9:10">
      <c r="I10676" s="14"/>
      <c r="J10676" s="14"/>
    </row>
    <row r="10677" spans="9:10">
      <c r="I10677" s="14"/>
      <c r="J10677" s="14"/>
    </row>
    <row r="10678" spans="9:10">
      <c r="I10678" s="14"/>
      <c r="J10678" s="14"/>
    </row>
    <row r="10679" spans="9:10">
      <c r="I10679" s="14"/>
      <c r="J10679" s="14"/>
    </row>
    <row r="10680" spans="9:10">
      <c r="I10680" s="14"/>
      <c r="J10680" s="14"/>
    </row>
    <row r="10681" spans="9:10">
      <c r="I10681" s="14"/>
      <c r="J10681" s="14"/>
    </row>
    <row r="10682" spans="9:10">
      <c r="I10682" s="14"/>
      <c r="J10682" s="14"/>
    </row>
    <row r="10683" spans="9:10">
      <c r="I10683" s="14"/>
      <c r="J10683" s="14"/>
    </row>
    <row r="10684" spans="9:10">
      <c r="I10684" s="14"/>
      <c r="J10684" s="14"/>
    </row>
    <row r="10685" spans="9:10">
      <c r="I10685" s="14"/>
      <c r="J10685" s="14"/>
    </row>
    <row r="10686" spans="9:10">
      <c r="I10686" s="14"/>
      <c r="J10686" s="14"/>
    </row>
    <row r="10687" spans="9:10">
      <c r="I10687" s="14"/>
      <c r="J10687" s="14"/>
    </row>
    <row r="10688" spans="9:10">
      <c r="I10688" s="14"/>
      <c r="J10688" s="14"/>
    </row>
    <row r="10689" spans="9:10">
      <c r="I10689" s="14"/>
      <c r="J10689" s="14"/>
    </row>
    <row r="10690" spans="9:10">
      <c r="I10690" s="14"/>
      <c r="J10690" s="14"/>
    </row>
    <row r="10691" spans="9:10">
      <c r="I10691" s="14"/>
      <c r="J10691" s="14"/>
    </row>
    <row r="10692" spans="9:10">
      <c r="I10692" s="14"/>
      <c r="J10692" s="14"/>
    </row>
    <row r="10693" spans="9:10">
      <c r="I10693" s="14"/>
      <c r="J10693" s="14"/>
    </row>
    <row r="10694" spans="9:10">
      <c r="I10694" s="14"/>
      <c r="J10694" s="14"/>
    </row>
    <row r="10695" spans="9:10">
      <c r="I10695" s="14"/>
      <c r="J10695" s="14"/>
    </row>
    <row r="10696" spans="9:10">
      <c r="I10696" s="14"/>
      <c r="J10696" s="14"/>
    </row>
    <row r="10697" spans="9:10">
      <c r="I10697" s="14"/>
      <c r="J10697" s="14"/>
    </row>
    <row r="10698" spans="9:10">
      <c r="I10698" s="14"/>
      <c r="J10698" s="14"/>
    </row>
    <row r="10699" spans="9:10">
      <c r="I10699" s="14"/>
      <c r="J10699" s="14"/>
    </row>
    <row r="10700" spans="9:10">
      <c r="I10700" s="14"/>
      <c r="J10700" s="14"/>
    </row>
    <row r="10701" spans="9:10">
      <c r="I10701" s="14"/>
      <c r="J10701" s="14"/>
    </row>
    <row r="10702" spans="9:10">
      <c r="I10702" s="14"/>
      <c r="J10702" s="14"/>
    </row>
    <row r="10703" spans="9:10">
      <c r="I10703" s="14"/>
      <c r="J10703" s="14"/>
    </row>
    <row r="10704" spans="9:10">
      <c r="I10704" s="14"/>
      <c r="J10704" s="14"/>
    </row>
    <row r="10705" spans="9:10">
      <c r="I10705" s="14"/>
      <c r="J10705" s="14"/>
    </row>
    <row r="10706" spans="9:10">
      <c r="I10706" s="14"/>
      <c r="J10706" s="14"/>
    </row>
    <row r="10707" spans="9:10">
      <c r="I10707" s="14"/>
      <c r="J10707" s="14"/>
    </row>
    <row r="10708" spans="9:10">
      <c r="I10708" s="14"/>
      <c r="J10708" s="14"/>
    </row>
    <row r="10709" spans="9:10">
      <c r="I10709" s="14"/>
      <c r="J10709" s="14"/>
    </row>
    <row r="10710" spans="9:10">
      <c r="I10710" s="14"/>
      <c r="J10710" s="14"/>
    </row>
    <row r="10711" spans="9:10">
      <c r="I10711" s="14"/>
      <c r="J10711" s="14"/>
    </row>
    <row r="10712" spans="9:10">
      <c r="I10712" s="14"/>
      <c r="J10712" s="14"/>
    </row>
    <row r="10713" spans="9:10">
      <c r="I10713" s="14"/>
      <c r="J10713" s="14"/>
    </row>
    <row r="10714" spans="9:10">
      <c r="I10714" s="14"/>
      <c r="J10714" s="14"/>
    </row>
    <row r="10715" spans="9:10">
      <c r="I10715" s="14"/>
      <c r="J10715" s="14"/>
    </row>
    <row r="10716" spans="9:10">
      <c r="I10716" s="14"/>
      <c r="J10716" s="14"/>
    </row>
    <row r="10717" spans="9:10">
      <c r="I10717" s="14"/>
      <c r="J10717" s="14"/>
    </row>
    <row r="10718" spans="9:10">
      <c r="I10718" s="14"/>
      <c r="J10718" s="14"/>
    </row>
    <row r="10719" spans="9:10">
      <c r="I10719" s="14"/>
      <c r="J10719" s="14"/>
    </row>
    <row r="10720" spans="9:10">
      <c r="I10720" s="14"/>
      <c r="J10720" s="14"/>
    </row>
    <row r="10721" spans="9:10">
      <c r="I10721" s="14"/>
      <c r="J10721" s="14"/>
    </row>
    <row r="10722" spans="9:10">
      <c r="I10722" s="14"/>
      <c r="J10722" s="14"/>
    </row>
    <row r="10723" spans="9:10">
      <c r="I10723" s="14"/>
      <c r="J10723" s="14"/>
    </row>
    <row r="10724" spans="9:10">
      <c r="I10724" s="14"/>
      <c r="J10724" s="14"/>
    </row>
    <row r="10725" spans="9:10">
      <c r="I10725" s="14"/>
      <c r="J10725" s="14"/>
    </row>
    <row r="10726" spans="9:10">
      <c r="I10726" s="14"/>
      <c r="J10726" s="14"/>
    </row>
    <row r="10727" spans="9:10">
      <c r="I10727" s="14"/>
      <c r="J10727" s="14"/>
    </row>
    <row r="10728" spans="9:10">
      <c r="I10728" s="14"/>
      <c r="J10728" s="14"/>
    </row>
    <row r="10729" spans="9:10">
      <c r="I10729" s="14"/>
      <c r="J10729" s="14"/>
    </row>
    <row r="10730" spans="9:10">
      <c r="I10730" s="14"/>
      <c r="J10730" s="14"/>
    </row>
    <row r="10731" spans="9:10">
      <c r="I10731" s="14"/>
      <c r="J10731" s="14"/>
    </row>
    <row r="10732" spans="9:10">
      <c r="I10732" s="14"/>
      <c r="J10732" s="14"/>
    </row>
    <row r="10733" spans="9:10">
      <c r="I10733" s="14"/>
      <c r="J10733" s="14"/>
    </row>
    <row r="10734" spans="9:10">
      <c r="I10734" s="14"/>
      <c r="J10734" s="14"/>
    </row>
    <row r="10735" spans="9:10">
      <c r="I10735" s="14"/>
      <c r="J10735" s="14"/>
    </row>
    <row r="10736" spans="9:10">
      <c r="I10736" s="14"/>
      <c r="J10736" s="14"/>
    </row>
    <row r="10737" spans="9:10">
      <c r="I10737" s="14"/>
      <c r="J10737" s="14"/>
    </row>
    <row r="10738" spans="9:10">
      <c r="I10738" s="14"/>
      <c r="J10738" s="14"/>
    </row>
    <row r="10739" spans="9:10">
      <c r="I10739" s="14"/>
      <c r="J10739" s="14"/>
    </row>
    <row r="10740" spans="9:10">
      <c r="I10740" s="14"/>
      <c r="J10740" s="14"/>
    </row>
    <row r="10741" spans="9:10">
      <c r="I10741" s="14"/>
      <c r="J10741" s="14"/>
    </row>
    <row r="10742" spans="9:10">
      <c r="I10742" s="14"/>
      <c r="J10742" s="14"/>
    </row>
    <row r="10743" spans="9:10">
      <c r="I10743" s="14"/>
      <c r="J10743" s="14"/>
    </row>
    <row r="10744" spans="9:10">
      <c r="I10744" s="14"/>
      <c r="J10744" s="14"/>
    </row>
    <row r="10745" spans="9:10">
      <c r="I10745" s="14"/>
      <c r="J10745" s="14"/>
    </row>
    <row r="10746" spans="9:10">
      <c r="I10746" s="14"/>
      <c r="J10746" s="14"/>
    </row>
    <row r="10747" spans="9:10">
      <c r="I10747" s="14"/>
      <c r="J10747" s="14"/>
    </row>
    <row r="10748" spans="9:10">
      <c r="I10748" s="14"/>
      <c r="J10748" s="14"/>
    </row>
    <row r="10749" spans="9:10">
      <c r="I10749" s="14"/>
      <c r="J10749" s="14"/>
    </row>
    <row r="10750" spans="9:10">
      <c r="I10750" s="14"/>
      <c r="J10750" s="14"/>
    </row>
    <row r="10751" spans="9:10">
      <c r="I10751" s="14"/>
      <c r="J10751" s="14"/>
    </row>
    <row r="10752" spans="9:10">
      <c r="I10752" s="14"/>
      <c r="J10752" s="14"/>
    </row>
    <row r="10753" spans="9:10">
      <c r="I10753" s="14"/>
      <c r="J10753" s="14"/>
    </row>
    <row r="10754" spans="9:10">
      <c r="I10754" s="14"/>
      <c r="J10754" s="14"/>
    </row>
    <row r="10755" spans="9:10">
      <c r="I10755" s="14"/>
      <c r="J10755" s="14"/>
    </row>
    <row r="10756" spans="9:10">
      <c r="I10756" s="14"/>
      <c r="J10756" s="14"/>
    </row>
    <row r="10757" spans="9:10">
      <c r="I10757" s="14"/>
      <c r="J10757" s="14"/>
    </row>
    <row r="10758" spans="9:10">
      <c r="I10758" s="14"/>
      <c r="J10758" s="14"/>
    </row>
    <row r="10759" spans="9:10">
      <c r="I10759" s="14"/>
      <c r="J10759" s="14"/>
    </row>
    <row r="10760" spans="9:10">
      <c r="I10760" s="14"/>
      <c r="J10760" s="14"/>
    </row>
    <row r="10761" spans="9:10">
      <c r="I10761" s="14"/>
      <c r="J10761" s="14"/>
    </row>
    <row r="10762" spans="9:10">
      <c r="I10762" s="14"/>
      <c r="J10762" s="14"/>
    </row>
    <row r="10763" spans="9:10">
      <c r="I10763" s="14"/>
      <c r="J10763" s="14"/>
    </row>
    <row r="10764" spans="9:10">
      <c r="I10764" s="14"/>
      <c r="J10764" s="14"/>
    </row>
    <row r="10765" spans="9:10">
      <c r="I10765" s="14"/>
      <c r="J10765" s="14"/>
    </row>
    <row r="10766" spans="9:10">
      <c r="I10766" s="14"/>
      <c r="J10766" s="14"/>
    </row>
    <row r="10767" spans="9:10">
      <c r="I10767" s="14"/>
      <c r="J10767" s="14"/>
    </row>
    <row r="10768" spans="9:10">
      <c r="I10768" s="14"/>
      <c r="J10768" s="14"/>
    </row>
    <row r="10769" spans="9:10">
      <c r="I10769" s="14"/>
      <c r="J10769" s="14"/>
    </row>
    <row r="10770" spans="9:10">
      <c r="I10770" s="14"/>
      <c r="J10770" s="14"/>
    </row>
    <row r="10771" spans="9:10">
      <c r="I10771" s="14"/>
      <c r="J10771" s="14"/>
    </row>
    <row r="10772" spans="9:10">
      <c r="I10772" s="14"/>
      <c r="J10772" s="14"/>
    </row>
    <row r="10773" spans="9:10">
      <c r="I10773" s="14"/>
      <c r="J10773" s="14"/>
    </row>
    <row r="10774" spans="9:10">
      <c r="I10774" s="14"/>
      <c r="J10774" s="14"/>
    </row>
    <row r="10775" spans="9:10">
      <c r="I10775" s="14"/>
      <c r="J10775" s="14"/>
    </row>
    <row r="10776" spans="9:10">
      <c r="I10776" s="14"/>
      <c r="J10776" s="14"/>
    </row>
    <row r="10777" spans="9:10">
      <c r="I10777" s="14"/>
      <c r="J10777" s="14"/>
    </row>
    <row r="10778" spans="9:10">
      <c r="I10778" s="14"/>
      <c r="J10778" s="14"/>
    </row>
    <row r="10779" spans="9:10">
      <c r="I10779" s="14"/>
      <c r="J10779" s="14"/>
    </row>
    <row r="10780" spans="9:10">
      <c r="I10780" s="14"/>
      <c r="J10780" s="14"/>
    </row>
    <row r="10781" spans="9:10">
      <c r="I10781" s="14"/>
      <c r="J10781" s="14"/>
    </row>
    <row r="10782" spans="9:10">
      <c r="I10782" s="14"/>
      <c r="J10782" s="14"/>
    </row>
    <row r="10783" spans="9:10">
      <c r="I10783" s="14"/>
      <c r="J10783" s="14"/>
    </row>
    <row r="10784" spans="9:10">
      <c r="I10784" s="14"/>
      <c r="J10784" s="14"/>
    </row>
    <row r="10785" spans="9:10">
      <c r="I10785" s="14"/>
      <c r="J10785" s="14"/>
    </row>
    <row r="10786" spans="9:10">
      <c r="I10786" s="14"/>
      <c r="J10786" s="14"/>
    </row>
    <row r="10787" spans="9:10">
      <c r="I10787" s="14"/>
      <c r="J10787" s="14"/>
    </row>
    <row r="10788" spans="9:10">
      <c r="I10788" s="14"/>
      <c r="J10788" s="14"/>
    </row>
    <row r="10789" spans="9:10">
      <c r="I10789" s="14"/>
      <c r="J10789" s="14"/>
    </row>
    <row r="10790" spans="9:10">
      <c r="I10790" s="14"/>
      <c r="J10790" s="14"/>
    </row>
    <row r="10791" spans="9:10">
      <c r="I10791" s="14"/>
      <c r="J10791" s="14"/>
    </row>
    <row r="10792" spans="9:10">
      <c r="I10792" s="14"/>
      <c r="J10792" s="14"/>
    </row>
    <row r="10793" spans="9:10">
      <c r="I10793" s="14"/>
      <c r="J10793" s="14"/>
    </row>
    <row r="10794" spans="9:10">
      <c r="I10794" s="14"/>
      <c r="J10794" s="14"/>
    </row>
    <row r="10795" spans="9:10">
      <c r="I10795" s="14"/>
      <c r="J10795" s="14"/>
    </row>
    <row r="10796" spans="9:10">
      <c r="I10796" s="14"/>
      <c r="J10796" s="14"/>
    </row>
    <row r="10797" spans="9:10">
      <c r="I10797" s="14"/>
      <c r="J10797" s="14"/>
    </row>
    <row r="10798" spans="9:10">
      <c r="I10798" s="14"/>
      <c r="J10798" s="14"/>
    </row>
    <row r="10799" spans="9:10">
      <c r="I10799" s="14"/>
      <c r="J10799" s="14"/>
    </row>
    <row r="10800" spans="9:10">
      <c r="I10800" s="14"/>
      <c r="J10800" s="14"/>
    </row>
    <row r="10801" spans="9:10">
      <c r="I10801" s="14"/>
      <c r="J10801" s="14"/>
    </row>
    <row r="10802" spans="9:10">
      <c r="I10802" s="14"/>
      <c r="J10802" s="14"/>
    </row>
    <row r="10803" spans="9:10">
      <c r="I10803" s="14"/>
      <c r="J10803" s="14"/>
    </row>
    <row r="10804" spans="9:10">
      <c r="I10804" s="14"/>
      <c r="J10804" s="14"/>
    </row>
    <row r="10805" spans="9:10">
      <c r="I10805" s="14"/>
      <c r="J10805" s="14"/>
    </row>
    <row r="10806" spans="9:10">
      <c r="I10806" s="14"/>
      <c r="J10806" s="14"/>
    </row>
    <row r="10807" spans="9:10">
      <c r="I10807" s="14"/>
      <c r="J10807" s="14"/>
    </row>
    <row r="10808" spans="9:10">
      <c r="I10808" s="14"/>
      <c r="J10808" s="14"/>
    </row>
    <row r="10809" spans="9:10">
      <c r="I10809" s="14"/>
      <c r="J10809" s="14"/>
    </row>
    <row r="10810" spans="9:10">
      <c r="I10810" s="14"/>
      <c r="J10810" s="14"/>
    </row>
    <row r="10811" spans="9:10">
      <c r="I10811" s="14"/>
      <c r="J10811" s="14"/>
    </row>
    <row r="10812" spans="9:10">
      <c r="I10812" s="14"/>
      <c r="J10812" s="14"/>
    </row>
    <row r="10813" spans="9:10">
      <c r="I10813" s="14"/>
      <c r="J10813" s="14"/>
    </row>
    <row r="10814" spans="9:10">
      <c r="I10814" s="14"/>
      <c r="J10814" s="14"/>
    </row>
    <row r="10815" spans="9:10">
      <c r="I10815" s="14"/>
      <c r="J10815" s="14"/>
    </row>
    <row r="10816" spans="9:10">
      <c r="I10816" s="14"/>
      <c r="J10816" s="14"/>
    </row>
    <row r="10817" spans="9:10">
      <c r="I10817" s="14"/>
      <c r="J10817" s="14"/>
    </row>
    <row r="10818" spans="9:10">
      <c r="I10818" s="14"/>
      <c r="J10818" s="14"/>
    </row>
    <row r="10819" spans="9:10">
      <c r="I10819" s="14"/>
      <c r="J10819" s="14"/>
    </row>
    <row r="10820" spans="9:10">
      <c r="I10820" s="14"/>
      <c r="J10820" s="14"/>
    </row>
    <row r="10821" spans="9:10">
      <c r="I10821" s="14"/>
      <c r="J10821" s="14"/>
    </row>
    <row r="10822" spans="9:10">
      <c r="I10822" s="14"/>
      <c r="J10822" s="14"/>
    </row>
    <row r="10823" spans="9:10">
      <c r="I10823" s="14"/>
      <c r="J10823" s="14"/>
    </row>
    <row r="10824" spans="9:10">
      <c r="I10824" s="14"/>
      <c r="J10824" s="14"/>
    </row>
    <row r="10825" spans="9:10">
      <c r="I10825" s="14"/>
      <c r="J10825" s="14"/>
    </row>
    <row r="10826" spans="9:10">
      <c r="I10826" s="14"/>
      <c r="J10826" s="14"/>
    </row>
    <row r="10827" spans="9:10">
      <c r="I10827" s="14"/>
      <c r="J10827" s="14"/>
    </row>
    <row r="10828" spans="9:10">
      <c r="I10828" s="14"/>
      <c r="J10828" s="14"/>
    </row>
    <row r="10829" spans="9:10">
      <c r="I10829" s="14"/>
      <c r="J10829" s="14"/>
    </row>
    <row r="10830" spans="9:10">
      <c r="I10830" s="14"/>
      <c r="J10830" s="14"/>
    </row>
    <row r="10831" spans="9:10">
      <c r="I10831" s="14"/>
      <c r="J10831" s="14"/>
    </row>
    <row r="10832" spans="9:10">
      <c r="I10832" s="14"/>
      <c r="J10832" s="14"/>
    </row>
    <row r="10833" spans="9:10">
      <c r="I10833" s="14"/>
      <c r="J10833" s="14"/>
    </row>
    <row r="10834" spans="9:10">
      <c r="I10834" s="14"/>
      <c r="J10834" s="14"/>
    </row>
    <row r="10835" spans="9:10">
      <c r="I10835" s="14"/>
      <c r="J10835" s="14"/>
    </row>
    <row r="10836" spans="9:10">
      <c r="I10836" s="14"/>
      <c r="J10836" s="14"/>
    </row>
    <row r="10837" spans="9:10">
      <c r="I10837" s="14"/>
      <c r="J10837" s="14"/>
    </row>
    <row r="10838" spans="9:10">
      <c r="I10838" s="14"/>
      <c r="J10838" s="14"/>
    </row>
    <row r="10839" spans="9:10">
      <c r="I10839" s="14"/>
      <c r="J10839" s="14"/>
    </row>
    <row r="10840" spans="9:10">
      <c r="I10840" s="14"/>
      <c r="J10840" s="14"/>
    </row>
    <row r="10841" spans="9:10">
      <c r="I10841" s="14"/>
      <c r="J10841" s="14"/>
    </row>
    <row r="10842" spans="9:10">
      <c r="I10842" s="14"/>
      <c r="J10842" s="14"/>
    </row>
    <row r="10843" spans="9:10">
      <c r="I10843" s="14"/>
      <c r="J10843" s="14"/>
    </row>
    <row r="10844" spans="9:10">
      <c r="I10844" s="14"/>
      <c r="J10844" s="14"/>
    </row>
    <row r="10845" spans="9:10">
      <c r="I10845" s="14"/>
      <c r="J10845" s="14"/>
    </row>
    <row r="10846" spans="9:10">
      <c r="I10846" s="14"/>
      <c r="J10846" s="14"/>
    </row>
    <row r="10847" spans="9:10">
      <c r="I10847" s="14"/>
      <c r="J10847" s="14"/>
    </row>
    <row r="10848" spans="9:10">
      <c r="I10848" s="14"/>
      <c r="J10848" s="14"/>
    </row>
    <row r="10849" spans="9:10">
      <c r="I10849" s="14"/>
      <c r="J10849" s="14"/>
    </row>
    <row r="10850" spans="9:10">
      <c r="I10850" s="14"/>
      <c r="J10850" s="14"/>
    </row>
    <row r="10851" spans="9:10">
      <c r="I10851" s="14"/>
      <c r="J10851" s="14"/>
    </row>
    <row r="10852" spans="9:10">
      <c r="I10852" s="14"/>
      <c r="J10852" s="14"/>
    </row>
    <row r="10853" spans="9:10">
      <c r="I10853" s="14"/>
      <c r="J10853" s="14"/>
    </row>
    <row r="10854" spans="9:10">
      <c r="I10854" s="14"/>
      <c r="J10854" s="14"/>
    </row>
    <row r="10855" spans="9:10">
      <c r="I10855" s="14"/>
      <c r="J10855" s="14"/>
    </row>
    <row r="10856" spans="9:10">
      <c r="I10856" s="14"/>
      <c r="J10856" s="14"/>
    </row>
    <row r="10857" spans="9:10">
      <c r="I10857" s="14"/>
      <c r="J10857" s="14"/>
    </row>
    <row r="10858" spans="9:10">
      <c r="I10858" s="14"/>
      <c r="J10858" s="14"/>
    </row>
    <row r="10859" spans="9:10">
      <c r="I10859" s="14"/>
      <c r="J10859" s="14"/>
    </row>
    <row r="10860" spans="9:10">
      <c r="I10860" s="14"/>
      <c r="J10860" s="14"/>
    </row>
    <row r="10861" spans="9:10">
      <c r="I10861" s="14"/>
      <c r="J10861" s="14"/>
    </row>
    <row r="10862" spans="9:10">
      <c r="I10862" s="14"/>
      <c r="J10862" s="14"/>
    </row>
    <row r="10863" spans="9:10">
      <c r="I10863" s="14"/>
      <c r="J10863" s="14"/>
    </row>
    <row r="10864" spans="9:10">
      <c r="I10864" s="14"/>
      <c r="J10864" s="14"/>
    </row>
    <row r="10865" spans="9:10">
      <c r="I10865" s="14"/>
      <c r="J10865" s="14"/>
    </row>
    <row r="10866" spans="9:10">
      <c r="I10866" s="14"/>
      <c r="J10866" s="14"/>
    </row>
    <row r="10867" spans="9:10">
      <c r="I10867" s="14"/>
      <c r="J10867" s="14"/>
    </row>
    <row r="10868" spans="9:10">
      <c r="I10868" s="14"/>
      <c r="J10868" s="14"/>
    </row>
    <row r="10869" spans="9:10">
      <c r="I10869" s="14"/>
      <c r="J10869" s="14"/>
    </row>
    <row r="10870" spans="9:10">
      <c r="I10870" s="14"/>
      <c r="J10870" s="14"/>
    </row>
    <row r="10871" spans="9:10">
      <c r="I10871" s="14"/>
      <c r="J10871" s="14"/>
    </row>
    <row r="10872" spans="9:10">
      <c r="I10872" s="14"/>
      <c r="J10872" s="14"/>
    </row>
    <row r="10873" spans="9:10">
      <c r="I10873" s="14"/>
      <c r="J10873" s="14"/>
    </row>
    <row r="10874" spans="9:10">
      <c r="I10874" s="14"/>
      <c r="J10874" s="14"/>
    </row>
    <row r="10875" spans="9:10">
      <c r="I10875" s="14"/>
      <c r="J10875" s="14"/>
    </row>
    <row r="10876" spans="9:10">
      <c r="I10876" s="14"/>
      <c r="J10876" s="14"/>
    </row>
    <row r="10877" spans="9:10">
      <c r="I10877" s="14"/>
      <c r="J10877" s="14"/>
    </row>
    <row r="10878" spans="9:10">
      <c r="I10878" s="14"/>
      <c r="J10878" s="14"/>
    </row>
    <row r="10879" spans="9:10">
      <c r="I10879" s="14"/>
      <c r="J10879" s="14"/>
    </row>
    <row r="10880" spans="9:10">
      <c r="I10880" s="14"/>
      <c r="J10880" s="14"/>
    </row>
    <row r="10881" spans="9:10">
      <c r="I10881" s="14"/>
      <c r="J10881" s="14"/>
    </row>
    <row r="10882" spans="9:10">
      <c r="I10882" s="14"/>
      <c r="J10882" s="14"/>
    </row>
    <row r="10883" spans="9:10">
      <c r="I10883" s="14"/>
      <c r="J10883" s="14"/>
    </row>
    <row r="10884" spans="9:10">
      <c r="I10884" s="14"/>
      <c r="J10884" s="14"/>
    </row>
    <row r="10885" spans="9:10">
      <c r="I10885" s="14"/>
      <c r="J10885" s="14"/>
    </row>
    <row r="10886" spans="9:10">
      <c r="I10886" s="14"/>
      <c r="J10886" s="14"/>
    </row>
    <row r="10887" spans="9:10">
      <c r="I10887" s="14"/>
      <c r="J10887" s="14"/>
    </row>
    <row r="10888" spans="9:10">
      <c r="I10888" s="14"/>
      <c r="J10888" s="14"/>
    </row>
    <row r="10889" spans="9:10">
      <c r="I10889" s="14"/>
      <c r="J10889" s="14"/>
    </row>
    <row r="10890" spans="9:10">
      <c r="I10890" s="14"/>
      <c r="J10890" s="14"/>
    </row>
    <row r="10891" spans="9:10">
      <c r="I10891" s="14"/>
      <c r="J10891" s="14"/>
    </row>
    <row r="10892" spans="9:10">
      <c r="I10892" s="14"/>
      <c r="J10892" s="14"/>
    </row>
    <row r="10893" spans="9:10">
      <c r="I10893" s="14"/>
      <c r="J10893" s="14"/>
    </row>
    <row r="10894" spans="9:10">
      <c r="I10894" s="14"/>
      <c r="J10894" s="14"/>
    </row>
    <row r="10895" spans="9:10">
      <c r="I10895" s="14"/>
      <c r="J10895" s="14"/>
    </row>
    <row r="10896" spans="9:10">
      <c r="I10896" s="14"/>
      <c r="J10896" s="14"/>
    </row>
    <row r="10897" spans="9:10">
      <c r="I10897" s="14"/>
      <c r="J10897" s="14"/>
    </row>
    <row r="10898" spans="9:10">
      <c r="I10898" s="14"/>
      <c r="J10898" s="14"/>
    </row>
    <row r="10899" spans="9:10">
      <c r="I10899" s="14"/>
      <c r="J10899" s="14"/>
    </row>
    <row r="10900" spans="9:10">
      <c r="I10900" s="14"/>
      <c r="J10900" s="14"/>
    </row>
    <row r="10901" spans="9:10">
      <c r="I10901" s="14"/>
      <c r="J10901" s="14"/>
    </row>
  </sheetData>
  <pageMargins left="0.7" right="0.7" top="0.75" bottom="0.75" header="0.3" footer="0.3"/>
  <pageSetup orientation="portrait" r:id="rId1"/>
  <customProperties>
    <customPr name="_pios_id" r:id="rId2"/>
  </customProperties>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DBF08-6C0C-441C-86AB-6CDD26E52CAA}">
  <sheetPr codeName="Sheet22"/>
  <dimension ref="A1:B98"/>
  <sheetViews>
    <sheetView workbookViewId="0">
      <selection activeCell="A4" sqref="A4"/>
    </sheetView>
  </sheetViews>
  <sheetFormatPr defaultRowHeight="15"/>
  <cols>
    <col min="1" max="1" width="14" bestFit="1" customWidth="1"/>
    <col min="2" max="2" width="15.42578125" bestFit="1" customWidth="1"/>
  </cols>
  <sheetData>
    <row r="1" spans="1:2">
      <c r="B1">
        <f>SUM(B4:B300)/50000</f>
        <v>11.273199999999999</v>
      </c>
    </row>
    <row r="3" spans="1:2">
      <c r="A3" s="502" t="s">
        <v>477</v>
      </c>
      <c r="B3" t="s">
        <v>478</v>
      </c>
    </row>
    <row r="4" spans="1:2">
      <c r="A4" s="10"/>
      <c r="B4" s="847"/>
    </row>
    <row r="5" spans="1:2">
      <c r="A5" s="10" t="s">
        <v>479</v>
      </c>
      <c r="B5" s="847">
        <v>10150</v>
      </c>
    </row>
    <row r="6" spans="1:2">
      <c r="A6" s="10" t="s">
        <v>480</v>
      </c>
      <c r="B6" s="847">
        <v>2000</v>
      </c>
    </row>
    <row r="7" spans="1:2">
      <c r="A7" s="10" t="s">
        <v>481</v>
      </c>
      <c r="B7" s="847">
        <v>150</v>
      </c>
    </row>
    <row r="8" spans="1:2">
      <c r="A8" s="10" t="s">
        <v>482</v>
      </c>
      <c r="B8" s="847">
        <v>200</v>
      </c>
    </row>
    <row r="9" spans="1:2">
      <c r="A9" s="10" t="s">
        <v>483</v>
      </c>
      <c r="B9" s="847">
        <v>4000</v>
      </c>
    </row>
    <row r="10" spans="1:2">
      <c r="A10" s="10" t="s">
        <v>484</v>
      </c>
      <c r="B10" s="847">
        <v>23500</v>
      </c>
    </row>
    <row r="11" spans="1:2">
      <c r="A11" s="10" t="s">
        <v>485</v>
      </c>
      <c r="B11" s="847">
        <v>1000</v>
      </c>
    </row>
    <row r="12" spans="1:2">
      <c r="A12" s="10" t="s">
        <v>486</v>
      </c>
      <c r="B12" s="847">
        <v>200</v>
      </c>
    </row>
    <row r="13" spans="1:2">
      <c r="A13" s="10" t="s">
        <v>487</v>
      </c>
      <c r="B13" s="847">
        <v>1500</v>
      </c>
    </row>
    <row r="14" spans="1:2">
      <c r="A14" s="10" t="s">
        <v>488</v>
      </c>
      <c r="B14" s="847">
        <v>2500</v>
      </c>
    </row>
    <row r="15" spans="1:2">
      <c r="A15" s="10" t="s">
        <v>489</v>
      </c>
      <c r="B15" s="847">
        <v>2500</v>
      </c>
    </row>
    <row r="16" spans="1:2">
      <c r="A16" s="10" t="s">
        <v>490</v>
      </c>
      <c r="B16" s="847">
        <v>1500</v>
      </c>
    </row>
    <row r="17" spans="1:2">
      <c r="A17" s="10" t="s">
        <v>491</v>
      </c>
      <c r="B17" s="847">
        <v>18000</v>
      </c>
    </row>
    <row r="18" spans="1:2">
      <c r="A18" s="10" t="s">
        <v>492</v>
      </c>
      <c r="B18" s="847">
        <v>1000</v>
      </c>
    </row>
    <row r="19" spans="1:2">
      <c r="A19" s="10" t="s">
        <v>493</v>
      </c>
      <c r="B19" s="847">
        <v>2000</v>
      </c>
    </row>
    <row r="20" spans="1:2">
      <c r="A20" s="10" t="s">
        <v>494</v>
      </c>
      <c r="B20" s="847">
        <v>1000</v>
      </c>
    </row>
    <row r="21" spans="1:2">
      <c r="A21" s="10" t="s">
        <v>495</v>
      </c>
      <c r="B21" s="847">
        <v>2000</v>
      </c>
    </row>
    <row r="22" spans="1:2">
      <c r="A22" s="10" t="s">
        <v>496</v>
      </c>
      <c r="B22" s="847">
        <v>50</v>
      </c>
    </row>
    <row r="23" spans="1:2">
      <c r="A23" s="10" t="s">
        <v>497</v>
      </c>
      <c r="B23" s="847">
        <v>1500</v>
      </c>
    </row>
    <row r="24" spans="1:2">
      <c r="A24" s="10" t="s">
        <v>498</v>
      </c>
      <c r="B24" s="847">
        <v>10000</v>
      </c>
    </row>
    <row r="25" spans="1:2">
      <c r="A25" s="10" t="s">
        <v>499</v>
      </c>
      <c r="B25" s="847">
        <v>3000</v>
      </c>
    </row>
    <row r="26" spans="1:2">
      <c r="A26" s="10" t="s">
        <v>500</v>
      </c>
      <c r="B26" s="847">
        <v>20</v>
      </c>
    </row>
    <row r="27" spans="1:2">
      <c r="A27" s="10" t="s">
        <v>501</v>
      </c>
      <c r="B27" s="847">
        <v>10</v>
      </c>
    </row>
    <row r="28" spans="1:2">
      <c r="A28" s="10" t="s">
        <v>502</v>
      </c>
      <c r="B28" s="847">
        <v>1500</v>
      </c>
    </row>
    <row r="29" spans="1:2">
      <c r="A29" s="10" t="s">
        <v>503</v>
      </c>
      <c r="B29" s="847">
        <v>3000</v>
      </c>
    </row>
    <row r="30" spans="1:2">
      <c r="A30" s="10" t="s">
        <v>504</v>
      </c>
      <c r="B30" s="847">
        <v>2500</v>
      </c>
    </row>
    <row r="31" spans="1:2">
      <c r="A31" s="10" t="s">
        <v>505</v>
      </c>
      <c r="B31" s="847">
        <v>10000</v>
      </c>
    </row>
    <row r="32" spans="1:2">
      <c r="A32" s="10" t="s">
        <v>506</v>
      </c>
      <c r="B32" s="847">
        <v>46500</v>
      </c>
    </row>
    <row r="33" spans="1:2">
      <c r="A33" s="10" t="s">
        <v>507</v>
      </c>
      <c r="B33" s="847">
        <v>9500</v>
      </c>
    </row>
    <row r="34" spans="1:2">
      <c r="A34" s="10" t="s">
        <v>508</v>
      </c>
      <c r="B34" s="847">
        <v>1050</v>
      </c>
    </row>
    <row r="35" spans="1:2">
      <c r="A35" s="10" t="s">
        <v>509</v>
      </c>
      <c r="B35" s="847">
        <v>13000</v>
      </c>
    </row>
    <row r="36" spans="1:2">
      <c r="A36" s="10" t="s">
        <v>510</v>
      </c>
      <c r="B36" s="847">
        <v>13500</v>
      </c>
    </row>
    <row r="37" spans="1:2">
      <c r="A37" s="10" t="s">
        <v>511</v>
      </c>
      <c r="B37" s="847">
        <v>15000</v>
      </c>
    </row>
    <row r="38" spans="1:2">
      <c r="A38" s="10" t="s">
        <v>512</v>
      </c>
      <c r="B38" s="847">
        <v>550</v>
      </c>
    </row>
    <row r="39" spans="1:2">
      <c r="A39" s="10" t="s">
        <v>513</v>
      </c>
      <c r="B39" s="847">
        <v>2500</v>
      </c>
    </row>
    <row r="40" spans="1:2">
      <c r="A40" s="10" t="s">
        <v>514</v>
      </c>
      <c r="B40" s="847">
        <v>22700</v>
      </c>
    </row>
    <row r="41" spans="1:2">
      <c r="A41" s="10" t="s">
        <v>515</v>
      </c>
      <c r="B41" s="847">
        <v>1500</v>
      </c>
    </row>
    <row r="42" spans="1:2">
      <c r="A42" s="10" t="s">
        <v>516</v>
      </c>
      <c r="B42" s="847">
        <v>200</v>
      </c>
    </row>
    <row r="43" spans="1:2">
      <c r="A43" s="10" t="s">
        <v>517</v>
      </c>
      <c r="B43" s="847">
        <v>2000</v>
      </c>
    </row>
    <row r="44" spans="1:2">
      <c r="A44" s="10" t="s">
        <v>518</v>
      </c>
      <c r="B44" s="847">
        <v>3500</v>
      </c>
    </row>
    <row r="45" spans="1:2">
      <c r="A45" s="10" t="s">
        <v>519</v>
      </c>
      <c r="B45" s="847">
        <v>5500</v>
      </c>
    </row>
    <row r="46" spans="1:2">
      <c r="A46" s="10" t="s">
        <v>520</v>
      </c>
      <c r="B46" s="847">
        <v>10500</v>
      </c>
    </row>
    <row r="47" spans="1:2">
      <c r="A47" s="10" t="s">
        <v>521</v>
      </c>
      <c r="B47" s="847">
        <v>15000</v>
      </c>
    </row>
    <row r="48" spans="1:2">
      <c r="A48" s="10" t="s">
        <v>522</v>
      </c>
      <c r="B48" s="847">
        <v>1000</v>
      </c>
    </row>
    <row r="49" spans="1:2">
      <c r="A49" s="10" t="s">
        <v>523</v>
      </c>
      <c r="B49" s="847">
        <v>100</v>
      </c>
    </row>
    <row r="50" spans="1:2">
      <c r="A50" s="10" t="s">
        <v>524</v>
      </c>
      <c r="B50" s="847">
        <v>200</v>
      </c>
    </row>
    <row r="51" spans="1:2">
      <c r="A51" s="10" t="s">
        <v>525</v>
      </c>
      <c r="B51" s="847">
        <v>7000</v>
      </c>
    </row>
    <row r="52" spans="1:2">
      <c r="A52" s="10" t="s">
        <v>526</v>
      </c>
      <c r="B52" s="847">
        <v>500</v>
      </c>
    </row>
    <row r="53" spans="1:2">
      <c r="A53" s="10" t="s">
        <v>527</v>
      </c>
      <c r="B53" s="847">
        <v>3000</v>
      </c>
    </row>
    <row r="54" spans="1:2">
      <c r="A54" s="10" t="s">
        <v>528</v>
      </c>
      <c r="B54" s="847">
        <v>200</v>
      </c>
    </row>
    <row r="55" spans="1:2">
      <c r="A55" s="10" t="s">
        <v>529</v>
      </c>
      <c r="B55" s="847">
        <v>7000</v>
      </c>
    </row>
    <row r="56" spans="1:2">
      <c r="A56" s="10" t="s">
        <v>530</v>
      </c>
      <c r="B56" s="847">
        <v>41000</v>
      </c>
    </row>
    <row r="57" spans="1:2">
      <c r="A57" s="10" t="s">
        <v>531</v>
      </c>
      <c r="B57" s="847">
        <v>2500</v>
      </c>
    </row>
    <row r="58" spans="1:2">
      <c r="A58" s="10" t="s">
        <v>532</v>
      </c>
      <c r="B58" s="847">
        <v>750</v>
      </c>
    </row>
    <row r="59" spans="1:2">
      <c r="A59" s="10" t="s">
        <v>533</v>
      </c>
      <c r="B59" s="847">
        <v>400</v>
      </c>
    </row>
    <row r="60" spans="1:2">
      <c r="A60" s="10" t="s">
        <v>534</v>
      </c>
      <c r="B60" s="847">
        <v>7500</v>
      </c>
    </row>
    <row r="61" spans="1:2">
      <c r="A61" s="10" t="s">
        <v>535</v>
      </c>
      <c r="B61" s="847">
        <v>6000</v>
      </c>
    </row>
    <row r="62" spans="1:2">
      <c r="A62" s="10" t="s">
        <v>536</v>
      </c>
      <c r="B62" s="847">
        <v>50</v>
      </c>
    </row>
    <row r="63" spans="1:2">
      <c r="A63" s="10" t="s">
        <v>537</v>
      </c>
      <c r="B63" s="847">
        <v>9000</v>
      </c>
    </row>
    <row r="64" spans="1:2">
      <c r="A64" s="10" t="s">
        <v>538</v>
      </c>
      <c r="B64" s="847">
        <v>31000</v>
      </c>
    </row>
    <row r="65" spans="1:2">
      <c r="A65" s="10" t="s">
        <v>539</v>
      </c>
      <c r="B65" s="847">
        <v>4000</v>
      </c>
    </row>
    <row r="66" spans="1:2">
      <c r="A66" s="10" t="s">
        <v>540</v>
      </c>
      <c r="B66" s="847">
        <v>1250</v>
      </c>
    </row>
    <row r="67" spans="1:2">
      <c r="A67" s="10" t="s">
        <v>541</v>
      </c>
      <c r="B67" s="847">
        <v>2000</v>
      </c>
    </row>
    <row r="68" spans="1:2">
      <c r="A68" s="10" t="s">
        <v>542</v>
      </c>
      <c r="B68" s="847">
        <v>7000</v>
      </c>
    </row>
    <row r="69" spans="1:2">
      <c r="A69" s="10" t="s">
        <v>543</v>
      </c>
      <c r="B69" s="847">
        <v>12250</v>
      </c>
    </row>
    <row r="70" spans="1:2">
      <c r="A70" s="10" t="s">
        <v>544</v>
      </c>
      <c r="B70" s="847">
        <v>200</v>
      </c>
    </row>
    <row r="71" spans="1:2">
      <c r="A71" s="10" t="s">
        <v>545</v>
      </c>
      <c r="B71" s="847">
        <v>40</v>
      </c>
    </row>
    <row r="72" spans="1:2">
      <c r="A72" s="10" t="s">
        <v>546</v>
      </c>
      <c r="B72" s="847">
        <v>1500</v>
      </c>
    </row>
    <row r="73" spans="1:2">
      <c r="A73" s="10" t="s">
        <v>547</v>
      </c>
      <c r="B73" s="847">
        <v>19000</v>
      </c>
    </row>
    <row r="74" spans="1:2">
      <c r="A74" s="10" t="s">
        <v>548</v>
      </c>
      <c r="B74" s="847">
        <v>1960</v>
      </c>
    </row>
    <row r="75" spans="1:2">
      <c r="A75" s="10" t="s">
        <v>549</v>
      </c>
      <c r="B75" s="847"/>
    </row>
    <row r="76" spans="1:2">
      <c r="A76" s="10" t="s">
        <v>550</v>
      </c>
      <c r="B76" s="847">
        <v>50</v>
      </c>
    </row>
    <row r="77" spans="1:2">
      <c r="A77" s="10" t="s">
        <v>551</v>
      </c>
      <c r="B77" s="847">
        <v>500</v>
      </c>
    </row>
    <row r="78" spans="1:2">
      <c r="A78" s="10" t="s">
        <v>552</v>
      </c>
      <c r="B78" s="847">
        <v>5000</v>
      </c>
    </row>
    <row r="79" spans="1:2">
      <c r="A79" s="10" t="s">
        <v>553</v>
      </c>
      <c r="B79" s="847">
        <v>4000</v>
      </c>
    </row>
    <row r="80" spans="1:2">
      <c r="A80" s="10" t="s">
        <v>554</v>
      </c>
      <c r="B80" s="847">
        <v>2750</v>
      </c>
    </row>
    <row r="81" spans="1:2">
      <c r="A81" s="10" t="s">
        <v>555</v>
      </c>
      <c r="B81" s="847">
        <v>80</v>
      </c>
    </row>
    <row r="82" spans="1:2">
      <c r="A82" s="10" t="s">
        <v>556</v>
      </c>
      <c r="B82" s="847">
        <v>11850</v>
      </c>
    </row>
    <row r="83" spans="1:2">
      <c r="A83" s="10" t="s">
        <v>557</v>
      </c>
      <c r="B83" s="847">
        <v>27000</v>
      </c>
    </row>
    <row r="84" spans="1:2">
      <c r="A84" s="10" t="s">
        <v>558</v>
      </c>
      <c r="B84" s="847">
        <v>18000</v>
      </c>
    </row>
    <row r="85" spans="1:2">
      <c r="A85" s="10" t="s">
        <v>559</v>
      </c>
      <c r="B85" s="847">
        <v>8000</v>
      </c>
    </row>
    <row r="86" spans="1:2">
      <c r="A86" s="10" t="s">
        <v>560</v>
      </c>
      <c r="B86" s="847">
        <v>4000</v>
      </c>
    </row>
    <row r="87" spans="1:2">
      <c r="A87" s="10" t="s">
        <v>561</v>
      </c>
      <c r="B87" s="847">
        <v>2500</v>
      </c>
    </row>
    <row r="88" spans="1:2">
      <c r="A88" s="10" t="s">
        <v>562</v>
      </c>
      <c r="B88" s="847">
        <v>15000</v>
      </c>
    </row>
    <row r="89" spans="1:2">
      <c r="A89" s="10" t="s">
        <v>563</v>
      </c>
      <c r="B89" s="847">
        <v>3500</v>
      </c>
    </row>
    <row r="90" spans="1:2">
      <c r="A90" s="10" t="s">
        <v>564</v>
      </c>
      <c r="B90" s="847">
        <v>7000</v>
      </c>
    </row>
    <row r="91" spans="1:2">
      <c r="A91" s="10" t="s">
        <v>565</v>
      </c>
      <c r="B91" s="847">
        <v>1500</v>
      </c>
    </row>
    <row r="92" spans="1:2">
      <c r="A92" s="10" t="s">
        <v>566</v>
      </c>
      <c r="B92" s="847">
        <v>2500</v>
      </c>
    </row>
    <row r="93" spans="1:2">
      <c r="A93" s="10" t="s">
        <v>567</v>
      </c>
      <c r="B93" s="847">
        <v>4000</v>
      </c>
    </row>
    <row r="94" spans="1:2">
      <c r="A94" s="10" t="s">
        <v>568</v>
      </c>
      <c r="B94" s="847">
        <v>3500</v>
      </c>
    </row>
    <row r="95" spans="1:2">
      <c r="A95" s="10" t="s">
        <v>569</v>
      </c>
      <c r="B95" s="847">
        <v>1000</v>
      </c>
    </row>
    <row r="96" spans="1:2">
      <c r="A96" s="10" t="s">
        <v>570</v>
      </c>
      <c r="B96" s="847">
        <v>500</v>
      </c>
    </row>
    <row r="97" spans="1:2">
      <c r="A97" s="10" t="s">
        <v>571</v>
      </c>
      <c r="B97" s="847">
        <v>5250</v>
      </c>
    </row>
    <row r="98" spans="1:2">
      <c r="A98" s="10" t="s">
        <v>572</v>
      </c>
      <c r="B98" s="847">
        <v>2500</v>
      </c>
    </row>
  </sheetData>
  <pageMargins left="0.7" right="0.7" top="0.75" bottom="0.75" header="0.3" footer="0.3"/>
  <pageSetup paperSize="9" orientation="portrait" r:id="rId2"/>
  <customProperties>
    <customPr name="_pios_id"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72D84-B9FF-4426-9876-1C50C7A57E9D}">
  <sheetPr codeName="Sheet20"/>
  <dimension ref="A1:J6018"/>
  <sheetViews>
    <sheetView zoomScale="80" zoomScaleNormal="80" workbookViewId="0">
      <selection activeCell="F238" sqref="F238"/>
    </sheetView>
  </sheetViews>
  <sheetFormatPr defaultRowHeight="15"/>
  <cols>
    <col min="1" max="1" width="11.140625" style="439" bestFit="1" customWidth="1"/>
    <col min="2" max="2" width="34.140625" bestFit="1" customWidth="1"/>
    <col min="3" max="3" width="26.7109375" customWidth="1"/>
    <col min="4" max="4" width="21.85546875" customWidth="1"/>
    <col min="5" max="5" width="24.5703125" customWidth="1"/>
    <col min="6" max="6" width="22.85546875" customWidth="1"/>
    <col min="7" max="7" width="22.85546875" style="295" customWidth="1"/>
    <col min="8" max="8" width="12.85546875" style="295" bestFit="1" customWidth="1"/>
    <col min="9" max="9" width="12.42578125" bestFit="1" customWidth="1"/>
    <col min="10" max="10" width="13.85546875" bestFit="1" customWidth="1"/>
  </cols>
  <sheetData>
    <row r="1" spans="1:10">
      <c r="H1" s="440">
        <f>SUBTOTAL(9,H3:H5000)</f>
        <v>563660</v>
      </c>
    </row>
    <row r="2" spans="1:10">
      <c r="A2" s="441" t="str" cm="1">
        <f t="array" ref="A2:H2">Weekly_Vol[#Headers]</f>
        <v>Bill. date</v>
      </c>
      <c r="B2" s="442" t="str">
        <v>Cust_Cat.Cust_Name</v>
      </c>
      <c r="C2" s="442" t="str">
        <v>Cust_Cat.Customer category</v>
      </c>
      <c r="D2" s="442" t="str">
        <v>Cust_Cat.cust_channel</v>
      </c>
      <c r="E2" s="442" t="str">
        <v>Map_Product.TME_Brand</v>
      </c>
      <c r="F2" s="442" t="str">
        <v>Map_Product.TME_SKU</v>
      </c>
      <c r="G2" s="443" t="str">
        <v>date_Source3.Week_no</v>
      </c>
      <c r="H2" s="443" t="str">
        <v>Quantity</v>
      </c>
      <c r="I2" s="444" t="s">
        <v>573</v>
      </c>
      <c r="J2" s="444" t="s">
        <v>574</v>
      </c>
    </row>
    <row r="3" spans="1:10">
      <c r="A3" s="439" cm="1">
        <f t="array" ref="A3:H171">_xlfn._xlws.FILTER(Weekly_Vol[],Weekly_Vol[Cust_Cat.Customer category]="Distributor")</f>
        <v>45810</v>
      </c>
      <c r="B3" s="8" t="str">
        <v>SAMSUB DISTRIBUTOR LIMITED</v>
      </c>
      <c r="C3" s="8" t="str">
        <v>Distributor</v>
      </c>
      <c r="D3" s="8" t="str">
        <v>SAMSUB</v>
      </c>
      <c r="E3" s="8" t="str">
        <v>MV</v>
      </c>
      <c r="F3" s="8" t="str">
        <v>MV_SB</v>
      </c>
      <c r="G3" s="295">
        <v>0</v>
      </c>
      <c r="H3" s="295">
        <v>10</v>
      </c>
      <c r="I3" t="str">
        <f>_xlfn.IFNA(VLOOKUP(B3,T_DistName[],3,FALSE),"")</f>
        <v>S201</v>
      </c>
      <c r="J3" t="str">
        <f>I3&amp;F3</f>
        <v>S201MV_SB</v>
      </c>
    </row>
    <row r="4" spans="1:10">
      <c r="A4" s="439">
        <v>45810</v>
      </c>
      <c r="B4" s="8" t="str">
        <v>SAMSUB DISTRIBUTOR LIMITED</v>
      </c>
      <c r="C4" s="8" t="str">
        <v>Distributor</v>
      </c>
      <c r="D4" s="8" t="str">
        <v>SAMSUB</v>
      </c>
      <c r="E4" s="8" t="str">
        <v>MV</v>
      </c>
      <c r="F4" s="8" t="str">
        <v>MV_OPT</v>
      </c>
      <c r="G4" s="295">
        <v>0</v>
      </c>
      <c r="H4" s="295">
        <v>20</v>
      </c>
      <c r="I4" t="str">
        <f>_xlfn.IFNA(VLOOKUP(B4,T_DistName[],3,FALSE),"")</f>
        <v>S201</v>
      </c>
      <c r="J4" t="str">
        <f t="shared" ref="J4:J67" si="0">I4&amp;F4</f>
        <v>S201MV_OPT</v>
      </c>
    </row>
    <row r="5" spans="1:10">
      <c r="A5" s="439">
        <v>45810</v>
      </c>
      <c r="B5" s="8" t="str">
        <v>SAMSUB DISTRIBUTOR LIMITED</v>
      </c>
      <c r="C5" s="8" t="str">
        <v>Distributor</v>
      </c>
      <c r="D5" s="8" t="str">
        <v>SAMSUB</v>
      </c>
      <c r="E5" s="8" t="str">
        <v>WICO</v>
      </c>
      <c r="F5" s="8" t="str">
        <v>WICO_RE</v>
      </c>
      <c r="G5" s="295">
        <v>0</v>
      </c>
      <c r="H5" s="295">
        <v>2000</v>
      </c>
      <c r="I5" t="str">
        <f>_xlfn.IFNA(VLOOKUP(B5,T_DistName[],3,FALSE),"")</f>
        <v>S201</v>
      </c>
      <c r="J5" t="str">
        <f t="shared" si="0"/>
        <v>S201WICO_RE</v>
      </c>
    </row>
    <row r="6" spans="1:10">
      <c r="A6" s="439">
        <v>45810</v>
      </c>
      <c r="B6" s="8" t="str">
        <v>SAMSUB DISTRIBUTOR LIMITED</v>
      </c>
      <c r="C6" s="8" t="str">
        <v>Distributor</v>
      </c>
      <c r="D6" s="8" t="str">
        <v>SAMSUB</v>
      </c>
      <c r="E6" s="8" t="str">
        <v>WICO</v>
      </c>
      <c r="F6" s="8" t="str">
        <v>WICO_BL</v>
      </c>
      <c r="G6" s="295">
        <v>0</v>
      </c>
      <c r="H6" s="295">
        <v>1000</v>
      </c>
      <c r="I6" t="str">
        <f>_xlfn.IFNA(VLOOKUP(B6,T_DistName[],3,FALSE),"")</f>
        <v>S201</v>
      </c>
      <c r="J6" t="str">
        <f t="shared" si="0"/>
        <v>S201WICO_BL</v>
      </c>
    </row>
    <row r="7" spans="1:10">
      <c r="A7" s="439">
        <v>45810</v>
      </c>
      <c r="B7" s="8" t="str">
        <v>SAMSUB DISTRIBUTOR LIMITED</v>
      </c>
      <c r="C7" s="8" t="str">
        <v>Distributor</v>
      </c>
      <c r="D7" s="8" t="str">
        <v>SAMSUB</v>
      </c>
      <c r="E7" s="8" t="str">
        <v>WICO</v>
      </c>
      <c r="F7" s="8" t="str">
        <v>WICO_GR</v>
      </c>
      <c r="G7" s="295">
        <v>0</v>
      </c>
      <c r="H7" s="295">
        <v>2000</v>
      </c>
      <c r="I7" t="str">
        <f>_xlfn.IFNA(VLOOKUP(B7,T_DistName[],3,FALSE),"")</f>
        <v>S201</v>
      </c>
      <c r="J7" t="str">
        <f t="shared" si="0"/>
        <v>S201WICO_GR</v>
      </c>
    </row>
    <row r="8" spans="1:10">
      <c r="A8" s="439">
        <v>45810</v>
      </c>
      <c r="B8" s="8" t="str">
        <v>SAMSUB DISTRIBUTOR LIMITED</v>
      </c>
      <c r="C8" s="8" t="str">
        <v>Distributor</v>
      </c>
      <c r="D8" s="8" t="str">
        <v>SAMSUB</v>
      </c>
      <c r="E8" s="8" t="str">
        <v>CM</v>
      </c>
      <c r="F8" s="8" t="str">
        <v>CM_FF</v>
      </c>
      <c r="G8" s="295">
        <v>0</v>
      </c>
      <c r="H8" s="295">
        <v>6000</v>
      </c>
      <c r="I8" t="str">
        <f>_xlfn.IFNA(VLOOKUP(B8,T_DistName[],3,FALSE),"")</f>
        <v>S201</v>
      </c>
      <c r="J8" t="str">
        <f t="shared" si="0"/>
        <v>S201CM_FF</v>
      </c>
    </row>
    <row r="9" spans="1:10">
      <c r="A9" s="439">
        <v>45810</v>
      </c>
      <c r="B9" s="8" t="str">
        <v>SAMSUB DISTRIBUTOR LIMITED</v>
      </c>
      <c r="C9" s="8" t="str">
        <v>Distributor</v>
      </c>
      <c r="D9" s="8" t="str">
        <v>SAMSUB</v>
      </c>
      <c r="E9" s="8" t="str">
        <v>CM</v>
      </c>
      <c r="F9" s="8" t="str">
        <v>CM_BL</v>
      </c>
      <c r="G9" s="295">
        <v>0</v>
      </c>
      <c r="H9" s="295">
        <v>1000</v>
      </c>
      <c r="I9" t="str">
        <f>_xlfn.IFNA(VLOOKUP(B9,T_DistName[],3,FALSE),"")</f>
        <v>S201</v>
      </c>
      <c r="J9" t="str">
        <f t="shared" si="0"/>
        <v>S201CM_BL</v>
      </c>
    </row>
    <row r="10" spans="1:10">
      <c r="A10" s="439">
        <v>45810</v>
      </c>
      <c r="B10" s="8" t="str">
        <v>SAMSUB DISTRIBUTOR LIMITED</v>
      </c>
      <c r="C10" s="8" t="str">
        <v>Distributor</v>
      </c>
      <c r="D10" s="8" t="str">
        <v>SAMSUB</v>
      </c>
      <c r="E10" s="8" t="str">
        <v>CM</v>
      </c>
      <c r="F10" s="8" t="str">
        <v>CM_MN</v>
      </c>
      <c r="G10" s="295">
        <v>0</v>
      </c>
      <c r="H10" s="295">
        <v>1500</v>
      </c>
      <c r="I10" t="str">
        <f>_xlfn.IFNA(VLOOKUP(B10,T_DistName[],3,FALSE),"")</f>
        <v>S201</v>
      </c>
      <c r="J10" t="str">
        <f t="shared" si="0"/>
        <v>S201CM_MN</v>
      </c>
    </row>
    <row r="11" spans="1:10">
      <c r="A11" s="439">
        <v>45810</v>
      </c>
      <c r="B11" s="8" t="str">
        <v>SAMSUB DISTRIBUTOR LIMITED</v>
      </c>
      <c r="C11" s="8" t="str">
        <v>Distributor</v>
      </c>
      <c r="D11" s="8" t="str">
        <v>SAMSUB</v>
      </c>
      <c r="E11" s="8" t="str">
        <v>CMHD</v>
      </c>
      <c r="F11" s="8" t="str">
        <v>CMHD_YL</v>
      </c>
      <c r="G11" s="295">
        <v>0</v>
      </c>
      <c r="H11" s="295">
        <v>5500</v>
      </c>
      <c r="I11" t="str">
        <f>_xlfn.IFNA(VLOOKUP(B11,T_DistName[],3,FALSE),"")</f>
        <v>S201</v>
      </c>
      <c r="J11" t="str">
        <f t="shared" si="0"/>
        <v>S201CMHD_YL</v>
      </c>
    </row>
    <row r="12" spans="1:10">
      <c r="A12" s="439">
        <v>45810</v>
      </c>
      <c r="B12" s="8" t="str">
        <v>SAMSUB DISTRIBUTOR LIMITED</v>
      </c>
      <c r="C12" s="8" t="str">
        <v>Distributor</v>
      </c>
      <c r="D12" s="8" t="str">
        <v>SAMSUB</v>
      </c>
      <c r="E12" s="8" t="str">
        <v>CMHD</v>
      </c>
      <c r="F12" s="8" t="str">
        <v>CMHD_GR</v>
      </c>
      <c r="G12" s="295">
        <v>0</v>
      </c>
      <c r="H12" s="295">
        <v>1000</v>
      </c>
      <c r="I12" t="str">
        <f>_xlfn.IFNA(VLOOKUP(B12,T_DistName[],3,FALSE),"")</f>
        <v>S201</v>
      </c>
      <c r="J12" t="str">
        <f t="shared" si="0"/>
        <v>S201CMHD_GR</v>
      </c>
    </row>
    <row r="13" spans="1:10">
      <c r="A13" s="439">
        <v>45810</v>
      </c>
      <c r="B13" s="8" t="str">
        <v>SOR.CHAROEN SUPPLY 2018 LIMITED</v>
      </c>
      <c r="C13" s="8" t="str">
        <v>Distributor</v>
      </c>
      <c r="D13" s="8" t="str">
        <v>SOR CHAROEN</v>
      </c>
      <c r="E13" s="8" t="str">
        <v>MV</v>
      </c>
      <c r="F13" s="8" t="str">
        <v>MV_SB</v>
      </c>
      <c r="G13" s="295">
        <v>0</v>
      </c>
      <c r="H13" s="295">
        <v>500</v>
      </c>
      <c r="I13" t="str">
        <f>_xlfn.IFNA(VLOOKUP(B13,T_DistName[],3,FALSE),"")</f>
        <v>S401</v>
      </c>
      <c r="J13" t="str">
        <f t="shared" si="0"/>
        <v>S401MV_SB</v>
      </c>
    </row>
    <row r="14" spans="1:10">
      <c r="A14" s="439">
        <v>45810</v>
      </c>
      <c r="B14" s="8" t="str">
        <v>SOR.CHAROEN SUPPLY 2018 LIMITED</v>
      </c>
      <c r="C14" s="8" t="str">
        <v>Distributor</v>
      </c>
      <c r="D14" s="8" t="str">
        <v>SOR CHAROEN</v>
      </c>
      <c r="E14" s="8" t="str">
        <v>WICO</v>
      </c>
      <c r="F14" s="8" t="str">
        <v>WICO_RE</v>
      </c>
      <c r="G14" s="295">
        <v>0</v>
      </c>
      <c r="H14" s="295">
        <v>3000</v>
      </c>
      <c r="I14" t="str">
        <f>_xlfn.IFNA(VLOOKUP(B14,T_DistName[],3,FALSE),"")</f>
        <v>S401</v>
      </c>
      <c r="J14" t="str">
        <f t="shared" si="0"/>
        <v>S401WICO_RE</v>
      </c>
    </row>
    <row r="15" spans="1:10">
      <c r="A15" s="439">
        <v>45810</v>
      </c>
      <c r="B15" s="8" t="str">
        <v>SOR.CHAROEN SUPPLY 2018 LIMITED</v>
      </c>
      <c r="C15" s="8" t="str">
        <v>Distributor</v>
      </c>
      <c r="D15" s="8" t="str">
        <v>SOR CHAROEN</v>
      </c>
      <c r="E15" s="8" t="str">
        <v>WICO</v>
      </c>
      <c r="F15" s="8" t="str">
        <v>WICO_GR</v>
      </c>
      <c r="G15" s="295">
        <v>0</v>
      </c>
      <c r="H15" s="295">
        <v>2000</v>
      </c>
      <c r="I15" t="str">
        <f>_xlfn.IFNA(VLOOKUP(B15,T_DistName[],3,FALSE),"")</f>
        <v>S401</v>
      </c>
      <c r="J15" t="str">
        <f t="shared" si="0"/>
        <v>S401WICO_GR</v>
      </c>
    </row>
    <row r="16" spans="1:10">
      <c r="A16" s="439">
        <v>45810</v>
      </c>
      <c r="B16" s="8" t="str">
        <v>SOR.CHAROEN SUPPLY 2018 LIMITED</v>
      </c>
      <c r="C16" s="8" t="str">
        <v>Distributor</v>
      </c>
      <c r="D16" s="8" t="str">
        <v>SOR CHAROEN</v>
      </c>
      <c r="E16" s="8" t="str">
        <v>CM</v>
      </c>
      <c r="F16" s="8" t="str">
        <v>CM_FF</v>
      </c>
      <c r="G16" s="295">
        <v>0</v>
      </c>
      <c r="H16" s="295">
        <v>10000</v>
      </c>
      <c r="I16" t="str">
        <f>_xlfn.IFNA(VLOOKUP(B16,T_DistName[],3,FALSE),"")</f>
        <v>S401</v>
      </c>
      <c r="J16" t="str">
        <f t="shared" si="0"/>
        <v>S401CM_FF</v>
      </c>
    </row>
    <row r="17" spans="1:10">
      <c r="A17" s="439">
        <v>45810</v>
      </c>
      <c r="B17" s="8" t="str">
        <v>SOR.CHAROEN SUPPLY 2018 LIMITED</v>
      </c>
      <c r="C17" s="8" t="str">
        <v>Distributor</v>
      </c>
      <c r="D17" s="8" t="str">
        <v>SOR CHAROEN</v>
      </c>
      <c r="E17" s="8" t="str">
        <v>CM</v>
      </c>
      <c r="F17" s="8" t="str">
        <v>CM_BL</v>
      </c>
      <c r="G17" s="295">
        <v>0</v>
      </c>
      <c r="H17" s="295">
        <v>3000</v>
      </c>
      <c r="I17" t="str">
        <f>_xlfn.IFNA(VLOOKUP(B17,T_DistName[],3,FALSE),"")</f>
        <v>S401</v>
      </c>
      <c r="J17" t="str">
        <f t="shared" si="0"/>
        <v>S401CM_BL</v>
      </c>
    </row>
    <row r="18" spans="1:10">
      <c r="A18" s="439">
        <v>45810</v>
      </c>
      <c r="B18" s="8" t="str">
        <v>SOR.CHAROEN SUPPLY 2018 LIMITED</v>
      </c>
      <c r="C18" s="8" t="str">
        <v>Distributor</v>
      </c>
      <c r="D18" s="8" t="str">
        <v>SOR CHAROEN</v>
      </c>
      <c r="E18" s="8" t="str">
        <v>CM</v>
      </c>
      <c r="F18" s="8" t="str">
        <v>CM_MN</v>
      </c>
      <c r="G18" s="295">
        <v>0</v>
      </c>
      <c r="H18" s="295">
        <v>3000</v>
      </c>
      <c r="I18" t="str">
        <f>_xlfn.IFNA(VLOOKUP(B18,T_DistName[],3,FALSE),"")</f>
        <v>S401</v>
      </c>
      <c r="J18" t="str">
        <f t="shared" si="0"/>
        <v>S401CM_MN</v>
      </c>
    </row>
    <row r="19" spans="1:10">
      <c r="A19" s="439">
        <v>45810</v>
      </c>
      <c r="B19" s="8" t="str">
        <v>SOR.CHAROEN SUPPLY 2018 LIMITED</v>
      </c>
      <c r="C19" s="8" t="str">
        <v>Distributor</v>
      </c>
      <c r="D19" s="8" t="str">
        <v>SOR CHAROEN</v>
      </c>
      <c r="E19" s="8" t="str">
        <v>CMHD</v>
      </c>
      <c r="F19" s="8" t="str">
        <v>CMHD_YL</v>
      </c>
      <c r="G19" s="295">
        <v>0</v>
      </c>
      <c r="H19" s="295">
        <v>6500</v>
      </c>
      <c r="I19" t="str">
        <f>_xlfn.IFNA(VLOOKUP(B19,T_DistName[],3,FALSE),"")</f>
        <v>S401</v>
      </c>
      <c r="J19" t="str">
        <f t="shared" si="0"/>
        <v>S401CMHD_YL</v>
      </c>
    </row>
    <row r="20" spans="1:10">
      <c r="A20" s="439">
        <v>45810</v>
      </c>
      <c r="B20" s="8" t="str">
        <v>SOR.CHAROEN SUPPLY 2018 LIMITED</v>
      </c>
      <c r="C20" s="8" t="str">
        <v>Distributor</v>
      </c>
      <c r="D20" s="8" t="str">
        <v>SOR CHAROEN</v>
      </c>
      <c r="E20" s="8" t="str">
        <v>CMHD</v>
      </c>
      <c r="F20" s="8" t="str">
        <v>CMHD_GR</v>
      </c>
      <c r="G20" s="295">
        <v>0</v>
      </c>
      <c r="H20" s="295">
        <v>2000</v>
      </c>
      <c r="I20" t="str">
        <f>_xlfn.IFNA(VLOOKUP(B20,T_DistName[],3,FALSE),"")</f>
        <v>S401</v>
      </c>
      <c r="J20" t="str">
        <f t="shared" si="0"/>
        <v>S401CMHD_GR</v>
      </c>
    </row>
    <row r="21" spans="1:10">
      <c r="A21" s="439">
        <v>45812</v>
      </c>
      <c r="B21" s="8" t="str">
        <v>RATCHASIMA P.D.C. CO., LTD.</v>
      </c>
      <c r="C21" s="8" t="str">
        <v>Distributor</v>
      </c>
      <c r="D21" s="8" t="str">
        <v>RATCHASIMA PDC</v>
      </c>
      <c r="E21" s="8" t="str">
        <v>WICO</v>
      </c>
      <c r="F21" s="8" t="str">
        <v>WICO_RE</v>
      </c>
      <c r="G21" s="295">
        <v>0</v>
      </c>
      <c r="H21" s="295">
        <v>2000</v>
      </c>
      <c r="I21" t="str">
        <f>_xlfn.IFNA(VLOOKUP(B21,T_DistName[],3,FALSE),"")</f>
        <v>S504</v>
      </c>
      <c r="J21" t="str">
        <f t="shared" si="0"/>
        <v>S504WICO_RE</v>
      </c>
    </row>
    <row r="22" spans="1:10">
      <c r="A22" s="439">
        <v>45812</v>
      </c>
      <c r="B22" s="8" t="str">
        <v>RATCHASIMA P.D.C. CO., LTD.</v>
      </c>
      <c r="C22" s="8" t="str">
        <v>Distributor</v>
      </c>
      <c r="D22" s="8" t="str">
        <v>RATCHASIMA PDC</v>
      </c>
      <c r="E22" s="8" t="str">
        <v>WICO</v>
      </c>
      <c r="F22" s="8" t="str">
        <v>WICO_BL</v>
      </c>
      <c r="G22" s="295">
        <v>0</v>
      </c>
      <c r="H22" s="295">
        <v>1000</v>
      </c>
      <c r="I22" t="str">
        <f>_xlfn.IFNA(VLOOKUP(B22,T_DistName[],3,FALSE),"")</f>
        <v>S504</v>
      </c>
      <c r="J22" t="str">
        <f t="shared" si="0"/>
        <v>S504WICO_BL</v>
      </c>
    </row>
    <row r="23" spans="1:10">
      <c r="A23" s="439">
        <v>45812</v>
      </c>
      <c r="B23" s="8" t="str">
        <v>RATCHASIMA P.D.C. CO., LTD.</v>
      </c>
      <c r="C23" s="8" t="str">
        <v>Distributor</v>
      </c>
      <c r="D23" s="8" t="str">
        <v>RATCHASIMA PDC</v>
      </c>
      <c r="E23" s="8" t="str">
        <v>WICO</v>
      </c>
      <c r="F23" s="8" t="str">
        <v>WICO_GR</v>
      </c>
      <c r="G23" s="295">
        <v>0</v>
      </c>
      <c r="H23" s="295">
        <v>2000</v>
      </c>
      <c r="I23" t="str">
        <f>_xlfn.IFNA(VLOOKUP(B23,T_DistName[],3,FALSE),"")</f>
        <v>S504</v>
      </c>
      <c r="J23" t="str">
        <f t="shared" si="0"/>
        <v>S504WICO_GR</v>
      </c>
    </row>
    <row r="24" spans="1:10">
      <c r="A24" s="439">
        <v>45812</v>
      </c>
      <c r="B24" s="8" t="str">
        <v>RATCHASIMA P.D.C. CO., LTD.</v>
      </c>
      <c r="C24" s="8" t="str">
        <v>Distributor</v>
      </c>
      <c r="D24" s="8" t="str">
        <v>RATCHASIMA PDC</v>
      </c>
      <c r="E24" s="8" t="str">
        <v>CM</v>
      </c>
      <c r="F24" s="8" t="str">
        <v>CM_FF</v>
      </c>
      <c r="G24" s="295">
        <v>0</v>
      </c>
      <c r="H24" s="295">
        <v>10500</v>
      </c>
      <c r="I24" t="str">
        <f>_xlfn.IFNA(VLOOKUP(B24,T_DistName[],3,FALSE),"")</f>
        <v>S504</v>
      </c>
      <c r="J24" t="str">
        <f t="shared" si="0"/>
        <v>S504CM_FF</v>
      </c>
    </row>
    <row r="25" spans="1:10">
      <c r="A25" s="439">
        <v>45812</v>
      </c>
      <c r="B25" s="8" t="str">
        <v>RATCHASIMA P.D.C. CO., LTD.</v>
      </c>
      <c r="C25" s="8" t="str">
        <v>Distributor</v>
      </c>
      <c r="D25" s="8" t="str">
        <v>RATCHASIMA PDC</v>
      </c>
      <c r="E25" s="8" t="str">
        <v>CM</v>
      </c>
      <c r="F25" s="8" t="str">
        <v>CM_BL</v>
      </c>
      <c r="G25" s="295">
        <v>0</v>
      </c>
      <c r="H25" s="295">
        <v>750</v>
      </c>
      <c r="I25" t="str">
        <f>_xlfn.IFNA(VLOOKUP(B25,T_DistName[],3,FALSE),"")</f>
        <v>S504</v>
      </c>
      <c r="J25" t="str">
        <f t="shared" si="0"/>
        <v>S504CM_BL</v>
      </c>
    </row>
    <row r="26" spans="1:10">
      <c r="A26" s="439">
        <v>45812</v>
      </c>
      <c r="B26" s="8" t="str">
        <v>RATCHASIMA P.D.C. CO., LTD.</v>
      </c>
      <c r="C26" s="8" t="str">
        <v>Distributor</v>
      </c>
      <c r="D26" s="8" t="str">
        <v>RATCHASIMA PDC</v>
      </c>
      <c r="E26" s="8" t="str">
        <v>CM</v>
      </c>
      <c r="F26" s="8" t="str">
        <v>CM_MN</v>
      </c>
      <c r="G26" s="295">
        <v>0</v>
      </c>
      <c r="H26" s="295">
        <v>1500</v>
      </c>
      <c r="I26" t="str">
        <f>_xlfn.IFNA(VLOOKUP(B26,T_DistName[],3,FALSE),"")</f>
        <v>S504</v>
      </c>
      <c r="J26" t="str">
        <f t="shared" si="0"/>
        <v>S504CM_MN</v>
      </c>
    </row>
    <row r="27" spans="1:10">
      <c r="A27" s="439">
        <v>45812</v>
      </c>
      <c r="B27" s="8" t="str">
        <v>RATCHASIMA P.D.C. CO., LTD.</v>
      </c>
      <c r="C27" s="8" t="str">
        <v>Distributor</v>
      </c>
      <c r="D27" s="8" t="str">
        <v>RATCHASIMA PDC</v>
      </c>
      <c r="E27" s="8" t="str">
        <v>CMHD</v>
      </c>
      <c r="F27" s="8" t="str">
        <v>CMHD_YL</v>
      </c>
      <c r="G27" s="295">
        <v>0</v>
      </c>
      <c r="H27" s="295">
        <v>12000</v>
      </c>
      <c r="I27" t="str">
        <f>_xlfn.IFNA(VLOOKUP(B27,T_DistName[],3,FALSE),"")</f>
        <v>S504</v>
      </c>
      <c r="J27" t="str">
        <f t="shared" si="0"/>
        <v>S504CMHD_YL</v>
      </c>
    </row>
    <row r="28" spans="1:10">
      <c r="A28" s="439">
        <v>45812</v>
      </c>
      <c r="B28" s="8" t="str">
        <v>RATCHASIMA P.D.C. CO., LTD.</v>
      </c>
      <c r="C28" s="8" t="str">
        <v>Distributor</v>
      </c>
      <c r="D28" s="8" t="str">
        <v>RATCHASIMA PDC</v>
      </c>
      <c r="E28" s="8" t="str">
        <v>CMHD</v>
      </c>
      <c r="F28" s="8" t="str">
        <v>CMHD_GR</v>
      </c>
      <c r="G28" s="295">
        <v>0</v>
      </c>
      <c r="H28" s="295">
        <v>2250</v>
      </c>
      <c r="I28" t="str">
        <f>_xlfn.IFNA(VLOOKUP(B28,T_DistName[],3,FALSE),"")</f>
        <v>S504</v>
      </c>
      <c r="J28" t="str">
        <f t="shared" si="0"/>
        <v>S504CMHD_GR</v>
      </c>
    </row>
    <row r="29" spans="1:10">
      <c r="A29" s="439">
        <v>45813</v>
      </c>
      <c r="B29" s="8" t="str">
        <v>SOR.CHAROEN SUPPLY 2018 LIMITED</v>
      </c>
      <c r="C29" s="8" t="str">
        <v>Distributor</v>
      </c>
      <c r="D29" s="8" t="str">
        <v>SOR CHAROEN</v>
      </c>
      <c r="E29" s="8" t="str">
        <v>WICO</v>
      </c>
      <c r="F29" s="8" t="str">
        <v>WICO_RE</v>
      </c>
      <c r="G29" s="295">
        <v>0</v>
      </c>
      <c r="H29" s="295">
        <v>2000</v>
      </c>
      <c r="I29" t="str">
        <f>_xlfn.IFNA(VLOOKUP(B29,T_DistName[],3,FALSE),"")</f>
        <v>S401</v>
      </c>
      <c r="J29" t="str">
        <f t="shared" si="0"/>
        <v>S401WICO_RE</v>
      </c>
    </row>
    <row r="30" spans="1:10">
      <c r="A30" s="439">
        <v>45813</v>
      </c>
      <c r="B30" s="8" t="str">
        <v>SOR.CHAROEN SUPPLY 2018 LIMITED</v>
      </c>
      <c r="C30" s="8" t="str">
        <v>Distributor</v>
      </c>
      <c r="D30" s="8" t="str">
        <v>SOR CHAROEN</v>
      </c>
      <c r="E30" s="8" t="str">
        <v>WICO</v>
      </c>
      <c r="F30" s="8" t="str">
        <v>WICO_GR</v>
      </c>
      <c r="G30" s="295">
        <v>0</v>
      </c>
      <c r="H30" s="295">
        <v>2000</v>
      </c>
      <c r="I30" t="str">
        <f>_xlfn.IFNA(VLOOKUP(B30,T_DistName[],3,FALSE),"")</f>
        <v>S401</v>
      </c>
      <c r="J30" t="str">
        <f t="shared" si="0"/>
        <v>S401WICO_GR</v>
      </c>
    </row>
    <row r="31" spans="1:10">
      <c r="A31" s="439">
        <v>45813</v>
      </c>
      <c r="B31" s="8" t="str">
        <v>SOR.CHAROEN SUPPLY 2018 LIMITED</v>
      </c>
      <c r="C31" s="8" t="str">
        <v>Distributor</v>
      </c>
      <c r="D31" s="8" t="str">
        <v>SOR CHAROEN</v>
      </c>
      <c r="E31" s="8" t="str">
        <v>CM</v>
      </c>
      <c r="F31" s="8" t="str">
        <v>CM_FF</v>
      </c>
      <c r="G31" s="295">
        <v>0</v>
      </c>
      <c r="H31" s="295">
        <v>6000</v>
      </c>
      <c r="I31" t="str">
        <f>_xlfn.IFNA(VLOOKUP(B31,T_DistName[],3,FALSE),"")</f>
        <v>S401</v>
      </c>
      <c r="J31" t="str">
        <f t="shared" si="0"/>
        <v>S401CM_FF</v>
      </c>
    </row>
    <row r="32" spans="1:10">
      <c r="A32" s="439">
        <v>45813</v>
      </c>
      <c r="B32" s="8" t="str">
        <v>SOR.CHAROEN SUPPLY 2018 LIMITED</v>
      </c>
      <c r="C32" s="8" t="str">
        <v>Distributor</v>
      </c>
      <c r="D32" s="8" t="str">
        <v>SOR CHAROEN</v>
      </c>
      <c r="E32" s="8" t="str">
        <v>CM</v>
      </c>
      <c r="F32" s="8" t="str">
        <v>CM_BL</v>
      </c>
      <c r="G32" s="295">
        <v>0</v>
      </c>
      <c r="H32" s="295">
        <v>5000</v>
      </c>
      <c r="I32" t="str">
        <f>_xlfn.IFNA(VLOOKUP(B32,T_DistName[],3,FALSE),"")</f>
        <v>S401</v>
      </c>
      <c r="J32" t="str">
        <f t="shared" si="0"/>
        <v>S401CM_BL</v>
      </c>
    </row>
    <row r="33" spans="1:10">
      <c r="A33" s="439">
        <v>45813</v>
      </c>
      <c r="B33" s="8" t="str">
        <v>SOR.CHAROEN SUPPLY 2018 LIMITED</v>
      </c>
      <c r="C33" s="8" t="str">
        <v>Distributor</v>
      </c>
      <c r="D33" s="8" t="str">
        <v>SOR CHAROEN</v>
      </c>
      <c r="E33" s="8" t="str">
        <v>CMHD</v>
      </c>
      <c r="F33" s="8" t="str">
        <v>CMHD_YL</v>
      </c>
      <c r="G33" s="295">
        <v>0</v>
      </c>
      <c r="H33" s="295">
        <v>11000</v>
      </c>
      <c r="I33" t="str">
        <f>_xlfn.IFNA(VLOOKUP(B33,T_DistName[],3,FALSE),"")</f>
        <v>S401</v>
      </c>
      <c r="J33" t="str">
        <f t="shared" si="0"/>
        <v>S401CMHD_YL</v>
      </c>
    </row>
    <row r="34" spans="1:10">
      <c r="A34" s="439">
        <v>45813</v>
      </c>
      <c r="B34" s="8" t="str">
        <v>SOR.CHAROEN SUPPLY 2018 LIMITED</v>
      </c>
      <c r="C34" s="8" t="str">
        <v>Distributor</v>
      </c>
      <c r="D34" s="8" t="str">
        <v>SOR CHAROEN</v>
      </c>
      <c r="E34" s="8" t="str">
        <v>CMHD</v>
      </c>
      <c r="F34" s="8" t="str">
        <v>CMHD_GR</v>
      </c>
      <c r="G34" s="295">
        <v>0</v>
      </c>
      <c r="H34" s="295">
        <v>2000</v>
      </c>
      <c r="I34" t="str">
        <f>_xlfn.IFNA(VLOOKUP(B34,T_DistName[],3,FALSE),"")</f>
        <v>S401</v>
      </c>
      <c r="J34" t="str">
        <f t="shared" si="0"/>
        <v>S401CMHD_GR</v>
      </c>
    </row>
    <row r="35" spans="1:10">
      <c r="A35" s="439">
        <v>45814</v>
      </c>
      <c r="B35" s="8" t="str">
        <v>RPB Distribution Co., Ltd.</v>
      </c>
      <c r="C35" s="8" t="str">
        <v>Distributor</v>
      </c>
      <c r="D35" s="8" t="str">
        <v>RPB</v>
      </c>
      <c r="E35" s="8" t="str">
        <v>CM</v>
      </c>
      <c r="F35" s="8" t="str">
        <v>CM_FF</v>
      </c>
      <c r="G35" s="295">
        <v>0</v>
      </c>
      <c r="H35" s="295">
        <v>16000</v>
      </c>
      <c r="I35" t="str">
        <f>_xlfn.IFNA(VLOOKUP(B35,T_DistName[],3,FALSE),"")</f>
        <v>S203</v>
      </c>
      <c r="J35" t="str">
        <f t="shared" si="0"/>
        <v>S203CM_FF</v>
      </c>
    </row>
    <row r="36" spans="1:10">
      <c r="A36" s="439">
        <v>45814</v>
      </c>
      <c r="B36" s="8" t="str">
        <v>RPB Distribution Co., Ltd.</v>
      </c>
      <c r="C36" s="8" t="str">
        <v>Distributor</v>
      </c>
      <c r="D36" s="8" t="str">
        <v>RPB</v>
      </c>
      <c r="E36" s="8" t="str">
        <v>CM</v>
      </c>
      <c r="F36" s="8" t="str">
        <v>CM_BL</v>
      </c>
      <c r="G36" s="295">
        <v>0</v>
      </c>
      <c r="H36" s="295">
        <v>2500</v>
      </c>
      <c r="I36" t="str">
        <f>_xlfn.IFNA(VLOOKUP(B36,T_DistName[],3,FALSE),"")</f>
        <v>S203</v>
      </c>
      <c r="J36" t="str">
        <f t="shared" si="0"/>
        <v>S203CM_BL</v>
      </c>
    </row>
    <row r="37" spans="1:10">
      <c r="A37" s="439">
        <v>45814</v>
      </c>
      <c r="B37" s="8" t="str">
        <v>RPB Distribution Co., Ltd.</v>
      </c>
      <c r="C37" s="8" t="str">
        <v>Distributor</v>
      </c>
      <c r="D37" s="8" t="str">
        <v>RPB</v>
      </c>
      <c r="E37" s="8" t="str">
        <v>CMHD</v>
      </c>
      <c r="F37" s="8" t="str">
        <v>CMHD_YL</v>
      </c>
      <c r="G37" s="295">
        <v>0</v>
      </c>
      <c r="H37" s="295">
        <v>4500</v>
      </c>
      <c r="I37" t="str">
        <f>_xlfn.IFNA(VLOOKUP(B37,T_DistName[],3,FALSE),"")</f>
        <v>S203</v>
      </c>
      <c r="J37" t="str">
        <f t="shared" si="0"/>
        <v>S203CMHD_YL</v>
      </c>
    </row>
    <row r="38" spans="1:10">
      <c r="A38" s="439">
        <v>45814</v>
      </c>
      <c r="B38" s="8" t="str">
        <v>RPB Distribution Co., Ltd.</v>
      </c>
      <c r="C38" s="8" t="str">
        <v>Distributor</v>
      </c>
      <c r="D38" s="8" t="str">
        <v>RPB</v>
      </c>
      <c r="E38" s="8" t="str">
        <v>CMHD</v>
      </c>
      <c r="F38" s="8" t="str">
        <v>CMHD_GR</v>
      </c>
      <c r="G38" s="295">
        <v>0</v>
      </c>
      <c r="H38" s="295">
        <v>2500</v>
      </c>
      <c r="I38" t="str">
        <f>_xlfn.IFNA(VLOOKUP(B38,T_DistName[],3,FALSE),"")</f>
        <v>S203</v>
      </c>
      <c r="J38" t="str">
        <f t="shared" si="0"/>
        <v>S203CMHD_GR</v>
      </c>
    </row>
    <row r="39" spans="1:10">
      <c r="A39" s="439">
        <v>45814</v>
      </c>
      <c r="B39" s="8" t="str">
        <v>RPB Distribution Co., Ltd.</v>
      </c>
      <c r="C39" s="8" t="str">
        <v>Distributor</v>
      </c>
      <c r="D39" s="8" t="str">
        <v>RPB</v>
      </c>
      <c r="E39" s="8" t="str">
        <v>WICO</v>
      </c>
      <c r="F39" s="8" t="str">
        <v>WICO_RE</v>
      </c>
      <c r="G39" s="295">
        <v>0</v>
      </c>
      <c r="H39" s="295">
        <v>1500</v>
      </c>
      <c r="I39" t="str">
        <f>_xlfn.IFNA(VLOOKUP(B39,T_DistName[],3,FALSE),"")</f>
        <v>S203</v>
      </c>
      <c r="J39" t="str">
        <f t="shared" si="0"/>
        <v>S203WICO_RE</v>
      </c>
    </row>
    <row r="40" spans="1:10">
      <c r="A40" s="439">
        <v>45814</v>
      </c>
      <c r="B40" s="8" t="str">
        <v>RPB Distribution Co., Ltd.</v>
      </c>
      <c r="C40" s="8" t="str">
        <v>Distributor</v>
      </c>
      <c r="D40" s="8" t="str">
        <v>RPB</v>
      </c>
      <c r="E40" s="8" t="str">
        <v>WICO</v>
      </c>
      <c r="F40" s="8" t="str">
        <v>WICO_BL</v>
      </c>
      <c r="G40" s="295">
        <v>0</v>
      </c>
      <c r="H40" s="295">
        <v>1000</v>
      </c>
      <c r="I40" t="str">
        <f>_xlfn.IFNA(VLOOKUP(B40,T_DistName[],3,FALSE),"")</f>
        <v>S203</v>
      </c>
      <c r="J40" t="str">
        <f t="shared" si="0"/>
        <v>S203WICO_BL</v>
      </c>
    </row>
    <row r="41" spans="1:10">
      <c r="A41" s="439">
        <v>45814</v>
      </c>
      <c r="B41" s="8" t="str">
        <v>RPB Distribution Co., Ltd.</v>
      </c>
      <c r="C41" s="8" t="str">
        <v>Distributor</v>
      </c>
      <c r="D41" s="8" t="str">
        <v>RPB</v>
      </c>
      <c r="E41" s="8" t="str">
        <v>WICO</v>
      </c>
      <c r="F41" s="8" t="str">
        <v>WICO_GR</v>
      </c>
      <c r="G41" s="295">
        <v>0</v>
      </c>
      <c r="H41" s="295">
        <v>1500</v>
      </c>
      <c r="I41" t="str">
        <f>_xlfn.IFNA(VLOOKUP(B41,T_DistName[],3,FALSE),"")</f>
        <v>S203</v>
      </c>
      <c r="J41" t="str">
        <f t="shared" si="0"/>
        <v>S203WICO_GR</v>
      </c>
    </row>
    <row r="42" spans="1:10">
      <c r="A42" s="439">
        <v>45814</v>
      </c>
      <c r="B42" s="8" t="str">
        <v>RPB Distribution Co., Ltd.</v>
      </c>
      <c r="C42" s="8" t="str">
        <v>Distributor</v>
      </c>
      <c r="D42" s="8" t="str">
        <v>RPB</v>
      </c>
      <c r="E42" s="8" t="str">
        <v>CM</v>
      </c>
      <c r="F42" s="8" t="str">
        <v>CM_MN</v>
      </c>
      <c r="G42" s="295">
        <v>0</v>
      </c>
      <c r="H42" s="295">
        <v>500</v>
      </c>
      <c r="I42" t="str">
        <f>_xlfn.IFNA(VLOOKUP(B42,T_DistName[],3,FALSE),"")</f>
        <v>S203</v>
      </c>
      <c r="J42" t="str">
        <f t="shared" si="0"/>
        <v>S203CM_MN</v>
      </c>
    </row>
    <row r="43" spans="1:10">
      <c r="A43" s="439">
        <v>45817</v>
      </c>
      <c r="B43" s="8" t="str">
        <v>SERICHAI AS&amp;D CO., LTD.</v>
      </c>
      <c r="C43" s="8" t="str">
        <v>Distributor</v>
      </c>
      <c r="D43" s="8" t="str">
        <v>SERICHAI</v>
      </c>
      <c r="E43" s="8" t="str">
        <v>MV</v>
      </c>
      <c r="F43" s="8" t="str">
        <v>MV_SB</v>
      </c>
      <c r="G43" s="295">
        <v>0</v>
      </c>
      <c r="H43" s="295">
        <v>500</v>
      </c>
      <c r="I43" t="str">
        <f>_xlfn.IFNA(VLOOKUP(B43,T_DistName[],3,FALSE),"")</f>
        <v>S202</v>
      </c>
      <c r="J43" t="str">
        <f t="shared" si="0"/>
        <v>S202MV_SB</v>
      </c>
    </row>
    <row r="44" spans="1:10">
      <c r="A44" s="439">
        <v>45817</v>
      </c>
      <c r="B44" s="8" t="str">
        <v>SERICHAI AS&amp;D CO., LTD.</v>
      </c>
      <c r="C44" s="8" t="str">
        <v>Distributor</v>
      </c>
      <c r="D44" s="8" t="str">
        <v>SERICHAI</v>
      </c>
      <c r="E44" s="8" t="str">
        <v>MV</v>
      </c>
      <c r="F44" s="8" t="str">
        <v>MV_OPT</v>
      </c>
      <c r="G44" s="295">
        <v>0</v>
      </c>
      <c r="H44" s="295">
        <v>500</v>
      </c>
      <c r="I44" t="str">
        <f>_xlfn.IFNA(VLOOKUP(B44,T_DistName[],3,FALSE),"")</f>
        <v>S202</v>
      </c>
      <c r="J44" t="str">
        <f t="shared" si="0"/>
        <v>S202MV_OPT</v>
      </c>
    </row>
    <row r="45" spans="1:10">
      <c r="A45" s="439">
        <v>45817</v>
      </c>
      <c r="B45" s="8" t="str">
        <v>SERICHAI AS&amp;D CO., LTD.</v>
      </c>
      <c r="C45" s="8" t="str">
        <v>Distributor</v>
      </c>
      <c r="D45" s="8" t="str">
        <v>SERICHAI</v>
      </c>
      <c r="E45" s="8" t="str">
        <v>WIKS</v>
      </c>
      <c r="F45" s="8" t="str">
        <v>WIKS_BL</v>
      </c>
      <c r="G45" s="295">
        <v>0</v>
      </c>
      <c r="H45" s="295">
        <v>500</v>
      </c>
      <c r="I45" t="str">
        <f>_xlfn.IFNA(VLOOKUP(B45,T_DistName[],3,FALSE),"")</f>
        <v>S202</v>
      </c>
      <c r="J45" t="str">
        <f t="shared" si="0"/>
        <v>S202WIKS_BL</v>
      </c>
    </row>
    <row r="46" spans="1:10">
      <c r="A46" s="439">
        <v>45817</v>
      </c>
      <c r="B46" s="8" t="str">
        <v>SERICHAI AS&amp;D CO., LTD.</v>
      </c>
      <c r="C46" s="8" t="str">
        <v>Distributor</v>
      </c>
      <c r="D46" s="8" t="str">
        <v>SERICHAI</v>
      </c>
      <c r="E46" s="8" t="str">
        <v>WICO</v>
      </c>
      <c r="F46" s="8" t="str">
        <v>WICO_RE</v>
      </c>
      <c r="G46" s="295">
        <v>0</v>
      </c>
      <c r="H46" s="295">
        <v>4500</v>
      </c>
      <c r="I46" t="str">
        <f>_xlfn.IFNA(VLOOKUP(B46,T_DistName[],3,FALSE),"")</f>
        <v>S202</v>
      </c>
      <c r="J46" t="str">
        <f t="shared" si="0"/>
        <v>S202WICO_RE</v>
      </c>
    </row>
    <row r="47" spans="1:10">
      <c r="A47" s="439">
        <v>45817</v>
      </c>
      <c r="B47" s="8" t="str">
        <v>SERICHAI AS&amp;D CO., LTD.</v>
      </c>
      <c r="C47" s="8" t="str">
        <v>Distributor</v>
      </c>
      <c r="D47" s="8" t="str">
        <v>SERICHAI</v>
      </c>
      <c r="E47" s="8" t="str">
        <v>WICO</v>
      </c>
      <c r="F47" s="8" t="str">
        <v>WICO_BL</v>
      </c>
      <c r="G47" s="295">
        <v>0</v>
      </c>
      <c r="H47" s="295">
        <v>5000</v>
      </c>
      <c r="I47" t="str">
        <f>_xlfn.IFNA(VLOOKUP(B47,T_DistName[],3,FALSE),"")</f>
        <v>S202</v>
      </c>
      <c r="J47" t="str">
        <f t="shared" si="0"/>
        <v>S202WICO_BL</v>
      </c>
    </row>
    <row r="48" spans="1:10">
      <c r="A48" s="439">
        <v>45817</v>
      </c>
      <c r="B48" s="8" t="str">
        <v>SERICHAI AS&amp;D CO., LTD.</v>
      </c>
      <c r="C48" s="8" t="str">
        <v>Distributor</v>
      </c>
      <c r="D48" s="8" t="str">
        <v>SERICHAI</v>
      </c>
      <c r="E48" s="8" t="str">
        <v>WICO</v>
      </c>
      <c r="F48" s="8" t="str">
        <v>WICO_GR</v>
      </c>
      <c r="G48" s="295">
        <v>0</v>
      </c>
      <c r="H48" s="295">
        <v>4000</v>
      </c>
      <c r="I48" t="str">
        <f>_xlfn.IFNA(VLOOKUP(B48,T_DistName[],3,FALSE),"")</f>
        <v>S202</v>
      </c>
      <c r="J48" t="str">
        <f t="shared" si="0"/>
        <v>S202WICO_GR</v>
      </c>
    </row>
    <row r="49" spans="1:10">
      <c r="A49" s="439">
        <v>45817</v>
      </c>
      <c r="B49" s="8" t="str">
        <v>SERICHAI AS&amp;D CO., LTD.</v>
      </c>
      <c r="C49" s="8" t="str">
        <v>Distributor</v>
      </c>
      <c r="D49" s="8" t="str">
        <v>SERICHAI</v>
      </c>
      <c r="E49" s="8" t="str">
        <v>CM</v>
      </c>
      <c r="F49" s="8" t="str">
        <v>CM_FF</v>
      </c>
      <c r="G49" s="295">
        <v>0</v>
      </c>
      <c r="H49" s="295">
        <v>11000</v>
      </c>
      <c r="I49" t="str">
        <f>_xlfn.IFNA(VLOOKUP(B49,T_DistName[],3,FALSE),"")</f>
        <v>S202</v>
      </c>
      <c r="J49" t="str">
        <f t="shared" si="0"/>
        <v>S202CM_FF</v>
      </c>
    </row>
    <row r="50" spans="1:10">
      <c r="A50" s="439">
        <v>45817</v>
      </c>
      <c r="B50" s="8" t="str">
        <v>SERICHAI AS&amp;D CO., LTD.</v>
      </c>
      <c r="C50" s="8" t="str">
        <v>Distributor</v>
      </c>
      <c r="D50" s="8" t="str">
        <v>SERICHAI</v>
      </c>
      <c r="E50" s="8" t="str">
        <v>CM</v>
      </c>
      <c r="F50" s="8" t="str">
        <v>CM_BL</v>
      </c>
      <c r="G50" s="295">
        <v>0</v>
      </c>
      <c r="H50" s="295">
        <v>2000</v>
      </c>
      <c r="I50" t="str">
        <f>_xlfn.IFNA(VLOOKUP(B50,T_DistName[],3,FALSE),"")</f>
        <v>S202</v>
      </c>
      <c r="J50" t="str">
        <f t="shared" si="0"/>
        <v>S202CM_BL</v>
      </c>
    </row>
    <row r="51" spans="1:10">
      <c r="A51" s="439">
        <v>45817</v>
      </c>
      <c r="B51" s="8" t="str">
        <v>SERICHAI AS&amp;D CO., LTD.</v>
      </c>
      <c r="C51" s="8" t="str">
        <v>Distributor</v>
      </c>
      <c r="D51" s="8" t="str">
        <v>SERICHAI</v>
      </c>
      <c r="E51" s="8" t="str">
        <v>CM</v>
      </c>
      <c r="F51" s="8" t="str">
        <v>CM_MN</v>
      </c>
      <c r="G51" s="295">
        <v>0</v>
      </c>
      <c r="H51" s="295">
        <v>500</v>
      </c>
      <c r="I51" t="str">
        <f>_xlfn.IFNA(VLOOKUP(B51,T_DistName[],3,FALSE),"")</f>
        <v>S202</v>
      </c>
      <c r="J51" t="str">
        <f t="shared" si="0"/>
        <v>S202CM_MN</v>
      </c>
    </row>
    <row r="52" spans="1:10">
      <c r="A52" s="439">
        <v>45817</v>
      </c>
      <c r="B52" s="8" t="str">
        <v>SERICHAI AS&amp;D CO., LTD.</v>
      </c>
      <c r="C52" s="8" t="str">
        <v>Distributor</v>
      </c>
      <c r="D52" s="8" t="str">
        <v>SERICHAI</v>
      </c>
      <c r="E52" s="8" t="str">
        <v>CMHD</v>
      </c>
      <c r="F52" s="8" t="str">
        <v>CMHD_YL</v>
      </c>
      <c r="G52" s="295">
        <v>0</v>
      </c>
      <c r="H52" s="295">
        <v>2000</v>
      </c>
      <c r="I52" t="str">
        <f>_xlfn.IFNA(VLOOKUP(B52,T_DistName[],3,FALSE),"")</f>
        <v>S202</v>
      </c>
      <c r="J52" t="str">
        <f t="shared" si="0"/>
        <v>S202CMHD_YL</v>
      </c>
    </row>
    <row r="53" spans="1:10">
      <c r="A53" s="439">
        <v>45817</v>
      </c>
      <c r="B53" s="8" t="str">
        <v>WEALIMEX CO., LTD.</v>
      </c>
      <c r="C53" s="8" t="str">
        <v>Distributor</v>
      </c>
      <c r="D53" s="8" t="str">
        <v>WEALIMEX</v>
      </c>
      <c r="E53" s="8" t="str">
        <v>MV</v>
      </c>
      <c r="F53" s="8" t="str">
        <v>MV_SB</v>
      </c>
      <c r="G53" s="295">
        <v>0</v>
      </c>
      <c r="H53" s="295">
        <v>200</v>
      </c>
      <c r="I53" t="str">
        <f>_xlfn.IFNA(VLOOKUP(B53,T_DistName[],3,FALSE),"")</f>
        <v>S105</v>
      </c>
      <c r="J53" t="str">
        <f t="shared" si="0"/>
        <v>S105MV_SB</v>
      </c>
    </row>
    <row r="54" spans="1:10">
      <c r="A54" s="439">
        <v>45817</v>
      </c>
      <c r="B54" s="8" t="str">
        <v>WEALIMEX CO., LTD.</v>
      </c>
      <c r="C54" s="8" t="str">
        <v>Distributor</v>
      </c>
      <c r="D54" s="8" t="str">
        <v>WEALIMEX</v>
      </c>
      <c r="E54" s="8" t="str">
        <v>CM</v>
      </c>
      <c r="F54" s="8" t="str">
        <v>CM_FF</v>
      </c>
      <c r="G54" s="295">
        <v>0</v>
      </c>
      <c r="H54" s="295">
        <v>3000</v>
      </c>
      <c r="I54" t="str">
        <f>_xlfn.IFNA(VLOOKUP(B54,T_DistName[],3,FALSE),"")</f>
        <v>S105</v>
      </c>
      <c r="J54" t="str">
        <f t="shared" si="0"/>
        <v>S105CM_FF</v>
      </c>
    </row>
    <row r="55" spans="1:10">
      <c r="A55" s="439">
        <v>45817</v>
      </c>
      <c r="B55" s="8" t="str">
        <v>WEALIMEX CO., LTD.</v>
      </c>
      <c r="C55" s="8" t="str">
        <v>Distributor</v>
      </c>
      <c r="D55" s="8" t="str">
        <v>WEALIMEX</v>
      </c>
      <c r="E55" s="8" t="str">
        <v>CMHD</v>
      </c>
      <c r="F55" s="8" t="str">
        <v>CMHD_YL</v>
      </c>
      <c r="G55" s="295">
        <v>0</v>
      </c>
      <c r="H55" s="295">
        <v>1500</v>
      </c>
      <c r="I55" t="str">
        <f>_xlfn.IFNA(VLOOKUP(B55,T_DistName[],3,FALSE),"")</f>
        <v>S105</v>
      </c>
      <c r="J55" t="str">
        <f t="shared" si="0"/>
        <v>S105CMHD_YL</v>
      </c>
    </row>
    <row r="56" spans="1:10">
      <c r="A56" s="439">
        <v>45817</v>
      </c>
      <c r="B56" s="8" t="str">
        <v>WEALIMEX CO., LTD.</v>
      </c>
      <c r="C56" s="8" t="str">
        <v>Distributor</v>
      </c>
      <c r="D56" s="8" t="str">
        <v>WEALIMEX</v>
      </c>
      <c r="E56" s="8" t="str">
        <v>CMHD</v>
      </c>
      <c r="F56" s="8" t="str">
        <v>CMHD_GR</v>
      </c>
      <c r="G56" s="295">
        <v>0</v>
      </c>
      <c r="H56" s="295">
        <v>500</v>
      </c>
      <c r="I56" t="str">
        <f>_xlfn.IFNA(VLOOKUP(B56,T_DistName[],3,FALSE),"")</f>
        <v>S105</v>
      </c>
      <c r="J56" t="str">
        <f t="shared" si="0"/>
        <v>S105CMHD_GR</v>
      </c>
    </row>
    <row r="57" spans="1:10">
      <c r="A57" s="439">
        <v>45818</v>
      </c>
      <c r="B57" s="8" t="str">
        <v>RATCHASIMA D.C. CO., LTD</v>
      </c>
      <c r="C57" s="8" t="str">
        <v>Distributor</v>
      </c>
      <c r="D57" s="8" t="str">
        <v>RDC</v>
      </c>
      <c r="E57" s="8" t="str">
        <v>MV</v>
      </c>
      <c r="F57" s="8" t="str">
        <v>MV_OB</v>
      </c>
      <c r="G57" s="295">
        <v>0</v>
      </c>
      <c r="H57" s="295">
        <v>750</v>
      </c>
      <c r="I57" t="str">
        <f>_xlfn.IFNA(VLOOKUP(B57,T_DistName[],3,FALSE),"")</f>
        <v>S302</v>
      </c>
      <c r="J57" t="str">
        <f t="shared" si="0"/>
        <v>S302MV_OB</v>
      </c>
    </row>
    <row r="58" spans="1:10">
      <c r="A58" s="439">
        <v>45818</v>
      </c>
      <c r="B58" s="8" t="str">
        <v>RATCHASIMA D.C. CO., LTD</v>
      </c>
      <c r="C58" s="8" t="str">
        <v>Distributor</v>
      </c>
      <c r="D58" s="8" t="str">
        <v>RDC</v>
      </c>
      <c r="E58" s="8" t="str">
        <v>MV</v>
      </c>
      <c r="F58" s="8" t="str">
        <v>MV_SB</v>
      </c>
      <c r="G58" s="295">
        <v>0</v>
      </c>
      <c r="H58" s="295">
        <v>400</v>
      </c>
      <c r="I58" t="str">
        <f>_xlfn.IFNA(VLOOKUP(B58,T_DistName[],3,FALSE),"")</f>
        <v>S302</v>
      </c>
      <c r="J58" t="str">
        <f t="shared" si="0"/>
        <v>S302MV_SB</v>
      </c>
    </row>
    <row r="59" spans="1:10">
      <c r="A59" s="439">
        <v>45818</v>
      </c>
      <c r="B59" s="8" t="str">
        <v>RATCHASIMA D.C. CO., LTD</v>
      </c>
      <c r="C59" s="8" t="str">
        <v>Distributor</v>
      </c>
      <c r="D59" s="8" t="str">
        <v>RDC</v>
      </c>
      <c r="E59" s="8" t="str">
        <v>MV</v>
      </c>
      <c r="F59" s="8" t="str">
        <v>MV_OPT</v>
      </c>
      <c r="G59" s="295">
        <v>0</v>
      </c>
      <c r="H59" s="295">
        <v>80</v>
      </c>
      <c r="I59" t="str">
        <f>_xlfn.IFNA(VLOOKUP(B59,T_DistName[],3,FALSE),"")</f>
        <v>S302</v>
      </c>
      <c r="J59" t="str">
        <f t="shared" si="0"/>
        <v>S302MV_OPT</v>
      </c>
    </row>
    <row r="60" spans="1:10">
      <c r="A60" s="439">
        <v>45818</v>
      </c>
      <c r="B60" s="8" t="str">
        <v>RATCHASIMA D.C. CO., LTD</v>
      </c>
      <c r="C60" s="8" t="str">
        <v>Distributor</v>
      </c>
      <c r="D60" s="8" t="str">
        <v>RDC</v>
      </c>
      <c r="E60" s="8" t="str">
        <v>WICO</v>
      </c>
      <c r="F60" s="8" t="str">
        <v>WICO_RE</v>
      </c>
      <c r="G60" s="295">
        <v>0</v>
      </c>
      <c r="H60" s="295">
        <v>6000</v>
      </c>
      <c r="I60" t="str">
        <f>_xlfn.IFNA(VLOOKUP(B60,T_DistName[],3,FALSE),"")</f>
        <v>S302</v>
      </c>
      <c r="J60" t="str">
        <f t="shared" si="0"/>
        <v>S302WICO_RE</v>
      </c>
    </row>
    <row r="61" spans="1:10">
      <c r="A61" s="439">
        <v>45818</v>
      </c>
      <c r="B61" s="8" t="str">
        <v>RATCHASIMA D.C. CO., LTD</v>
      </c>
      <c r="C61" s="8" t="str">
        <v>Distributor</v>
      </c>
      <c r="D61" s="8" t="str">
        <v>RDC</v>
      </c>
      <c r="E61" s="8" t="str">
        <v>WICO</v>
      </c>
      <c r="F61" s="8" t="str">
        <v>WICO_BL</v>
      </c>
      <c r="G61" s="295">
        <v>0</v>
      </c>
      <c r="H61" s="295">
        <v>7500</v>
      </c>
      <c r="I61" t="str">
        <f>_xlfn.IFNA(VLOOKUP(B61,T_DistName[],3,FALSE),"")</f>
        <v>S302</v>
      </c>
      <c r="J61" t="str">
        <f t="shared" si="0"/>
        <v>S302WICO_BL</v>
      </c>
    </row>
    <row r="62" spans="1:10">
      <c r="A62" s="439">
        <v>45818</v>
      </c>
      <c r="B62" s="8" t="str">
        <v>RATCHASIMA D.C. CO., LTD</v>
      </c>
      <c r="C62" s="8" t="str">
        <v>Distributor</v>
      </c>
      <c r="D62" s="8" t="str">
        <v>RDC</v>
      </c>
      <c r="E62" s="8" t="str">
        <v>CM</v>
      </c>
      <c r="F62" s="8" t="str">
        <v>CM_FF</v>
      </c>
      <c r="G62" s="295">
        <v>0</v>
      </c>
      <c r="H62" s="295">
        <v>41000</v>
      </c>
      <c r="I62" t="str">
        <f>_xlfn.IFNA(VLOOKUP(B62,T_DistName[],3,FALSE),"")</f>
        <v>S302</v>
      </c>
      <c r="J62" t="str">
        <f t="shared" si="0"/>
        <v>S302CM_FF</v>
      </c>
    </row>
    <row r="63" spans="1:10">
      <c r="A63" s="439">
        <v>45818</v>
      </c>
      <c r="B63" s="8" t="str">
        <v>RATCHASIMA D.C. CO., LTD</v>
      </c>
      <c r="C63" s="8" t="str">
        <v>Distributor</v>
      </c>
      <c r="D63" s="8" t="str">
        <v>RDC</v>
      </c>
      <c r="E63" s="8" t="str">
        <v>CM</v>
      </c>
      <c r="F63" s="8" t="str">
        <v>CM_BL</v>
      </c>
      <c r="G63" s="295">
        <v>0</v>
      </c>
      <c r="H63" s="295">
        <v>7000</v>
      </c>
      <c r="I63" t="str">
        <f>_xlfn.IFNA(VLOOKUP(B63,T_DistName[],3,FALSE),"")</f>
        <v>S302</v>
      </c>
      <c r="J63" t="str">
        <f t="shared" si="0"/>
        <v>S302CM_BL</v>
      </c>
    </row>
    <row r="64" spans="1:10">
      <c r="A64" s="439">
        <v>45818</v>
      </c>
      <c r="B64" s="8" t="str">
        <v>RATCHASIMA D.C. CO., LTD</v>
      </c>
      <c r="C64" s="8" t="str">
        <v>Distributor</v>
      </c>
      <c r="D64" s="8" t="str">
        <v>RDC</v>
      </c>
      <c r="E64" s="8" t="str">
        <v>CM</v>
      </c>
      <c r="F64" s="8" t="str">
        <v>CM_MN</v>
      </c>
      <c r="G64" s="295">
        <v>0</v>
      </c>
      <c r="H64" s="295">
        <v>2500</v>
      </c>
      <c r="I64" t="str">
        <f>_xlfn.IFNA(VLOOKUP(B64,T_DistName[],3,FALSE),"")</f>
        <v>S302</v>
      </c>
      <c r="J64" t="str">
        <f t="shared" si="0"/>
        <v>S302CM_MN</v>
      </c>
    </row>
    <row r="65" spans="1:10">
      <c r="A65" s="439">
        <v>45818</v>
      </c>
      <c r="B65" s="8" t="str">
        <v>RATCHASIMA D.C. CO., LTD</v>
      </c>
      <c r="C65" s="8" t="str">
        <v>Distributor</v>
      </c>
      <c r="D65" s="8" t="str">
        <v>RDC</v>
      </c>
      <c r="E65" s="8" t="str">
        <v>CMHD</v>
      </c>
      <c r="F65" s="8" t="str">
        <v>CMHD_YL</v>
      </c>
      <c r="G65" s="295">
        <v>0</v>
      </c>
      <c r="H65" s="295">
        <v>4000</v>
      </c>
      <c r="I65" t="str">
        <f>_xlfn.IFNA(VLOOKUP(B65,T_DistName[],3,FALSE),"")</f>
        <v>S302</v>
      </c>
      <c r="J65" t="str">
        <f t="shared" si="0"/>
        <v>S302CMHD_YL</v>
      </c>
    </row>
    <row r="66" spans="1:10">
      <c r="A66" s="439">
        <v>45818</v>
      </c>
      <c r="B66" s="8" t="str">
        <v>RATCHASIMA D.C. CO., LTD</v>
      </c>
      <c r="C66" s="8" t="str">
        <v>Distributor</v>
      </c>
      <c r="D66" s="8" t="str">
        <v>RDC</v>
      </c>
      <c r="E66" s="8" t="str">
        <v>WIKS</v>
      </c>
      <c r="F66" s="8" t="str">
        <v>WIKS_BL</v>
      </c>
      <c r="G66" s="295">
        <v>0</v>
      </c>
      <c r="H66" s="295">
        <v>50</v>
      </c>
      <c r="I66" t="str">
        <f>_xlfn.IFNA(VLOOKUP(B66,T_DistName[],3,FALSE),"")</f>
        <v>S302</v>
      </c>
      <c r="J66" t="str">
        <f t="shared" si="0"/>
        <v>S302WIKS_BL</v>
      </c>
    </row>
    <row r="67" spans="1:10">
      <c r="A67" s="439">
        <v>45818</v>
      </c>
      <c r="B67" s="8" t="str">
        <v>WEALIMEX CO., LTD.</v>
      </c>
      <c r="C67" s="8" t="str">
        <v>Distributor</v>
      </c>
      <c r="D67" s="8" t="str">
        <v>WEALIMEX</v>
      </c>
      <c r="E67" s="8" t="str">
        <v>WIKS</v>
      </c>
      <c r="F67" s="8" t="str">
        <v>WIKS_BL</v>
      </c>
      <c r="G67" s="295">
        <v>0</v>
      </c>
      <c r="H67" s="295">
        <v>50</v>
      </c>
      <c r="I67" t="str">
        <f>_xlfn.IFNA(VLOOKUP(B67,T_DistName[],3,FALSE),"")</f>
        <v>S105</v>
      </c>
      <c r="J67" t="str">
        <f t="shared" si="0"/>
        <v>S105WIKS_BL</v>
      </c>
    </row>
    <row r="68" spans="1:10">
      <c r="A68" s="439">
        <v>45818</v>
      </c>
      <c r="B68" s="8" t="str">
        <v>WEALIMEX CO., LTD.</v>
      </c>
      <c r="C68" s="8" t="str">
        <v>Distributor</v>
      </c>
      <c r="D68" s="8" t="str">
        <v>WEALIMEX</v>
      </c>
      <c r="E68" s="8" t="str">
        <v>WICO</v>
      </c>
      <c r="F68" s="8" t="str">
        <v>WICO_BL</v>
      </c>
      <c r="G68" s="295">
        <v>0</v>
      </c>
      <c r="H68" s="295">
        <v>1000</v>
      </c>
      <c r="I68" t="str">
        <f>_xlfn.IFNA(VLOOKUP(B68,T_DistName[],3,FALSE),"")</f>
        <v>S105</v>
      </c>
      <c r="J68" t="str">
        <f t="shared" ref="J68:J131" si="1">I68&amp;F68</f>
        <v>S105WICO_BL</v>
      </c>
    </row>
    <row r="69" spans="1:10">
      <c r="A69" s="439">
        <v>45818</v>
      </c>
      <c r="B69" s="8" t="str">
        <v>WEALIMEX CO., LTD.</v>
      </c>
      <c r="C69" s="8" t="str">
        <v>Distributor</v>
      </c>
      <c r="D69" s="8" t="str">
        <v>WEALIMEX</v>
      </c>
      <c r="E69" s="8" t="str">
        <v>CM</v>
      </c>
      <c r="F69" s="8" t="str">
        <v>CM_FF</v>
      </c>
      <c r="G69" s="295">
        <v>0</v>
      </c>
      <c r="H69" s="295">
        <v>5000</v>
      </c>
      <c r="I69" t="str">
        <f>_xlfn.IFNA(VLOOKUP(B69,T_DistName[],3,FALSE),"")</f>
        <v>S105</v>
      </c>
      <c r="J69" t="str">
        <f t="shared" si="1"/>
        <v>S105CM_FF</v>
      </c>
    </row>
    <row r="70" spans="1:10">
      <c r="A70" s="439">
        <v>45818</v>
      </c>
      <c r="B70" s="8" t="str">
        <v>RATCHASIMA P.D.C. CO., LTD.</v>
      </c>
      <c r="C70" s="8" t="str">
        <v>Distributor</v>
      </c>
      <c r="D70" s="8" t="str">
        <v>RATCHASIMA PDC</v>
      </c>
      <c r="E70" s="8" t="str">
        <v>MV</v>
      </c>
      <c r="F70" s="8" t="str">
        <v>MV_SB</v>
      </c>
      <c r="G70" s="295">
        <v>0</v>
      </c>
      <c r="H70" s="295">
        <v>40</v>
      </c>
      <c r="I70" t="str">
        <f>_xlfn.IFNA(VLOOKUP(B70,T_DistName[],3,FALSE),"")</f>
        <v>S504</v>
      </c>
      <c r="J70" t="str">
        <f t="shared" si="1"/>
        <v>S504MV_SB</v>
      </c>
    </row>
    <row r="71" spans="1:10">
      <c r="A71" s="439">
        <v>45818</v>
      </c>
      <c r="B71" s="8" t="str">
        <v>RATCHASIMA P.D.C. CO., LTD.</v>
      </c>
      <c r="C71" s="8" t="str">
        <v>Distributor</v>
      </c>
      <c r="D71" s="8" t="str">
        <v>RATCHASIMA PDC</v>
      </c>
      <c r="E71" s="8" t="str">
        <v>WICO</v>
      </c>
      <c r="F71" s="8" t="str">
        <v>WICO_RE</v>
      </c>
      <c r="G71" s="295">
        <v>0</v>
      </c>
      <c r="H71" s="295">
        <v>3000</v>
      </c>
      <c r="I71" t="str">
        <f>_xlfn.IFNA(VLOOKUP(B71,T_DistName[],3,FALSE),"")</f>
        <v>S504</v>
      </c>
      <c r="J71" t="str">
        <f t="shared" si="1"/>
        <v>S504WICO_RE</v>
      </c>
    </row>
    <row r="72" spans="1:10">
      <c r="A72" s="439">
        <v>45818</v>
      </c>
      <c r="B72" s="8" t="str">
        <v>RATCHASIMA P.D.C. CO., LTD.</v>
      </c>
      <c r="C72" s="8" t="str">
        <v>Distributor</v>
      </c>
      <c r="D72" s="8" t="str">
        <v>RATCHASIMA PDC</v>
      </c>
      <c r="E72" s="8" t="str">
        <v>WICO</v>
      </c>
      <c r="F72" s="8" t="str">
        <v>WICO_BL</v>
      </c>
      <c r="G72" s="295">
        <v>0</v>
      </c>
      <c r="H72" s="295">
        <v>500</v>
      </c>
      <c r="I72" t="str">
        <f>_xlfn.IFNA(VLOOKUP(B72,T_DistName[],3,FALSE),"")</f>
        <v>S504</v>
      </c>
      <c r="J72" t="str">
        <f t="shared" si="1"/>
        <v>S504WICO_BL</v>
      </c>
    </row>
    <row r="73" spans="1:10">
      <c r="A73" s="439">
        <v>45818</v>
      </c>
      <c r="B73" s="8" t="str">
        <v>RATCHASIMA P.D.C. CO., LTD.</v>
      </c>
      <c r="C73" s="8" t="str">
        <v>Distributor</v>
      </c>
      <c r="D73" s="8" t="str">
        <v>RATCHASIMA PDC</v>
      </c>
      <c r="E73" s="8" t="str">
        <v>WICO</v>
      </c>
      <c r="F73" s="8" t="str">
        <v>WICO_GR</v>
      </c>
      <c r="G73" s="295">
        <v>0</v>
      </c>
      <c r="H73" s="295">
        <v>750</v>
      </c>
      <c r="I73" t="str">
        <f>_xlfn.IFNA(VLOOKUP(B73,T_DistName[],3,FALSE),"")</f>
        <v>S504</v>
      </c>
      <c r="J73" t="str">
        <f t="shared" si="1"/>
        <v>S504WICO_GR</v>
      </c>
    </row>
    <row r="74" spans="1:10">
      <c r="A74" s="439">
        <v>45818</v>
      </c>
      <c r="B74" s="8" t="str">
        <v>RATCHASIMA P.D.C. CO., LTD.</v>
      </c>
      <c r="C74" s="8" t="str">
        <v>Distributor</v>
      </c>
      <c r="D74" s="8" t="str">
        <v>RATCHASIMA PDC</v>
      </c>
      <c r="E74" s="8" t="str">
        <v>CM</v>
      </c>
      <c r="F74" s="8" t="str">
        <v>CM_BL</v>
      </c>
      <c r="G74" s="295">
        <v>0</v>
      </c>
      <c r="H74" s="295">
        <v>1210</v>
      </c>
      <c r="I74" t="str">
        <f>_xlfn.IFNA(VLOOKUP(B74,T_DistName[],3,FALSE),"")</f>
        <v>S504</v>
      </c>
      <c r="J74" t="str">
        <f t="shared" si="1"/>
        <v>S504CM_BL</v>
      </c>
    </row>
    <row r="75" spans="1:10">
      <c r="A75" s="439">
        <v>45818</v>
      </c>
      <c r="B75" s="8" t="str">
        <v>RATCHASIMA P.D.C. CO., LTD.</v>
      </c>
      <c r="C75" s="8" t="str">
        <v>Distributor</v>
      </c>
      <c r="D75" s="8" t="str">
        <v>RATCHASIMA PDC</v>
      </c>
      <c r="E75" s="8" t="str">
        <v>CM</v>
      </c>
      <c r="F75" s="8" t="str">
        <v>CM_MN</v>
      </c>
      <c r="G75" s="295">
        <v>0</v>
      </c>
      <c r="H75" s="295">
        <v>2500</v>
      </c>
      <c r="I75" t="str">
        <f>_xlfn.IFNA(VLOOKUP(B75,T_DistName[],3,FALSE),"")</f>
        <v>S504</v>
      </c>
      <c r="J75" t="str">
        <f t="shared" si="1"/>
        <v>S504CM_MN</v>
      </c>
    </row>
    <row r="76" spans="1:10">
      <c r="A76" s="439">
        <v>45818</v>
      </c>
      <c r="B76" s="8" t="str">
        <v>RATCHASIMA P.D.C. CO., LTD.</v>
      </c>
      <c r="C76" s="8" t="str">
        <v>Distributor</v>
      </c>
      <c r="D76" s="8" t="str">
        <v>RATCHASIMA PDC</v>
      </c>
      <c r="E76" s="8" t="str">
        <v>CM</v>
      </c>
      <c r="F76" s="8" t="str">
        <v>CM_FF</v>
      </c>
      <c r="G76" s="295">
        <v>0</v>
      </c>
      <c r="H76" s="295">
        <v>8500</v>
      </c>
      <c r="I76" t="str">
        <f>_xlfn.IFNA(VLOOKUP(B76,T_DistName[],3,FALSE),"")</f>
        <v>S504</v>
      </c>
      <c r="J76" t="str">
        <f t="shared" si="1"/>
        <v>S504CM_FF</v>
      </c>
    </row>
    <row r="77" spans="1:10">
      <c r="A77" s="439">
        <v>45818</v>
      </c>
      <c r="B77" s="8" t="str">
        <v>RATCHASIMA P.D.C. CO., LTD.</v>
      </c>
      <c r="C77" s="8" t="str">
        <v>Distributor</v>
      </c>
      <c r="D77" s="8" t="str">
        <v>RATCHASIMA PDC</v>
      </c>
      <c r="E77" s="8" t="str">
        <v>CMHD</v>
      </c>
      <c r="F77" s="8" t="str">
        <v>CMHD_YL</v>
      </c>
      <c r="G77" s="295">
        <v>0</v>
      </c>
      <c r="H77" s="295">
        <v>6000</v>
      </c>
      <c r="I77" t="str">
        <f>_xlfn.IFNA(VLOOKUP(B77,T_DistName[],3,FALSE),"")</f>
        <v>S504</v>
      </c>
      <c r="J77" t="str">
        <f t="shared" si="1"/>
        <v>S504CMHD_YL</v>
      </c>
    </row>
    <row r="78" spans="1:10">
      <c r="A78" s="439">
        <v>45818</v>
      </c>
      <c r="B78" s="8" t="str">
        <v>RATCHASIMA P.D.C. CO., LTD.</v>
      </c>
      <c r="C78" s="8" t="str">
        <v>Distributor</v>
      </c>
      <c r="D78" s="8" t="str">
        <v>RATCHASIMA PDC</v>
      </c>
      <c r="E78" s="8" t="str">
        <v>CMHD</v>
      </c>
      <c r="F78" s="8" t="str">
        <v>CMHD_GR</v>
      </c>
      <c r="G78" s="295">
        <v>0</v>
      </c>
      <c r="H78" s="295">
        <v>1250</v>
      </c>
      <c r="I78" t="str">
        <f>_xlfn.IFNA(VLOOKUP(B78,T_DistName[],3,FALSE),"")</f>
        <v>S504</v>
      </c>
      <c r="J78" t="str">
        <f t="shared" si="1"/>
        <v>S504CMHD_GR</v>
      </c>
    </row>
    <row r="79" spans="1:10">
      <c r="A79" s="439">
        <v>45818</v>
      </c>
      <c r="B79" s="8" t="str">
        <v>SOR.CHAROEN SUPPLY 2018 LIMITED</v>
      </c>
      <c r="C79" s="8" t="str">
        <v>Distributor</v>
      </c>
      <c r="D79" s="8" t="str">
        <v>SOR CHAROEN</v>
      </c>
      <c r="E79" s="8" t="str">
        <v>MV</v>
      </c>
      <c r="F79" s="8" t="str">
        <v>MV_SB</v>
      </c>
      <c r="G79" s="295">
        <v>0</v>
      </c>
      <c r="H79" s="295">
        <v>500</v>
      </c>
      <c r="I79" t="str">
        <f>_xlfn.IFNA(VLOOKUP(B79,T_DistName[],3,FALSE),"")</f>
        <v>S401</v>
      </c>
      <c r="J79" t="str">
        <f t="shared" si="1"/>
        <v>S401MV_SB</v>
      </c>
    </row>
    <row r="80" spans="1:10">
      <c r="A80" s="439">
        <v>45818</v>
      </c>
      <c r="B80" s="8" t="str">
        <v>SOR.CHAROEN SUPPLY 2018 LIMITED</v>
      </c>
      <c r="C80" s="8" t="str">
        <v>Distributor</v>
      </c>
      <c r="D80" s="8" t="str">
        <v>SOR CHAROEN</v>
      </c>
      <c r="E80" s="8" t="str">
        <v>WICO</v>
      </c>
      <c r="F80" s="8" t="str">
        <v>WICO_RE</v>
      </c>
      <c r="G80" s="295">
        <v>0</v>
      </c>
      <c r="H80" s="295">
        <v>4000</v>
      </c>
      <c r="I80" t="str">
        <f>_xlfn.IFNA(VLOOKUP(B80,T_DistName[],3,FALSE),"")</f>
        <v>S401</v>
      </c>
      <c r="J80" t="str">
        <f t="shared" si="1"/>
        <v>S401WICO_RE</v>
      </c>
    </row>
    <row r="81" spans="1:10">
      <c r="A81" s="439">
        <v>45818</v>
      </c>
      <c r="B81" s="8" t="str">
        <v>SOR.CHAROEN SUPPLY 2018 LIMITED</v>
      </c>
      <c r="C81" s="8" t="str">
        <v>Distributor</v>
      </c>
      <c r="D81" s="8" t="str">
        <v>SOR CHAROEN</v>
      </c>
      <c r="E81" s="8" t="str">
        <v>CM</v>
      </c>
      <c r="F81" s="8" t="str">
        <v>CM_FF</v>
      </c>
      <c r="G81" s="295">
        <v>0</v>
      </c>
      <c r="H81" s="295">
        <v>5000</v>
      </c>
      <c r="I81" t="str">
        <f>_xlfn.IFNA(VLOOKUP(B81,T_DistName[],3,FALSE),"")</f>
        <v>S401</v>
      </c>
      <c r="J81" t="str">
        <f t="shared" si="1"/>
        <v>S401CM_FF</v>
      </c>
    </row>
    <row r="82" spans="1:10">
      <c r="A82" s="439">
        <v>45818</v>
      </c>
      <c r="B82" s="8" t="str">
        <v>SOR.CHAROEN SUPPLY 2018 LIMITED</v>
      </c>
      <c r="C82" s="8" t="str">
        <v>Distributor</v>
      </c>
      <c r="D82" s="8" t="str">
        <v>SOR CHAROEN</v>
      </c>
      <c r="E82" s="8" t="str">
        <v>CMHD</v>
      </c>
      <c r="F82" s="8" t="str">
        <v>CMHD_YL</v>
      </c>
      <c r="G82" s="295">
        <v>0</v>
      </c>
      <c r="H82" s="295">
        <v>1500</v>
      </c>
      <c r="I82" t="str">
        <f>_xlfn.IFNA(VLOOKUP(B82,T_DistName[],3,FALSE),"")</f>
        <v>S401</v>
      </c>
      <c r="J82" t="str">
        <f t="shared" si="1"/>
        <v>S401CMHD_YL</v>
      </c>
    </row>
    <row r="83" spans="1:10">
      <c r="A83" s="439">
        <v>45818</v>
      </c>
      <c r="B83" s="8" t="str">
        <v>SAMSUB DISTRIBUTOR LIMITED</v>
      </c>
      <c r="C83" s="8" t="str">
        <v>Distributor</v>
      </c>
      <c r="D83" s="8" t="str">
        <v>SAMSUB</v>
      </c>
      <c r="E83" s="8" t="str">
        <v>WICO</v>
      </c>
      <c r="F83" s="8" t="str">
        <v>WICO_RE</v>
      </c>
      <c r="G83" s="295">
        <v>0</v>
      </c>
      <c r="H83" s="295">
        <v>500</v>
      </c>
      <c r="I83" t="str">
        <f>_xlfn.IFNA(VLOOKUP(B83,T_DistName[],3,FALSE),"")</f>
        <v>S201</v>
      </c>
      <c r="J83" t="str">
        <f t="shared" si="1"/>
        <v>S201WICO_RE</v>
      </c>
    </row>
    <row r="84" spans="1:10">
      <c r="A84" s="439">
        <v>45818</v>
      </c>
      <c r="B84" s="8" t="str">
        <v>SAMSUB DISTRIBUTOR LIMITED</v>
      </c>
      <c r="C84" s="8" t="str">
        <v>Distributor</v>
      </c>
      <c r="D84" s="8" t="str">
        <v>SAMSUB</v>
      </c>
      <c r="E84" s="8" t="str">
        <v>WICO</v>
      </c>
      <c r="F84" s="8" t="str">
        <v>WICO_BL</v>
      </c>
      <c r="G84" s="295">
        <v>0</v>
      </c>
      <c r="H84" s="295">
        <v>500</v>
      </c>
      <c r="I84" t="str">
        <f>_xlfn.IFNA(VLOOKUP(B84,T_DistName[],3,FALSE),"")</f>
        <v>S201</v>
      </c>
      <c r="J84" t="str">
        <f t="shared" si="1"/>
        <v>S201WICO_BL</v>
      </c>
    </row>
    <row r="85" spans="1:10">
      <c r="A85" s="439">
        <v>45818</v>
      </c>
      <c r="B85" s="8" t="str">
        <v>SAMSUB DISTRIBUTOR LIMITED</v>
      </c>
      <c r="C85" s="8" t="str">
        <v>Distributor</v>
      </c>
      <c r="D85" s="8" t="str">
        <v>SAMSUB</v>
      </c>
      <c r="E85" s="8" t="str">
        <v>WICO</v>
      </c>
      <c r="F85" s="8" t="str">
        <v>WICO_GR</v>
      </c>
      <c r="G85" s="295">
        <v>0</v>
      </c>
      <c r="H85" s="295">
        <v>1000</v>
      </c>
      <c r="I85" t="str">
        <f>_xlfn.IFNA(VLOOKUP(B85,T_DistName[],3,FALSE),"")</f>
        <v>S201</v>
      </c>
      <c r="J85" t="str">
        <f t="shared" si="1"/>
        <v>S201WICO_GR</v>
      </c>
    </row>
    <row r="86" spans="1:10">
      <c r="A86" s="439">
        <v>45818</v>
      </c>
      <c r="B86" s="8" t="str">
        <v>SAMSUB DISTRIBUTOR LIMITED</v>
      </c>
      <c r="C86" s="8" t="str">
        <v>Distributor</v>
      </c>
      <c r="D86" s="8" t="str">
        <v>SAMSUB</v>
      </c>
      <c r="E86" s="8" t="str">
        <v>CM</v>
      </c>
      <c r="F86" s="8" t="str">
        <v>CM_FF</v>
      </c>
      <c r="G86" s="295">
        <v>0</v>
      </c>
      <c r="H86" s="295">
        <v>4000</v>
      </c>
      <c r="I86" t="str">
        <f>_xlfn.IFNA(VLOOKUP(B86,T_DistName[],3,FALSE),"")</f>
        <v>S201</v>
      </c>
      <c r="J86" t="str">
        <f t="shared" si="1"/>
        <v>S201CM_FF</v>
      </c>
    </row>
    <row r="87" spans="1:10">
      <c r="A87" s="439">
        <v>45818</v>
      </c>
      <c r="B87" s="8" t="str">
        <v>SAMSUB DISTRIBUTOR LIMITED</v>
      </c>
      <c r="C87" s="8" t="str">
        <v>Distributor</v>
      </c>
      <c r="D87" s="8" t="str">
        <v>SAMSUB</v>
      </c>
      <c r="E87" s="8" t="str">
        <v>CM</v>
      </c>
      <c r="F87" s="8" t="str">
        <v>CM_BL</v>
      </c>
      <c r="G87" s="295">
        <v>0</v>
      </c>
      <c r="H87" s="295">
        <v>500</v>
      </c>
      <c r="I87" t="str">
        <f>_xlfn.IFNA(VLOOKUP(B87,T_DistName[],3,FALSE),"")</f>
        <v>S201</v>
      </c>
      <c r="J87" t="str">
        <f t="shared" si="1"/>
        <v>S201CM_BL</v>
      </c>
    </row>
    <row r="88" spans="1:10">
      <c r="A88" s="439">
        <v>45818</v>
      </c>
      <c r="B88" s="8" t="str">
        <v>SAMSUB DISTRIBUTOR LIMITED</v>
      </c>
      <c r="C88" s="8" t="str">
        <v>Distributor</v>
      </c>
      <c r="D88" s="8" t="str">
        <v>SAMSUB</v>
      </c>
      <c r="E88" s="8" t="str">
        <v>CM</v>
      </c>
      <c r="F88" s="8" t="str">
        <v>CM_MN</v>
      </c>
      <c r="G88" s="295">
        <v>0</v>
      </c>
      <c r="H88" s="295">
        <v>1500</v>
      </c>
      <c r="I88" t="str">
        <f>_xlfn.IFNA(VLOOKUP(B88,T_DistName[],3,FALSE),"")</f>
        <v>S201</v>
      </c>
      <c r="J88" t="str">
        <f t="shared" si="1"/>
        <v>S201CM_MN</v>
      </c>
    </row>
    <row r="89" spans="1:10">
      <c r="A89" s="439">
        <v>45818</v>
      </c>
      <c r="B89" s="8" t="str">
        <v>SAMSUB DISTRIBUTOR LIMITED</v>
      </c>
      <c r="C89" s="8" t="str">
        <v>Distributor</v>
      </c>
      <c r="D89" s="8" t="str">
        <v>SAMSUB</v>
      </c>
      <c r="E89" s="8" t="str">
        <v>CMHD</v>
      </c>
      <c r="F89" s="8" t="str">
        <v>CMHD_YL</v>
      </c>
      <c r="G89" s="295">
        <v>0</v>
      </c>
      <c r="H89" s="295">
        <v>2500</v>
      </c>
      <c r="I89" t="str">
        <f>_xlfn.IFNA(VLOOKUP(B89,T_DistName[],3,FALSE),"")</f>
        <v>S201</v>
      </c>
      <c r="J89" t="str">
        <f t="shared" si="1"/>
        <v>S201CMHD_YL</v>
      </c>
    </row>
    <row r="90" spans="1:10">
      <c r="A90" s="439">
        <v>45818</v>
      </c>
      <c r="B90" s="8" t="str">
        <v>SAMSUB DISTRIBUTOR LIMITED</v>
      </c>
      <c r="C90" s="8" t="str">
        <v>Distributor</v>
      </c>
      <c r="D90" s="8" t="str">
        <v>SAMSUB</v>
      </c>
      <c r="E90" s="8" t="str">
        <v>CMHD</v>
      </c>
      <c r="F90" s="8" t="str">
        <v>CMHD_GR</v>
      </c>
      <c r="G90" s="295">
        <v>0</v>
      </c>
      <c r="H90" s="295">
        <v>1500</v>
      </c>
      <c r="I90" t="str">
        <f>_xlfn.IFNA(VLOOKUP(B90,T_DistName[],3,FALSE),"")</f>
        <v>S201</v>
      </c>
      <c r="J90" t="str">
        <f t="shared" si="1"/>
        <v>S201CMHD_GR</v>
      </c>
    </row>
    <row r="91" spans="1:10">
      <c r="A91" s="439">
        <v>45819</v>
      </c>
      <c r="B91" s="8" t="str">
        <v>NATTHAKORN DISTRIBUTION CO., LTD.</v>
      </c>
      <c r="C91" s="8" t="str">
        <v>Distributor</v>
      </c>
      <c r="D91" s="8" t="str">
        <v>NATTHAKORN</v>
      </c>
      <c r="E91" s="8" t="str">
        <v>MV</v>
      </c>
      <c r="F91" s="8" t="str">
        <v>MV_OB</v>
      </c>
      <c r="G91" s="295">
        <v>0</v>
      </c>
      <c r="H91" s="295">
        <v>150</v>
      </c>
      <c r="I91" t="str">
        <f>_xlfn.IFNA(VLOOKUP(B91,T_DistName[],3,FALSE),"")</f>
        <v>S102</v>
      </c>
      <c r="J91" t="str">
        <f t="shared" si="1"/>
        <v>S102MV_OB</v>
      </c>
    </row>
    <row r="92" spans="1:10">
      <c r="A92" s="439">
        <v>45819</v>
      </c>
      <c r="B92" s="8" t="str">
        <v>NATTHAKORN DISTRIBUTION CO., LTD.</v>
      </c>
      <c r="C92" s="8" t="str">
        <v>Distributor</v>
      </c>
      <c r="D92" s="8" t="str">
        <v>NATTHAKORN</v>
      </c>
      <c r="E92" s="8" t="str">
        <v>MV</v>
      </c>
      <c r="F92" s="8" t="str">
        <v>MV_OPT</v>
      </c>
      <c r="G92" s="295">
        <v>0</v>
      </c>
      <c r="H92" s="295">
        <v>200</v>
      </c>
      <c r="I92" t="str">
        <f>_xlfn.IFNA(VLOOKUP(B92,T_DistName[],3,FALSE),"")</f>
        <v>S102</v>
      </c>
      <c r="J92" t="str">
        <f t="shared" si="1"/>
        <v>S102MV_OPT</v>
      </c>
    </row>
    <row r="93" spans="1:10">
      <c r="A93" s="439">
        <v>45819</v>
      </c>
      <c r="B93" s="8" t="str">
        <v>NATTHAKORN DISTRIBUTION CO., LTD.</v>
      </c>
      <c r="C93" s="8" t="str">
        <v>Distributor</v>
      </c>
      <c r="D93" s="8" t="str">
        <v>NATTHAKORN</v>
      </c>
      <c r="E93" s="8" t="str">
        <v>CM</v>
      </c>
      <c r="F93" s="8" t="str">
        <v>CM_FF</v>
      </c>
      <c r="G93" s="295">
        <v>0</v>
      </c>
      <c r="H93" s="295">
        <v>10150</v>
      </c>
      <c r="I93" t="str">
        <f>_xlfn.IFNA(VLOOKUP(B93,T_DistName[],3,FALSE),"")</f>
        <v>S102</v>
      </c>
      <c r="J93" t="str">
        <f t="shared" si="1"/>
        <v>S102CM_FF</v>
      </c>
    </row>
    <row r="94" spans="1:10">
      <c r="A94" s="439">
        <v>45819</v>
      </c>
      <c r="B94" s="8" t="str">
        <v>NATTHAKORN DISTRIBUTION CO., LTD.</v>
      </c>
      <c r="C94" s="8" t="str">
        <v>Distributor</v>
      </c>
      <c r="D94" s="8" t="str">
        <v>NATTHAKORN</v>
      </c>
      <c r="E94" s="8" t="str">
        <v>CM</v>
      </c>
      <c r="F94" s="8" t="str">
        <v>CM_MN</v>
      </c>
      <c r="G94" s="295">
        <v>0</v>
      </c>
      <c r="H94" s="295">
        <v>2000</v>
      </c>
      <c r="I94" t="str">
        <f>_xlfn.IFNA(VLOOKUP(B94,T_DistName[],3,FALSE),"")</f>
        <v>S102</v>
      </c>
      <c r="J94" t="str">
        <f t="shared" si="1"/>
        <v>S102CM_MN</v>
      </c>
    </row>
    <row r="95" spans="1:10">
      <c r="A95" s="439">
        <v>45819</v>
      </c>
      <c r="B95" s="8" t="str">
        <v>NATTHAKORN DISTRIBUTION CO., LTD.</v>
      </c>
      <c r="C95" s="8" t="str">
        <v>Distributor</v>
      </c>
      <c r="D95" s="8" t="str">
        <v>NATTHAKORN</v>
      </c>
      <c r="E95" s="8" t="str">
        <v>CMHD</v>
      </c>
      <c r="F95" s="8" t="str">
        <v>CMHD_YL</v>
      </c>
      <c r="G95" s="295">
        <v>0</v>
      </c>
      <c r="H95" s="295">
        <v>2500</v>
      </c>
      <c r="I95" t="str">
        <f>_xlfn.IFNA(VLOOKUP(B95,T_DistName[],3,FALSE),"")</f>
        <v>S102</v>
      </c>
      <c r="J95" t="str">
        <f t="shared" si="1"/>
        <v>S102CMHD_YL</v>
      </c>
    </row>
    <row r="96" spans="1:10">
      <c r="A96" s="439">
        <v>45820</v>
      </c>
      <c r="B96" s="8" t="str">
        <v>SOR.CHAROEN SUPPLY 2018 LIMITED</v>
      </c>
      <c r="C96" s="8" t="str">
        <v>Distributor</v>
      </c>
      <c r="D96" s="8" t="str">
        <v>SOR CHAROEN</v>
      </c>
      <c r="E96" s="8" t="str">
        <v>MV</v>
      </c>
      <c r="F96" s="8" t="str">
        <v>MV_SB</v>
      </c>
      <c r="G96" s="295">
        <v>0</v>
      </c>
      <c r="H96" s="295">
        <v>250</v>
      </c>
      <c r="I96" t="str">
        <f>_xlfn.IFNA(VLOOKUP(B96,T_DistName[],3,FALSE),"")</f>
        <v>S401</v>
      </c>
      <c r="J96" t="str">
        <f t="shared" si="1"/>
        <v>S401MV_SB</v>
      </c>
    </row>
    <row r="97" spans="1:10">
      <c r="A97" s="439">
        <v>45820</v>
      </c>
      <c r="B97" s="8" t="str">
        <v>SOR.CHAROEN SUPPLY 2018 LIMITED</v>
      </c>
      <c r="C97" s="8" t="str">
        <v>Distributor</v>
      </c>
      <c r="D97" s="8" t="str">
        <v>SOR CHAROEN</v>
      </c>
      <c r="E97" s="8" t="str">
        <v>WICO</v>
      </c>
      <c r="F97" s="8" t="str">
        <v>WICO_RE</v>
      </c>
      <c r="G97" s="295">
        <v>0</v>
      </c>
      <c r="H97" s="295">
        <v>3250</v>
      </c>
      <c r="I97" t="str">
        <f>_xlfn.IFNA(VLOOKUP(B97,T_DistName[],3,FALSE),"")</f>
        <v>S401</v>
      </c>
      <c r="J97" t="str">
        <f t="shared" si="1"/>
        <v>S401WICO_RE</v>
      </c>
    </row>
    <row r="98" spans="1:10">
      <c r="A98" s="439">
        <v>45820</v>
      </c>
      <c r="B98" s="8" t="str">
        <v>SOR.CHAROEN SUPPLY 2018 LIMITED</v>
      </c>
      <c r="C98" s="8" t="str">
        <v>Distributor</v>
      </c>
      <c r="D98" s="8" t="str">
        <v>SOR CHAROEN</v>
      </c>
      <c r="E98" s="8" t="str">
        <v>WICO</v>
      </c>
      <c r="F98" s="8" t="str">
        <v>WICO_BL</v>
      </c>
      <c r="G98" s="295">
        <v>0</v>
      </c>
      <c r="H98" s="295">
        <v>2000</v>
      </c>
      <c r="I98" t="str">
        <f>_xlfn.IFNA(VLOOKUP(B98,T_DistName[],3,FALSE),"")</f>
        <v>S401</v>
      </c>
      <c r="J98" t="str">
        <f t="shared" si="1"/>
        <v>S401WICO_BL</v>
      </c>
    </row>
    <row r="99" spans="1:10">
      <c r="A99" s="439">
        <v>45820</v>
      </c>
      <c r="B99" s="8" t="str">
        <v>SOR.CHAROEN SUPPLY 2018 LIMITED</v>
      </c>
      <c r="C99" s="8" t="str">
        <v>Distributor</v>
      </c>
      <c r="D99" s="8" t="str">
        <v>SOR CHAROEN</v>
      </c>
      <c r="E99" s="8" t="str">
        <v>WICO</v>
      </c>
      <c r="F99" s="8" t="str">
        <v>WICO_GR</v>
      </c>
      <c r="G99" s="295">
        <v>0</v>
      </c>
      <c r="H99" s="295">
        <v>3000</v>
      </c>
      <c r="I99" t="str">
        <f>_xlfn.IFNA(VLOOKUP(B99,T_DistName[],3,FALSE),"")</f>
        <v>S401</v>
      </c>
      <c r="J99" t="str">
        <f t="shared" si="1"/>
        <v>S401WICO_GR</v>
      </c>
    </row>
    <row r="100" spans="1:10">
      <c r="A100" s="439">
        <v>45820</v>
      </c>
      <c r="B100" s="8" t="str">
        <v>SOR.CHAROEN SUPPLY 2018 LIMITED</v>
      </c>
      <c r="C100" s="8" t="str">
        <v>Distributor</v>
      </c>
      <c r="D100" s="8" t="str">
        <v>SOR CHAROEN</v>
      </c>
      <c r="E100" s="8" t="str">
        <v>CM</v>
      </c>
      <c r="F100" s="8" t="str">
        <v>CM_FF</v>
      </c>
      <c r="G100" s="295">
        <v>0</v>
      </c>
      <c r="H100" s="295">
        <v>10000</v>
      </c>
      <c r="I100" t="str">
        <f>_xlfn.IFNA(VLOOKUP(B100,T_DistName[],3,FALSE),"")</f>
        <v>S401</v>
      </c>
      <c r="J100" t="str">
        <f t="shared" si="1"/>
        <v>S401CM_FF</v>
      </c>
    </row>
    <row r="101" spans="1:10">
      <c r="A101" s="439">
        <v>45820</v>
      </c>
      <c r="B101" s="8" t="str">
        <v>SOR.CHAROEN SUPPLY 2018 LIMITED</v>
      </c>
      <c r="C101" s="8" t="str">
        <v>Distributor</v>
      </c>
      <c r="D101" s="8" t="str">
        <v>SOR CHAROEN</v>
      </c>
      <c r="E101" s="8" t="str">
        <v>CM</v>
      </c>
      <c r="F101" s="8" t="str">
        <v>CM_BL</v>
      </c>
      <c r="G101" s="295">
        <v>0</v>
      </c>
      <c r="H101" s="295">
        <v>1000</v>
      </c>
      <c r="I101" t="str">
        <f>_xlfn.IFNA(VLOOKUP(B101,T_DistName[],3,FALSE),"")</f>
        <v>S401</v>
      </c>
      <c r="J101" t="str">
        <f t="shared" si="1"/>
        <v>S401CM_BL</v>
      </c>
    </row>
    <row r="102" spans="1:10">
      <c r="A102" s="439">
        <v>45820</v>
      </c>
      <c r="B102" s="8" t="str">
        <v>SOR.CHAROEN SUPPLY 2018 LIMITED</v>
      </c>
      <c r="C102" s="8" t="str">
        <v>Distributor</v>
      </c>
      <c r="D102" s="8" t="str">
        <v>SOR CHAROEN</v>
      </c>
      <c r="E102" s="8" t="str">
        <v>CM</v>
      </c>
      <c r="F102" s="8" t="str">
        <v>CM_MN</v>
      </c>
      <c r="G102" s="295">
        <v>0</v>
      </c>
      <c r="H102" s="295">
        <v>1000</v>
      </c>
      <c r="I102" t="str">
        <f>_xlfn.IFNA(VLOOKUP(B102,T_DistName[],3,FALSE),"")</f>
        <v>S401</v>
      </c>
      <c r="J102" t="str">
        <f t="shared" si="1"/>
        <v>S401CM_MN</v>
      </c>
    </row>
    <row r="103" spans="1:10">
      <c r="A103" s="439">
        <v>45820</v>
      </c>
      <c r="B103" s="8" t="str">
        <v>SOR.CHAROEN SUPPLY 2018 LIMITED</v>
      </c>
      <c r="C103" s="8" t="str">
        <v>Distributor</v>
      </c>
      <c r="D103" s="8" t="str">
        <v>SOR CHAROEN</v>
      </c>
      <c r="E103" s="8" t="str">
        <v>CMHD</v>
      </c>
      <c r="F103" s="8" t="str">
        <v>CMHD_YL</v>
      </c>
      <c r="G103" s="295">
        <v>0</v>
      </c>
      <c r="H103" s="295">
        <v>8000</v>
      </c>
      <c r="I103" t="str">
        <f>_xlfn.IFNA(VLOOKUP(B103,T_DistName[],3,FALSE),"")</f>
        <v>S401</v>
      </c>
      <c r="J103" t="str">
        <f t="shared" si="1"/>
        <v>S401CMHD_YL</v>
      </c>
    </row>
    <row r="104" spans="1:10">
      <c r="A104" s="439">
        <v>45820</v>
      </c>
      <c r="B104" s="8" t="str">
        <v>M PROSPER CO., LTD.</v>
      </c>
      <c r="C104" s="8" t="str">
        <v>Distributor</v>
      </c>
      <c r="D104" s="8" t="str">
        <v>M PROSPER</v>
      </c>
      <c r="E104" s="8" t="str">
        <v>MV</v>
      </c>
      <c r="F104" s="8" t="str">
        <v>MV_SB</v>
      </c>
      <c r="G104" s="295">
        <v>0</v>
      </c>
      <c r="H104" s="295">
        <v>100</v>
      </c>
      <c r="I104" t="str">
        <f>_xlfn.IFNA(VLOOKUP(B104,T_DistName[],3,FALSE),"")</f>
        <v>S104</v>
      </c>
      <c r="J104" t="str">
        <f t="shared" si="1"/>
        <v>S104MV_SB</v>
      </c>
    </row>
    <row r="105" spans="1:10">
      <c r="A105" s="439">
        <v>45820</v>
      </c>
      <c r="B105" s="8" t="str">
        <v>M PROSPER CO., LTD.</v>
      </c>
      <c r="C105" s="8" t="str">
        <v>Distributor</v>
      </c>
      <c r="D105" s="8" t="str">
        <v>M PROSPER</v>
      </c>
      <c r="E105" s="8" t="str">
        <v>MV</v>
      </c>
      <c r="F105" s="8" t="str">
        <v>MV_OPT</v>
      </c>
      <c r="G105" s="295">
        <v>0</v>
      </c>
      <c r="H105" s="295">
        <v>50</v>
      </c>
      <c r="I105" t="str">
        <f>_xlfn.IFNA(VLOOKUP(B105,T_DistName[],3,FALSE),"")</f>
        <v>S104</v>
      </c>
      <c r="J105" t="str">
        <f t="shared" si="1"/>
        <v>S104MV_OPT</v>
      </c>
    </row>
    <row r="106" spans="1:10">
      <c r="A106" s="439">
        <v>45820</v>
      </c>
      <c r="B106" s="8" t="str">
        <v>M PROSPER CO., LTD.</v>
      </c>
      <c r="C106" s="8" t="str">
        <v>Distributor</v>
      </c>
      <c r="D106" s="8" t="str">
        <v>M PROSPER</v>
      </c>
      <c r="E106" s="8" t="str">
        <v>WICO</v>
      </c>
      <c r="F106" s="8" t="str">
        <v>WICO_RE</v>
      </c>
      <c r="G106" s="295">
        <v>0</v>
      </c>
      <c r="H106" s="295">
        <v>1000</v>
      </c>
      <c r="I106" t="str">
        <f>_xlfn.IFNA(VLOOKUP(B106,T_DistName[],3,FALSE),"")</f>
        <v>S104</v>
      </c>
      <c r="J106" t="str">
        <f t="shared" si="1"/>
        <v>S104WICO_RE</v>
      </c>
    </row>
    <row r="107" spans="1:10">
      <c r="A107" s="439">
        <v>45820</v>
      </c>
      <c r="B107" s="8" t="str">
        <v>M PROSPER CO., LTD.</v>
      </c>
      <c r="C107" s="8" t="str">
        <v>Distributor</v>
      </c>
      <c r="D107" s="8" t="str">
        <v>M PROSPER</v>
      </c>
      <c r="E107" s="8" t="str">
        <v>WICO</v>
      </c>
      <c r="F107" s="8" t="str">
        <v>WICO_BL</v>
      </c>
      <c r="G107" s="295">
        <v>0</v>
      </c>
      <c r="H107" s="295">
        <v>500</v>
      </c>
      <c r="I107" t="str">
        <f>_xlfn.IFNA(VLOOKUP(B107,T_DistName[],3,FALSE),"")</f>
        <v>S104</v>
      </c>
      <c r="J107" t="str">
        <f t="shared" si="1"/>
        <v>S104WICO_BL</v>
      </c>
    </row>
    <row r="108" spans="1:10">
      <c r="A108" s="439">
        <v>45820</v>
      </c>
      <c r="B108" s="8" t="str">
        <v>M PROSPER CO., LTD.</v>
      </c>
      <c r="C108" s="8" t="str">
        <v>Distributor</v>
      </c>
      <c r="D108" s="8" t="str">
        <v>M PROSPER</v>
      </c>
      <c r="E108" s="8" t="str">
        <v>WICO</v>
      </c>
      <c r="F108" s="8" t="str">
        <v>WICO_GR</v>
      </c>
      <c r="G108" s="295">
        <v>0</v>
      </c>
      <c r="H108" s="295">
        <v>1000</v>
      </c>
      <c r="I108" t="str">
        <f>_xlfn.IFNA(VLOOKUP(B108,T_DistName[],3,FALSE),"")</f>
        <v>S104</v>
      </c>
      <c r="J108" t="str">
        <f t="shared" si="1"/>
        <v>S104WICO_GR</v>
      </c>
    </row>
    <row r="109" spans="1:10">
      <c r="A109" s="439">
        <v>45820</v>
      </c>
      <c r="B109" s="8" t="str">
        <v>M PROSPER CO., LTD.</v>
      </c>
      <c r="C109" s="8" t="str">
        <v>Distributor</v>
      </c>
      <c r="D109" s="8" t="str">
        <v>M PROSPER</v>
      </c>
      <c r="E109" s="8" t="str">
        <v>CM</v>
      </c>
      <c r="F109" s="8" t="str">
        <v>CM_FF</v>
      </c>
      <c r="G109" s="295">
        <v>0</v>
      </c>
      <c r="H109" s="295">
        <v>13000</v>
      </c>
      <c r="I109" t="str">
        <f>_xlfn.IFNA(VLOOKUP(B109,T_DistName[],3,FALSE),"")</f>
        <v>S104</v>
      </c>
      <c r="J109" t="str">
        <f t="shared" si="1"/>
        <v>S104CM_FF</v>
      </c>
    </row>
    <row r="110" spans="1:10">
      <c r="A110" s="439">
        <v>45820</v>
      </c>
      <c r="B110" s="8" t="str">
        <v>M PROSPER CO., LTD.</v>
      </c>
      <c r="C110" s="8" t="str">
        <v>Distributor</v>
      </c>
      <c r="D110" s="8" t="str">
        <v>M PROSPER</v>
      </c>
      <c r="E110" s="8" t="str">
        <v>CM</v>
      </c>
      <c r="F110" s="8" t="str">
        <v>CM_BL</v>
      </c>
      <c r="G110" s="295">
        <v>0</v>
      </c>
      <c r="H110" s="295">
        <v>1500</v>
      </c>
      <c r="I110" t="str">
        <f>_xlfn.IFNA(VLOOKUP(B110,T_DistName[],3,FALSE),"")</f>
        <v>S104</v>
      </c>
      <c r="J110" t="str">
        <f t="shared" si="1"/>
        <v>S104CM_BL</v>
      </c>
    </row>
    <row r="111" spans="1:10">
      <c r="A111" s="439">
        <v>45820</v>
      </c>
      <c r="B111" s="8" t="str">
        <v>M PROSPER CO., LTD.</v>
      </c>
      <c r="C111" s="8" t="str">
        <v>Distributor</v>
      </c>
      <c r="D111" s="8" t="str">
        <v>M PROSPER</v>
      </c>
      <c r="E111" s="8" t="str">
        <v>CMHD</v>
      </c>
      <c r="F111" s="8" t="str">
        <v>CMHD_YL</v>
      </c>
      <c r="G111" s="295">
        <v>0</v>
      </c>
      <c r="H111" s="295">
        <v>3000</v>
      </c>
      <c r="I111" t="str">
        <f>_xlfn.IFNA(VLOOKUP(B111,T_DistName[],3,FALSE),"")</f>
        <v>S104</v>
      </c>
      <c r="J111" t="str">
        <f t="shared" si="1"/>
        <v>S104CMHD_YL</v>
      </c>
    </row>
    <row r="112" spans="1:10">
      <c r="A112" s="439">
        <v>45820</v>
      </c>
      <c r="B112" t="str">
        <v>RPB Distribution Co., Ltd.</v>
      </c>
      <c r="C112" t="str">
        <v>Distributor</v>
      </c>
      <c r="D112" t="str">
        <v>RPB</v>
      </c>
      <c r="E112" t="str">
        <v>WICO</v>
      </c>
      <c r="F112" t="str">
        <v>WICO_GR</v>
      </c>
      <c r="G112" s="295">
        <v>0</v>
      </c>
      <c r="H112" s="295">
        <v>1500</v>
      </c>
      <c r="I112" t="str">
        <f>_xlfn.IFNA(VLOOKUP(B112,T_DistName[],3,FALSE),"")</f>
        <v>S203</v>
      </c>
      <c r="J112" t="str">
        <f t="shared" si="1"/>
        <v>S203WICO_GR</v>
      </c>
    </row>
    <row r="113" spans="1:10">
      <c r="A113" s="439">
        <v>45820</v>
      </c>
      <c r="B113" t="str">
        <v>RPB Distribution Co., Ltd.</v>
      </c>
      <c r="C113" t="str">
        <v>Distributor</v>
      </c>
      <c r="D113" t="str">
        <v>RPB</v>
      </c>
      <c r="E113" t="str">
        <v>CMHD</v>
      </c>
      <c r="F113" t="str">
        <v>CMHD_YL</v>
      </c>
      <c r="G113" s="295">
        <v>0</v>
      </c>
      <c r="H113" s="295">
        <v>5500</v>
      </c>
      <c r="I113" t="str">
        <f>_xlfn.IFNA(VLOOKUP(B113,T_DistName[],3,FALSE),"")</f>
        <v>S203</v>
      </c>
      <c r="J113" t="str">
        <f t="shared" si="1"/>
        <v>S203CMHD_YL</v>
      </c>
    </row>
    <row r="114" spans="1:10">
      <c r="A114" s="439">
        <v>45820</v>
      </c>
      <c r="B114" t="str">
        <v>RPB Distribution Co., Ltd.</v>
      </c>
      <c r="C114" t="str">
        <v>Distributor</v>
      </c>
      <c r="D114" t="str">
        <v>RPB</v>
      </c>
      <c r="E114" t="str">
        <v>CMHD</v>
      </c>
      <c r="F114" t="str">
        <v>CMHD_GR</v>
      </c>
      <c r="G114" s="295">
        <v>0</v>
      </c>
      <c r="H114" s="295">
        <v>2250</v>
      </c>
      <c r="I114" t="str">
        <f>_xlfn.IFNA(VLOOKUP(B114,T_DistName[],3,FALSE),"")</f>
        <v>S203</v>
      </c>
      <c r="J114" t="str">
        <f t="shared" si="1"/>
        <v>S203CMHD_GR</v>
      </c>
    </row>
    <row r="115" spans="1:10">
      <c r="A115" s="439">
        <v>45820</v>
      </c>
      <c r="B115" t="str">
        <v>RPB Distribution Co., Ltd.</v>
      </c>
      <c r="C115" t="str">
        <v>Distributor</v>
      </c>
      <c r="D115" t="str">
        <v>RPB</v>
      </c>
      <c r="E115" t="str">
        <v>MV</v>
      </c>
      <c r="F115" t="str">
        <v>MV_OB</v>
      </c>
      <c r="G115" s="295">
        <v>0</v>
      </c>
      <c r="H115" s="295">
        <v>50</v>
      </c>
      <c r="I115" t="str">
        <f>_xlfn.IFNA(VLOOKUP(B115,T_DistName[],3,FALSE),"")</f>
        <v>S203</v>
      </c>
      <c r="J115" t="str">
        <f t="shared" si="1"/>
        <v>S203MV_OB</v>
      </c>
    </row>
    <row r="116" spans="1:10">
      <c r="A116" s="439">
        <v>45820</v>
      </c>
      <c r="B116" t="str">
        <v>RPB Distribution Co., Ltd.</v>
      </c>
      <c r="C116" t="str">
        <v>Distributor</v>
      </c>
      <c r="D116" t="str">
        <v>RPB</v>
      </c>
      <c r="E116" t="str">
        <v>WICO</v>
      </c>
      <c r="F116" t="str">
        <v>WICO_RE</v>
      </c>
      <c r="G116" s="295">
        <v>0</v>
      </c>
      <c r="H116" s="295">
        <v>2500</v>
      </c>
      <c r="I116" t="str">
        <f>_xlfn.IFNA(VLOOKUP(B116,T_DistName[],3,FALSE),"")</f>
        <v>S203</v>
      </c>
      <c r="J116" t="str">
        <f t="shared" si="1"/>
        <v>S203WICO_RE</v>
      </c>
    </row>
    <row r="117" spans="1:10">
      <c r="A117" s="439">
        <v>45820</v>
      </c>
      <c r="B117" t="str">
        <v>RPB Distribution Co., Ltd.</v>
      </c>
      <c r="C117" t="str">
        <v>Distributor</v>
      </c>
      <c r="D117" t="str">
        <v>RPB</v>
      </c>
      <c r="E117" t="str">
        <v>WICO</v>
      </c>
      <c r="F117" t="str">
        <v>WICO_BL</v>
      </c>
      <c r="G117" s="295">
        <v>0</v>
      </c>
      <c r="H117" s="295">
        <v>500</v>
      </c>
      <c r="I117" t="str">
        <f>_xlfn.IFNA(VLOOKUP(B117,T_DistName[],3,FALSE),"")</f>
        <v>S203</v>
      </c>
      <c r="J117" t="str">
        <f t="shared" si="1"/>
        <v>S203WICO_BL</v>
      </c>
    </row>
    <row r="118" spans="1:10">
      <c r="A118" s="439">
        <v>45820</v>
      </c>
      <c r="B118" t="str">
        <v>RPB Distribution Co., Ltd.</v>
      </c>
      <c r="C118" t="str">
        <v>Distributor</v>
      </c>
      <c r="D118" t="str">
        <v>RPB</v>
      </c>
      <c r="E118" t="str">
        <v>CM</v>
      </c>
      <c r="F118" t="str">
        <v>CM_FF</v>
      </c>
      <c r="G118" s="295">
        <v>0</v>
      </c>
      <c r="H118" s="295">
        <v>6700</v>
      </c>
      <c r="I118" t="str">
        <f>_xlfn.IFNA(VLOOKUP(B118,T_DistName[],3,FALSE),"")</f>
        <v>S203</v>
      </c>
      <c r="J118" t="str">
        <f t="shared" si="1"/>
        <v>S203CM_FF</v>
      </c>
    </row>
    <row r="119" spans="1:10">
      <c r="A119" s="439">
        <v>45820</v>
      </c>
      <c r="B119" t="str">
        <v>RPB Distribution Co., Ltd.</v>
      </c>
      <c r="C119" t="str">
        <v>Distributor</v>
      </c>
      <c r="D119" t="str">
        <v>RPB</v>
      </c>
      <c r="E119" t="str">
        <v>CM</v>
      </c>
      <c r="F119" t="str">
        <v>CM_MN</v>
      </c>
      <c r="G119" s="295">
        <v>0</v>
      </c>
      <c r="H119" s="295">
        <v>1000</v>
      </c>
      <c r="I119" t="str">
        <f>_xlfn.IFNA(VLOOKUP(B119,T_DistName[],3,FALSE),"")</f>
        <v>S203</v>
      </c>
      <c r="J119" t="str">
        <f t="shared" si="1"/>
        <v>S203CM_MN</v>
      </c>
    </row>
    <row r="120" spans="1:10">
      <c r="A120" s="439">
        <v>45820</v>
      </c>
      <c r="B120" t="str">
        <v>SERICHAI AS&amp;D CO., LTD.</v>
      </c>
      <c r="C120" t="str">
        <v>Distributor</v>
      </c>
      <c r="D120" t="str">
        <v>SERICHAI</v>
      </c>
      <c r="E120" t="str">
        <v>WICO</v>
      </c>
      <c r="F120" t="str">
        <v>WICO_RE</v>
      </c>
      <c r="G120" s="295">
        <v>0</v>
      </c>
      <c r="H120" s="295">
        <v>6000</v>
      </c>
      <c r="I120" t="str">
        <f>_xlfn.IFNA(VLOOKUP(B120,T_DistName[],3,FALSE),"")</f>
        <v>S202</v>
      </c>
      <c r="J120" t="str">
        <f t="shared" si="1"/>
        <v>S202WICO_RE</v>
      </c>
    </row>
    <row r="121" spans="1:10">
      <c r="A121" s="439">
        <v>45820</v>
      </c>
      <c r="B121" t="str">
        <v>SERICHAI AS&amp;D CO., LTD.</v>
      </c>
      <c r="C121" t="str">
        <v>Distributor</v>
      </c>
      <c r="D121" t="str">
        <v>SERICHAI</v>
      </c>
      <c r="E121" t="str">
        <v>WICO</v>
      </c>
      <c r="F121" t="str">
        <v>WICO_GR</v>
      </c>
      <c r="G121" s="295">
        <v>0</v>
      </c>
      <c r="H121" s="295">
        <v>6000</v>
      </c>
      <c r="I121" t="str">
        <f>_xlfn.IFNA(VLOOKUP(B121,T_DistName[],3,FALSE),"")</f>
        <v>S202</v>
      </c>
      <c r="J121" t="str">
        <f t="shared" si="1"/>
        <v>S202WICO_GR</v>
      </c>
    </row>
    <row r="122" spans="1:10">
      <c r="A122" s="439">
        <v>45820</v>
      </c>
      <c r="B122" t="str">
        <v>SERICHAI AS&amp;D CO., LTD.</v>
      </c>
      <c r="C122" t="str">
        <v>Distributor</v>
      </c>
      <c r="D122" t="str">
        <v>SERICHAI</v>
      </c>
      <c r="E122" t="str">
        <v>CM</v>
      </c>
      <c r="F122" t="str">
        <v>CM_FF</v>
      </c>
      <c r="G122" s="295">
        <v>0</v>
      </c>
      <c r="H122" s="295">
        <v>5500</v>
      </c>
      <c r="I122" t="str">
        <f>_xlfn.IFNA(VLOOKUP(B122,T_DistName[],3,FALSE),"")</f>
        <v>S202</v>
      </c>
      <c r="J122" t="str">
        <f t="shared" si="1"/>
        <v>S202CM_FF</v>
      </c>
    </row>
    <row r="123" spans="1:10">
      <c r="A123" s="439">
        <v>45820</v>
      </c>
      <c r="B123" t="str">
        <v>SERICHAI AS&amp;D CO., LTD.</v>
      </c>
      <c r="C123" t="str">
        <v>Distributor</v>
      </c>
      <c r="D123" t="str">
        <v>SERICHAI</v>
      </c>
      <c r="E123" t="str">
        <v>CM</v>
      </c>
      <c r="F123" t="str">
        <v>CM_BL</v>
      </c>
      <c r="G123" s="295">
        <v>0</v>
      </c>
      <c r="H123" s="295">
        <v>3000</v>
      </c>
      <c r="I123" t="str">
        <f>_xlfn.IFNA(VLOOKUP(B123,T_DistName[],3,FALSE),"")</f>
        <v>S202</v>
      </c>
      <c r="J123" t="str">
        <f t="shared" si="1"/>
        <v>S202CM_BL</v>
      </c>
    </row>
    <row r="124" spans="1:10">
      <c r="A124" s="439">
        <v>45820</v>
      </c>
      <c r="B124" t="str">
        <v>SERICHAI AS&amp;D CO., LTD.</v>
      </c>
      <c r="C124" t="str">
        <v>Distributor</v>
      </c>
      <c r="D124" t="str">
        <v>SERICHAI</v>
      </c>
      <c r="E124" t="str">
        <v>CM</v>
      </c>
      <c r="F124" t="str">
        <v>CM_MN</v>
      </c>
      <c r="G124" s="295">
        <v>0</v>
      </c>
      <c r="H124" s="295">
        <v>5500</v>
      </c>
      <c r="I124" t="str">
        <f>_xlfn.IFNA(VLOOKUP(B124,T_DistName[],3,FALSE),"")</f>
        <v>S202</v>
      </c>
      <c r="J124" t="str">
        <f t="shared" si="1"/>
        <v>S202CM_MN</v>
      </c>
    </row>
    <row r="125" spans="1:10">
      <c r="A125" s="439">
        <v>45820</v>
      </c>
      <c r="B125" t="str">
        <v>SERICHAI AS&amp;D CO., LTD.</v>
      </c>
      <c r="C125" t="str">
        <v>Distributor</v>
      </c>
      <c r="D125" t="str">
        <v>SERICHAI</v>
      </c>
      <c r="E125" t="str">
        <v>CMHD</v>
      </c>
      <c r="F125" t="str">
        <v>CMHD_YL</v>
      </c>
      <c r="G125" s="295">
        <v>0</v>
      </c>
      <c r="H125" s="295">
        <v>1000</v>
      </c>
      <c r="I125" t="str">
        <f>_xlfn.IFNA(VLOOKUP(B125,T_DistName[],3,FALSE),"")</f>
        <v>S202</v>
      </c>
      <c r="J125" t="str">
        <f t="shared" si="1"/>
        <v>S202CMHD_YL</v>
      </c>
    </row>
    <row r="126" spans="1:10">
      <c r="A126" s="439">
        <v>45820</v>
      </c>
      <c r="B126" t="str">
        <v>SERICHAI AS&amp;D CO., LTD.</v>
      </c>
      <c r="C126" t="str">
        <v>Distributor</v>
      </c>
      <c r="D126" t="str">
        <v>SERICHAI</v>
      </c>
      <c r="E126" t="str">
        <v>CMHD</v>
      </c>
      <c r="F126" t="str">
        <v>CMHD_GR</v>
      </c>
      <c r="G126" s="295">
        <v>0</v>
      </c>
      <c r="H126" s="295">
        <v>500</v>
      </c>
      <c r="I126" t="str">
        <f>_xlfn.IFNA(VLOOKUP(B126,T_DistName[],3,FALSE),"")</f>
        <v>S202</v>
      </c>
      <c r="J126" t="str">
        <f t="shared" si="1"/>
        <v>S202CMHD_GR</v>
      </c>
    </row>
    <row r="127" spans="1:10">
      <c r="A127" s="439">
        <v>45820</v>
      </c>
      <c r="B127" t="str">
        <v>SERICHAI AS&amp;D CO., LTD.</v>
      </c>
      <c r="C127" t="str">
        <v>Distributor</v>
      </c>
      <c r="D127" t="str">
        <v>SERICHAI</v>
      </c>
      <c r="E127" t="str">
        <v>MV</v>
      </c>
      <c r="F127" t="str">
        <v>MV_SB</v>
      </c>
      <c r="G127" s="295">
        <v>0</v>
      </c>
      <c r="H127" s="295">
        <v>50</v>
      </c>
      <c r="I127" t="str">
        <f>_xlfn.IFNA(VLOOKUP(B127,T_DistName[],3,FALSE),"")</f>
        <v>S202</v>
      </c>
      <c r="J127" t="str">
        <f t="shared" si="1"/>
        <v>S202MV_SB</v>
      </c>
    </row>
    <row r="128" spans="1:10">
      <c r="A128" s="439">
        <v>45820</v>
      </c>
      <c r="B128" t="str">
        <v>SERICHAI AS&amp;D CO., LTD.</v>
      </c>
      <c r="C128" t="str">
        <v>Distributor</v>
      </c>
      <c r="D128" t="str">
        <v>SERICHAI</v>
      </c>
      <c r="E128" t="str">
        <v>WIKS</v>
      </c>
      <c r="F128" t="str">
        <v>WIKS_BL</v>
      </c>
      <c r="G128" s="295">
        <v>0</v>
      </c>
      <c r="H128" s="295">
        <v>50</v>
      </c>
      <c r="I128" t="str">
        <f>_xlfn.IFNA(VLOOKUP(B128,T_DistName[],3,FALSE),"")</f>
        <v>S202</v>
      </c>
      <c r="J128" t="str">
        <f t="shared" si="1"/>
        <v>S202WIKS_BL</v>
      </c>
    </row>
    <row r="129" spans="1:10">
      <c r="A129" s="439">
        <v>45820</v>
      </c>
      <c r="B129" t="str">
        <v>SERICHAI AS&amp;D CO., LTD.</v>
      </c>
      <c r="C129" t="str">
        <v>Distributor</v>
      </c>
      <c r="D129" t="str">
        <v>SERICHAI</v>
      </c>
      <c r="E129" t="str">
        <v>WICO</v>
      </c>
      <c r="F129" t="str">
        <v>WICO_BL</v>
      </c>
      <c r="G129" s="295">
        <v>0</v>
      </c>
      <c r="H129" s="295">
        <v>4000</v>
      </c>
      <c r="I129" t="str">
        <f>_xlfn.IFNA(VLOOKUP(B129,T_DistName[],3,FALSE),"")</f>
        <v>S202</v>
      </c>
      <c r="J129" t="str">
        <f t="shared" si="1"/>
        <v>S202WICO_BL</v>
      </c>
    </row>
    <row r="130" spans="1:10">
      <c r="A130" s="439">
        <v>45821</v>
      </c>
      <c r="B130" t="str">
        <v>M M BEVERAGE CO., LTD.</v>
      </c>
      <c r="C130" t="str">
        <v>Distributor</v>
      </c>
      <c r="D130" t="str">
        <v>MM BEVERAGE</v>
      </c>
      <c r="E130" t="str">
        <v>MV</v>
      </c>
      <c r="F130" t="str">
        <v>MV_OB</v>
      </c>
      <c r="G130" s="295">
        <v>0</v>
      </c>
      <c r="H130" s="295">
        <v>100</v>
      </c>
      <c r="I130" t="str">
        <f>_xlfn.IFNA(VLOOKUP(B130,T_DistName[],3,FALSE),"")</f>
        <v>S301</v>
      </c>
      <c r="J130" t="str">
        <f t="shared" si="1"/>
        <v>S301MV_OB</v>
      </c>
    </row>
    <row r="131" spans="1:10">
      <c r="A131" s="439">
        <v>45821</v>
      </c>
      <c r="B131" t="str">
        <v>M M BEVERAGE CO., LTD.</v>
      </c>
      <c r="C131" t="str">
        <v>Distributor</v>
      </c>
      <c r="D131" t="str">
        <v>MM BEVERAGE</v>
      </c>
      <c r="E131" t="str">
        <v>MV</v>
      </c>
      <c r="F131" t="str">
        <v>MV_SB</v>
      </c>
      <c r="G131" s="295">
        <v>0</v>
      </c>
      <c r="H131" s="295">
        <v>200</v>
      </c>
      <c r="I131" t="str">
        <f>_xlfn.IFNA(VLOOKUP(B131,T_DistName[],3,FALSE),"")</f>
        <v>S301</v>
      </c>
      <c r="J131" t="str">
        <f t="shared" si="1"/>
        <v>S301MV_SB</v>
      </c>
    </row>
    <row r="132" spans="1:10">
      <c r="A132" s="439">
        <v>45821</v>
      </c>
      <c r="B132" t="str">
        <v>M M BEVERAGE CO., LTD.</v>
      </c>
      <c r="C132" t="str">
        <v>Distributor</v>
      </c>
      <c r="D132" t="str">
        <v>MM BEVERAGE</v>
      </c>
      <c r="E132" t="str">
        <v>WIKS</v>
      </c>
      <c r="F132" t="str">
        <v>WIKS_BL</v>
      </c>
      <c r="G132" s="295">
        <v>0</v>
      </c>
      <c r="H132" s="295">
        <v>200</v>
      </c>
      <c r="I132" t="str">
        <f>_xlfn.IFNA(VLOOKUP(B132,T_DistName[],3,FALSE),"")</f>
        <v>S301</v>
      </c>
      <c r="J132" t="str">
        <f t="shared" ref="J132:J195" si="2">I132&amp;F132</f>
        <v>S301WIKS_BL</v>
      </c>
    </row>
    <row r="133" spans="1:10">
      <c r="A133" s="439">
        <v>45821</v>
      </c>
      <c r="B133" t="str">
        <v>M M BEVERAGE CO., LTD.</v>
      </c>
      <c r="C133" t="str">
        <v>Distributor</v>
      </c>
      <c r="D133" t="str">
        <v>MM BEVERAGE</v>
      </c>
      <c r="E133" t="str">
        <v>WICO</v>
      </c>
      <c r="F133" t="str">
        <v>WICO_RE</v>
      </c>
      <c r="G133" s="295">
        <v>0</v>
      </c>
      <c r="H133" s="295">
        <v>3000</v>
      </c>
      <c r="I133" t="str">
        <f>_xlfn.IFNA(VLOOKUP(B133,T_DistName[],3,FALSE),"")</f>
        <v>S301</v>
      </c>
      <c r="J133" t="str">
        <f t="shared" si="2"/>
        <v>S301WICO_RE</v>
      </c>
    </row>
    <row r="134" spans="1:10">
      <c r="A134" s="439">
        <v>45821</v>
      </c>
      <c r="B134" t="str">
        <v>M M BEVERAGE CO., LTD.</v>
      </c>
      <c r="C134" t="str">
        <v>Distributor</v>
      </c>
      <c r="D134" t="str">
        <v>MM BEVERAGE</v>
      </c>
      <c r="E134" t="str">
        <v>WICO</v>
      </c>
      <c r="F134" t="str">
        <v>WICO_BL</v>
      </c>
      <c r="G134" s="295">
        <v>0</v>
      </c>
      <c r="H134" s="295">
        <v>7000</v>
      </c>
      <c r="I134" t="str">
        <f>_xlfn.IFNA(VLOOKUP(B134,T_DistName[],3,FALSE),"")</f>
        <v>S301</v>
      </c>
      <c r="J134" t="str">
        <f t="shared" si="2"/>
        <v>S301WICO_BL</v>
      </c>
    </row>
    <row r="135" spans="1:10">
      <c r="A135" s="439">
        <v>45821</v>
      </c>
      <c r="B135" t="str">
        <v>M M BEVERAGE CO., LTD.</v>
      </c>
      <c r="C135" t="str">
        <v>Distributor</v>
      </c>
      <c r="D135" t="str">
        <v>MM BEVERAGE</v>
      </c>
      <c r="E135" t="str">
        <v>WICO</v>
      </c>
      <c r="F135" t="str">
        <v>WICO_GR</v>
      </c>
      <c r="G135" s="295">
        <v>0</v>
      </c>
      <c r="H135" s="295">
        <v>500</v>
      </c>
      <c r="I135" t="str">
        <f>_xlfn.IFNA(VLOOKUP(B135,T_DistName[],3,FALSE),"")</f>
        <v>S301</v>
      </c>
      <c r="J135" t="str">
        <f t="shared" si="2"/>
        <v>S301WICO_GR</v>
      </c>
    </row>
    <row r="136" spans="1:10">
      <c r="A136" s="439">
        <v>45821</v>
      </c>
      <c r="B136" t="str">
        <v>M M BEVERAGE CO., LTD.</v>
      </c>
      <c r="C136" t="str">
        <v>Distributor</v>
      </c>
      <c r="D136" t="str">
        <v>MM BEVERAGE</v>
      </c>
      <c r="E136" t="str">
        <v>CM</v>
      </c>
      <c r="F136" t="str">
        <v>CM_FF</v>
      </c>
      <c r="G136" s="295">
        <v>0</v>
      </c>
      <c r="H136" s="295">
        <v>15000</v>
      </c>
      <c r="I136" t="str">
        <f>_xlfn.IFNA(VLOOKUP(B136,T_DistName[],3,FALSE),"")</f>
        <v>S301</v>
      </c>
      <c r="J136" t="str">
        <f t="shared" si="2"/>
        <v>S301CM_FF</v>
      </c>
    </row>
    <row r="137" spans="1:10">
      <c r="A137" s="439">
        <v>45821</v>
      </c>
      <c r="B137" t="str">
        <v>M M BEVERAGE CO., LTD.</v>
      </c>
      <c r="C137" t="str">
        <v>Distributor</v>
      </c>
      <c r="D137" t="str">
        <v>MM BEVERAGE</v>
      </c>
      <c r="E137" t="str">
        <v>CM</v>
      </c>
      <c r="F137" t="str">
        <v>CM_BL</v>
      </c>
      <c r="G137" s="295">
        <v>0</v>
      </c>
      <c r="H137" s="295">
        <v>10500</v>
      </c>
      <c r="I137" t="str">
        <f>_xlfn.IFNA(VLOOKUP(B137,T_DistName[],3,FALSE),"")</f>
        <v>S301</v>
      </c>
      <c r="J137" t="str">
        <f t="shared" si="2"/>
        <v>S301CM_BL</v>
      </c>
    </row>
    <row r="138" spans="1:10">
      <c r="A138" s="439">
        <v>45821</v>
      </c>
      <c r="B138" t="str">
        <v>M M BEVERAGE CO., LTD.</v>
      </c>
      <c r="C138" t="str">
        <v>Distributor</v>
      </c>
      <c r="D138" t="str">
        <v>MM BEVERAGE</v>
      </c>
      <c r="E138" t="str">
        <v>CM</v>
      </c>
      <c r="F138" t="str">
        <v>CM_MN</v>
      </c>
      <c r="G138" s="295">
        <v>0</v>
      </c>
      <c r="H138" s="295">
        <v>1000</v>
      </c>
      <c r="I138" t="str">
        <f>_xlfn.IFNA(VLOOKUP(B138,T_DistName[],3,FALSE),"")</f>
        <v>S301</v>
      </c>
      <c r="J138" t="str">
        <f t="shared" si="2"/>
        <v>S301CM_MN</v>
      </c>
    </row>
    <row r="139" spans="1:10">
      <c r="A139" s="439">
        <v>45821</v>
      </c>
      <c r="B139" t="str">
        <v>M M BEVERAGE CO., LTD.</v>
      </c>
      <c r="C139" t="str">
        <v>Distributor</v>
      </c>
      <c r="D139" t="str">
        <v>MM BEVERAGE</v>
      </c>
      <c r="E139" t="str">
        <v>CMHD</v>
      </c>
      <c r="F139" t="str">
        <v>CMHD_YL</v>
      </c>
      <c r="G139" s="295">
        <v>0</v>
      </c>
      <c r="H139" s="295">
        <v>1500</v>
      </c>
      <c r="I139" t="str">
        <f>_xlfn.IFNA(VLOOKUP(B139,T_DistName[],3,FALSE),"")</f>
        <v>S301</v>
      </c>
      <c r="J139" t="str">
        <f t="shared" si="2"/>
        <v>S301CMHD_YL</v>
      </c>
    </row>
    <row r="140" spans="1:10">
      <c r="A140" s="439">
        <v>45821</v>
      </c>
      <c r="B140" t="str">
        <v>WEALIMEX CO., LTD.</v>
      </c>
      <c r="C140" t="str">
        <v>Distributor</v>
      </c>
      <c r="D140" t="str">
        <v>WEALIMEX</v>
      </c>
      <c r="E140" t="str">
        <v>WICO</v>
      </c>
      <c r="F140" t="str">
        <v>WICO_RE</v>
      </c>
      <c r="G140" s="295">
        <v>0</v>
      </c>
      <c r="H140" s="295">
        <v>2000</v>
      </c>
      <c r="I140" t="str">
        <f>_xlfn.IFNA(VLOOKUP(B140,T_DistName[],3,FALSE),"")</f>
        <v>S105</v>
      </c>
      <c r="J140" t="str">
        <f t="shared" si="2"/>
        <v>S105WICO_RE</v>
      </c>
    </row>
    <row r="141" spans="1:10">
      <c r="A141" s="439">
        <v>45821</v>
      </c>
      <c r="B141" t="str">
        <v>WEALIMEX CO., LTD.</v>
      </c>
      <c r="C141" t="str">
        <v>Distributor</v>
      </c>
      <c r="D141" t="str">
        <v>WEALIMEX</v>
      </c>
      <c r="E141" t="str">
        <v>WICO</v>
      </c>
      <c r="F141" t="str">
        <v>WICO_BL</v>
      </c>
      <c r="G141" s="295">
        <v>0</v>
      </c>
      <c r="H141" s="295">
        <v>1000</v>
      </c>
      <c r="I141" t="str">
        <f>_xlfn.IFNA(VLOOKUP(B141,T_DistName[],3,FALSE),"")</f>
        <v>S105</v>
      </c>
      <c r="J141" t="str">
        <f t="shared" si="2"/>
        <v>S105WICO_BL</v>
      </c>
    </row>
    <row r="142" spans="1:10">
      <c r="A142" s="439">
        <v>45821</v>
      </c>
      <c r="B142" t="str">
        <v>WEALIMEX CO., LTD.</v>
      </c>
      <c r="C142" t="str">
        <v>Distributor</v>
      </c>
      <c r="D142" t="str">
        <v>WEALIMEX</v>
      </c>
      <c r="E142" t="str">
        <v>WICO</v>
      </c>
      <c r="F142" t="str">
        <v>WICO_GR</v>
      </c>
      <c r="G142" s="295">
        <v>0</v>
      </c>
      <c r="H142" s="295">
        <v>1000</v>
      </c>
      <c r="I142" t="str">
        <f>_xlfn.IFNA(VLOOKUP(B142,T_DistName[],3,FALSE),"")</f>
        <v>S105</v>
      </c>
      <c r="J142" t="str">
        <f t="shared" si="2"/>
        <v>S105WICO_GR</v>
      </c>
    </row>
    <row r="143" spans="1:10">
      <c r="A143" s="439">
        <v>45821</v>
      </c>
      <c r="B143" t="str">
        <v>WEALIMEX CO., LTD.</v>
      </c>
      <c r="C143" t="str">
        <v>Distributor</v>
      </c>
      <c r="D143" t="str">
        <v>WEALIMEX</v>
      </c>
      <c r="E143" t="str">
        <v>CM</v>
      </c>
      <c r="F143" t="str">
        <v>CM_FF</v>
      </c>
      <c r="G143" s="295">
        <v>0</v>
      </c>
      <c r="H143" s="295">
        <v>10000</v>
      </c>
      <c r="I143" t="str">
        <f>_xlfn.IFNA(VLOOKUP(B143,T_DistName[],3,FALSE),"")</f>
        <v>S105</v>
      </c>
      <c r="J143" t="str">
        <f t="shared" si="2"/>
        <v>S105CM_FF</v>
      </c>
    </row>
    <row r="144" spans="1:10">
      <c r="A144" s="439">
        <v>45821</v>
      </c>
      <c r="B144" t="str">
        <v>WEALIMEX CO., LTD.</v>
      </c>
      <c r="C144" t="str">
        <v>Distributor</v>
      </c>
      <c r="D144" t="str">
        <v>WEALIMEX</v>
      </c>
      <c r="E144" t="str">
        <v>CM</v>
      </c>
      <c r="F144" t="str">
        <v>CM_BL</v>
      </c>
      <c r="G144" s="295">
        <v>0</v>
      </c>
      <c r="H144" s="295">
        <v>1500</v>
      </c>
      <c r="I144" t="str">
        <f>_xlfn.IFNA(VLOOKUP(B144,T_DistName[],3,FALSE),"")</f>
        <v>S105</v>
      </c>
      <c r="J144" t="str">
        <f t="shared" si="2"/>
        <v>S105CM_BL</v>
      </c>
    </row>
    <row r="145" spans="1:10">
      <c r="A145" s="439">
        <v>45821</v>
      </c>
      <c r="B145" t="str">
        <v>WEALIMEX CO., LTD.</v>
      </c>
      <c r="C145" t="str">
        <v>Distributor</v>
      </c>
      <c r="D145" t="str">
        <v>WEALIMEX</v>
      </c>
      <c r="E145" t="str">
        <v>CM</v>
      </c>
      <c r="F145" t="str">
        <v>CM_MN</v>
      </c>
      <c r="G145" s="295">
        <v>0</v>
      </c>
      <c r="H145" s="295">
        <v>1000</v>
      </c>
      <c r="I145" t="str">
        <f>_xlfn.IFNA(VLOOKUP(B145,T_DistName[],3,FALSE),"")</f>
        <v>S105</v>
      </c>
      <c r="J145" t="str">
        <f t="shared" si="2"/>
        <v>S105CM_MN</v>
      </c>
    </row>
    <row r="146" spans="1:10">
      <c r="A146" s="439">
        <v>45821</v>
      </c>
      <c r="B146" t="str">
        <v>WEALIMEX CO., LTD.</v>
      </c>
      <c r="C146" t="str">
        <v>Distributor</v>
      </c>
      <c r="D146" t="str">
        <v>WEALIMEX</v>
      </c>
      <c r="E146" t="str">
        <v>CMHD</v>
      </c>
      <c r="F146" t="str">
        <v>CMHD_YL</v>
      </c>
      <c r="G146" s="295">
        <v>0</v>
      </c>
      <c r="H146" s="295">
        <v>2000</v>
      </c>
      <c r="I146" t="str">
        <f>_xlfn.IFNA(VLOOKUP(B146,T_DistName[],3,FALSE),"")</f>
        <v>S105</v>
      </c>
      <c r="J146" t="str">
        <f t="shared" si="2"/>
        <v>S105CMHD_YL</v>
      </c>
    </row>
    <row r="147" spans="1:10">
      <c r="A147" s="439">
        <v>45821</v>
      </c>
      <c r="B147" t="str">
        <v>WEALIMEX CO., LTD.</v>
      </c>
      <c r="C147" t="str">
        <v>Distributor</v>
      </c>
      <c r="D147" t="str">
        <v>WEALIMEX</v>
      </c>
      <c r="E147" t="str">
        <v>CMHD</v>
      </c>
      <c r="F147" t="str">
        <v>CMHD_GR</v>
      </c>
      <c r="G147" s="295">
        <v>0</v>
      </c>
      <c r="H147" s="295">
        <v>500</v>
      </c>
      <c r="I147" t="str">
        <f>_xlfn.IFNA(VLOOKUP(B147,T_DistName[],3,FALSE),"")</f>
        <v>S105</v>
      </c>
      <c r="J147" t="str">
        <f t="shared" si="2"/>
        <v>S105CMHD_GR</v>
      </c>
    </row>
    <row r="148" spans="1:10">
      <c r="A148" s="439">
        <v>45821</v>
      </c>
      <c r="B148" t="str">
        <v>RPB Distribution Co., Ltd.</v>
      </c>
      <c r="C148" t="str">
        <v>Distributor</v>
      </c>
      <c r="D148" t="str">
        <v>RPB</v>
      </c>
      <c r="E148" t="str">
        <v>MV</v>
      </c>
      <c r="F148" t="str">
        <v>MV_OB</v>
      </c>
      <c r="G148" s="295">
        <v>0</v>
      </c>
      <c r="H148" s="295">
        <v>150</v>
      </c>
      <c r="I148" t="str">
        <f>_xlfn.IFNA(VLOOKUP(B148,T_DistName[],3,FALSE),"")</f>
        <v>S203</v>
      </c>
      <c r="J148" t="str">
        <f t="shared" si="2"/>
        <v>S203MV_OB</v>
      </c>
    </row>
    <row r="149" spans="1:10">
      <c r="A149" s="439">
        <v>45821</v>
      </c>
      <c r="B149" t="str">
        <v>RPB Distribution Co., Ltd.</v>
      </c>
      <c r="C149" t="str">
        <v>Distributor</v>
      </c>
      <c r="D149" t="str">
        <v>RPB</v>
      </c>
      <c r="E149" t="str">
        <v>WICO</v>
      </c>
      <c r="F149" t="str">
        <v>WICO_RE</v>
      </c>
      <c r="G149" s="295">
        <v>0</v>
      </c>
      <c r="H149" s="295">
        <v>1500</v>
      </c>
      <c r="I149" t="str">
        <f>_xlfn.IFNA(VLOOKUP(B149,T_DistName[],3,FALSE),"")</f>
        <v>S203</v>
      </c>
      <c r="J149" t="str">
        <f t="shared" si="2"/>
        <v>S203WICO_RE</v>
      </c>
    </row>
    <row r="150" spans="1:10">
      <c r="A150" s="439">
        <v>45821</v>
      </c>
      <c r="B150" t="str">
        <v>RPB Distribution Co., Ltd.</v>
      </c>
      <c r="C150" t="str">
        <v>Distributor</v>
      </c>
      <c r="D150" t="str">
        <v>RPB</v>
      </c>
      <c r="E150" t="str">
        <v>WICO</v>
      </c>
      <c r="F150" t="str">
        <v>WICO_BL</v>
      </c>
      <c r="G150" s="295">
        <v>0</v>
      </c>
      <c r="H150" s="295">
        <v>500</v>
      </c>
      <c r="I150" t="str">
        <f>_xlfn.IFNA(VLOOKUP(B150,T_DistName[],3,FALSE),"")</f>
        <v>S203</v>
      </c>
      <c r="J150" t="str">
        <f t="shared" si="2"/>
        <v>S203WICO_BL</v>
      </c>
    </row>
    <row r="151" spans="1:10">
      <c r="A151" s="439">
        <v>45821</v>
      </c>
      <c r="B151" t="str">
        <v>RPB Distribution Co., Ltd.</v>
      </c>
      <c r="C151" t="str">
        <v>Distributor</v>
      </c>
      <c r="D151" t="str">
        <v>RPB</v>
      </c>
      <c r="E151" t="str">
        <v>WICO</v>
      </c>
      <c r="F151" t="str">
        <v>WICO_GR</v>
      </c>
      <c r="G151" s="295">
        <v>0</v>
      </c>
      <c r="H151" s="295">
        <v>500</v>
      </c>
      <c r="I151" t="str">
        <f>_xlfn.IFNA(VLOOKUP(B151,T_DistName[],3,FALSE),"")</f>
        <v>S203</v>
      </c>
      <c r="J151" t="str">
        <f t="shared" si="2"/>
        <v>S203WICO_GR</v>
      </c>
    </row>
    <row r="152" spans="1:10">
      <c r="A152" s="439">
        <v>45821</v>
      </c>
      <c r="B152" t="str">
        <v>RPB Distribution Co., Ltd.</v>
      </c>
      <c r="C152" t="str">
        <v>Distributor</v>
      </c>
      <c r="D152" t="str">
        <v>RPB</v>
      </c>
      <c r="E152" t="str">
        <v>CMHD</v>
      </c>
      <c r="F152" t="str">
        <v>CMHD_YL</v>
      </c>
      <c r="G152" s="295">
        <v>0</v>
      </c>
      <c r="H152" s="295">
        <v>1850</v>
      </c>
      <c r="I152" t="str">
        <f>_xlfn.IFNA(VLOOKUP(B152,T_DistName[],3,FALSE),"")</f>
        <v>S203</v>
      </c>
      <c r="J152" t="str">
        <f t="shared" si="2"/>
        <v>S203CMHD_YL</v>
      </c>
    </row>
    <row r="153" spans="1:10">
      <c r="A153" s="439">
        <v>45821</v>
      </c>
      <c r="B153" t="str">
        <v>RPB Distribution Co., Ltd.</v>
      </c>
      <c r="C153" t="str">
        <v>Distributor</v>
      </c>
      <c r="D153" t="str">
        <v>RPB</v>
      </c>
      <c r="E153" t="str">
        <v>CMHD</v>
      </c>
      <c r="F153" t="str">
        <v>CMHD_GR</v>
      </c>
      <c r="G153" s="295">
        <v>0</v>
      </c>
      <c r="H153" s="295">
        <v>500</v>
      </c>
      <c r="I153" t="str">
        <f>_xlfn.IFNA(VLOOKUP(B153,T_DistName[],3,FALSE),"")</f>
        <v>S203</v>
      </c>
      <c r="J153" t="str">
        <f t="shared" si="2"/>
        <v>S203CMHD_GR</v>
      </c>
    </row>
    <row r="154" spans="1:10">
      <c r="A154" s="439">
        <v>45824</v>
      </c>
      <c r="B154" t="str">
        <v>M PROSPER CO., LTD.</v>
      </c>
      <c r="C154" t="str">
        <v>Distributor</v>
      </c>
      <c r="D154" t="str">
        <v>M PROSPER</v>
      </c>
      <c r="E154" t="str">
        <v>MV</v>
      </c>
      <c r="F154" t="str">
        <v>MV_SB</v>
      </c>
      <c r="G154" s="295">
        <v>0</v>
      </c>
      <c r="H154" s="295">
        <v>100</v>
      </c>
      <c r="I154" t="str">
        <f>_xlfn.IFNA(VLOOKUP(B154,T_DistName[],3,FALSE),"")</f>
        <v>S104</v>
      </c>
      <c r="J154" t="str">
        <f t="shared" si="2"/>
        <v>S104MV_SB</v>
      </c>
    </row>
    <row r="155" spans="1:10">
      <c r="A155" s="439">
        <v>45824</v>
      </c>
      <c r="B155" t="str">
        <v>M PROSPER CO., LTD.</v>
      </c>
      <c r="C155" t="str">
        <v>Distributor</v>
      </c>
      <c r="D155" t="str">
        <v>M PROSPER</v>
      </c>
      <c r="E155" t="str">
        <v>WICO</v>
      </c>
      <c r="F155" t="str">
        <v>WICO_RE</v>
      </c>
      <c r="G155" s="295">
        <v>0</v>
      </c>
      <c r="H155" s="295">
        <v>1500</v>
      </c>
      <c r="I155" t="str">
        <f>_xlfn.IFNA(VLOOKUP(B155,T_DistName[],3,FALSE),"")</f>
        <v>S104</v>
      </c>
      <c r="J155" t="str">
        <f t="shared" si="2"/>
        <v>S104WICO_RE</v>
      </c>
    </row>
    <row r="156" spans="1:10">
      <c r="A156" s="439">
        <v>45824</v>
      </c>
      <c r="B156" t="str">
        <v>M PROSPER CO., LTD.</v>
      </c>
      <c r="C156" t="str">
        <v>Distributor</v>
      </c>
      <c r="D156" t="str">
        <v>M PROSPER</v>
      </c>
      <c r="E156" t="str">
        <v>WICO</v>
      </c>
      <c r="F156" t="str">
        <v>WICO_BL</v>
      </c>
      <c r="G156" s="295">
        <v>0</v>
      </c>
      <c r="H156" s="295">
        <v>1000</v>
      </c>
      <c r="I156" t="str">
        <f>_xlfn.IFNA(VLOOKUP(B156,T_DistName[],3,FALSE),"")</f>
        <v>S104</v>
      </c>
      <c r="J156" t="str">
        <f t="shared" si="2"/>
        <v>S104WICO_BL</v>
      </c>
    </row>
    <row r="157" spans="1:10">
      <c r="A157" s="439">
        <v>45824</v>
      </c>
      <c r="B157" t="str">
        <v>M PROSPER CO., LTD.</v>
      </c>
      <c r="C157" t="str">
        <v>Distributor</v>
      </c>
      <c r="D157" t="str">
        <v>M PROSPER</v>
      </c>
      <c r="E157" t="str">
        <v>WICO</v>
      </c>
      <c r="F157" t="str">
        <v>WICO_GR</v>
      </c>
      <c r="G157" s="295">
        <v>0</v>
      </c>
      <c r="H157" s="295">
        <v>1500</v>
      </c>
      <c r="I157" t="str">
        <f>_xlfn.IFNA(VLOOKUP(B157,T_DistName[],3,FALSE),"")</f>
        <v>S104</v>
      </c>
      <c r="J157" t="str">
        <f t="shared" si="2"/>
        <v>S104WICO_GR</v>
      </c>
    </row>
    <row r="158" spans="1:10">
      <c r="A158" s="439">
        <v>45824</v>
      </c>
      <c r="B158" t="str">
        <v>M PROSPER CO., LTD.</v>
      </c>
      <c r="C158" t="str">
        <v>Distributor</v>
      </c>
      <c r="D158" t="str">
        <v>M PROSPER</v>
      </c>
      <c r="E158" t="str">
        <v>CM</v>
      </c>
      <c r="F158" t="str">
        <v>CM_FF</v>
      </c>
      <c r="G158" s="295">
        <v>0</v>
      </c>
      <c r="H158" s="295">
        <v>10500</v>
      </c>
      <c r="I158" t="str">
        <f>_xlfn.IFNA(VLOOKUP(B158,T_DistName[],3,FALSE),"")</f>
        <v>S104</v>
      </c>
      <c r="J158" t="str">
        <f t="shared" si="2"/>
        <v>S104CM_FF</v>
      </c>
    </row>
    <row r="159" spans="1:10">
      <c r="A159" s="439">
        <v>45824</v>
      </c>
      <c r="B159" t="str">
        <v>M PROSPER CO., LTD.</v>
      </c>
      <c r="C159" t="str">
        <v>Distributor</v>
      </c>
      <c r="D159" t="str">
        <v>M PROSPER</v>
      </c>
      <c r="E159" t="str">
        <v>CM</v>
      </c>
      <c r="F159" t="str">
        <v>CM_BL</v>
      </c>
      <c r="G159" s="295">
        <v>0</v>
      </c>
      <c r="H159" s="295">
        <v>2500</v>
      </c>
      <c r="I159" t="str">
        <f>_xlfn.IFNA(VLOOKUP(B159,T_DistName[],3,FALSE),"")</f>
        <v>S104</v>
      </c>
      <c r="J159" t="str">
        <f t="shared" si="2"/>
        <v>S104CM_BL</v>
      </c>
    </row>
    <row r="160" spans="1:10">
      <c r="A160" s="439">
        <v>45824</v>
      </c>
      <c r="B160" t="str">
        <v>M PROSPER CO., LTD.</v>
      </c>
      <c r="C160" t="str">
        <v>Distributor</v>
      </c>
      <c r="D160" t="str">
        <v>M PROSPER</v>
      </c>
      <c r="E160" t="str">
        <v>CM</v>
      </c>
      <c r="F160" t="str">
        <v>CM_MN</v>
      </c>
      <c r="G160" s="295">
        <v>0</v>
      </c>
      <c r="H160" s="295">
        <v>1000</v>
      </c>
      <c r="I160" t="str">
        <f>_xlfn.IFNA(VLOOKUP(B160,T_DistName[],3,FALSE),"")</f>
        <v>S104</v>
      </c>
      <c r="J160" t="str">
        <f t="shared" si="2"/>
        <v>S104CM_MN</v>
      </c>
    </row>
    <row r="161" spans="1:10">
      <c r="A161" s="439">
        <v>45824</v>
      </c>
      <c r="B161" t="str">
        <v>M PROSPER CO., LTD.</v>
      </c>
      <c r="C161" t="str">
        <v>Distributor</v>
      </c>
      <c r="D161" t="str">
        <v>M PROSPER</v>
      </c>
      <c r="E161" t="str">
        <v>CMHD</v>
      </c>
      <c r="F161" t="str">
        <v>CMHD_YL</v>
      </c>
      <c r="G161" s="295">
        <v>0</v>
      </c>
      <c r="H161" s="295">
        <v>4000</v>
      </c>
      <c r="I161" t="str">
        <f>_xlfn.IFNA(VLOOKUP(B161,T_DistName[],3,FALSE),"")</f>
        <v>S104</v>
      </c>
      <c r="J161" t="str">
        <f t="shared" si="2"/>
        <v>S104CMHD_YL</v>
      </c>
    </row>
    <row r="162" spans="1:10">
      <c r="A162" s="439">
        <v>45824</v>
      </c>
      <c r="B162" t="str">
        <v>M PROSPER CO., LTD.</v>
      </c>
      <c r="C162" t="str">
        <v>Distributor</v>
      </c>
      <c r="D162" t="str">
        <v>M PROSPER</v>
      </c>
      <c r="E162" t="str">
        <v>CMHD</v>
      </c>
      <c r="F162" t="str">
        <v>CMHD_GR</v>
      </c>
      <c r="G162" s="295">
        <v>0</v>
      </c>
      <c r="H162" s="295">
        <v>500</v>
      </c>
      <c r="I162" t="str">
        <f>_xlfn.IFNA(VLOOKUP(B162,T_DistName[],3,FALSE),"")</f>
        <v>S104</v>
      </c>
      <c r="J162" t="str">
        <f t="shared" si="2"/>
        <v>S104CMHD_GR</v>
      </c>
    </row>
    <row r="163" spans="1:10">
      <c r="A163" s="439">
        <v>45824</v>
      </c>
      <c r="B163" t="str">
        <v>SERICHAI AS&amp;D CO., LTD.</v>
      </c>
      <c r="C163" t="str">
        <v>Distributor</v>
      </c>
      <c r="D163" t="str">
        <v>SERICHAI</v>
      </c>
      <c r="E163" t="str">
        <v>MV</v>
      </c>
      <c r="F163" t="str">
        <v>MV_SB</v>
      </c>
      <c r="G163" s="295">
        <v>0</v>
      </c>
      <c r="H163" s="295">
        <v>500</v>
      </c>
      <c r="I163" t="str">
        <f>_xlfn.IFNA(VLOOKUP(B163,T_DistName[],3,FALSE),"")</f>
        <v>S202</v>
      </c>
      <c r="J163" t="str">
        <f t="shared" si="2"/>
        <v>S202MV_SB</v>
      </c>
    </row>
    <row r="164" spans="1:10">
      <c r="A164" s="439">
        <v>45824</v>
      </c>
      <c r="B164" t="str">
        <v>SERICHAI AS&amp;D CO., LTD.</v>
      </c>
      <c r="C164" t="str">
        <v>Distributor</v>
      </c>
      <c r="D164" t="str">
        <v>SERICHAI</v>
      </c>
      <c r="E164" t="str">
        <v>WICO</v>
      </c>
      <c r="F164" t="str">
        <v>WICO_RE</v>
      </c>
      <c r="G164" s="295">
        <v>0</v>
      </c>
      <c r="H164" s="295">
        <v>4500</v>
      </c>
      <c r="I164" t="str">
        <f>_xlfn.IFNA(VLOOKUP(B164,T_DistName[],3,FALSE),"")</f>
        <v>S202</v>
      </c>
      <c r="J164" t="str">
        <f t="shared" si="2"/>
        <v>S202WICO_RE</v>
      </c>
    </row>
    <row r="165" spans="1:10">
      <c r="A165" s="439">
        <v>45824</v>
      </c>
      <c r="B165" t="str">
        <v>SERICHAI AS&amp;D CO., LTD.</v>
      </c>
      <c r="C165" t="str">
        <v>Distributor</v>
      </c>
      <c r="D165" t="str">
        <v>SERICHAI</v>
      </c>
      <c r="E165" t="str">
        <v>WICO</v>
      </c>
      <c r="F165" t="str">
        <v>WICO_BL</v>
      </c>
      <c r="G165" s="295">
        <v>0</v>
      </c>
      <c r="H165" s="295">
        <v>4000</v>
      </c>
      <c r="I165" t="str">
        <f>_xlfn.IFNA(VLOOKUP(B165,T_DistName[],3,FALSE),"")</f>
        <v>S202</v>
      </c>
      <c r="J165" t="str">
        <f t="shared" si="2"/>
        <v>S202WICO_BL</v>
      </c>
    </row>
    <row r="166" spans="1:10">
      <c r="A166" s="439">
        <v>45824</v>
      </c>
      <c r="B166" t="str">
        <v>SERICHAI AS&amp;D CO., LTD.</v>
      </c>
      <c r="C166" t="str">
        <v>Distributor</v>
      </c>
      <c r="D166" t="str">
        <v>SERICHAI</v>
      </c>
      <c r="E166" t="str">
        <v>WICO</v>
      </c>
      <c r="F166" t="str">
        <v>WICO_GR</v>
      </c>
      <c r="G166" s="295">
        <v>0</v>
      </c>
      <c r="H166" s="295">
        <v>3500</v>
      </c>
      <c r="I166" t="str">
        <f>_xlfn.IFNA(VLOOKUP(B166,T_DistName[],3,FALSE),"")</f>
        <v>S202</v>
      </c>
      <c r="J166" t="str">
        <f t="shared" si="2"/>
        <v>S202WICO_GR</v>
      </c>
    </row>
    <row r="167" spans="1:10">
      <c r="A167" s="439">
        <v>45824</v>
      </c>
      <c r="B167" t="str">
        <v>SERICHAI AS&amp;D CO., LTD.</v>
      </c>
      <c r="C167" t="str">
        <v>Distributor</v>
      </c>
      <c r="D167" t="str">
        <v>SERICHAI</v>
      </c>
      <c r="E167" t="str">
        <v>CM</v>
      </c>
      <c r="F167" t="str">
        <v>CM_FF</v>
      </c>
      <c r="G167" s="295">
        <v>0</v>
      </c>
      <c r="H167" s="295">
        <v>30000</v>
      </c>
      <c r="I167" t="str">
        <f>_xlfn.IFNA(VLOOKUP(B167,T_DistName[],3,FALSE),"")</f>
        <v>S202</v>
      </c>
      <c r="J167" t="str">
        <f t="shared" si="2"/>
        <v>S202CM_FF</v>
      </c>
    </row>
    <row r="168" spans="1:10">
      <c r="A168" s="439">
        <v>45824</v>
      </c>
      <c r="B168" t="str">
        <v>SERICHAI AS&amp;D CO., LTD.</v>
      </c>
      <c r="C168" t="str">
        <v>Distributor</v>
      </c>
      <c r="D168" t="str">
        <v>SERICHAI</v>
      </c>
      <c r="E168" t="str">
        <v>CM</v>
      </c>
      <c r="F168" t="str">
        <v>CM_BL</v>
      </c>
      <c r="G168" s="295">
        <v>0</v>
      </c>
      <c r="H168" s="295">
        <v>5000</v>
      </c>
      <c r="I168" t="str">
        <f>_xlfn.IFNA(VLOOKUP(B168,T_DistName[],3,FALSE),"")</f>
        <v>S202</v>
      </c>
      <c r="J168" t="str">
        <f t="shared" si="2"/>
        <v>S202CM_BL</v>
      </c>
    </row>
    <row r="169" spans="1:10">
      <c r="A169" s="439">
        <v>45824</v>
      </c>
      <c r="B169" t="str">
        <v>SERICHAI AS&amp;D CO., LTD.</v>
      </c>
      <c r="C169" t="str">
        <v>Distributor</v>
      </c>
      <c r="D169" t="str">
        <v>SERICHAI</v>
      </c>
      <c r="E169" t="str">
        <v>CM</v>
      </c>
      <c r="F169" t="str">
        <v>CM_MN</v>
      </c>
      <c r="G169" s="295">
        <v>0</v>
      </c>
      <c r="H169" s="295">
        <v>3500</v>
      </c>
      <c r="I169" t="str">
        <f>_xlfn.IFNA(VLOOKUP(B169,T_DistName[],3,FALSE),"")</f>
        <v>S202</v>
      </c>
      <c r="J169" t="str">
        <f t="shared" si="2"/>
        <v>S202CM_MN</v>
      </c>
    </row>
    <row r="170" spans="1:10">
      <c r="A170" s="439">
        <v>45824</v>
      </c>
      <c r="B170" t="str">
        <v>SERICHAI AS&amp;D CO., LTD.</v>
      </c>
      <c r="C170" t="str">
        <v>Distributor</v>
      </c>
      <c r="D170" t="str">
        <v>SERICHAI</v>
      </c>
      <c r="E170" t="str">
        <v>CMHD</v>
      </c>
      <c r="F170" t="str">
        <v>CMHD_YL</v>
      </c>
      <c r="G170" s="295">
        <v>0</v>
      </c>
      <c r="H170" s="295">
        <v>12000</v>
      </c>
      <c r="I170" t="str">
        <f>_xlfn.IFNA(VLOOKUP(B170,T_DistName[],3,FALSE),"")</f>
        <v>S202</v>
      </c>
      <c r="J170" t="str">
        <f t="shared" si="2"/>
        <v>S202CMHD_YL</v>
      </c>
    </row>
    <row r="171" spans="1:10">
      <c r="A171" s="439">
        <v>45824</v>
      </c>
      <c r="B171" t="str">
        <v>SERICHAI AS&amp;D CO., LTD.</v>
      </c>
      <c r="C171" t="str">
        <v>Distributor</v>
      </c>
      <c r="D171" t="str">
        <v>SERICHAI</v>
      </c>
      <c r="E171" t="str">
        <v>CMHD</v>
      </c>
      <c r="F171" t="str">
        <v>CMHD_GR</v>
      </c>
      <c r="G171" s="295">
        <v>0</v>
      </c>
      <c r="H171" s="295">
        <v>2000</v>
      </c>
      <c r="I171" t="str">
        <f>_xlfn.IFNA(VLOOKUP(B171,T_DistName[],3,FALSE),"")</f>
        <v>S202</v>
      </c>
      <c r="J171" t="str">
        <f t="shared" si="2"/>
        <v>S202CMHD_GR</v>
      </c>
    </row>
    <row r="172" spans="1:10">
      <c r="I172" t="str">
        <f>_xlfn.IFNA(VLOOKUP(B172,T_DistName[],3,FALSE),"")</f>
        <v/>
      </c>
      <c r="J172" t="str">
        <f t="shared" si="2"/>
        <v/>
      </c>
    </row>
    <row r="173" spans="1:10">
      <c r="I173" t="str">
        <f>_xlfn.IFNA(VLOOKUP(B173,T_DistName[],3,FALSE),"")</f>
        <v/>
      </c>
      <c r="J173" t="str">
        <f t="shared" si="2"/>
        <v/>
      </c>
    </row>
    <row r="174" spans="1:10">
      <c r="I174" t="str">
        <f>_xlfn.IFNA(VLOOKUP(B174,T_DistName[],3,FALSE),"")</f>
        <v/>
      </c>
      <c r="J174" t="str">
        <f t="shared" si="2"/>
        <v/>
      </c>
    </row>
    <row r="175" spans="1:10">
      <c r="I175" t="str">
        <f>_xlfn.IFNA(VLOOKUP(B175,T_DistName[],3,FALSE),"")</f>
        <v/>
      </c>
      <c r="J175" t="str">
        <f t="shared" si="2"/>
        <v/>
      </c>
    </row>
    <row r="176" spans="1:10">
      <c r="I176" t="str">
        <f>_xlfn.IFNA(VLOOKUP(B176,T_DistName[],3,FALSE),"")</f>
        <v/>
      </c>
      <c r="J176" t="str">
        <f t="shared" si="2"/>
        <v/>
      </c>
    </row>
    <row r="177" spans="9:10">
      <c r="I177" t="str">
        <f>_xlfn.IFNA(VLOOKUP(B177,T_DistName[],3,FALSE),"")</f>
        <v/>
      </c>
      <c r="J177" t="str">
        <f t="shared" si="2"/>
        <v/>
      </c>
    </row>
    <row r="178" spans="9:10">
      <c r="I178" t="str">
        <f>_xlfn.IFNA(VLOOKUP(B178,T_DistName[],3,FALSE),"")</f>
        <v/>
      </c>
      <c r="J178" t="str">
        <f t="shared" si="2"/>
        <v/>
      </c>
    </row>
    <row r="179" spans="9:10">
      <c r="I179" t="str">
        <f>_xlfn.IFNA(VLOOKUP(B179,T_DistName[],3,FALSE),"")</f>
        <v/>
      </c>
      <c r="J179" t="str">
        <f t="shared" si="2"/>
        <v/>
      </c>
    </row>
    <row r="180" spans="9:10">
      <c r="I180" t="str">
        <f>_xlfn.IFNA(VLOOKUP(B180,T_DistName[],3,FALSE),"")</f>
        <v/>
      </c>
      <c r="J180" t="str">
        <f t="shared" si="2"/>
        <v/>
      </c>
    </row>
    <row r="181" spans="9:10">
      <c r="I181" t="str">
        <f>_xlfn.IFNA(VLOOKUP(B181,T_DistName[],3,FALSE),"")</f>
        <v/>
      </c>
      <c r="J181" t="str">
        <f t="shared" si="2"/>
        <v/>
      </c>
    </row>
    <row r="182" spans="9:10">
      <c r="I182" t="str">
        <f>_xlfn.IFNA(VLOOKUP(B182,T_DistName[],3,FALSE),"")</f>
        <v/>
      </c>
      <c r="J182" t="str">
        <f t="shared" si="2"/>
        <v/>
      </c>
    </row>
    <row r="183" spans="9:10">
      <c r="I183" t="str">
        <f>_xlfn.IFNA(VLOOKUP(B183,T_DistName[],3,FALSE),"")</f>
        <v/>
      </c>
      <c r="J183" t="str">
        <f t="shared" si="2"/>
        <v/>
      </c>
    </row>
    <row r="184" spans="9:10">
      <c r="I184" t="str">
        <f>_xlfn.IFNA(VLOOKUP(B184,T_DistName[],3,FALSE),"")</f>
        <v/>
      </c>
      <c r="J184" t="str">
        <f t="shared" si="2"/>
        <v/>
      </c>
    </row>
    <row r="185" spans="9:10">
      <c r="I185" t="str">
        <f>_xlfn.IFNA(VLOOKUP(B185,T_DistName[],3,FALSE),"")</f>
        <v/>
      </c>
      <c r="J185" t="str">
        <f t="shared" si="2"/>
        <v/>
      </c>
    </row>
    <row r="186" spans="9:10">
      <c r="I186" t="str">
        <f>_xlfn.IFNA(VLOOKUP(B186,T_DistName[],3,FALSE),"")</f>
        <v/>
      </c>
      <c r="J186" t="str">
        <f t="shared" si="2"/>
        <v/>
      </c>
    </row>
    <row r="187" spans="9:10">
      <c r="I187" t="str">
        <f>_xlfn.IFNA(VLOOKUP(B187,T_DistName[],3,FALSE),"")</f>
        <v/>
      </c>
      <c r="J187" t="str">
        <f t="shared" si="2"/>
        <v/>
      </c>
    </row>
    <row r="188" spans="9:10">
      <c r="I188" t="str">
        <f>_xlfn.IFNA(VLOOKUP(B188,T_DistName[],3,FALSE),"")</f>
        <v/>
      </c>
      <c r="J188" t="str">
        <f t="shared" si="2"/>
        <v/>
      </c>
    </row>
    <row r="189" spans="9:10">
      <c r="I189" t="str">
        <f>_xlfn.IFNA(VLOOKUP(B189,T_DistName[],3,FALSE),"")</f>
        <v/>
      </c>
      <c r="J189" t="str">
        <f t="shared" si="2"/>
        <v/>
      </c>
    </row>
    <row r="190" spans="9:10">
      <c r="I190" t="str">
        <f>_xlfn.IFNA(VLOOKUP(B190,T_DistName[],3,FALSE),"")</f>
        <v/>
      </c>
      <c r="J190" t="str">
        <f t="shared" si="2"/>
        <v/>
      </c>
    </row>
    <row r="191" spans="9:10">
      <c r="I191" t="str">
        <f>_xlfn.IFNA(VLOOKUP(B191,T_DistName[],3,FALSE),"")</f>
        <v/>
      </c>
      <c r="J191" t="str">
        <f t="shared" si="2"/>
        <v/>
      </c>
    </row>
    <row r="192" spans="9:10">
      <c r="I192" t="str">
        <f>_xlfn.IFNA(VLOOKUP(B192,T_DistName[],3,FALSE),"")</f>
        <v/>
      </c>
      <c r="J192" t="str">
        <f t="shared" si="2"/>
        <v/>
      </c>
    </row>
    <row r="193" spans="9:10">
      <c r="I193" t="str">
        <f>_xlfn.IFNA(VLOOKUP(B193,T_DistName[],3,FALSE),"")</f>
        <v/>
      </c>
      <c r="J193" t="str">
        <f t="shared" si="2"/>
        <v/>
      </c>
    </row>
    <row r="194" spans="9:10">
      <c r="I194" t="str">
        <f>_xlfn.IFNA(VLOOKUP(B194,T_DistName[],3,FALSE),"")</f>
        <v/>
      </c>
      <c r="J194" t="str">
        <f t="shared" si="2"/>
        <v/>
      </c>
    </row>
    <row r="195" spans="9:10">
      <c r="I195" t="str">
        <f>_xlfn.IFNA(VLOOKUP(B195,T_DistName[],3,FALSE),"")</f>
        <v/>
      </c>
      <c r="J195" t="str">
        <f t="shared" si="2"/>
        <v/>
      </c>
    </row>
    <row r="196" spans="9:10">
      <c r="I196" t="str">
        <f>_xlfn.IFNA(VLOOKUP(B196,T_DistName[],3,FALSE),"")</f>
        <v/>
      </c>
      <c r="J196" t="str">
        <f t="shared" ref="J196:J259" si="3">I196&amp;F196</f>
        <v/>
      </c>
    </row>
    <row r="197" spans="9:10">
      <c r="I197" t="str">
        <f>_xlfn.IFNA(VLOOKUP(B197,T_DistName[],3,FALSE),"")</f>
        <v/>
      </c>
      <c r="J197" t="str">
        <f t="shared" si="3"/>
        <v/>
      </c>
    </row>
    <row r="198" spans="9:10">
      <c r="I198" t="str">
        <f>_xlfn.IFNA(VLOOKUP(B198,T_DistName[],3,FALSE),"")</f>
        <v/>
      </c>
      <c r="J198" t="str">
        <f t="shared" si="3"/>
        <v/>
      </c>
    </row>
    <row r="199" spans="9:10">
      <c r="I199" t="str">
        <f>_xlfn.IFNA(VLOOKUP(B199,T_DistName[],3,FALSE),"")</f>
        <v/>
      </c>
      <c r="J199" t="str">
        <f t="shared" si="3"/>
        <v/>
      </c>
    </row>
    <row r="200" spans="9:10">
      <c r="I200" t="str">
        <f>_xlfn.IFNA(VLOOKUP(B200,T_DistName[],3,FALSE),"")</f>
        <v/>
      </c>
      <c r="J200" t="str">
        <f t="shared" si="3"/>
        <v/>
      </c>
    </row>
    <row r="201" spans="9:10">
      <c r="I201" t="str">
        <f>_xlfn.IFNA(VLOOKUP(B201,T_DistName[],3,FALSE),"")</f>
        <v/>
      </c>
      <c r="J201" t="str">
        <f t="shared" si="3"/>
        <v/>
      </c>
    </row>
    <row r="202" spans="9:10">
      <c r="I202" t="str">
        <f>_xlfn.IFNA(VLOOKUP(B202,T_DistName[],3,FALSE),"")</f>
        <v/>
      </c>
      <c r="J202" t="str">
        <f t="shared" si="3"/>
        <v/>
      </c>
    </row>
    <row r="203" spans="9:10">
      <c r="I203" t="str">
        <f>_xlfn.IFNA(VLOOKUP(B203,T_DistName[],3,FALSE),"")</f>
        <v/>
      </c>
      <c r="J203" t="str">
        <f t="shared" si="3"/>
        <v/>
      </c>
    </row>
    <row r="204" spans="9:10">
      <c r="I204" t="str">
        <f>_xlfn.IFNA(VLOOKUP(B204,T_DistName[],3,FALSE),"")</f>
        <v/>
      </c>
      <c r="J204" t="str">
        <f t="shared" si="3"/>
        <v/>
      </c>
    </row>
    <row r="205" spans="9:10">
      <c r="I205" t="str">
        <f>_xlfn.IFNA(VLOOKUP(B205,T_DistName[],3,FALSE),"")</f>
        <v/>
      </c>
      <c r="J205" t="str">
        <f t="shared" si="3"/>
        <v/>
      </c>
    </row>
    <row r="206" spans="9:10">
      <c r="I206" t="str">
        <f>_xlfn.IFNA(VLOOKUP(B206,T_DistName[],3,FALSE),"")</f>
        <v/>
      </c>
      <c r="J206" t="str">
        <f t="shared" si="3"/>
        <v/>
      </c>
    </row>
    <row r="207" spans="9:10">
      <c r="I207" t="str">
        <f>_xlfn.IFNA(VLOOKUP(B207,T_DistName[],3,FALSE),"")</f>
        <v/>
      </c>
      <c r="J207" t="str">
        <f t="shared" si="3"/>
        <v/>
      </c>
    </row>
    <row r="208" spans="9:10">
      <c r="I208" t="str">
        <f>_xlfn.IFNA(VLOOKUP(B208,T_DistName[],3,FALSE),"")</f>
        <v/>
      </c>
      <c r="J208" t="str">
        <f t="shared" si="3"/>
        <v/>
      </c>
    </row>
    <row r="209" spans="9:10">
      <c r="I209" t="str">
        <f>_xlfn.IFNA(VLOOKUP(B209,T_DistName[],3,FALSE),"")</f>
        <v/>
      </c>
      <c r="J209" t="str">
        <f t="shared" si="3"/>
        <v/>
      </c>
    </row>
    <row r="210" spans="9:10">
      <c r="I210" t="str">
        <f>_xlfn.IFNA(VLOOKUP(B210,T_DistName[],3,FALSE),"")</f>
        <v/>
      </c>
      <c r="J210" t="str">
        <f t="shared" si="3"/>
        <v/>
      </c>
    </row>
    <row r="211" spans="9:10">
      <c r="I211" t="str">
        <f>_xlfn.IFNA(VLOOKUP(B211,T_DistName[],3,FALSE),"")</f>
        <v/>
      </c>
      <c r="J211" t="str">
        <f t="shared" si="3"/>
        <v/>
      </c>
    </row>
    <row r="212" spans="9:10">
      <c r="I212" t="str">
        <f>_xlfn.IFNA(VLOOKUP(B212,T_DistName[],3,FALSE),"")</f>
        <v/>
      </c>
      <c r="J212" t="str">
        <f t="shared" si="3"/>
        <v/>
      </c>
    </row>
    <row r="213" spans="9:10">
      <c r="I213" t="str">
        <f>_xlfn.IFNA(VLOOKUP(B213,T_DistName[],3,FALSE),"")</f>
        <v/>
      </c>
      <c r="J213" t="str">
        <f t="shared" si="3"/>
        <v/>
      </c>
    </row>
    <row r="214" spans="9:10">
      <c r="I214" t="str">
        <f>_xlfn.IFNA(VLOOKUP(B214,T_DistName[],3,FALSE),"")</f>
        <v/>
      </c>
      <c r="J214" t="str">
        <f t="shared" si="3"/>
        <v/>
      </c>
    </row>
    <row r="215" spans="9:10">
      <c r="I215" t="str">
        <f>_xlfn.IFNA(VLOOKUP(B215,T_DistName[],3,FALSE),"")</f>
        <v/>
      </c>
      <c r="J215" t="str">
        <f t="shared" si="3"/>
        <v/>
      </c>
    </row>
    <row r="216" spans="9:10">
      <c r="I216" t="str">
        <f>_xlfn.IFNA(VLOOKUP(B216,T_DistName[],3,FALSE),"")</f>
        <v/>
      </c>
      <c r="J216" t="str">
        <f t="shared" si="3"/>
        <v/>
      </c>
    </row>
    <row r="217" spans="9:10">
      <c r="I217" t="str">
        <f>_xlfn.IFNA(VLOOKUP(B217,T_DistName[],3,FALSE),"")</f>
        <v/>
      </c>
      <c r="J217" t="str">
        <f t="shared" si="3"/>
        <v/>
      </c>
    </row>
    <row r="218" spans="9:10">
      <c r="I218" t="str">
        <f>_xlfn.IFNA(VLOOKUP(B218,T_DistName[],3,FALSE),"")</f>
        <v/>
      </c>
      <c r="J218" t="str">
        <f t="shared" si="3"/>
        <v/>
      </c>
    </row>
    <row r="219" spans="9:10">
      <c r="I219" t="str">
        <f>_xlfn.IFNA(VLOOKUP(B219,T_DistName[],3,FALSE),"")</f>
        <v/>
      </c>
      <c r="J219" t="str">
        <f t="shared" si="3"/>
        <v/>
      </c>
    </row>
    <row r="220" spans="9:10">
      <c r="I220" t="str">
        <f>_xlfn.IFNA(VLOOKUP(B220,T_DistName[],3,FALSE),"")</f>
        <v/>
      </c>
      <c r="J220" t="str">
        <f t="shared" si="3"/>
        <v/>
      </c>
    </row>
    <row r="221" spans="9:10">
      <c r="I221" t="str">
        <f>_xlfn.IFNA(VLOOKUP(B221,T_DistName[],3,FALSE),"")</f>
        <v/>
      </c>
      <c r="J221" t="str">
        <f t="shared" si="3"/>
        <v/>
      </c>
    </row>
    <row r="222" spans="9:10">
      <c r="I222" t="str">
        <f>_xlfn.IFNA(VLOOKUP(B222,T_DistName[],3,FALSE),"")</f>
        <v/>
      </c>
      <c r="J222" t="str">
        <f t="shared" si="3"/>
        <v/>
      </c>
    </row>
    <row r="223" spans="9:10">
      <c r="I223" t="str">
        <f>_xlfn.IFNA(VLOOKUP(B223,T_DistName[],3,FALSE),"")</f>
        <v/>
      </c>
      <c r="J223" t="str">
        <f t="shared" si="3"/>
        <v/>
      </c>
    </row>
    <row r="224" spans="9:10">
      <c r="I224" t="str">
        <f>_xlfn.IFNA(VLOOKUP(B224,T_DistName[],3,FALSE),"")</f>
        <v/>
      </c>
      <c r="J224" t="str">
        <f t="shared" si="3"/>
        <v/>
      </c>
    </row>
    <row r="225" spans="9:10">
      <c r="I225" t="str">
        <f>_xlfn.IFNA(VLOOKUP(B225,T_DistName[],3,FALSE),"")</f>
        <v/>
      </c>
      <c r="J225" t="str">
        <f t="shared" si="3"/>
        <v/>
      </c>
    </row>
    <row r="226" spans="9:10">
      <c r="I226" t="str">
        <f>_xlfn.IFNA(VLOOKUP(B226,T_DistName[],3,FALSE),"")</f>
        <v/>
      </c>
      <c r="J226" t="str">
        <f t="shared" si="3"/>
        <v/>
      </c>
    </row>
    <row r="227" spans="9:10">
      <c r="I227" t="str">
        <f>_xlfn.IFNA(VLOOKUP(B227,T_DistName[],3,FALSE),"")</f>
        <v/>
      </c>
      <c r="J227" t="str">
        <f t="shared" si="3"/>
        <v/>
      </c>
    </row>
    <row r="228" spans="9:10">
      <c r="I228" t="str">
        <f>_xlfn.IFNA(VLOOKUP(B228,T_DistName[],3,FALSE),"")</f>
        <v/>
      </c>
      <c r="J228" t="str">
        <f t="shared" si="3"/>
        <v/>
      </c>
    </row>
    <row r="229" spans="9:10">
      <c r="I229" t="str">
        <f>_xlfn.IFNA(VLOOKUP(B229,T_DistName[],3,FALSE),"")</f>
        <v/>
      </c>
      <c r="J229" t="str">
        <f t="shared" si="3"/>
        <v/>
      </c>
    </row>
    <row r="230" spans="9:10">
      <c r="I230" t="str">
        <f>_xlfn.IFNA(VLOOKUP(B230,T_DistName[],3,FALSE),"")</f>
        <v/>
      </c>
      <c r="J230" t="str">
        <f t="shared" si="3"/>
        <v/>
      </c>
    </row>
    <row r="231" spans="9:10">
      <c r="I231" t="str">
        <f>_xlfn.IFNA(VLOOKUP(B231,T_DistName[],3,FALSE),"")</f>
        <v/>
      </c>
      <c r="J231" t="str">
        <f t="shared" si="3"/>
        <v/>
      </c>
    </row>
    <row r="232" spans="9:10">
      <c r="I232" t="str">
        <f>_xlfn.IFNA(VLOOKUP(B232,T_DistName[],3,FALSE),"")</f>
        <v/>
      </c>
      <c r="J232" t="str">
        <f t="shared" si="3"/>
        <v/>
      </c>
    </row>
    <row r="233" spans="9:10">
      <c r="I233" t="str">
        <f>_xlfn.IFNA(VLOOKUP(B233,T_DistName[],3,FALSE),"")</f>
        <v/>
      </c>
      <c r="J233" t="str">
        <f t="shared" si="3"/>
        <v/>
      </c>
    </row>
    <row r="234" spans="9:10">
      <c r="I234" t="str">
        <f>_xlfn.IFNA(VLOOKUP(B234,T_DistName[],3,FALSE),"")</f>
        <v/>
      </c>
      <c r="J234" t="str">
        <f t="shared" si="3"/>
        <v/>
      </c>
    </row>
    <row r="235" spans="9:10">
      <c r="I235" t="str">
        <f>_xlfn.IFNA(VLOOKUP(B235,T_DistName[],3,FALSE),"")</f>
        <v/>
      </c>
      <c r="J235" t="str">
        <f t="shared" si="3"/>
        <v/>
      </c>
    </row>
    <row r="236" spans="9:10">
      <c r="I236" t="str">
        <f>_xlfn.IFNA(VLOOKUP(B236,T_DistName[],3,FALSE),"")</f>
        <v/>
      </c>
      <c r="J236" t="str">
        <f t="shared" si="3"/>
        <v/>
      </c>
    </row>
    <row r="237" spans="9:10">
      <c r="I237" t="str">
        <f>_xlfn.IFNA(VLOOKUP(B237,T_DistName[],3,FALSE),"")</f>
        <v/>
      </c>
      <c r="J237" t="str">
        <f t="shared" si="3"/>
        <v/>
      </c>
    </row>
    <row r="238" spans="9:10">
      <c r="I238" t="str">
        <f>_xlfn.IFNA(VLOOKUP(B238,T_DistName[],3,FALSE),"")</f>
        <v/>
      </c>
      <c r="J238" t="str">
        <f t="shared" si="3"/>
        <v/>
      </c>
    </row>
    <row r="239" spans="9:10">
      <c r="I239" t="str">
        <f>_xlfn.IFNA(VLOOKUP(B239,T_DistName[],3,FALSE),"")</f>
        <v/>
      </c>
      <c r="J239" t="str">
        <f t="shared" si="3"/>
        <v/>
      </c>
    </row>
    <row r="240" spans="9:10">
      <c r="I240" t="str">
        <f>_xlfn.IFNA(VLOOKUP(B240,T_DistName[],3,FALSE),"")</f>
        <v/>
      </c>
      <c r="J240" t="str">
        <f t="shared" si="3"/>
        <v/>
      </c>
    </row>
    <row r="241" spans="9:10">
      <c r="I241" t="str">
        <f>_xlfn.IFNA(VLOOKUP(B241,T_DistName[],3,FALSE),"")</f>
        <v/>
      </c>
      <c r="J241" t="str">
        <f t="shared" si="3"/>
        <v/>
      </c>
    </row>
    <row r="242" spans="9:10">
      <c r="I242" t="str">
        <f>_xlfn.IFNA(VLOOKUP(B242,T_DistName[],3,FALSE),"")</f>
        <v/>
      </c>
      <c r="J242" t="str">
        <f t="shared" si="3"/>
        <v/>
      </c>
    </row>
    <row r="243" spans="9:10">
      <c r="I243" t="str">
        <f>_xlfn.IFNA(VLOOKUP(B243,T_DistName[],3,FALSE),"")</f>
        <v/>
      </c>
      <c r="J243" t="str">
        <f t="shared" si="3"/>
        <v/>
      </c>
    </row>
    <row r="244" spans="9:10">
      <c r="I244" t="str">
        <f>_xlfn.IFNA(VLOOKUP(B244,T_DistName[],3,FALSE),"")</f>
        <v/>
      </c>
      <c r="J244" t="str">
        <f t="shared" si="3"/>
        <v/>
      </c>
    </row>
    <row r="245" spans="9:10">
      <c r="I245" t="str">
        <f>_xlfn.IFNA(VLOOKUP(B245,T_DistName[],3,FALSE),"")</f>
        <v/>
      </c>
      <c r="J245" t="str">
        <f t="shared" si="3"/>
        <v/>
      </c>
    </row>
    <row r="246" spans="9:10">
      <c r="I246" t="str">
        <f>_xlfn.IFNA(VLOOKUP(B246,T_DistName[],3,FALSE),"")</f>
        <v/>
      </c>
      <c r="J246" t="str">
        <f t="shared" si="3"/>
        <v/>
      </c>
    </row>
    <row r="247" spans="9:10">
      <c r="I247" t="str">
        <f>_xlfn.IFNA(VLOOKUP(B247,T_DistName[],3,FALSE),"")</f>
        <v/>
      </c>
      <c r="J247" t="str">
        <f t="shared" si="3"/>
        <v/>
      </c>
    </row>
    <row r="248" spans="9:10">
      <c r="I248" t="str">
        <f>_xlfn.IFNA(VLOOKUP(B248,T_DistName[],3,FALSE),"")</f>
        <v/>
      </c>
      <c r="J248" t="str">
        <f t="shared" si="3"/>
        <v/>
      </c>
    </row>
    <row r="249" spans="9:10">
      <c r="I249" t="str">
        <f>_xlfn.IFNA(VLOOKUP(B249,T_DistName[],3,FALSE),"")</f>
        <v/>
      </c>
      <c r="J249" t="str">
        <f t="shared" si="3"/>
        <v/>
      </c>
    </row>
    <row r="250" spans="9:10">
      <c r="I250" t="str">
        <f>_xlfn.IFNA(VLOOKUP(B250,T_DistName[],3,FALSE),"")</f>
        <v/>
      </c>
      <c r="J250" t="str">
        <f t="shared" si="3"/>
        <v/>
      </c>
    </row>
    <row r="251" spans="9:10">
      <c r="I251" t="str">
        <f>_xlfn.IFNA(VLOOKUP(B251,T_DistName[],3,FALSE),"")</f>
        <v/>
      </c>
      <c r="J251" t="str">
        <f t="shared" si="3"/>
        <v/>
      </c>
    </row>
    <row r="252" spans="9:10">
      <c r="I252" t="str">
        <f>_xlfn.IFNA(VLOOKUP(B252,T_DistName[],3,FALSE),"")</f>
        <v/>
      </c>
      <c r="J252" t="str">
        <f t="shared" si="3"/>
        <v/>
      </c>
    </row>
    <row r="253" spans="9:10">
      <c r="I253" t="str">
        <f>_xlfn.IFNA(VLOOKUP(B253,T_DistName[],3,FALSE),"")</f>
        <v/>
      </c>
      <c r="J253" t="str">
        <f t="shared" si="3"/>
        <v/>
      </c>
    </row>
    <row r="254" spans="9:10">
      <c r="I254" t="str">
        <f>_xlfn.IFNA(VLOOKUP(B254,T_DistName[],3,FALSE),"")</f>
        <v/>
      </c>
      <c r="J254" t="str">
        <f t="shared" si="3"/>
        <v/>
      </c>
    </row>
    <row r="255" spans="9:10">
      <c r="I255" t="str">
        <f>_xlfn.IFNA(VLOOKUP(B255,T_DistName[],3,FALSE),"")</f>
        <v/>
      </c>
      <c r="J255" t="str">
        <f t="shared" si="3"/>
        <v/>
      </c>
    </row>
    <row r="256" spans="9:10">
      <c r="I256" t="str">
        <f>_xlfn.IFNA(VLOOKUP(B256,T_DistName[],3,FALSE),"")</f>
        <v/>
      </c>
      <c r="J256" t="str">
        <f t="shared" si="3"/>
        <v/>
      </c>
    </row>
    <row r="257" spans="9:10">
      <c r="I257" t="str">
        <f>_xlfn.IFNA(VLOOKUP(B257,T_DistName[],3,FALSE),"")</f>
        <v/>
      </c>
      <c r="J257" t="str">
        <f t="shared" si="3"/>
        <v/>
      </c>
    </row>
    <row r="258" spans="9:10">
      <c r="I258" t="str">
        <f>_xlfn.IFNA(VLOOKUP(B258,T_DistName[],3,FALSE),"")</f>
        <v/>
      </c>
      <c r="J258" t="str">
        <f t="shared" si="3"/>
        <v/>
      </c>
    </row>
    <row r="259" spans="9:10">
      <c r="I259" t="str">
        <f>_xlfn.IFNA(VLOOKUP(B259,T_DistName[],3,FALSE),"")</f>
        <v/>
      </c>
      <c r="J259" t="str">
        <f t="shared" si="3"/>
        <v/>
      </c>
    </row>
    <row r="260" spans="9:10">
      <c r="I260" t="str">
        <f>_xlfn.IFNA(VLOOKUP(B260,T_DistName[],3,FALSE),"")</f>
        <v/>
      </c>
      <c r="J260" t="str">
        <f t="shared" ref="J260:J323" si="4">I260&amp;F260</f>
        <v/>
      </c>
    </row>
    <row r="261" spans="9:10">
      <c r="I261" t="str">
        <f>_xlfn.IFNA(VLOOKUP(B261,T_DistName[],3,FALSE),"")</f>
        <v/>
      </c>
      <c r="J261" t="str">
        <f t="shared" si="4"/>
        <v/>
      </c>
    </row>
    <row r="262" spans="9:10">
      <c r="I262" t="str">
        <f>_xlfn.IFNA(VLOOKUP(B262,T_DistName[],3,FALSE),"")</f>
        <v/>
      </c>
      <c r="J262" t="str">
        <f t="shared" si="4"/>
        <v/>
      </c>
    </row>
    <row r="263" spans="9:10">
      <c r="I263" t="str">
        <f>_xlfn.IFNA(VLOOKUP(B263,T_DistName[],3,FALSE),"")</f>
        <v/>
      </c>
      <c r="J263" t="str">
        <f t="shared" si="4"/>
        <v/>
      </c>
    </row>
    <row r="264" spans="9:10">
      <c r="I264" t="str">
        <f>_xlfn.IFNA(VLOOKUP(B264,T_DistName[],3,FALSE),"")</f>
        <v/>
      </c>
      <c r="J264" t="str">
        <f t="shared" si="4"/>
        <v/>
      </c>
    </row>
    <row r="265" spans="9:10">
      <c r="I265" t="str">
        <f>_xlfn.IFNA(VLOOKUP(B265,T_DistName[],3,FALSE),"")</f>
        <v/>
      </c>
      <c r="J265" t="str">
        <f t="shared" si="4"/>
        <v/>
      </c>
    </row>
    <row r="266" spans="9:10">
      <c r="I266" t="str">
        <f>_xlfn.IFNA(VLOOKUP(B266,T_DistName[],3,FALSE),"")</f>
        <v/>
      </c>
      <c r="J266" t="str">
        <f t="shared" si="4"/>
        <v/>
      </c>
    </row>
    <row r="267" spans="9:10">
      <c r="I267" t="str">
        <f>_xlfn.IFNA(VLOOKUP(B267,T_DistName[],3,FALSE),"")</f>
        <v/>
      </c>
      <c r="J267" t="str">
        <f t="shared" si="4"/>
        <v/>
      </c>
    </row>
    <row r="268" spans="9:10">
      <c r="I268" t="str">
        <f>_xlfn.IFNA(VLOOKUP(B268,T_DistName[],3,FALSE),"")</f>
        <v/>
      </c>
      <c r="J268" t="str">
        <f t="shared" si="4"/>
        <v/>
      </c>
    </row>
    <row r="269" spans="9:10">
      <c r="I269" t="str">
        <f>_xlfn.IFNA(VLOOKUP(B269,T_DistName[],3,FALSE),"")</f>
        <v/>
      </c>
      <c r="J269" t="str">
        <f t="shared" si="4"/>
        <v/>
      </c>
    </row>
    <row r="270" spans="9:10">
      <c r="I270" t="str">
        <f>_xlfn.IFNA(VLOOKUP(B270,T_DistName[],3,FALSE),"")</f>
        <v/>
      </c>
      <c r="J270" t="str">
        <f t="shared" si="4"/>
        <v/>
      </c>
    </row>
    <row r="271" spans="9:10">
      <c r="I271" t="str">
        <f>_xlfn.IFNA(VLOOKUP(B271,T_DistName[],3,FALSE),"")</f>
        <v/>
      </c>
      <c r="J271" t="str">
        <f t="shared" si="4"/>
        <v/>
      </c>
    </row>
    <row r="272" spans="9:10">
      <c r="I272" t="str">
        <f>_xlfn.IFNA(VLOOKUP(B272,T_DistName[],3,FALSE),"")</f>
        <v/>
      </c>
      <c r="J272" t="str">
        <f t="shared" si="4"/>
        <v/>
      </c>
    </row>
    <row r="273" spans="9:10">
      <c r="I273" t="str">
        <f>_xlfn.IFNA(VLOOKUP(B273,T_DistName[],3,FALSE),"")</f>
        <v/>
      </c>
      <c r="J273" t="str">
        <f t="shared" si="4"/>
        <v/>
      </c>
    </row>
    <row r="274" spans="9:10">
      <c r="I274" t="str">
        <f>_xlfn.IFNA(VLOOKUP(B274,T_DistName[],3,FALSE),"")</f>
        <v/>
      </c>
      <c r="J274" t="str">
        <f t="shared" si="4"/>
        <v/>
      </c>
    </row>
    <row r="275" spans="9:10">
      <c r="I275" t="str">
        <f>_xlfn.IFNA(VLOOKUP(B275,T_DistName[],3,FALSE),"")</f>
        <v/>
      </c>
      <c r="J275" t="str">
        <f t="shared" si="4"/>
        <v/>
      </c>
    </row>
    <row r="276" spans="9:10">
      <c r="I276" t="str">
        <f>_xlfn.IFNA(VLOOKUP(B276,T_DistName[],3,FALSE),"")</f>
        <v/>
      </c>
      <c r="J276" t="str">
        <f t="shared" si="4"/>
        <v/>
      </c>
    </row>
    <row r="277" spans="9:10">
      <c r="I277" t="str">
        <f>_xlfn.IFNA(VLOOKUP(B277,T_DistName[],3,FALSE),"")</f>
        <v/>
      </c>
      <c r="J277" t="str">
        <f t="shared" si="4"/>
        <v/>
      </c>
    </row>
    <row r="278" spans="9:10">
      <c r="I278" t="str">
        <f>_xlfn.IFNA(VLOOKUP(B278,T_DistName[],3,FALSE),"")</f>
        <v/>
      </c>
      <c r="J278" t="str">
        <f t="shared" si="4"/>
        <v/>
      </c>
    </row>
    <row r="279" spans="9:10">
      <c r="I279" t="str">
        <f>_xlfn.IFNA(VLOOKUP(B279,T_DistName[],3,FALSE),"")</f>
        <v/>
      </c>
      <c r="J279" t="str">
        <f t="shared" si="4"/>
        <v/>
      </c>
    </row>
    <row r="280" spans="9:10">
      <c r="I280" t="str">
        <f>_xlfn.IFNA(VLOOKUP(B280,T_DistName[],3,FALSE),"")</f>
        <v/>
      </c>
      <c r="J280" t="str">
        <f t="shared" si="4"/>
        <v/>
      </c>
    </row>
    <row r="281" spans="9:10">
      <c r="I281" t="str">
        <f>_xlfn.IFNA(VLOOKUP(B281,T_DistName[],3,FALSE),"")</f>
        <v/>
      </c>
      <c r="J281" t="str">
        <f t="shared" si="4"/>
        <v/>
      </c>
    </row>
    <row r="282" spans="9:10">
      <c r="I282" t="str">
        <f>_xlfn.IFNA(VLOOKUP(B282,T_DistName[],3,FALSE),"")</f>
        <v/>
      </c>
      <c r="J282" t="str">
        <f t="shared" si="4"/>
        <v/>
      </c>
    </row>
    <row r="283" spans="9:10">
      <c r="I283" t="str">
        <f>_xlfn.IFNA(VLOOKUP(B283,T_DistName[],3,FALSE),"")</f>
        <v/>
      </c>
      <c r="J283" t="str">
        <f t="shared" si="4"/>
        <v/>
      </c>
    </row>
    <row r="284" spans="9:10">
      <c r="I284" t="str">
        <f>_xlfn.IFNA(VLOOKUP(B284,T_DistName[],3,FALSE),"")</f>
        <v/>
      </c>
      <c r="J284" t="str">
        <f t="shared" si="4"/>
        <v/>
      </c>
    </row>
    <row r="285" spans="9:10">
      <c r="I285" t="str">
        <f>_xlfn.IFNA(VLOOKUP(B285,T_DistName[],3,FALSE),"")</f>
        <v/>
      </c>
      <c r="J285" t="str">
        <f t="shared" si="4"/>
        <v/>
      </c>
    </row>
    <row r="286" spans="9:10">
      <c r="I286" t="str">
        <f>_xlfn.IFNA(VLOOKUP(B286,T_DistName[],3,FALSE),"")</f>
        <v/>
      </c>
      <c r="J286" t="str">
        <f t="shared" si="4"/>
        <v/>
      </c>
    </row>
    <row r="287" spans="9:10">
      <c r="I287" t="str">
        <f>_xlfn.IFNA(VLOOKUP(B287,T_DistName[],3,FALSE),"")</f>
        <v/>
      </c>
      <c r="J287" t="str">
        <f t="shared" si="4"/>
        <v/>
      </c>
    </row>
    <row r="288" spans="9:10">
      <c r="I288" t="str">
        <f>_xlfn.IFNA(VLOOKUP(B288,T_DistName[],3,FALSE),"")</f>
        <v/>
      </c>
      <c r="J288" t="str">
        <f t="shared" si="4"/>
        <v/>
      </c>
    </row>
    <row r="289" spans="9:10">
      <c r="I289" t="str">
        <f>_xlfn.IFNA(VLOOKUP(B289,T_DistName[],3,FALSE),"")</f>
        <v/>
      </c>
      <c r="J289" t="str">
        <f t="shared" si="4"/>
        <v/>
      </c>
    </row>
    <row r="290" spans="9:10">
      <c r="I290" t="str">
        <f>_xlfn.IFNA(VLOOKUP(B290,T_DistName[],3,FALSE),"")</f>
        <v/>
      </c>
      <c r="J290" t="str">
        <f t="shared" si="4"/>
        <v/>
      </c>
    </row>
    <row r="291" spans="9:10">
      <c r="I291" t="str">
        <f>_xlfn.IFNA(VLOOKUP(B291,T_DistName[],3,FALSE),"")</f>
        <v/>
      </c>
      <c r="J291" t="str">
        <f t="shared" si="4"/>
        <v/>
      </c>
    </row>
    <row r="292" spans="9:10">
      <c r="I292" t="str">
        <f>_xlfn.IFNA(VLOOKUP(B292,T_DistName[],3,FALSE),"")</f>
        <v/>
      </c>
      <c r="J292" t="str">
        <f t="shared" si="4"/>
        <v/>
      </c>
    </row>
    <row r="293" spans="9:10">
      <c r="I293" t="str">
        <f>_xlfn.IFNA(VLOOKUP(B293,T_DistName[],3,FALSE),"")</f>
        <v/>
      </c>
      <c r="J293" t="str">
        <f t="shared" si="4"/>
        <v/>
      </c>
    </row>
    <row r="294" spans="9:10">
      <c r="I294" t="str">
        <f>_xlfn.IFNA(VLOOKUP(B294,T_DistName[],3,FALSE),"")</f>
        <v/>
      </c>
      <c r="J294" t="str">
        <f t="shared" si="4"/>
        <v/>
      </c>
    </row>
    <row r="295" spans="9:10">
      <c r="I295" t="str">
        <f>_xlfn.IFNA(VLOOKUP(B295,T_DistName[],3,FALSE),"")</f>
        <v/>
      </c>
      <c r="J295" t="str">
        <f t="shared" si="4"/>
        <v/>
      </c>
    </row>
    <row r="296" spans="9:10">
      <c r="I296" t="str">
        <f>_xlfn.IFNA(VLOOKUP(B296,T_DistName[],3,FALSE),"")</f>
        <v/>
      </c>
      <c r="J296" t="str">
        <f t="shared" si="4"/>
        <v/>
      </c>
    </row>
    <row r="297" spans="9:10">
      <c r="I297" t="str">
        <f>_xlfn.IFNA(VLOOKUP(B297,T_DistName[],3,FALSE),"")</f>
        <v/>
      </c>
      <c r="J297" t="str">
        <f t="shared" si="4"/>
        <v/>
      </c>
    </row>
    <row r="298" spans="9:10">
      <c r="I298" t="str">
        <f>_xlfn.IFNA(VLOOKUP(B298,T_DistName[],3,FALSE),"")</f>
        <v/>
      </c>
      <c r="J298" t="str">
        <f t="shared" si="4"/>
        <v/>
      </c>
    </row>
    <row r="299" spans="9:10">
      <c r="I299" t="str">
        <f>_xlfn.IFNA(VLOOKUP(B299,T_DistName[],3,FALSE),"")</f>
        <v/>
      </c>
      <c r="J299" t="str">
        <f t="shared" si="4"/>
        <v/>
      </c>
    </row>
    <row r="300" spans="9:10">
      <c r="I300" t="str">
        <f>_xlfn.IFNA(VLOOKUP(B300,T_DistName[],3,FALSE),"")</f>
        <v/>
      </c>
      <c r="J300" t="str">
        <f t="shared" si="4"/>
        <v/>
      </c>
    </row>
    <row r="301" spans="9:10">
      <c r="I301" t="str">
        <f>_xlfn.IFNA(VLOOKUP(B301,T_DistName[],3,FALSE),"")</f>
        <v/>
      </c>
      <c r="J301" t="str">
        <f t="shared" si="4"/>
        <v/>
      </c>
    </row>
    <row r="302" spans="9:10">
      <c r="I302" t="str">
        <f>_xlfn.IFNA(VLOOKUP(B302,T_DistName[],3,FALSE),"")</f>
        <v/>
      </c>
      <c r="J302" t="str">
        <f t="shared" si="4"/>
        <v/>
      </c>
    </row>
    <row r="303" spans="9:10">
      <c r="I303" t="str">
        <f>_xlfn.IFNA(VLOOKUP(B303,T_DistName[],3,FALSE),"")</f>
        <v/>
      </c>
      <c r="J303" t="str">
        <f t="shared" si="4"/>
        <v/>
      </c>
    </row>
    <row r="304" spans="9:10">
      <c r="I304" t="str">
        <f>_xlfn.IFNA(VLOOKUP(B304,T_DistName[],3,FALSE),"")</f>
        <v/>
      </c>
      <c r="J304" t="str">
        <f t="shared" si="4"/>
        <v/>
      </c>
    </row>
    <row r="305" spans="9:10">
      <c r="I305" t="str">
        <f>_xlfn.IFNA(VLOOKUP(B305,T_DistName[],3,FALSE),"")</f>
        <v/>
      </c>
      <c r="J305" t="str">
        <f t="shared" si="4"/>
        <v/>
      </c>
    </row>
    <row r="306" spans="9:10">
      <c r="I306" t="str">
        <f>_xlfn.IFNA(VLOOKUP(B306,T_DistName[],3,FALSE),"")</f>
        <v/>
      </c>
      <c r="J306" t="str">
        <f t="shared" si="4"/>
        <v/>
      </c>
    </row>
    <row r="307" spans="9:10">
      <c r="I307" t="str">
        <f>_xlfn.IFNA(VLOOKUP(B307,T_DistName[],3,FALSE),"")</f>
        <v/>
      </c>
      <c r="J307" t="str">
        <f t="shared" si="4"/>
        <v/>
      </c>
    </row>
    <row r="308" spans="9:10">
      <c r="I308" t="str">
        <f>_xlfn.IFNA(VLOOKUP(B308,T_DistName[],3,FALSE),"")</f>
        <v/>
      </c>
      <c r="J308" t="str">
        <f t="shared" si="4"/>
        <v/>
      </c>
    </row>
    <row r="309" spans="9:10">
      <c r="I309" t="str">
        <f>_xlfn.IFNA(VLOOKUP(B309,T_DistName[],3,FALSE),"")</f>
        <v/>
      </c>
      <c r="J309" t="str">
        <f t="shared" si="4"/>
        <v/>
      </c>
    </row>
    <row r="310" spans="9:10">
      <c r="I310" t="str">
        <f>_xlfn.IFNA(VLOOKUP(B310,T_DistName[],3,FALSE),"")</f>
        <v/>
      </c>
      <c r="J310" t="str">
        <f t="shared" si="4"/>
        <v/>
      </c>
    </row>
    <row r="311" spans="9:10">
      <c r="I311" t="str">
        <f>_xlfn.IFNA(VLOOKUP(B311,T_DistName[],3,FALSE),"")</f>
        <v/>
      </c>
      <c r="J311" t="str">
        <f t="shared" si="4"/>
        <v/>
      </c>
    </row>
    <row r="312" spans="9:10">
      <c r="I312" t="str">
        <f>_xlfn.IFNA(VLOOKUP(B312,T_DistName[],3,FALSE),"")</f>
        <v/>
      </c>
      <c r="J312" t="str">
        <f t="shared" si="4"/>
        <v/>
      </c>
    </row>
    <row r="313" spans="9:10">
      <c r="I313" t="str">
        <f>_xlfn.IFNA(VLOOKUP(B313,T_DistName[],3,FALSE),"")</f>
        <v/>
      </c>
      <c r="J313" t="str">
        <f t="shared" si="4"/>
        <v/>
      </c>
    </row>
    <row r="314" spans="9:10">
      <c r="I314" t="str">
        <f>_xlfn.IFNA(VLOOKUP(B314,T_DistName[],3,FALSE),"")</f>
        <v/>
      </c>
      <c r="J314" t="str">
        <f t="shared" si="4"/>
        <v/>
      </c>
    </row>
    <row r="315" spans="9:10">
      <c r="I315" t="str">
        <f>_xlfn.IFNA(VLOOKUP(B315,T_DistName[],3,FALSE),"")</f>
        <v/>
      </c>
      <c r="J315" t="str">
        <f t="shared" si="4"/>
        <v/>
      </c>
    </row>
    <row r="316" spans="9:10">
      <c r="I316" t="str">
        <f>_xlfn.IFNA(VLOOKUP(B316,T_DistName[],3,FALSE),"")</f>
        <v/>
      </c>
      <c r="J316" t="str">
        <f t="shared" si="4"/>
        <v/>
      </c>
    </row>
    <row r="317" spans="9:10">
      <c r="I317" t="str">
        <f>_xlfn.IFNA(VLOOKUP(B317,T_DistName[],3,FALSE),"")</f>
        <v/>
      </c>
      <c r="J317" t="str">
        <f t="shared" si="4"/>
        <v/>
      </c>
    </row>
    <row r="318" spans="9:10">
      <c r="I318" t="str">
        <f>_xlfn.IFNA(VLOOKUP(B318,T_DistName[],3,FALSE),"")</f>
        <v/>
      </c>
      <c r="J318" t="str">
        <f t="shared" si="4"/>
        <v/>
      </c>
    </row>
    <row r="319" spans="9:10">
      <c r="I319" t="str">
        <f>_xlfn.IFNA(VLOOKUP(B319,T_DistName[],3,FALSE),"")</f>
        <v/>
      </c>
      <c r="J319" t="str">
        <f t="shared" si="4"/>
        <v/>
      </c>
    </row>
    <row r="320" spans="9:10">
      <c r="I320" t="str">
        <f>_xlfn.IFNA(VLOOKUP(B320,T_DistName[],3,FALSE),"")</f>
        <v/>
      </c>
      <c r="J320" t="str">
        <f t="shared" si="4"/>
        <v/>
      </c>
    </row>
    <row r="321" spans="9:10">
      <c r="I321" t="str">
        <f>_xlfn.IFNA(VLOOKUP(B321,T_DistName[],3,FALSE),"")</f>
        <v/>
      </c>
      <c r="J321" t="str">
        <f t="shared" si="4"/>
        <v/>
      </c>
    </row>
    <row r="322" spans="9:10">
      <c r="I322" t="str">
        <f>_xlfn.IFNA(VLOOKUP(B322,T_DistName[],3,FALSE),"")</f>
        <v/>
      </c>
      <c r="J322" t="str">
        <f t="shared" si="4"/>
        <v/>
      </c>
    </row>
    <row r="323" spans="9:10">
      <c r="I323" t="str">
        <f>_xlfn.IFNA(VLOOKUP(B323,T_DistName[],3,FALSE),"")</f>
        <v/>
      </c>
      <c r="J323" t="str">
        <f t="shared" si="4"/>
        <v/>
      </c>
    </row>
    <row r="324" spans="9:10">
      <c r="I324" t="str">
        <f>_xlfn.IFNA(VLOOKUP(B324,T_DistName[],3,FALSE),"")</f>
        <v/>
      </c>
      <c r="J324" t="str">
        <f t="shared" ref="J324:J387" si="5">I324&amp;F324</f>
        <v/>
      </c>
    </row>
    <row r="325" spans="9:10">
      <c r="I325" t="str">
        <f>_xlfn.IFNA(VLOOKUP(B325,T_DistName[],3,FALSE),"")</f>
        <v/>
      </c>
      <c r="J325" t="str">
        <f t="shared" si="5"/>
        <v/>
      </c>
    </row>
    <row r="326" spans="9:10">
      <c r="I326" t="str">
        <f>_xlfn.IFNA(VLOOKUP(B326,T_DistName[],3,FALSE),"")</f>
        <v/>
      </c>
      <c r="J326" t="str">
        <f t="shared" si="5"/>
        <v/>
      </c>
    </row>
    <row r="327" spans="9:10">
      <c r="I327" t="str">
        <f>_xlfn.IFNA(VLOOKUP(B327,T_DistName[],3,FALSE),"")</f>
        <v/>
      </c>
      <c r="J327" t="str">
        <f t="shared" si="5"/>
        <v/>
      </c>
    </row>
    <row r="328" spans="9:10">
      <c r="I328" t="str">
        <f>_xlfn.IFNA(VLOOKUP(B328,T_DistName[],3,FALSE),"")</f>
        <v/>
      </c>
      <c r="J328" t="str">
        <f t="shared" si="5"/>
        <v/>
      </c>
    </row>
    <row r="329" spans="9:10">
      <c r="I329" t="str">
        <f>_xlfn.IFNA(VLOOKUP(B329,T_DistName[],3,FALSE),"")</f>
        <v/>
      </c>
      <c r="J329" t="str">
        <f t="shared" si="5"/>
        <v/>
      </c>
    </row>
    <row r="330" spans="9:10">
      <c r="I330" t="str">
        <f>_xlfn.IFNA(VLOOKUP(B330,T_DistName[],3,FALSE),"")</f>
        <v/>
      </c>
      <c r="J330" t="str">
        <f t="shared" si="5"/>
        <v/>
      </c>
    </row>
    <row r="331" spans="9:10">
      <c r="I331" t="str">
        <f>_xlfn.IFNA(VLOOKUP(B331,T_DistName[],3,FALSE),"")</f>
        <v/>
      </c>
      <c r="J331" t="str">
        <f t="shared" si="5"/>
        <v/>
      </c>
    </row>
    <row r="332" spans="9:10">
      <c r="I332" t="str">
        <f>_xlfn.IFNA(VLOOKUP(B332,T_DistName[],3,FALSE),"")</f>
        <v/>
      </c>
      <c r="J332" t="str">
        <f t="shared" si="5"/>
        <v/>
      </c>
    </row>
    <row r="333" spans="9:10">
      <c r="I333" t="str">
        <f>_xlfn.IFNA(VLOOKUP(B333,T_DistName[],3,FALSE),"")</f>
        <v/>
      </c>
      <c r="J333" t="str">
        <f t="shared" si="5"/>
        <v/>
      </c>
    </row>
    <row r="334" spans="9:10">
      <c r="I334" t="str">
        <f>_xlfn.IFNA(VLOOKUP(B334,T_DistName[],3,FALSE),"")</f>
        <v/>
      </c>
      <c r="J334" t="str">
        <f t="shared" si="5"/>
        <v/>
      </c>
    </row>
    <row r="335" spans="9:10">
      <c r="I335" t="str">
        <f>_xlfn.IFNA(VLOOKUP(B335,T_DistName[],3,FALSE),"")</f>
        <v/>
      </c>
      <c r="J335" t="str">
        <f t="shared" si="5"/>
        <v/>
      </c>
    </row>
    <row r="336" spans="9:10">
      <c r="I336" t="str">
        <f>_xlfn.IFNA(VLOOKUP(B336,T_DistName[],3,FALSE),"")</f>
        <v/>
      </c>
      <c r="J336" t="str">
        <f t="shared" si="5"/>
        <v/>
      </c>
    </row>
    <row r="337" spans="9:10">
      <c r="I337" t="str">
        <f>_xlfn.IFNA(VLOOKUP(B337,T_DistName[],3,FALSE),"")</f>
        <v/>
      </c>
      <c r="J337" t="str">
        <f t="shared" si="5"/>
        <v/>
      </c>
    </row>
    <row r="338" spans="9:10">
      <c r="I338" t="str">
        <f>_xlfn.IFNA(VLOOKUP(B338,T_DistName[],3,FALSE),"")</f>
        <v/>
      </c>
      <c r="J338" t="str">
        <f t="shared" si="5"/>
        <v/>
      </c>
    </row>
    <row r="339" spans="9:10">
      <c r="I339" t="str">
        <f>_xlfn.IFNA(VLOOKUP(B339,T_DistName[],3,FALSE),"")</f>
        <v/>
      </c>
      <c r="J339" t="str">
        <f t="shared" si="5"/>
        <v/>
      </c>
    </row>
    <row r="340" spans="9:10">
      <c r="I340" t="str">
        <f>_xlfn.IFNA(VLOOKUP(B340,T_DistName[],3,FALSE),"")</f>
        <v/>
      </c>
      <c r="J340" t="str">
        <f t="shared" si="5"/>
        <v/>
      </c>
    </row>
    <row r="341" spans="9:10">
      <c r="I341" t="str">
        <f>_xlfn.IFNA(VLOOKUP(B341,T_DistName[],3,FALSE),"")</f>
        <v/>
      </c>
      <c r="J341" t="str">
        <f t="shared" si="5"/>
        <v/>
      </c>
    </row>
    <row r="342" spans="9:10">
      <c r="I342" t="str">
        <f>_xlfn.IFNA(VLOOKUP(B342,T_DistName[],3,FALSE),"")</f>
        <v/>
      </c>
      <c r="J342" t="str">
        <f t="shared" si="5"/>
        <v/>
      </c>
    </row>
    <row r="343" spans="9:10">
      <c r="I343" t="str">
        <f>_xlfn.IFNA(VLOOKUP(B343,T_DistName[],3,FALSE),"")</f>
        <v/>
      </c>
      <c r="J343" t="str">
        <f t="shared" si="5"/>
        <v/>
      </c>
    </row>
    <row r="344" spans="9:10">
      <c r="I344" t="str">
        <f>_xlfn.IFNA(VLOOKUP(B344,T_DistName[],3,FALSE),"")</f>
        <v/>
      </c>
      <c r="J344" t="str">
        <f t="shared" si="5"/>
        <v/>
      </c>
    </row>
    <row r="345" spans="9:10">
      <c r="I345" t="str">
        <f>_xlfn.IFNA(VLOOKUP(B345,T_DistName[],3,FALSE),"")</f>
        <v/>
      </c>
      <c r="J345" t="str">
        <f t="shared" si="5"/>
        <v/>
      </c>
    </row>
    <row r="346" spans="9:10">
      <c r="I346" t="str">
        <f>_xlfn.IFNA(VLOOKUP(B346,T_DistName[],3,FALSE),"")</f>
        <v/>
      </c>
      <c r="J346" t="str">
        <f t="shared" si="5"/>
        <v/>
      </c>
    </row>
    <row r="347" spans="9:10">
      <c r="I347" t="str">
        <f>_xlfn.IFNA(VLOOKUP(B347,T_DistName[],3,FALSE),"")</f>
        <v/>
      </c>
      <c r="J347" t="str">
        <f t="shared" si="5"/>
        <v/>
      </c>
    </row>
    <row r="348" spans="9:10">
      <c r="I348" t="str">
        <f>_xlfn.IFNA(VLOOKUP(B348,T_DistName[],3,FALSE),"")</f>
        <v/>
      </c>
      <c r="J348" t="str">
        <f t="shared" si="5"/>
        <v/>
      </c>
    </row>
    <row r="349" spans="9:10">
      <c r="I349" t="str">
        <f>_xlfn.IFNA(VLOOKUP(B349,T_DistName[],3,FALSE),"")</f>
        <v/>
      </c>
      <c r="J349" t="str">
        <f t="shared" si="5"/>
        <v/>
      </c>
    </row>
    <row r="350" spans="9:10">
      <c r="I350" t="str">
        <f>_xlfn.IFNA(VLOOKUP(B350,T_DistName[],3,FALSE),"")</f>
        <v/>
      </c>
      <c r="J350" t="str">
        <f t="shared" si="5"/>
        <v/>
      </c>
    </row>
    <row r="351" spans="9:10">
      <c r="I351" t="str">
        <f>_xlfn.IFNA(VLOOKUP(B351,T_DistName[],3,FALSE),"")</f>
        <v/>
      </c>
      <c r="J351" t="str">
        <f t="shared" si="5"/>
        <v/>
      </c>
    </row>
    <row r="352" spans="9:10">
      <c r="I352" t="str">
        <f>_xlfn.IFNA(VLOOKUP(B352,T_DistName[],3,FALSE),"")</f>
        <v/>
      </c>
      <c r="J352" t="str">
        <f t="shared" si="5"/>
        <v/>
      </c>
    </row>
    <row r="353" spans="9:10">
      <c r="I353" t="str">
        <f>_xlfn.IFNA(VLOOKUP(B353,T_DistName[],3,FALSE),"")</f>
        <v/>
      </c>
      <c r="J353" t="str">
        <f t="shared" si="5"/>
        <v/>
      </c>
    </row>
    <row r="354" spans="9:10">
      <c r="I354" t="str">
        <f>_xlfn.IFNA(VLOOKUP(B354,T_DistName[],3,FALSE),"")</f>
        <v/>
      </c>
      <c r="J354" t="str">
        <f t="shared" si="5"/>
        <v/>
      </c>
    </row>
    <row r="355" spans="9:10">
      <c r="I355" t="str">
        <f>_xlfn.IFNA(VLOOKUP(B355,T_DistName[],3,FALSE),"")</f>
        <v/>
      </c>
      <c r="J355" t="str">
        <f t="shared" si="5"/>
        <v/>
      </c>
    </row>
    <row r="356" spans="9:10">
      <c r="I356" t="str">
        <f>_xlfn.IFNA(VLOOKUP(B356,T_DistName[],3,FALSE),"")</f>
        <v/>
      </c>
      <c r="J356" t="str">
        <f t="shared" si="5"/>
        <v/>
      </c>
    </row>
    <row r="357" spans="9:10">
      <c r="I357" t="str">
        <f>_xlfn.IFNA(VLOOKUP(B357,T_DistName[],3,FALSE),"")</f>
        <v/>
      </c>
      <c r="J357" t="str">
        <f t="shared" si="5"/>
        <v/>
      </c>
    </row>
    <row r="358" spans="9:10">
      <c r="I358" t="str">
        <f>_xlfn.IFNA(VLOOKUP(B358,T_DistName[],3,FALSE),"")</f>
        <v/>
      </c>
      <c r="J358" t="str">
        <f t="shared" si="5"/>
        <v/>
      </c>
    </row>
    <row r="359" spans="9:10">
      <c r="I359" t="str">
        <f>_xlfn.IFNA(VLOOKUP(B359,T_DistName[],3,FALSE),"")</f>
        <v/>
      </c>
      <c r="J359" t="str">
        <f t="shared" si="5"/>
        <v/>
      </c>
    </row>
    <row r="360" spans="9:10">
      <c r="I360" t="str">
        <f>_xlfn.IFNA(VLOOKUP(B360,T_DistName[],3,FALSE),"")</f>
        <v/>
      </c>
      <c r="J360" t="str">
        <f t="shared" si="5"/>
        <v/>
      </c>
    </row>
    <row r="361" spans="9:10">
      <c r="I361" t="str">
        <f>_xlfn.IFNA(VLOOKUP(B361,T_DistName[],3,FALSE),"")</f>
        <v/>
      </c>
      <c r="J361" t="str">
        <f t="shared" si="5"/>
        <v/>
      </c>
    </row>
    <row r="362" spans="9:10">
      <c r="I362" t="str">
        <f>_xlfn.IFNA(VLOOKUP(B362,T_DistName[],3,FALSE),"")</f>
        <v/>
      </c>
      <c r="J362" t="str">
        <f t="shared" si="5"/>
        <v/>
      </c>
    </row>
    <row r="363" spans="9:10">
      <c r="I363" t="str">
        <f>_xlfn.IFNA(VLOOKUP(B363,T_DistName[],3,FALSE),"")</f>
        <v/>
      </c>
      <c r="J363" t="str">
        <f t="shared" si="5"/>
        <v/>
      </c>
    </row>
    <row r="364" spans="9:10">
      <c r="I364" t="str">
        <f>_xlfn.IFNA(VLOOKUP(B364,T_DistName[],3,FALSE),"")</f>
        <v/>
      </c>
      <c r="J364" t="str">
        <f t="shared" si="5"/>
        <v/>
      </c>
    </row>
    <row r="365" spans="9:10">
      <c r="I365" t="str">
        <f>_xlfn.IFNA(VLOOKUP(B365,T_DistName[],3,FALSE),"")</f>
        <v/>
      </c>
      <c r="J365" t="str">
        <f t="shared" si="5"/>
        <v/>
      </c>
    </row>
    <row r="366" spans="9:10">
      <c r="I366" t="str">
        <f>_xlfn.IFNA(VLOOKUP(B366,T_DistName[],3,FALSE),"")</f>
        <v/>
      </c>
      <c r="J366" t="str">
        <f t="shared" si="5"/>
        <v/>
      </c>
    </row>
    <row r="367" spans="9:10">
      <c r="I367" t="str">
        <f>_xlfn.IFNA(VLOOKUP(B367,T_DistName[],3,FALSE),"")</f>
        <v/>
      </c>
      <c r="J367" t="str">
        <f t="shared" si="5"/>
        <v/>
      </c>
    </row>
    <row r="368" spans="9:10">
      <c r="I368" t="str">
        <f>_xlfn.IFNA(VLOOKUP(B368,T_DistName[],3,FALSE),"")</f>
        <v/>
      </c>
      <c r="J368" t="str">
        <f t="shared" si="5"/>
        <v/>
      </c>
    </row>
    <row r="369" spans="9:10">
      <c r="I369" t="str">
        <f>_xlfn.IFNA(VLOOKUP(B369,T_DistName[],3,FALSE),"")</f>
        <v/>
      </c>
      <c r="J369" t="str">
        <f t="shared" si="5"/>
        <v/>
      </c>
    </row>
    <row r="370" spans="9:10">
      <c r="I370" t="str">
        <f>_xlfn.IFNA(VLOOKUP(B370,T_DistName[],3,FALSE),"")</f>
        <v/>
      </c>
      <c r="J370" t="str">
        <f t="shared" si="5"/>
        <v/>
      </c>
    </row>
    <row r="371" spans="9:10">
      <c r="I371" t="str">
        <f>_xlfn.IFNA(VLOOKUP(B371,T_DistName[],3,FALSE),"")</f>
        <v/>
      </c>
      <c r="J371" t="str">
        <f t="shared" si="5"/>
        <v/>
      </c>
    </row>
    <row r="372" spans="9:10">
      <c r="I372" t="str">
        <f>_xlfn.IFNA(VLOOKUP(B372,T_DistName[],3,FALSE),"")</f>
        <v/>
      </c>
      <c r="J372" t="str">
        <f t="shared" si="5"/>
        <v/>
      </c>
    </row>
    <row r="373" spans="9:10">
      <c r="I373" t="str">
        <f>_xlfn.IFNA(VLOOKUP(B373,T_DistName[],3,FALSE),"")</f>
        <v/>
      </c>
      <c r="J373" t="str">
        <f t="shared" si="5"/>
        <v/>
      </c>
    </row>
    <row r="374" spans="9:10">
      <c r="I374" t="str">
        <f>_xlfn.IFNA(VLOOKUP(B374,T_DistName[],3,FALSE),"")</f>
        <v/>
      </c>
      <c r="J374" t="str">
        <f t="shared" si="5"/>
        <v/>
      </c>
    </row>
    <row r="375" spans="9:10">
      <c r="I375" t="str">
        <f>_xlfn.IFNA(VLOOKUP(B375,T_DistName[],3,FALSE),"")</f>
        <v/>
      </c>
      <c r="J375" t="str">
        <f t="shared" si="5"/>
        <v/>
      </c>
    </row>
    <row r="376" spans="9:10">
      <c r="I376" t="str">
        <f>_xlfn.IFNA(VLOOKUP(B376,T_DistName[],3,FALSE),"")</f>
        <v/>
      </c>
      <c r="J376" t="str">
        <f t="shared" si="5"/>
        <v/>
      </c>
    </row>
    <row r="377" spans="9:10">
      <c r="I377" t="str">
        <f>_xlfn.IFNA(VLOOKUP(B377,T_DistName[],3,FALSE),"")</f>
        <v/>
      </c>
      <c r="J377" t="str">
        <f t="shared" si="5"/>
        <v/>
      </c>
    </row>
    <row r="378" spans="9:10">
      <c r="I378" t="str">
        <f>_xlfn.IFNA(VLOOKUP(B378,T_DistName[],3,FALSE),"")</f>
        <v/>
      </c>
      <c r="J378" t="str">
        <f t="shared" si="5"/>
        <v/>
      </c>
    </row>
    <row r="379" spans="9:10">
      <c r="I379" t="str">
        <f>_xlfn.IFNA(VLOOKUP(B379,T_DistName[],3,FALSE),"")</f>
        <v/>
      </c>
      <c r="J379" t="str">
        <f t="shared" si="5"/>
        <v/>
      </c>
    </row>
    <row r="380" spans="9:10">
      <c r="I380" t="str">
        <f>_xlfn.IFNA(VLOOKUP(B380,T_DistName[],3,FALSE),"")</f>
        <v/>
      </c>
      <c r="J380" t="str">
        <f t="shared" si="5"/>
        <v/>
      </c>
    </row>
    <row r="381" spans="9:10">
      <c r="I381" t="str">
        <f>_xlfn.IFNA(VLOOKUP(B381,T_DistName[],3,FALSE),"")</f>
        <v/>
      </c>
      <c r="J381" t="str">
        <f t="shared" si="5"/>
        <v/>
      </c>
    </row>
    <row r="382" spans="9:10">
      <c r="I382" t="str">
        <f>_xlfn.IFNA(VLOOKUP(B382,T_DistName[],3,FALSE),"")</f>
        <v/>
      </c>
      <c r="J382" t="str">
        <f t="shared" si="5"/>
        <v/>
      </c>
    </row>
    <row r="383" spans="9:10">
      <c r="I383" t="str">
        <f>_xlfn.IFNA(VLOOKUP(B383,T_DistName[],3,FALSE),"")</f>
        <v/>
      </c>
      <c r="J383" t="str">
        <f t="shared" si="5"/>
        <v/>
      </c>
    </row>
    <row r="384" spans="9:10">
      <c r="I384" t="str">
        <f>_xlfn.IFNA(VLOOKUP(B384,T_DistName[],3,FALSE),"")</f>
        <v/>
      </c>
      <c r="J384" t="str">
        <f t="shared" si="5"/>
        <v/>
      </c>
    </row>
    <row r="385" spans="9:10">
      <c r="I385" t="str">
        <f>_xlfn.IFNA(VLOOKUP(B385,T_DistName[],3,FALSE),"")</f>
        <v/>
      </c>
      <c r="J385" t="str">
        <f t="shared" si="5"/>
        <v/>
      </c>
    </row>
    <row r="386" spans="9:10">
      <c r="I386" t="str">
        <f>_xlfn.IFNA(VLOOKUP(B386,T_DistName[],3,FALSE),"")</f>
        <v/>
      </c>
      <c r="J386" t="str">
        <f t="shared" si="5"/>
        <v/>
      </c>
    </row>
    <row r="387" spans="9:10">
      <c r="I387" t="str">
        <f>_xlfn.IFNA(VLOOKUP(B387,T_DistName[],3,FALSE),"")</f>
        <v/>
      </c>
      <c r="J387" t="str">
        <f t="shared" si="5"/>
        <v/>
      </c>
    </row>
    <row r="388" spans="9:10">
      <c r="I388" t="str">
        <f>_xlfn.IFNA(VLOOKUP(B388,T_DistName[],3,FALSE),"")</f>
        <v/>
      </c>
      <c r="J388" t="str">
        <f t="shared" ref="J388:J451" si="6">I388&amp;F388</f>
        <v/>
      </c>
    </row>
    <row r="389" spans="9:10">
      <c r="I389" t="str">
        <f>_xlfn.IFNA(VLOOKUP(B389,T_DistName[],3,FALSE),"")</f>
        <v/>
      </c>
      <c r="J389" t="str">
        <f t="shared" si="6"/>
        <v/>
      </c>
    </row>
    <row r="390" spans="9:10">
      <c r="I390" t="str">
        <f>_xlfn.IFNA(VLOOKUP(B390,T_DistName[],3,FALSE),"")</f>
        <v/>
      </c>
      <c r="J390" t="str">
        <f t="shared" si="6"/>
        <v/>
      </c>
    </row>
    <row r="391" spans="9:10">
      <c r="I391" t="str">
        <f>_xlfn.IFNA(VLOOKUP(B391,T_DistName[],3,FALSE),"")</f>
        <v/>
      </c>
      <c r="J391" t="str">
        <f t="shared" si="6"/>
        <v/>
      </c>
    </row>
    <row r="392" spans="9:10">
      <c r="I392" t="str">
        <f>_xlfn.IFNA(VLOOKUP(B392,T_DistName[],3,FALSE),"")</f>
        <v/>
      </c>
      <c r="J392" t="str">
        <f t="shared" si="6"/>
        <v/>
      </c>
    </row>
    <row r="393" spans="9:10">
      <c r="I393" t="str">
        <f>_xlfn.IFNA(VLOOKUP(B393,T_DistName[],3,FALSE),"")</f>
        <v/>
      </c>
      <c r="J393" t="str">
        <f t="shared" si="6"/>
        <v/>
      </c>
    </row>
    <row r="394" spans="9:10">
      <c r="I394" t="str">
        <f>_xlfn.IFNA(VLOOKUP(B394,T_DistName[],3,FALSE),"")</f>
        <v/>
      </c>
      <c r="J394" t="str">
        <f t="shared" si="6"/>
        <v/>
      </c>
    </row>
    <row r="395" spans="9:10">
      <c r="I395" t="str">
        <f>_xlfn.IFNA(VLOOKUP(B395,T_DistName[],3,FALSE),"")</f>
        <v/>
      </c>
      <c r="J395" t="str">
        <f t="shared" si="6"/>
        <v/>
      </c>
    </row>
    <row r="396" spans="9:10">
      <c r="I396" t="str">
        <f>_xlfn.IFNA(VLOOKUP(B396,T_DistName[],3,FALSE),"")</f>
        <v/>
      </c>
      <c r="J396" t="str">
        <f t="shared" si="6"/>
        <v/>
      </c>
    </row>
    <row r="397" spans="9:10">
      <c r="I397" t="str">
        <f>_xlfn.IFNA(VLOOKUP(B397,T_DistName[],3,FALSE),"")</f>
        <v/>
      </c>
      <c r="J397" t="str">
        <f t="shared" si="6"/>
        <v/>
      </c>
    </row>
    <row r="398" spans="9:10">
      <c r="I398" t="str">
        <f>_xlfn.IFNA(VLOOKUP(B398,T_DistName[],3,FALSE),"")</f>
        <v/>
      </c>
      <c r="J398" t="str">
        <f t="shared" si="6"/>
        <v/>
      </c>
    </row>
    <row r="399" spans="9:10">
      <c r="I399" t="str">
        <f>_xlfn.IFNA(VLOOKUP(B399,T_DistName[],3,FALSE),"")</f>
        <v/>
      </c>
      <c r="J399" t="str">
        <f t="shared" si="6"/>
        <v/>
      </c>
    </row>
    <row r="400" spans="9:10">
      <c r="I400" t="str">
        <f>_xlfn.IFNA(VLOOKUP(B400,T_DistName[],3,FALSE),"")</f>
        <v/>
      </c>
      <c r="J400" t="str">
        <f t="shared" si="6"/>
        <v/>
      </c>
    </row>
    <row r="401" spans="9:10">
      <c r="I401" t="str">
        <f>_xlfn.IFNA(VLOOKUP(B401,T_DistName[],3,FALSE),"")</f>
        <v/>
      </c>
      <c r="J401" t="str">
        <f t="shared" si="6"/>
        <v/>
      </c>
    </row>
    <row r="402" spans="9:10">
      <c r="I402" t="str">
        <f>_xlfn.IFNA(VLOOKUP(B402,T_DistName[],3,FALSE),"")</f>
        <v/>
      </c>
      <c r="J402" t="str">
        <f t="shared" si="6"/>
        <v/>
      </c>
    </row>
    <row r="403" spans="9:10">
      <c r="I403" t="str">
        <f>_xlfn.IFNA(VLOOKUP(B403,T_DistName[],3,FALSE),"")</f>
        <v/>
      </c>
      <c r="J403" t="str">
        <f t="shared" si="6"/>
        <v/>
      </c>
    </row>
    <row r="404" spans="9:10">
      <c r="I404" t="str">
        <f>_xlfn.IFNA(VLOOKUP(B404,T_DistName[],3,FALSE),"")</f>
        <v/>
      </c>
      <c r="J404" t="str">
        <f t="shared" si="6"/>
        <v/>
      </c>
    </row>
    <row r="405" spans="9:10">
      <c r="I405" t="str">
        <f>_xlfn.IFNA(VLOOKUP(B405,T_DistName[],3,FALSE),"")</f>
        <v/>
      </c>
      <c r="J405" t="str">
        <f t="shared" si="6"/>
        <v/>
      </c>
    </row>
    <row r="406" spans="9:10">
      <c r="I406" t="str">
        <f>_xlfn.IFNA(VLOOKUP(B406,T_DistName[],3,FALSE),"")</f>
        <v/>
      </c>
      <c r="J406" t="str">
        <f t="shared" si="6"/>
        <v/>
      </c>
    </row>
    <row r="407" spans="9:10">
      <c r="I407" t="str">
        <f>_xlfn.IFNA(VLOOKUP(B407,T_DistName[],3,FALSE),"")</f>
        <v/>
      </c>
      <c r="J407" t="str">
        <f t="shared" si="6"/>
        <v/>
      </c>
    </row>
    <row r="408" spans="9:10">
      <c r="I408" t="str">
        <f>_xlfn.IFNA(VLOOKUP(B408,T_DistName[],3,FALSE),"")</f>
        <v/>
      </c>
      <c r="J408" t="str">
        <f t="shared" si="6"/>
        <v/>
      </c>
    </row>
    <row r="409" spans="9:10">
      <c r="I409" t="str">
        <f>_xlfn.IFNA(VLOOKUP(B409,T_DistName[],3,FALSE),"")</f>
        <v/>
      </c>
      <c r="J409" t="str">
        <f t="shared" si="6"/>
        <v/>
      </c>
    </row>
    <row r="410" spans="9:10">
      <c r="I410" t="str">
        <f>_xlfn.IFNA(VLOOKUP(B410,T_DistName[],3,FALSE),"")</f>
        <v/>
      </c>
      <c r="J410" t="str">
        <f t="shared" si="6"/>
        <v/>
      </c>
    </row>
    <row r="411" spans="9:10">
      <c r="I411" t="str">
        <f>_xlfn.IFNA(VLOOKUP(B411,T_DistName[],3,FALSE),"")</f>
        <v/>
      </c>
      <c r="J411" t="str">
        <f t="shared" si="6"/>
        <v/>
      </c>
    </row>
    <row r="412" spans="9:10">
      <c r="I412" t="str">
        <f>_xlfn.IFNA(VLOOKUP(B412,T_DistName[],3,FALSE),"")</f>
        <v/>
      </c>
      <c r="J412" t="str">
        <f t="shared" si="6"/>
        <v/>
      </c>
    </row>
    <row r="413" spans="9:10">
      <c r="I413" t="str">
        <f>_xlfn.IFNA(VLOOKUP(B413,T_DistName[],3,FALSE),"")</f>
        <v/>
      </c>
      <c r="J413" t="str">
        <f t="shared" si="6"/>
        <v/>
      </c>
    </row>
    <row r="414" spans="9:10">
      <c r="I414" t="str">
        <f>_xlfn.IFNA(VLOOKUP(B414,T_DistName[],3,FALSE),"")</f>
        <v/>
      </c>
      <c r="J414" t="str">
        <f t="shared" si="6"/>
        <v/>
      </c>
    </row>
    <row r="415" spans="9:10">
      <c r="I415" t="str">
        <f>_xlfn.IFNA(VLOOKUP(B415,T_DistName[],3,FALSE),"")</f>
        <v/>
      </c>
      <c r="J415" t="str">
        <f t="shared" si="6"/>
        <v/>
      </c>
    </row>
    <row r="416" spans="9:10">
      <c r="I416" t="str">
        <f>_xlfn.IFNA(VLOOKUP(B416,T_DistName[],3,FALSE),"")</f>
        <v/>
      </c>
      <c r="J416" t="str">
        <f t="shared" si="6"/>
        <v/>
      </c>
    </row>
    <row r="417" spans="9:10">
      <c r="I417" t="str">
        <f>_xlfn.IFNA(VLOOKUP(B417,T_DistName[],3,FALSE),"")</f>
        <v/>
      </c>
      <c r="J417" t="str">
        <f t="shared" si="6"/>
        <v/>
      </c>
    </row>
    <row r="418" spans="9:10">
      <c r="I418" t="str">
        <f>_xlfn.IFNA(VLOOKUP(B418,T_DistName[],3,FALSE),"")</f>
        <v/>
      </c>
      <c r="J418" t="str">
        <f t="shared" si="6"/>
        <v/>
      </c>
    </row>
    <row r="419" spans="9:10">
      <c r="I419" t="str">
        <f>_xlfn.IFNA(VLOOKUP(B419,T_DistName[],3,FALSE),"")</f>
        <v/>
      </c>
      <c r="J419" t="str">
        <f t="shared" si="6"/>
        <v/>
      </c>
    </row>
    <row r="420" spans="9:10">
      <c r="I420" t="str">
        <f>_xlfn.IFNA(VLOOKUP(B420,T_DistName[],3,FALSE),"")</f>
        <v/>
      </c>
      <c r="J420" t="str">
        <f t="shared" si="6"/>
        <v/>
      </c>
    </row>
    <row r="421" spans="9:10">
      <c r="I421" t="str">
        <f>_xlfn.IFNA(VLOOKUP(B421,T_DistName[],3,FALSE),"")</f>
        <v/>
      </c>
      <c r="J421" t="str">
        <f t="shared" si="6"/>
        <v/>
      </c>
    </row>
    <row r="422" spans="9:10">
      <c r="I422" t="str">
        <f>_xlfn.IFNA(VLOOKUP(B422,T_DistName[],3,FALSE),"")</f>
        <v/>
      </c>
      <c r="J422" t="str">
        <f t="shared" si="6"/>
        <v/>
      </c>
    </row>
    <row r="423" spans="9:10">
      <c r="I423" t="str">
        <f>_xlfn.IFNA(VLOOKUP(B423,T_DistName[],3,FALSE),"")</f>
        <v/>
      </c>
      <c r="J423" t="str">
        <f t="shared" si="6"/>
        <v/>
      </c>
    </row>
    <row r="424" spans="9:10">
      <c r="I424" t="str">
        <f>_xlfn.IFNA(VLOOKUP(B424,T_DistName[],3,FALSE),"")</f>
        <v/>
      </c>
      <c r="J424" t="str">
        <f t="shared" si="6"/>
        <v/>
      </c>
    </row>
    <row r="425" spans="9:10">
      <c r="I425" t="str">
        <f>_xlfn.IFNA(VLOOKUP(B425,T_DistName[],3,FALSE),"")</f>
        <v/>
      </c>
      <c r="J425" t="str">
        <f t="shared" si="6"/>
        <v/>
      </c>
    </row>
    <row r="426" spans="9:10">
      <c r="I426" t="str">
        <f>_xlfn.IFNA(VLOOKUP(B426,T_DistName[],3,FALSE),"")</f>
        <v/>
      </c>
      <c r="J426" t="str">
        <f t="shared" si="6"/>
        <v/>
      </c>
    </row>
    <row r="427" spans="9:10">
      <c r="I427" t="str">
        <f>_xlfn.IFNA(VLOOKUP(B427,T_DistName[],3,FALSE),"")</f>
        <v/>
      </c>
      <c r="J427" t="str">
        <f t="shared" si="6"/>
        <v/>
      </c>
    </row>
    <row r="428" spans="9:10">
      <c r="I428" t="str">
        <f>_xlfn.IFNA(VLOOKUP(B428,T_DistName[],3,FALSE),"")</f>
        <v/>
      </c>
      <c r="J428" t="str">
        <f t="shared" si="6"/>
        <v/>
      </c>
    </row>
    <row r="429" spans="9:10">
      <c r="I429" t="str">
        <f>_xlfn.IFNA(VLOOKUP(B429,T_DistName[],3,FALSE),"")</f>
        <v/>
      </c>
      <c r="J429" t="str">
        <f t="shared" si="6"/>
        <v/>
      </c>
    </row>
    <row r="430" spans="9:10">
      <c r="I430" t="str">
        <f>_xlfn.IFNA(VLOOKUP(B430,T_DistName[],3,FALSE),"")</f>
        <v/>
      </c>
      <c r="J430" t="str">
        <f t="shared" si="6"/>
        <v/>
      </c>
    </row>
    <row r="431" spans="9:10">
      <c r="I431" t="str">
        <f>_xlfn.IFNA(VLOOKUP(B431,T_DistName[],3,FALSE),"")</f>
        <v/>
      </c>
      <c r="J431" t="str">
        <f t="shared" si="6"/>
        <v/>
      </c>
    </row>
    <row r="432" spans="9:10">
      <c r="I432" t="str">
        <f>_xlfn.IFNA(VLOOKUP(B432,T_DistName[],3,FALSE),"")</f>
        <v/>
      </c>
      <c r="J432" t="str">
        <f t="shared" si="6"/>
        <v/>
      </c>
    </row>
    <row r="433" spans="9:10">
      <c r="I433" t="str">
        <f>_xlfn.IFNA(VLOOKUP(B433,T_DistName[],3,FALSE),"")</f>
        <v/>
      </c>
      <c r="J433" t="str">
        <f t="shared" si="6"/>
        <v/>
      </c>
    </row>
    <row r="434" spans="9:10">
      <c r="I434" t="str">
        <f>_xlfn.IFNA(VLOOKUP(B434,T_DistName[],3,FALSE),"")</f>
        <v/>
      </c>
      <c r="J434" t="str">
        <f t="shared" si="6"/>
        <v/>
      </c>
    </row>
    <row r="435" spans="9:10">
      <c r="I435" t="str">
        <f>_xlfn.IFNA(VLOOKUP(B435,T_DistName[],3,FALSE),"")</f>
        <v/>
      </c>
      <c r="J435" t="str">
        <f t="shared" si="6"/>
        <v/>
      </c>
    </row>
    <row r="436" spans="9:10">
      <c r="I436" t="str">
        <f>_xlfn.IFNA(VLOOKUP(B436,T_DistName[],3,FALSE),"")</f>
        <v/>
      </c>
      <c r="J436" t="str">
        <f t="shared" si="6"/>
        <v/>
      </c>
    </row>
    <row r="437" spans="9:10">
      <c r="I437" t="str">
        <f>_xlfn.IFNA(VLOOKUP(B437,T_DistName[],3,FALSE),"")</f>
        <v/>
      </c>
      <c r="J437" t="str">
        <f t="shared" si="6"/>
        <v/>
      </c>
    </row>
    <row r="438" spans="9:10">
      <c r="I438" t="str">
        <f>_xlfn.IFNA(VLOOKUP(B438,T_DistName[],3,FALSE),"")</f>
        <v/>
      </c>
      <c r="J438" t="str">
        <f t="shared" si="6"/>
        <v/>
      </c>
    </row>
    <row r="439" spans="9:10">
      <c r="I439" t="str">
        <f>_xlfn.IFNA(VLOOKUP(B439,T_DistName[],3,FALSE),"")</f>
        <v/>
      </c>
      <c r="J439" t="str">
        <f t="shared" si="6"/>
        <v/>
      </c>
    </row>
    <row r="440" spans="9:10">
      <c r="I440" t="str">
        <f>_xlfn.IFNA(VLOOKUP(B440,T_DistName[],3,FALSE),"")</f>
        <v/>
      </c>
      <c r="J440" t="str">
        <f t="shared" si="6"/>
        <v/>
      </c>
    </row>
    <row r="441" spans="9:10">
      <c r="I441" t="str">
        <f>_xlfn.IFNA(VLOOKUP(B441,T_DistName[],3,FALSE),"")</f>
        <v/>
      </c>
      <c r="J441" t="str">
        <f t="shared" si="6"/>
        <v/>
      </c>
    </row>
    <row r="442" spans="9:10">
      <c r="I442" t="str">
        <f>_xlfn.IFNA(VLOOKUP(B442,T_DistName[],3,FALSE),"")</f>
        <v/>
      </c>
      <c r="J442" t="str">
        <f t="shared" si="6"/>
        <v/>
      </c>
    </row>
    <row r="443" spans="9:10">
      <c r="I443" t="str">
        <f>_xlfn.IFNA(VLOOKUP(B443,T_DistName[],3,FALSE),"")</f>
        <v/>
      </c>
      <c r="J443" t="str">
        <f t="shared" si="6"/>
        <v/>
      </c>
    </row>
    <row r="444" spans="9:10">
      <c r="I444" t="str">
        <f>_xlfn.IFNA(VLOOKUP(B444,T_DistName[],3,FALSE),"")</f>
        <v/>
      </c>
      <c r="J444" t="str">
        <f t="shared" si="6"/>
        <v/>
      </c>
    </row>
    <row r="445" spans="9:10">
      <c r="I445" t="str">
        <f>_xlfn.IFNA(VLOOKUP(B445,T_DistName[],3,FALSE),"")</f>
        <v/>
      </c>
      <c r="J445" t="str">
        <f t="shared" si="6"/>
        <v/>
      </c>
    </row>
    <row r="446" spans="9:10">
      <c r="I446" t="str">
        <f>_xlfn.IFNA(VLOOKUP(B446,T_DistName[],3,FALSE),"")</f>
        <v/>
      </c>
      <c r="J446" t="str">
        <f t="shared" si="6"/>
        <v/>
      </c>
    </row>
    <row r="447" spans="9:10">
      <c r="I447" t="str">
        <f>_xlfn.IFNA(VLOOKUP(B447,T_DistName[],3,FALSE),"")</f>
        <v/>
      </c>
      <c r="J447" t="str">
        <f t="shared" si="6"/>
        <v/>
      </c>
    </row>
    <row r="448" spans="9:10">
      <c r="I448" t="str">
        <f>_xlfn.IFNA(VLOOKUP(B448,T_DistName[],3,FALSE),"")</f>
        <v/>
      </c>
      <c r="J448" t="str">
        <f t="shared" si="6"/>
        <v/>
      </c>
    </row>
    <row r="449" spans="9:10">
      <c r="I449" t="str">
        <f>_xlfn.IFNA(VLOOKUP(B449,T_DistName[],3,FALSE),"")</f>
        <v/>
      </c>
      <c r="J449" t="str">
        <f t="shared" si="6"/>
        <v/>
      </c>
    </row>
    <row r="450" spans="9:10">
      <c r="I450" t="str">
        <f>_xlfn.IFNA(VLOOKUP(B450,T_DistName[],3,FALSE),"")</f>
        <v/>
      </c>
      <c r="J450" t="str">
        <f t="shared" si="6"/>
        <v/>
      </c>
    </row>
    <row r="451" spans="9:10">
      <c r="I451" t="str">
        <f>_xlfn.IFNA(VLOOKUP(B451,T_DistName[],3,FALSE),"")</f>
        <v/>
      </c>
      <c r="J451" t="str">
        <f t="shared" si="6"/>
        <v/>
      </c>
    </row>
    <row r="452" spans="9:10">
      <c r="I452" t="str">
        <f>_xlfn.IFNA(VLOOKUP(B452,T_DistName[],3,FALSE),"")</f>
        <v/>
      </c>
      <c r="J452" t="str">
        <f t="shared" ref="J452:J515" si="7">I452&amp;F452</f>
        <v/>
      </c>
    </row>
    <row r="453" spans="9:10">
      <c r="I453" t="str">
        <f>_xlfn.IFNA(VLOOKUP(B453,T_DistName[],3,FALSE),"")</f>
        <v/>
      </c>
      <c r="J453" t="str">
        <f t="shared" si="7"/>
        <v/>
      </c>
    </row>
    <row r="454" spans="9:10">
      <c r="I454" t="str">
        <f>_xlfn.IFNA(VLOOKUP(B454,T_DistName[],3,FALSE),"")</f>
        <v/>
      </c>
      <c r="J454" t="str">
        <f t="shared" si="7"/>
        <v/>
      </c>
    </row>
    <row r="455" spans="9:10">
      <c r="I455" t="str">
        <f>_xlfn.IFNA(VLOOKUP(B455,T_DistName[],3,FALSE),"")</f>
        <v/>
      </c>
      <c r="J455" t="str">
        <f t="shared" si="7"/>
        <v/>
      </c>
    </row>
    <row r="456" spans="9:10">
      <c r="I456" t="str">
        <f>_xlfn.IFNA(VLOOKUP(B456,T_DistName[],3,FALSE),"")</f>
        <v/>
      </c>
      <c r="J456" t="str">
        <f t="shared" si="7"/>
        <v/>
      </c>
    </row>
    <row r="457" spans="9:10">
      <c r="I457" t="str">
        <f>_xlfn.IFNA(VLOOKUP(B457,T_DistName[],3,FALSE),"")</f>
        <v/>
      </c>
      <c r="J457" t="str">
        <f t="shared" si="7"/>
        <v/>
      </c>
    </row>
    <row r="458" spans="9:10">
      <c r="I458" t="str">
        <f>_xlfn.IFNA(VLOOKUP(B458,T_DistName[],3,FALSE),"")</f>
        <v/>
      </c>
      <c r="J458" t="str">
        <f t="shared" si="7"/>
        <v/>
      </c>
    </row>
    <row r="459" spans="9:10">
      <c r="I459" t="str">
        <f>_xlfn.IFNA(VLOOKUP(B459,T_DistName[],3,FALSE),"")</f>
        <v/>
      </c>
      <c r="J459" t="str">
        <f t="shared" si="7"/>
        <v/>
      </c>
    </row>
    <row r="460" spans="9:10">
      <c r="I460" t="str">
        <f>_xlfn.IFNA(VLOOKUP(B460,T_DistName[],3,FALSE),"")</f>
        <v/>
      </c>
      <c r="J460" t="str">
        <f t="shared" si="7"/>
        <v/>
      </c>
    </row>
    <row r="461" spans="9:10">
      <c r="I461" t="str">
        <f>_xlfn.IFNA(VLOOKUP(B461,T_DistName[],3,FALSE),"")</f>
        <v/>
      </c>
      <c r="J461" t="str">
        <f t="shared" si="7"/>
        <v/>
      </c>
    </row>
    <row r="462" spans="9:10">
      <c r="I462" t="str">
        <f>_xlfn.IFNA(VLOOKUP(B462,T_DistName[],3,FALSE),"")</f>
        <v/>
      </c>
      <c r="J462" t="str">
        <f t="shared" si="7"/>
        <v/>
      </c>
    </row>
    <row r="463" spans="9:10">
      <c r="I463" t="str">
        <f>_xlfn.IFNA(VLOOKUP(B463,T_DistName[],3,FALSE),"")</f>
        <v/>
      </c>
      <c r="J463" t="str">
        <f t="shared" si="7"/>
        <v/>
      </c>
    </row>
    <row r="464" spans="9:10">
      <c r="I464" t="str">
        <f>_xlfn.IFNA(VLOOKUP(B464,T_DistName[],3,FALSE),"")</f>
        <v/>
      </c>
      <c r="J464" t="str">
        <f t="shared" si="7"/>
        <v/>
      </c>
    </row>
    <row r="465" spans="9:10">
      <c r="I465" t="str">
        <f>_xlfn.IFNA(VLOOKUP(B465,T_DistName[],3,FALSE),"")</f>
        <v/>
      </c>
      <c r="J465" t="str">
        <f t="shared" si="7"/>
        <v/>
      </c>
    </row>
    <row r="466" spans="9:10">
      <c r="I466" t="str">
        <f>_xlfn.IFNA(VLOOKUP(B466,T_DistName[],3,FALSE),"")</f>
        <v/>
      </c>
      <c r="J466" t="str">
        <f t="shared" si="7"/>
        <v/>
      </c>
    </row>
    <row r="467" spans="9:10">
      <c r="I467" t="str">
        <f>_xlfn.IFNA(VLOOKUP(B467,T_DistName[],3,FALSE),"")</f>
        <v/>
      </c>
      <c r="J467" t="str">
        <f t="shared" si="7"/>
        <v/>
      </c>
    </row>
    <row r="468" spans="9:10">
      <c r="I468" t="str">
        <f>_xlfn.IFNA(VLOOKUP(B468,T_DistName[],3,FALSE),"")</f>
        <v/>
      </c>
      <c r="J468" t="str">
        <f t="shared" si="7"/>
        <v/>
      </c>
    </row>
    <row r="469" spans="9:10">
      <c r="I469" t="str">
        <f>_xlfn.IFNA(VLOOKUP(B469,T_DistName[],3,FALSE),"")</f>
        <v/>
      </c>
      <c r="J469" t="str">
        <f t="shared" si="7"/>
        <v/>
      </c>
    </row>
    <row r="470" spans="9:10">
      <c r="I470" t="str">
        <f>_xlfn.IFNA(VLOOKUP(B470,T_DistName[],3,FALSE),"")</f>
        <v/>
      </c>
      <c r="J470" t="str">
        <f t="shared" si="7"/>
        <v/>
      </c>
    </row>
    <row r="471" spans="9:10">
      <c r="I471" t="str">
        <f>_xlfn.IFNA(VLOOKUP(B471,T_DistName[],3,FALSE),"")</f>
        <v/>
      </c>
      <c r="J471" t="str">
        <f t="shared" si="7"/>
        <v/>
      </c>
    </row>
    <row r="472" spans="9:10">
      <c r="I472" t="str">
        <f>_xlfn.IFNA(VLOOKUP(B472,T_DistName[],3,FALSE),"")</f>
        <v/>
      </c>
      <c r="J472" t="str">
        <f t="shared" si="7"/>
        <v/>
      </c>
    </row>
    <row r="473" spans="9:10">
      <c r="I473" t="str">
        <f>_xlfn.IFNA(VLOOKUP(B473,T_DistName[],3,FALSE),"")</f>
        <v/>
      </c>
      <c r="J473" t="str">
        <f t="shared" si="7"/>
        <v/>
      </c>
    </row>
    <row r="474" spans="9:10">
      <c r="I474" t="str">
        <f>_xlfn.IFNA(VLOOKUP(B474,T_DistName[],3,FALSE),"")</f>
        <v/>
      </c>
      <c r="J474" t="str">
        <f t="shared" si="7"/>
        <v/>
      </c>
    </row>
    <row r="475" spans="9:10">
      <c r="I475" t="str">
        <f>_xlfn.IFNA(VLOOKUP(B475,T_DistName[],3,FALSE),"")</f>
        <v/>
      </c>
      <c r="J475" t="str">
        <f t="shared" si="7"/>
        <v/>
      </c>
    </row>
    <row r="476" spans="9:10">
      <c r="I476" t="str">
        <f>_xlfn.IFNA(VLOOKUP(B476,T_DistName[],3,FALSE),"")</f>
        <v/>
      </c>
      <c r="J476" t="str">
        <f t="shared" si="7"/>
        <v/>
      </c>
    </row>
    <row r="477" spans="9:10">
      <c r="I477" t="str">
        <f>_xlfn.IFNA(VLOOKUP(B477,T_DistName[],3,FALSE),"")</f>
        <v/>
      </c>
      <c r="J477" t="str">
        <f t="shared" si="7"/>
        <v/>
      </c>
    </row>
    <row r="478" spans="9:10">
      <c r="I478" t="str">
        <f>_xlfn.IFNA(VLOOKUP(B478,T_DistName[],3,FALSE),"")</f>
        <v/>
      </c>
      <c r="J478" t="str">
        <f t="shared" si="7"/>
        <v/>
      </c>
    </row>
    <row r="479" spans="9:10">
      <c r="I479" t="str">
        <f>_xlfn.IFNA(VLOOKUP(B479,T_DistName[],3,FALSE),"")</f>
        <v/>
      </c>
      <c r="J479" t="str">
        <f t="shared" si="7"/>
        <v/>
      </c>
    </row>
    <row r="480" spans="9:10">
      <c r="I480" t="str">
        <f>_xlfn.IFNA(VLOOKUP(B480,T_DistName[],3,FALSE),"")</f>
        <v/>
      </c>
      <c r="J480" t="str">
        <f t="shared" si="7"/>
        <v/>
      </c>
    </row>
    <row r="481" spans="9:10">
      <c r="I481" t="str">
        <f>_xlfn.IFNA(VLOOKUP(B481,T_DistName[],3,FALSE),"")</f>
        <v/>
      </c>
      <c r="J481" t="str">
        <f t="shared" si="7"/>
        <v/>
      </c>
    </row>
    <row r="482" spans="9:10">
      <c r="I482" t="str">
        <f>_xlfn.IFNA(VLOOKUP(B482,T_DistName[],3,FALSE),"")</f>
        <v/>
      </c>
      <c r="J482" t="str">
        <f t="shared" si="7"/>
        <v/>
      </c>
    </row>
    <row r="483" spans="9:10">
      <c r="I483" t="str">
        <f>_xlfn.IFNA(VLOOKUP(B483,T_DistName[],3,FALSE),"")</f>
        <v/>
      </c>
      <c r="J483" t="str">
        <f t="shared" si="7"/>
        <v/>
      </c>
    </row>
    <row r="484" spans="9:10">
      <c r="I484" t="str">
        <f>_xlfn.IFNA(VLOOKUP(B484,T_DistName[],3,FALSE),"")</f>
        <v/>
      </c>
      <c r="J484" t="str">
        <f t="shared" si="7"/>
        <v/>
      </c>
    </row>
    <row r="485" spans="9:10">
      <c r="I485" t="str">
        <f>_xlfn.IFNA(VLOOKUP(B485,T_DistName[],3,FALSE),"")</f>
        <v/>
      </c>
      <c r="J485" t="str">
        <f t="shared" si="7"/>
        <v/>
      </c>
    </row>
    <row r="486" spans="9:10">
      <c r="I486" t="str">
        <f>_xlfn.IFNA(VLOOKUP(B486,T_DistName[],3,FALSE),"")</f>
        <v/>
      </c>
      <c r="J486" t="str">
        <f t="shared" si="7"/>
        <v/>
      </c>
    </row>
    <row r="487" spans="9:10">
      <c r="I487" t="str">
        <f>_xlfn.IFNA(VLOOKUP(B487,T_DistName[],3,FALSE),"")</f>
        <v/>
      </c>
      <c r="J487" t="str">
        <f t="shared" si="7"/>
        <v/>
      </c>
    </row>
    <row r="488" spans="9:10">
      <c r="I488" t="str">
        <f>_xlfn.IFNA(VLOOKUP(B488,T_DistName[],3,FALSE),"")</f>
        <v/>
      </c>
      <c r="J488" t="str">
        <f t="shared" si="7"/>
        <v/>
      </c>
    </row>
    <row r="489" spans="9:10">
      <c r="I489" t="str">
        <f>_xlfn.IFNA(VLOOKUP(B489,T_DistName[],3,FALSE),"")</f>
        <v/>
      </c>
      <c r="J489" t="str">
        <f t="shared" si="7"/>
        <v/>
      </c>
    </row>
    <row r="490" spans="9:10">
      <c r="I490" t="str">
        <f>_xlfn.IFNA(VLOOKUP(B490,T_DistName[],3,FALSE),"")</f>
        <v/>
      </c>
      <c r="J490" t="str">
        <f t="shared" si="7"/>
        <v/>
      </c>
    </row>
    <row r="491" spans="9:10">
      <c r="I491" t="str">
        <f>_xlfn.IFNA(VLOOKUP(B491,T_DistName[],3,FALSE),"")</f>
        <v/>
      </c>
      <c r="J491" t="str">
        <f t="shared" si="7"/>
        <v/>
      </c>
    </row>
    <row r="492" spans="9:10">
      <c r="I492" t="str">
        <f>_xlfn.IFNA(VLOOKUP(B492,T_DistName[],3,FALSE),"")</f>
        <v/>
      </c>
      <c r="J492" t="str">
        <f t="shared" si="7"/>
        <v/>
      </c>
    </row>
    <row r="493" spans="9:10">
      <c r="I493" t="str">
        <f>_xlfn.IFNA(VLOOKUP(B493,T_DistName[],3,FALSE),"")</f>
        <v/>
      </c>
      <c r="J493" t="str">
        <f t="shared" si="7"/>
        <v/>
      </c>
    </row>
    <row r="494" spans="9:10">
      <c r="I494" t="str">
        <f>_xlfn.IFNA(VLOOKUP(B494,T_DistName[],3,FALSE),"")</f>
        <v/>
      </c>
      <c r="J494" t="str">
        <f t="shared" si="7"/>
        <v/>
      </c>
    </row>
    <row r="495" spans="9:10">
      <c r="I495" t="str">
        <f>_xlfn.IFNA(VLOOKUP(B495,T_DistName[],3,FALSE),"")</f>
        <v/>
      </c>
      <c r="J495" t="str">
        <f t="shared" si="7"/>
        <v/>
      </c>
    </row>
    <row r="496" spans="9:10">
      <c r="I496" t="str">
        <f>_xlfn.IFNA(VLOOKUP(B496,T_DistName[],3,FALSE),"")</f>
        <v/>
      </c>
      <c r="J496" t="str">
        <f t="shared" si="7"/>
        <v/>
      </c>
    </row>
    <row r="497" spans="9:10">
      <c r="I497" t="str">
        <f>_xlfn.IFNA(VLOOKUP(B497,T_DistName[],3,FALSE),"")</f>
        <v/>
      </c>
      <c r="J497" t="str">
        <f t="shared" si="7"/>
        <v/>
      </c>
    </row>
    <row r="498" spans="9:10">
      <c r="I498" t="str">
        <f>_xlfn.IFNA(VLOOKUP(B498,T_DistName[],3,FALSE),"")</f>
        <v/>
      </c>
      <c r="J498" t="str">
        <f t="shared" si="7"/>
        <v/>
      </c>
    </row>
    <row r="499" spans="9:10">
      <c r="I499" t="str">
        <f>_xlfn.IFNA(VLOOKUP(B499,T_DistName[],3,FALSE),"")</f>
        <v/>
      </c>
      <c r="J499" t="str">
        <f t="shared" si="7"/>
        <v/>
      </c>
    </row>
    <row r="500" spans="9:10">
      <c r="I500" t="str">
        <f>_xlfn.IFNA(VLOOKUP(B500,T_DistName[],3,FALSE),"")</f>
        <v/>
      </c>
      <c r="J500" t="str">
        <f t="shared" si="7"/>
        <v/>
      </c>
    </row>
    <row r="501" spans="9:10">
      <c r="I501" t="str">
        <f>_xlfn.IFNA(VLOOKUP(B501,T_DistName[],3,FALSE),"")</f>
        <v/>
      </c>
      <c r="J501" t="str">
        <f t="shared" si="7"/>
        <v/>
      </c>
    </row>
    <row r="502" spans="9:10">
      <c r="I502" t="str">
        <f>_xlfn.IFNA(VLOOKUP(B502,T_DistName[],3,FALSE),"")</f>
        <v/>
      </c>
      <c r="J502" t="str">
        <f t="shared" si="7"/>
        <v/>
      </c>
    </row>
    <row r="503" spans="9:10">
      <c r="I503" t="str">
        <f>_xlfn.IFNA(VLOOKUP(B503,T_DistName[],3,FALSE),"")</f>
        <v/>
      </c>
      <c r="J503" t="str">
        <f t="shared" si="7"/>
        <v/>
      </c>
    </row>
    <row r="504" spans="9:10">
      <c r="I504" t="str">
        <f>_xlfn.IFNA(VLOOKUP(B504,T_DistName[],3,FALSE),"")</f>
        <v/>
      </c>
      <c r="J504" t="str">
        <f t="shared" si="7"/>
        <v/>
      </c>
    </row>
    <row r="505" spans="9:10">
      <c r="I505" t="str">
        <f>_xlfn.IFNA(VLOOKUP(B505,T_DistName[],3,FALSE),"")</f>
        <v/>
      </c>
      <c r="J505" t="str">
        <f t="shared" si="7"/>
        <v/>
      </c>
    </row>
    <row r="506" spans="9:10">
      <c r="I506" t="str">
        <f>_xlfn.IFNA(VLOOKUP(B506,T_DistName[],3,FALSE),"")</f>
        <v/>
      </c>
      <c r="J506" t="str">
        <f t="shared" si="7"/>
        <v/>
      </c>
    </row>
    <row r="507" spans="9:10">
      <c r="I507" t="str">
        <f>_xlfn.IFNA(VLOOKUP(B507,T_DistName[],3,FALSE),"")</f>
        <v/>
      </c>
      <c r="J507" t="str">
        <f t="shared" si="7"/>
        <v/>
      </c>
    </row>
    <row r="508" spans="9:10">
      <c r="I508" t="str">
        <f>_xlfn.IFNA(VLOOKUP(B508,T_DistName[],3,FALSE),"")</f>
        <v/>
      </c>
      <c r="J508" t="str">
        <f t="shared" si="7"/>
        <v/>
      </c>
    </row>
    <row r="509" spans="9:10">
      <c r="I509" t="str">
        <f>_xlfn.IFNA(VLOOKUP(B509,T_DistName[],3,FALSE),"")</f>
        <v/>
      </c>
      <c r="J509" t="str">
        <f t="shared" si="7"/>
        <v/>
      </c>
    </row>
    <row r="510" spans="9:10">
      <c r="I510" t="str">
        <f>_xlfn.IFNA(VLOOKUP(B510,T_DistName[],3,FALSE),"")</f>
        <v/>
      </c>
      <c r="J510" t="str">
        <f t="shared" si="7"/>
        <v/>
      </c>
    </row>
    <row r="511" spans="9:10">
      <c r="I511" t="str">
        <f>_xlfn.IFNA(VLOOKUP(B511,T_DistName[],3,FALSE),"")</f>
        <v/>
      </c>
      <c r="J511" t="str">
        <f t="shared" si="7"/>
        <v/>
      </c>
    </row>
    <row r="512" spans="9:10">
      <c r="I512" t="str">
        <f>_xlfn.IFNA(VLOOKUP(B512,T_DistName[],3,FALSE),"")</f>
        <v/>
      </c>
      <c r="J512" t="str">
        <f t="shared" si="7"/>
        <v/>
      </c>
    </row>
    <row r="513" spans="9:10">
      <c r="I513" t="str">
        <f>_xlfn.IFNA(VLOOKUP(B513,T_DistName[],3,FALSE),"")</f>
        <v/>
      </c>
      <c r="J513" t="str">
        <f t="shared" si="7"/>
        <v/>
      </c>
    </row>
    <row r="514" spans="9:10">
      <c r="I514" t="str">
        <f>_xlfn.IFNA(VLOOKUP(B514,T_DistName[],3,FALSE),"")</f>
        <v/>
      </c>
      <c r="J514" t="str">
        <f t="shared" si="7"/>
        <v/>
      </c>
    </row>
    <row r="515" spans="9:10">
      <c r="I515" t="str">
        <f>_xlfn.IFNA(VLOOKUP(B515,T_DistName[],3,FALSE),"")</f>
        <v/>
      </c>
      <c r="J515" t="str">
        <f t="shared" si="7"/>
        <v/>
      </c>
    </row>
    <row r="516" spans="9:10">
      <c r="I516" t="str">
        <f>_xlfn.IFNA(VLOOKUP(B516,T_DistName[],3,FALSE),"")</f>
        <v/>
      </c>
      <c r="J516" t="str">
        <f t="shared" ref="J516:J579" si="8">I516&amp;F516</f>
        <v/>
      </c>
    </row>
    <row r="517" spans="9:10">
      <c r="I517" t="str">
        <f>_xlfn.IFNA(VLOOKUP(B517,T_DistName[],3,FALSE),"")</f>
        <v/>
      </c>
      <c r="J517" t="str">
        <f t="shared" si="8"/>
        <v/>
      </c>
    </row>
    <row r="518" spans="9:10">
      <c r="I518" t="str">
        <f>_xlfn.IFNA(VLOOKUP(B518,T_DistName[],3,FALSE),"")</f>
        <v/>
      </c>
      <c r="J518" t="str">
        <f t="shared" si="8"/>
        <v/>
      </c>
    </row>
    <row r="519" spans="9:10">
      <c r="I519" t="str">
        <f>_xlfn.IFNA(VLOOKUP(B519,T_DistName[],3,FALSE),"")</f>
        <v/>
      </c>
      <c r="J519" t="str">
        <f t="shared" si="8"/>
        <v/>
      </c>
    </row>
    <row r="520" spans="9:10">
      <c r="I520" t="str">
        <f>_xlfn.IFNA(VLOOKUP(B520,T_DistName[],3,FALSE),"")</f>
        <v/>
      </c>
      <c r="J520" t="str">
        <f t="shared" si="8"/>
        <v/>
      </c>
    </row>
    <row r="521" spans="9:10">
      <c r="I521" t="str">
        <f>_xlfn.IFNA(VLOOKUP(B521,T_DistName[],3,FALSE),"")</f>
        <v/>
      </c>
      <c r="J521" t="str">
        <f t="shared" si="8"/>
        <v/>
      </c>
    </row>
    <row r="522" spans="9:10">
      <c r="I522" t="str">
        <f>_xlfn.IFNA(VLOOKUP(B522,T_DistName[],3,FALSE),"")</f>
        <v/>
      </c>
      <c r="J522" t="str">
        <f t="shared" si="8"/>
        <v/>
      </c>
    </row>
    <row r="523" spans="9:10">
      <c r="I523" t="str">
        <f>_xlfn.IFNA(VLOOKUP(B523,T_DistName[],3,FALSE),"")</f>
        <v/>
      </c>
      <c r="J523" t="str">
        <f t="shared" si="8"/>
        <v/>
      </c>
    </row>
    <row r="524" spans="9:10">
      <c r="I524" t="str">
        <f>_xlfn.IFNA(VLOOKUP(B524,T_DistName[],3,FALSE),"")</f>
        <v/>
      </c>
      <c r="J524" t="str">
        <f t="shared" si="8"/>
        <v/>
      </c>
    </row>
    <row r="525" spans="9:10">
      <c r="I525" t="str">
        <f>_xlfn.IFNA(VLOOKUP(B525,T_DistName[],3,FALSE),"")</f>
        <v/>
      </c>
      <c r="J525" t="str">
        <f t="shared" si="8"/>
        <v/>
      </c>
    </row>
    <row r="526" spans="9:10">
      <c r="I526" t="str">
        <f>_xlfn.IFNA(VLOOKUP(B526,T_DistName[],3,FALSE),"")</f>
        <v/>
      </c>
      <c r="J526" t="str">
        <f t="shared" si="8"/>
        <v/>
      </c>
    </row>
    <row r="527" spans="9:10">
      <c r="I527" t="str">
        <f>_xlfn.IFNA(VLOOKUP(B527,T_DistName[],3,FALSE),"")</f>
        <v/>
      </c>
      <c r="J527" t="str">
        <f t="shared" si="8"/>
        <v/>
      </c>
    </row>
    <row r="528" spans="9:10">
      <c r="I528" t="str">
        <f>_xlfn.IFNA(VLOOKUP(B528,T_DistName[],3,FALSE),"")</f>
        <v/>
      </c>
      <c r="J528" t="str">
        <f t="shared" si="8"/>
        <v/>
      </c>
    </row>
    <row r="529" spans="9:10">
      <c r="I529" t="str">
        <f>_xlfn.IFNA(VLOOKUP(B529,T_DistName[],3,FALSE),"")</f>
        <v/>
      </c>
      <c r="J529" t="str">
        <f t="shared" si="8"/>
        <v/>
      </c>
    </row>
    <row r="530" spans="9:10">
      <c r="I530" t="str">
        <f>_xlfn.IFNA(VLOOKUP(B530,T_DistName[],3,FALSE),"")</f>
        <v/>
      </c>
      <c r="J530" t="str">
        <f t="shared" si="8"/>
        <v/>
      </c>
    </row>
    <row r="531" spans="9:10">
      <c r="I531" t="str">
        <f>_xlfn.IFNA(VLOOKUP(B531,T_DistName[],3,FALSE),"")</f>
        <v/>
      </c>
      <c r="J531" t="str">
        <f t="shared" si="8"/>
        <v/>
      </c>
    </row>
    <row r="532" spans="9:10">
      <c r="I532" t="str">
        <f>_xlfn.IFNA(VLOOKUP(B532,T_DistName[],3,FALSE),"")</f>
        <v/>
      </c>
      <c r="J532" t="str">
        <f t="shared" si="8"/>
        <v/>
      </c>
    </row>
    <row r="533" spans="9:10">
      <c r="I533" t="str">
        <f>_xlfn.IFNA(VLOOKUP(B533,T_DistName[],3,FALSE),"")</f>
        <v/>
      </c>
      <c r="J533" t="str">
        <f t="shared" si="8"/>
        <v/>
      </c>
    </row>
    <row r="534" spans="9:10">
      <c r="I534" t="str">
        <f>_xlfn.IFNA(VLOOKUP(B534,T_DistName[],3,FALSE),"")</f>
        <v/>
      </c>
      <c r="J534" t="str">
        <f t="shared" si="8"/>
        <v/>
      </c>
    </row>
    <row r="535" spans="9:10">
      <c r="I535" t="str">
        <f>_xlfn.IFNA(VLOOKUP(B535,T_DistName[],3,FALSE),"")</f>
        <v/>
      </c>
      <c r="J535" t="str">
        <f t="shared" si="8"/>
        <v/>
      </c>
    </row>
    <row r="536" spans="9:10">
      <c r="I536" t="str">
        <f>_xlfn.IFNA(VLOOKUP(B536,T_DistName[],3,FALSE),"")</f>
        <v/>
      </c>
      <c r="J536" t="str">
        <f t="shared" si="8"/>
        <v/>
      </c>
    </row>
    <row r="537" spans="9:10">
      <c r="I537" t="str">
        <f>_xlfn.IFNA(VLOOKUP(B537,T_DistName[],3,FALSE),"")</f>
        <v/>
      </c>
      <c r="J537" t="str">
        <f t="shared" si="8"/>
        <v/>
      </c>
    </row>
    <row r="538" spans="9:10">
      <c r="I538" t="str">
        <f>_xlfn.IFNA(VLOOKUP(B538,T_DistName[],3,FALSE),"")</f>
        <v/>
      </c>
      <c r="J538" t="str">
        <f t="shared" si="8"/>
        <v/>
      </c>
    </row>
    <row r="539" spans="9:10">
      <c r="I539" t="str">
        <f>_xlfn.IFNA(VLOOKUP(B539,T_DistName[],3,FALSE),"")</f>
        <v/>
      </c>
      <c r="J539" t="str">
        <f t="shared" si="8"/>
        <v/>
      </c>
    </row>
    <row r="540" spans="9:10">
      <c r="I540" t="str">
        <f>_xlfn.IFNA(VLOOKUP(B540,T_DistName[],3,FALSE),"")</f>
        <v/>
      </c>
      <c r="J540" t="str">
        <f t="shared" si="8"/>
        <v/>
      </c>
    </row>
    <row r="541" spans="9:10">
      <c r="I541" t="str">
        <f>_xlfn.IFNA(VLOOKUP(B541,T_DistName[],3,FALSE),"")</f>
        <v/>
      </c>
      <c r="J541" t="str">
        <f t="shared" si="8"/>
        <v/>
      </c>
    </row>
    <row r="542" spans="9:10">
      <c r="I542" t="str">
        <f>_xlfn.IFNA(VLOOKUP(B542,T_DistName[],3,FALSE),"")</f>
        <v/>
      </c>
      <c r="J542" t="str">
        <f t="shared" si="8"/>
        <v/>
      </c>
    </row>
    <row r="543" spans="9:10">
      <c r="I543" t="str">
        <f>_xlfn.IFNA(VLOOKUP(B543,T_DistName[],3,FALSE),"")</f>
        <v/>
      </c>
      <c r="J543" t="str">
        <f t="shared" si="8"/>
        <v/>
      </c>
    </row>
    <row r="544" spans="9:10">
      <c r="I544" t="str">
        <f>_xlfn.IFNA(VLOOKUP(B544,T_DistName[],3,FALSE),"")</f>
        <v/>
      </c>
      <c r="J544" t="str">
        <f t="shared" si="8"/>
        <v/>
      </c>
    </row>
    <row r="545" spans="9:10">
      <c r="I545" t="str">
        <f>_xlfn.IFNA(VLOOKUP(B545,T_DistName[],3,FALSE),"")</f>
        <v/>
      </c>
      <c r="J545" t="str">
        <f t="shared" si="8"/>
        <v/>
      </c>
    </row>
    <row r="546" spans="9:10">
      <c r="I546" t="str">
        <f>_xlfn.IFNA(VLOOKUP(B546,T_DistName[],3,FALSE),"")</f>
        <v/>
      </c>
      <c r="J546" t="str">
        <f t="shared" si="8"/>
        <v/>
      </c>
    </row>
    <row r="547" spans="9:10">
      <c r="I547" t="str">
        <f>_xlfn.IFNA(VLOOKUP(B547,T_DistName[],3,FALSE),"")</f>
        <v/>
      </c>
      <c r="J547" t="str">
        <f t="shared" si="8"/>
        <v/>
      </c>
    </row>
    <row r="548" spans="9:10">
      <c r="I548" t="str">
        <f>_xlfn.IFNA(VLOOKUP(B548,T_DistName[],3,FALSE),"")</f>
        <v/>
      </c>
      <c r="J548" t="str">
        <f t="shared" si="8"/>
        <v/>
      </c>
    </row>
    <row r="549" spans="9:10">
      <c r="I549" t="str">
        <f>_xlfn.IFNA(VLOOKUP(B549,T_DistName[],3,FALSE),"")</f>
        <v/>
      </c>
      <c r="J549" t="str">
        <f t="shared" si="8"/>
        <v/>
      </c>
    </row>
    <row r="550" spans="9:10">
      <c r="I550" t="str">
        <f>_xlfn.IFNA(VLOOKUP(B550,T_DistName[],3,FALSE),"")</f>
        <v/>
      </c>
      <c r="J550" t="str">
        <f t="shared" si="8"/>
        <v/>
      </c>
    </row>
    <row r="551" spans="9:10">
      <c r="I551" t="str">
        <f>_xlfn.IFNA(VLOOKUP(B551,T_DistName[],3,FALSE),"")</f>
        <v/>
      </c>
      <c r="J551" t="str">
        <f t="shared" si="8"/>
        <v/>
      </c>
    </row>
    <row r="552" spans="9:10">
      <c r="I552" t="str">
        <f>_xlfn.IFNA(VLOOKUP(B552,T_DistName[],3,FALSE),"")</f>
        <v/>
      </c>
      <c r="J552" t="str">
        <f t="shared" si="8"/>
        <v/>
      </c>
    </row>
    <row r="553" spans="9:10">
      <c r="I553" t="str">
        <f>_xlfn.IFNA(VLOOKUP(B553,T_DistName[],3,FALSE),"")</f>
        <v/>
      </c>
      <c r="J553" t="str">
        <f t="shared" si="8"/>
        <v/>
      </c>
    </row>
    <row r="554" spans="9:10">
      <c r="I554" t="str">
        <f>_xlfn.IFNA(VLOOKUP(B554,T_DistName[],3,FALSE),"")</f>
        <v/>
      </c>
      <c r="J554" t="str">
        <f t="shared" si="8"/>
        <v/>
      </c>
    </row>
    <row r="555" spans="9:10">
      <c r="I555" t="str">
        <f>_xlfn.IFNA(VLOOKUP(B555,T_DistName[],3,FALSE),"")</f>
        <v/>
      </c>
      <c r="J555" t="str">
        <f t="shared" si="8"/>
        <v/>
      </c>
    </row>
    <row r="556" spans="9:10">
      <c r="I556" t="str">
        <f>_xlfn.IFNA(VLOOKUP(B556,T_DistName[],3,FALSE),"")</f>
        <v/>
      </c>
      <c r="J556" t="str">
        <f t="shared" si="8"/>
        <v/>
      </c>
    </row>
    <row r="557" spans="9:10">
      <c r="I557" t="str">
        <f>_xlfn.IFNA(VLOOKUP(B557,T_DistName[],3,FALSE),"")</f>
        <v/>
      </c>
      <c r="J557" t="str">
        <f t="shared" si="8"/>
        <v/>
      </c>
    </row>
    <row r="558" spans="9:10">
      <c r="I558" t="str">
        <f>_xlfn.IFNA(VLOOKUP(B558,T_DistName[],3,FALSE),"")</f>
        <v/>
      </c>
      <c r="J558" t="str">
        <f t="shared" si="8"/>
        <v/>
      </c>
    </row>
    <row r="559" spans="9:10">
      <c r="I559" t="str">
        <f>_xlfn.IFNA(VLOOKUP(B559,T_DistName[],3,FALSE),"")</f>
        <v/>
      </c>
      <c r="J559" t="str">
        <f t="shared" si="8"/>
        <v/>
      </c>
    </row>
    <row r="560" spans="9:10">
      <c r="I560" t="str">
        <f>_xlfn.IFNA(VLOOKUP(B560,T_DistName[],3,FALSE),"")</f>
        <v/>
      </c>
      <c r="J560" t="str">
        <f t="shared" si="8"/>
        <v/>
      </c>
    </row>
    <row r="561" spans="9:10">
      <c r="I561" t="str">
        <f>_xlfn.IFNA(VLOOKUP(B561,T_DistName[],3,FALSE),"")</f>
        <v/>
      </c>
      <c r="J561" t="str">
        <f t="shared" si="8"/>
        <v/>
      </c>
    </row>
    <row r="562" spans="9:10">
      <c r="I562" t="str">
        <f>_xlfn.IFNA(VLOOKUP(B562,T_DistName[],3,FALSE),"")</f>
        <v/>
      </c>
      <c r="J562" t="str">
        <f t="shared" si="8"/>
        <v/>
      </c>
    </row>
    <row r="563" spans="9:10">
      <c r="I563" t="str">
        <f>_xlfn.IFNA(VLOOKUP(B563,T_DistName[],3,FALSE),"")</f>
        <v/>
      </c>
      <c r="J563" t="str">
        <f t="shared" si="8"/>
        <v/>
      </c>
    </row>
    <row r="564" spans="9:10">
      <c r="I564" t="str">
        <f>_xlfn.IFNA(VLOOKUP(B564,T_DistName[],3,FALSE),"")</f>
        <v/>
      </c>
      <c r="J564" t="str">
        <f t="shared" si="8"/>
        <v/>
      </c>
    </row>
    <row r="565" spans="9:10">
      <c r="I565" t="str">
        <f>_xlfn.IFNA(VLOOKUP(B565,T_DistName[],3,FALSE),"")</f>
        <v/>
      </c>
      <c r="J565" t="str">
        <f t="shared" si="8"/>
        <v/>
      </c>
    </row>
    <row r="566" spans="9:10">
      <c r="I566" t="str">
        <f>_xlfn.IFNA(VLOOKUP(B566,T_DistName[],3,FALSE),"")</f>
        <v/>
      </c>
      <c r="J566" t="str">
        <f t="shared" si="8"/>
        <v/>
      </c>
    </row>
    <row r="567" spans="9:10">
      <c r="I567" t="str">
        <f>_xlfn.IFNA(VLOOKUP(B567,T_DistName[],3,FALSE),"")</f>
        <v/>
      </c>
      <c r="J567" t="str">
        <f t="shared" si="8"/>
        <v/>
      </c>
    </row>
    <row r="568" spans="9:10">
      <c r="I568" t="str">
        <f>_xlfn.IFNA(VLOOKUP(B568,T_DistName[],3,FALSE),"")</f>
        <v/>
      </c>
      <c r="J568" t="str">
        <f t="shared" si="8"/>
        <v/>
      </c>
    </row>
    <row r="569" spans="9:10">
      <c r="I569" t="str">
        <f>_xlfn.IFNA(VLOOKUP(B569,T_DistName[],3,FALSE),"")</f>
        <v/>
      </c>
      <c r="J569" t="str">
        <f t="shared" si="8"/>
        <v/>
      </c>
    </row>
    <row r="570" spans="9:10">
      <c r="I570" t="str">
        <f>_xlfn.IFNA(VLOOKUP(B570,T_DistName[],3,FALSE),"")</f>
        <v/>
      </c>
      <c r="J570" t="str">
        <f t="shared" si="8"/>
        <v/>
      </c>
    </row>
    <row r="571" spans="9:10">
      <c r="I571" t="str">
        <f>_xlfn.IFNA(VLOOKUP(B571,T_DistName[],3,FALSE),"")</f>
        <v/>
      </c>
      <c r="J571" t="str">
        <f t="shared" si="8"/>
        <v/>
      </c>
    </row>
    <row r="572" spans="9:10">
      <c r="I572" t="str">
        <f>_xlfn.IFNA(VLOOKUP(B572,T_DistName[],3,FALSE),"")</f>
        <v/>
      </c>
      <c r="J572" t="str">
        <f t="shared" si="8"/>
        <v/>
      </c>
    </row>
    <row r="573" spans="9:10">
      <c r="I573" t="str">
        <f>_xlfn.IFNA(VLOOKUP(B573,T_DistName[],3,FALSE),"")</f>
        <v/>
      </c>
      <c r="J573" t="str">
        <f t="shared" si="8"/>
        <v/>
      </c>
    </row>
    <row r="574" spans="9:10">
      <c r="I574" t="str">
        <f>_xlfn.IFNA(VLOOKUP(B574,T_DistName[],3,FALSE),"")</f>
        <v/>
      </c>
      <c r="J574" t="str">
        <f t="shared" si="8"/>
        <v/>
      </c>
    </row>
    <row r="575" spans="9:10">
      <c r="I575" t="str">
        <f>_xlfn.IFNA(VLOOKUP(B575,T_DistName[],3,FALSE),"")</f>
        <v/>
      </c>
      <c r="J575" t="str">
        <f t="shared" si="8"/>
        <v/>
      </c>
    </row>
    <row r="576" spans="9:10">
      <c r="I576" t="str">
        <f>_xlfn.IFNA(VLOOKUP(B576,T_DistName[],3,FALSE),"")</f>
        <v/>
      </c>
      <c r="J576" t="str">
        <f t="shared" si="8"/>
        <v/>
      </c>
    </row>
    <row r="577" spans="9:10">
      <c r="I577" t="str">
        <f>_xlfn.IFNA(VLOOKUP(B577,T_DistName[],3,FALSE),"")</f>
        <v/>
      </c>
      <c r="J577" t="str">
        <f t="shared" si="8"/>
        <v/>
      </c>
    </row>
    <row r="578" spans="9:10">
      <c r="I578" t="str">
        <f>_xlfn.IFNA(VLOOKUP(B578,T_DistName[],3,FALSE),"")</f>
        <v/>
      </c>
      <c r="J578" t="str">
        <f t="shared" si="8"/>
        <v/>
      </c>
    </row>
    <row r="579" spans="9:10">
      <c r="I579" t="str">
        <f>_xlfn.IFNA(VLOOKUP(B579,T_DistName[],3,FALSE),"")</f>
        <v/>
      </c>
      <c r="J579" t="str">
        <f t="shared" si="8"/>
        <v/>
      </c>
    </row>
    <row r="580" spans="9:10">
      <c r="I580" t="str">
        <f>_xlfn.IFNA(VLOOKUP(B580,T_DistName[],3,FALSE),"")</f>
        <v/>
      </c>
      <c r="J580" t="str">
        <f t="shared" ref="J580:J600" si="9">I580&amp;F580</f>
        <v/>
      </c>
    </row>
    <row r="581" spans="9:10">
      <c r="I581" t="str">
        <f>_xlfn.IFNA(VLOOKUP(B581,T_DistName[],3,FALSE),"")</f>
        <v/>
      </c>
      <c r="J581" t="str">
        <f t="shared" si="9"/>
        <v/>
      </c>
    </row>
    <row r="582" spans="9:10">
      <c r="I582" t="str">
        <f>_xlfn.IFNA(VLOOKUP(B582,T_DistName[],3,FALSE),"")</f>
        <v/>
      </c>
      <c r="J582" t="str">
        <f t="shared" si="9"/>
        <v/>
      </c>
    </row>
    <row r="583" spans="9:10">
      <c r="I583" t="str">
        <f>_xlfn.IFNA(VLOOKUP(B583,T_DistName[],3,FALSE),"")</f>
        <v/>
      </c>
      <c r="J583" t="str">
        <f t="shared" si="9"/>
        <v/>
      </c>
    </row>
    <row r="584" spans="9:10">
      <c r="I584" t="str">
        <f>_xlfn.IFNA(VLOOKUP(B584,T_DistName[],3,FALSE),"")</f>
        <v/>
      </c>
      <c r="J584" t="str">
        <f t="shared" si="9"/>
        <v/>
      </c>
    </row>
    <row r="585" spans="9:10">
      <c r="I585" t="str">
        <f>_xlfn.IFNA(VLOOKUP(B585,T_DistName[],3,FALSE),"")</f>
        <v/>
      </c>
      <c r="J585" t="str">
        <f t="shared" si="9"/>
        <v/>
      </c>
    </row>
    <row r="586" spans="9:10">
      <c r="I586" t="str">
        <f>_xlfn.IFNA(VLOOKUP(B586,T_DistName[],3,FALSE),"")</f>
        <v/>
      </c>
      <c r="J586" t="str">
        <f t="shared" si="9"/>
        <v/>
      </c>
    </row>
    <row r="587" spans="9:10">
      <c r="I587" t="str">
        <f>_xlfn.IFNA(VLOOKUP(B587,T_DistName[],3,FALSE),"")</f>
        <v/>
      </c>
      <c r="J587" t="str">
        <f t="shared" si="9"/>
        <v/>
      </c>
    </row>
    <row r="588" spans="9:10">
      <c r="I588" t="str">
        <f>_xlfn.IFNA(VLOOKUP(B588,T_DistName[],3,FALSE),"")</f>
        <v/>
      </c>
      <c r="J588" t="str">
        <f t="shared" si="9"/>
        <v/>
      </c>
    </row>
    <row r="589" spans="9:10">
      <c r="I589" t="str">
        <f>_xlfn.IFNA(VLOOKUP(B589,T_DistName[],3,FALSE),"")</f>
        <v/>
      </c>
      <c r="J589" t="str">
        <f t="shared" si="9"/>
        <v/>
      </c>
    </row>
    <row r="590" spans="9:10">
      <c r="I590" t="str">
        <f>_xlfn.IFNA(VLOOKUP(B590,T_DistName[],3,FALSE),"")</f>
        <v/>
      </c>
      <c r="J590" t="str">
        <f t="shared" si="9"/>
        <v/>
      </c>
    </row>
    <row r="591" spans="9:10">
      <c r="I591" t="str">
        <f>_xlfn.IFNA(VLOOKUP(B591,T_DistName[],3,FALSE),"")</f>
        <v/>
      </c>
      <c r="J591" t="str">
        <f t="shared" si="9"/>
        <v/>
      </c>
    </row>
    <row r="592" spans="9:10">
      <c r="I592" t="str">
        <f>_xlfn.IFNA(VLOOKUP(B592,T_DistName[],3,FALSE),"")</f>
        <v/>
      </c>
      <c r="J592" t="str">
        <f t="shared" si="9"/>
        <v/>
      </c>
    </row>
    <row r="593" spans="9:10">
      <c r="I593" t="str">
        <f>_xlfn.IFNA(VLOOKUP(B593,T_DistName[],3,FALSE),"")</f>
        <v/>
      </c>
      <c r="J593" t="str">
        <f t="shared" si="9"/>
        <v/>
      </c>
    </row>
    <row r="594" spans="9:10">
      <c r="I594" t="str">
        <f>_xlfn.IFNA(VLOOKUP(B594,T_DistName[],3,FALSE),"")</f>
        <v/>
      </c>
      <c r="J594" t="str">
        <f t="shared" si="9"/>
        <v/>
      </c>
    </row>
    <row r="595" spans="9:10">
      <c r="I595" t="str">
        <f>_xlfn.IFNA(VLOOKUP(B595,T_DistName[],3,FALSE),"")</f>
        <v/>
      </c>
      <c r="J595" t="str">
        <f t="shared" si="9"/>
        <v/>
      </c>
    </row>
    <row r="596" spans="9:10">
      <c r="I596" t="str">
        <f>_xlfn.IFNA(VLOOKUP(B596,T_DistName[],3,FALSE),"")</f>
        <v/>
      </c>
      <c r="J596" t="str">
        <f t="shared" si="9"/>
        <v/>
      </c>
    </row>
    <row r="597" spans="9:10">
      <c r="I597" t="str">
        <f>_xlfn.IFNA(VLOOKUP(B597,T_DistName[],3,FALSE),"")</f>
        <v/>
      </c>
      <c r="J597" t="str">
        <f t="shared" si="9"/>
        <v/>
      </c>
    </row>
    <row r="598" spans="9:10">
      <c r="I598" t="str">
        <f>_xlfn.IFNA(VLOOKUP(B598,T_DistName[],3,FALSE),"")</f>
        <v/>
      </c>
      <c r="J598" t="str">
        <f t="shared" si="9"/>
        <v/>
      </c>
    </row>
    <row r="599" spans="9:10">
      <c r="I599" t="str">
        <f>_xlfn.IFNA(VLOOKUP(B599,T_DistName[],3,FALSE),"")</f>
        <v/>
      </c>
      <c r="J599" t="str">
        <f t="shared" si="9"/>
        <v/>
      </c>
    </row>
    <row r="600" spans="9:10">
      <c r="I600" t="str">
        <f>_xlfn.IFNA(VLOOKUP(B600,T_DistName[],3,FALSE),"")</f>
        <v/>
      </c>
      <c r="J600" t="str">
        <f t="shared" si="9"/>
        <v/>
      </c>
    </row>
    <row r="601" spans="9:10">
      <c r="I601" t="str">
        <f>_xlfn.IFNA(VLOOKUP(B601,T_DistName[],3,FALSE),"")</f>
        <v/>
      </c>
      <c r="J601" t="str">
        <f t="shared" ref="J601:J664" si="10">I601&amp;F601</f>
        <v/>
      </c>
    </row>
    <row r="602" spans="9:10">
      <c r="I602" t="str">
        <f>_xlfn.IFNA(VLOOKUP(B602,T_DistName[],3,FALSE),"")</f>
        <v/>
      </c>
      <c r="J602" t="str">
        <f t="shared" si="10"/>
        <v/>
      </c>
    </row>
    <row r="603" spans="9:10">
      <c r="I603" t="str">
        <f>_xlfn.IFNA(VLOOKUP(B603,T_DistName[],3,FALSE),"")</f>
        <v/>
      </c>
      <c r="J603" t="str">
        <f t="shared" si="10"/>
        <v/>
      </c>
    </row>
    <row r="604" spans="9:10">
      <c r="I604" t="str">
        <f>_xlfn.IFNA(VLOOKUP(B604,T_DistName[],3,FALSE),"")</f>
        <v/>
      </c>
      <c r="J604" t="str">
        <f t="shared" si="10"/>
        <v/>
      </c>
    </row>
    <row r="605" spans="9:10">
      <c r="I605" t="str">
        <f>_xlfn.IFNA(VLOOKUP(B605,T_DistName[],3,FALSE),"")</f>
        <v/>
      </c>
      <c r="J605" t="str">
        <f t="shared" si="10"/>
        <v/>
      </c>
    </row>
    <row r="606" spans="9:10">
      <c r="I606" t="str">
        <f>_xlfn.IFNA(VLOOKUP(B606,T_DistName[],3,FALSE),"")</f>
        <v/>
      </c>
      <c r="J606" t="str">
        <f t="shared" si="10"/>
        <v/>
      </c>
    </row>
    <row r="607" spans="9:10">
      <c r="I607" t="str">
        <f>_xlfn.IFNA(VLOOKUP(B607,T_DistName[],3,FALSE),"")</f>
        <v/>
      </c>
      <c r="J607" t="str">
        <f t="shared" si="10"/>
        <v/>
      </c>
    </row>
    <row r="608" spans="9:10">
      <c r="I608" t="str">
        <f>_xlfn.IFNA(VLOOKUP(B608,T_DistName[],3,FALSE),"")</f>
        <v/>
      </c>
      <c r="J608" t="str">
        <f t="shared" si="10"/>
        <v/>
      </c>
    </row>
    <row r="609" spans="9:10">
      <c r="I609" t="str">
        <f>_xlfn.IFNA(VLOOKUP(B609,T_DistName[],3,FALSE),"")</f>
        <v/>
      </c>
      <c r="J609" t="str">
        <f t="shared" si="10"/>
        <v/>
      </c>
    </row>
    <row r="610" spans="9:10">
      <c r="I610" t="str">
        <f>_xlfn.IFNA(VLOOKUP(B610,T_DistName[],3,FALSE),"")</f>
        <v/>
      </c>
      <c r="J610" t="str">
        <f t="shared" si="10"/>
        <v/>
      </c>
    </row>
    <row r="611" spans="9:10">
      <c r="I611" t="str">
        <f>_xlfn.IFNA(VLOOKUP(B611,T_DistName[],3,FALSE),"")</f>
        <v/>
      </c>
      <c r="J611" t="str">
        <f t="shared" si="10"/>
        <v/>
      </c>
    </row>
    <row r="612" spans="9:10">
      <c r="I612" t="str">
        <f>_xlfn.IFNA(VLOOKUP(B612,T_DistName[],3,FALSE),"")</f>
        <v/>
      </c>
      <c r="J612" t="str">
        <f t="shared" si="10"/>
        <v/>
      </c>
    </row>
    <row r="613" spans="9:10">
      <c r="I613" t="str">
        <f>_xlfn.IFNA(VLOOKUP(B613,T_DistName[],3,FALSE),"")</f>
        <v/>
      </c>
      <c r="J613" t="str">
        <f t="shared" si="10"/>
        <v/>
      </c>
    </row>
    <row r="614" spans="9:10">
      <c r="I614" t="str">
        <f>_xlfn.IFNA(VLOOKUP(B614,T_DistName[],3,FALSE),"")</f>
        <v/>
      </c>
      <c r="J614" t="str">
        <f t="shared" si="10"/>
        <v/>
      </c>
    </row>
    <row r="615" spans="9:10">
      <c r="I615" t="str">
        <f>_xlfn.IFNA(VLOOKUP(B615,T_DistName[],3,FALSE),"")</f>
        <v/>
      </c>
      <c r="J615" t="str">
        <f t="shared" si="10"/>
        <v/>
      </c>
    </row>
    <row r="616" spans="9:10">
      <c r="I616" t="str">
        <f>_xlfn.IFNA(VLOOKUP(B616,T_DistName[],3,FALSE),"")</f>
        <v/>
      </c>
      <c r="J616" t="str">
        <f t="shared" si="10"/>
        <v/>
      </c>
    </row>
    <row r="617" spans="9:10">
      <c r="I617" t="str">
        <f>_xlfn.IFNA(VLOOKUP(B617,T_DistName[],3,FALSE),"")</f>
        <v/>
      </c>
      <c r="J617" t="str">
        <f t="shared" si="10"/>
        <v/>
      </c>
    </row>
    <row r="618" spans="9:10">
      <c r="I618" t="str">
        <f>_xlfn.IFNA(VLOOKUP(B618,T_DistName[],3,FALSE),"")</f>
        <v/>
      </c>
      <c r="J618" t="str">
        <f t="shared" si="10"/>
        <v/>
      </c>
    </row>
    <row r="619" spans="9:10">
      <c r="I619" t="str">
        <f>_xlfn.IFNA(VLOOKUP(B619,T_DistName[],3,FALSE),"")</f>
        <v/>
      </c>
      <c r="J619" t="str">
        <f t="shared" si="10"/>
        <v/>
      </c>
    </row>
    <row r="620" spans="9:10">
      <c r="I620" t="str">
        <f>_xlfn.IFNA(VLOOKUP(B620,T_DistName[],3,FALSE),"")</f>
        <v/>
      </c>
      <c r="J620" t="str">
        <f t="shared" si="10"/>
        <v/>
      </c>
    </row>
    <row r="621" spans="9:10">
      <c r="I621" t="str">
        <f>_xlfn.IFNA(VLOOKUP(B621,T_DistName[],3,FALSE),"")</f>
        <v/>
      </c>
      <c r="J621" t="str">
        <f t="shared" si="10"/>
        <v/>
      </c>
    </row>
    <row r="622" spans="9:10">
      <c r="I622" t="str">
        <f>_xlfn.IFNA(VLOOKUP(B622,T_DistName[],3,FALSE),"")</f>
        <v/>
      </c>
      <c r="J622" t="str">
        <f t="shared" si="10"/>
        <v/>
      </c>
    </row>
    <row r="623" spans="9:10">
      <c r="I623" t="str">
        <f>_xlfn.IFNA(VLOOKUP(B623,T_DistName[],3,FALSE),"")</f>
        <v/>
      </c>
      <c r="J623" t="str">
        <f t="shared" si="10"/>
        <v/>
      </c>
    </row>
    <row r="624" spans="9:10">
      <c r="I624" t="str">
        <f>_xlfn.IFNA(VLOOKUP(B624,T_DistName[],3,FALSE),"")</f>
        <v/>
      </c>
      <c r="J624" t="str">
        <f t="shared" si="10"/>
        <v/>
      </c>
    </row>
    <row r="625" spans="9:10">
      <c r="I625" t="str">
        <f>_xlfn.IFNA(VLOOKUP(B625,T_DistName[],3,FALSE),"")</f>
        <v/>
      </c>
      <c r="J625" t="str">
        <f t="shared" si="10"/>
        <v/>
      </c>
    </row>
    <row r="626" spans="9:10">
      <c r="I626" t="str">
        <f>_xlfn.IFNA(VLOOKUP(B626,T_DistName[],3,FALSE),"")</f>
        <v/>
      </c>
      <c r="J626" t="str">
        <f t="shared" si="10"/>
        <v/>
      </c>
    </row>
    <row r="627" spans="9:10">
      <c r="I627" t="str">
        <f>_xlfn.IFNA(VLOOKUP(B627,T_DistName[],3,FALSE),"")</f>
        <v/>
      </c>
      <c r="J627" t="str">
        <f t="shared" si="10"/>
        <v/>
      </c>
    </row>
    <row r="628" spans="9:10">
      <c r="I628" t="str">
        <f>_xlfn.IFNA(VLOOKUP(B628,T_DistName[],3,FALSE),"")</f>
        <v/>
      </c>
      <c r="J628" t="str">
        <f t="shared" si="10"/>
        <v/>
      </c>
    </row>
    <row r="629" spans="9:10">
      <c r="I629" t="str">
        <f>_xlfn.IFNA(VLOOKUP(B629,T_DistName[],3,FALSE),"")</f>
        <v/>
      </c>
      <c r="J629" t="str">
        <f t="shared" si="10"/>
        <v/>
      </c>
    </row>
    <row r="630" spans="9:10">
      <c r="I630" t="str">
        <f>_xlfn.IFNA(VLOOKUP(B630,T_DistName[],3,FALSE),"")</f>
        <v/>
      </c>
      <c r="J630" t="str">
        <f t="shared" si="10"/>
        <v/>
      </c>
    </row>
    <row r="631" spans="9:10">
      <c r="I631" t="str">
        <f>_xlfn.IFNA(VLOOKUP(B631,T_DistName[],3,FALSE),"")</f>
        <v/>
      </c>
      <c r="J631" t="str">
        <f t="shared" si="10"/>
        <v/>
      </c>
    </row>
    <row r="632" spans="9:10">
      <c r="I632" t="str">
        <f>_xlfn.IFNA(VLOOKUP(B632,T_DistName[],3,FALSE),"")</f>
        <v/>
      </c>
      <c r="J632" t="str">
        <f t="shared" si="10"/>
        <v/>
      </c>
    </row>
    <row r="633" spans="9:10">
      <c r="I633" t="str">
        <f>_xlfn.IFNA(VLOOKUP(B633,T_DistName[],3,FALSE),"")</f>
        <v/>
      </c>
      <c r="J633" t="str">
        <f t="shared" si="10"/>
        <v/>
      </c>
    </row>
    <row r="634" spans="9:10">
      <c r="I634" t="str">
        <f>_xlfn.IFNA(VLOOKUP(B634,T_DistName[],3,FALSE),"")</f>
        <v/>
      </c>
      <c r="J634" t="str">
        <f t="shared" si="10"/>
        <v/>
      </c>
    </row>
    <row r="635" spans="9:10">
      <c r="I635" t="str">
        <f>_xlfn.IFNA(VLOOKUP(B635,T_DistName[],3,FALSE),"")</f>
        <v/>
      </c>
      <c r="J635" t="str">
        <f t="shared" si="10"/>
        <v/>
      </c>
    </row>
    <row r="636" spans="9:10">
      <c r="I636" t="str">
        <f>_xlfn.IFNA(VLOOKUP(B636,T_DistName[],3,FALSE),"")</f>
        <v/>
      </c>
      <c r="J636" t="str">
        <f t="shared" si="10"/>
        <v/>
      </c>
    </row>
    <row r="637" spans="9:10">
      <c r="I637" t="str">
        <f>_xlfn.IFNA(VLOOKUP(B637,T_DistName[],3,FALSE),"")</f>
        <v/>
      </c>
      <c r="J637" t="str">
        <f t="shared" si="10"/>
        <v/>
      </c>
    </row>
    <row r="638" spans="9:10">
      <c r="I638" t="str">
        <f>_xlfn.IFNA(VLOOKUP(B638,T_DistName[],3,FALSE),"")</f>
        <v/>
      </c>
      <c r="J638" t="str">
        <f t="shared" si="10"/>
        <v/>
      </c>
    </row>
    <row r="639" spans="9:10">
      <c r="I639" t="str">
        <f>_xlfn.IFNA(VLOOKUP(B639,T_DistName[],3,FALSE),"")</f>
        <v/>
      </c>
      <c r="J639" t="str">
        <f t="shared" si="10"/>
        <v/>
      </c>
    </row>
    <row r="640" spans="9:10">
      <c r="I640" t="str">
        <f>_xlfn.IFNA(VLOOKUP(B640,T_DistName[],3,FALSE),"")</f>
        <v/>
      </c>
      <c r="J640" t="str">
        <f t="shared" si="10"/>
        <v/>
      </c>
    </row>
    <row r="641" spans="9:10">
      <c r="I641" t="str">
        <f>_xlfn.IFNA(VLOOKUP(B641,T_DistName[],3,FALSE),"")</f>
        <v/>
      </c>
      <c r="J641" t="str">
        <f t="shared" si="10"/>
        <v/>
      </c>
    </row>
    <row r="642" spans="9:10">
      <c r="I642" t="str">
        <f>_xlfn.IFNA(VLOOKUP(B642,T_DistName[],3,FALSE),"")</f>
        <v/>
      </c>
      <c r="J642" t="str">
        <f t="shared" si="10"/>
        <v/>
      </c>
    </row>
    <row r="643" spans="9:10">
      <c r="I643" t="str">
        <f>_xlfn.IFNA(VLOOKUP(B643,T_DistName[],3,FALSE),"")</f>
        <v/>
      </c>
      <c r="J643" t="str">
        <f t="shared" si="10"/>
        <v/>
      </c>
    </row>
    <row r="644" spans="9:10">
      <c r="I644" t="str">
        <f>_xlfn.IFNA(VLOOKUP(B644,T_DistName[],3,FALSE),"")</f>
        <v/>
      </c>
      <c r="J644" t="str">
        <f t="shared" si="10"/>
        <v/>
      </c>
    </row>
    <row r="645" spans="9:10">
      <c r="I645" t="str">
        <f>_xlfn.IFNA(VLOOKUP(B645,T_DistName[],3,FALSE),"")</f>
        <v/>
      </c>
      <c r="J645" t="str">
        <f t="shared" si="10"/>
        <v/>
      </c>
    </row>
    <row r="646" spans="9:10">
      <c r="I646" t="str">
        <f>_xlfn.IFNA(VLOOKUP(B646,T_DistName[],3,FALSE),"")</f>
        <v/>
      </c>
      <c r="J646" t="str">
        <f t="shared" si="10"/>
        <v/>
      </c>
    </row>
    <row r="647" spans="9:10">
      <c r="I647" t="str">
        <f>_xlfn.IFNA(VLOOKUP(B647,T_DistName[],3,FALSE),"")</f>
        <v/>
      </c>
      <c r="J647" t="str">
        <f t="shared" si="10"/>
        <v/>
      </c>
    </row>
    <row r="648" spans="9:10">
      <c r="I648" t="str">
        <f>_xlfn.IFNA(VLOOKUP(B648,T_DistName[],3,FALSE),"")</f>
        <v/>
      </c>
      <c r="J648" t="str">
        <f t="shared" si="10"/>
        <v/>
      </c>
    </row>
    <row r="649" spans="9:10">
      <c r="I649" t="str">
        <f>_xlfn.IFNA(VLOOKUP(B649,T_DistName[],3,FALSE),"")</f>
        <v/>
      </c>
      <c r="J649" t="str">
        <f t="shared" si="10"/>
        <v/>
      </c>
    </row>
    <row r="650" spans="9:10">
      <c r="I650" t="str">
        <f>_xlfn.IFNA(VLOOKUP(B650,T_DistName[],3,FALSE),"")</f>
        <v/>
      </c>
      <c r="J650" t="str">
        <f t="shared" si="10"/>
        <v/>
      </c>
    </row>
    <row r="651" spans="9:10">
      <c r="I651" t="str">
        <f>_xlfn.IFNA(VLOOKUP(B651,T_DistName[],3,FALSE),"")</f>
        <v/>
      </c>
      <c r="J651" t="str">
        <f t="shared" si="10"/>
        <v/>
      </c>
    </row>
    <row r="652" spans="9:10">
      <c r="I652" t="str">
        <f>_xlfn.IFNA(VLOOKUP(B652,T_DistName[],3,FALSE),"")</f>
        <v/>
      </c>
      <c r="J652" t="str">
        <f t="shared" si="10"/>
        <v/>
      </c>
    </row>
    <row r="653" spans="9:10">
      <c r="I653" t="str">
        <f>_xlfn.IFNA(VLOOKUP(B653,T_DistName[],3,FALSE),"")</f>
        <v/>
      </c>
      <c r="J653" t="str">
        <f t="shared" si="10"/>
        <v/>
      </c>
    </row>
    <row r="654" spans="9:10">
      <c r="I654" t="str">
        <f>_xlfn.IFNA(VLOOKUP(B654,T_DistName[],3,FALSE),"")</f>
        <v/>
      </c>
      <c r="J654" t="str">
        <f t="shared" si="10"/>
        <v/>
      </c>
    </row>
    <row r="655" spans="9:10">
      <c r="I655" t="str">
        <f>_xlfn.IFNA(VLOOKUP(B655,T_DistName[],3,FALSE),"")</f>
        <v/>
      </c>
      <c r="J655" t="str">
        <f t="shared" si="10"/>
        <v/>
      </c>
    </row>
    <row r="656" spans="9:10">
      <c r="I656" t="str">
        <f>_xlfn.IFNA(VLOOKUP(B656,T_DistName[],3,FALSE),"")</f>
        <v/>
      </c>
      <c r="J656" t="str">
        <f t="shared" si="10"/>
        <v/>
      </c>
    </row>
    <row r="657" spans="9:10">
      <c r="I657" t="str">
        <f>_xlfn.IFNA(VLOOKUP(B657,T_DistName[],3,FALSE),"")</f>
        <v/>
      </c>
      <c r="J657" t="str">
        <f t="shared" si="10"/>
        <v/>
      </c>
    </row>
    <row r="658" spans="9:10">
      <c r="I658" t="str">
        <f>_xlfn.IFNA(VLOOKUP(B658,T_DistName[],3,FALSE),"")</f>
        <v/>
      </c>
      <c r="J658" t="str">
        <f t="shared" si="10"/>
        <v/>
      </c>
    </row>
    <row r="659" spans="9:10">
      <c r="I659" t="str">
        <f>_xlfn.IFNA(VLOOKUP(B659,T_DistName[],3,FALSE),"")</f>
        <v/>
      </c>
      <c r="J659" t="str">
        <f t="shared" si="10"/>
        <v/>
      </c>
    </row>
    <row r="660" spans="9:10">
      <c r="I660" t="str">
        <f>_xlfn.IFNA(VLOOKUP(B660,T_DistName[],3,FALSE),"")</f>
        <v/>
      </c>
      <c r="J660" t="str">
        <f t="shared" si="10"/>
        <v/>
      </c>
    </row>
    <row r="661" spans="9:10">
      <c r="I661" t="str">
        <f>_xlfn.IFNA(VLOOKUP(B661,T_DistName[],3,FALSE),"")</f>
        <v/>
      </c>
      <c r="J661" t="str">
        <f t="shared" si="10"/>
        <v/>
      </c>
    </row>
    <row r="662" spans="9:10">
      <c r="I662" t="str">
        <f>_xlfn.IFNA(VLOOKUP(B662,T_DistName[],3,FALSE),"")</f>
        <v/>
      </c>
      <c r="J662" t="str">
        <f t="shared" si="10"/>
        <v/>
      </c>
    </row>
    <row r="663" spans="9:10">
      <c r="I663" t="str">
        <f>_xlfn.IFNA(VLOOKUP(B663,T_DistName[],3,FALSE),"")</f>
        <v/>
      </c>
      <c r="J663" t="str">
        <f t="shared" si="10"/>
        <v/>
      </c>
    </row>
    <row r="664" spans="9:10">
      <c r="I664" t="str">
        <f>_xlfn.IFNA(VLOOKUP(B664,T_DistName[],3,FALSE),"")</f>
        <v/>
      </c>
      <c r="J664" t="str">
        <f t="shared" si="10"/>
        <v/>
      </c>
    </row>
    <row r="665" spans="9:10">
      <c r="I665" t="str">
        <f>_xlfn.IFNA(VLOOKUP(B665,T_DistName[],3,FALSE),"")</f>
        <v/>
      </c>
      <c r="J665" t="str">
        <f t="shared" ref="J665:J728" si="11">I665&amp;F665</f>
        <v/>
      </c>
    </row>
    <row r="666" spans="9:10">
      <c r="I666" t="str">
        <f>_xlfn.IFNA(VLOOKUP(B666,T_DistName[],3,FALSE),"")</f>
        <v/>
      </c>
      <c r="J666" t="str">
        <f t="shared" si="11"/>
        <v/>
      </c>
    </row>
    <row r="667" spans="9:10">
      <c r="I667" t="str">
        <f>_xlfn.IFNA(VLOOKUP(B667,T_DistName[],3,FALSE),"")</f>
        <v/>
      </c>
      <c r="J667" t="str">
        <f t="shared" si="11"/>
        <v/>
      </c>
    </row>
    <row r="668" spans="9:10">
      <c r="I668" t="str">
        <f>_xlfn.IFNA(VLOOKUP(B668,T_DistName[],3,FALSE),"")</f>
        <v/>
      </c>
      <c r="J668" t="str">
        <f t="shared" si="11"/>
        <v/>
      </c>
    </row>
    <row r="669" spans="9:10">
      <c r="I669" t="str">
        <f>_xlfn.IFNA(VLOOKUP(B669,T_DistName[],3,FALSE),"")</f>
        <v/>
      </c>
      <c r="J669" t="str">
        <f t="shared" si="11"/>
        <v/>
      </c>
    </row>
    <row r="670" spans="9:10">
      <c r="I670" t="str">
        <f>_xlfn.IFNA(VLOOKUP(B670,T_DistName[],3,FALSE),"")</f>
        <v/>
      </c>
      <c r="J670" t="str">
        <f t="shared" si="11"/>
        <v/>
      </c>
    </row>
    <row r="671" spans="9:10">
      <c r="I671" t="str">
        <f>_xlfn.IFNA(VLOOKUP(B671,T_DistName[],3,FALSE),"")</f>
        <v/>
      </c>
      <c r="J671" t="str">
        <f t="shared" si="11"/>
        <v/>
      </c>
    </row>
    <row r="672" spans="9:10">
      <c r="I672" t="str">
        <f>_xlfn.IFNA(VLOOKUP(B672,T_DistName[],3,FALSE),"")</f>
        <v/>
      </c>
      <c r="J672" t="str">
        <f t="shared" si="11"/>
        <v/>
      </c>
    </row>
    <row r="673" spans="9:10">
      <c r="I673" t="str">
        <f>_xlfn.IFNA(VLOOKUP(B673,T_DistName[],3,FALSE),"")</f>
        <v/>
      </c>
      <c r="J673" t="str">
        <f t="shared" si="11"/>
        <v/>
      </c>
    </row>
    <row r="674" spans="9:10">
      <c r="I674" t="str">
        <f>_xlfn.IFNA(VLOOKUP(B674,T_DistName[],3,FALSE),"")</f>
        <v/>
      </c>
      <c r="J674" t="str">
        <f t="shared" si="11"/>
        <v/>
      </c>
    </row>
    <row r="675" spans="9:10">
      <c r="I675" t="str">
        <f>_xlfn.IFNA(VLOOKUP(B675,T_DistName[],3,FALSE),"")</f>
        <v/>
      </c>
      <c r="J675" t="str">
        <f t="shared" si="11"/>
        <v/>
      </c>
    </row>
    <row r="676" spans="9:10">
      <c r="I676" t="str">
        <f>_xlfn.IFNA(VLOOKUP(B676,T_DistName[],3,FALSE),"")</f>
        <v/>
      </c>
      <c r="J676" t="str">
        <f t="shared" si="11"/>
        <v/>
      </c>
    </row>
    <row r="677" spans="9:10">
      <c r="I677" t="str">
        <f>_xlfn.IFNA(VLOOKUP(B677,T_DistName[],3,FALSE),"")</f>
        <v/>
      </c>
      <c r="J677" t="str">
        <f t="shared" si="11"/>
        <v/>
      </c>
    </row>
    <row r="678" spans="9:10">
      <c r="I678" t="str">
        <f>_xlfn.IFNA(VLOOKUP(B678,T_DistName[],3,FALSE),"")</f>
        <v/>
      </c>
      <c r="J678" t="str">
        <f t="shared" si="11"/>
        <v/>
      </c>
    </row>
    <row r="679" spans="9:10">
      <c r="I679" t="str">
        <f>_xlfn.IFNA(VLOOKUP(B679,T_DistName[],3,FALSE),"")</f>
        <v/>
      </c>
      <c r="J679" t="str">
        <f t="shared" si="11"/>
        <v/>
      </c>
    </row>
    <row r="680" spans="9:10">
      <c r="I680" t="str">
        <f>_xlfn.IFNA(VLOOKUP(B680,T_DistName[],3,FALSE),"")</f>
        <v/>
      </c>
      <c r="J680" t="str">
        <f t="shared" si="11"/>
        <v/>
      </c>
    </row>
    <row r="681" spans="9:10">
      <c r="I681" t="str">
        <f>_xlfn.IFNA(VLOOKUP(B681,T_DistName[],3,FALSE),"")</f>
        <v/>
      </c>
      <c r="J681" t="str">
        <f t="shared" si="11"/>
        <v/>
      </c>
    </row>
    <row r="682" spans="9:10">
      <c r="I682" t="str">
        <f>_xlfn.IFNA(VLOOKUP(B682,T_DistName[],3,FALSE),"")</f>
        <v/>
      </c>
      <c r="J682" t="str">
        <f t="shared" si="11"/>
        <v/>
      </c>
    </row>
    <row r="683" spans="9:10">
      <c r="I683" t="str">
        <f>_xlfn.IFNA(VLOOKUP(B683,T_DistName[],3,FALSE),"")</f>
        <v/>
      </c>
      <c r="J683" t="str">
        <f t="shared" si="11"/>
        <v/>
      </c>
    </row>
    <row r="684" spans="9:10">
      <c r="I684" t="str">
        <f>_xlfn.IFNA(VLOOKUP(B684,T_DistName[],3,FALSE),"")</f>
        <v/>
      </c>
      <c r="J684" t="str">
        <f t="shared" si="11"/>
        <v/>
      </c>
    </row>
    <row r="685" spans="9:10">
      <c r="I685" t="str">
        <f>_xlfn.IFNA(VLOOKUP(B685,T_DistName[],3,FALSE),"")</f>
        <v/>
      </c>
      <c r="J685" t="str">
        <f t="shared" si="11"/>
        <v/>
      </c>
    </row>
    <row r="686" spans="9:10">
      <c r="I686" t="str">
        <f>_xlfn.IFNA(VLOOKUP(B686,T_DistName[],3,FALSE),"")</f>
        <v/>
      </c>
      <c r="J686" t="str">
        <f t="shared" si="11"/>
        <v/>
      </c>
    </row>
    <row r="687" spans="9:10">
      <c r="I687" t="str">
        <f>_xlfn.IFNA(VLOOKUP(B687,T_DistName[],3,FALSE),"")</f>
        <v/>
      </c>
      <c r="J687" t="str">
        <f t="shared" si="11"/>
        <v/>
      </c>
    </row>
    <row r="688" spans="9:10">
      <c r="I688" t="str">
        <f>_xlfn.IFNA(VLOOKUP(B688,T_DistName[],3,FALSE),"")</f>
        <v/>
      </c>
      <c r="J688" t="str">
        <f t="shared" si="11"/>
        <v/>
      </c>
    </row>
    <row r="689" spans="9:10">
      <c r="I689" t="str">
        <f>_xlfn.IFNA(VLOOKUP(B689,T_DistName[],3,FALSE),"")</f>
        <v/>
      </c>
      <c r="J689" t="str">
        <f t="shared" si="11"/>
        <v/>
      </c>
    </row>
    <row r="690" spans="9:10">
      <c r="I690" t="str">
        <f>_xlfn.IFNA(VLOOKUP(B690,T_DistName[],3,FALSE),"")</f>
        <v/>
      </c>
      <c r="J690" t="str">
        <f t="shared" si="11"/>
        <v/>
      </c>
    </row>
    <row r="691" spans="9:10">
      <c r="I691" t="str">
        <f>_xlfn.IFNA(VLOOKUP(B691,T_DistName[],3,FALSE),"")</f>
        <v/>
      </c>
      <c r="J691" t="str">
        <f t="shared" si="11"/>
        <v/>
      </c>
    </row>
    <row r="692" spans="9:10">
      <c r="I692" t="str">
        <f>_xlfn.IFNA(VLOOKUP(B692,T_DistName[],3,FALSE),"")</f>
        <v/>
      </c>
      <c r="J692" t="str">
        <f t="shared" si="11"/>
        <v/>
      </c>
    </row>
    <row r="693" spans="9:10">
      <c r="I693" t="str">
        <f>_xlfn.IFNA(VLOOKUP(B693,T_DistName[],3,FALSE),"")</f>
        <v/>
      </c>
      <c r="J693" t="str">
        <f t="shared" si="11"/>
        <v/>
      </c>
    </row>
    <row r="694" spans="9:10">
      <c r="I694" t="str">
        <f>_xlfn.IFNA(VLOOKUP(B694,T_DistName[],3,FALSE),"")</f>
        <v/>
      </c>
      <c r="J694" t="str">
        <f t="shared" si="11"/>
        <v/>
      </c>
    </row>
    <row r="695" spans="9:10">
      <c r="I695" t="str">
        <f>_xlfn.IFNA(VLOOKUP(B695,T_DistName[],3,FALSE),"")</f>
        <v/>
      </c>
      <c r="J695" t="str">
        <f t="shared" si="11"/>
        <v/>
      </c>
    </row>
    <row r="696" spans="9:10">
      <c r="I696" t="str">
        <f>_xlfn.IFNA(VLOOKUP(B696,T_DistName[],3,FALSE),"")</f>
        <v/>
      </c>
      <c r="J696" t="str">
        <f t="shared" si="11"/>
        <v/>
      </c>
    </row>
    <row r="697" spans="9:10">
      <c r="I697" t="str">
        <f>_xlfn.IFNA(VLOOKUP(B697,T_DistName[],3,FALSE),"")</f>
        <v/>
      </c>
      <c r="J697" t="str">
        <f t="shared" si="11"/>
        <v/>
      </c>
    </row>
    <row r="698" spans="9:10">
      <c r="I698" t="str">
        <f>_xlfn.IFNA(VLOOKUP(B698,T_DistName[],3,FALSE),"")</f>
        <v/>
      </c>
      <c r="J698" t="str">
        <f t="shared" si="11"/>
        <v/>
      </c>
    </row>
    <row r="699" spans="9:10">
      <c r="I699" t="str">
        <f>_xlfn.IFNA(VLOOKUP(B699,T_DistName[],3,FALSE),"")</f>
        <v/>
      </c>
      <c r="J699" t="str">
        <f t="shared" si="11"/>
        <v/>
      </c>
    </row>
    <row r="700" spans="9:10">
      <c r="I700" t="str">
        <f>_xlfn.IFNA(VLOOKUP(B700,T_DistName[],3,FALSE),"")</f>
        <v/>
      </c>
      <c r="J700" t="str">
        <f t="shared" si="11"/>
        <v/>
      </c>
    </row>
    <row r="701" spans="9:10">
      <c r="I701" t="str">
        <f>_xlfn.IFNA(VLOOKUP(B701,T_DistName[],3,FALSE),"")</f>
        <v/>
      </c>
      <c r="J701" t="str">
        <f t="shared" si="11"/>
        <v/>
      </c>
    </row>
    <row r="702" spans="9:10">
      <c r="I702" t="str">
        <f>_xlfn.IFNA(VLOOKUP(B702,T_DistName[],3,FALSE),"")</f>
        <v/>
      </c>
      <c r="J702" t="str">
        <f t="shared" si="11"/>
        <v/>
      </c>
    </row>
    <row r="703" spans="9:10">
      <c r="I703" t="str">
        <f>_xlfn.IFNA(VLOOKUP(B703,T_DistName[],3,FALSE),"")</f>
        <v/>
      </c>
      <c r="J703" t="str">
        <f t="shared" si="11"/>
        <v/>
      </c>
    </row>
    <row r="704" spans="9:10">
      <c r="I704" t="str">
        <f>_xlfn.IFNA(VLOOKUP(B704,T_DistName[],3,FALSE),"")</f>
        <v/>
      </c>
      <c r="J704" t="str">
        <f t="shared" si="11"/>
        <v/>
      </c>
    </row>
    <row r="705" spans="9:10">
      <c r="I705" t="str">
        <f>_xlfn.IFNA(VLOOKUP(B705,T_DistName[],3,FALSE),"")</f>
        <v/>
      </c>
      <c r="J705" t="str">
        <f t="shared" si="11"/>
        <v/>
      </c>
    </row>
    <row r="706" spans="9:10">
      <c r="I706" t="str">
        <f>_xlfn.IFNA(VLOOKUP(B706,T_DistName[],3,FALSE),"")</f>
        <v/>
      </c>
      <c r="J706" t="str">
        <f t="shared" si="11"/>
        <v/>
      </c>
    </row>
    <row r="707" spans="9:10">
      <c r="I707" t="str">
        <f>_xlfn.IFNA(VLOOKUP(B707,T_DistName[],3,FALSE),"")</f>
        <v/>
      </c>
      <c r="J707" t="str">
        <f t="shared" si="11"/>
        <v/>
      </c>
    </row>
    <row r="708" spans="9:10">
      <c r="I708" t="str">
        <f>_xlfn.IFNA(VLOOKUP(B708,T_DistName[],3,FALSE),"")</f>
        <v/>
      </c>
      <c r="J708" t="str">
        <f t="shared" si="11"/>
        <v/>
      </c>
    </row>
    <row r="709" spans="9:10">
      <c r="I709" t="str">
        <f>_xlfn.IFNA(VLOOKUP(B709,T_DistName[],3,FALSE),"")</f>
        <v/>
      </c>
      <c r="J709" t="str">
        <f t="shared" si="11"/>
        <v/>
      </c>
    </row>
    <row r="710" spans="9:10">
      <c r="I710" t="str">
        <f>_xlfn.IFNA(VLOOKUP(B710,T_DistName[],3,FALSE),"")</f>
        <v/>
      </c>
      <c r="J710" t="str">
        <f t="shared" si="11"/>
        <v/>
      </c>
    </row>
    <row r="711" spans="9:10">
      <c r="I711" t="str">
        <f>_xlfn.IFNA(VLOOKUP(B711,T_DistName[],3,FALSE),"")</f>
        <v/>
      </c>
      <c r="J711" t="str">
        <f t="shared" si="11"/>
        <v/>
      </c>
    </row>
    <row r="712" spans="9:10">
      <c r="I712" t="str">
        <f>_xlfn.IFNA(VLOOKUP(B712,T_DistName[],3,FALSE),"")</f>
        <v/>
      </c>
      <c r="J712" t="str">
        <f t="shared" si="11"/>
        <v/>
      </c>
    </row>
    <row r="713" spans="9:10">
      <c r="I713" t="str">
        <f>_xlfn.IFNA(VLOOKUP(B713,T_DistName[],3,FALSE),"")</f>
        <v/>
      </c>
      <c r="J713" t="str">
        <f t="shared" si="11"/>
        <v/>
      </c>
    </row>
    <row r="714" spans="9:10">
      <c r="I714" t="str">
        <f>_xlfn.IFNA(VLOOKUP(B714,T_DistName[],3,FALSE),"")</f>
        <v/>
      </c>
      <c r="J714" t="str">
        <f t="shared" si="11"/>
        <v/>
      </c>
    </row>
    <row r="715" spans="9:10">
      <c r="I715" t="str">
        <f>_xlfn.IFNA(VLOOKUP(B715,T_DistName[],3,FALSE),"")</f>
        <v/>
      </c>
      <c r="J715" t="str">
        <f t="shared" si="11"/>
        <v/>
      </c>
    </row>
    <row r="716" spans="9:10">
      <c r="I716" t="str">
        <f>_xlfn.IFNA(VLOOKUP(B716,T_DistName[],3,FALSE),"")</f>
        <v/>
      </c>
      <c r="J716" t="str">
        <f t="shared" si="11"/>
        <v/>
      </c>
    </row>
    <row r="717" spans="9:10">
      <c r="I717" t="str">
        <f>_xlfn.IFNA(VLOOKUP(B717,T_DistName[],3,FALSE),"")</f>
        <v/>
      </c>
      <c r="J717" t="str">
        <f t="shared" si="11"/>
        <v/>
      </c>
    </row>
    <row r="718" spans="9:10">
      <c r="I718" t="str">
        <f>_xlfn.IFNA(VLOOKUP(B718,T_DistName[],3,FALSE),"")</f>
        <v/>
      </c>
      <c r="J718" t="str">
        <f t="shared" si="11"/>
        <v/>
      </c>
    </row>
    <row r="719" spans="9:10">
      <c r="I719" t="str">
        <f>_xlfn.IFNA(VLOOKUP(B719,T_DistName[],3,FALSE),"")</f>
        <v/>
      </c>
      <c r="J719" t="str">
        <f t="shared" si="11"/>
        <v/>
      </c>
    </row>
    <row r="720" spans="9:10">
      <c r="I720" t="str">
        <f>_xlfn.IFNA(VLOOKUP(B720,T_DistName[],3,FALSE),"")</f>
        <v/>
      </c>
      <c r="J720" t="str">
        <f t="shared" si="11"/>
        <v/>
      </c>
    </row>
    <row r="721" spans="9:10">
      <c r="I721" t="str">
        <f>_xlfn.IFNA(VLOOKUP(B721,T_DistName[],3,FALSE),"")</f>
        <v/>
      </c>
      <c r="J721" t="str">
        <f t="shared" si="11"/>
        <v/>
      </c>
    </row>
    <row r="722" spans="9:10">
      <c r="I722" t="str">
        <f>_xlfn.IFNA(VLOOKUP(B722,T_DistName[],3,FALSE),"")</f>
        <v/>
      </c>
      <c r="J722" t="str">
        <f t="shared" si="11"/>
        <v/>
      </c>
    </row>
    <row r="723" spans="9:10">
      <c r="I723" t="str">
        <f>_xlfn.IFNA(VLOOKUP(B723,T_DistName[],3,FALSE),"")</f>
        <v/>
      </c>
      <c r="J723" t="str">
        <f t="shared" si="11"/>
        <v/>
      </c>
    </row>
    <row r="724" spans="9:10">
      <c r="I724" t="str">
        <f>_xlfn.IFNA(VLOOKUP(B724,T_DistName[],3,FALSE),"")</f>
        <v/>
      </c>
      <c r="J724" t="str">
        <f t="shared" si="11"/>
        <v/>
      </c>
    </row>
    <row r="725" spans="9:10">
      <c r="I725" t="str">
        <f>_xlfn.IFNA(VLOOKUP(B725,T_DistName[],3,FALSE),"")</f>
        <v/>
      </c>
      <c r="J725" t="str">
        <f t="shared" si="11"/>
        <v/>
      </c>
    </row>
    <row r="726" spans="9:10">
      <c r="I726" t="str">
        <f>_xlfn.IFNA(VLOOKUP(B726,T_DistName[],3,FALSE),"")</f>
        <v/>
      </c>
      <c r="J726" t="str">
        <f t="shared" si="11"/>
        <v/>
      </c>
    </row>
    <row r="727" spans="9:10">
      <c r="I727" t="str">
        <f>_xlfn.IFNA(VLOOKUP(B727,T_DistName[],3,FALSE),"")</f>
        <v/>
      </c>
      <c r="J727" t="str">
        <f t="shared" si="11"/>
        <v/>
      </c>
    </row>
    <row r="728" spans="9:10">
      <c r="I728" t="str">
        <f>_xlfn.IFNA(VLOOKUP(B728,T_DistName[],3,FALSE),"")</f>
        <v/>
      </c>
      <c r="J728" t="str">
        <f t="shared" si="11"/>
        <v/>
      </c>
    </row>
    <row r="729" spans="9:10">
      <c r="I729" t="str">
        <f>_xlfn.IFNA(VLOOKUP(B729,T_DistName[],3,FALSE),"")</f>
        <v/>
      </c>
      <c r="J729" t="str">
        <f t="shared" ref="J729:J792" si="12">I729&amp;F729</f>
        <v/>
      </c>
    </row>
    <row r="730" spans="9:10">
      <c r="I730" t="str">
        <f>_xlfn.IFNA(VLOOKUP(B730,T_DistName[],3,FALSE),"")</f>
        <v/>
      </c>
      <c r="J730" t="str">
        <f t="shared" si="12"/>
        <v/>
      </c>
    </row>
    <row r="731" spans="9:10">
      <c r="I731" t="str">
        <f>_xlfn.IFNA(VLOOKUP(B731,T_DistName[],3,FALSE),"")</f>
        <v/>
      </c>
      <c r="J731" t="str">
        <f t="shared" si="12"/>
        <v/>
      </c>
    </row>
    <row r="732" spans="9:10">
      <c r="I732" t="str">
        <f>_xlfn.IFNA(VLOOKUP(B732,T_DistName[],3,FALSE),"")</f>
        <v/>
      </c>
      <c r="J732" t="str">
        <f t="shared" si="12"/>
        <v/>
      </c>
    </row>
    <row r="733" spans="9:10">
      <c r="I733" t="str">
        <f>_xlfn.IFNA(VLOOKUP(B733,T_DistName[],3,FALSE),"")</f>
        <v/>
      </c>
      <c r="J733" t="str">
        <f t="shared" si="12"/>
        <v/>
      </c>
    </row>
    <row r="734" spans="9:10">
      <c r="I734" t="str">
        <f>_xlfn.IFNA(VLOOKUP(B734,T_DistName[],3,FALSE),"")</f>
        <v/>
      </c>
      <c r="J734" t="str">
        <f t="shared" si="12"/>
        <v/>
      </c>
    </row>
    <row r="735" spans="9:10">
      <c r="I735" t="str">
        <f>_xlfn.IFNA(VLOOKUP(B735,T_DistName[],3,FALSE),"")</f>
        <v/>
      </c>
      <c r="J735" t="str">
        <f t="shared" si="12"/>
        <v/>
      </c>
    </row>
    <row r="736" spans="9:10">
      <c r="I736" t="str">
        <f>_xlfn.IFNA(VLOOKUP(B736,T_DistName[],3,FALSE),"")</f>
        <v/>
      </c>
      <c r="J736" t="str">
        <f t="shared" si="12"/>
        <v/>
      </c>
    </row>
    <row r="737" spans="9:10">
      <c r="I737" t="str">
        <f>_xlfn.IFNA(VLOOKUP(B737,T_DistName[],3,FALSE),"")</f>
        <v/>
      </c>
      <c r="J737" t="str">
        <f t="shared" si="12"/>
        <v/>
      </c>
    </row>
    <row r="738" spans="9:10">
      <c r="I738" t="str">
        <f>_xlfn.IFNA(VLOOKUP(B738,T_DistName[],3,FALSE),"")</f>
        <v/>
      </c>
      <c r="J738" t="str">
        <f t="shared" si="12"/>
        <v/>
      </c>
    </row>
    <row r="739" spans="9:10">
      <c r="I739" t="str">
        <f>_xlfn.IFNA(VLOOKUP(B739,T_DistName[],3,FALSE),"")</f>
        <v/>
      </c>
      <c r="J739" t="str">
        <f t="shared" si="12"/>
        <v/>
      </c>
    </row>
    <row r="740" spans="9:10">
      <c r="I740" t="str">
        <f>_xlfn.IFNA(VLOOKUP(B740,T_DistName[],3,FALSE),"")</f>
        <v/>
      </c>
      <c r="J740" t="str">
        <f t="shared" si="12"/>
        <v/>
      </c>
    </row>
    <row r="741" spans="9:10">
      <c r="I741" t="str">
        <f>_xlfn.IFNA(VLOOKUP(B741,T_DistName[],3,FALSE),"")</f>
        <v/>
      </c>
      <c r="J741" t="str">
        <f t="shared" si="12"/>
        <v/>
      </c>
    </row>
    <row r="742" spans="9:10">
      <c r="I742" t="str">
        <f>_xlfn.IFNA(VLOOKUP(B742,T_DistName[],3,FALSE),"")</f>
        <v/>
      </c>
      <c r="J742" t="str">
        <f t="shared" si="12"/>
        <v/>
      </c>
    </row>
    <row r="743" spans="9:10">
      <c r="I743" t="str">
        <f>_xlfn.IFNA(VLOOKUP(B743,T_DistName[],3,FALSE),"")</f>
        <v/>
      </c>
      <c r="J743" t="str">
        <f t="shared" si="12"/>
        <v/>
      </c>
    </row>
    <row r="744" spans="9:10">
      <c r="I744" t="str">
        <f>_xlfn.IFNA(VLOOKUP(B744,T_DistName[],3,FALSE),"")</f>
        <v/>
      </c>
      <c r="J744" t="str">
        <f t="shared" si="12"/>
        <v/>
      </c>
    </row>
    <row r="745" spans="9:10">
      <c r="I745" t="str">
        <f>_xlfn.IFNA(VLOOKUP(B745,T_DistName[],3,FALSE),"")</f>
        <v/>
      </c>
      <c r="J745" t="str">
        <f t="shared" si="12"/>
        <v/>
      </c>
    </row>
    <row r="746" spans="9:10">
      <c r="I746" t="str">
        <f>_xlfn.IFNA(VLOOKUP(B746,T_DistName[],3,FALSE),"")</f>
        <v/>
      </c>
      <c r="J746" t="str">
        <f t="shared" si="12"/>
        <v/>
      </c>
    </row>
    <row r="747" spans="9:10">
      <c r="I747" t="str">
        <f>_xlfn.IFNA(VLOOKUP(B747,T_DistName[],3,FALSE),"")</f>
        <v/>
      </c>
      <c r="J747" t="str">
        <f t="shared" si="12"/>
        <v/>
      </c>
    </row>
    <row r="748" spans="9:10">
      <c r="I748" t="str">
        <f>_xlfn.IFNA(VLOOKUP(B748,T_DistName[],3,FALSE),"")</f>
        <v/>
      </c>
      <c r="J748" t="str">
        <f t="shared" si="12"/>
        <v/>
      </c>
    </row>
    <row r="749" spans="9:10">
      <c r="I749" t="str">
        <f>_xlfn.IFNA(VLOOKUP(B749,T_DistName[],3,FALSE),"")</f>
        <v/>
      </c>
      <c r="J749" t="str">
        <f t="shared" si="12"/>
        <v/>
      </c>
    </row>
    <row r="750" spans="9:10">
      <c r="I750" t="str">
        <f>_xlfn.IFNA(VLOOKUP(B750,T_DistName[],3,FALSE),"")</f>
        <v/>
      </c>
      <c r="J750" t="str">
        <f t="shared" si="12"/>
        <v/>
      </c>
    </row>
    <row r="751" spans="9:10">
      <c r="I751" t="str">
        <f>_xlfn.IFNA(VLOOKUP(B751,T_DistName[],3,FALSE),"")</f>
        <v/>
      </c>
      <c r="J751" t="str">
        <f t="shared" si="12"/>
        <v/>
      </c>
    </row>
    <row r="752" spans="9:10">
      <c r="I752" t="str">
        <f>_xlfn.IFNA(VLOOKUP(B752,T_DistName[],3,FALSE),"")</f>
        <v/>
      </c>
      <c r="J752" t="str">
        <f t="shared" si="12"/>
        <v/>
      </c>
    </row>
    <row r="753" spans="9:10">
      <c r="I753" t="str">
        <f>_xlfn.IFNA(VLOOKUP(B753,T_DistName[],3,FALSE),"")</f>
        <v/>
      </c>
      <c r="J753" t="str">
        <f t="shared" si="12"/>
        <v/>
      </c>
    </row>
    <row r="754" spans="9:10">
      <c r="I754" t="str">
        <f>_xlfn.IFNA(VLOOKUP(B754,T_DistName[],3,FALSE),"")</f>
        <v/>
      </c>
      <c r="J754" t="str">
        <f t="shared" si="12"/>
        <v/>
      </c>
    </row>
    <row r="755" spans="9:10">
      <c r="I755" t="str">
        <f>_xlfn.IFNA(VLOOKUP(B755,T_DistName[],3,FALSE),"")</f>
        <v/>
      </c>
      <c r="J755" t="str">
        <f t="shared" si="12"/>
        <v/>
      </c>
    </row>
    <row r="756" spans="9:10">
      <c r="I756" t="str">
        <f>_xlfn.IFNA(VLOOKUP(B756,T_DistName[],3,FALSE),"")</f>
        <v/>
      </c>
      <c r="J756" t="str">
        <f t="shared" si="12"/>
        <v/>
      </c>
    </row>
    <row r="757" spans="9:10">
      <c r="I757" t="str">
        <f>_xlfn.IFNA(VLOOKUP(B757,T_DistName[],3,FALSE),"")</f>
        <v/>
      </c>
      <c r="J757" t="str">
        <f t="shared" si="12"/>
        <v/>
      </c>
    </row>
    <row r="758" spans="9:10">
      <c r="I758" t="str">
        <f>_xlfn.IFNA(VLOOKUP(B758,T_DistName[],3,FALSE),"")</f>
        <v/>
      </c>
      <c r="J758" t="str">
        <f t="shared" si="12"/>
        <v/>
      </c>
    </row>
    <row r="759" spans="9:10">
      <c r="I759" t="str">
        <f>_xlfn.IFNA(VLOOKUP(B759,T_DistName[],3,FALSE),"")</f>
        <v/>
      </c>
      <c r="J759" t="str">
        <f t="shared" si="12"/>
        <v/>
      </c>
    </row>
    <row r="760" spans="9:10">
      <c r="I760" t="str">
        <f>_xlfn.IFNA(VLOOKUP(B760,T_DistName[],3,FALSE),"")</f>
        <v/>
      </c>
      <c r="J760" t="str">
        <f t="shared" si="12"/>
        <v/>
      </c>
    </row>
    <row r="761" spans="9:10">
      <c r="I761" t="str">
        <f>_xlfn.IFNA(VLOOKUP(B761,T_DistName[],3,FALSE),"")</f>
        <v/>
      </c>
      <c r="J761" t="str">
        <f t="shared" si="12"/>
        <v/>
      </c>
    </row>
    <row r="762" spans="9:10">
      <c r="I762" t="str">
        <f>_xlfn.IFNA(VLOOKUP(B762,T_DistName[],3,FALSE),"")</f>
        <v/>
      </c>
      <c r="J762" t="str">
        <f t="shared" si="12"/>
        <v/>
      </c>
    </row>
    <row r="763" spans="9:10">
      <c r="I763" t="str">
        <f>_xlfn.IFNA(VLOOKUP(B763,T_DistName[],3,FALSE),"")</f>
        <v/>
      </c>
      <c r="J763" t="str">
        <f t="shared" si="12"/>
        <v/>
      </c>
    </row>
    <row r="764" spans="9:10">
      <c r="I764" t="str">
        <f>_xlfn.IFNA(VLOOKUP(B764,T_DistName[],3,FALSE),"")</f>
        <v/>
      </c>
      <c r="J764" t="str">
        <f t="shared" si="12"/>
        <v/>
      </c>
    </row>
    <row r="765" spans="9:10">
      <c r="I765" t="str">
        <f>_xlfn.IFNA(VLOOKUP(B765,T_DistName[],3,FALSE),"")</f>
        <v/>
      </c>
      <c r="J765" t="str">
        <f t="shared" si="12"/>
        <v/>
      </c>
    </row>
    <row r="766" spans="9:10">
      <c r="I766" t="str">
        <f>_xlfn.IFNA(VLOOKUP(B766,T_DistName[],3,FALSE),"")</f>
        <v/>
      </c>
      <c r="J766" t="str">
        <f t="shared" si="12"/>
        <v/>
      </c>
    </row>
    <row r="767" spans="9:10">
      <c r="I767" t="str">
        <f>_xlfn.IFNA(VLOOKUP(B767,T_DistName[],3,FALSE),"")</f>
        <v/>
      </c>
      <c r="J767" t="str">
        <f t="shared" si="12"/>
        <v/>
      </c>
    </row>
    <row r="768" spans="9:10">
      <c r="I768" t="str">
        <f>_xlfn.IFNA(VLOOKUP(B768,T_DistName[],3,FALSE),"")</f>
        <v/>
      </c>
      <c r="J768" t="str">
        <f t="shared" si="12"/>
        <v/>
      </c>
    </row>
    <row r="769" spans="9:10">
      <c r="I769" t="str">
        <f>_xlfn.IFNA(VLOOKUP(B769,T_DistName[],3,FALSE),"")</f>
        <v/>
      </c>
      <c r="J769" t="str">
        <f t="shared" si="12"/>
        <v/>
      </c>
    </row>
    <row r="770" spans="9:10">
      <c r="I770" t="str">
        <f>_xlfn.IFNA(VLOOKUP(B770,T_DistName[],3,FALSE),"")</f>
        <v/>
      </c>
      <c r="J770" t="str">
        <f t="shared" si="12"/>
        <v/>
      </c>
    </row>
    <row r="771" spans="9:10">
      <c r="I771" t="str">
        <f>_xlfn.IFNA(VLOOKUP(B771,T_DistName[],3,FALSE),"")</f>
        <v/>
      </c>
      <c r="J771" t="str">
        <f t="shared" si="12"/>
        <v/>
      </c>
    </row>
    <row r="772" spans="9:10">
      <c r="I772" t="str">
        <f>_xlfn.IFNA(VLOOKUP(B772,T_DistName[],3,FALSE),"")</f>
        <v/>
      </c>
      <c r="J772" t="str">
        <f t="shared" si="12"/>
        <v/>
      </c>
    </row>
    <row r="773" spans="9:10">
      <c r="I773" t="str">
        <f>_xlfn.IFNA(VLOOKUP(B773,T_DistName[],3,FALSE),"")</f>
        <v/>
      </c>
      <c r="J773" t="str">
        <f t="shared" si="12"/>
        <v/>
      </c>
    </row>
    <row r="774" spans="9:10">
      <c r="I774" t="str">
        <f>_xlfn.IFNA(VLOOKUP(B774,T_DistName[],3,FALSE),"")</f>
        <v/>
      </c>
      <c r="J774" t="str">
        <f t="shared" si="12"/>
        <v/>
      </c>
    </row>
    <row r="775" spans="9:10">
      <c r="I775" t="str">
        <f>_xlfn.IFNA(VLOOKUP(B775,T_DistName[],3,FALSE),"")</f>
        <v/>
      </c>
      <c r="J775" t="str">
        <f t="shared" si="12"/>
        <v/>
      </c>
    </row>
    <row r="776" spans="9:10">
      <c r="I776" t="str">
        <f>_xlfn.IFNA(VLOOKUP(B776,T_DistName[],3,FALSE),"")</f>
        <v/>
      </c>
      <c r="J776" t="str">
        <f t="shared" si="12"/>
        <v/>
      </c>
    </row>
    <row r="777" spans="9:10">
      <c r="I777" t="str">
        <f>_xlfn.IFNA(VLOOKUP(B777,T_DistName[],3,FALSE),"")</f>
        <v/>
      </c>
      <c r="J777" t="str">
        <f t="shared" si="12"/>
        <v/>
      </c>
    </row>
    <row r="778" spans="9:10">
      <c r="I778" t="str">
        <f>_xlfn.IFNA(VLOOKUP(B778,T_DistName[],3,FALSE),"")</f>
        <v/>
      </c>
      <c r="J778" t="str">
        <f t="shared" si="12"/>
        <v/>
      </c>
    </row>
    <row r="779" spans="9:10">
      <c r="I779" t="str">
        <f>_xlfn.IFNA(VLOOKUP(B779,T_DistName[],3,FALSE),"")</f>
        <v/>
      </c>
      <c r="J779" t="str">
        <f t="shared" si="12"/>
        <v/>
      </c>
    </row>
    <row r="780" spans="9:10">
      <c r="I780" t="str">
        <f>_xlfn.IFNA(VLOOKUP(B780,T_DistName[],3,FALSE),"")</f>
        <v/>
      </c>
      <c r="J780" t="str">
        <f t="shared" si="12"/>
        <v/>
      </c>
    </row>
    <row r="781" spans="9:10">
      <c r="I781" t="str">
        <f>_xlfn.IFNA(VLOOKUP(B781,T_DistName[],3,FALSE),"")</f>
        <v/>
      </c>
      <c r="J781" t="str">
        <f t="shared" si="12"/>
        <v/>
      </c>
    </row>
    <row r="782" spans="9:10">
      <c r="I782" t="str">
        <f>_xlfn.IFNA(VLOOKUP(B782,T_DistName[],3,FALSE),"")</f>
        <v/>
      </c>
      <c r="J782" t="str">
        <f t="shared" si="12"/>
        <v/>
      </c>
    </row>
    <row r="783" spans="9:10">
      <c r="I783" t="str">
        <f>_xlfn.IFNA(VLOOKUP(B783,T_DistName[],3,FALSE),"")</f>
        <v/>
      </c>
      <c r="J783" t="str">
        <f t="shared" si="12"/>
        <v/>
      </c>
    </row>
    <row r="784" spans="9:10">
      <c r="I784" t="str">
        <f>_xlfn.IFNA(VLOOKUP(B784,T_DistName[],3,FALSE),"")</f>
        <v/>
      </c>
      <c r="J784" t="str">
        <f t="shared" si="12"/>
        <v/>
      </c>
    </row>
    <row r="785" spans="9:10">
      <c r="I785" t="str">
        <f>_xlfn.IFNA(VLOOKUP(B785,T_DistName[],3,FALSE),"")</f>
        <v/>
      </c>
      <c r="J785" t="str">
        <f t="shared" si="12"/>
        <v/>
      </c>
    </row>
    <row r="786" spans="9:10">
      <c r="I786" t="str">
        <f>_xlfn.IFNA(VLOOKUP(B786,T_DistName[],3,FALSE),"")</f>
        <v/>
      </c>
      <c r="J786" t="str">
        <f t="shared" si="12"/>
        <v/>
      </c>
    </row>
    <row r="787" spans="9:10">
      <c r="I787" t="str">
        <f>_xlfn.IFNA(VLOOKUP(B787,T_DistName[],3,FALSE),"")</f>
        <v/>
      </c>
      <c r="J787" t="str">
        <f t="shared" si="12"/>
        <v/>
      </c>
    </row>
    <row r="788" spans="9:10">
      <c r="I788" t="str">
        <f>_xlfn.IFNA(VLOOKUP(B788,T_DistName[],3,FALSE),"")</f>
        <v/>
      </c>
      <c r="J788" t="str">
        <f t="shared" si="12"/>
        <v/>
      </c>
    </row>
    <row r="789" spans="9:10">
      <c r="I789" t="str">
        <f>_xlfn.IFNA(VLOOKUP(B789,T_DistName[],3,FALSE),"")</f>
        <v/>
      </c>
      <c r="J789" t="str">
        <f t="shared" si="12"/>
        <v/>
      </c>
    </row>
    <row r="790" spans="9:10">
      <c r="I790" t="str">
        <f>_xlfn.IFNA(VLOOKUP(B790,T_DistName[],3,FALSE),"")</f>
        <v/>
      </c>
      <c r="J790" t="str">
        <f t="shared" si="12"/>
        <v/>
      </c>
    </row>
    <row r="791" spans="9:10">
      <c r="I791" t="str">
        <f>_xlfn.IFNA(VLOOKUP(B791,T_DistName[],3,FALSE),"")</f>
        <v/>
      </c>
      <c r="J791" t="str">
        <f t="shared" si="12"/>
        <v/>
      </c>
    </row>
    <row r="792" spans="9:10">
      <c r="I792" t="str">
        <f>_xlfn.IFNA(VLOOKUP(B792,T_DistName[],3,FALSE),"")</f>
        <v/>
      </c>
      <c r="J792" t="str">
        <f t="shared" si="12"/>
        <v/>
      </c>
    </row>
    <row r="793" spans="9:10">
      <c r="I793" t="str">
        <f>_xlfn.IFNA(VLOOKUP(B793,T_DistName[],3,FALSE),"")</f>
        <v/>
      </c>
      <c r="J793" t="str">
        <f t="shared" ref="J793:J856" si="13">I793&amp;F793</f>
        <v/>
      </c>
    </row>
    <row r="794" spans="9:10">
      <c r="I794" t="str">
        <f>_xlfn.IFNA(VLOOKUP(B794,T_DistName[],3,FALSE),"")</f>
        <v/>
      </c>
      <c r="J794" t="str">
        <f t="shared" si="13"/>
        <v/>
      </c>
    </row>
    <row r="795" spans="9:10">
      <c r="I795" t="str">
        <f>_xlfn.IFNA(VLOOKUP(B795,T_DistName[],3,FALSE),"")</f>
        <v/>
      </c>
      <c r="J795" t="str">
        <f t="shared" si="13"/>
        <v/>
      </c>
    </row>
    <row r="796" spans="9:10">
      <c r="I796" t="str">
        <f>_xlfn.IFNA(VLOOKUP(B796,T_DistName[],3,FALSE),"")</f>
        <v/>
      </c>
      <c r="J796" t="str">
        <f t="shared" si="13"/>
        <v/>
      </c>
    </row>
    <row r="797" spans="9:10">
      <c r="I797" t="str">
        <f>_xlfn.IFNA(VLOOKUP(B797,T_DistName[],3,FALSE),"")</f>
        <v/>
      </c>
      <c r="J797" t="str">
        <f t="shared" si="13"/>
        <v/>
      </c>
    </row>
    <row r="798" spans="9:10">
      <c r="I798" t="str">
        <f>_xlfn.IFNA(VLOOKUP(B798,T_DistName[],3,FALSE),"")</f>
        <v/>
      </c>
      <c r="J798" t="str">
        <f t="shared" si="13"/>
        <v/>
      </c>
    </row>
    <row r="799" spans="9:10">
      <c r="I799" t="str">
        <f>_xlfn.IFNA(VLOOKUP(B799,T_DistName[],3,FALSE),"")</f>
        <v/>
      </c>
      <c r="J799" t="str">
        <f t="shared" si="13"/>
        <v/>
      </c>
    </row>
    <row r="800" spans="9:10">
      <c r="I800" t="str">
        <f>_xlfn.IFNA(VLOOKUP(B800,T_DistName[],3,FALSE),"")</f>
        <v/>
      </c>
      <c r="J800" t="str">
        <f t="shared" si="13"/>
        <v/>
      </c>
    </row>
    <row r="801" spans="9:10">
      <c r="I801" t="str">
        <f>_xlfn.IFNA(VLOOKUP(B801,T_DistName[],3,FALSE),"")</f>
        <v/>
      </c>
      <c r="J801" t="str">
        <f t="shared" si="13"/>
        <v/>
      </c>
    </row>
    <row r="802" spans="9:10">
      <c r="I802" t="str">
        <f>_xlfn.IFNA(VLOOKUP(B802,T_DistName[],3,FALSE),"")</f>
        <v/>
      </c>
      <c r="J802" t="str">
        <f t="shared" si="13"/>
        <v/>
      </c>
    </row>
    <row r="803" spans="9:10">
      <c r="I803" t="str">
        <f>_xlfn.IFNA(VLOOKUP(B803,T_DistName[],3,FALSE),"")</f>
        <v/>
      </c>
      <c r="J803" t="str">
        <f t="shared" si="13"/>
        <v/>
      </c>
    </row>
    <row r="804" spans="9:10">
      <c r="I804" t="str">
        <f>_xlfn.IFNA(VLOOKUP(B804,T_DistName[],3,FALSE),"")</f>
        <v/>
      </c>
      <c r="J804" t="str">
        <f t="shared" si="13"/>
        <v/>
      </c>
    </row>
    <row r="805" spans="9:10">
      <c r="I805" t="str">
        <f>_xlfn.IFNA(VLOOKUP(B805,T_DistName[],3,FALSE),"")</f>
        <v/>
      </c>
      <c r="J805" t="str">
        <f t="shared" si="13"/>
        <v/>
      </c>
    </row>
    <row r="806" spans="9:10">
      <c r="I806" t="str">
        <f>_xlfn.IFNA(VLOOKUP(B806,T_DistName[],3,FALSE),"")</f>
        <v/>
      </c>
      <c r="J806" t="str">
        <f t="shared" si="13"/>
        <v/>
      </c>
    </row>
    <row r="807" spans="9:10">
      <c r="I807" t="str">
        <f>_xlfn.IFNA(VLOOKUP(B807,T_DistName[],3,FALSE),"")</f>
        <v/>
      </c>
      <c r="J807" t="str">
        <f t="shared" si="13"/>
        <v/>
      </c>
    </row>
    <row r="808" spans="9:10">
      <c r="I808" t="str">
        <f>_xlfn.IFNA(VLOOKUP(B808,T_DistName[],3,FALSE),"")</f>
        <v/>
      </c>
      <c r="J808" t="str">
        <f t="shared" si="13"/>
        <v/>
      </c>
    </row>
    <row r="809" spans="9:10">
      <c r="I809" t="str">
        <f>_xlfn.IFNA(VLOOKUP(B809,T_DistName[],3,FALSE),"")</f>
        <v/>
      </c>
      <c r="J809" t="str">
        <f t="shared" si="13"/>
        <v/>
      </c>
    </row>
    <row r="810" spans="9:10">
      <c r="I810" t="str">
        <f>_xlfn.IFNA(VLOOKUP(B810,T_DistName[],3,FALSE),"")</f>
        <v/>
      </c>
      <c r="J810" t="str">
        <f t="shared" si="13"/>
        <v/>
      </c>
    </row>
    <row r="811" spans="9:10">
      <c r="I811" t="str">
        <f>_xlfn.IFNA(VLOOKUP(B811,T_DistName[],3,FALSE),"")</f>
        <v/>
      </c>
      <c r="J811" t="str">
        <f t="shared" si="13"/>
        <v/>
      </c>
    </row>
    <row r="812" spans="9:10">
      <c r="I812" t="str">
        <f>_xlfn.IFNA(VLOOKUP(B812,T_DistName[],3,FALSE),"")</f>
        <v/>
      </c>
      <c r="J812" t="str">
        <f t="shared" si="13"/>
        <v/>
      </c>
    </row>
    <row r="813" spans="9:10">
      <c r="I813" t="str">
        <f>_xlfn.IFNA(VLOOKUP(B813,T_DistName[],3,FALSE),"")</f>
        <v/>
      </c>
      <c r="J813" t="str">
        <f t="shared" si="13"/>
        <v/>
      </c>
    </row>
    <row r="814" spans="9:10">
      <c r="I814" t="str">
        <f>_xlfn.IFNA(VLOOKUP(B814,T_DistName[],3,FALSE),"")</f>
        <v/>
      </c>
      <c r="J814" t="str">
        <f t="shared" si="13"/>
        <v/>
      </c>
    </row>
    <row r="815" spans="9:10">
      <c r="I815" t="str">
        <f>_xlfn.IFNA(VLOOKUP(B815,T_DistName[],3,FALSE),"")</f>
        <v/>
      </c>
      <c r="J815" t="str">
        <f t="shared" si="13"/>
        <v/>
      </c>
    </row>
    <row r="816" spans="9:10">
      <c r="I816" t="str">
        <f>_xlfn.IFNA(VLOOKUP(B816,T_DistName[],3,FALSE),"")</f>
        <v/>
      </c>
      <c r="J816" t="str">
        <f t="shared" si="13"/>
        <v/>
      </c>
    </row>
    <row r="817" spans="9:10">
      <c r="I817" t="str">
        <f>_xlfn.IFNA(VLOOKUP(B817,T_DistName[],3,FALSE),"")</f>
        <v/>
      </c>
      <c r="J817" t="str">
        <f t="shared" si="13"/>
        <v/>
      </c>
    </row>
    <row r="818" spans="9:10">
      <c r="I818" t="str">
        <f>_xlfn.IFNA(VLOOKUP(B818,T_DistName[],3,FALSE),"")</f>
        <v/>
      </c>
      <c r="J818" t="str">
        <f t="shared" si="13"/>
        <v/>
      </c>
    </row>
    <row r="819" spans="9:10">
      <c r="I819" t="str">
        <f>_xlfn.IFNA(VLOOKUP(B819,T_DistName[],3,FALSE),"")</f>
        <v/>
      </c>
      <c r="J819" t="str">
        <f t="shared" si="13"/>
        <v/>
      </c>
    </row>
    <row r="820" spans="9:10">
      <c r="I820" t="str">
        <f>_xlfn.IFNA(VLOOKUP(B820,T_DistName[],3,FALSE),"")</f>
        <v/>
      </c>
      <c r="J820" t="str">
        <f t="shared" si="13"/>
        <v/>
      </c>
    </row>
    <row r="821" spans="9:10">
      <c r="I821" t="str">
        <f>_xlfn.IFNA(VLOOKUP(B821,T_DistName[],3,FALSE),"")</f>
        <v/>
      </c>
      <c r="J821" t="str">
        <f t="shared" si="13"/>
        <v/>
      </c>
    </row>
    <row r="822" spans="9:10">
      <c r="I822" t="str">
        <f>_xlfn.IFNA(VLOOKUP(B822,T_DistName[],3,FALSE),"")</f>
        <v/>
      </c>
      <c r="J822" t="str">
        <f t="shared" si="13"/>
        <v/>
      </c>
    </row>
    <row r="823" spans="9:10">
      <c r="I823" t="str">
        <f>_xlfn.IFNA(VLOOKUP(B823,T_DistName[],3,FALSE),"")</f>
        <v/>
      </c>
      <c r="J823" t="str">
        <f t="shared" si="13"/>
        <v/>
      </c>
    </row>
    <row r="824" spans="9:10">
      <c r="I824" t="str">
        <f>_xlfn.IFNA(VLOOKUP(B824,T_DistName[],3,FALSE),"")</f>
        <v/>
      </c>
      <c r="J824" t="str">
        <f t="shared" si="13"/>
        <v/>
      </c>
    </row>
    <row r="825" spans="9:10">
      <c r="I825" t="str">
        <f>_xlfn.IFNA(VLOOKUP(B825,T_DistName[],3,FALSE),"")</f>
        <v/>
      </c>
      <c r="J825" t="str">
        <f t="shared" si="13"/>
        <v/>
      </c>
    </row>
    <row r="826" spans="9:10">
      <c r="I826" t="str">
        <f>_xlfn.IFNA(VLOOKUP(B826,T_DistName[],3,FALSE),"")</f>
        <v/>
      </c>
      <c r="J826" t="str">
        <f t="shared" si="13"/>
        <v/>
      </c>
    </row>
    <row r="827" spans="9:10">
      <c r="I827" t="str">
        <f>_xlfn.IFNA(VLOOKUP(B827,T_DistName[],3,FALSE),"")</f>
        <v/>
      </c>
      <c r="J827" t="str">
        <f t="shared" si="13"/>
        <v/>
      </c>
    </row>
    <row r="828" spans="9:10">
      <c r="I828" t="str">
        <f>_xlfn.IFNA(VLOOKUP(B828,T_DistName[],3,FALSE),"")</f>
        <v/>
      </c>
      <c r="J828" t="str">
        <f t="shared" si="13"/>
        <v/>
      </c>
    </row>
    <row r="829" spans="9:10">
      <c r="I829" t="str">
        <f>_xlfn.IFNA(VLOOKUP(B829,T_DistName[],3,FALSE),"")</f>
        <v/>
      </c>
      <c r="J829" t="str">
        <f t="shared" si="13"/>
        <v/>
      </c>
    </row>
    <row r="830" spans="9:10">
      <c r="I830" t="str">
        <f>_xlfn.IFNA(VLOOKUP(B830,T_DistName[],3,FALSE),"")</f>
        <v/>
      </c>
      <c r="J830" t="str">
        <f t="shared" si="13"/>
        <v/>
      </c>
    </row>
    <row r="831" spans="9:10">
      <c r="I831" t="str">
        <f>_xlfn.IFNA(VLOOKUP(B831,T_DistName[],3,FALSE),"")</f>
        <v/>
      </c>
      <c r="J831" t="str">
        <f t="shared" si="13"/>
        <v/>
      </c>
    </row>
    <row r="832" spans="9:10">
      <c r="I832" t="str">
        <f>_xlfn.IFNA(VLOOKUP(B832,T_DistName[],3,FALSE),"")</f>
        <v/>
      </c>
      <c r="J832" t="str">
        <f t="shared" si="13"/>
        <v/>
      </c>
    </row>
    <row r="833" spans="9:10">
      <c r="I833" t="str">
        <f>_xlfn.IFNA(VLOOKUP(B833,T_DistName[],3,FALSE),"")</f>
        <v/>
      </c>
      <c r="J833" t="str">
        <f t="shared" si="13"/>
        <v/>
      </c>
    </row>
    <row r="834" spans="9:10">
      <c r="I834" t="str">
        <f>_xlfn.IFNA(VLOOKUP(B834,T_DistName[],3,FALSE),"")</f>
        <v/>
      </c>
      <c r="J834" t="str">
        <f t="shared" si="13"/>
        <v/>
      </c>
    </row>
    <row r="835" spans="9:10">
      <c r="I835" t="str">
        <f>_xlfn.IFNA(VLOOKUP(B835,T_DistName[],3,FALSE),"")</f>
        <v/>
      </c>
      <c r="J835" t="str">
        <f t="shared" si="13"/>
        <v/>
      </c>
    </row>
    <row r="836" spans="9:10">
      <c r="I836" t="str">
        <f>_xlfn.IFNA(VLOOKUP(B836,T_DistName[],3,FALSE),"")</f>
        <v/>
      </c>
      <c r="J836" t="str">
        <f t="shared" si="13"/>
        <v/>
      </c>
    </row>
    <row r="837" spans="9:10">
      <c r="I837" t="str">
        <f>_xlfn.IFNA(VLOOKUP(B837,T_DistName[],3,FALSE),"")</f>
        <v/>
      </c>
      <c r="J837" t="str">
        <f t="shared" si="13"/>
        <v/>
      </c>
    </row>
    <row r="838" spans="9:10">
      <c r="I838" t="str">
        <f>_xlfn.IFNA(VLOOKUP(B838,T_DistName[],3,FALSE),"")</f>
        <v/>
      </c>
      <c r="J838" t="str">
        <f t="shared" si="13"/>
        <v/>
      </c>
    </row>
    <row r="839" spans="9:10">
      <c r="I839" t="str">
        <f>_xlfn.IFNA(VLOOKUP(B839,T_DistName[],3,FALSE),"")</f>
        <v/>
      </c>
      <c r="J839" t="str">
        <f t="shared" si="13"/>
        <v/>
      </c>
    </row>
    <row r="840" spans="9:10">
      <c r="I840" t="str">
        <f>_xlfn.IFNA(VLOOKUP(B840,T_DistName[],3,FALSE),"")</f>
        <v/>
      </c>
      <c r="J840" t="str">
        <f t="shared" si="13"/>
        <v/>
      </c>
    </row>
    <row r="841" spans="9:10">
      <c r="I841" t="str">
        <f>_xlfn.IFNA(VLOOKUP(B841,T_DistName[],3,FALSE),"")</f>
        <v/>
      </c>
      <c r="J841" t="str">
        <f t="shared" si="13"/>
        <v/>
      </c>
    </row>
    <row r="842" spans="9:10">
      <c r="I842" t="str">
        <f>_xlfn.IFNA(VLOOKUP(B842,T_DistName[],3,FALSE),"")</f>
        <v/>
      </c>
      <c r="J842" t="str">
        <f t="shared" si="13"/>
        <v/>
      </c>
    </row>
    <row r="843" spans="9:10">
      <c r="I843" t="str">
        <f>_xlfn.IFNA(VLOOKUP(B843,T_DistName[],3,FALSE),"")</f>
        <v/>
      </c>
      <c r="J843" t="str">
        <f t="shared" si="13"/>
        <v/>
      </c>
    </row>
    <row r="844" spans="9:10">
      <c r="I844" t="str">
        <f>_xlfn.IFNA(VLOOKUP(B844,T_DistName[],3,FALSE),"")</f>
        <v/>
      </c>
      <c r="J844" t="str">
        <f t="shared" si="13"/>
        <v/>
      </c>
    </row>
    <row r="845" spans="9:10">
      <c r="I845" t="str">
        <f>_xlfn.IFNA(VLOOKUP(B845,T_DistName[],3,FALSE),"")</f>
        <v/>
      </c>
      <c r="J845" t="str">
        <f t="shared" si="13"/>
        <v/>
      </c>
    </row>
    <row r="846" spans="9:10">
      <c r="I846" t="str">
        <f>_xlfn.IFNA(VLOOKUP(B846,T_DistName[],3,FALSE),"")</f>
        <v/>
      </c>
      <c r="J846" t="str">
        <f t="shared" si="13"/>
        <v/>
      </c>
    </row>
    <row r="847" spans="9:10">
      <c r="I847" t="str">
        <f>_xlfn.IFNA(VLOOKUP(B847,T_DistName[],3,FALSE),"")</f>
        <v/>
      </c>
      <c r="J847" t="str">
        <f t="shared" si="13"/>
        <v/>
      </c>
    </row>
    <row r="848" spans="9:10">
      <c r="I848" t="str">
        <f>_xlfn.IFNA(VLOOKUP(B848,T_DistName[],3,FALSE),"")</f>
        <v/>
      </c>
      <c r="J848" t="str">
        <f t="shared" si="13"/>
        <v/>
      </c>
    </row>
    <row r="849" spans="9:10">
      <c r="I849" t="str">
        <f>_xlfn.IFNA(VLOOKUP(B849,T_DistName[],3,FALSE),"")</f>
        <v/>
      </c>
      <c r="J849" t="str">
        <f t="shared" si="13"/>
        <v/>
      </c>
    </row>
    <row r="850" spans="9:10">
      <c r="I850" t="str">
        <f>_xlfn.IFNA(VLOOKUP(B850,T_DistName[],3,FALSE),"")</f>
        <v/>
      </c>
      <c r="J850" t="str">
        <f t="shared" si="13"/>
        <v/>
      </c>
    </row>
    <row r="851" spans="9:10">
      <c r="I851" t="str">
        <f>_xlfn.IFNA(VLOOKUP(B851,T_DistName[],3,FALSE),"")</f>
        <v/>
      </c>
      <c r="J851" t="str">
        <f t="shared" si="13"/>
        <v/>
      </c>
    </row>
    <row r="852" spans="9:10">
      <c r="I852" t="str">
        <f>_xlfn.IFNA(VLOOKUP(B852,T_DistName[],3,FALSE),"")</f>
        <v/>
      </c>
      <c r="J852" t="str">
        <f t="shared" si="13"/>
        <v/>
      </c>
    </row>
    <row r="853" spans="9:10">
      <c r="I853" t="str">
        <f>_xlfn.IFNA(VLOOKUP(B853,T_DistName[],3,FALSE),"")</f>
        <v/>
      </c>
      <c r="J853" t="str">
        <f t="shared" si="13"/>
        <v/>
      </c>
    </row>
    <row r="854" spans="9:10">
      <c r="I854" t="str">
        <f>_xlfn.IFNA(VLOOKUP(B854,T_DistName[],3,FALSE),"")</f>
        <v/>
      </c>
      <c r="J854" t="str">
        <f t="shared" si="13"/>
        <v/>
      </c>
    </row>
    <row r="855" spans="9:10">
      <c r="I855" t="str">
        <f>_xlfn.IFNA(VLOOKUP(B855,T_DistName[],3,FALSE),"")</f>
        <v/>
      </c>
      <c r="J855" t="str">
        <f t="shared" si="13"/>
        <v/>
      </c>
    </row>
    <row r="856" spans="9:10">
      <c r="I856" t="str">
        <f>_xlfn.IFNA(VLOOKUP(B856,T_DistName[],3,FALSE),"")</f>
        <v/>
      </c>
      <c r="J856" t="str">
        <f t="shared" si="13"/>
        <v/>
      </c>
    </row>
    <row r="857" spans="9:10">
      <c r="I857" t="str">
        <f>_xlfn.IFNA(VLOOKUP(B857,T_DistName[],3,FALSE),"")</f>
        <v/>
      </c>
      <c r="J857" t="str">
        <f t="shared" ref="J857:J920" si="14">I857&amp;F857</f>
        <v/>
      </c>
    </row>
    <row r="858" spans="9:10">
      <c r="I858" t="str">
        <f>_xlfn.IFNA(VLOOKUP(B858,T_DistName[],3,FALSE),"")</f>
        <v/>
      </c>
      <c r="J858" t="str">
        <f t="shared" si="14"/>
        <v/>
      </c>
    </row>
    <row r="859" spans="9:10">
      <c r="I859" t="str">
        <f>_xlfn.IFNA(VLOOKUP(B859,T_DistName[],3,FALSE),"")</f>
        <v/>
      </c>
      <c r="J859" t="str">
        <f t="shared" si="14"/>
        <v/>
      </c>
    </row>
    <row r="860" spans="9:10">
      <c r="I860" t="str">
        <f>_xlfn.IFNA(VLOOKUP(B860,T_DistName[],3,FALSE),"")</f>
        <v/>
      </c>
      <c r="J860" t="str">
        <f t="shared" si="14"/>
        <v/>
      </c>
    </row>
    <row r="861" spans="9:10">
      <c r="I861" t="str">
        <f>_xlfn.IFNA(VLOOKUP(B861,T_DistName[],3,FALSE),"")</f>
        <v/>
      </c>
      <c r="J861" t="str">
        <f t="shared" si="14"/>
        <v/>
      </c>
    </row>
    <row r="862" spans="9:10">
      <c r="I862" t="str">
        <f>_xlfn.IFNA(VLOOKUP(B862,T_DistName[],3,FALSE),"")</f>
        <v/>
      </c>
      <c r="J862" t="str">
        <f t="shared" si="14"/>
        <v/>
      </c>
    </row>
    <row r="863" spans="9:10">
      <c r="I863" t="str">
        <f>_xlfn.IFNA(VLOOKUP(B863,T_DistName[],3,FALSE),"")</f>
        <v/>
      </c>
      <c r="J863" t="str">
        <f t="shared" si="14"/>
        <v/>
      </c>
    </row>
    <row r="864" spans="9:10">
      <c r="I864" t="str">
        <f>_xlfn.IFNA(VLOOKUP(B864,T_DistName[],3,FALSE),"")</f>
        <v/>
      </c>
      <c r="J864" t="str">
        <f t="shared" si="14"/>
        <v/>
      </c>
    </row>
    <row r="865" spans="9:10">
      <c r="I865" t="str">
        <f>_xlfn.IFNA(VLOOKUP(B865,T_DistName[],3,FALSE),"")</f>
        <v/>
      </c>
      <c r="J865" t="str">
        <f t="shared" si="14"/>
        <v/>
      </c>
    </row>
    <row r="866" spans="9:10">
      <c r="I866" t="str">
        <f>_xlfn.IFNA(VLOOKUP(B866,T_DistName[],3,FALSE),"")</f>
        <v/>
      </c>
      <c r="J866" t="str">
        <f t="shared" si="14"/>
        <v/>
      </c>
    </row>
    <row r="867" spans="9:10">
      <c r="I867" t="str">
        <f>_xlfn.IFNA(VLOOKUP(B867,T_DistName[],3,FALSE),"")</f>
        <v/>
      </c>
      <c r="J867" t="str">
        <f t="shared" si="14"/>
        <v/>
      </c>
    </row>
    <row r="868" spans="9:10">
      <c r="I868" t="str">
        <f>_xlfn.IFNA(VLOOKUP(B868,T_DistName[],3,FALSE),"")</f>
        <v/>
      </c>
      <c r="J868" t="str">
        <f t="shared" si="14"/>
        <v/>
      </c>
    </row>
    <row r="869" spans="9:10">
      <c r="I869" t="str">
        <f>_xlfn.IFNA(VLOOKUP(B869,T_DistName[],3,FALSE),"")</f>
        <v/>
      </c>
      <c r="J869" t="str">
        <f t="shared" si="14"/>
        <v/>
      </c>
    </row>
    <row r="870" spans="9:10">
      <c r="I870" t="str">
        <f>_xlfn.IFNA(VLOOKUP(B870,T_DistName[],3,FALSE),"")</f>
        <v/>
      </c>
      <c r="J870" t="str">
        <f t="shared" si="14"/>
        <v/>
      </c>
    </row>
    <row r="871" spans="9:10">
      <c r="I871" t="str">
        <f>_xlfn.IFNA(VLOOKUP(B871,T_DistName[],3,FALSE),"")</f>
        <v/>
      </c>
      <c r="J871" t="str">
        <f t="shared" si="14"/>
        <v/>
      </c>
    </row>
    <row r="872" spans="9:10">
      <c r="I872" t="str">
        <f>_xlfn.IFNA(VLOOKUP(B872,T_DistName[],3,FALSE),"")</f>
        <v/>
      </c>
      <c r="J872" t="str">
        <f t="shared" si="14"/>
        <v/>
      </c>
    </row>
    <row r="873" spans="9:10">
      <c r="I873" t="str">
        <f>_xlfn.IFNA(VLOOKUP(B873,T_DistName[],3,FALSE),"")</f>
        <v/>
      </c>
      <c r="J873" t="str">
        <f t="shared" si="14"/>
        <v/>
      </c>
    </row>
    <row r="874" spans="9:10">
      <c r="I874" t="str">
        <f>_xlfn.IFNA(VLOOKUP(B874,T_DistName[],3,FALSE),"")</f>
        <v/>
      </c>
      <c r="J874" t="str">
        <f t="shared" si="14"/>
        <v/>
      </c>
    </row>
    <row r="875" spans="9:10">
      <c r="I875" t="str">
        <f>_xlfn.IFNA(VLOOKUP(B875,T_DistName[],3,FALSE),"")</f>
        <v/>
      </c>
      <c r="J875" t="str">
        <f t="shared" si="14"/>
        <v/>
      </c>
    </row>
    <row r="876" spans="9:10">
      <c r="I876" t="str">
        <f>_xlfn.IFNA(VLOOKUP(B876,T_DistName[],3,FALSE),"")</f>
        <v/>
      </c>
      <c r="J876" t="str">
        <f t="shared" si="14"/>
        <v/>
      </c>
    </row>
    <row r="877" spans="9:10">
      <c r="I877" t="str">
        <f>_xlfn.IFNA(VLOOKUP(B877,T_DistName[],3,FALSE),"")</f>
        <v/>
      </c>
      <c r="J877" t="str">
        <f t="shared" si="14"/>
        <v/>
      </c>
    </row>
    <row r="878" spans="9:10">
      <c r="I878" t="str">
        <f>_xlfn.IFNA(VLOOKUP(B878,T_DistName[],3,FALSE),"")</f>
        <v/>
      </c>
      <c r="J878" t="str">
        <f t="shared" si="14"/>
        <v/>
      </c>
    </row>
    <row r="879" spans="9:10">
      <c r="I879" t="str">
        <f>_xlfn.IFNA(VLOOKUP(B879,T_DistName[],3,FALSE),"")</f>
        <v/>
      </c>
      <c r="J879" t="str">
        <f t="shared" si="14"/>
        <v/>
      </c>
    </row>
    <row r="880" spans="9:10">
      <c r="I880" t="str">
        <f>_xlfn.IFNA(VLOOKUP(B880,T_DistName[],3,FALSE),"")</f>
        <v/>
      </c>
      <c r="J880" t="str">
        <f t="shared" si="14"/>
        <v/>
      </c>
    </row>
    <row r="881" spans="9:10">
      <c r="I881" t="str">
        <f>_xlfn.IFNA(VLOOKUP(B881,T_DistName[],3,FALSE),"")</f>
        <v/>
      </c>
      <c r="J881" t="str">
        <f t="shared" si="14"/>
        <v/>
      </c>
    </row>
    <row r="882" spans="9:10">
      <c r="I882" t="str">
        <f>_xlfn.IFNA(VLOOKUP(B882,T_DistName[],3,FALSE),"")</f>
        <v/>
      </c>
      <c r="J882" t="str">
        <f t="shared" si="14"/>
        <v/>
      </c>
    </row>
    <row r="883" spans="9:10">
      <c r="I883" t="str">
        <f>_xlfn.IFNA(VLOOKUP(B883,T_DistName[],3,FALSE),"")</f>
        <v/>
      </c>
      <c r="J883" t="str">
        <f t="shared" si="14"/>
        <v/>
      </c>
    </row>
    <row r="884" spans="9:10">
      <c r="I884" t="str">
        <f>_xlfn.IFNA(VLOOKUP(B884,T_DistName[],3,FALSE),"")</f>
        <v/>
      </c>
      <c r="J884" t="str">
        <f t="shared" si="14"/>
        <v/>
      </c>
    </row>
    <row r="885" spans="9:10">
      <c r="I885" t="str">
        <f>_xlfn.IFNA(VLOOKUP(B885,T_DistName[],3,FALSE),"")</f>
        <v/>
      </c>
      <c r="J885" t="str">
        <f t="shared" si="14"/>
        <v/>
      </c>
    </row>
    <row r="886" spans="9:10">
      <c r="I886" t="str">
        <f>_xlfn.IFNA(VLOOKUP(B886,T_DistName[],3,FALSE),"")</f>
        <v/>
      </c>
      <c r="J886" t="str">
        <f t="shared" si="14"/>
        <v/>
      </c>
    </row>
    <row r="887" spans="9:10">
      <c r="I887" t="str">
        <f>_xlfn.IFNA(VLOOKUP(B887,T_DistName[],3,FALSE),"")</f>
        <v/>
      </c>
      <c r="J887" t="str">
        <f t="shared" si="14"/>
        <v/>
      </c>
    </row>
    <row r="888" spans="9:10">
      <c r="I888" t="str">
        <f>_xlfn.IFNA(VLOOKUP(B888,T_DistName[],3,FALSE),"")</f>
        <v/>
      </c>
      <c r="J888" t="str">
        <f t="shared" si="14"/>
        <v/>
      </c>
    </row>
    <row r="889" spans="9:10">
      <c r="I889" t="str">
        <f>_xlfn.IFNA(VLOOKUP(B889,T_DistName[],3,FALSE),"")</f>
        <v/>
      </c>
      <c r="J889" t="str">
        <f t="shared" si="14"/>
        <v/>
      </c>
    </row>
    <row r="890" spans="9:10">
      <c r="I890" t="str">
        <f>_xlfn.IFNA(VLOOKUP(B890,T_DistName[],3,FALSE),"")</f>
        <v/>
      </c>
      <c r="J890" t="str">
        <f t="shared" si="14"/>
        <v/>
      </c>
    </row>
    <row r="891" spans="9:10">
      <c r="I891" t="str">
        <f>_xlfn.IFNA(VLOOKUP(B891,T_DistName[],3,FALSE),"")</f>
        <v/>
      </c>
      <c r="J891" t="str">
        <f t="shared" si="14"/>
        <v/>
      </c>
    </row>
    <row r="892" spans="9:10">
      <c r="I892" t="str">
        <f>_xlfn.IFNA(VLOOKUP(B892,T_DistName[],3,FALSE),"")</f>
        <v/>
      </c>
      <c r="J892" t="str">
        <f t="shared" si="14"/>
        <v/>
      </c>
    </row>
    <row r="893" spans="9:10">
      <c r="I893" t="str">
        <f>_xlfn.IFNA(VLOOKUP(B893,T_DistName[],3,FALSE),"")</f>
        <v/>
      </c>
      <c r="J893" t="str">
        <f t="shared" si="14"/>
        <v/>
      </c>
    </row>
    <row r="894" spans="9:10">
      <c r="I894" t="str">
        <f>_xlfn.IFNA(VLOOKUP(B894,T_DistName[],3,FALSE),"")</f>
        <v/>
      </c>
      <c r="J894" t="str">
        <f t="shared" si="14"/>
        <v/>
      </c>
    </row>
    <row r="895" spans="9:10">
      <c r="I895" t="str">
        <f>_xlfn.IFNA(VLOOKUP(B895,T_DistName[],3,FALSE),"")</f>
        <v/>
      </c>
      <c r="J895" t="str">
        <f t="shared" si="14"/>
        <v/>
      </c>
    </row>
    <row r="896" spans="9:10">
      <c r="I896" t="str">
        <f>_xlfn.IFNA(VLOOKUP(B896,T_DistName[],3,FALSE),"")</f>
        <v/>
      </c>
      <c r="J896" t="str">
        <f t="shared" si="14"/>
        <v/>
      </c>
    </row>
    <row r="897" spans="9:10">
      <c r="I897" t="str">
        <f>_xlfn.IFNA(VLOOKUP(B897,T_DistName[],3,FALSE),"")</f>
        <v/>
      </c>
      <c r="J897" t="str">
        <f t="shared" si="14"/>
        <v/>
      </c>
    </row>
    <row r="898" spans="9:10">
      <c r="I898" t="str">
        <f>_xlfn.IFNA(VLOOKUP(B898,T_DistName[],3,FALSE),"")</f>
        <v/>
      </c>
      <c r="J898" t="str">
        <f t="shared" si="14"/>
        <v/>
      </c>
    </row>
    <row r="899" spans="9:10">
      <c r="I899" t="str">
        <f>_xlfn.IFNA(VLOOKUP(B899,T_DistName[],3,FALSE),"")</f>
        <v/>
      </c>
      <c r="J899" t="str">
        <f t="shared" si="14"/>
        <v/>
      </c>
    </row>
    <row r="900" spans="9:10">
      <c r="I900" t="str">
        <f>_xlfn.IFNA(VLOOKUP(B900,T_DistName[],3,FALSE),"")</f>
        <v/>
      </c>
      <c r="J900" t="str">
        <f t="shared" si="14"/>
        <v/>
      </c>
    </row>
    <row r="901" spans="9:10">
      <c r="I901" t="str">
        <f>_xlfn.IFNA(VLOOKUP(B901,T_DistName[],3,FALSE),"")</f>
        <v/>
      </c>
      <c r="J901" t="str">
        <f t="shared" si="14"/>
        <v/>
      </c>
    </row>
    <row r="902" spans="9:10">
      <c r="I902" t="str">
        <f>_xlfn.IFNA(VLOOKUP(B902,T_DistName[],3,FALSE),"")</f>
        <v/>
      </c>
      <c r="J902" t="str">
        <f t="shared" si="14"/>
        <v/>
      </c>
    </row>
    <row r="903" spans="9:10">
      <c r="I903" t="str">
        <f>_xlfn.IFNA(VLOOKUP(B903,T_DistName[],3,FALSE),"")</f>
        <v/>
      </c>
      <c r="J903" t="str">
        <f t="shared" si="14"/>
        <v/>
      </c>
    </row>
    <row r="904" spans="9:10">
      <c r="I904" t="str">
        <f>_xlfn.IFNA(VLOOKUP(B904,T_DistName[],3,FALSE),"")</f>
        <v/>
      </c>
      <c r="J904" t="str">
        <f t="shared" si="14"/>
        <v/>
      </c>
    </row>
    <row r="905" spans="9:10">
      <c r="I905" t="str">
        <f>_xlfn.IFNA(VLOOKUP(B905,T_DistName[],3,FALSE),"")</f>
        <v/>
      </c>
      <c r="J905" t="str">
        <f t="shared" si="14"/>
        <v/>
      </c>
    </row>
    <row r="906" spans="9:10">
      <c r="I906" t="str">
        <f>_xlfn.IFNA(VLOOKUP(B906,T_DistName[],3,FALSE),"")</f>
        <v/>
      </c>
      <c r="J906" t="str">
        <f t="shared" si="14"/>
        <v/>
      </c>
    </row>
    <row r="907" spans="9:10">
      <c r="I907" t="str">
        <f>_xlfn.IFNA(VLOOKUP(B907,T_DistName[],3,FALSE),"")</f>
        <v/>
      </c>
      <c r="J907" t="str">
        <f t="shared" si="14"/>
        <v/>
      </c>
    </row>
    <row r="908" spans="9:10">
      <c r="I908" t="str">
        <f>_xlfn.IFNA(VLOOKUP(B908,T_DistName[],3,FALSE),"")</f>
        <v/>
      </c>
      <c r="J908" t="str">
        <f t="shared" si="14"/>
        <v/>
      </c>
    </row>
    <row r="909" spans="9:10">
      <c r="I909" t="str">
        <f>_xlfn.IFNA(VLOOKUP(B909,T_DistName[],3,FALSE),"")</f>
        <v/>
      </c>
      <c r="J909" t="str">
        <f t="shared" si="14"/>
        <v/>
      </c>
    </row>
    <row r="910" spans="9:10">
      <c r="I910" t="str">
        <f>_xlfn.IFNA(VLOOKUP(B910,T_DistName[],3,FALSE),"")</f>
        <v/>
      </c>
      <c r="J910" t="str">
        <f t="shared" si="14"/>
        <v/>
      </c>
    </row>
    <row r="911" spans="9:10">
      <c r="I911" t="str">
        <f>_xlfn.IFNA(VLOOKUP(B911,T_DistName[],3,FALSE),"")</f>
        <v/>
      </c>
      <c r="J911" t="str">
        <f t="shared" si="14"/>
        <v/>
      </c>
    </row>
    <row r="912" spans="9:10">
      <c r="I912" t="str">
        <f>_xlfn.IFNA(VLOOKUP(B912,T_DistName[],3,FALSE),"")</f>
        <v/>
      </c>
      <c r="J912" t="str">
        <f t="shared" si="14"/>
        <v/>
      </c>
    </row>
    <row r="913" spans="9:10">
      <c r="I913" t="str">
        <f>_xlfn.IFNA(VLOOKUP(B913,T_DistName[],3,FALSE),"")</f>
        <v/>
      </c>
      <c r="J913" t="str">
        <f t="shared" si="14"/>
        <v/>
      </c>
    </row>
    <row r="914" spans="9:10">
      <c r="I914" t="str">
        <f>_xlfn.IFNA(VLOOKUP(B914,T_DistName[],3,FALSE),"")</f>
        <v/>
      </c>
      <c r="J914" t="str">
        <f t="shared" si="14"/>
        <v/>
      </c>
    </row>
    <row r="915" spans="9:10">
      <c r="I915" t="str">
        <f>_xlfn.IFNA(VLOOKUP(B915,T_DistName[],3,FALSE),"")</f>
        <v/>
      </c>
      <c r="J915" t="str">
        <f t="shared" si="14"/>
        <v/>
      </c>
    </row>
    <row r="916" spans="9:10">
      <c r="I916" t="str">
        <f>_xlfn.IFNA(VLOOKUP(B916,T_DistName[],3,FALSE),"")</f>
        <v/>
      </c>
      <c r="J916" t="str">
        <f t="shared" si="14"/>
        <v/>
      </c>
    </row>
    <row r="917" spans="9:10">
      <c r="I917" t="str">
        <f>_xlfn.IFNA(VLOOKUP(B917,T_DistName[],3,FALSE),"")</f>
        <v/>
      </c>
      <c r="J917" t="str">
        <f t="shared" si="14"/>
        <v/>
      </c>
    </row>
    <row r="918" spans="9:10">
      <c r="I918" t="str">
        <f>_xlfn.IFNA(VLOOKUP(B918,T_DistName[],3,FALSE),"")</f>
        <v/>
      </c>
      <c r="J918" t="str">
        <f t="shared" si="14"/>
        <v/>
      </c>
    </row>
    <row r="919" spans="9:10">
      <c r="I919" t="str">
        <f>_xlfn.IFNA(VLOOKUP(B919,T_DistName[],3,FALSE),"")</f>
        <v/>
      </c>
      <c r="J919" t="str">
        <f t="shared" si="14"/>
        <v/>
      </c>
    </row>
    <row r="920" spans="9:10">
      <c r="I920" t="str">
        <f>_xlfn.IFNA(VLOOKUP(B920,T_DistName[],3,FALSE),"")</f>
        <v/>
      </c>
      <c r="J920" t="str">
        <f t="shared" si="14"/>
        <v/>
      </c>
    </row>
    <row r="921" spans="9:10">
      <c r="I921" t="str">
        <f>_xlfn.IFNA(VLOOKUP(B921,T_DistName[],3,FALSE),"")</f>
        <v/>
      </c>
      <c r="J921" t="str">
        <f t="shared" ref="J921:J984" si="15">I921&amp;F921</f>
        <v/>
      </c>
    </row>
    <row r="922" spans="9:10">
      <c r="I922" t="str">
        <f>_xlfn.IFNA(VLOOKUP(B922,T_DistName[],3,FALSE),"")</f>
        <v/>
      </c>
      <c r="J922" t="str">
        <f t="shared" si="15"/>
        <v/>
      </c>
    </row>
    <row r="923" spans="9:10">
      <c r="I923" t="str">
        <f>_xlfn.IFNA(VLOOKUP(B923,T_DistName[],3,FALSE),"")</f>
        <v/>
      </c>
      <c r="J923" t="str">
        <f t="shared" si="15"/>
        <v/>
      </c>
    </row>
    <row r="924" spans="9:10">
      <c r="I924" t="str">
        <f>_xlfn.IFNA(VLOOKUP(B924,T_DistName[],3,FALSE),"")</f>
        <v/>
      </c>
      <c r="J924" t="str">
        <f t="shared" si="15"/>
        <v/>
      </c>
    </row>
    <row r="925" spans="9:10">
      <c r="I925" t="str">
        <f>_xlfn.IFNA(VLOOKUP(B925,T_DistName[],3,FALSE),"")</f>
        <v/>
      </c>
      <c r="J925" t="str">
        <f t="shared" si="15"/>
        <v/>
      </c>
    </row>
    <row r="926" spans="9:10">
      <c r="I926" t="str">
        <f>_xlfn.IFNA(VLOOKUP(B926,T_DistName[],3,FALSE),"")</f>
        <v/>
      </c>
      <c r="J926" t="str">
        <f t="shared" si="15"/>
        <v/>
      </c>
    </row>
    <row r="927" spans="9:10">
      <c r="I927" t="str">
        <f>_xlfn.IFNA(VLOOKUP(B927,T_DistName[],3,FALSE),"")</f>
        <v/>
      </c>
      <c r="J927" t="str">
        <f t="shared" si="15"/>
        <v/>
      </c>
    </row>
    <row r="928" spans="9:10">
      <c r="I928" t="str">
        <f>_xlfn.IFNA(VLOOKUP(B928,T_DistName[],3,FALSE),"")</f>
        <v/>
      </c>
      <c r="J928" t="str">
        <f t="shared" si="15"/>
        <v/>
      </c>
    </row>
    <row r="929" spans="9:10">
      <c r="I929" t="str">
        <f>_xlfn.IFNA(VLOOKUP(B929,T_DistName[],3,FALSE),"")</f>
        <v/>
      </c>
      <c r="J929" t="str">
        <f t="shared" si="15"/>
        <v/>
      </c>
    </row>
    <row r="930" spans="9:10">
      <c r="I930" t="str">
        <f>_xlfn.IFNA(VLOOKUP(B930,T_DistName[],3,FALSE),"")</f>
        <v/>
      </c>
      <c r="J930" t="str">
        <f t="shared" si="15"/>
        <v/>
      </c>
    </row>
    <row r="931" spans="9:10">
      <c r="I931" t="str">
        <f>_xlfn.IFNA(VLOOKUP(B931,T_DistName[],3,FALSE),"")</f>
        <v/>
      </c>
      <c r="J931" t="str">
        <f t="shared" si="15"/>
        <v/>
      </c>
    </row>
    <row r="932" spans="9:10">
      <c r="I932" t="str">
        <f>_xlfn.IFNA(VLOOKUP(B932,T_DistName[],3,FALSE),"")</f>
        <v/>
      </c>
      <c r="J932" t="str">
        <f t="shared" si="15"/>
        <v/>
      </c>
    </row>
    <row r="933" spans="9:10">
      <c r="I933" t="str">
        <f>_xlfn.IFNA(VLOOKUP(B933,T_DistName[],3,FALSE),"")</f>
        <v/>
      </c>
      <c r="J933" t="str">
        <f t="shared" si="15"/>
        <v/>
      </c>
    </row>
    <row r="934" spans="9:10">
      <c r="I934" t="str">
        <f>_xlfn.IFNA(VLOOKUP(B934,T_DistName[],3,FALSE),"")</f>
        <v/>
      </c>
      <c r="J934" t="str">
        <f t="shared" si="15"/>
        <v/>
      </c>
    </row>
    <row r="935" spans="9:10">
      <c r="I935" t="str">
        <f>_xlfn.IFNA(VLOOKUP(B935,T_DistName[],3,FALSE),"")</f>
        <v/>
      </c>
      <c r="J935" t="str">
        <f t="shared" si="15"/>
        <v/>
      </c>
    </row>
    <row r="936" spans="9:10">
      <c r="I936" t="str">
        <f>_xlfn.IFNA(VLOOKUP(B936,T_DistName[],3,FALSE),"")</f>
        <v/>
      </c>
      <c r="J936" t="str">
        <f t="shared" si="15"/>
        <v/>
      </c>
    </row>
    <row r="937" spans="9:10">
      <c r="I937" t="str">
        <f>_xlfn.IFNA(VLOOKUP(B937,T_DistName[],3,FALSE),"")</f>
        <v/>
      </c>
      <c r="J937" t="str">
        <f t="shared" si="15"/>
        <v/>
      </c>
    </row>
    <row r="938" spans="9:10">
      <c r="I938" t="str">
        <f>_xlfn.IFNA(VLOOKUP(B938,T_DistName[],3,FALSE),"")</f>
        <v/>
      </c>
      <c r="J938" t="str">
        <f t="shared" si="15"/>
        <v/>
      </c>
    </row>
    <row r="939" spans="9:10">
      <c r="I939" t="str">
        <f>_xlfn.IFNA(VLOOKUP(B939,T_DistName[],3,FALSE),"")</f>
        <v/>
      </c>
      <c r="J939" t="str">
        <f t="shared" si="15"/>
        <v/>
      </c>
    </row>
    <row r="940" spans="9:10">
      <c r="I940" t="str">
        <f>_xlfn.IFNA(VLOOKUP(B940,T_DistName[],3,FALSE),"")</f>
        <v/>
      </c>
      <c r="J940" t="str">
        <f t="shared" si="15"/>
        <v/>
      </c>
    </row>
    <row r="941" spans="9:10">
      <c r="I941" t="str">
        <f>_xlfn.IFNA(VLOOKUP(B941,T_DistName[],3,FALSE),"")</f>
        <v/>
      </c>
      <c r="J941" t="str">
        <f t="shared" si="15"/>
        <v/>
      </c>
    </row>
    <row r="942" spans="9:10">
      <c r="I942" t="str">
        <f>_xlfn.IFNA(VLOOKUP(B942,T_DistName[],3,FALSE),"")</f>
        <v/>
      </c>
      <c r="J942" t="str">
        <f t="shared" si="15"/>
        <v/>
      </c>
    </row>
    <row r="943" spans="9:10">
      <c r="I943" t="str">
        <f>_xlfn.IFNA(VLOOKUP(B943,T_DistName[],3,FALSE),"")</f>
        <v/>
      </c>
      <c r="J943" t="str">
        <f t="shared" si="15"/>
        <v/>
      </c>
    </row>
    <row r="944" spans="9:10">
      <c r="I944" t="str">
        <f>_xlfn.IFNA(VLOOKUP(B944,T_DistName[],3,FALSE),"")</f>
        <v/>
      </c>
      <c r="J944" t="str">
        <f t="shared" si="15"/>
        <v/>
      </c>
    </row>
    <row r="945" spans="9:10">
      <c r="I945" t="str">
        <f>_xlfn.IFNA(VLOOKUP(B945,T_DistName[],3,FALSE),"")</f>
        <v/>
      </c>
      <c r="J945" t="str">
        <f t="shared" si="15"/>
        <v/>
      </c>
    </row>
    <row r="946" spans="9:10">
      <c r="I946" t="str">
        <f>_xlfn.IFNA(VLOOKUP(B946,T_DistName[],3,FALSE),"")</f>
        <v/>
      </c>
      <c r="J946" t="str">
        <f t="shared" si="15"/>
        <v/>
      </c>
    </row>
    <row r="947" spans="9:10">
      <c r="I947" t="str">
        <f>_xlfn.IFNA(VLOOKUP(B947,T_DistName[],3,FALSE),"")</f>
        <v/>
      </c>
      <c r="J947" t="str">
        <f t="shared" si="15"/>
        <v/>
      </c>
    </row>
    <row r="948" spans="9:10">
      <c r="I948" t="str">
        <f>_xlfn.IFNA(VLOOKUP(B948,T_DistName[],3,FALSE),"")</f>
        <v/>
      </c>
      <c r="J948" t="str">
        <f t="shared" si="15"/>
        <v/>
      </c>
    </row>
    <row r="949" spans="9:10">
      <c r="I949" t="str">
        <f>_xlfn.IFNA(VLOOKUP(B949,T_DistName[],3,FALSE),"")</f>
        <v/>
      </c>
      <c r="J949" t="str">
        <f t="shared" si="15"/>
        <v/>
      </c>
    </row>
    <row r="950" spans="9:10">
      <c r="I950" t="str">
        <f>_xlfn.IFNA(VLOOKUP(B950,T_DistName[],3,FALSE),"")</f>
        <v/>
      </c>
      <c r="J950" t="str">
        <f t="shared" si="15"/>
        <v/>
      </c>
    </row>
    <row r="951" spans="9:10">
      <c r="I951" t="str">
        <f>_xlfn.IFNA(VLOOKUP(B951,T_DistName[],3,FALSE),"")</f>
        <v/>
      </c>
      <c r="J951" t="str">
        <f t="shared" si="15"/>
        <v/>
      </c>
    </row>
    <row r="952" spans="9:10">
      <c r="I952" t="str">
        <f>_xlfn.IFNA(VLOOKUP(B952,T_DistName[],3,FALSE),"")</f>
        <v/>
      </c>
      <c r="J952" t="str">
        <f t="shared" si="15"/>
        <v/>
      </c>
    </row>
    <row r="953" spans="9:10">
      <c r="I953" t="str">
        <f>_xlfn.IFNA(VLOOKUP(B953,T_DistName[],3,FALSE),"")</f>
        <v/>
      </c>
      <c r="J953" t="str">
        <f t="shared" si="15"/>
        <v/>
      </c>
    </row>
    <row r="954" spans="9:10">
      <c r="I954" t="str">
        <f>_xlfn.IFNA(VLOOKUP(B954,T_DistName[],3,FALSE),"")</f>
        <v/>
      </c>
      <c r="J954" t="str">
        <f t="shared" si="15"/>
        <v/>
      </c>
    </row>
    <row r="955" spans="9:10">
      <c r="I955" t="str">
        <f>_xlfn.IFNA(VLOOKUP(B955,T_DistName[],3,FALSE),"")</f>
        <v/>
      </c>
      <c r="J955" t="str">
        <f t="shared" si="15"/>
        <v/>
      </c>
    </row>
    <row r="956" spans="9:10">
      <c r="I956" t="str">
        <f>_xlfn.IFNA(VLOOKUP(B956,T_DistName[],3,FALSE),"")</f>
        <v/>
      </c>
      <c r="J956" t="str">
        <f t="shared" si="15"/>
        <v/>
      </c>
    </row>
    <row r="957" spans="9:10">
      <c r="I957" t="str">
        <f>_xlfn.IFNA(VLOOKUP(B957,T_DistName[],3,FALSE),"")</f>
        <v/>
      </c>
      <c r="J957" t="str">
        <f t="shared" si="15"/>
        <v/>
      </c>
    </row>
    <row r="958" spans="9:10">
      <c r="I958" t="str">
        <f>_xlfn.IFNA(VLOOKUP(B958,T_DistName[],3,FALSE),"")</f>
        <v/>
      </c>
      <c r="J958" t="str">
        <f t="shared" si="15"/>
        <v/>
      </c>
    </row>
    <row r="959" spans="9:10">
      <c r="I959" t="str">
        <f>_xlfn.IFNA(VLOOKUP(B959,T_DistName[],3,FALSE),"")</f>
        <v/>
      </c>
      <c r="J959" t="str">
        <f t="shared" si="15"/>
        <v/>
      </c>
    </row>
    <row r="960" spans="9:10">
      <c r="I960" t="str">
        <f>_xlfn.IFNA(VLOOKUP(B960,T_DistName[],3,FALSE),"")</f>
        <v/>
      </c>
      <c r="J960" t="str">
        <f t="shared" si="15"/>
        <v/>
      </c>
    </row>
    <row r="961" spans="9:10">
      <c r="I961" t="str">
        <f>_xlfn.IFNA(VLOOKUP(B961,T_DistName[],3,FALSE),"")</f>
        <v/>
      </c>
      <c r="J961" t="str">
        <f t="shared" si="15"/>
        <v/>
      </c>
    </row>
    <row r="962" spans="9:10">
      <c r="I962" t="str">
        <f>_xlfn.IFNA(VLOOKUP(B962,T_DistName[],3,FALSE),"")</f>
        <v/>
      </c>
      <c r="J962" t="str">
        <f t="shared" si="15"/>
        <v/>
      </c>
    </row>
    <row r="963" spans="9:10">
      <c r="I963" t="str">
        <f>_xlfn.IFNA(VLOOKUP(B963,T_DistName[],3,FALSE),"")</f>
        <v/>
      </c>
      <c r="J963" t="str">
        <f t="shared" si="15"/>
        <v/>
      </c>
    </row>
    <row r="964" spans="9:10">
      <c r="I964" t="str">
        <f>_xlfn.IFNA(VLOOKUP(B964,T_DistName[],3,FALSE),"")</f>
        <v/>
      </c>
      <c r="J964" t="str">
        <f t="shared" si="15"/>
        <v/>
      </c>
    </row>
    <row r="965" spans="9:10">
      <c r="I965" t="str">
        <f>_xlfn.IFNA(VLOOKUP(B965,T_DistName[],3,FALSE),"")</f>
        <v/>
      </c>
      <c r="J965" t="str">
        <f t="shared" si="15"/>
        <v/>
      </c>
    </row>
    <row r="966" spans="9:10">
      <c r="I966" t="str">
        <f>_xlfn.IFNA(VLOOKUP(B966,T_DistName[],3,FALSE),"")</f>
        <v/>
      </c>
      <c r="J966" t="str">
        <f t="shared" si="15"/>
        <v/>
      </c>
    </row>
    <row r="967" spans="9:10">
      <c r="I967" t="str">
        <f>_xlfn.IFNA(VLOOKUP(B967,T_DistName[],3,FALSE),"")</f>
        <v/>
      </c>
      <c r="J967" t="str">
        <f t="shared" si="15"/>
        <v/>
      </c>
    </row>
    <row r="968" spans="9:10">
      <c r="I968" t="str">
        <f>_xlfn.IFNA(VLOOKUP(B968,T_DistName[],3,FALSE),"")</f>
        <v/>
      </c>
      <c r="J968" t="str">
        <f t="shared" si="15"/>
        <v/>
      </c>
    </row>
    <row r="969" spans="9:10">
      <c r="I969" t="str">
        <f>_xlfn.IFNA(VLOOKUP(B969,T_DistName[],3,FALSE),"")</f>
        <v/>
      </c>
      <c r="J969" t="str">
        <f t="shared" si="15"/>
        <v/>
      </c>
    </row>
    <row r="970" spans="9:10">
      <c r="I970" t="str">
        <f>_xlfn.IFNA(VLOOKUP(B970,T_DistName[],3,FALSE),"")</f>
        <v/>
      </c>
      <c r="J970" t="str">
        <f t="shared" si="15"/>
        <v/>
      </c>
    </row>
    <row r="971" spans="9:10">
      <c r="I971" t="str">
        <f>_xlfn.IFNA(VLOOKUP(B971,T_DistName[],3,FALSE),"")</f>
        <v/>
      </c>
      <c r="J971" t="str">
        <f t="shared" si="15"/>
        <v/>
      </c>
    </row>
    <row r="972" spans="9:10">
      <c r="I972" t="str">
        <f>_xlfn.IFNA(VLOOKUP(B972,T_DistName[],3,FALSE),"")</f>
        <v/>
      </c>
      <c r="J972" t="str">
        <f t="shared" si="15"/>
        <v/>
      </c>
    </row>
    <row r="973" spans="9:10">
      <c r="I973" t="str">
        <f>_xlfn.IFNA(VLOOKUP(B973,T_DistName[],3,FALSE),"")</f>
        <v/>
      </c>
      <c r="J973" t="str">
        <f t="shared" si="15"/>
        <v/>
      </c>
    </row>
    <row r="974" spans="9:10">
      <c r="I974" t="str">
        <f>_xlfn.IFNA(VLOOKUP(B974,T_DistName[],3,FALSE),"")</f>
        <v/>
      </c>
      <c r="J974" t="str">
        <f t="shared" si="15"/>
        <v/>
      </c>
    </row>
    <row r="975" spans="9:10">
      <c r="I975" t="str">
        <f>_xlfn.IFNA(VLOOKUP(B975,T_DistName[],3,FALSE),"")</f>
        <v/>
      </c>
      <c r="J975" t="str">
        <f t="shared" si="15"/>
        <v/>
      </c>
    </row>
    <row r="976" spans="9:10">
      <c r="I976" t="str">
        <f>_xlfn.IFNA(VLOOKUP(B976,T_DistName[],3,FALSE),"")</f>
        <v/>
      </c>
      <c r="J976" t="str">
        <f t="shared" si="15"/>
        <v/>
      </c>
    </row>
    <row r="977" spans="9:10">
      <c r="I977" t="str">
        <f>_xlfn.IFNA(VLOOKUP(B977,T_DistName[],3,FALSE),"")</f>
        <v/>
      </c>
      <c r="J977" t="str">
        <f t="shared" si="15"/>
        <v/>
      </c>
    </row>
    <row r="978" spans="9:10">
      <c r="I978" t="str">
        <f>_xlfn.IFNA(VLOOKUP(B978,T_DistName[],3,FALSE),"")</f>
        <v/>
      </c>
      <c r="J978" t="str">
        <f t="shared" si="15"/>
        <v/>
      </c>
    </row>
    <row r="979" spans="9:10">
      <c r="I979" t="str">
        <f>_xlfn.IFNA(VLOOKUP(B979,T_DistName[],3,FALSE),"")</f>
        <v/>
      </c>
      <c r="J979" t="str">
        <f t="shared" si="15"/>
        <v/>
      </c>
    </row>
    <row r="980" spans="9:10">
      <c r="I980" t="str">
        <f>_xlfn.IFNA(VLOOKUP(B980,T_DistName[],3,FALSE),"")</f>
        <v/>
      </c>
      <c r="J980" t="str">
        <f t="shared" si="15"/>
        <v/>
      </c>
    </row>
    <row r="981" spans="9:10">
      <c r="I981" t="str">
        <f>_xlfn.IFNA(VLOOKUP(B981,T_DistName[],3,FALSE),"")</f>
        <v/>
      </c>
      <c r="J981" t="str">
        <f t="shared" si="15"/>
        <v/>
      </c>
    </row>
    <row r="982" spans="9:10">
      <c r="I982" t="str">
        <f>_xlfn.IFNA(VLOOKUP(B982,T_DistName[],3,FALSE),"")</f>
        <v/>
      </c>
      <c r="J982" t="str">
        <f t="shared" si="15"/>
        <v/>
      </c>
    </row>
    <row r="983" spans="9:10">
      <c r="I983" t="str">
        <f>_xlfn.IFNA(VLOOKUP(B983,T_DistName[],3,FALSE),"")</f>
        <v/>
      </c>
      <c r="J983" t="str">
        <f t="shared" si="15"/>
        <v/>
      </c>
    </row>
    <row r="984" spans="9:10">
      <c r="I984" t="str">
        <f>_xlfn.IFNA(VLOOKUP(B984,T_DistName[],3,FALSE),"")</f>
        <v/>
      </c>
      <c r="J984" t="str">
        <f t="shared" si="15"/>
        <v/>
      </c>
    </row>
    <row r="985" spans="9:10">
      <c r="I985" t="str">
        <f>_xlfn.IFNA(VLOOKUP(B985,T_DistName[],3,FALSE),"")</f>
        <v/>
      </c>
      <c r="J985" t="str">
        <f t="shared" ref="J985:J1048" si="16">I985&amp;F985</f>
        <v/>
      </c>
    </row>
    <row r="986" spans="9:10">
      <c r="I986" t="str">
        <f>_xlfn.IFNA(VLOOKUP(B986,T_DistName[],3,FALSE),"")</f>
        <v/>
      </c>
      <c r="J986" t="str">
        <f t="shared" si="16"/>
        <v/>
      </c>
    </row>
    <row r="987" spans="9:10">
      <c r="I987" t="str">
        <f>_xlfn.IFNA(VLOOKUP(B987,T_DistName[],3,FALSE),"")</f>
        <v/>
      </c>
      <c r="J987" t="str">
        <f t="shared" si="16"/>
        <v/>
      </c>
    </row>
    <row r="988" spans="9:10">
      <c r="I988" t="str">
        <f>_xlfn.IFNA(VLOOKUP(B988,T_DistName[],3,FALSE),"")</f>
        <v/>
      </c>
      <c r="J988" t="str">
        <f t="shared" si="16"/>
        <v/>
      </c>
    </row>
    <row r="989" spans="9:10">
      <c r="I989" t="str">
        <f>_xlfn.IFNA(VLOOKUP(B989,T_DistName[],3,FALSE),"")</f>
        <v/>
      </c>
      <c r="J989" t="str">
        <f t="shared" si="16"/>
        <v/>
      </c>
    </row>
    <row r="990" spans="9:10">
      <c r="I990" t="str">
        <f>_xlfn.IFNA(VLOOKUP(B990,T_DistName[],3,FALSE),"")</f>
        <v/>
      </c>
      <c r="J990" t="str">
        <f t="shared" si="16"/>
        <v/>
      </c>
    </row>
    <row r="991" spans="9:10">
      <c r="I991" t="str">
        <f>_xlfn.IFNA(VLOOKUP(B991,T_DistName[],3,FALSE),"")</f>
        <v/>
      </c>
      <c r="J991" t="str">
        <f t="shared" si="16"/>
        <v/>
      </c>
    </row>
    <row r="992" spans="9:10">
      <c r="I992" t="str">
        <f>_xlfn.IFNA(VLOOKUP(B992,T_DistName[],3,FALSE),"")</f>
        <v/>
      </c>
      <c r="J992" t="str">
        <f t="shared" si="16"/>
        <v/>
      </c>
    </row>
    <row r="993" spans="9:10">
      <c r="I993" t="str">
        <f>_xlfn.IFNA(VLOOKUP(B993,T_DistName[],3,FALSE),"")</f>
        <v/>
      </c>
      <c r="J993" t="str">
        <f t="shared" si="16"/>
        <v/>
      </c>
    </row>
    <row r="994" spans="9:10">
      <c r="I994" t="str">
        <f>_xlfn.IFNA(VLOOKUP(B994,T_DistName[],3,FALSE),"")</f>
        <v/>
      </c>
      <c r="J994" t="str">
        <f t="shared" si="16"/>
        <v/>
      </c>
    </row>
    <row r="995" spans="9:10">
      <c r="I995" t="str">
        <f>_xlfn.IFNA(VLOOKUP(B995,T_DistName[],3,FALSE),"")</f>
        <v/>
      </c>
      <c r="J995" t="str">
        <f t="shared" si="16"/>
        <v/>
      </c>
    </row>
    <row r="996" spans="9:10">
      <c r="I996" t="str">
        <f>_xlfn.IFNA(VLOOKUP(B996,T_DistName[],3,FALSE),"")</f>
        <v/>
      </c>
      <c r="J996" t="str">
        <f t="shared" si="16"/>
        <v/>
      </c>
    </row>
    <row r="997" spans="9:10">
      <c r="I997" t="str">
        <f>_xlfn.IFNA(VLOOKUP(B997,T_DistName[],3,FALSE),"")</f>
        <v/>
      </c>
      <c r="J997" t="str">
        <f t="shared" si="16"/>
        <v/>
      </c>
    </row>
    <row r="998" spans="9:10">
      <c r="I998" t="str">
        <f>_xlfn.IFNA(VLOOKUP(B998,T_DistName[],3,FALSE),"")</f>
        <v/>
      </c>
      <c r="J998" t="str">
        <f t="shared" si="16"/>
        <v/>
      </c>
    </row>
    <row r="999" spans="9:10">
      <c r="I999" t="str">
        <f>_xlfn.IFNA(VLOOKUP(B999,T_DistName[],3,FALSE),"")</f>
        <v/>
      </c>
      <c r="J999" t="str">
        <f t="shared" si="16"/>
        <v/>
      </c>
    </row>
    <row r="1000" spans="9:10">
      <c r="I1000" t="str">
        <f>_xlfn.IFNA(VLOOKUP(B1000,T_DistName[],3,FALSE),"")</f>
        <v/>
      </c>
      <c r="J1000" t="str">
        <f t="shared" si="16"/>
        <v/>
      </c>
    </row>
    <row r="1001" spans="9:10">
      <c r="I1001" t="str">
        <f>_xlfn.IFNA(VLOOKUP(B1001,T_DistName[],3,FALSE),"")</f>
        <v/>
      </c>
      <c r="J1001" t="str">
        <f t="shared" si="16"/>
        <v/>
      </c>
    </row>
    <row r="1002" spans="9:10">
      <c r="I1002" t="str">
        <f>_xlfn.IFNA(VLOOKUP(B1002,T_DistName[],3,FALSE),"")</f>
        <v/>
      </c>
      <c r="J1002" t="str">
        <f t="shared" si="16"/>
        <v/>
      </c>
    </row>
    <row r="1003" spans="9:10">
      <c r="I1003" t="str">
        <f>_xlfn.IFNA(VLOOKUP(B1003,T_DistName[],3,FALSE),"")</f>
        <v/>
      </c>
      <c r="J1003" t="str">
        <f t="shared" si="16"/>
        <v/>
      </c>
    </row>
    <row r="1004" spans="9:10">
      <c r="I1004" t="str">
        <f>_xlfn.IFNA(VLOOKUP(B1004,T_DistName[],3,FALSE),"")</f>
        <v/>
      </c>
      <c r="J1004" t="str">
        <f t="shared" si="16"/>
        <v/>
      </c>
    </row>
    <row r="1005" spans="9:10">
      <c r="I1005" t="str">
        <f>_xlfn.IFNA(VLOOKUP(B1005,T_DistName[],3,FALSE),"")</f>
        <v/>
      </c>
      <c r="J1005" t="str">
        <f t="shared" si="16"/>
        <v/>
      </c>
    </row>
    <row r="1006" spans="9:10">
      <c r="I1006" t="str">
        <f>_xlfn.IFNA(VLOOKUP(B1006,T_DistName[],3,FALSE),"")</f>
        <v/>
      </c>
      <c r="J1006" t="str">
        <f t="shared" si="16"/>
        <v/>
      </c>
    </row>
    <row r="1007" spans="9:10">
      <c r="I1007" t="str">
        <f>_xlfn.IFNA(VLOOKUP(B1007,T_DistName[],3,FALSE),"")</f>
        <v/>
      </c>
      <c r="J1007" t="str">
        <f t="shared" si="16"/>
        <v/>
      </c>
    </row>
    <row r="1008" spans="9:10">
      <c r="I1008" t="str">
        <f>_xlfn.IFNA(VLOOKUP(B1008,T_DistName[],3,FALSE),"")</f>
        <v/>
      </c>
      <c r="J1008" t="str">
        <f t="shared" si="16"/>
        <v/>
      </c>
    </row>
    <row r="1009" spans="9:10">
      <c r="I1009" t="str">
        <f>_xlfn.IFNA(VLOOKUP(B1009,T_DistName[],3,FALSE),"")</f>
        <v/>
      </c>
      <c r="J1009" t="str">
        <f t="shared" si="16"/>
        <v/>
      </c>
    </row>
    <row r="1010" spans="9:10">
      <c r="I1010" t="str">
        <f>_xlfn.IFNA(VLOOKUP(B1010,T_DistName[],3,FALSE),"")</f>
        <v/>
      </c>
      <c r="J1010" t="str">
        <f t="shared" si="16"/>
        <v/>
      </c>
    </row>
    <row r="1011" spans="9:10">
      <c r="I1011" t="str">
        <f>_xlfn.IFNA(VLOOKUP(B1011,T_DistName[],3,FALSE),"")</f>
        <v/>
      </c>
      <c r="J1011" t="str">
        <f t="shared" si="16"/>
        <v/>
      </c>
    </row>
    <row r="1012" spans="9:10">
      <c r="I1012" t="str">
        <f>_xlfn.IFNA(VLOOKUP(B1012,T_DistName[],3,FALSE),"")</f>
        <v/>
      </c>
      <c r="J1012" t="str">
        <f t="shared" si="16"/>
        <v/>
      </c>
    </row>
    <row r="1013" spans="9:10">
      <c r="I1013" t="str">
        <f>_xlfn.IFNA(VLOOKUP(B1013,T_DistName[],3,FALSE),"")</f>
        <v/>
      </c>
      <c r="J1013" t="str">
        <f t="shared" si="16"/>
        <v/>
      </c>
    </row>
    <row r="1014" spans="9:10">
      <c r="I1014" t="str">
        <f>_xlfn.IFNA(VLOOKUP(B1014,T_DistName[],3,FALSE),"")</f>
        <v/>
      </c>
      <c r="J1014" t="str">
        <f t="shared" si="16"/>
        <v/>
      </c>
    </row>
    <row r="1015" spans="9:10">
      <c r="I1015" t="str">
        <f>_xlfn.IFNA(VLOOKUP(B1015,T_DistName[],3,FALSE),"")</f>
        <v/>
      </c>
      <c r="J1015" t="str">
        <f t="shared" si="16"/>
        <v/>
      </c>
    </row>
    <row r="1016" spans="9:10">
      <c r="I1016" t="str">
        <f>_xlfn.IFNA(VLOOKUP(B1016,T_DistName[],3,FALSE),"")</f>
        <v/>
      </c>
      <c r="J1016" t="str">
        <f t="shared" si="16"/>
        <v/>
      </c>
    </row>
    <row r="1017" spans="9:10">
      <c r="I1017" t="str">
        <f>_xlfn.IFNA(VLOOKUP(B1017,T_DistName[],3,FALSE),"")</f>
        <v/>
      </c>
      <c r="J1017" t="str">
        <f t="shared" si="16"/>
        <v/>
      </c>
    </row>
    <row r="1018" spans="9:10">
      <c r="I1018" t="str">
        <f>_xlfn.IFNA(VLOOKUP(B1018,T_DistName[],3,FALSE),"")</f>
        <v/>
      </c>
      <c r="J1018" t="str">
        <f t="shared" si="16"/>
        <v/>
      </c>
    </row>
    <row r="1019" spans="9:10">
      <c r="I1019" t="str">
        <f>_xlfn.IFNA(VLOOKUP(B1019,T_DistName[],3,FALSE),"")</f>
        <v/>
      </c>
      <c r="J1019" t="str">
        <f t="shared" si="16"/>
        <v/>
      </c>
    </row>
    <row r="1020" spans="9:10">
      <c r="I1020" t="str">
        <f>_xlfn.IFNA(VLOOKUP(B1020,T_DistName[],3,FALSE),"")</f>
        <v/>
      </c>
      <c r="J1020" t="str">
        <f t="shared" si="16"/>
        <v/>
      </c>
    </row>
    <row r="1021" spans="9:10">
      <c r="I1021" t="str">
        <f>_xlfn.IFNA(VLOOKUP(B1021,T_DistName[],3,FALSE),"")</f>
        <v/>
      </c>
      <c r="J1021" t="str">
        <f t="shared" si="16"/>
        <v/>
      </c>
    </row>
    <row r="1022" spans="9:10">
      <c r="I1022" t="str">
        <f>_xlfn.IFNA(VLOOKUP(B1022,T_DistName[],3,FALSE),"")</f>
        <v/>
      </c>
      <c r="J1022" t="str">
        <f t="shared" si="16"/>
        <v/>
      </c>
    </row>
    <row r="1023" spans="9:10">
      <c r="I1023" t="str">
        <f>_xlfn.IFNA(VLOOKUP(B1023,T_DistName[],3,FALSE),"")</f>
        <v/>
      </c>
      <c r="J1023" t="str">
        <f t="shared" si="16"/>
        <v/>
      </c>
    </row>
    <row r="1024" spans="9:10">
      <c r="I1024" t="str">
        <f>_xlfn.IFNA(VLOOKUP(B1024,T_DistName[],3,FALSE),"")</f>
        <v/>
      </c>
      <c r="J1024" t="str">
        <f t="shared" si="16"/>
        <v/>
      </c>
    </row>
    <row r="1025" spans="9:10">
      <c r="I1025" t="str">
        <f>_xlfn.IFNA(VLOOKUP(B1025,T_DistName[],3,FALSE),"")</f>
        <v/>
      </c>
      <c r="J1025" t="str">
        <f t="shared" si="16"/>
        <v/>
      </c>
    </row>
    <row r="1026" spans="9:10">
      <c r="I1026" t="str">
        <f>_xlfn.IFNA(VLOOKUP(B1026,T_DistName[],3,FALSE),"")</f>
        <v/>
      </c>
      <c r="J1026" t="str">
        <f t="shared" si="16"/>
        <v/>
      </c>
    </row>
    <row r="1027" spans="9:10">
      <c r="I1027" t="str">
        <f>_xlfn.IFNA(VLOOKUP(B1027,T_DistName[],3,FALSE),"")</f>
        <v/>
      </c>
      <c r="J1027" t="str">
        <f t="shared" si="16"/>
        <v/>
      </c>
    </row>
    <row r="1028" spans="9:10">
      <c r="I1028" t="str">
        <f>_xlfn.IFNA(VLOOKUP(B1028,T_DistName[],3,FALSE),"")</f>
        <v/>
      </c>
      <c r="J1028" t="str">
        <f t="shared" si="16"/>
        <v/>
      </c>
    </row>
    <row r="1029" spans="9:10">
      <c r="I1029" t="str">
        <f>_xlfn.IFNA(VLOOKUP(B1029,T_DistName[],3,FALSE),"")</f>
        <v/>
      </c>
      <c r="J1029" t="str">
        <f t="shared" si="16"/>
        <v/>
      </c>
    </row>
    <row r="1030" spans="9:10">
      <c r="I1030" t="str">
        <f>_xlfn.IFNA(VLOOKUP(B1030,T_DistName[],3,FALSE),"")</f>
        <v/>
      </c>
      <c r="J1030" t="str">
        <f t="shared" si="16"/>
        <v/>
      </c>
    </row>
    <row r="1031" spans="9:10">
      <c r="I1031" t="str">
        <f>_xlfn.IFNA(VLOOKUP(B1031,T_DistName[],3,FALSE),"")</f>
        <v/>
      </c>
      <c r="J1031" t="str">
        <f t="shared" si="16"/>
        <v/>
      </c>
    </row>
    <row r="1032" spans="9:10">
      <c r="I1032" t="str">
        <f>_xlfn.IFNA(VLOOKUP(B1032,T_DistName[],3,FALSE),"")</f>
        <v/>
      </c>
      <c r="J1032" t="str">
        <f t="shared" si="16"/>
        <v/>
      </c>
    </row>
    <row r="1033" spans="9:10">
      <c r="I1033" t="str">
        <f>_xlfn.IFNA(VLOOKUP(B1033,T_DistName[],3,FALSE),"")</f>
        <v/>
      </c>
      <c r="J1033" t="str">
        <f t="shared" si="16"/>
        <v/>
      </c>
    </row>
    <row r="1034" spans="9:10">
      <c r="I1034" t="str">
        <f>_xlfn.IFNA(VLOOKUP(B1034,T_DistName[],3,FALSE),"")</f>
        <v/>
      </c>
      <c r="J1034" t="str">
        <f t="shared" si="16"/>
        <v/>
      </c>
    </row>
    <row r="1035" spans="9:10">
      <c r="I1035" t="str">
        <f>_xlfn.IFNA(VLOOKUP(B1035,T_DistName[],3,FALSE),"")</f>
        <v/>
      </c>
      <c r="J1035" t="str">
        <f t="shared" si="16"/>
        <v/>
      </c>
    </row>
    <row r="1036" spans="9:10">
      <c r="I1036" t="str">
        <f>_xlfn.IFNA(VLOOKUP(B1036,T_DistName[],3,FALSE),"")</f>
        <v/>
      </c>
      <c r="J1036" t="str">
        <f t="shared" si="16"/>
        <v/>
      </c>
    </row>
    <row r="1037" spans="9:10">
      <c r="I1037" t="str">
        <f>_xlfn.IFNA(VLOOKUP(B1037,T_DistName[],3,FALSE),"")</f>
        <v/>
      </c>
      <c r="J1037" t="str">
        <f t="shared" si="16"/>
        <v/>
      </c>
    </row>
    <row r="1038" spans="9:10">
      <c r="I1038" t="str">
        <f>_xlfn.IFNA(VLOOKUP(B1038,T_DistName[],3,FALSE),"")</f>
        <v/>
      </c>
      <c r="J1038" t="str">
        <f t="shared" si="16"/>
        <v/>
      </c>
    </row>
    <row r="1039" spans="9:10">
      <c r="I1039" t="str">
        <f>_xlfn.IFNA(VLOOKUP(B1039,T_DistName[],3,FALSE),"")</f>
        <v/>
      </c>
      <c r="J1039" t="str">
        <f t="shared" si="16"/>
        <v/>
      </c>
    </row>
    <row r="1040" spans="9:10">
      <c r="I1040" t="str">
        <f>_xlfn.IFNA(VLOOKUP(B1040,T_DistName[],3,FALSE),"")</f>
        <v/>
      </c>
      <c r="J1040" t="str">
        <f t="shared" si="16"/>
        <v/>
      </c>
    </row>
    <row r="1041" spans="9:10">
      <c r="I1041" t="str">
        <f>_xlfn.IFNA(VLOOKUP(B1041,T_DistName[],3,FALSE),"")</f>
        <v/>
      </c>
      <c r="J1041" t="str">
        <f t="shared" si="16"/>
        <v/>
      </c>
    </row>
    <row r="1042" spans="9:10">
      <c r="I1042" t="str">
        <f>_xlfn.IFNA(VLOOKUP(B1042,T_DistName[],3,FALSE),"")</f>
        <v/>
      </c>
      <c r="J1042" t="str">
        <f t="shared" si="16"/>
        <v/>
      </c>
    </row>
    <row r="1043" spans="9:10">
      <c r="I1043" t="str">
        <f>_xlfn.IFNA(VLOOKUP(B1043,T_DistName[],3,FALSE),"")</f>
        <v/>
      </c>
      <c r="J1043" t="str">
        <f t="shared" si="16"/>
        <v/>
      </c>
    </row>
    <row r="1044" spans="9:10">
      <c r="I1044" t="str">
        <f>_xlfn.IFNA(VLOOKUP(B1044,T_DistName[],3,FALSE),"")</f>
        <v/>
      </c>
      <c r="J1044" t="str">
        <f t="shared" si="16"/>
        <v/>
      </c>
    </row>
    <row r="1045" spans="9:10">
      <c r="I1045" t="str">
        <f>_xlfn.IFNA(VLOOKUP(B1045,T_DistName[],3,FALSE),"")</f>
        <v/>
      </c>
      <c r="J1045" t="str">
        <f t="shared" si="16"/>
        <v/>
      </c>
    </row>
    <row r="1046" spans="9:10">
      <c r="I1046" t="str">
        <f>_xlfn.IFNA(VLOOKUP(B1046,T_DistName[],3,FALSE),"")</f>
        <v/>
      </c>
      <c r="J1046" t="str">
        <f t="shared" si="16"/>
        <v/>
      </c>
    </row>
    <row r="1047" spans="9:10">
      <c r="I1047" t="str">
        <f>_xlfn.IFNA(VLOOKUP(B1047,T_DistName[],3,FALSE),"")</f>
        <v/>
      </c>
      <c r="J1047" t="str">
        <f t="shared" si="16"/>
        <v/>
      </c>
    </row>
    <row r="1048" spans="9:10">
      <c r="I1048" t="str">
        <f>_xlfn.IFNA(VLOOKUP(B1048,T_DistName[],3,FALSE),"")</f>
        <v/>
      </c>
      <c r="J1048" t="str">
        <f t="shared" si="16"/>
        <v/>
      </c>
    </row>
    <row r="1049" spans="9:10">
      <c r="I1049" t="str">
        <f>_xlfn.IFNA(VLOOKUP(B1049,T_DistName[],3,FALSE),"")</f>
        <v/>
      </c>
      <c r="J1049" t="str">
        <f t="shared" ref="J1049:J1112" si="17">I1049&amp;F1049</f>
        <v/>
      </c>
    </row>
    <row r="1050" spans="9:10">
      <c r="I1050" t="str">
        <f>_xlfn.IFNA(VLOOKUP(B1050,T_DistName[],3,FALSE),"")</f>
        <v/>
      </c>
      <c r="J1050" t="str">
        <f t="shared" si="17"/>
        <v/>
      </c>
    </row>
    <row r="1051" spans="9:10">
      <c r="I1051" t="str">
        <f>_xlfn.IFNA(VLOOKUP(B1051,T_DistName[],3,FALSE),"")</f>
        <v/>
      </c>
      <c r="J1051" t="str">
        <f t="shared" si="17"/>
        <v/>
      </c>
    </row>
    <row r="1052" spans="9:10">
      <c r="I1052" t="str">
        <f>_xlfn.IFNA(VLOOKUP(B1052,T_DistName[],3,FALSE),"")</f>
        <v/>
      </c>
      <c r="J1052" t="str">
        <f t="shared" si="17"/>
        <v/>
      </c>
    </row>
    <row r="1053" spans="9:10">
      <c r="I1053" t="str">
        <f>_xlfn.IFNA(VLOOKUP(B1053,T_DistName[],3,FALSE),"")</f>
        <v/>
      </c>
      <c r="J1053" t="str">
        <f t="shared" si="17"/>
        <v/>
      </c>
    </row>
    <row r="1054" spans="9:10">
      <c r="I1054" t="str">
        <f>_xlfn.IFNA(VLOOKUP(B1054,T_DistName[],3,FALSE),"")</f>
        <v/>
      </c>
      <c r="J1054" t="str">
        <f t="shared" si="17"/>
        <v/>
      </c>
    </row>
    <row r="1055" spans="9:10">
      <c r="I1055" t="str">
        <f>_xlfn.IFNA(VLOOKUP(B1055,T_DistName[],3,FALSE),"")</f>
        <v/>
      </c>
      <c r="J1055" t="str">
        <f t="shared" si="17"/>
        <v/>
      </c>
    </row>
    <row r="1056" spans="9:10">
      <c r="I1056" t="str">
        <f>_xlfn.IFNA(VLOOKUP(B1056,T_DistName[],3,FALSE),"")</f>
        <v/>
      </c>
      <c r="J1056" t="str">
        <f t="shared" si="17"/>
        <v/>
      </c>
    </row>
    <row r="1057" spans="9:10">
      <c r="I1057" t="str">
        <f>_xlfn.IFNA(VLOOKUP(B1057,T_DistName[],3,FALSE),"")</f>
        <v/>
      </c>
      <c r="J1057" t="str">
        <f t="shared" si="17"/>
        <v/>
      </c>
    </row>
    <row r="1058" spans="9:10">
      <c r="I1058" t="str">
        <f>_xlfn.IFNA(VLOOKUP(B1058,T_DistName[],3,FALSE),"")</f>
        <v/>
      </c>
      <c r="J1058" t="str">
        <f t="shared" si="17"/>
        <v/>
      </c>
    </row>
    <row r="1059" spans="9:10">
      <c r="I1059" t="str">
        <f>_xlfn.IFNA(VLOOKUP(B1059,T_DistName[],3,FALSE),"")</f>
        <v/>
      </c>
      <c r="J1059" t="str">
        <f t="shared" si="17"/>
        <v/>
      </c>
    </row>
    <row r="1060" spans="9:10">
      <c r="I1060" t="str">
        <f>_xlfn.IFNA(VLOOKUP(B1060,T_DistName[],3,FALSE),"")</f>
        <v/>
      </c>
      <c r="J1060" t="str">
        <f t="shared" si="17"/>
        <v/>
      </c>
    </row>
    <row r="1061" spans="9:10">
      <c r="I1061" t="str">
        <f>_xlfn.IFNA(VLOOKUP(B1061,T_DistName[],3,FALSE),"")</f>
        <v/>
      </c>
      <c r="J1061" t="str">
        <f t="shared" si="17"/>
        <v/>
      </c>
    </row>
    <row r="1062" spans="9:10">
      <c r="I1062" t="str">
        <f>_xlfn.IFNA(VLOOKUP(B1062,T_DistName[],3,FALSE),"")</f>
        <v/>
      </c>
      <c r="J1062" t="str">
        <f t="shared" si="17"/>
        <v/>
      </c>
    </row>
    <row r="1063" spans="9:10">
      <c r="I1063" t="str">
        <f>_xlfn.IFNA(VLOOKUP(B1063,T_DistName[],3,FALSE),"")</f>
        <v/>
      </c>
      <c r="J1063" t="str">
        <f t="shared" si="17"/>
        <v/>
      </c>
    </row>
    <row r="1064" spans="9:10">
      <c r="I1064" t="str">
        <f>_xlfn.IFNA(VLOOKUP(B1064,T_DistName[],3,FALSE),"")</f>
        <v/>
      </c>
      <c r="J1064" t="str">
        <f t="shared" si="17"/>
        <v/>
      </c>
    </row>
    <row r="1065" spans="9:10">
      <c r="I1065" t="str">
        <f>_xlfn.IFNA(VLOOKUP(B1065,T_DistName[],3,FALSE),"")</f>
        <v/>
      </c>
      <c r="J1065" t="str">
        <f t="shared" si="17"/>
        <v/>
      </c>
    </row>
    <row r="1066" spans="9:10">
      <c r="I1066" t="str">
        <f>_xlfn.IFNA(VLOOKUP(B1066,T_DistName[],3,FALSE),"")</f>
        <v/>
      </c>
      <c r="J1066" t="str">
        <f t="shared" si="17"/>
        <v/>
      </c>
    </row>
    <row r="1067" spans="9:10">
      <c r="I1067" t="str">
        <f>_xlfn.IFNA(VLOOKUP(B1067,T_DistName[],3,FALSE),"")</f>
        <v/>
      </c>
      <c r="J1067" t="str">
        <f t="shared" si="17"/>
        <v/>
      </c>
    </row>
    <row r="1068" spans="9:10">
      <c r="I1068" t="str">
        <f>_xlfn.IFNA(VLOOKUP(B1068,T_DistName[],3,FALSE),"")</f>
        <v/>
      </c>
      <c r="J1068" t="str">
        <f t="shared" si="17"/>
        <v/>
      </c>
    </row>
    <row r="1069" spans="9:10">
      <c r="I1069" t="str">
        <f>_xlfn.IFNA(VLOOKUP(B1069,T_DistName[],3,FALSE),"")</f>
        <v/>
      </c>
      <c r="J1069" t="str">
        <f t="shared" si="17"/>
        <v/>
      </c>
    </row>
    <row r="1070" spans="9:10">
      <c r="I1070" t="str">
        <f>_xlfn.IFNA(VLOOKUP(B1070,T_DistName[],3,FALSE),"")</f>
        <v/>
      </c>
      <c r="J1070" t="str">
        <f t="shared" si="17"/>
        <v/>
      </c>
    </row>
    <row r="1071" spans="9:10">
      <c r="I1071" t="str">
        <f>_xlfn.IFNA(VLOOKUP(B1071,T_DistName[],3,FALSE),"")</f>
        <v/>
      </c>
      <c r="J1071" t="str">
        <f t="shared" si="17"/>
        <v/>
      </c>
    </row>
    <row r="1072" spans="9:10">
      <c r="I1072" t="str">
        <f>_xlfn.IFNA(VLOOKUP(B1072,T_DistName[],3,FALSE),"")</f>
        <v/>
      </c>
      <c r="J1072" t="str">
        <f t="shared" si="17"/>
        <v/>
      </c>
    </row>
    <row r="1073" spans="9:10">
      <c r="I1073" t="str">
        <f>_xlfn.IFNA(VLOOKUP(B1073,T_DistName[],3,FALSE),"")</f>
        <v/>
      </c>
      <c r="J1073" t="str">
        <f t="shared" si="17"/>
        <v/>
      </c>
    </row>
    <row r="1074" spans="9:10">
      <c r="I1074" t="str">
        <f>_xlfn.IFNA(VLOOKUP(B1074,T_DistName[],3,FALSE),"")</f>
        <v/>
      </c>
      <c r="J1074" t="str">
        <f t="shared" si="17"/>
        <v/>
      </c>
    </row>
    <row r="1075" spans="9:10">
      <c r="I1075" t="str">
        <f>_xlfn.IFNA(VLOOKUP(B1075,T_DistName[],3,FALSE),"")</f>
        <v/>
      </c>
      <c r="J1075" t="str">
        <f t="shared" si="17"/>
        <v/>
      </c>
    </row>
    <row r="1076" spans="9:10">
      <c r="I1076" t="str">
        <f>_xlfn.IFNA(VLOOKUP(B1076,T_DistName[],3,FALSE),"")</f>
        <v/>
      </c>
      <c r="J1076" t="str">
        <f t="shared" si="17"/>
        <v/>
      </c>
    </row>
    <row r="1077" spans="9:10">
      <c r="I1077" t="str">
        <f>_xlfn.IFNA(VLOOKUP(B1077,T_DistName[],3,FALSE),"")</f>
        <v/>
      </c>
      <c r="J1077" t="str">
        <f t="shared" si="17"/>
        <v/>
      </c>
    </row>
    <row r="1078" spans="9:10">
      <c r="I1078" t="str">
        <f>_xlfn.IFNA(VLOOKUP(B1078,T_DistName[],3,FALSE),"")</f>
        <v/>
      </c>
      <c r="J1078" t="str">
        <f t="shared" si="17"/>
        <v/>
      </c>
    </row>
    <row r="1079" spans="9:10">
      <c r="I1079" t="str">
        <f>_xlfn.IFNA(VLOOKUP(B1079,T_DistName[],3,FALSE),"")</f>
        <v/>
      </c>
      <c r="J1079" t="str">
        <f t="shared" si="17"/>
        <v/>
      </c>
    </row>
    <row r="1080" spans="9:10">
      <c r="I1080" t="str">
        <f>_xlfn.IFNA(VLOOKUP(B1080,T_DistName[],3,FALSE),"")</f>
        <v/>
      </c>
      <c r="J1080" t="str">
        <f t="shared" si="17"/>
        <v/>
      </c>
    </row>
    <row r="1081" spans="9:10">
      <c r="I1081" t="str">
        <f>_xlfn.IFNA(VLOOKUP(B1081,T_DistName[],3,FALSE),"")</f>
        <v/>
      </c>
      <c r="J1081" t="str">
        <f t="shared" si="17"/>
        <v/>
      </c>
    </row>
    <row r="1082" spans="9:10">
      <c r="I1082" t="str">
        <f>_xlfn.IFNA(VLOOKUP(B1082,T_DistName[],3,FALSE),"")</f>
        <v/>
      </c>
      <c r="J1082" t="str">
        <f t="shared" si="17"/>
        <v/>
      </c>
    </row>
    <row r="1083" spans="9:10">
      <c r="I1083" t="str">
        <f>_xlfn.IFNA(VLOOKUP(B1083,T_DistName[],3,FALSE),"")</f>
        <v/>
      </c>
      <c r="J1083" t="str">
        <f t="shared" si="17"/>
        <v/>
      </c>
    </row>
    <row r="1084" spans="9:10">
      <c r="I1084" t="str">
        <f>_xlfn.IFNA(VLOOKUP(B1084,T_DistName[],3,FALSE),"")</f>
        <v/>
      </c>
      <c r="J1084" t="str">
        <f t="shared" si="17"/>
        <v/>
      </c>
    </row>
    <row r="1085" spans="9:10">
      <c r="I1085" t="str">
        <f>_xlfn.IFNA(VLOOKUP(B1085,T_DistName[],3,FALSE),"")</f>
        <v/>
      </c>
      <c r="J1085" t="str">
        <f t="shared" si="17"/>
        <v/>
      </c>
    </row>
    <row r="1086" spans="9:10">
      <c r="I1086" t="str">
        <f>_xlfn.IFNA(VLOOKUP(B1086,T_DistName[],3,FALSE),"")</f>
        <v/>
      </c>
      <c r="J1086" t="str">
        <f t="shared" si="17"/>
        <v/>
      </c>
    </row>
    <row r="1087" spans="9:10">
      <c r="I1087" t="str">
        <f>_xlfn.IFNA(VLOOKUP(B1087,T_DistName[],3,FALSE),"")</f>
        <v/>
      </c>
      <c r="J1087" t="str">
        <f t="shared" si="17"/>
        <v/>
      </c>
    </row>
    <row r="1088" spans="9:10">
      <c r="I1088" t="str">
        <f>_xlfn.IFNA(VLOOKUP(B1088,T_DistName[],3,FALSE),"")</f>
        <v/>
      </c>
      <c r="J1088" t="str">
        <f t="shared" si="17"/>
        <v/>
      </c>
    </row>
    <row r="1089" spans="9:10">
      <c r="I1089" t="str">
        <f>_xlfn.IFNA(VLOOKUP(B1089,T_DistName[],3,FALSE),"")</f>
        <v/>
      </c>
      <c r="J1089" t="str">
        <f t="shared" si="17"/>
        <v/>
      </c>
    </row>
    <row r="1090" spans="9:10">
      <c r="I1090" t="str">
        <f>_xlfn.IFNA(VLOOKUP(B1090,T_DistName[],3,FALSE),"")</f>
        <v/>
      </c>
      <c r="J1090" t="str">
        <f t="shared" si="17"/>
        <v/>
      </c>
    </row>
    <row r="1091" spans="9:10">
      <c r="I1091" t="str">
        <f>_xlfn.IFNA(VLOOKUP(B1091,T_DistName[],3,FALSE),"")</f>
        <v/>
      </c>
      <c r="J1091" t="str">
        <f t="shared" si="17"/>
        <v/>
      </c>
    </row>
    <row r="1092" spans="9:10">
      <c r="I1092" t="str">
        <f>_xlfn.IFNA(VLOOKUP(B1092,T_DistName[],3,FALSE),"")</f>
        <v/>
      </c>
      <c r="J1092" t="str">
        <f t="shared" si="17"/>
        <v/>
      </c>
    </row>
    <row r="1093" spans="9:10">
      <c r="I1093" t="str">
        <f>_xlfn.IFNA(VLOOKUP(B1093,T_DistName[],3,FALSE),"")</f>
        <v/>
      </c>
      <c r="J1093" t="str">
        <f t="shared" si="17"/>
        <v/>
      </c>
    </row>
    <row r="1094" spans="9:10">
      <c r="I1094" t="str">
        <f>_xlfn.IFNA(VLOOKUP(B1094,T_DistName[],3,FALSE),"")</f>
        <v/>
      </c>
      <c r="J1094" t="str">
        <f t="shared" si="17"/>
        <v/>
      </c>
    </row>
    <row r="1095" spans="9:10">
      <c r="I1095" t="str">
        <f>_xlfn.IFNA(VLOOKUP(B1095,T_DistName[],3,FALSE),"")</f>
        <v/>
      </c>
      <c r="J1095" t="str">
        <f t="shared" si="17"/>
        <v/>
      </c>
    </row>
    <row r="1096" spans="9:10">
      <c r="I1096" t="str">
        <f>_xlfn.IFNA(VLOOKUP(B1096,T_DistName[],3,FALSE),"")</f>
        <v/>
      </c>
      <c r="J1096" t="str">
        <f t="shared" si="17"/>
        <v/>
      </c>
    </row>
    <row r="1097" spans="9:10">
      <c r="I1097" t="str">
        <f>_xlfn.IFNA(VLOOKUP(B1097,T_DistName[],3,FALSE),"")</f>
        <v/>
      </c>
      <c r="J1097" t="str">
        <f t="shared" si="17"/>
        <v/>
      </c>
    </row>
    <row r="1098" spans="9:10">
      <c r="I1098" t="str">
        <f>_xlfn.IFNA(VLOOKUP(B1098,T_DistName[],3,FALSE),"")</f>
        <v/>
      </c>
      <c r="J1098" t="str">
        <f t="shared" si="17"/>
        <v/>
      </c>
    </row>
    <row r="1099" spans="9:10">
      <c r="I1099" t="str">
        <f>_xlfn.IFNA(VLOOKUP(B1099,T_DistName[],3,FALSE),"")</f>
        <v/>
      </c>
      <c r="J1099" t="str">
        <f t="shared" si="17"/>
        <v/>
      </c>
    </row>
    <row r="1100" spans="9:10">
      <c r="I1100" t="str">
        <f>_xlfn.IFNA(VLOOKUP(B1100,T_DistName[],3,FALSE),"")</f>
        <v/>
      </c>
      <c r="J1100" t="str">
        <f t="shared" si="17"/>
        <v/>
      </c>
    </row>
    <row r="1101" spans="9:10">
      <c r="I1101" t="str">
        <f>_xlfn.IFNA(VLOOKUP(B1101,T_DistName[],3,FALSE),"")</f>
        <v/>
      </c>
      <c r="J1101" t="str">
        <f t="shared" si="17"/>
        <v/>
      </c>
    </row>
    <row r="1102" spans="9:10">
      <c r="I1102" t="str">
        <f>_xlfn.IFNA(VLOOKUP(B1102,T_DistName[],3,FALSE),"")</f>
        <v/>
      </c>
      <c r="J1102" t="str">
        <f t="shared" si="17"/>
        <v/>
      </c>
    </row>
    <row r="1103" spans="9:10">
      <c r="I1103" t="str">
        <f>_xlfn.IFNA(VLOOKUP(B1103,T_DistName[],3,FALSE),"")</f>
        <v/>
      </c>
      <c r="J1103" t="str">
        <f t="shared" si="17"/>
        <v/>
      </c>
    </row>
    <row r="1104" spans="9:10">
      <c r="I1104" t="str">
        <f>_xlfn.IFNA(VLOOKUP(B1104,T_DistName[],3,FALSE),"")</f>
        <v/>
      </c>
      <c r="J1104" t="str">
        <f t="shared" si="17"/>
        <v/>
      </c>
    </row>
    <row r="1105" spans="9:10">
      <c r="I1105" t="str">
        <f>_xlfn.IFNA(VLOOKUP(B1105,T_DistName[],3,FALSE),"")</f>
        <v/>
      </c>
      <c r="J1105" t="str">
        <f t="shared" si="17"/>
        <v/>
      </c>
    </row>
    <row r="1106" spans="9:10">
      <c r="I1106" t="str">
        <f>_xlfn.IFNA(VLOOKUP(B1106,T_DistName[],3,FALSE),"")</f>
        <v/>
      </c>
      <c r="J1106" t="str">
        <f t="shared" si="17"/>
        <v/>
      </c>
    </row>
    <row r="1107" spans="9:10">
      <c r="I1107" t="str">
        <f>_xlfn.IFNA(VLOOKUP(B1107,T_DistName[],3,FALSE),"")</f>
        <v/>
      </c>
      <c r="J1107" t="str">
        <f t="shared" si="17"/>
        <v/>
      </c>
    </row>
    <row r="1108" spans="9:10">
      <c r="I1108" t="str">
        <f>_xlfn.IFNA(VLOOKUP(B1108,T_DistName[],3,FALSE),"")</f>
        <v/>
      </c>
      <c r="J1108" t="str">
        <f t="shared" si="17"/>
        <v/>
      </c>
    </row>
    <row r="1109" spans="9:10">
      <c r="I1109" t="str">
        <f>_xlfn.IFNA(VLOOKUP(B1109,T_DistName[],3,FALSE),"")</f>
        <v/>
      </c>
      <c r="J1109" t="str">
        <f t="shared" si="17"/>
        <v/>
      </c>
    </row>
    <row r="1110" spans="9:10">
      <c r="I1110" t="str">
        <f>_xlfn.IFNA(VLOOKUP(B1110,T_DistName[],3,FALSE),"")</f>
        <v/>
      </c>
      <c r="J1110" t="str">
        <f t="shared" si="17"/>
        <v/>
      </c>
    </row>
    <row r="1111" spans="9:10">
      <c r="I1111" t="str">
        <f>_xlfn.IFNA(VLOOKUP(B1111,T_DistName[],3,FALSE),"")</f>
        <v/>
      </c>
      <c r="J1111" t="str">
        <f t="shared" si="17"/>
        <v/>
      </c>
    </row>
    <row r="1112" spans="9:10">
      <c r="I1112" t="str">
        <f>_xlfn.IFNA(VLOOKUP(B1112,T_DistName[],3,FALSE),"")</f>
        <v/>
      </c>
      <c r="J1112" t="str">
        <f t="shared" si="17"/>
        <v/>
      </c>
    </row>
    <row r="1113" spans="9:10">
      <c r="I1113" t="str">
        <f>_xlfn.IFNA(VLOOKUP(B1113,T_DistName[],3,FALSE),"")</f>
        <v/>
      </c>
      <c r="J1113" t="str">
        <f t="shared" ref="J1113:J1176" si="18">I1113&amp;F1113</f>
        <v/>
      </c>
    </row>
    <row r="1114" spans="9:10">
      <c r="I1114" t="str">
        <f>_xlfn.IFNA(VLOOKUP(B1114,T_DistName[],3,FALSE),"")</f>
        <v/>
      </c>
      <c r="J1114" t="str">
        <f t="shared" si="18"/>
        <v/>
      </c>
    </row>
    <row r="1115" spans="9:10">
      <c r="I1115" t="str">
        <f>_xlfn.IFNA(VLOOKUP(B1115,T_DistName[],3,FALSE),"")</f>
        <v/>
      </c>
      <c r="J1115" t="str">
        <f t="shared" si="18"/>
        <v/>
      </c>
    </row>
    <row r="1116" spans="9:10">
      <c r="I1116" t="str">
        <f>_xlfn.IFNA(VLOOKUP(B1116,T_DistName[],3,FALSE),"")</f>
        <v/>
      </c>
      <c r="J1116" t="str">
        <f t="shared" si="18"/>
        <v/>
      </c>
    </row>
    <row r="1117" spans="9:10">
      <c r="I1117" t="str">
        <f>_xlfn.IFNA(VLOOKUP(B1117,T_DistName[],3,FALSE),"")</f>
        <v/>
      </c>
      <c r="J1117" t="str">
        <f t="shared" si="18"/>
        <v/>
      </c>
    </row>
    <row r="1118" spans="9:10">
      <c r="I1118" t="str">
        <f>_xlfn.IFNA(VLOOKUP(B1118,T_DistName[],3,FALSE),"")</f>
        <v/>
      </c>
      <c r="J1118" t="str">
        <f t="shared" si="18"/>
        <v/>
      </c>
    </row>
    <row r="1119" spans="9:10">
      <c r="I1119" t="str">
        <f>_xlfn.IFNA(VLOOKUP(B1119,T_DistName[],3,FALSE),"")</f>
        <v/>
      </c>
      <c r="J1119" t="str">
        <f t="shared" si="18"/>
        <v/>
      </c>
    </row>
    <row r="1120" spans="9:10">
      <c r="I1120" t="str">
        <f>_xlfn.IFNA(VLOOKUP(B1120,T_DistName[],3,FALSE),"")</f>
        <v/>
      </c>
      <c r="J1120" t="str">
        <f t="shared" si="18"/>
        <v/>
      </c>
    </row>
    <row r="1121" spans="9:10">
      <c r="I1121" t="str">
        <f>_xlfn.IFNA(VLOOKUP(B1121,T_DistName[],3,FALSE),"")</f>
        <v/>
      </c>
      <c r="J1121" t="str">
        <f t="shared" si="18"/>
        <v/>
      </c>
    </row>
    <row r="1122" spans="9:10">
      <c r="I1122" t="str">
        <f>_xlfn.IFNA(VLOOKUP(B1122,T_DistName[],3,FALSE),"")</f>
        <v/>
      </c>
      <c r="J1122" t="str">
        <f t="shared" si="18"/>
        <v/>
      </c>
    </row>
    <row r="1123" spans="9:10">
      <c r="I1123" t="str">
        <f>_xlfn.IFNA(VLOOKUP(B1123,T_DistName[],3,FALSE),"")</f>
        <v/>
      </c>
      <c r="J1123" t="str">
        <f t="shared" si="18"/>
        <v/>
      </c>
    </row>
    <row r="1124" spans="9:10">
      <c r="I1124" t="str">
        <f>_xlfn.IFNA(VLOOKUP(B1124,T_DistName[],3,FALSE),"")</f>
        <v/>
      </c>
      <c r="J1124" t="str">
        <f t="shared" si="18"/>
        <v/>
      </c>
    </row>
    <row r="1125" spans="9:10">
      <c r="I1125" t="str">
        <f>_xlfn.IFNA(VLOOKUP(B1125,T_DistName[],3,FALSE),"")</f>
        <v/>
      </c>
      <c r="J1125" t="str">
        <f t="shared" si="18"/>
        <v/>
      </c>
    </row>
    <row r="1126" spans="9:10">
      <c r="I1126" t="str">
        <f>_xlfn.IFNA(VLOOKUP(B1126,T_DistName[],3,FALSE),"")</f>
        <v/>
      </c>
      <c r="J1126" t="str">
        <f t="shared" si="18"/>
        <v/>
      </c>
    </row>
    <row r="1127" spans="9:10">
      <c r="I1127" t="str">
        <f>_xlfn.IFNA(VLOOKUP(B1127,T_DistName[],3,FALSE),"")</f>
        <v/>
      </c>
      <c r="J1127" t="str">
        <f t="shared" si="18"/>
        <v/>
      </c>
    </row>
    <row r="1128" spans="9:10">
      <c r="I1128" t="str">
        <f>_xlfn.IFNA(VLOOKUP(B1128,T_DistName[],3,FALSE),"")</f>
        <v/>
      </c>
      <c r="J1128" t="str">
        <f t="shared" si="18"/>
        <v/>
      </c>
    </row>
    <row r="1129" spans="9:10">
      <c r="I1129" t="str">
        <f>_xlfn.IFNA(VLOOKUP(B1129,T_DistName[],3,FALSE),"")</f>
        <v/>
      </c>
      <c r="J1129" t="str">
        <f t="shared" si="18"/>
        <v/>
      </c>
    </row>
    <row r="1130" spans="9:10">
      <c r="I1130" t="str">
        <f>_xlfn.IFNA(VLOOKUP(B1130,T_DistName[],3,FALSE),"")</f>
        <v/>
      </c>
      <c r="J1130" t="str">
        <f t="shared" si="18"/>
        <v/>
      </c>
    </row>
    <row r="1131" spans="9:10">
      <c r="I1131" t="str">
        <f>_xlfn.IFNA(VLOOKUP(B1131,T_DistName[],3,FALSE),"")</f>
        <v/>
      </c>
      <c r="J1131" t="str">
        <f t="shared" si="18"/>
        <v/>
      </c>
    </row>
    <row r="1132" spans="9:10">
      <c r="I1132" t="str">
        <f>_xlfn.IFNA(VLOOKUP(B1132,T_DistName[],3,FALSE),"")</f>
        <v/>
      </c>
      <c r="J1132" t="str">
        <f t="shared" si="18"/>
        <v/>
      </c>
    </row>
    <row r="1133" spans="9:10">
      <c r="I1133" t="str">
        <f>_xlfn.IFNA(VLOOKUP(B1133,T_DistName[],3,FALSE),"")</f>
        <v/>
      </c>
      <c r="J1133" t="str">
        <f t="shared" si="18"/>
        <v/>
      </c>
    </row>
    <row r="1134" spans="9:10">
      <c r="I1134" t="str">
        <f>_xlfn.IFNA(VLOOKUP(B1134,T_DistName[],3,FALSE),"")</f>
        <v/>
      </c>
      <c r="J1134" t="str">
        <f t="shared" si="18"/>
        <v/>
      </c>
    </row>
    <row r="1135" spans="9:10">
      <c r="I1135" t="str">
        <f>_xlfn.IFNA(VLOOKUP(B1135,T_DistName[],3,FALSE),"")</f>
        <v/>
      </c>
      <c r="J1135" t="str">
        <f t="shared" si="18"/>
        <v/>
      </c>
    </row>
    <row r="1136" spans="9:10">
      <c r="I1136" t="str">
        <f>_xlfn.IFNA(VLOOKUP(B1136,T_DistName[],3,FALSE),"")</f>
        <v/>
      </c>
      <c r="J1136" t="str">
        <f t="shared" si="18"/>
        <v/>
      </c>
    </row>
    <row r="1137" spans="9:10">
      <c r="I1137" t="str">
        <f>_xlfn.IFNA(VLOOKUP(B1137,T_DistName[],3,FALSE),"")</f>
        <v/>
      </c>
      <c r="J1137" t="str">
        <f t="shared" si="18"/>
        <v/>
      </c>
    </row>
    <row r="1138" spans="9:10">
      <c r="I1138" t="str">
        <f>_xlfn.IFNA(VLOOKUP(B1138,T_DistName[],3,FALSE),"")</f>
        <v/>
      </c>
      <c r="J1138" t="str">
        <f t="shared" si="18"/>
        <v/>
      </c>
    </row>
    <row r="1139" spans="9:10">
      <c r="I1139" t="str">
        <f>_xlfn.IFNA(VLOOKUP(B1139,T_DistName[],3,FALSE),"")</f>
        <v/>
      </c>
      <c r="J1139" t="str">
        <f t="shared" si="18"/>
        <v/>
      </c>
    </row>
    <row r="1140" spans="9:10">
      <c r="I1140" t="str">
        <f>_xlfn.IFNA(VLOOKUP(B1140,T_DistName[],3,FALSE),"")</f>
        <v/>
      </c>
      <c r="J1140" t="str">
        <f t="shared" si="18"/>
        <v/>
      </c>
    </row>
    <row r="1141" spans="9:10">
      <c r="I1141" t="str">
        <f>_xlfn.IFNA(VLOOKUP(B1141,T_DistName[],3,FALSE),"")</f>
        <v/>
      </c>
      <c r="J1141" t="str">
        <f t="shared" si="18"/>
        <v/>
      </c>
    </row>
    <row r="1142" spans="9:10">
      <c r="I1142" t="str">
        <f>_xlfn.IFNA(VLOOKUP(B1142,T_DistName[],3,FALSE),"")</f>
        <v/>
      </c>
      <c r="J1142" t="str">
        <f t="shared" si="18"/>
        <v/>
      </c>
    </row>
    <row r="1143" spans="9:10">
      <c r="I1143" t="str">
        <f>_xlfn.IFNA(VLOOKUP(B1143,T_DistName[],3,FALSE),"")</f>
        <v/>
      </c>
      <c r="J1143" t="str">
        <f t="shared" si="18"/>
        <v/>
      </c>
    </row>
    <row r="1144" spans="9:10">
      <c r="I1144" t="str">
        <f>_xlfn.IFNA(VLOOKUP(B1144,T_DistName[],3,FALSE),"")</f>
        <v/>
      </c>
      <c r="J1144" t="str">
        <f t="shared" si="18"/>
        <v/>
      </c>
    </row>
    <row r="1145" spans="9:10">
      <c r="I1145" t="str">
        <f>_xlfn.IFNA(VLOOKUP(B1145,T_DistName[],3,FALSE),"")</f>
        <v/>
      </c>
      <c r="J1145" t="str">
        <f t="shared" si="18"/>
        <v/>
      </c>
    </row>
    <row r="1146" spans="9:10">
      <c r="I1146" t="str">
        <f>_xlfn.IFNA(VLOOKUP(B1146,T_DistName[],3,FALSE),"")</f>
        <v/>
      </c>
      <c r="J1146" t="str">
        <f t="shared" si="18"/>
        <v/>
      </c>
    </row>
    <row r="1147" spans="9:10">
      <c r="I1147" t="str">
        <f>_xlfn.IFNA(VLOOKUP(B1147,T_DistName[],3,FALSE),"")</f>
        <v/>
      </c>
      <c r="J1147" t="str">
        <f t="shared" si="18"/>
        <v/>
      </c>
    </row>
    <row r="1148" spans="9:10">
      <c r="I1148" t="str">
        <f>_xlfn.IFNA(VLOOKUP(B1148,T_DistName[],3,FALSE),"")</f>
        <v/>
      </c>
      <c r="J1148" t="str">
        <f t="shared" si="18"/>
        <v/>
      </c>
    </row>
    <row r="1149" spans="9:10">
      <c r="I1149" t="str">
        <f>_xlfn.IFNA(VLOOKUP(B1149,T_DistName[],3,FALSE),"")</f>
        <v/>
      </c>
      <c r="J1149" t="str">
        <f t="shared" si="18"/>
        <v/>
      </c>
    </row>
    <row r="1150" spans="9:10">
      <c r="I1150" t="str">
        <f>_xlfn.IFNA(VLOOKUP(B1150,T_DistName[],3,FALSE),"")</f>
        <v/>
      </c>
      <c r="J1150" t="str">
        <f t="shared" si="18"/>
        <v/>
      </c>
    </row>
    <row r="1151" spans="9:10">
      <c r="I1151" t="str">
        <f>_xlfn.IFNA(VLOOKUP(B1151,T_DistName[],3,FALSE),"")</f>
        <v/>
      </c>
      <c r="J1151" t="str">
        <f t="shared" si="18"/>
        <v/>
      </c>
    </row>
    <row r="1152" spans="9:10">
      <c r="I1152" t="str">
        <f>_xlfn.IFNA(VLOOKUP(B1152,T_DistName[],3,FALSE),"")</f>
        <v/>
      </c>
      <c r="J1152" t="str">
        <f t="shared" si="18"/>
        <v/>
      </c>
    </row>
    <row r="1153" spans="9:10">
      <c r="I1153" t="str">
        <f>_xlfn.IFNA(VLOOKUP(B1153,T_DistName[],3,FALSE),"")</f>
        <v/>
      </c>
      <c r="J1153" t="str">
        <f t="shared" si="18"/>
        <v/>
      </c>
    </row>
    <row r="1154" spans="9:10">
      <c r="I1154" t="str">
        <f>_xlfn.IFNA(VLOOKUP(B1154,T_DistName[],3,FALSE),"")</f>
        <v/>
      </c>
      <c r="J1154" t="str">
        <f t="shared" si="18"/>
        <v/>
      </c>
    </row>
    <row r="1155" spans="9:10">
      <c r="I1155" t="str">
        <f>_xlfn.IFNA(VLOOKUP(B1155,T_DistName[],3,FALSE),"")</f>
        <v/>
      </c>
      <c r="J1155" t="str">
        <f t="shared" si="18"/>
        <v/>
      </c>
    </row>
    <row r="1156" spans="9:10">
      <c r="I1156" t="str">
        <f>_xlfn.IFNA(VLOOKUP(B1156,T_DistName[],3,FALSE),"")</f>
        <v/>
      </c>
      <c r="J1156" t="str">
        <f t="shared" si="18"/>
        <v/>
      </c>
    </row>
    <row r="1157" spans="9:10">
      <c r="I1157" t="str">
        <f>_xlfn.IFNA(VLOOKUP(B1157,T_DistName[],3,FALSE),"")</f>
        <v/>
      </c>
      <c r="J1157" t="str">
        <f t="shared" si="18"/>
        <v/>
      </c>
    </row>
    <row r="1158" spans="9:10">
      <c r="I1158" t="str">
        <f>_xlfn.IFNA(VLOOKUP(B1158,T_DistName[],3,FALSE),"")</f>
        <v/>
      </c>
      <c r="J1158" t="str">
        <f t="shared" si="18"/>
        <v/>
      </c>
    </row>
    <row r="1159" spans="9:10">
      <c r="I1159" t="str">
        <f>_xlfn.IFNA(VLOOKUP(B1159,T_DistName[],3,FALSE),"")</f>
        <v/>
      </c>
      <c r="J1159" t="str">
        <f t="shared" si="18"/>
        <v/>
      </c>
    </row>
    <row r="1160" spans="9:10">
      <c r="I1160" t="str">
        <f>_xlfn.IFNA(VLOOKUP(B1160,T_DistName[],3,FALSE),"")</f>
        <v/>
      </c>
      <c r="J1160" t="str">
        <f t="shared" si="18"/>
        <v/>
      </c>
    </row>
    <row r="1161" spans="9:10">
      <c r="I1161" t="str">
        <f>_xlfn.IFNA(VLOOKUP(B1161,T_DistName[],3,FALSE),"")</f>
        <v/>
      </c>
      <c r="J1161" t="str">
        <f t="shared" si="18"/>
        <v/>
      </c>
    </row>
    <row r="1162" spans="9:10">
      <c r="I1162" t="str">
        <f>_xlfn.IFNA(VLOOKUP(B1162,T_DistName[],3,FALSE),"")</f>
        <v/>
      </c>
      <c r="J1162" t="str">
        <f t="shared" si="18"/>
        <v/>
      </c>
    </row>
    <row r="1163" spans="9:10">
      <c r="I1163" t="str">
        <f>_xlfn.IFNA(VLOOKUP(B1163,T_DistName[],3,FALSE),"")</f>
        <v/>
      </c>
      <c r="J1163" t="str">
        <f t="shared" si="18"/>
        <v/>
      </c>
    </row>
    <row r="1164" spans="9:10">
      <c r="I1164" t="str">
        <f>_xlfn.IFNA(VLOOKUP(B1164,T_DistName[],3,FALSE),"")</f>
        <v/>
      </c>
      <c r="J1164" t="str">
        <f t="shared" si="18"/>
        <v/>
      </c>
    </row>
    <row r="1165" spans="9:10">
      <c r="I1165" t="str">
        <f>_xlfn.IFNA(VLOOKUP(B1165,T_DistName[],3,FALSE),"")</f>
        <v/>
      </c>
      <c r="J1165" t="str">
        <f t="shared" si="18"/>
        <v/>
      </c>
    </row>
    <row r="1166" spans="9:10">
      <c r="I1166" t="str">
        <f>_xlfn.IFNA(VLOOKUP(B1166,T_DistName[],3,FALSE),"")</f>
        <v/>
      </c>
      <c r="J1166" t="str">
        <f t="shared" si="18"/>
        <v/>
      </c>
    </row>
    <row r="1167" spans="9:10">
      <c r="I1167" t="str">
        <f>_xlfn.IFNA(VLOOKUP(B1167,T_DistName[],3,FALSE),"")</f>
        <v/>
      </c>
      <c r="J1167" t="str">
        <f t="shared" si="18"/>
        <v/>
      </c>
    </row>
    <row r="1168" spans="9:10">
      <c r="I1168" t="str">
        <f>_xlfn.IFNA(VLOOKUP(B1168,T_DistName[],3,FALSE),"")</f>
        <v/>
      </c>
      <c r="J1168" t="str">
        <f t="shared" si="18"/>
        <v/>
      </c>
    </row>
    <row r="1169" spans="9:10">
      <c r="I1169" t="str">
        <f>_xlfn.IFNA(VLOOKUP(B1169,T_DistName[],3,FALSE),"")</f>
        <v/>
      </c>
      <c r="J1169" t="str">
        <f t="shared" si="18"/>
        <v/>
      </c>
    </row>
    <row r="1170" spans="9:10">
      <c r="I1170" t="str">
        <f>_xlfn.IFNA(VLOOKUP(B1170,T_DistName[],3,FALSE),"")</f>
        <v/>
      </c>
      <c r="J1170" t="str">
        <f t="shared" si="18"/>
        <v/>
      </c>
    </row>
    <row r="1171" spans="9:10">
      <c r="I1171" t="str">
        <f>_xlfn.IFNA(VLOOKUP(B1171,T_DistName[],3,FALSE),"")</f>
        <v/>
      </c>
      <c r="J1171" t="str">
        <f t="shared" si="18"/>
        <v/>
      </c>
    </row>
    <row r="1172" spans="9:10">
      <c r="I1172" t="str">
        <f>_xlfn.IFNA(VLOOKUP(B1172,T_DistName[],3,FALSE),"")</f>
        <v/>
      </c>
      <c r="J1172" t="str">
        <f t="shared" si="18"/>
        <v/>
      </c>
    </row>
    <row r="1173" spans="9:10">
      <c r="I1173" t="str">
        <f>_xlfn.IFNA(VLOOKUP(B1173,T_DistName[],3,FALSE),"")</f>
        <v/>
      </c>
      <c r="J1173" t="str">
        <f t="shared" si="18"/>
        <v/>
      </c>
    </row>
    <row r="1174" spans="9:10">
      <c r="I1174" t="str">
        <f>_xlfn.IFNA(VLOOKUP(B1174,T_DistName[],3,FALSE),"")</f>
        <v/>
      </c>
      <c r="J1174" t="str">
        <f t="shared" si="18"/>
        <v/>
      </c>
    </row>
    <row r="1175" spans="9:10">
      <c r="I1175" t="str">
        <f>_xlfn.IFNA(VLOOKUP(B1175,T_DistName[],3,FALSE),"")</f>
        <v/>
      </c>
      <c r="J1175" t="str">
        <f t="shared" si="18"/>
        <v/>
      </c>
    </row>
    <row r="1176" spans="9:10">
      <c r="I1176" t="str">
        <f>_xlfn.IFNA(VLOOKUP(B1176,T_DistName[],3,FALSE),"")</f>
        <v/>
      </c>
      <c r="J1176" t="str">
        <f t="shared" si="18"/>
        <v/>
      </c>
    </row>
    <row r="1177" spans="9:10">
      <c r="I1177" t="str">
        <f>_xlfn.IFNA(VLOOKUP(B1177,T_DistName[],3,FALSE),"")</f>
        <v/>
      </c>
      <c r="J1177" t="str">
        <f t="shared" ref="J1177:J1240" si="19">I1177&amp;F1177</f>
        <v/>
      </c>
    </row>
    <row r="1178" spans="9:10">
      <c r="I1178" t="str">
        <f>_xlfn.IFNA(VLOOKUP(B1178,T_DistName[],3,FALSE),"")</f>
        <v/>
      </c>
      <c r="J1178" t="str">
        <f t="shared" si="19"/>
        <v/>
      </c>
    </row>
    <row r="1179" spans="9:10">
      <c r="I1179" t="str">
        <f>_xlfn.IFNA(VLOOKUP(B1179,T_DistName[],3,FALSE),"")</f>
        <v/>
      </c>
      <c r="J1179" t="str">
        <f t="shared" si="19"/>
        <v/>
      </c>
    </row>
    <row r="1180" spans="9:10">
      <c r="I1180" t="str">
        <f>_xlfn.IFNA(VLOOKUP(B1180,T_DistName[],3,FALSE),"")</f>
        <v/>
      </c>
      <c r="J1180" t="str">
        <f t="shared" si="19"/>
        <v/>
      </c>
    </row>
    <row r="1181" spans="9:10">
      <c r="I1181" t="str">
        <f>_xlfn.IFNA(VLOOKUP(B1181,T_DistName[],3,FALSE),"")</f>
        <v/>
      </c>
      <c r="J1181" t="str">
        <f t="shared" si="19"/>
        <v/>
      </c>
    </row>
    <row r="1182" spans="9:10">
      <c r="I1182" t="str">
        <f>_xlfn.IFNA(VLOOKUP(B1182,T_DistName[],3,FALSE),"")</f>
        <v/>
      </c>
      <c r="J1182" t="str">
        <f t="shared" si="19"/>
        <v/>
      </c>
    </row>
    <row r="1183" spans="9:10">
      <c r="I1183" t="str">
        <f>_xlfn.IFNA(VLOOKUP(B1183,T_DistName[],3,FALSE),"")</f>
        <v/>
      </c>
      <c r="J1183" t="str">
        <f t="shared" si="19"/>
        <v/>
      </c>
    </row>
    <row r="1184" spans="9:10">
      <c r="I1184" t="str">
        <f>_xlfn.IFNA(VLOOKUP(B1184,T_DistName[],3,FALSE),"")</f>
        <v/>
      </c>
      <c r="J1184" t="str">
        <f t="shared" si="19"/>
        <v/>
      </c>
    </row>
    <row r="1185" spans="9:10">
      <c r="I1185" t="str">
        <f>_xlfn.IFNA(VLOOKUP(B1185,T_DistName[],3,FALSE),"")</f>
        <v/>
      </c>
      <c r="J1185" t="str">
        <f t="shared" si="19"/>
        <v/>
      </c>
    </row>
    <row r="1186" spans="9:10">
      <c r="I1186" t="str">
        <f>_xlfn.IFNA(VLOOKUP(B1186,T_DistName[],3,FALSE),"")</f>
        <v/>
      </c>
      <c r="J1186" t="str">
        <f t="shared" si="19"/>
        <v/>
      </c>
    </row>
    <row r="1187" spans="9:10">
      <c r="I1187" t="str">
        <f>_xlfn.IFNA(VLOOKUP(B1187,T_DistName[],3,FALSE),"")</f>
        <v/>
      </c>
      <c r="J1187" t="str">
        <f t="shared" si="19"/>
        <v/>
      </c>
    </row>
    <row r="1188" spans="9:10">
      <c r="I1188" t="str">
        <f>_xlfn.IFNA(VLOOKUP(B1188,T_DistName[],3,FALSE),"")</f>
        <v/>
      </c>
      <c r="J1188" t="str">
        <f t="shared" si="19"/>
        <v/>
      </c>
    </row>
    <row r="1189" spans="9:10">
      <c r="I1189" t="str">
        <f>_xlfn.IFNA(VLOOKUP(B1189,T_DistName[],3,FALSE),"")</f>
        <v/>
      </c>
      <c r="J1189" t="str">
        <f t="shared" si="19"/>
        <v/>
      </c>
    </row>
    <row r="1190" spans="9:10">
      <c r="I1190" t="str">
        <f>_xlfn.IFNA(VLOOKUP(B1190,T_DistName[],3,FALSE),"")</f>
        <v/>
      </c>
      <c r="J1190" t="str">
        <f t="shared" si="19"/>
        <v/>
      </c>
    </row>
    <row r="1191" spans="9:10">
      <c r="I1191" t="str">
        <f>_xlfn.IFNA(VLOOKUP(B1191,T_DistName[],3,FALSE),"")</f>
        <v/>
      </c>
      <c r="J1191" t="str">
        <f t="shared" si="19"/>
        <v/>
      </c>
    </row>
    <row r="1192" spans="9:10">
      <c r="I1192" t="str">
        <f>_xlfn.IFNA(VLOOKUP(B1192,T_DistName[],3,FALSE),"")</f>
        <v/>
      </c>
      <c r="J1192" t="str">
        <f t="shared" si="19"/>
        <v/>
      </c>
    </row>
    <row r="1193" spans="9:10">
      <c r="I1193" t="str">
        <f>_xlfn.IFNA(VLOOKUP(B1193,T_DistName[],3,FALSE),"")</f>
        <v/>
      </c>
      <c r="J1193" t="str">
        <f t="shared" si="19"/>
        <v/>
      </c>
    </row>
    <row r="1194" spans="9:10">
      <c r="I1194" t="str">
        <f>_xlfn.IFNA(VLOOKUP(B1194,T_DistName[],3,FALSE),"")</f>
        <v/>
      </c>
      <c r="J1194" t="str">
        <f t="shared" si="19"/>
        <v/>
      </c>
    </row>
    <row r="1195" spans="9:10">
      <c r="I1195" t="str">
        <f>_xlfn.IFNA(VLOOKUP(B1195,T_DistName[],3,FALSE),"")</f>
        <v/>
      </c>
      <c r="J1195" t="str">
        <f t="shared" si="19"/>
        <v/>
      </c>
    </row>
    <row r="1196" spans="9:10">
      <c r="I1196" t="str">
        <f>_xlfn.IFNA(VLOOKUP(B1196,T_DistName[],3,FALSE),"")</f>
        <v/>
      </c>
      <c r="J1196" t="str">
        <f t="shared" si="19"/>
        <v/>
      </c>
    </row>
    <row r="1197" spans="9:10">
      <c r="I1197" t="str">
        <f>_xlfn.IFNA(VLOOKUP(B1197,T_DistName[],3,FALSE),"")</f>
        <v/>
      </c>
      <c r="J1197" t="str">
        <f t="shared" si="19"/>
        <v/>
      </c>
    </row>
    <row r="1198" spans="9:10">
      <c r="I1198" t="str">
        <f>_xlfn.IFNA(VLOOKUP(B1198,T_DistName[],3,FALSE),"")</f>
        <v/>
      </c>
      <c r="J1198" t="str">
        <f t="shared" si="19"/>
        <v/>
      </c>
    </row>
    <row r="1199" spans="9:10">
      <c r="I1199" t="str">
        <f>_xlfn.IFNA(VLOOKUP(B1199,T_DistName[],3,FALSE),"")</f>
        <v/>
      </c>
      <c r="J1199" t="str">
        <f t="shared" si="19"/>
        <v/>
      </c>
    </row>
    <row r="1200" spans="9:10">
      <c r="I1200" t="str">
        <f>_xlfn.IFNA(VLOOKUP(B1200,T_DistName[],3,FALSE),"")</f>
        <v/>
      </c>
      <c r="J1200" t="str">
        <f t="shared" si="19"/>
        <v/>
      </c>
    </row>
    <row r="1201" spans="9:10">
      <c r="I1201" t="str">
        <f>_xlfn.IFNA(VLOOKUP(B1201,T_DistName[],3,FALSE),"")</f>
        <v/>
      </c>
      <c r="J1201" t="str">
        <f t="shared" si="19"/>
        <v/>
      </c>
    </row>
    <row r="1202" spans="9:10">
      <c r="I1202" t="str">
        <f>_xlfn.IFNA(VLOOKUP(B1202,T_DistName[],3,FALSE),"")</f>
        <v/>
      </c>
      <c r="J1202" t="str">
        <f t="shared" si="19"/>
        <v/>
      </c>
    </row>
    <row r="1203" spans="9:10">
      <c r="I1203" t="str">
        <f>_xlfn.IFNA(VLOOKUP(B1203,T_DistName[],3,FALSE),"")</f>
        <v/>
      </c>
      <c r="J1203" t="str">
        <f t="shared" si="19"/>
        <v/>
      </c>
    </row>
    <row r="1204" spans="9:10">
      <c r="I1204" t="str">
        <f>_xlfn.IFNA(VLOOKUP(B1204,T_DistName[],3,FALSE),"")</f>
        <v/>
      </c>
      <c r="J1204" t="str">
        <f t="shared" si="19"/>
        <v/>
      </c>
    </row>
    <row r="1205" spans="9:10">
      <c r="I1205" t="str">
        <f>_xlfn.IFNA(VLOOKUP(B1205,T_DistName[],3,FALSE),"")</f>
        <v/>
      </c>
      <c r="J1205" t="str">
        <f t="shared" si="19"/>
        <v/>
      </c>
    </row>
    <row r="1206" spans="9:10">
      <c r="I1206" t="str">
        <f>_xlfn.IFNA(VLOOKUP(B1206,T_DistName[],3,FALSE),"")</f>
        <v/>
      </c>
      <c r="J1206" t="str">
        <f t="shared" si="19"/>
        <v/>
      </c>
    </row>
    <row r="1207" spans="9:10">
      <c r="I1207" t="str">
        <f>_xlfn.IFNA(VLOOKUP(B1207,T_DistName[],3,FALSE),"")</f>
        <v/>
      </c>
      <c r="J1207" t="str">
        <f t="shared" si="19"/>
        <v/>
      </c>
    </row>
    <row r="1208" spans="9:10">
      <c r="I1208" t="str">
        <f>_xlfn.IFNA(VLOOKUP(B1208,T_DistName[],3,FALSE),"")</f>
        <v/>
      </c>
      <c r="J1208" t="str">
        <f t="shared" si="19"/>
        <v/>
      </c>
    </row>
    <row r="1209" spans="9:10">
      <c r="I1209" t="str">
        <f>_xlfn.IFNA(VLOOKUP(B1209,T_DistName[],3,FALSE),"")</f>
        <v/>
      </c>
      <c r="J1209" t="str">
        <f t="shared" si="19"/>
        <v/>
      </c>
    </row>
    <row r="1210" spans="9:10">
      <c r="I1210" t="str">
        <f>_xlfn.IFNA(VLOOKUP(B1210,T_DistName[],3,FALSE),"")</f>
        <v/>
      </c>
      <c r="J1210" t="str">
        <f t="shared" si="19"/>
        <v/>
      </c>
    </row>
    <row r="1211" spans="9:10">
      <c r="I1211" t="str">
        <f>_xlfn.IFNA(VLOOKUP(B1211,T_DistName[],3,FALSE),"")</f>
        <v/>
      </c>
      <c r="J1211" t="str">
        <f t="shared" si="19"/>
        <v/>
      </c>
    </row>
    <row r="1212" spans="9:10">
      <c r="I1212" t="str">
        <f>_xlfn.IFNA(VLOOKUP(B1212,T_DistName[],3,FALSE),"")</f>
        <v/>
      </c>
      <c r="J1212" t="str">
        <f t="shared" si="19"/>
        <v/>
      </c>
    </row>
    <row r="1213" spans="9:10">
      <c r="I1213" t="str">
        <f>_xlfn.IFNA(VLOOKUP(B1213,T_DistName[],3,FALSE),"")</f>
        <v/>
      </c>
      <c r="J1213" t="str">
        <f t="shared" si="19"/>
        <v/>
      </c>
    </row>
    <row r="1214" spans="9:10">
      <c r="I1214" t="str">
        <f>_xlfn.IFNA(VLOOKUP(B1214,T_DistName[],3,FALSE),"")</f>
        <v/>
      </c>
      <c r="J1214" t="str">
        <f t="shared" si="19"/>
        <v/>
      </c>
    </row>
    <row r="1215" spans="9:10">
      <c r="I1215" t="str">
        <f>_xlfn.IFNA(VLOOKUP(B1215,T_DistName[],3,FALSE),"")</f>
        <v/>
      </c>
      <c r="J1215" t="str">
        <f t="shared" si="19"/>
        <v/>
      </c>
    </row>
    <row r="1216" spans="9:10">
      <c r="I1216" t="str">
        <f>_xlfn.IFNA(VLOOKUP(B1216,T_DistName[],3,FALSE),"")</f>
        <v/>
      </c>
      <c r="J1216" t="str">
        <f t="shared" si="19"/>
        <v/>
      </c>
    </row>
    <row r="1217" spans="9:10">
      <c r="I1217" t="str">
        <f>_xlfn.IFNA(VLOOKUP(B1217,T_DistName[],3,FALSE),"")</f>
        <v/>
      </c>
      <c r="J1217" t="str">
        <f t="shared" si="19"/>
        <v/>
      </c>
    </row>
    <row r="1218" spans="9:10">
      <c r="I1218" t="str">
        <f>_xlfn.IFNA(VLOOKUP(B1218,T_DistName[],3,FALSE),"")</f>
        <v/>
      </c>
      <c r="J1218" t="str">
        <f t="shared" si="19"/>
        <v/>
      </c>
    </row>
    <row r="1219" spans="9:10">
      <c r="I1219" t="str">
        <f>_xlfn.IFNA(VLOOKUP(B1219,T_DistName[],3,FALSE),"")</f>
        <v/>
      </c>
      <c r="J1219" t="str">
        <f t="shared" si="19"/>
        <v/>
      </c>
    </row>
    <row r="1220" spans="9:10">
      <c r="I1220" t="str">
        <f>_xlfn.IFNA(VLOOKUP(B1220,T_DistName[],3,FALSE),"")</f>
        <v/>
      </c>
      <c r="J1220" t="str">
        <f t="shared" si="19"/>
        <v/>
      </c>
    </row>
    <row r="1221" spans="9:10">
      <c r="I1221" t="str">
        <f>_xlfn.IFNA(VLOOKUP(B1221,T_DistName[],3,FALSE),"")</f>
        <v/>
      </c>
      <c r="J1221" t="str">
        <f t="shared" si="19"/>
        <v/>
      </c>
    </row>
    <row r="1222" spans="9:10">
      <c r="I1222" t="str">
        <f>_xlfn.IFNA(VLOOKUP(B1222,T_DistName[],3,FALSE),"")</f>
        <v/>
      </c>
      <c r="J1222" t="str">
        <f t="shared" si="19"/>
        <v/>
      </c>
    </row>
    <row r="1223" spans="9:10">
      <c r="I1223" t="str">
        <f>_xlfn.IFNA(VLOOKUP(B1223,T_DistName[],3,FALSE),"")</f>
        <v/>
      </c>
      <c r="J1223" t="str">
        <f t="shared" si="19"/>
        <v/>
      </c>
    </row>
    <row r="1224" spans="9:10">
      <c r="I1224" t="str">
        <f>_xlfn.IFNA(VLOOKUP(B1224,T_DistName[],3,FALSE),"")</f>
        <v/>
      </c>
      <c r="J1224" t="str">
        <f t="shared" si="19"/>
        <v/>
      </c>
    </row>
    <row r="1225" spans="9:10">
      <c r="I1225" t="str">
        <f>_xlfn.IFNA(VLOOKUP(B1225,T_DistName[],3,FALSE),"")</f>
        <v/>
      </c>
      <c r="J1225" t="str">
        <f t="shared" si="19"/>
        <v/>
      </c>
    </row>
    <row r="1226" spans="9:10">
      <c r="I1226" t="str">
        <f>_xlfn.IFNA(VLOOKUP(B1226,T_DistName[],3,FALSE),"")</f>
        <v/>
      </c>
      <c r="J1226" t="str">
        <f t="shared" si="19"/>
        <v/>
      </c>
    </row>
    <row r="1227" spans="9:10">
      <c r="I1227" t="str">
        <f>_xlfn.IFNA(VLOOKUP(B1227,T_DistName[],3,FALSE),"")</f>
        <v/>
      </c>
      <c r="J1227" t="str">
        <f t="shared" si="19"/>
        <v/>
      </c>
    </row>
    <row r="1228" spans="9:10">
      <c r="I1228" t="str">
        <f>_xlfn.IFNA(VLOOKUP(B1228,T_DistName[],3,FALSE),"")</f>
        <v/>
      </c>
      <c r="J1228" t="str">
        <f t="shared" si="19"/>
        <v/>
      </c>
    </row>
    <row r="1229" spans="9:10">
      <c r="I1229" t="str">
        <f>_xlfn.IFNA(VLOOKUP(B1229,T_DistName[],3,FALSE),"")</f>
        <v/>
      </c>
      <c r="J1229" t="str">
        <f t="shared" si="19"/>
        <v/>
      </c>
    </row>
    <row r="1230" spans="9:10">
      <c r="I1230" t="str">
        <f>_xlfn.IFNA(VLOOKUP(B1230,T_DistName[],3,FALSE),"")</f>
        <v/>
      </c>
      <c r="J1230" t="str">
        <f t="shared" si="19"/>
        <v/>
      </c>
    </row>
    <row r="1231" spans="9:10">
      <c r="I1231" t="str">
        <f>_xlfn.IFNA(VLOOKUP(B1231,T_DistName[],3,FALSE),"")</f>
        <v/>
      </c>
      <c r="J1231" t="str">
        <f t="shared" si="19"/>
        <v/>
      </c>
    </row>
    <row r="1232" spans="9:10">
      <c r="I1232" t="str">
        <f>_xlfn.IFNA(VLOOKUP(B1232,T_DistName[],3,FALSE),"")</f>
        <v/>
      </c>
      <c r="J1232" t="str">
        <f t="shared" si="19"/>
        <v/>
      </c>
    </row>
    <row r="1233" spans="9:10">
      <c r="I1233" t="str">
        <f>_xlfn.IFNA(VLOOKUP(B1233,T_DistName[],3,FALSE),"")</f>
        <v/>
      </c>
      <c r="J1233" t="str">
        <f t="shared" si="19"/>
        <v/>
      </c>
    </row>
    <row r="1234" spans="9:10">
      <c r="I1234" t="str">
        <f>_xlfn.IFNA(VLOOKUP(B1234,T_DistName[],3,FALSE),"")</f>
        <v/>
      </c>
      <c r="J1234" t="str">
        <f t="shared" si="19"/>
        <v/>
      </c>
    </row>
    <row r="1235" spans="9:10">
      <c r="I1235" t="str">
        <f>_xlfn.IFNA(VLOOKUP(B1235,T_DistName[],3,FALSE),"")</f>
        <v/>
      </c>
      <c r="J1235" t="str">
        <f t="shared" si="19"/>
        <v/>
      </c>
    </row>
    <row r="1236" spans="9:10">
      <c r="I1236" t="str">
        <f>_xlfn.IFNA(VLOOKUP(B1236,T_DistName[],3,FALSE),"")</f>
        <v/>
      </c>
      <c r="J1236" t="str">
        <f t="shared" si="19"/>
        <v/>
      </c>
    </row>
    <row r="1237" spans="9:10">
      <c r="I1237" t="str">
        <f>_xlfn.IFNA(VLOOKUP(B1237,T_DistName[],3,FALSE),"")</f>
        <v/>
      </c>
      <c r="J1237" t="str">
        <f t="shared" si="19"/>
        <v/>
      </c>
    </row>
    <row r="1238" spans="9:10">
      <c r="I1238" t="str">
        <f>_xlfn.IFNA(VLOOKUP(B1238,T_DistName[],3,FALSE),"")</f>
        <v/>
      </c>
      <c r="J1238" t="str">
        <f t="shared" si="19"/>
        <v/>
      </c>
    </row>
    <row r="1239" spans="9:10">
      <c r="I1239" t="str">
        <f>_xlfn.IFNA(VLOOKUP(B1239,T_DistName[],3,FALSE),"")</f>
        <v/>
      </c>
      <c r="J1239" t="str">
        <f t="shared" si="19"/>
        <v/>
      </c>
    </row>
    <row r="1240" spans="9:10">
      <c r="I1240" t="str">
        <f>_xlfn.IFNA(VLOOKUP(B1240,T_DistName[],3,FALSE),"")</f>
        <v/>
      </c>
      <c r="J1240" t="str">
        <f t="shared" si="19"/>
        <v/>
      </c>
    </row>
    <row r="1241" spans="9:10">
      <c r="I1241" t="str">
        <f>_xlfn.IFNA(VLOOKUP(B1241,T_DistName[],3,FALSE),"")</f>
        <v/>
      </c>
      <c r="J1241" t="str">
        <f t="shared" ref="J1241:J1304" si="20">I1241&amp;F1241</f>
        <v/>
      </c>
    </row>
    <row r="1242" spans="9:10">
      <c r="I1242" t="str">
        <f>_xlfn.IFNA(VLOOKUP(B1242,T_DistName[],3,FALSE),"")</f>
        <v/>
      </c>
      <c r="J1242" t="str">
        <f t="shared" si="20"/>
        <v/>
      </c>
    </row>
    <row r="1243" spans="9:10">
      <c r="I1243" t="str">
        <f>_xlfn.IFNA(VLOOKUP(B1243,T_DistName[],3,FALSE),"")</f>
        <v/>
      </c>
      <c r="J1243" t="str">
        <f t="shared" si="20"/>
        <v/>
      </c>
    </row>
    <row r="1244" spans="9:10">
      <c r="I1244" t="str">
        <f>_xlfn.IFNA(VLOOKUP(B1244,T_DistName[],3,FALSE),"")</f>
        <v/>
      </c>
      <c r="J1244" t="str">
        <f t="shared" si="20"/>
        <v/>
      </c>
    </row>
    <row r="1245" spans="9:10">
      <c r="I1245" t="str">
        <f>_xlfn.IFNA(VLOOKUP(B1245,T_DistName[],3,FALSE),"")</f>
        <v/>
      </c>
      <c r="J1245" t="str">
        <f t="shared" si="20"/>
        <v/>
      </c>
    </row>
    <row r="1246" spans="9:10">
      <c r="I1246" t="str">
        <f>_xlfn.IFNA(VLOOKUP(B1246,T_DistName[],3,FALSE),"")</f>
        <v/>
      </c>
      <c r="J1246" t="str">
        <f t="shared" si="20"/>
        <v/>
      </c>
    </row>
    <row r="1247" spans="9:10">
      <c r="I1247" t="str">
        <f>_xlfn.IFNA(VLOOKUP(B1247,T_DistName[],3,FALSE),"")</f>
        <v/>
      </c>
      <c r="J1247" t="str">
        <f t="shared" si="20"/>
        <v/>
      </c>
    </row>
    <row r="1248" spans="9:10">
      <c r="I1248" t="str">
        <f>_xlfn.IFNA(VLOOKUP(B1248,T_DistName[],3,FALSE),"")</f>
        <v/>
      </c>
      <c r="J1248" t="str">
        <f t="shared" si="20"/>
        <v/>
      </c>
    </row>
    <row r="1249" spans="9:10">
      <c r="I1249" t="str">
        <f>_xlfn.IFNA(VLOOKUP(B1249,T_DistName[],3,FALSE),"")</f>
        <v/>
      </c>
      <c r="J1249" t="str">
        <f t="shared" si="20"/>
        <v/>
      </c>
    </row>
    <row r="1250" spans="9:10">
      <c r="I1250" t="str">
        <f>_xlfn.IFNA(VLOOKUP(B1250,T_DistName[],3,FALSE),"")</f>
        <v/>
      </c>
      <c r="J1250" t="str">
        <f t="shared" si="20"/>
        <v/>
      </c>
    </row>
    <row r="1251" spans="9:10">
      <c r="I1251" t="str">
        <f>_xlfn.IFNA(VLOOKUP(B1251,T_DistName[],3,FALSE),"")</f>
        <v/>
      </c>
      <c r="J1251" t="str">
        <f t="shared" si="20"/>
        <v/>
      </c>
    </row>
    <row r="1252" spans="9:10">
      <c r="I1252" t="str">
        <f>_xlfn.IFNA(VLOOKUP(B1252,T_DistName[],3,FALSE),"")</f>
        <v/>
      </c>
      <c r="J1252" t="str">
        <f t="shared" si="20"/>
        <v/>
      </c>
    </row>
    <row r="1253" spans="9:10">
      <c r="I1253" t="str">
        <f>_xlfn.IFNA(VLOOKUP(B1253,T_DistName[],3,FALSE),"")</f>
        <v/>
      </c>
      <c r="J1253" t="str">
        <f t="shared" si="20"/>
        <v/>
      </c>
    </row>
    <row r="1254" spans="9:10">
      <c r="I1254" t="str">
        <f>_xlfn.IFNA(VLOOKUP(B1254,T_DistName[],3,FALSE),"")</f>
        <v/>
      </c>
      <c r="J1254" t="str">
        <f t="shared" si="20"/>
        <v/>
      </c>
    </row>
    <row r="1255" spans="9:10">
      <c r="I1255" t="str">
        <f>_xlfn.IFNA(VLOOKUP(B1255,T_DistName[],3,FALSE),"")</f>
        <v/>
      </c>
      <c r="J1255" t="str">
        <f t="shared" si="20"/>
        <v/>
      </c>
    </row>
    <row r="1256" spans="9:10">
      <c r="I1256" t="str">
        <f>_xlfn.IFNA(VLOOKUP(B1256,T_DistName[],3,FALSE),"")</f>
        <v/>
      </c>
      <c r="J1256" t="str">
        <f t="shared" si="20"/>
        <v/>
      </c>
    </row>
    <row r="1257" spans="9:10">
      <c r="I1257" t="str">
        <f>_xlfn.IFNA(VLOOKUP(B1257,T_DistName[],3,FALSE),"")</f>
        <v/>
      </c>
      <c r="J1257" t="str">
        <f t="shared" si="20"/>
        <v/>
      </c>
    </row>
    <row r="1258" spans="9:10">
      <c r="I1258" t="str">
        <f>_xlfn.IFNA(VLOOKUP(B1258,T_DistName[],3,FALSE),"")</f>
        <v/>
      </c>
      <c r="J1258" t="str">
        <f t="shared" si="20"/>
        <v/>
      </c>
    </row>
    <row r="1259" spans="9:10">
      <c r="I1259" t="str">
        <f>_xlfn.IFNA(VLOOKUP(B1259,T_DistName[],3,FALSE),"")</f>
        <v/>
      </c>
      <c r="J1259" t="str">
        <f t="shared" si="20"/>
        <v/>
      </c>
    </row>
    <row r="1260" spans="9:10">
      <c r="I1260" t="str">
        <f>_xlfn.IFNA(VLOOKUP(B1260,T_DistName[],3,FALSE),"")</f>
        <v/>
      </c>
      <c r="J1260" t="str">
        <f t="shared" si="20"/>
        <v/>
      </c>
    </row>
    <row r="1261" spans="9:10">
      <c r="I1261" t="str">
        <f>_xlfn.IFNA(VLOOKUP(B1261,T_DistName[],3,FALSE),"")</f>
        <v/>
      </c>
      <c r="J1261" t="str">
        <f t="shared" si="20"/>
        <v/>
      </c>
    </row>
    <row r="1262" spans="9:10">
      <c r="I1262" t="str">
        <f>_xlfn.IFNA(VLOOKUP(B1262,T_DistName[],3,FALSE),"")</f>
        <v/>
      </c>
      <c r="J1262" t="str">
        <f t="shared" si="20"/>
        <v/>
      </c>
    </row>
    <row r="1263" spans="9:10">
      <c r="I1263" t="str">
        <f>_xlfn.IFNA(VLOOKUP(B1263,T_DistName[],3,FALSE),"")</f>
        <v/>
      </c>
      <c r="J1263" t="str">
        <f t="shared" si="20"/>
        <v/>
      </c>
    </row>
    <row r="1264" spans="9:10">
      <c r="I1264" t="str">
        <f>_xlfn.IFNA(VLOOKUP(B1264,T_DistName[],3,FALSE),"")</f>
        <v/>
      </c>
      <c r="J1264" t="str">
        <f t="shared" si="20"/>
        <v/>
      </c>
    </row>
    <row r="1265" spans="9:10">
      <c r="I1265" t="str">
        <f>_xlfn.IFNA(VLOOKUP(B1265,T_DistName[],3,FALSE),"")</f>
        <v/>
      </c>
      <c r="J1265" t="str">
        <f t="shared" si="20"/>
        <v/>
      </c>
    </row>
    <row r="1266" spans="9:10">
      <c r="I1266" t="str">
        <f>_xlfn.IFNA(VLOOKUP(B1266,T_DistName[],3,FALSE),"")</f>
        <v/>
      </c>
      <c r="J1266" t="str">
        <f t="shared" si="20"/>
        <v/>
      </c>
    </row>
    <row r="1267" spans="9:10">
      <c r="I1267" t="str">
        <f>_xlfn.IFNA(VLOOKUP(B1267,T_DistName[],3,FALSE),"")</f>
        <v/>
      </c>
      <c r="J1267" t="str">
        <f t="shared" si="20"/>
        <v/>
      </c>
    </row>
    <row r="1268" spans="9:10">
      <c r="I1268" t="str">
        <f>_xlfn.IFNA(VLOOKUP(B1268,T_DistName[],3,FALSE),"")</f>
        <v/>
      </c>
      <c r="J1268" t="str">
        <f t="shared" si="20"/>
        <v/>
      </c>
    </row>
    <row r="1269" spans="9:10">
      <c r="I1269" t="str">
        <f>_xlfn.IFNA(VLOOKUP(B1269,T_DistName[],3,FALSE),"")</f>
        <v/>
      </c>
      <c r="J1269" t="str">
        <f t="shared" si="20"/>
        <v/>
      </c>
    </row>
    <row r="1270" spans="9:10">
      <c r="I1270" t="str">
        <f>_xlfn.IFNA(VLOOKUP(B1270,T_DistName[],3,FALSE),"")</f>
        <v/>
      </c>
      <c r="J1270" t="str">
        <f t="shared" si="20"/>
        <v/>
      </c>
    </row>
    <row r="1271" spans="9:10">
      <c r="I1271" t="str">
        <f>_xlfn.IFNA(VLOOKUP(B1271,T_DistName[],3,FALSE),"")</f>
        <v/>
      </c>
      <c r="J1271" t="str">
        <f t="shared" si="20"/>
        <v/>
      </c>
    </row>
    <row r="1272" spans="9:10">
      <c r="I1272" t="str">
        <f>_xlfn.IFNA(VLOOKUP(B1272,T_DistName[],3,FALSE),"")</f>
        <v/>
      </c>
      <c r="J1272" t="str">
        <f t="shared" si="20"/>
        <v/>
      </c>
    </row>
    <row r="1273" spans="9:10">
      <c r="I1273" t="str">
        <f>_xlfn.IFNA(VLOOKUP(B1273,T_DistName[],3,FALSE),"")</f>
        <v/>
      </c>
      <c r="J1273" t="str">
        <f t="shared" si="20"/>
        <v/>
      </c>
    </row>
    <row r="1274" spans="9:10">
      <c r="I1274" t="str">
        <f>_xlfn.IFNA(VLOOKUP(B1274,T_DistName[],3,FALSE),"")</f>
        <v/>
      </c>
      <c r="J1274" t="str">
        <f t="shared" si="20"/>
        <v/>
      </c>
    </row>
    <row r="1275" spans="9:10">
      <c r="I1275" t="str">
        <f>_xlfn.IFNA(VLOOKUP(B1275,T_DistName[],3,FALSE),"")</f>
        <v/>
      </c>
      <c r="J1275" t="str">
        <f t="shared" si="20"/>
        <v/>
      </c>
    </row>
    <row r="1276" spans="9:10">
      <c r="I1276" t="str">
        <f>_xlfn.IFNA(VLOOKUP(B1276,T_DistName[],3,FALSE),"")</f>
        <v/>
      </c>
      <c r="J1276" t="str">
        <f t="shared" si="20"/>
        <v/>
      </c>
    </row>
    <row r="1277" spans="9:10">
      <c r="I1277" t="str">
        <f>_xlfn.IFNA(VLOOKUP(B1277,T_DistName[],3,FALSE),"")</f>
        <v/>
      </c>
      <c r="J1277" t="str">
        <f t="shared" si="20"/>
        <v/>
      </c>
    </row>
    <row r="1278" spans="9:10">
      <c r="I1278" t="str">
        <f>_xlfn.IFNA(VLOOKUP(B1278,T_DistName[],3,FALSE),"")</f>
        <v/>
      </c>
      <c r="J1278" t="str">
        <f t="shared" si="20"/>
        <v/>
      </c>
    </row>
    <row r="1279" spans="9:10">
      <c r="I1279" t="str">
        <f>_xlfn.IFNA(VLOOKUP(B1279,T_DistName[],3,FALSE),"")</f>
        <v/>
      </c>
      <c r="J1279" t="str">
        <f t="shared" si="20"/>
        <v/>
      </c>
    </row>
    <row r="1280" spans="9:10">
      <c r="I1280" t="str">
        <f>_xlfn.IFNA(VLOOKUP(B1280,T_DistName[],3,FALSE),"")</f>
        <v/>
      </c>
      <c r="J1280" t="str">
        <f t="shared" si="20"/>
        <v/>
      </c>
    </row>
    <row r="1281" spans="9:10">
      <c r="I1281" t="str">
        <f>_xlfn.IFNA(VLOOKUP(B1281,T_DistName[],3,FALSE),"")</f>
        <v/>
      </c>
      <c r="J1281" t="str">
        <f t="shared" si="20"/>
        <v/>
      </c>
    </row>
    <row r="1282" spans="9:10">
      <c r="I1282" t="str">
        <f>_xlfn.IFNA(VLOOKUP(B1282,T_DistName[],3,FALSE),"")</f>
        <v/>
      </c>
      <c r="J1282" t="str">
        <f t="shared" si="20"/>
        <v/>
      </c>
    </row>
    <row r="1283" spans="9:10">
      <c r="I1283" t="str">
        <f>_xlfn.IFNA(VLOOKUP(B1283,T_DistName[],3,FALSE),"")</f>
        <v/>
      </c>
      <c r="J1283" t="str">
        <f t="shared" si="20"/>
        <v/>
      </c>
    </row>
    <row r="1284" spans="9:10">
      <c r="I1284" t="str">
        <f>_xlfn.IFNA(VLOOKUP(B1284,T_DistName[],3,FALSE),"")</f>
        <v/>
      </c>
      <c r="J1284" t="str">
        <f t="shared" si="20"/>
        <v/>
      </c>
    </row>
    <row r="1285" spans="9:10">
      <c r="I1285" t="str">
        <f>_xlfn.IFNA(VLOOKUP(B1285,T_DistName[],3,FALSE),"")</f>
        <v/>
      </c>
      <c r="J1285" t="str">
        <f t="shared" si="20"/>
        <v/>
      </c>
    </row>
    <row r="1286" spans="9:10">
      <c r="I1286" t="str">
        <f>_xlfn.IFNA(VLOOKUP(B1286,T_DistName[],3,FALSE),"")</f>
        <v/>
      </c>
      <c r="J1286" t="str">
        <f t="shared" si="20"/>
        <v/>
      </c>
    </row>
    <row r="1287" spans="9:10">
      <c r="I1287" t="str">
        <f>_xlfn.IFNA(VLOOKUP(B1287,T_DistName[],3,FALSE),"")</f>
        <v/>
      </c>
      <c r="J1287" t="str">
        <f t="shared" si="20"/>
        <v/>
      </c>
    </row>
    <row r="1288" spans="9:10">
      <c r="I1288" t="str">
        <f>_xlfn.IFNA(VLOOKUP(B1288,T_DistName[],3,FALSE),"")</f>
        <v/>
      </c>
      <c r="J1288" t="str">
        <f t="shared" si="20"/>
        <v/>
      </c>
    </row>
    <row r="1289" spans="9:10">
      <c r="I1289" t="str">
        <f>_xlfn.IFNA(VLOOKUP(B1289,T_DistName[],3,FALSE),"")</f>
        <v/>
      </c>
      <c r="J1289" t="str">
        <f t="shared" si="20"/>
        <v/>
      </c>
    </row>
    <row r="1290" spans="9:10">
      <c r="I1290" t="str">
        <f>_xlfn.IFNA(VLOOKUP(B1290,T_DistName[],3,FALSE),"")</f>
        <v/>
      </c>
      <c r="J1290" t="str">
        <f t="shared" si="20"/>
        <v/>
      </c>
    </row>
    <row r="1291" spans="9:10">
      <c r="I1291" t="str">
        <f>_xlfn.IFNA(VLOOKUP(B1291,T_DistName[],3,FALSE),"")</f>
        <v/>
      </c>
      <c r="J1291" t="str">
        <f t="shared" si="20"/>
        <v/>
      </c>
    </row>
    <row r="1292" spans="9:10">
      <c r="I1292" t="str">
        <f>_xlfn.IFNA(VLOOKUP(B1292,T_DistName[],3,FALSE),"")</f>
        <v/>
      </c>
      <c r="J1292" t="str">
        <f t="shared" si="20"/>
        <v/>
      </c>
    </row>
    <row r="1293" spans="9:10">
      <c r="I1293" t="str">
        <f>_xlfn.IFNA(VLOOKUP(B1293,T_DistName[],3,FALSE),"")</f>
        <v/>
      </c>
      <c r="J1293" t="str">
        <f t="shared" si="20"/>
        <v/>
      </c>
    </row>
    <row r="1294" spans="9:10">
      <c r="I1294" t="str">
        <f>_xlfn.IFNA(VLOOKUP(B1294,T_DistName[],3,FALSE),"")</f>
        <v/>
      </c>
      <c r="J1294" t="str">
        <f t="shared" si="20"/>
        <v/>
      </c>
    </row>
    <row r="1295" spans="9:10">
      <c r="I1295" t="str">
        <f>_xlfn.IFNA(VLOOKUP(B1295,T_DistName[],3,FALSE),"")</f>
        <v/>
      </c>
      <c r="J1295" t="str">
        <f t="shared" si="20"/>
        <v/>
      </c>
    </row>
    <row r="1296" spans="9:10">
      <c r="I1296" t="str">
        <f>_xlfn.IFNA(VLOOKUP(B1296,T_DistName[],3,FALSE),"")</f>
        <v/>
      </c>
      <c r="J1296" t="str">
        <f t="shared" si="20"/>
        <v/>
      </c>
    </row>
    <row r="1297" spans="9:10">
      <c r="I1297" t="str">
        <f>_xlfn.IFNA(VLOOKUP(B1297,T_DistName[],3,FALSE),"")</f>
        <v/>
      </c>
      <c r="J1297" t="str">
        <f t="shared" si="20"/>
        <v/>
      </c>
    </row>
    <row r="1298" spans="9:10">
      <c r="I1298" t="str">
        <f>_xlfn.IFNA(VLOOKUP(B1298,T_DistName[],3,FALSE),"")</f>
        <v/>
      </c>
      <c r="J1298" t="str">
        <f t="shared" si="20"/>
        <v/>
      </c>
    </row>
    <row r="1299" spans="9:10">
      <c r="I1299" t="str">
        <f>_xlfn.IFNA(VLOOKUP(B1299,T_DistName[],3,FALSE),"")</f>
        <v/>
      </c>
      <c r="J1299" t="str">
        <f t="shared" si="20"/>
        <v/>
      </c>
    </row>
    <row r="1300" spans="9:10">
      <c r="I1300" t="str">
        <f>_xlfn.IFNA(VLOOKUP(B1300,T_DistName[],3,FALSE),"")</f>
        <v/>
      </c>
      <c r="J1300" t="str">
        <f t="shared" si="20"/>
        <v/>
      </c>
    </row>
    <row r="1301" spans="9:10">
      <c r="I1301" t="str">
        <f>_xlfn.IFNA(VLOOKUP(B1301,T_DistName[],3,FALSE),"")</f>
        <v/>
      </c>
      <c r="J1301" t="str">
        <f t="shared" si="20"/>
        <v/>
      </c>
    </row>
    <row r="1302" spans="9:10">
      <c r="I1302" t="str">
        <f>_xlfn.IFNA(VLOOKUP(B1302,T_DistName[],3,FALSE),"")</f>
        <v/>
      </c>
      <c r="J1302" t="str">
        <f t="shared" si="20"/>
        <v/>
      </c>
    </row>
    <row r="1303" spans="9:10">
      <c r="I1303" t="str">
        <f>_xlfn.IFNA(VLOOKUP(B1303,T_DistName[],3,FALSE),"")</f>
        <v/>
      </c>
      <c r="J1303" t="str">
        <f t="shared" si="20"/>
        <v/>
      </c>
    </row>
    <row r="1304" spans="9:10">
      <c r="I1304" t="str">
        <f>_xlfn.IFNA(VLOOKUP(B1304,T_DistName[],3,FALSE),"")</f>
        <v/>
      </c>
      <c r="J1304" t="str">
        <f t="shared" si="20"/>
        <v/>
      </c>
    </row>
    <row r="1305" spans="9:10">
      <c r="I1305" t="str">
        <f>_xlfn.IFNA(VLOOKUP(B1305,T_DistName[],3,FALSE),"")</f>
        <v/>
      </c>
      <c r="J1305" t="str">
        <f t="shared" ref="J1305:J1368" si="21">I1305&amp;F1305</f>
        <v/>
      </c>
    </row>
    <row r="1306" spans="9:10">
      <c r="I1306" t="str">
        <f>_xlfn.IFNA(VLOOKUP(B1306,T_DistName[],3,FALSE),"")</f>
        <v/>
      </c>
      <c r="J1306" t="str">
        <f t="shared" si="21"/>
        <v/>
      </c>
    </row>
    <row r="1307" spans="9:10">
      <c r="I1307" t="str">
        <f>_xlfn.IFNA(VLOOKUP(B1307,T_DistName[],3,FALSE),"")</f>
        <v/>
      </c>
      <c r="J1307" t="str">
        <f t="shared" si="21"/>
        <v/>
      </c>
    </row>
    <row r="1308" spans="9:10">
      <c r="I1308" t="str">
        <f>_xlfn.IFNA(VLOOKUP(B1308,T_DistName[],3,FALSE),"")</f>
        <v/>
      </c>
      <c r="J1308" t="str">
        <f t="shared" si="21"/>
        <v/>
      </c>
    </row>
    <row r="1309" spans="9:10">
      <c r="I1309" t="str">
        <f>_xlfn.IFNA(VLOOKUP(B1309,T_DistName[],3,FALSE),"")</f>
        <v/>
      </c>
      <c r="J1309" t="str">
        <f t="shared" si="21"/>
        <v/>
      </c>
    </row>
    <row r="1310" spans="9:10">
      <c r="I1310" t="str">
        <f>_xlfn.IFNA(VLOOKUP(B1310,T_DistName[],3,FALSE),"")</f>
        <v/>
      </c>
      <c r="J1310" t="str">
        <f t="shared" si="21"/>
        <v/>
      </c>
    </row>
    <row r="1311" spans="9:10">
      <c r="I1311" t="str">
        <f>_xlfn.IFNA(VLOOKUP(B1311,T_DistName[],3,FALSE),"")</f>
        <v/>
      </c>
      <c r="J1311" t="str">
        <f t="shared" si="21"/>
        <v/>
      </c>
    </row>
    <row r="1312" spans="9:10">
      <c r="I1312" t="str">
        <f>_xlfn.IFNA(VLOOKUP(B1312,T_DistName[],3,FALSE),"")</f>
        <v/>
      </c>
      <c r="J1312" t="str">
        <f t="shared" si="21"/>
        <v/>
      </c>
    </row>
    <row r="1313" spans="9:10">
      <c r="I1313" t="str">
        <f>_xlfn.IFNA(VLOOKUP(B1313,T_DistName[],3,FALSE),"")</f>
        <v/>
      </c>
      <c r="J1313" t="str">
        <f t="shared" si="21"/>
        <v/>
      </c>
    </row>
    <row r="1314" spans="9:10">
      <c r="I1314" t="str">
        <f>_xlfn.IFNA(VLOOKUP(B1314,T_DistName[],3,FALSE),"")</f>
        <v/>
      </c>
      <c r="J1314" t="str">
        <f t="shared" si="21"/>
        <v/>
      </c>
    </row>
    <row r="1315" spans="9:10">
      <c r="I1315" t="str">
        <f>_xlfn.IFNA(VLOOKUP(B1315,T_DistName[],3,FALSE),"")</f>
        <v/>
      </c>
      <c r="J1315" t="str">
        <f t="shared" si="21"/>
        <v/>
      </c>
    </row>
    <row r="1316" spans="9:10">
      <c r="I1316" t="str">
        <f>_xlfn.IFNA(VLOOKUP(B1316,T_DistName[],3,FALSE),"")</f>
        <v/>
      </c>
      <c r="J1316" t="str">
        <f t="shared" si="21"/>
        <v/>
      </c>
    </row>
    <row r="1317" spans="9:10">
      <c r="I1317" t="str">
        <f>_xlfn.IFNA(VLOOKUP(B1317,T_DistName[],3,FALSE),"")</f>
        <v/>
      </c>
      <c r="J1317" t="str">
        <f t="shared" si="21"/>
        <v/>
      </c>
    </row>
    <row r="1318" spans="9:10">
      <c r="I1318" t="str">
        <f>_xlfn.IFNA(VLOOKUP(B1318,T_DistName[],3,FALSE),"")</f>
        <v/>
      </c>
      <c r="J1318" t="str">
        <f t="shared" si="21"/>
        <v/>
      </c>
    </row>
    <row r="1319" spans="9:10">
      <c r="I1319" t="str">
        <f>_xlfn.IFNA(VLOOKUP(B1319,T_DistName[],3,FALSE),"")</f>
        <v/>
      </c>
      <c r="J1319" t="str">
        <f t="shared" si="21"/>
        <v/>
      </c>
    </row>
    <row r="1320" spans="9:10">
      <c r="I1320" t="str">
        <f>_xlfn.IFNA(VLOOKUP(B1320,T_DistName[],3,FALSE),"")</f>
        <v/>
      </c>
      <c r="J1320" t="str">
        <f t="shared" si="21"/>
        <v/>
      </c>
    </row>
    <row r="1321" spans="9:10">
      <c r="I1321" t="str">
        <f>_xlfn.IFNA(VLOOKUP(B1321,T_DistName[],3,FALSE),"")</f>
        <v/>
      </c>
      <c r="J1321" t="str">
        <f t="shared" si="21"/>
        <v/>
      </c>
    </row>
    <row r="1322" spans="9:10">
      <c r="I1322" t="str">
        <f>_xlfn.IFNA(VLOOKUP(B1322,T_DistName[],3,FALSE),"")</f>
        <v/>
      </c>
      <c r="J1322" t="str">
        <f t="shared" si="21"/>
        <v/>
      </c>
    </row>
    <row r="1323" spans="9:10">
      <c r="I1323" t="str">
        <f>_xlfn.IFNA(VLOOKUP(B1323,T_DistName[],3,FALSE),"")</f>
        <v/>
      </c>
      <c r="J1323" t="str">
        <f t="shared" si="21"/>
        <v/>
      </c>
    </row>
    <row r="1324" spans="9:10">
      <c r="I1324" t="str">
        <f>_xlfn.IFNA(VLOOKUP(B1324,T_DistName[],3,FALSE),"")</f>
        <v/>
      </c>
      <c r="J1324" t="str">
        <f t="shared" si="21"/>
        <v/>
      </c>
    </row>
    <row r="1325" spans="9:10">
      <c r="I1325" t="str">
        <f>_xlfn.IFNA(VLOOKUP(B1325,T_DistName[],3,FALSE),"")</f>
        <v/>
      </c>
      <c r="J1325" t="str">
        <f t="shared" si="21"/>
        <v/>
      </c>
    </row>
    <row r="1326" spans="9:10">
      <c r="I1326" t="str">
        <f>_xlfn.IFNA(VLOOKUP(B1326,T_DistName[],3,FALSE),"")</f>
        <v/>
      </c>
      <c r="J1326" t="str">
        <f t="shared" si="21"/>
        <v/>
      </c>
    </row>
    <row r="1327" spans="9:10">
      <c r="I1327" t="str">
        <f>_xlfn.IFNA(VLOOKUP(B1327,T_DistName[],3,FALSE),"")</f>
        <v/>
      </c>
      <c r="J1327" t="str">
        <f t="shared" si="21"/>
        <v/>
      </c>
    </row>
    <row r="1328" spans="9:10">
      <c r="I1328" t="str">
        <f>_xlfn.IFNA(VLOOKUP(B1328,T_DistName[],3,FALSE),"")</f>
        <v/>
      </c>
      <c r="J1328" t="str">
        <f t="shared" si="21"/>
        <v/>
      </c>
    </row>
    <row r="1329" spans="9:10">
      <c r="I1329" t="str">
        <f>_xlfn.IFNA(VLOOKUP(B1329,T_DistName[],3,FALSE),"")</f>
        <v/>
      </c>
      <c r="J1329" t="str">
        <f t="shared" si="21"/>
        <v/>
      </c>
    </row>
    <row r="1330" spans="9:10">
      <c r="I1330" t="str">
        <f>_xlfn.IFNA(VLOOKUP(B1330,T_DistName[],3,FALSE),"")</f>
        <v/>
      </c>
      <c r="J1330" t="str">
        <f t="shared" si="21"/>
        <v/>
      </c>
    </row>
    <row r="1331" spans="9:10">
      <c r="I1331" t="str">
        <f>_xlfn.IFNA(VLOOKUP(B1331,T_DistName[],3,FALSE),"")</f>
        <v/>
      </c>
      <c r="J1331" t="str">
        <f t="shared" si="21"/>
        <v/>
      </c>
    </row>
    <row r="1332" spans="9:10">
      <c r="I1332" t="str">
        <f>_xlfn.IFNA(VLOOKUP(B1332,T_DistName[],3,FALSE),"")</f>
        <v/>
      </c>
      <c r="J1332" t="str">
        <f t="shared" si="21"/>
        <v/>
      </c>
    </row>
    <row r="1333" spans="9:10">
      <c r="I1333" t="str">
        <f>_xlfn.IFNA(VLOOKUP(B1333,T_DistName[],3,FALSE),"")</f>
        <v/>
      </c>
      <c r="J1333" t="str">
        <f t="shared" si="21"/>
        <v/>
      </c>
    </row>
    <row r="1334" spans="9:10">
      <c r="I1334" t="str">
        <f>_xlfn.IFNA(VLOOKUP(B1334,T_DistName[],3,FALSE),"")</f>
        <v/>
      </c>
      <c r="J1334" t="str">
        <f t="shared" si="21"/>
        <v/>
      </c>
    </row>
    <row r="1335" spans="9:10">
      <c r="I1335" t="str">
        <f>_xlfn.IFNA(VLOOKUP(B1335,T_DistName[],3,FALSE),"")</f>
        <v/>
      </c>
      <c r="J1335" t="str">
        <f t="shared" si="21"/>
        <v/>
      </c>
    </row>
    <row r="1336" spans="9:10">
      <c r="I1336" t="str">
        <f>_xlfn.IFNA(VLOOKUP(B1336,T_DistName[],3,FALSE),"")</f>
        <v/>
      </c>
      <c r="J1336" t="str">
        <f t="shared" si="21"/>
        <v/>
      </c>
    </row>
    <row r="1337" spans="9:10">
      <c r="I1337" t="str">
        <f>_xlfn.IFNA(VLOOKUP(B1337,T_DistName[],3,FALSE),"")</f>
        <v/>
      </c>
      <c r="J1337" t="str">
        <f t="shared" si="21"/>
        <v/>
      </c>
    </row>
    <row r="1338" spans="9:10">
      <c r="I1338" t="str">
        <f>_xlfn.IFNA(VLOOKUP(B1338,T_DistName[],3,FALSE),"")</f>
        <v/>
      </c>
      <c r="J1338" t="str">
        <f t="shared" si="21"/>
        <v/>
      </c>
    </row>
    <row r="1339" spans="9:10">
      <c r="I1339" t="str">
        <f>_xlfn.IFNA(VLOOKUP(B1339,T_DistName[],3,FALSE),"")</f>
        <v/>
      </c>
      <c r="J1339" t="str">
        <f t="shared" si="21"/>
        <v/>
      </c>
    </row>
    <row r="1340" spans="9:10">
      <c r="I1340" t="str">
        <f>_xlfn.IFNA(VLOOKUP(B1340,T_DistName[],3,FALSE),"")</f>
        <v/>
      </c>
      <c r="J1340" t="str">
        <f t="shared" si="21"/>
        <v/>
      </c>
    </row>
    <row r="1341" spans="9:10">
      <c r="I1341" t="str">
        <f>_xlfn.IFNA(VLOOKUP(B1341,T_DistName[],3,FALSE),"")</f>
        <v/>
      </c>
      <c r="J1341" t="str">
        <f t="shared" si="21"/>
        <v/>
      </c>
    </row>
    <row r="1342" spans="9:10">
      <c r="I1342" t="str">
        <f>_xlfn.IFNA(VLOOKUP(B1342,T_DistName[],3,FALSE),"")</f>
        <v/>
      </c>
      <c r="J1342" t="str">
        <f t="shared" si="21"/>
        <v/>
      </c>
    </row>
    <row r="1343" spans="9:10">
      <c r="I1343" t="str">
        <f>_xlfn.IFNA(VLOOKUP(B1343,T_DistName[],3,FALSE),"")</f>
        <v/>
      </c>
      <c r="J1343" t="str">
        <f t="shared" si="21"/>
        <v/>
      </c>
    </row>
    <row r="1344" spans="9:10">
      <c r="I1344" t="str">
        <f>_xlfn.IFNA(VLOOKUP(B1344,T_DistName[],3,FALSE),"")</f>
        <v/>
      </c>
      <c r="J1344" t="str">
        <f t="shared" si="21"/>
        <v/>
      </c>
    </row>
    <row r="1345" spans="9:10">
      <c r="I1345" t="str">
        <f>_xlfn.IFNA(VLOOKUP(B1345,T_DistName[],3,FALSE),"")</f>
        <v/>
      </c>
      <c r="J1345" t="str">
        <f t="shared" si="21"/>
        <v/>
      </c>
    </row>
    <row r="1346" spans="9:10">
      <c r="I1346" t="str">
        <f>_xlfn.IFNA(VLOOKUP(B1346,T_DistName[],3,FALSE),"")</f>
        <v/>
      </c>
      <c r="J1346" t="str">
        <f t="shared" si="21"/>
        <v/>
      </c>
    </row>
    <row r="1347" spans="9:10">
      <c r="I1347" t="str">
        <f>_xlfn.IFNA(VLOOKUP(B1347,T_DistName[],3,FALSE),"")</f>
        <v/>
      </c>
      <c r="J1347" t="str">
        <f t="shared" si="21"/>
        <v/>
      </c>
    </row>
    <row r="1348" spans="9:10">
      <c r="I1348" t="str">
        <f>_xlfn.IFNA(VLOOKUP(B1348,T_DistName[],3,FALSE),"")</f>
        <v/>
      </c>
      <c r="J1348" t="str">
        <f t="shared" si="21"/>
        <v/>
      </c>
    </row>
    <row r="1349" spans="9:10">
      <c r="I1349" t="str">
        <f>_xlfn.IFNA(VLOOKUP(B1349,T_DistName[],3,FALSE),"")</f>
        <v/>
      </c>
      <c r="J1349" t="str">
        <f t="shared" si="21"/>
        <v/>
      </c>
    </row>
    <row r="1350" spans="9:10">
      <c r="I1350" t="str">
        <f>_xlfn.IFNA(VLOOKUP(B1350,T_DistName[],3,FALSE),"")</f>
        <v/>
      </c>
      <c r="J1350" t="str">
        <f t="shared" si="21"/>
        <v/>
      </c>
    </row>
    <row r="1351" spans="9:10">
      <c r="I1351" t="str">
        <f>_xlfn.IFNA(VLOOKUP(B1351,T_DistName[],3,FALSE),"")</f>
        <v/>
      </c>
      <c r="J1351" t="str">
        <f t="shared" si="21"/>
        <v/>
      </c>
    </row>
    <row r="1352" spans="9:10">
      <c r="I1352" t="str">
        <f>_xlfn.IFNA(VLOOKUP(B1352,T_DistName[],3,FALSE),"")</f>
        <v/>
      </c>
      <c r="J1352" t="str">
        <f t="shared" si="21"/>
        <v/>
      </c>
    </row>
    <row r="1353" spans="9:10">
      <c r="I1353" t="str">
        <f>_xlfn.IFNA(VLOOKUP(B1353,T_DistName[],3,FALSE),"")</f>
        <v/>
      </c>
      <c r="J1353" t="str">
        <f t="shared" si="21"/>
        <v/>
      </c>
    </row>
    <row r="1354" spans="9:10">
      <c r="I1354" t="str">
        <f>_xlfn.IFNA(VLOOKUP(B1354,T_DistName[],3,FALSE),"")</f>
        <v/>
      </c>
      <c r="J1354" t="str">
        <f t="shared" si="21"/>
        <v/>
      </c>
    </row>
    <row r="1355" spans="9:10">
      <c r="I1355" t="str">
        <f>_xlfn.IFNA(VLOOKUP(B1355,T_DistName[],3,FALSE),"")</f>
        <v/>
      </c>
      <c r="J1355" t="str">
        <f t="shared" si="21"/>
        <v/>
      </c>
    </row>
    <row r="1356" spans="9:10">
      <c r="I1356" t="str">
        <f>_xlfn.IFNA(VLOOKUP(B1356,T_DistName[],3,FALSE),"")</f>
        <v/>
      </c>
      <c r="J1356" t="str">
        <f t="shared" si="21"/>
        <v/>
      </c>
    </row>
    <row r="1357" spans="9:10">
      <c r="I1357" t="str">
        <f>_xlfn.IFNA(VLOOKUP(B1357,T_DistName[],3,FALSE),"")</f>
        <v/>
      </c>
      <c r="J1357" t="str">
        <f t="shared" si="21"/>
        <v/>
      </c>
    </row>
    <row r="1358" spans="9:10">
      <c r="I1358" t="str">
        <f>_xlfn.IFNA(VLOOKUP(B1358,T_DistName[],3,FALSE),"")</f>
        <v/>
      </c>
      <c r="J1358" t="str">
        <f t="shared" si="21"/>
        <v/>
      </c>
    </row>
    <row r="1359" spans="9:10">
      <c r="I1359" t="str">
        <f>_xlfn.IFNA(VLOOKUP(B1359,T_DistName[],3,FALSE),"")</f>
        <v/>
      </c>
      <c r="J1359" t="str">
        <f t="shared" si="21"/>
        <v/>
      </c>
    </row>
    <row r="1360" spans="9:10">
      <c r="I1360" t="str">
        <f>_xlfn.IFNA(VLOOKUP(B1360,T_DistName[],3,FALSE),"")</f>
        <v/>
      </c>
      <c r="J1360" t="str">
        <f t="shared" si="21"/>
        <v/>
      </c>
    </row>
    <row r="1361" spans="9:10">
      <c r="I1361" t="str">
        <f>_xlfn.IFNA(VLOOKUP(B1361,T_DistName[],3,FALSE),"")</f>
        <v/>
      </c>
      <c r="J1361" t="str">
        <f t="shared" si="21"/>
        <v/>
      </c>
    </row>
    <row r="1362" spans="9:10">
      <c r="I1362" t="str">
        <f>_xlfn.IFNA(VLOOKUP(B1362,T_DistName[],3,FALSE),"")</f>
        <v/>
      </c>
      <c r="J1362" t="str">
        <f t="shared" si="21"/>
        <v/>
      </c>
    </row>
    <row r="1363" spans="9:10">
      <c r="I1363" t="str">
        <f>_xlfn.IFNA(VLOOKUP(B1363,T_DistName[],3,FALSE),"")</f>
        <v/>
      </c>
      <c r="J1363" t="str">
        <f t="shared" si="21"/>
        <v/>
      </c>
    </row>
    <row r="1364" spans="9:10">
      <c r="I1364" t="str">
        <f>_xlfn.IFNA(VLOOKUP(B1364,T_DistName[],3,FALSE),"")</f>
        <v/>
      </c>
      <c r="J1364" t="str">
        <f t="shared" si="21"/>
        <v/>
      </c>
    </row>
    <row r="1365" spans="9:10">
      <c r="I1365" t="str">
        <f>_xlfn.IFNA(VLOOKUP(B1365,T_DistName[],3,FALSE),"")</f>
        <v/>
      </c>
      <c r="J1365" t="str">
        <f t="shared" si="21"/>
        <v/>
      </c>
    </row>
    <row r="1366" spans="9:10">
      <c r="I1366" t="str">
        <f>_xlfn.IFNA(VLOOKUP(B1366,T_DistName[],3,FALSE),"")</f>
        <v/>
      </c>
      <c r="J1366" t="str">
        <f t="shared" si="21"/>
        <v/>
      </c>
    </row>
    <row r="1367" spans="9:10">
      <c r="I1367" t="str">
        <f>_xlfn.IFNA(VLOOKUP(B1367,T_DistName[],3,FALSE),"")</f>
        <v/>
      </c>
      <c r="J1367" t="str">
        <f t="shared" si="21"/>
        <v/>
      </c>
    </row>
    <row r="1368" spans="9:10">
      <c r="I1368" t="str">
        <f>_xlfn.IFNA(VLOOKUP(B1368,T_DistName[],3,FALSE),"")</f>
        <v/>
      </c>
      <c r="J1368" t="str">
        <f t="shared" si="21"/>
        <v/>
      </c>
    </row>
    <row r="1369" spans="9:10">
      <c r="I1369" t="str">
        <f>_xlfn.IFNA(VLOOKUP(B1369,T_DistName[],3,FALSE),"")</f>
        <v/>
      </c>
      <c r="J1369" t="str">
        <f t="shared" ref="J1369:J1432" si="22">I1369&amp;F1369</f>
        <v/>
      </c>
    </row>
    <row r="1370" spans="9:10">
      <c r="I1370" t="str">
        <f>_xlfn.IFNA(VLOOKUP(B1370,T_DistName[],3,FALSE),"")</f>
        <v/>
      </c>
      <c r="J1370" t="str">
        <f t="shared" si="22"/>
        <v/>
      </c>
    </row>
    <row r="1371" spans="9:10">
      <c r="I1371" t="str">
        <f>_xlfn.IFNA(VLOOKUP(B1371,T_DistName[],3,FALSE),"")</f>
        <v/>
      </c>
      <c r="J1371" t="str">
        <f t="shared" si="22"/>
        <v/>
      </c>
    </row>
    <row r="1372" spans="9:10">
      <c r="I1372" t="str">
        <f>_xlfn.IFNA(VLOOKUP(B1372,T_DistName[],3,FALSE),"")</f>
        <v/>
      </c>
      <c r="J1372" t="str">
        <f t="shared" si="22"/>
        <v/>
      </c>
    </row>
    <row r="1373" spans="9:10">
      <c r="I1373" t="str">
        <f>_xlfn.IFNA(VLOOKUP(B1373,T_DistName[],3,FALSE),"")</f>
        <v/>
      </c>
      <c r="J1373" t="str">
        <f t="shared" si="22"/>
        <v/>
      </c>
    </row>
    <row r="1374" spans="9:10">
      <c r="I1374" t="str">
        <f>_xlfn.IFNA(VLOOKUP(B1374,T_DistName[],3,FALSE),"")</f>
        <v/>
      </c>
      <c r="J1374" t="str">
        <f t="shared" si="22"/>
        <v/>
      </c>
    </row>
    <row r="1375" spans="9:10">
      <c r="I1375" t="str">
        <f>_xlfn.IFNA(VLOOKUP(B1375,T_DistName[],3,FALSE),"")</f>
        <v/>
      </c>
      <c r="J1375" t="str">
        <f t="shared" si="22"/>
        <v/>
      </c>
    </row>
    <row r="1376" spans="9:10">
      <c r="I1376" t="str">
        <f>_xlfn.IFNA(VLOOKUP(B1376,T_DistName[],3,FALSE),"")</f>
        <v/>
      </c>
      <c r="J1376" t="str">
        <f t="shared" si="22"/>
        <v/>
      </c>
    </row>
    <row r="1377" spans="9:10">
      <c r="I1377" t="str">
        <f>_xlfn.IFNA(VLOOKUP(B1377,T_DistName[],3,FALSE),"")</f>
        <v/>
      </c>
      <c r="J1377" t="str">
        <f t="shared" si="22"/>
        <v/>
      </c>
    </row>
    <row r="1378" spans="9:10">
      <c r="I1378" t="str">
        <f>_xlfn.IFNA(VLOOKUP(B1378,T_DistName[],3,FALSE),"")</f>
        <v/>
      </c>
      <c r="J1378" t="str">
        <f t="shared" si="22"/>
        <v/>
      </c>
    </row>
    <row r="1379" spans="9:10">
      <c r="I1379" t="str">
        <f>_xlfn.IFNA(VLOOKUP(B1379,T_DistName[],3,FALSE),"")</f>
        <v/>
      </c>
      <c r="J1379" t="str">
        <f t="shared" si="22"/>
        <v/>
      </c>
    </row>
    <row r="1380" spans="9:10">
      <c r="I1380" t="str">
        <f>_xlfn.IFNA(VLOOKUP(B1380,T_DistName[],3,FALSE),"")</f>
        <v/>
      </c>
      <c r="J1380" t="str">
        <f t="shared" si="22"/>
        <v/>
      </c>
    </row>
    <row r="1381" spans="9:10">
      <c r="I1381" t="str">
        <f>_xlfn.IFNA(VLOOKUP(B1381,T_DistName[],3,FALSE),"")</f>
        <v/>
      </c>
      <c r="J1381" t="str">
        <f t="shared" si="22"/>
        <v/>
      </c>
    </row>
    <row r="1382" spans="9:10">
      <c r="I1382" t="str">
        <f>_xlfn.IFNA(VLOOKUP(B1382,T_DistName[],3,FALSE),"")</f>
        <v/>
      </c>
      <c r="J1382" t="str">
        <f t="shared" si="22"/>
        <v/>
      </c>
    </row>
    <row r="1383" spans="9:10">
      <c r="I1383" t="str">
        <f>_xlfn.IFNA(VLOOKUP(B1383,T_DistName[],3,FALSE),"")</f>
        <v/>
      </c>
      <c r="J1383" t="str">
        <f t="shared" si="22"/>
        <v/>
      </c>
    </row>
    <row r="1384" spans="9:10">
      <c r="I1384" t="str">
        <f>_xlfn.IFNA(VLOOKUP(B1384,T_DistName[],3,FALSE),"")</f>
        <v/>
      </c>
      <c r="J1384" t="str">
        <f t="shared" si="22"/>
        <v/>
      </c>
    </row>
    <row r="1385" spans="9:10">
      <c r="I1385" t="str">
        <f>_xlfn.IFNA(VLOOKUP(B1385,T_DistName[],3,FALSE),"")</f>
        <v/>
      </c>
      <c r="J1385" t="str">
        <f t="shared" si="22"/>
        <v/>
      </c>
    </row>
    <row r="1386" spans="9:10">
      <c r="I1386" t="str">
        <f>_xlfn.IFNA(VLOOKUP(B1386,T_DistName[],3,FALSE),"")</f>
        <v/>
      </c>
      <c r="J1386" t="str">
        <f t="shared" si="22"/>
        <v/>
      </c>
    </row>
    <row r="1387" spans="9:10">
      <c r="I1387" t="str">
        <f>_xlfn.IFNA(VLOOKUP(B1387,T_DistName[],3,FALSE),"")</f>
        <v/>
      </c>
      <c r="J1387" t="str">
        <f t="shared" si="22"/>
        <v/>
      </c>
    </row>
    <row r="1388" spans="9:10">
      <c r="I1388" t="str">
        <f>_xlfn.IFNA(VLOOKUP(B1388,T_DistName[],3,FALSE),"")</f>
        <v/>
      </c>
      <c r="J1388" t="str">
        <f t="shared" si="22"/>
        <v/>
      </c>
    </row>
    <row r="1389" spans="9:10">
      <c r="I1389" t="str">
        <f>_xlfn.IFNA(VLOOKUP(B1389,T_DistName[],3,FALSE),"")</f>
        <v/>
      </c>
      <c r="J1389" t="str">
        <f t="shared" si="22"/>
        <v/>
      </c>
    </row>
    <row r="1390" spans="9:10">
      <c r="I1390" t="str">
        <f>_xlfn.IFNA(VLOOKUP(B1390,T_DistName[],3,FALSE),"")</f>
        <v/>
      </c>
      <c r="J1390" t="str">
        <f t="shared" si="22"/>
        <v/>
      </c>
    </row>
    <row r="1391" spans="9:10">
      <c r="I1391" t="str">
        <f>_xlfn.IFNA(VLOOKUP(B1391,T_DistName[],3,FALSE),"")</f>
        <v/>
      </c>
      <c r="J1391" t="str">
        <f t="shared" si="22"/>
        <v/>
      </c>
    </row>
    <row r="1392" spans="9:10">
      <c r="I1392" t="str">
        <f>_xlfn.IFNA(VLOOKUP(B1392,T_DistName[],3,FALSE),"")</f>
        <v/>
      </c>
      <c r="J1392" t="str">
        <f t="shared" si="22"/>
        <v/>
      </c>
    </row>
    <row r="1393" spans="9:10">
      <c r="I1393" t="str">
        <f>_xlfn.IFNA(VLOOKUP(B1393,T_DistName[],3,FALSE),"")</f>
        <v/>
      </c>
      <c r="J1393" t="str">
        <f t="shared" si="22"/>
        <v/>
      </c>
    </row>
    <row r="1394" spans="9:10">
      <c r="I1394" t="str">
        <f>_xlfn.IFNA(VLOOKUP(B1394,T_DistName[],3,FALSE),"")</f>
        <v/>
      </c>
      <c r="J1394" t="str">
        <f t="shared" si="22"/>
        <v/>
      </c>
    </row>
    <row r="1395" spans="9:10">
      <c r="I1395" t="str">
        <f>_xlfn.IFNA(VLOOKUP(B1395,T_DistName[],3,FALSE),"")</f>
        <v/>
      </c>
      <c r="J1395" t="str">
        <f t="shared" si="22"/>
        <v/>
      </c>
    </row>
    <row r="1396" spans="9:10">
      <c r="I1396" t="str">
        <f>_xlfn.IFNA(VLOOKUP(B1396,T_DistName[],3,FALSE),"")</f>
        <v/>
      </c>
      <c r="J1396" t="str">
        <f t="shared" si="22"/>
        <v/>
      </c>
    </row>
    <row r="1397" spans="9:10">
      <c r="I1397" t="str">
        <f>_xlfn.IFNA(VLOOKUP(B1397,T_DistName[],3,FALSE),"")</f>
        <v/>
      </c>
      <c r="J1397" t="str">
        <f t="shared" si="22"/>
        <v/>
      </c>
    </row>
    <row r="1398" spans="9:10">
      <c r="I1398" t="str">
        <f>_xlfn.IFNA(VLOOKUP(B1398,T_DistName[],3,FALSE),"")</f>
        <v/>
      </c>
      <c r="J1398" t="str">
        <f t="shared" si="22"/>
        <v/>
      </c>
    </row>
    <row r="1399" spans="9:10">
      <c r="I1399" t="str">
        <f>_xlfn.IFNA(VLOOKUP(B1399,T_DistName[],3,FALSE),"")</f>
        <v/>
      </c>
      <c r="J1399" t="str">
        <f t="shared" si="22"/>
        <v/>
      </c>
    </row>
    <row r="1400" spans="9:10">
      <c r="I1400" t="str">
        <f>_xlfn.IFNA(VLOOKUP(B1400,T_DistName[],3,FALSE),"")</f>
        <v/>
      </c>
      <c r="J1400" t="str">
        <f t="shared" si="22"/>
        <v/>
      </c>
    </row>
    <row r="1401" spans="9:10">
      <c r="I1401" t="str">
        <f>_xlfn.IFNA(VLOOKUP(B1401,T_DistName[],3,FALSE),"")</f>
        <v/>
      </c>
      <c r="J1401" t="str">
        <f t="shared" si="22"/>
        <v/>
      </c>
    </row>
    <row r="1402" spans="9:10">
      <c r="I1402" t="str">
        <f>_xlfn.IFNA(VLOOKUP(B1402,T_DistName[],3,FALSE),"")</f>
        <v/>
      </c>
      <c r="J1402" t="str">
        <f t="shared" si="22"/>
        <v/>
      </c>
    </row>
    <row r="1403" spans="9:10">
      <c r="I1403" t="str">
        <f>_xlfn.IFNA(VLOOKUP(B1403,T_DistName[],3,FALSE),"")</f>
        <v/>
      </c>
      <c r="J1403" t="str">
        <f t="shared" si="22"/>
        <v/>
      </c>
    </row>
    <row r="1404" spans="9:10">
      <c r="I1404" t="str">
        <f>_xlfn.IFNA(VLOOKUP(B1404,T_DistName[],3,FALSE),"")</f>
        <v/>
      </c>
      <c r="J1404" t="str">
        <f t="shared" si="22"/>
        <v/>
      </c>
    </row>
    <row r="1405" spans="9:10">
      <c r="I1405" t="str">
        <f>_xlfn.IFNA(VLOOKUP(B1405,T_DistName[],3,FALSE),"")</f>
        <v/>
      </c>
      <c r="J1405" t="str">
        <f t="shared" si="22"/>
        <v/>
      </c>
    </row>
    <row r="1406" spans="9:10">
      <c r="I1406" t="str">
        <f>_xlfn.IFNA(VLOOKUP(B1406,T_DistName[],3,FALSE),"")</f>
        <v/>
      </c>
      <c r="J1406" t="str">
        <f t="shared" si="22"/>
        <v/>
      </c>
    </row>
    <row r="1407" spans="9:10">
      <c r="I1407" t="str">
        <f>_xlfn.IFNA(VLOOKUP(B1407,T_DistName[],3,FALSE),"")</f>
        <v/>
      </c>
      <c r="J1407" t="str">
        <f t="shared" si="22"/>
        <v/>
      </c>
    </row>
    <row r="1408" spans="9:10">
      <c r="I1408" t="str">
        <f>_xlfn.IFNA(VLOOKUP(B1408,T_DistName[],3,FALSE),"")</f>
        <v/>
      </c>
      <c r="J1408" t="str">
        <f t="shared" si="22"/>
        <v/>
      </c>
    </row>
    <row r="1409" spans="9:10">
      <c r="I1409" t="str">
        <f>_xlfn.IFNA(VLOOKUP(B1409,T_DistName[],3,FALSE),"")</f>
        <v/>
      </c>
      <c r="J1409" t="str">
        <f t="shared" si="22"/>
        <v/>
      </c>
    </row>
    <row r="1410" spans="9:10">
      <c r="I1410" t="str">
        <f>_xlfn.IFNA(VLOOKUP(B1410,T_DistName[],3,FALSE),"")</f>
        <v/>
      </c>
      <c r="J1410" t="str">
        <f t="shared" si="22"/>
        <v/>
      </c>
    </row>
    <row r="1411" spans="9:10">
      <c r="I1411" t="str">
        <f>_xlfn.IFNA(VLOOKUP(B1411,T_DistName[],3,FALSE),"")</f>
        <v/>
      </c>
      <c r="J1411" t="str">
        <f t="shared" si="22"/>
        <v/>
      </c>
    </row>
    <row r="1412" spans="9:10">
      <c r="I1412" t="str">
        <f>_xlfn.IFNA(VLOOKUP(B1412,T_DistName[],3,FALSE),"")</f>
        <v/>
      </c>
      <c r="J1412" t="str">
        <f t="shared" si="22"/>
        <v/>
      </c>
    </row>
    <row r="1413" spans="9:10">
      <c r="I1413" t="str">
        <f>_xlfn.IFNA(VLOOKUP(B1413,T_DistName[],3,FALSE),"")</f>
        <v/>
      </c>
      <c r="J1413" t="str">
        <f t="shared" si="22"/>
        <v/>
      </c>
    </row>
    <row r="1414" spans="9:10">
      <c r="I1414" t="str">
        <f>_xlfn.IFNA(VLOOKUP(B1414,T_DistName[],3,FALSE),"")</f>
        <v/>
      </c>
      <c r="J1414" t="str">
        <f t="shared" si="22"/>
        <v/>
      </c>
    </row>
    <row r="1415" spans="9:10">
      <c r="I1415" t="str">
        <f>_xlfn.IFNA(VLOOKUP(B1415,T_DistName[],3,FALSE),"")</f>
        <v/>
      </c>
      <c r="J1415" t="str">
        <f t="shared" si="22"/>
        <v/>
      </c>
    </row>
    <row r="1416" spans="9:10">
      <c r="I1416" t="str">
        <f>_xlfn.IFNA(VLOOKUP(B1416,T_DistName[],3,FALSE),"")</f>
        <v/>
      </c>
      <c r="J1416" t="str">
        <f t="shared" si="22"/>
        <v/>
      </c>
    </row>
    <row r="1417" spans="9:10">
      <c r="I1417" t="str">
        <f>_xlfn.IFNA(VLOOKUP(B1417,T_DistName[],3,FALSE),"")</f>
        <v/>
      </c>
      <c r="J1417" t="str">
        <f t="shared" si="22"/>
        <v/>
      </c>
    </row>
    <row r="1418" spans="9:10">
      <c r="I1418" t="str">
        <f>_xlfn.IFNA(VLOOKUP(B1418,T_DistName[],3,FALSE),"")</f>
        <v/>
      </c>
      <c r="J1418" t="str">
        <f t="shared" si="22"/>
        <v/>
      </c>
    </row>
    <row r="1419" spans="9:10">
      <c r="I1419" t="str">
        <f>_xlfn.IFNA(VLOOKUP(B1419,T_DistName[],3,FALSE),"")</f>
        <v/>
      </c>
      <c r="J1419" t="str">
        <f t="shared" si="22"/>
        <v/>
      </c>
    </row>
    <row r="1420" spans="9:10">
      <c r="I1420" t="str">
        <f>_xlfn.IFNA(VLOOKUP(B1420,T_DistName[],3,FALSE),"")</f>
        <v/>
      </c>
      <c r="J1420" t="str">
        <f t="shared" si="22"/>
        <v/>
      </c>
    </row>
    <row r="1421" spans="9:10">
      <c r="I1421" t="str">
        <f>_xlfn.IFNA(VLOOKUP(B1421,T_DistName[],3,FALSE),"")</f>
        <v/>
      </c>
      <c r="J1421" t="str">
        <f t="shared" si="22"/>
        <v/>
      </c>
    </row>
    <row r="1422" spans="9:10">
      <c r="I1422" t="str">
        <f>_xlfn.IFNA(VLOOKUP(B1422,T_DistName[],3,FALSE),"")</f>
        <v/>
      </c>
      <c r="J1422" t="str">
        <f t="shared" si="22"/>
        <v/>
      </c>
    </row>
    <row r="1423" spans="9:10">
      <c r="I1423" t="str">
        <f>_xlfn.IFNA(VLOOKUP(B1423,T_DistName[],3,FALSE),"")</f>
        <v/>
      </c>
      <c r="J1423" t="str">
        <f t="shared" si="22"/>
        <v/>
      </c>
    </row>
    <row r="1424" spans="9:10">
      <c r="I1424" t="str">
        <f>_xlfn.IFNA(VLOOKUP(B1424,T_DistName[],3,FALSE),"")</f>
        <v/>
      </c>
      <c r="J1424" t="str">
        <f t="shared" si="22"/>
        <v/>
      </c>
    </row>
    <row r="1425" spans="9:10">
      <c r="I1425" t="str">
        <f>_xlfn.IFNA(VLOOKUP(B1425,T_DistName[],3,FALSE),"")</f>
        <v/>
      </c>
      <c r="J1425" t="str">
        <f t="shared" si="22"/>
        <v/>
      </c>
    </row>
    <row r="1426" spans="9:10">
      <c r="I1426" t="str">
        <f>_xlfn.IFNA(VLOOKUP(B1426,T_DistName[],3,FALSE),"")</f>
        <v/>
      </c>
      <c r="J1426" t="str">
        <f t="shared" si="22"/>
        <v/>
      </c>
    </row>
    <row r="1427" spans="9:10">
      <c r="I1427" t="str">
        <f>_xlfn.IFNA(VLOOKUP(B1427,T_DistName[],3,FALSE),"")</f>
        <v/>
      </c>
      <c r="J1427" t="str">
        <f t="shared" si="22"/>
        <v/>
      </c>
    </row>
    <row r="1428" spans="9:10">
      <c r="I1428" t="str">
        <f>_xlfn.IFNA(VLOOKUP(B1428,T_DistName[],3,FALSE),"")</f>
        <v/>
      </c>
      <c r="J1428" t="str">
        <f t="shared" si="22"/>
        <v/>
      </c>
    </row>
    <row r="1429" spans="9:10">
      <c r="I1429" t="str">
        <f>_xlfn.IFNA(VLOOKUP(B1429,T_DistName[],3,FALSE),"")</f>
        <v/>
      </c>
      <c r="J1429" t="str">
        <f t="shared" si="22"/>
        <v/>
      </c>
    </row>
    <row r="1430" spans="9:10">
      <c r="I1430" t="str">
        <f>_xlfn.IFNA(VLOOKUP(B1430,T_DistName[],3,FALSE),"")</f>
        <v/>
      </c>
      <c r="J1430" t="str">
        <f t="shared" si="22"/>
        <v/>
      </c>
    </row>
    <row r="1431" spans="9:10">
      <c r="I1431" t="str">
        <f>_xlfn.IFNA(VLOOKUP(B1431,T_DistName[],3,FALSE),"")</f>
        <v/>
      </c>
      <c r="J1431" t="str">
        <f t="shared" si="22"/>
        <v/>
      </c>
    </row>
    <row r="1432" spans="9:10">
      <c r="I1432" t="str">
        <f>_xlfn.IFNA(VLOOKUP(B1432,T_DistName[],3,FALSE),"")</f>
        <v/>
      </c>
      <c r="J1432" t="str">
        <f t="shared" si="22"/>
        <v/>
      </c>
    </row>
    <row r="1433" spans="9:10">
      <c r="I1433" t="str">
        <f>_xlfn.IFNA(VLOOKUP(B1433,T_DistName[],3,FALSE),"")</f>
        <v/>
      </c>
      <c r="J1433" t="str">
        <f t="shared" ref="J1433:J1496" si="23">I1433&amp;F1433</f>
        <v/>
      </c>
    </row>
    <row r="1434" spans="9:10">
      <c r="I1434" t="str">
        <f>_xlfn.IFNA(VLOOKUP(B1434,T_DistName[],3,FALSE),"")</f>
        <v/>
      </c>
      <c r="J1434" t="str">
        <f t="shared" si="23"/>
        <v/>
      </c>
    </row>
    <row r="1435" spans="9:10">
      <c r="I1435" t="str">
        <f>_xlfn.IFNA(VLOOKUP(B1435,T_DistName[],3,FALSE),"")</f>
        <v/>
      </c>
      <c r="J1435" t="str">
        <f t="shared" si="23"/>
        <v/>
      </c>
    </row>
    <row r="1436" spans="9:10">
      <c r="I1436" t="str">
        <f>_xlfn.IFNA(VLOOKUP(B1436,T_DistName[],3,FALSE),"")</f>
        <v/>
      </c>
      <c r="J1436" t="str">
        <f t="shared" si="23"/>
        <v/>
      </c>
    </row>
    <row r="1437" spans="9:10">
      <c r="I1437" t="str">
        <f>_xlfn.IFNA(VLOOKUP(B1437,T_DistName[],3,FALSE),"")</f>
        <v/>
      </c>
      <c r="J1437" t="str">
        <f t="shared" si="23"/>
        <v/>
      </c>
    </row>
    <row r="1438" spans="9:10">
      <c r="I1438" t="str">
        <f>_xlfn.IFNA(VLOOKUP(B1438,T_DistName[],3,FALSE),"")</f>
        <v/>
      </c>
      <c r="J1438" t="str">
        <f t="shared" si="23"/>
        <v/>
      </c>
    </row>
    <row r="1439" spans="9:10">
      <c r="I1439" t="str">
        <f>_xlfn.IFNA(VLOOKUP(B1439,T_DistName[],3,FALSE),"")</f>
        <v/>
      </c>
      <c r="J1439" t="str">
        <f t="shared" si="23"/>
        <v/>
      </c>
    </row>
    <row r="1440" spans="9:10">
      <c r="I1440" t="str">
        <f>_xlfn.IFNA(VLOOKUP(B1440,T_DistName[],3,FALSE),"")</f>
        <v/>
      </c>
      <c r="J1440" t="str">
        <f t="shared" si="23"/>
        <v/>
      </c>
    </row>
    <row r="1441" spans="9:10">
      <c r="I1441" t="str">
        <f>_xlfn.IFNA(VLOOKUP(B1441,T_DistName[],3,FALSE),"")</f>
        <v/>
      </c>
      <c r="J1441" t="str">
        <f t="shared" si="23"/>
        <v/>
      </c>
    </row>
    <row r="1442" spans="9:10">
      <c r="I1442" t="str">
        <f>_xlfn.IFNA(VLOOKUP(B1442,T_DistName[],3,FALSE),"")</f>
        <v/>
      </c>
      <c r="J1442" t="str">
        <f t="shared" si="23"/>
        <v/>
      </c>
    </row>
    <row r="1443" spans="9:10">
      <c r="I1443" t="str">
        <f>_xlfn.IFNA(VLOOKUP(B1443,T_DistName[],3,FALSE),"")</f>
        <v/>
      </c>
      <c r="J1443" t="str">
        <f t="shared" si="23"/>
        <v/>
      </c>
    </row>
    <row r="1444" spans="9:10">
      <c r="I1444" t="str">
        <f>_xlfn.IFNA(VLOOKUP(B1444,T_DistName[],3,FALSE),"")</f>
        <v/>
      </c>
      <c r="J1444" t="str">
        <f t="shared" si="23"/>
        <v/>
      </c>
    </row>
    <row r="1445" spans="9:10">
      <c r="I1445" t="str">
        <f>_xlfn.IFNA(VLOOKUP(B1445,T_DistName[],3,FALSE),"")</f>
        <v/>
      </c>
      <c r="J1445" t="str">
        <f t="shared" si="23"/>
        <v/>
      </c>
    </row>
    <row r="1446" spans="9:10">
      <c r="I1446" t="str">
        <f>_xlfn.IFNA(VLOOKUP(B1446,T_DistName[],3,FALSE),"")</f>
        <v/>
      </c>
      <c r="J1446" t="str">
        <f t="shared" si="23"/>
        <v/>
      </c>
    </row>
    <row r="1447" spans="9:10">
      <c r="I1447" t="str">
        <f>_xlfn.IFNA(VLOOKUP(B1447,T_DistName[],3,FALSE),"")</f>
        <v/>
      </c>
      <c r="J1447" t="str">
        <f t="shared" si="23"/>
        <v/>
      </c>
    </row>
    <row r="1448" spans="9:10">
      <c r="I1448" t="str">
        <f>_xlfn.IFNA(VLOOKUP(B1448,T_DistName[],3,FALSE),"")</f>
        <v/>
      </c>
      <c r="J1448" t="str">
        <f t="shared" si="23"/>
        <v/>
      </c>
    </row>
    <row r="1449" spans="9:10">
      <c r="I1449" t="str">
        <f>_xlfn.IFNA(VLOOKUP(B1449,T_DistName[],3,FALSE),"")</f>
        <v/>
      </c>
      <c r="J1449" t="str">
        <f t="shared" si="23"/>
        <v/>
      </c>
    </row>
    <row r="1450" spans="9:10">
      <c r="I1450" t="str">
        <f>_xlfn.IFNA(VLOOKUP(B1450,T_DistName[],3,FALSE),"")</f>
        <v/>
      </c>
      <c r="J1450" t="str">
        <f t="shared" si="23"/>
        <v/>
      </c>
    </row>
    <row r="1451" spans="9:10">
      <c r="I1451" t="str">
        <f>_xlfn.IFNA(VLOOKUP(B1451,T_DistName[],3,FALSE),"")</f>
        <v/>
      </c>
      <c r="J1451" t="str">
        <f t="shared" si="23"/>
        <v/>
      </c>
    </row>
    <row r="1452" spans="9:10">
      <c r="I1452" t="str">
        <f>_xlfn.IFNA(VLOOKUP(B1452,T_DistName[],3,FALSE),"")</f>
        <v/>
      </c>
      <c r="J1452" t="str">
        <f t="shared" si="23"/>
        <v/>
      </c>
    </row>
    <row r="1453" spans="9:10">
      <c r="I1453" t="str">
        <f>_xlfn.IFNA(VLOOKUP(B1453,T_DistName[],3,FALSE),"")</f>
        <v/>
      </c>
      <c r="J1453" t="str">
        <f t="shared" si="23"/>
        <v/>
      </c>
    </row>
    <row r="1454" spans="9:10">
      <c r="I1454" t="str">
        <f>_xlfn.IFNA(VLOOKUP(B1454,T_DistName[],3,FALSE),"")</f>
        <v/>
      </c>
      <c r="J1454" t="str">
        <f t="shared" si="23"/>
        <v/>
      </c>
    </row>
    <row r="1455" spans="9:10">
      <c r="I1455" t="str">
        <f>_xlfn.IFNA(VLOOKUP(B1455,T_DistName[],3,FALSE),"")</f>
        <v/>
      </c>
      <c r="J1455" t="str">
        <f t="shared" si="23"/>
        <v/>
      </c>
    </row>
    <row r="1456" spans="9:10">
      <c r="I1456" t="str">
        <f>_xlfn.IFNA(VLOOKUP(B1456,T_DistName[],3,FALSE),"")</f>
        <v/>
      </c>
      <c r="J1456" t="str">
        <f t="shared" si="23"/>
        <v/>
      </c>
    </row>
    <row r="1457" spans="9:10">
      <c r="I1457" t="str">
        <f>_xlfn.IFNA(VLOOKUP(B1457,T_DistName[],3,FALSE),"")</f>
        <v/>
      </c>
      <c r="J1457" t="str">
        <f t="shared" si="23"/>
        <v/>
      </c>
    </row>
    <row r="1458" spans="9:10">
      <c r="I1458" t="str">
        <f>_xlfn.IFNA(VLOOKUP(B1458,T_DistName[],3,FALSE),"")</f>
        <v/>
      </c>
      <c r="J1458" t="str">
        <f t="shared" si="23"/>
        <v/>
      </c>
    </row>
    <row r="1459" spans="9:10">
      <c r="I1459" t="str">
        <f>_xlfn.IFNA(VLOOKUP(B1459,T_DistName[],3,FALSE),"")</f>
        <v/>
      </c>
      <c r="J1459" t="str">
        <f t="shared" si="23"/>
        <v/>
      </c>
    </row>
    <row r="1460" spans="9:10">
      <c r="I1460" t="str">
        <f>_xlfn.IFNA(VLOOKUP(B1460,T_DistName[],3,FALSE),"")</f>
        <v/>
      </c>
      <c r="J1460" t="str">
        <f t="shared" si="23"/>
        <v/>
      </c>
    </row>
    <row r="1461" spans="9:10">
      <c r="I1461" t="str">
        <f>_xlfn.IFNA(VLOOKUP(B1461,T_DistName[],3,FALSE),"")</f>
        <v/>
      </c>
      <c r="J1461" t="str">
        <f t="shared" si="23"/>
        <v/>
      </c>
    </row>
    <row r="1462" spans="9:10">
      <c r="I1462" t="str">
        <f>_xlfn.IFNA(VLOOKUP(B1462,T_DistName[],3,FALSE),"")</f>
        <v/>
      </c>
      <c r="J1462" t="str">
        <f t="shared" si="23"/>
        <v/>
      </c>
    </row>
    <row r="1463" spans="9:10">
      <c r="I1463" t="str">
        <f>_xlfn.IFNA(VLOOKUP(B1463,T_DistName[],3,FALSE),"")</f>
        <v/>
      </c>
      <c r="J1463" t="str">
        <f t="shared" si="23"/>
        <v/>
      </c>
    </row>
    <row r="1464" spans="9:10">
      <c r="I1464" t="str">
        <f>_xlfn.IFNA(VLOOKUP(B1464,T_DistName[],3,FALSE),"")</f>
        <v/>
      </c>
      <c r="J1464" t="str">
        <f t="shared" si="23"/>
        <v/>
      </c>
    </row>
    <row r="1465" spans="9:10">
      <c r="I1465" t="str">
        <f>_xlfn.IFNA(VLOOKUP(B1465,T_DistName[],3,FALSE),"")</f>
        <v/>
      </c>
      <c r="J1465" t="str">
        <f t="shared" si="23"/>
        <v/>
      </c>
    </row>
    <row r="1466" spans="9:10">
      <c r="I1466" t="str">
        <f>_xlfn.IFNA(VLOOKUP(B1466,T_DistName[],3,FALSE),"")</f>
        <v/>
      </c>
      <c r="J1466" t="str">
        <f t="shared" si="23"/>
        <v/>
      </c>
    </row>
    <row r="1467" spans="9:10">
      <c r="I1467" t="str">
        <f>_xlfn.IFNA(VLOOKUP(B1467,T_DistName[],3,FALSE),"")</f>
        <v/>
      </c>
      <c r="J1467" t="str">
        <f t="shared" si="23"/>
        <v/>
      </c>
    </row>
    <row r="1468" spans="9:10">
      <c r="I1468" t="str">
        <f>_xlfn.IFNA(VLOOKUP(B1468,T_DistName[],3,FALSE),"")</f>
        <v/>
      </c>
      <c r="J1468" t="str">
        <f t="shared" si="23"/>
        <v/>
      </c>
    </row>
    <row r="1469" spans="9:10">
      <c r="I1469" t="str">
        <f>_xlfn.IFNA(VLOOKUP(B1469,T_DistName[],3,FALSE),"")</f>
        <v/>
      </c>
      <c r="J1469" t="str">
        <f t="shared" si="23"/>
        <v/>
      </c>
    </row>
    <row r="1470" spans="9:10">
      <c r="I1470" t="str">
        <f>_xlfn.IFNA(VLOOKUP(B1470,T_DistName[],3,FALSE),"")</f>
        <v/>
      </c>
      <c r="J1470" t="str">
        <f t="shared" si="23"/>
        <v/>
      </c>
    </row>
    <row r="1471" spans="9:10">
      <c r="I1471" t="str">
        <f>_xlfn.IFNA(VLOOKUP(B1471,T_DistName[],3,FALSE),"")</f>
        <v/>
      </c>
      <c r="J1471" t="str">
        <f t="shared" si="23"/>
        <v/>
      </c>
    </row>
    <row r="1472" spans="9:10">
      <c r="I1472" t="str">
        <f>_xlfn.IFNA(VLOOKUP(B1472,T_DistName[],3,FALSE),"")</f>
        <v/>
      </c>
      <c r="J1472" t="str">
        <f t="shared" si="23"/>
        <v/>
      </c>
    </row>
    <row r="1473" spans="9:10">
      <c r="I1473" t="str">
        <f>_xlfn.IFNA(VLOOKUP(B1473,T_DistName[],3,FALSE),"")</f>
        <v/>
      </c>
      <c r="J1473" t="str">
        <f t="shared" si="23"/>
        <v/>
      </c>
    </row>
    <row r="1474" spans="9:10">
      <c r="I1474" t="str">
        <f>_xlfn.IFNA(VLOOKUP(B1474,T_DistName[],3,FALSE),"")</f>
        <v/>
      </c>
      <c r="J1474" t="str">
        <f t="shared" si="23"/>
        <v/>
      </c>
    </row>
    <row r="1475" spans="9:10">
      <c r="I1475" t="str">
        <f>_xlfn.IFNA(VLOOKUP(B1475,T_DistName[],3,FALSE),"")</f>
        <v/>
      </c>
      <c r="J1475" t="str">
        <f t="shared" si="23"/>
        <v/>
      </c>
    </row>
    <row r="1476" spans="9:10">
      <c r="I1476" t="str">
        <f>_xlfn.IFNA(VLOOKUP(B1476,T_DistName[],3,FALSE),"")</f>
        <v/>
      </c>
      <c r="J1476" t="str">
        <f t="shared" si="23"/>
        <v/>
      </c>
    </row>
    <row r="1477" spans="9:10">
      <c r="I1477" t="str">
        <f>_xlfn.IFNA(VLOOKUP(B1477,T_DistName[],3,FALSE),"")</f>
        <v/>
      </c>
      <c r="J1477" t="str">
        <f t="shared" si="23"/>
        <v/>
      </c>
    </row>
    <row r="1478" spans="9:10">
      <c r="I1478" t="str">
        <f>_xlfn.IFNA(VLOOKUP(B1478,T_DistName[],3,FALSE),"")</f>
        <v/>
      </c>
      <c r="J1478" t="str">
        <f t="shared" si="23"/>
        <v/>
      </c>
    </row>
    <row r="1479" spans="9:10">
      <c r="I1479" t="str">
        <f>_xlfn.IFNA(VLOOKUP(B1479,T_DistName[],3,FALSE),"")</f>
        <v/>
      </c>
      <c r="J1479" t="str">
        <f t="shared" si="23"/>
        <v/>
      </c>
    </row>
    <row r="1480" spans="9:10">
      <c r="I1480" t="str">
        <f>_xlfn.IFNA(VLOOKUP(B1480,T_DistName[],3,FALSE),"")</f>
        <v/>
      </c>
      <c r="J1480" t="str">
        <f t="shared" si="23"/>
        <v/>
      </c>
    </row>
    <row r="1481" spans="9:10">
      <c r="I1481" t="str">
        <f>_xlfn.IFNA(VLOOKUP(B1481,T_DistName[],3,FALSE),"")</f>
        <v/>
      </c>
      <c r="J1481" t="str">
        <f t="shared" si="23"/>
        <v/>
      </c>
    </row>
    <row r="1482" spans="9:10">
      <c r="I1482" t="str">
        <f>_xlfn.IFNA(VLOOKUP(B1482,T_DistName[],3,FALSE),"")</f>
        <v/>
      </c>
      <c r="J1482" t="str">
        <f t="shared" si="23"/>
        <v/>
      </c>
    </row>
    <row r="1483" spans="9:10">
      <c r="I1483" t="str">
        <f>_xlfn.IFNA(VLOOKUP(B1483,T_DistName[],3,FALSE),"")</f>
        <v/>
      </c>
      <c r="J1483" t="str">
        <f t="shared" si="23"/>
        <v/>
      </c>
    </row>
    <row r="1484" spans="9:10">
      <c r="I1484" t="str">
        <f>_xlfn.IFNA(VLOOKUP(B1484,T_DistName[],3,FALSE),"")</f>
        <v/>
      </c>
      <c r="J1484" t="str">
        <f t="shared" si="23"/>
        <v/>
      </c>
    </row>
    <row r="1485" spans="9:10">
      <c r="I1485" t="str">
        <f>_xlfn.IFNA(VLOOKUP(B1485,T_DistName[],3,FALSE),"")</f>
        <v/>
      </c>
      <c r="J1485" t="str">
        <f t="shared" si="23"/>
        <v/>
      </c>
    </row>
    <row r="1486" spans="9:10">
      <c r="I1486" t="str">
        <f>_xlfn.IFNA(VLOOKUP(B1486,T_DistName[],3,FALSE),"")</f>
        <v/>
      </c>
      <c r="J1486" t="str">
        <f t="shared" si="23"/>
        <v/>
      </c>
    </row>
    <row r="1487" spans="9:10">
      <c r="I1487" t="str">
        <f>_xlfn.IFNA(VLOOKUP(B1487,T_DistName[],3,FALSE),"")</f>
        <v/>
      </c>
      <c r="J1487" t="str">
        <f t="shared" si="23"/>
        <v/>
      </c>
    </row>
    <row r="1488" spans="9:10">
      <c r="I1488" t="str">
        <f>_xlfn.IFNA(VLOOKUP(B1488,T_DistName[],3,FALSE),"")</f>
        <v/>
      </c>
      <c r="J1488" t="str">
        <f t="shared" si="23"/>
        <v/>
      </c>
    </row>
    <row r="1489" spans="9:10">
      <c r="I1489" t="str">
        <f>_xlfn.IFNA(VLOOKUP(B1489,T_DistName[],3,FALSE),"")</f>
        <v/>
      </c>
      <c r="J1489" t="str">
        <f t="shared" si="23"/>
        <v/>
      </c>
    </row>
    <row r="1490" spans="9:10">
      <c r="I1490" t="str">
        <f>_xlfn.IFNA(VLOOKUP(B1490,T_DistName[],3,FALSE),"")</f>
        <v/>
      </c>
      <c r="J1490" t="str">
        <f t="shared" si="23"/>
        <v/>
      </c>
    </row>
    <row r="1491" spans="9:10">
      <c r="I1491" t="str">
        <f>_xlfn.IFNA(VLOOKUP(B1491,T_DistName[],3,FALSE),"")</f>
        <v/>
      </c>
      <c r="J1491" t="str">
        <f t="shared" si="23"/>
        <v/>
      </c>
    </row>
    <row r="1492" spans="9:10">
      <c r="I1492" t="str">
        <f>_xlfn.IFNA(VLOOKUP(B1492,T_DistName[],3,FALSE),"")</f>
        <v/>
      </c>
      <c r="J1492" t="str">
        <f t="shared" si="23"/>
        <v/>
      </c>
    </row>
    <row r="1493" spans="9:10">
      <c r="I1493" t="str">
        <f>_xlfn.IFNA(VLOOKUP(B1493,T_DistName[],3,FALSE),"")</f>
        <v/>
      </c>
      <c r="J1493" t="str">
        <f t="shared" si="23"/>
        <v/>
      </c>
    </row>
    <row r="1494" spans="9:10">
      <c r="I1494" t="str">
        <f>_xlfn.IFNA(VLOOKUP(B1494,T_DistName[],3,FALSE),"")</f>
        <v/>
      </c>
      <c r="J1494" t="str">
        <f t="shared" si="23"/>
        <v/>
      </c>
    </row>
    <row r="1495" spans="9:10">
      <c r="I1495" t="str">
        <f>_xlfn.IFNA(VLOOKUP(B1495,T_DistName[],3,FALSE),"")</f>
        <v/>
      </c>
      <c r="J1495" t="str">
        <f t="shared" si="23"/>
        <v/>
      </c>
    </row>
    <row r="1496" spans="9:10">
      <c r="I1496" t="str">
        <f>_xlfn.IFNA(VLOOKUP(B1496,T_DistName[],3,FALSE),"")</f>
        <v/>
      </c>
      <c r="J1496" t="str">
        <f t="shared" si="23"/>
        <v/>
      </c>
    </row>
    <row r="1497" spans="9:10">
      <c r="I1497" t="str">
        <f>_xlfn.IFNA(VLOOKUP(B1497,T_DistName[],3,FALSE),"")</f>
        <v/>
      </c>
      <c r="J1497" t="str">
        <f t="shared" ref="J1497:J1560" si="24">I1497&amp;F1497</f>
        <v/>
      </c>
    </row>
    <row r="1498" spans="9:10">
      <c r="I1498" t="str">
        <f>_xlfn.IFNA(VLOOKUP(B1498,T_DistName[],3,FALSE),"")</f>
        <v/>
      </c>
      <c r="J1498" t="str">
        <f t="shared" si="24"/>
        <v/>
      </c>
    </row>
    <row r="1499" spans="9:10">
      <c r="I1499" t="str">
        <f>_xlfn.IFNA(VLOOKUP(B1499,T_DistName[],3,FALSE),"")</f>
        <v/>
      </c>
      <c r="J1499" t="str">
        <f t="shared" si="24"/>
        <v/>
      </c>
    </row>
    <row r="1500" spans="9:10">
      <c r="I1500" t="str">
        <f>_xlfn.IFNA(VLOOKUP(B1500,T_DistName[],3,FALSE),"")</f>
        <v/>
      </c>
      <c r="J1500" t="str">
        <f t="shared" si="24"/>
        <v/>
      </c>
    </row>
    <row r="1501" spans="9:10">
      <c r="I1501" t="str">
        <f>_xlfn.IFNA(VLOOKUP(B1501,T_DistName[],3,FALSE),"")</f>
        <v/>
      </c>
      <c r="J1501" t="str">
        <f t="shared" si="24"/>
        <v/>
      </c>
    </row>
    <row r="1502" spans="9:10">
      <c r="I1502" t="str">
        <f>_xlfn.IFNA(VLOOKUP(B1502,T_DistName[],3,FALSE),"")</f>
        <v/>
      </c>
      <c r="J1502" t="str">
        <f t="shared" si="24"/>
        <v/>
      </c>
    </row>
    <row r="1503" spans="9:10">
      <c r="I1503" t="str">
        <f>_xlfn.IFNA(VLOOKUP(B1503,T_DistName[],3,FALSE),"")</f>
        <v/>
      </c>
      <c r="J1503" t="str">
        <f t="shared" si="24"/>
        <v/>
      </c>
    </row>
    <row r="1504" spans="9:10">
      <c r="I1504" t="str">
        <f>_xlfn.IFNA(VLOOKUP(B1504,T_DistName[],3,FALSE),"")</f>
        <v/>
      </c>
      <c r="J1504" t="str">
        <f t="shared" si="24"/>
        <v/>
      </c>
    </row>
    <row r="1505" spans="9:10">
      <c r="I1505" t="str">
        <f>_xlfn.IFNA(VLOOKUP(B1505,T_DistName[],3,FALSE),"")</f>
        <v/>
      </c>
      <c r="J1505" t="str">
        <f t="shared" si="24"/>
        <v/>
      </c>
    </row>
    <row r="1506" spans="9:10">
      <c r="I1506" t="str">
        <f>_xlfn.IFNA(VLOOKUP(B1506,T_DistName[],3,FALSE),"")</f>
        <v/>
      </c>
      <c r="J1506" t="str">
        <f t="shared" si="24"/>
        <v/>
      </c>
    </row>
    <row r="1507" spans="9:10">
      <c r="I1507" t="str">
        <f>_xlfn.IFNA(VLOOKUP(B1507,T_DistName[],3,FALSE),"")</f>
        <v/>
      </c>
      <c r="J1507" t="str">
        <f t="shared" si="24"/>
        <v/>
      </c>
    </row>
    <row r="1508" spans="9:10">
      <c r="I1508" t="str">
        <f>_xlfn.IFNA(VLOOKUP(B1508,T_DistName[],3,FALSE),"")</f>
        <v/>
      </c>
      <c r="J1508" t="str">
        <f t="shared" si="24"/>
        <v/>
      </c>
    </row>
    <row r="1509" spans="9:10">
      <c r="I1509" t="str">
        <f>_xlfn.IFNA(VLOOKUP(B1509,T_DistName[],3,FALSE),"")</f>
        <v/>
      </c>
      <c r="J1509" t="str">
        <f t="shared" si="24"/>
        <v/>
      </c>
    </row>
    <row r="1510" spans="9:10">
      <c r="I1510" t="str">
        <f>_xlfn.IFNA(VLOOKUP(B1510,T_DistName[],3,FALSE),"")</f>
        <v/>
      </c>
      <c r="J1510" t="str">
        <f t="shared" si="24"/>
        <v/>
      </c>
    </row>
    <row r="1511" spans="9:10">
      <c r="I1511" t="str">
        <f>_xlfn.IFNA(VLOOKUP(B1511,T_DistName[],3,FALSE),"")</f>
        <v/>
      </c>
      <c r="J1511" t="str">
        <f t="shared" si="24"/>
        <v/>
      </c>
    </row>
    <row r="1512" spans="9:10">
      <c r="I1512" t="str">
        <f>_xlfn.IFNA(VLOOKUP(B1512,T_DistName[],3,FALSE),"")</f>
        <v/>
      </c>
      <c r="J1512" t="str">
        <f t="shared" si="24"/>
        <v/>
      </c>
    </row>
    <row r="1513" spans="9:10">
      <c r="I1513" t="str">
        <f>_xlfn.IFNA(VLOOKUP(B1513,T_DistName[],3,FALSE),"")</f>
        <v/>
      </c>
      <c r="J1513" t="str">
        <f t="shared" si="24"/>
        <v/>
      </c>
    </row>
    <row r="1514" spans="9:10">
      <c r="I1514" t="str">
        <f>_xlfn.IFNA(VLOOKUP(B1514,T_DistName[],3,FALSE),"")</f>
        <v/>
      </c>
      <c r="J1514" t="str">
        <f t="shared" si="24"/>
        <v/>
      </c>
    </row>
    <row r="1515" spans="9:10">
      <c r="I1515" t="str">
        <f>_xlfn.IFNA(VLOOKUP(B1515,T_DistName[],3,FALSE),"")</f>
        <v/>
      </c>
      <c r="J1515" t="str">
        <f t="shared" si="24"/>
        <v/>
      </c>
    </row>
    <row r="1516" spans="9:10">
      <c r="I1516" t="str">
        <f>_xlfn.IFNA(VLOOKUP(B1516,T_DistName[],3,FALSE),"")</f>
        <v/>
      </c>
      <c r="J1516" t="str">
        <f t="shared" si="24"/>
        <v/>
      </c>
    </row>
    <row r="1517" spans="9:10">
      <c r="I1517" t="str">
        <f>_xlfn.IFNA(VLOOKUP(B1517,T_DistName[],3,FALSE),"")</f>
        <v/>
      </c>
      <c r="J1517" t="str">
        <f t="shared" si="24"/>
        <v/>
      </c>
    </row>
    <row r="1518" spans="9:10">
      <c r="I1518" t="str">
        <f>_xlfn.IFNA(VLOOKUP(B1518,T_DistName[],3,FALSE),"")</f>
        <v/>
      </c>
      <c r="J1518" t="str">
        <f t="shared" si="24"/>
        <v/>
      </c>
    </row>
    <row r="1519" spans="9:10">
      <c r="I1519" t="str">
        <f>_xlfn.IFNA(VLOOKUP(B1519,T_DistName[],3,FALSE),"")</f>
        <v/>
      </c>
      <c r="J1519" t="str">
        <f t="shared" si="24"/>
        <v/>
      </c>
    </row>
    <row r="1520" spans="9:10">
      <c r="I1520" t="str">
        <f>_xlfn.IFNA(VLOOKUP(B1520,T_DistName[],3,FALSE),"")</f>
        <v/>
      </c>
      <c r="J1520" t="str">
        <f t="shared" si="24"/>
        <v/>
      </c>
    </row>
    <row r="1521" spans="9:10">
      <c r="I1521" t="str">
        <f>_xlfn.IFNA(VLOOKUP(B1521,T_DistName[],3,FALSE),"")</f>
        <v/>
      </c>
      <c r="J1521" t="str">
        <f t="shared" si="24"/>
        <v/>
      </c>
    </row>
    <row r="1522" spans="9:10">
      <c r="I1522" t="str">
        <f>_xlfn.IFNA(VLOOKUP(B1522,T_DistName[],3,FALSE),"")</f>
        <v/>
      </c>
      <c r="J1522" t="str">
        <f t="shared" si="24"/>
        <v/>
      </c>
    </row>
    <row r="1523" spans="9:10">
      <c r="I1523" t="str">
        <f>_xlfn.IFNA(VLOOKUP(B1523,T_DistName[],3,FALSE),"")</f>
        <v/>
      </c>
      <c r="J1523" t="str">
        <f t="shared" si="24"/>
        <v/>
      </c>
    </row>
    <row r="1524" spans="9:10">
      <c r="I1524" t="str">
        <f>_xlfn.IFNA(VLOOKUP(B1524,T_DistName[],3,FALSE),"")</f>
        <v/>
      </c>
      <c r="J1524" t="str">
        <f t="shared" si="24"/>
        <v/>
      </c>
    </row>
    <row r="1525" spans="9:10">
      <c r="I1525" t="str">
        <f>_xlfn.IFNA(VLOOKUP(B1525,T_DistName[],3,FALSE),"")</f>
        <v/>
      </c>
      <c r="J1525" t="str">
        <f t="shared" si="24"/>
        <v/>
      </c>
    </row>
    <row r="1526" spans="9:10">
      <c r="I1526" t="str">
        <f>_xlfn.IFNA(VLOOKUP(B1526,T_DistName[],3,FALSE),"")</f>
        <v/>
      </c>
      <c r="J1526" t="str">
        <f t="shared" si="24"/>
        <v/>
      </c>
    </row>
    <row r="1527" spans="9:10">
      <c r="I1527" t="str">
        <f>_xlfn.IFNA(VLOOKUP(B1527,T_DistName[],3,FALSE),"")</f>
        <v/>
      </c>
      <c r="J1527" t="str">
        <f t="shared" si="24"/>
        <v/>
      </c>
    </row>
    <row r="1528" spans="9:10">
      <c r="I1528" t="str">
        <f>_xlfn.IFNA(VLOOKUP(B1528,T_DistName[],3,FALSE),"")</f>
        <v/>
      </c>
      <c r="J1528" t="str">
        <f t="shared" si="24"/>
        <v/>
      </c>
    </row>
    <row r="1529" spans="9:10">
      <c r="I1529" t="str">
        <f>_xlfn.IFNA(VLOOKUP(B1529,T_DistName[],3,FALSE),"")</f>
        <v/>
      </c>
      <c r="J1529" t="str">
        <f t="shared" si="24"/>
        <v/>
      </c>
    </row>
    <row r="1530" spans="9:10">
      <c r="I1530" t="str">
        <f>_xlfn.IFNA(VLOOKUP(B1530,T_DistName[],3,FALSE),"")</f>
        <v/>
      </c>
      <c r="J1530" t="str">
        <f t="shared" si="24"/>
        <v/>
      </c>
    </row>
    <row r="1531" spans="9:10">
      <c r="I1531" t="str">
        <f>_xlfn.IFNA(VLOOKUP(B1531,T_DistName[],3,FALSE),"")</f>
        <v/>
      </c>
      <c r="J1531" t="str">
        <f t="shared" si="24"/>
        <v/>
      </c>
    </row>
    <row r="1532" spans="9:10">
      <c r="I1532" t="str">
        <f>_xlfn.IFNA(VLOOKUP(B1532,T_DistName[],3,FALSE),"")</f>
        <v/>
      </c>
      <c r="J1532" t="str">
        <f t="shared" si="24"/>
        <v/>
      </c>
    </row>
    <row r="1533" spans="9:10">
      <c r="I1533" t="str">
        <f>_xlfn.IFNA(VLOOKUP(B1533,T_DistName[],3,FALSE),"")</f>
        <v/>
      </c>
      <c r="J1533" t="str">
        <f t="shared" si="24"/>
        <v/>
      </c>
    </row>
    <row r="1534" spans="9:10">
      <c r="I1534" t="str">
        <f>_xlfn.IFNA(VLOOKUP(B1534,T_DistName[],3,FALSE),"")</f>
        <v/>
      </c>
      <c r="J1534" t="str">
        <f t="shared" si="24"/>
        <v/>
      </c>
    </row>
    <row r="1535" spans="9:10">
      <c r="I1535" t="str">
        <f>_xlfn.IFNA(VLOOKUP(B1535,T_DistName[],3,FALSE),"")</f>
        <v/>
      </c>
      <c r="J1535" t="str">
        <f t="shared" si="24"/>
        <v/>
      </c>
    </row>
    <row r="1536" spans="9:10">
      <c r="I1536" t="str">
        <f>_xlfn.IFNA(VLOOKUP(B1536,T_DistName[],3,FALSE),"")</f>
        <v/>
      </c>
      <c r="J1536" t="str">
        <f t="shared" si="24"/>
        <v/>
      </c>
    </row>
    <row r="1537" spans="9:10">
      <c r="I1537" t="str">
        <f>_xlfn.IFNA(VLOOKUP(B1537,T_DistName[],3,FALSE),"")</f>
        <v/>
      </c>
      <c r="J1537" t="str">
        <f t="shared" si="24"/>
        <v/>
      </c>
    </row>
    <row r="1538" spans="9:10">
      <c r="I1538" t="str">
        <f>_xlfn.IFNA(VLOOKUP(B1538,T_DistName[],3,FALSE),"")</f>
        <v/>
      </c>
      <c r="J1538" t="str">
        <f t="shared" si="24"/>
        <v/>
      </c>
    </row>
    <row r="1539" spans="9:10">
      <c r="I1539" t="str">
        <f>_xlfn.IFNA(VLOOKUP(B1539,T_DistName[],3,FALSE),"")</f>
        <v/>
      </c>
      <c r="J1539" t="str">
        <f t="shared" si="24"/>
        <v/>
      </c>
    </row>
    <row r="1540" spans="9:10">
      <c r="I1540" t="str">
        <f>_xlfn.IFNA(VLOOKUP(B1540,T_DistName[],3,FALSE),"")</f>
        <v/>
      </c>
      <c r="J1540" t="str">
        <f t="shared" si="24"/>
        <v/>
      </c>
    </row>
    <row r="1541" spans="9:10">
      <c r="I1541" t="str">
        <f>_xlfn.IFNA(VLOOKUP(B1541,T_DistName[],3,FALSE),"")</f>
        <v/>
      </c>
      <c r="J1541" t="str">
        <f t="shared" si="24"/>
        <v/>
      </c>
    </row>
    <row r="1542" spans="9:10">
      <c r="I1542" t="str">
        <f>_xlfn.IFNA(VLOOKUP(B1542,T_DistName[],3,FALSE),"")</f>
        <v/>
      </c>
      <c r="J1542" t="str">
        <f t="shared" si="24"/>
        <v/>
      </c>
    </row>
    <row r="1543" spans="9:10">
      <c r="I1543" t="str">
        <f>_xlfn.IFNA(VLOOKUP(B1543,T_DistName[],3,FALSE),"")</f>
        <v/>
      </c>
      <c r="J1543" t="str">
        <f t="shared" si="24"/>
        <v/>
      </c>
    </row>
    <row r="1544" spans="9:10">
      <c r="I1544" t="str">
        <f>_xlfn.IFNA(VLOOKUP(B1544,T_DistName[],3,FALSE),"")</f>
        <v/>
      </c>
      <c r="J1544" t="str">
        <f t="shared" si="24"/>
        <v/>
      </c>
    </row>
    <row r="1545" spans="9:10">
      <c r="I1545" t="str">
        <f>_xlfn.IFNA(VLOOKUP(B1545,T_DistName[],3,FALSE),"")</f>
        <v/>
      </c>
      <c r="J1545" t="str">
        <f t="shared" si="24"/>
        <v/>
      </c>
    </row>
    <row r="1546" spans="9:10">
      <c r="I1546" t="str">
        <f>_xlfn.IFNA(VLOOKUP(B1546,T_DistName[],3,FALSE),"")</f>
        <v/>
      </c>
      <c r="J1546" t="str">
        <f t="shared" si="24"/>
        <v/>
      </c>
    </row>
    <row r="1547" spans="9:10">
      <c r="I1547" t="str">
        <f>_xlfn.IFNA(VLOOKUP(B1547,T_DistName[],3,FALSE),"")</f>
        <v/>
      </c>
      <c r="J1547" t="str">
        <f t="shared" si="24"/>
        <v/>
      </c>
    </row>
    <row r="1548" spans="9:10">
      <c r="I1548" t="str">
        <f>_xlfn.IFNA(VLOOKUP(B1548,T_DistName[],3,FALSE),"")</f>
        <v/>
      </c>
      <c r="J1548" t="str">
        <f t="shared" si="24"/>
        <v/>
      </c>
    </row>
    <row r="1549" spans="9:10">
      <c r="I1549" t="str">
        <f>_xlfn.IFNA(VLOOKUP(B1549,T_DistName[],3,FALSE),"")</f>
        <v/>
      </c>
      <c r="J1549" t="str">
        <f t="shared" si="24"/>
        <v/>
      </c>
    </row>
    <row r="1550" spans="9:10">
      <c r="I1550" t="str">
        <f>_xlfn.IFNA(VLOOKUP(B1550,T_DistName[],3,FALSE),"")</f>
        <v/>
      </c>
      <c r="J1550" t="str">
        <f t="shared" si="24"/>
        <v/>
      </c>
    </row>
    <row r="1551" spans="9:10">
      <c r="I1551" t="str">
        <f>_xlfn.IFNA(VLOOKUP(B1551,T_DistName[],3,FALSE),"")</f>
        <v/>
      </c>
      <c r="J1551" t="str">
        <f t="shared" si="24"/>
        <v/>
      </c>
    </row>
    <row r="1552" spans="9:10">
      <c r="I1552" t="str">
        <f>_xlfn.IFNA(VLOOKUP(B1552,T_DistName[],3,FALSE),"")</f>
        <v/>
      </c>
      <c r="J1552" t="str">
        <f t="shared" si="24"/>
        <v/>
      </c>
    </row>
    <row r="1553" spans="9:10">
      <c r="I1553" t="str">
        <f>_xlfn.IFNA(VLOOKUP(B1553,T_DistName[],3,FALSE),"")</f>
        <v/>
      </c>
      <c r="J1553" t="str">
        <f t="shared" si="24"/>
        <v/>
      </c>
    </row>
    <row r="1554" spans="9:10">
      <c r="I1554" t="str">
        <f>_xlfn.IFNA(VLOOKUP(B1554,T_DistName[],3,FALSE),"")</f>
        <v/>
      </c>
      <c r="J1554" t="str">
        <f t="shared" si="24"/>
        <v/>
      </c>
    </row>
    <row r="1555" spans="9:10">
      <c r="I1555" t="str">
        <f>_xlfn.IFNA(VLOOKUP(B1555,T_DistName[],3,FALSE),"")</f>
        <v/>
      </c>
      <c r="J1555" t="str">
        <f t="shared" si="24"/>
        <v/>
      </c>
    </row>
    <row r="1556" spans="9:10">
      <c r="I1556" t="str">
        <f>_xlfn.IFNA(VLOOKUP(B1556,T_DistName[],3,FALSE),"")</f>
        <v/>
      </c>
      <c r="J1556" t="str">
        <f t="shared" si="24"/>
        <v/>
      </c>
    </row>
    <row r="1557" spans="9:10">
      <c r="I1557" t="str">
        <f>_xlfn.IFNA(VLOOKUP(B1557,T_DistName[],3,FALSE),"")</f>
        <v/>
      </c>
      <c r="J1557" t="str">
        <f t="shared" si="24"/>
        <v/>
      </c>
    </row>
    <row r="1558" spans="9:10">
      <c r="I1558" t="str">
        <f>_xlfn.IFNA(VLOOKUP(B1558,T_DistName[],3,FALSE),"")</f>
        <v/>
      </c>
      <c r="J1558" t="str">
        <f t="shared" si="24"/>
        <v/>
      </c>
    </row>
    <row r="1559" spans="9:10">
      <c r="I1559" t="str">
        <f>_xlfn.IFNA(VLOOKUP(B1559,T_DistName[],3,FALSE),"")</f>
        <v/>
      </c>
      <c r="J1559" t="str">
        <f t="shared" si="24"/>
        <v/>
      </c>
    </row>
    <row r="1560" spans="9:10">
      <c r="I1560" t="str">
        <f>_xlfn.IFNA(VLOOKUP(B1560,T_DistName[],3,FALSE),"")</f>
        <v/>
      </c>
      <c r="J1560" t="str">
        <f t="shared" si="24"/>
        <v/>
      </c>
    </row>
    <row r="1561" spans="9:10">
      <c r="I1561" t="str">
        <f>_xlfn.IFNA(VLOOKUP(B1561,T_DistName[],3,FALSE),"")</f>
        <v/>
      </c>
      <c r="J1561" t="str">
        <f t="shared" ref="J1561:J1624" si="25">I1561&amp;F1561</f>
        <v/>
      </c>
    </row>
    <row r="1562" spans="9:10">
      <c r="I1562" t="str">
        <f>_xlfn.IFNA(VLOOKUP(B1562,T_DistName[],3,FALSE),"")</f>
        <v/>
      </c>
      <c r="J1562" t="str">
        <f t="shared" si="25"/>
        <v/>
      </c>
    </row>
    <row r="1563" spans="9:10">
      <c r="I1563" t="str">
        <f>_xlfn.IFNA(VLOOKUP(B1563,T_DistName[],3,FALSE),"")</f>
        <v/>
      </c>
      <c r="J1563" t="str">
        <f t="shared" si="25"/>
        <v/>
      </c>
    </row>
    <row r="1564" spans="9:10">
      <c r="I1564" t="str">
        <f>_xlfn.IFNA(VLOOKUP(B1564,T_DistName[],3,FALSE),"")</f>
        <v/>
      </c>
      <c r="J1564" t="str">
        <f t="shared" si="25"/>
        <v/>
      </c>
    </row>
    <row r="1565" spans="9:10">
      <c r="I1565" t="str">
        <f>_xlfn.IFNA(VLOOKUP(B1565,T_DistName[],3,FALSE),"")</f>
        <v/>
      </c>
      <c r="J1565" t="str">
        <f t="shared" si="25"/>
        <v/>
      </c>
    </row>
    <row r="1566" spans="9:10">
      <c r="I1566" t="str">
        <f>_xlfn.IFNA(VLOOKUP(B1566,T_DistName[],3,FALSE),"")</f>
        <v/>
      </c>
      <c r="J1566" t="str">
        <f t="shared" si="25"/>
        <v/>
      </c>
    </row>
    <row r="1567" spans="9:10">
      <c r="I1567" t="str">
        <f>_xlfn.IFNA(VLOOKUP(B1567,T_DistName[],3,FALSE),"")</f>
        <v/>
      </c>
      <c r="J1567" t="str">
        <f t="shared" si="25"/>
        <v/>
      </c>
    </row>
    <row r="1568" spans="9:10">
      <c r="I1568" t="str">
        <f>_xlfn.IFNA(VLOOKUP(B1568,T_DistName[],3,FALSE),"")</f>
        <v/>
      </c>
      <c r="J1568" t="str">
        <f t="shared" si="25"/>
        <v/>
      </c>
    </row>
    <row r="1569" spans="9:10">
      <c r="I1569" t="str">
        <f>_xlfn.IFNA(VLOOKUP(B1569,T_DistName[],3,FALSE),"")</f>
        <v/>
      </c>
      <c r="J1569" t="str">
        <f t="shared" si="25"/>
        <v/>
      </c>
    </row>
    <row r="1570" spans="9:10">
      <c r="I1570" t="str">
        <f>_xlfn.IFNA(VLOOKUP(B1570,T_DistName[],3,FALSE),"")</f>
        <v/>
      </c>
      <c r="J1570" t="str">
        <f t="shared" si="25"/>
        <v/>
      </c>
    </row>
    <row r="1571" spans="9:10">
      <c r="I1571" t="str">
        <f>_xlfn.IFNA(VLOOKUP(B1571,T_DistName[],3,FALSE),"")</f>
        <v/>
      </c>
      <c r="J1571" t="str">
        <f t="shared" si="25"/>
        <v/>
      </c>
    </row>
    <row r="1572" spans="9:10">
      <c r="I1572" t="str">
        <f>_xlfn.IFNA(VLOOKUP(B1572,T_DistName[],3,FALSE),"")</f>
        <v/>
      </c>
      <c r="J1572" t="str">
        <f t="shared" si="25"/>
        <v/>
      </c>
    </row>
    <row r="1573" spans="9:10">
      <c r="I1573" t="str">
        <f>_xlfn.IFNA(VLOOKUP(B1573,T_DistName[],3,FALSE),"")</f>
        <v/>
      </c>
      <c r="J1573" t="str">
        <f t="shared" si="25"/>
        <v/>
      </c>
    </row>
    <row r="1574" spans="9:10">
      <c r="I1574" t="str">
        <f>_xlfn.IFNA(VLOOKUP(B1574,T_DistName[],3,FALSE),"")</f>
        <v/>
      </c>
      <c r="J1574" t="str">
        <f t="shared" si="25"/>
        <v/>
      </c>
    </row>
    <row r="1575" spans="9:10">
      <c r="I1575" t="str">
        <f>_xlfn.IFNA(VLOOKUP(B1575,T_DistName[],3,FALSE),"")</f>
        <v/>
      </c>
      <c r="J1575" t="str">
        <f t="shared" si="25"/>
        <v/>
      </c>
    </row>
    <row r="1576" spans="9:10">
      <c r="I1576" t="str">
        <f>_xlfn.IFNA(VLOOKUP(B1576,T_DistName[],3,FALSE),"")</f>
        <v/>
      </c>
      <c r="J1576" t="str">
        <f t="shared" si="25"/>
        <v/>
      </c>
    </row>
    <row r="1577" spans="9:10">
      <c r="I1577" t="str">
        <f>_xlfn.IFNA(VLOOKUP(B1577,T_DistName[],3,FALSE),"")</f>
        <v/>
      </c>
      <c r="J1577" t="str">
        <f t="shared" si="25"/>
        <v/>
      </c>
    </row>
    <row r="1578" spans="9:10">
      <c r="I1578" t="str">
        <f>_xlfn.IFNA(VLOOKUP(B1578,T_DistName[],3,FALSE),"")</f>
        <v/>
      </c>
      <c r="J1578" t="str">
        <f t="shared" si="25"/>
        <v/>
      </c>
    </row>
    <row r="1579" spans="9:10">
      <c r="I1579" t="str">
        <f>_xlfn.IFNA(VLOOKUP(B1579,T_DistName[],3,FALSE),"")</f>
        <v/>
      </c>
      <c r="J1579" t="str">
        <f t="shared" si="25"/>
        <v/>
      </c>
    </row>
    <row r="1580" spans="9:10">
      <c r="I1580" t="str">
        <f>_xlfn.IFNA(VLOOKUP(B1580,T_DistName[],3,FALSE),"")</f>
        <v/>
      </c>
      <c r="J1580" t="str">
        <f t="shared" si="25"/>
        <v/>
      </c>
    </row>
    <row r="1581" spans="9:10">
      <c r="I1581" t="str">
        <f>_xlfn.IFNA(VLOOKUP(B1581,T_DistName[],3,FALSE),"")</f>
        <v/>
      </c>
      <c r="J1581" t="str">
        <f t="shared" si="25"/>
        <v/>
      </c>
    </row>
    <row r="1582" spans="9:10">
      <c r="I1582" t="str">
        <f>_xlfn.IFNA(VLOOKUP(B1582,T_DistName[],3,FALSE),"")</f>
        <v/>
      </c>
      <c r="J1582" t="str">
        <f t="shared" si="25"/>
        <v/>
      </c>
    </row>
    <row r="1583" spans="9:10">
      <c r="I1583" t="str">
        <f>_xlfn.IFNA(VLOOKUP(B1583,T_DistName[],3,FALSE),"")</f>
        <v/>
      </c>
      <c r="J1583" t="str">
        <f t="shared" si="25"/>
        <v/>
      </c>
    </row>
    <row r="1584" spans="9:10">
      <c r="I1584" t="str">
        <f>_xlfn.IFNA(VLOOKUP(B1584,T_DistName[],3,FALSE),"")</f>
        <v/>
      </c>
      <c r="J1584" t="str">
        <f t="shared" si="25"/>
        <v/>
      </c>
    </row>
    <row r="1585" spans="9:10">
      <c r="I1585" t="str">
        <f>_xlfn.IFNA(VLOOKUP(B1585,T_DistName[],3,FALSE),"")</f>
        <v/>
      </c>
      <c r="J1585" t="str">
        <f t="shared" si="25"/>
        <v/>
      </c>
    </row>
    <row r="1586" spans="9:10">
      <c r="I1586" t="str">
        <f>_xlfn.IFNA(VLOOKUP(B1586,T_DistName[],3,FALSE),"")</f>
        <v/>
      </c>
      <c r="J1586" t="str">
        <f t="shared" si="25"/>
        <v/>
      </c>
    </row>
    <row r="1587" spans="9:10">
      <c r="I1587" t="str">
        <f>_xlfn.IFNA(VLOOKUP(B1587,T_DistName[],3,FALSE),"")</f>
        <v/>
      </c>
      <c r="J1587" t="str">
        <f t="shared" si="25"/>
        <v/>
      </c>
    </row>
    <row r="1588" spans="9:10">
      <c r="I1588" t="str">
        <f>_xlfn.IFNA(VLOOKUP(B1588,T_DistName[],3,FALSE),"")</f>
        <v/>
      </c>
      <c r="J1588" t="str">
        <f t="shared" si="25"/>
        <v/>
      </c>
    </row>
    <row r="1589" spans="9:10">
      <c r="I1589" t="str">
        <f>_xlfn.IFNA(VLOOKUP(B1589,T_DistName[],3,FALSE),"")</f>
        <v/>
      </c>
      <c r="J1589" t="str">
        <f t="shared" si="25"/>
        <v/>
      </c>
    </row>
    <row r="1590" spans="9:10">
      <c r="I1590" t="str">
        <f>_xlfn.IFNA(VLOOKUP(B1590,T_DistName[],3,FALSE),"")</f>
        <v/>
      </c>
      <c r="J1590" t="str">
        <f t="shared" si="25"/>
        <v/>
      </c>
    </row>
    <row r="1591" spans="9:10">
      <c r="I1591" t="str">
        <f>_xlfn.IFNA(VLOOKUP(B1591,T_DistName[],3,FALSE),"")</f>
        <v/>
      </c>
      <c r="J1591" t="str">
        <f t="shared" si="25"/>
        <v/>
      </c>
    </row>
    <row r="1592" spans="9:10">
      <c r="I1592" t="str">
        <f>_xlfn.IFNA(VLOOKUP(B1592,T_DistName[],3,FALSE),"")</f>
        <v/>
      </c>
      <c r="J1592" t="str">
        <f t="shared" si="25"/>
        <v/>
      </c>
    </row>
    <row r="1593" spans="9:10">
      <c r="I1593" t="str">
        <f>_xlfn.IFNA(VLOOKUP(B1593,T_DistName[],3,FALSE),"")</f>
        <v/>
      </c>
      <c r="J1593" t="str">
        <f t="shared" si="25"/>
        <v/>
      </c>
    </row>
    <row r="1594" spans="9:10">
      <c r="I1594" t="str">
        <f>_xlfn.IFNA(VLOOKUP(B1594,T_DistName[],3,FALSE),"")</f>
        <v/>
      </c>
      <c r="J1594" t="str">
        <f t="shared" si="25"/>
        <v/>
      </c>
    </row>
    <row r="1595" spans="9:10">
      <c r="I1595" t="str">
        <f>_xlfn.IFNA(VLOOKUP(B1595,T_DistName[],3,FALSE),"")</f>
        <v/>
      </c>
      <c r="J1595" t="str">
        <f t="shared" si="25"/>
        <v/>
      </c>
    </row>
    <row r="1596" spans="9:10">
      <c r="I1596" t="str">
        <f>_xlfn.IFNA(VLOOKUP(B1596,T_DistName[],3,FALSE),"")</f>
        <v/>
      </c>
      <c r="J1596" t="str">
        <f t="shared" si="25"/>
        <v/>
      </c>
    </row>
    <row r="1597" spans="9:10">
      <c r="I1597" t="str">
        <f>_xlfn.IFNA(VLOOKUP(B1597,T_DistName[],3,FALSE),"")</f>
        <v/>
      </c>
      <c r="J1597" t="str">
        <f t="shared" si="25"/>
        <v/>
      </c>
    </row>
    <row r="1598" spans="9:10">
      <c r="I1598" t="str">
        <f>_xlfn.IFNA(VLOOKUP(B1598,T_DistName[],3,FALSE),"")</f>
        <v/>
      </c>
      <c r="J1598" t="str">
        <f t="shared" si="25"/>
        <v/>
      </c>
    </row>
    <row r="1599" spans="9:10">
      <c r="I1599" t="str">
        <f>_xlfn.IFNA(VLOOKUP(B1599,T_DistName[],3,FALSE),"")</f>
        <v/>
      </c>
      <c r="J1599" t="str">
        <f t="shared" si="25"/>
        <v/>
      </c>
    </row>
    <row r="1600" spans="9:10">
      <c r="I1600" t="str">
        <f>_xlfn.IFNA(VLOOKUP(B1600,T_DistName[],3,FALSE),"")</f>
        <v/>
      </c>
      <c r="J1600" t="str">
        <f t="shared" si="25"/>
        <v/>
      </c>
    </row>
    <row r="1601" spans="9:10">
      <c r="I1601" t="str">
        <f>_xlfn.IFNA(VLOOKUP(B1601,T_DistName[],3,FALSE),"")</f>
        <v/>
      </c>
      <c r="J1601" t="str">
        <f t="shared" si="25"/>
        <v/>
      </c>
    </row>
    <row r="1602" spans="9:10">
      <c r="I1602" t="str">
        <f>_xlfn.IFNA(VLOOKUP(B1602,T_DistName[],3,FALSE),"")</f>
        <v/>
      </c>
      <c r="J1602" t="str">
        <f t="shared" si="25"/>
        <v/>
      </c>
    </row>
    <row r="1603" spans="9:10">
      <c r="I1603" t="str">
        <f>_xlfn.IFNA(VLOOKUP(B1603,T_DistName[],3,FALSE),"")</f>
        <v/>
      </c>
      <c r="J1603" t="str">
        <f t="shared" si="25"/>
        <v/>
      </c>
    </row>
    <row r="1604" spans="9:10">
      <c r="I1604" t="str">
        <f>_xlfn.IFNA(VLOOKUP(B1604,T_DistName[],3,FALSE),"")</f>
        <v/>
      </c>
      <c r="J1604" t="str">
        <f t="shared" si="25"/>
        <v/>
      </c>
    </row>
    <row r="1605" spans="9:10">
      <c r="I1605" t="str">
        <f>_xlfn.IFNA(VLOOKUP(B1605,T_DistName[],3,FALSE),"")</f>
        <v/>
      </c>
      <c r="J1605" t="str">
        <f t="shared" si="25"/>
        <v/>
      </c>
    </row>
    <row r="1606" spans="9:10">
      <c r="I1606" t="str">
        <f>_xlfn.IFNA(VLOOKUP(B1606,T_DistName[],3,FALSE),"")</f>
        <v/>
      </c>
      <c r="J1606" t="str">
        <f t="shared" si="25"/>
        <v/>
      </c>
    </row>
    <row r="1607" spans="9:10">
      <c r="I1607" t="str">
        <f>_xlfn.IFNA(VLOOKUP(B1607,T_DistName[],3,FALSE),"")</f>
        <v/>
      </c>
      <c r="J1607" t="str">
        <f t="shared" si="25"/>
        <v/>
      </c>
    </row>
    <row r="1608" spans="9:10">
      <c r="I1608" t="str">
        <f>_xlfn.IFNA(VLOOKUP(B1608,T_DistName[],3,FALSE),"")</f>
        <v/>
      </c>
      <c r="J1608" t="str">
        <f t="shared" si="25"/>
        <v/>
      </c>
    </row>
    <row r="1609" spans="9:10">
      <c r="I1609" t="str">
        <f>_xlfn.IFNA(VLOOKUP(B1609,T_DistName[],3,FALSE),"")</f>
        <v/>
      </c>
      <c r="J1609" t="str">
        <f t="shared" si="25"/>
        <v/>
      </c>
    </row>
    <row r="1610" spans="9:10">
      <c r="I1610" t="str">
        <f>_xlfn.IFNA(VLOOKUP(B1610,T_DistName[],3,FALSE),"")</f>
        <v/>
      </c>
      <c r="J1610" t="str">
        <f t="shared" si="25"/>
        <v/>
      </c>
    </row>
    <row r="1611" spans="9:10">
      <c r="I1611" t="str">
        <f>_xlfn.IFNA(VLOOKUP(B1611,T_DistName[],3,FALSE),"")</f>
        <v/>
      </c>
      <c r="J1611" t="str">
        <f t="shared" si="25"/>
        <v/>
      </c>
    </row>
    <row r="1612" spans="9:10">
      <c r="I1612" t="str">
        <f>_xlfn.IFNA(VLOOKUP(B1612,T_DistName[],3,FALSE),"")</f>
        <v/>
      </c>
      <c r="J1612" t="str">
        <f t="shared" si="25"/>
        <v/>
      </c>
    </row>
    <row r="1613" spans="9:10">
      <c r="I1613" t="str">
        <f>_xlfn.IFNA(VLOOKUP(B1613,T_DistName[],3,FALSE),"")</f>
        <v/>
      </c>
      <c r="J1613" t="str">
        <f t="shared" si="25"/>
        <v/>
      </c>
    </row>
    <row r="1614" spans="9:10">
      <c r="I1614" t="str">
        <f>_xlfn.IFNA(VLOOKUP(B1614,T_DistName[],3,FALSE),"")</f>
        <v/>
      </c>
      <c r="J1614" t="str">
        <f t="shared" si="25"/>
        <v/>
      </c>
    </row>
    <row r="1615" spans="9:10">
      <c r="I1615" t="str">
        <f>_xlfn.IFNA(VLOOKUP(B1615,T_DistName[],3,FALSE),"")</f>
        <v/>
      </c>
      <c r="J1615" t="str">
        <f t="shared" si="25"/>
        <v/>
      </c>
    </row>
    <row r="1616" spans="9:10">
      <c r="I1616" t="str">
        <f>_xlfn.IFNA(VLOOKUP(B1616,T_DistName[],3,FALSE),"")</f>
        <v/>
      </c>
      <c r="J1616" t="str">
        <f t="shared" si="25"/>
        <v/>
      </c>
    </row>
    <row r="1617" spans="9:10">
      <c r="I1617" t="str">
        <f>_xlfn.IFNA(VLOOKUP(B1617,T_DistName[],3,FALSE),"")</f>
        <v/>
      </c>
      <c r="J1617" t="str">
        <f t="shared" si="25"/>
        <v/>
      </c>
    </row>
    <row r="1618" spans="9:10">
      <c r="I1618" t="str">
        <f>_xlfn.IFNA(VLOOKUP(B1618,T_DistName[],3,FALSE),"")</f>
        <v/>
      </c>
      <c r="J1618" t="str">
        <f t="shared" si="25"/>
        <v/>
      </c>
    </row>
    <row r="1619" spans="9:10">
      <c r="I1619" t="str">
        <f>_xlfn.IFNA(VLOOKUP(B1619,T_DistName[],3,FALSE),"")</f>
        <v/>
      </c>
      <c r="J1619" t="str">
        <f t="shared" si="25"/>
        <v/>
      </c>
    </row>
    <row r="1620" spans="9:10">
      <c r="I1620" t="str">
        <f>_xlfn.IFNA(VLOOKUP(B1620,T_DistName[],3,FALSE),"")</f>
        <v/>
      </c>
      <c r="J1620" t="str">
        <f t="shared" si="25"/>
        <v/>
      </c>
    </row>
    <row r="1621" spans="9:10">
      <c r="I1621" t="str">
        <f>_xlfn.IFNA(VLOOKUP(B1621,T_DistName[],3,FALSE),"")</f>
        <v/>
      </c>
      <c r="J1621" t="str">
        <f t="shared" si="25"/>
        <v/>
      </c>
    </row>
    <row r="1622" spans="9:10">
      <c r="I1622" t="str">
        <f>_xlfn.IFNA(VLOOKUP(B1622,T_DistName[],3,FALSE),"")</f>
        <v/>
      </c>
      <c r="J1622" t="str">
        <f t="shared" si="25"/>
        <v/>
      </c>
    </row>
    <row r="1623" spans="9:10">
      <c r="I1623" t="str">
        <f>_xlfn.IFNA(VLOOKUP(B1623,T_DistName[],3,FALSE),"")</f>
        <v/>
      </c>
      <c r="J1623" t="str">
        <f t="shared" si="25"/>
        <v/>
      </c>
    </row>
    <row r="1624" spans="9:10">
      <c r="I1624" t="str">
        <f>_xlfn.IFNA(VLOOKUP(B1624,T_DistName[],3,FALSE),"")</f>
        <v/>
      </c>
      <c r="J1624" t="str">
        <f t="shared" si="25"/>
        <v/>
      </c>
    </row>
    <row r="1625" spans="9:10">
      <c r="I1625" t="str">
        <f>_xlfn.IFNA(VLOOKUP(B1625,T_DistName[],3,FALSE),"")</f>
        <v/>
      </c>
      <c r="J1625" t="str">
        <f t="shared" ref="J1625:J1688" si="26">I1625&amp;F1625</f>
        <v/>
      </c>
    </row>
    <row r="1626" spans="9:10">
      <c r="I1626" t="str">
        <f>_xlfn.IFNA(VLOOKUP(B1626,T_DistName[],3,FALSE),"")</f>
        <v/>
      </c>
      <c r="J1626" t="str">
        <f t="shared" si="26"/>
        <v/>
      </c>
    </row>
    <row r="1627" spans="9:10">
      <c r="I1627" t="str">
        <f>_xlfn.IFNA(VLOOKUP(B1627,T_DistName[],3,FALSE),"")</f>
        <v/>
      </c>
      <c r="J1627" t="str">
        <f t="shared" si="26"/>
        <v/>
      </c>
    </row>
    <row r="1628" spans="9:10">
      <c r="I1628" t="str">
        <f>_xlfn.IFNA(VLOOKUP(B1628,T_DistName[],3,FALSE),"")</f>
        <v/>
      </c>
      <c r="J1628" t="str">
        <f t="shared" si="26"/>
        <v/>
      </c>
    </row>
    <row r="1629" spans="9:10">
      <c r="I1629" t="str">
        <f>_xlfn.IFNA(VLOOKUP(B1629,T_DistName[],3,FALSE),"")</f>
        <v/>
      </c>
      <c r="J1629" t="str">
        <f t="shared" si="26"/>
        <v/>
      </c>
    </row>
    <row r="1630" spans="9:10">
      <c r="I1630" t="str">
        <f>_xlfn.IFNA(VLOOKUP(B1630,T_DistName[],3,FALSE),"")</f>
        <v/>
      </c>
      <c r="J1630" t="str">
        <f t="shared" si="26"/>
        <v/>
      </c>
    </row>
    <row r="1631" spans="9:10">
      <c r="I1631" t="str">
        <f>_xlfn.IFNA(VLOOKUP(B1631,T_DistName[],3,FALSE),"")</f>
        <v/>
      </c>
      <c r="J1631" t="str">
        <f t="shared" si="26"/>
        <v/>
      </c>
    </row>
    <row r="1632" spans="9:10">
      <c r="I1632" t="str">
        <f>_xlfn.IFNA(VLOOKUP(B1632,T_DistName[],3,FALSE),"")</f>
        <v/>
      </c>
      <c r="J1632" t="str">
        <f t="shared" si="26"/>
        <v/>
      </c>
    </row>
    <row r="1633" spans="9:10">
      <c r="I1633" t="str">
        <f>_xlfn.IFNA(VLOOKUP(B1633,T_DistName[],3,FALSE),"")</f>
        <v/>
      </c>
      <c r="J1633" t="str">
        <f t="shared" si="26"/>
        <v/>
      </c>
    </row>
    <row r="1634" spans="9:10">
      <c r="I1634" t="str">
        <f>_xlfn.IFNA(VLOOKUP(B1634,T_DistName[],3,FALSE),"")</f>
        <v/>
      </c>
      <c r="J1634" t="str">
        <f t="shared" si="26"/>
        <v/>
      </c>
    </row>
    <row r="1635" spans="9:10">
      <c r="I1635" t="str">
        <f>_xlfn.IFNA(VLOOKUP(B1635,T_DistName[],3,FALSE),"")</f>
        <v/>
      </c>
      <c r="J1635" t="str">
        <f t="shared" si="26"/>
        <v/>
      </c>
    </row>
    <row r="1636" spans="9:10">
      <c r="I1636" t="str">
        <f>_xlfn.IFNA(VLOOKUP(B1636,T_DistName[],3,FALSE),"")</f>
        <v/>
      </c>
      <c r="J1636" t="str">
        <f t="shared" si="26"/>
        <v/>
      </c>
    </row>
    <row r="1637" spans="9:10">
      <c r="I1637" t="str">
        <f>_xlfn.IFNA(VLOOKUP(B1637,T_DistName[],3,FALSE),"")</f>
        <v/>
      </c>
      <c r="J1637" t="str">
        <f t="shared" si="26"/>
        <v/>
      </c>
    </row>
    <row r="1638" spans="9:10">
      <c r="I1638" t="str">
        <f>_xlfn.IFNA(VLOOKUP(B1638,T_DistName[],3,FALSE),"")</f>
        <v/>
      </c>
      <c r="J1638" t="str">
        <f t="shared" si="26"/>
        <v/>
      </c>
    </row>
    <row r="1639" spans="9:10">
      <c r="I1639" t="str">
        <f>_xlfn.IFNA(VLOOKUP(B1639,T_DistName[],3,FALSE),"")</f>
        <v/>
      </c>
      <c r="J1639" t="str">
        <f t="shared" si="26"/>
        <v/>
      </c>
    </row>
    <row r="1640" spans="9:10">
      <c r="I1640" t="str">
        <f>_xlfn.IFNA(VLOOKUP(B1640,T_DistName[],3,FALSE),"")</f>
        <v/>
      </c>
      <c r="J1640" t="str">
        <f t="shared" si="26"/>
        <v/>
      </c>
    </row>
    <row r="1641" spans="9:10">
      <c r="I1641" t="str">
        <f>_xlfn.IFNA(VLOOKUP(B1641,T_DistName[],3,FALSE),"")</f>
        <v/>
      </c>
      <c r="J1641" t="str">
        <f t="shared" si="26"/>
        <v/>
      </c>
    </row>
    <row r="1642" spans="9:10">
      <c r="I1642" t="str">
        <f>_xlfn.IFNA(VLOOKUP(B1642,T_DistName[],3,FALSE),"")</f>
        <v/>
      </c>
      <c r="J1642" t="str">
        <f t="shared" si="26"/>
        <v/>
      </c>
    </row>
    <row r="1643" spans="9:10">
      <c r="I1643" t="str">
        <f>_xlfn.IFNA(VLOOKUP(B1643,T_DistName[],3,FALSE),"")</f>
        <v/>
      </c>
      <c r="J1643" t="str">
        <f t="shared" si="26"/>
        <v/>
      </c>
    </row>
    <row r="1644" spans="9:10">
      <c r="I1644" t="str">
        <f>_xlfn.IFNA(VLOOKUP(B1644,T_DistName[],3,FALSE),"")</f>
        <v/>
      </c>
      <c r="J1644" t="str">
        <f t="shared" si="26"/>
        <v/>
      </c>
    </row>
    <row r="1645" spans="9:10">
      <c r="I1645" t="str">
        <f>_xlfn.IFNA(VLOOKUP(B1645,T_DistName[],3,FALSE),"")</f>
        <v/>
      </c>
      <c r="J1645" t="str">
        <f t="shared" si="26"/>
        <v/>
      </c>
    </row>
    <row r="1646" spans="9:10">
      <c r="I1646" t="str">
        <f>_xlfn.IFNA(VLOOKUP(B1646,T_DistName[],3,FALSE),"")</f>
        <v/>
      </c>
      <c r="J1646" t="str">
        <f t="shared" si="26"/>
        <v/>
      </c>
    </row>
    <row r="1647" spans="9:10">
      <c r="I1647" t="str">
        <f>_xlfn.IFNA(VLOOKUP(B1647,T_DistName[],3,FALSE),"")</f>
        <v/>
      </c>
      <c r="J1647" t="str">
        <f t="shared" si="26"/>
        <v/>
      </c>
    </row>
    <row r="1648" spans="9:10">
      <c r="I1648" t="str">
        <f>_xlfn.IFNA(VLOOKUP(B1648,T_DistName[],3,FALSE),"")</f>
        <v/>
      </c>
      <c r="J1648" t="str">
        <f t="shared" si="26"/>
        <v/>
      </c>
    </row>
    <row r="1649" spans="9:10">
      <c r="I1649" t="str">
        <f>_xlfn.IFNA(VLOOKUP(B1649,T_DistName[],3,FALSE),"")</f>
        <v/>
      </c>
      <c r="J1649" t="str">
        <f t="shared" si="26"/>
        <v/>
      </c>
    </row>
    <row r="1650" spans="9:10">
      <c r="I1650" t="str">
        <f>_xlfn.IFNA(VLOOKUP(B1650,T_DistName[],3,FALSE),"")</f>
        <v/>
      </c>
      <c r="J1650" t="str">
        <f t="shared" si="26"/>
        <v/>
      </c>
    </row>
    <row r="1651" spans="9:10">
      <c r="I1651" t="str">
        <f>_xlfn.IFNA(VLOOKUP(B1651,T_DistName[],3,FALSE),"")</f>
        <v/>
      </c>
      <c r="J1651" t="str">
        <f t="shared" si="26"/>
        <v/>
      </c>
    </row>
    <row r="1652" spans="9:10">
      <c r="I1652" t="str">
        <f>_xlfn.IFNA(VLOOKUP(B1652,T_DistName[],3,FALSE),"")</f>
        <v/>
      </c>
      <c r="J1652" t="str">
        <f t="shared" si="26"/>
        <v/>
      </c>
    </row>
    <row r="1653" spans="9:10">
      <c r="I1653" t="str">
        <f>_xlfn.IFNA(VLOOKUP(B1653,T_DistName[],3,FALSE),"")</f>
        <v/>
      </c>
      <c r="J1653" t="str">
        <f t="shared" si="26"/>
        <v/>
      </c>
    </row>
    <row r="1654" spans="9:10">
      <c r="I1654" t="str">
        <f>_xlfn.IFNA(VLOOKUP(B1654,T_DistName[],3,FALSE),"")</f>
        <v/>
      </c>
      <c r="J1654" t="str">
        <f t="shared" si="26"/>
        <v/>
      </c>
    </row>
    <row r="1655" spans="9:10">
      <c r="I1655" t="str">
        <f>_xlfn.IFNA(VLOOKUP(B1655,T_DistName[],3,FALSE),"")</f>
        <v/>
      </c>
      <c r="J1655" t="str">
        <f t="shared" si="26"/>
        <v/>
      </c>
    </row>
    <row r="1656" spans="9:10">
      <c r="I1656" t="str">
        <f>_xlfn.IFNA(VLOOKUP(B1656,T_DistName[],3,FALSE),"")</f>
        <v/>
      </c>
      <c r="J1656" t="str">
        <f t="shared" si="26"/>
        <v/>
      </c>
    </row>
    <row r="1657" spans="9:10">
      <c r="I1657" t="str">
        <f>_xlfn.IFNA(VLOOKUP(B1657,T_DistName[],3,FALSE),"")</f>
        <v/>
      </c>
      <c r="J1657" t="str">
        <f t="shared" si="26"/>
        <v/>
      </c>
    </row>
    <row r="1658" spans="9:10">
      <c r="I1658" t="str">
        <f>_xlfn.IFNA(VLOOKUP(B1658,T_DistName[],3,FALSE),"")</f>
        <v/>
      </c>
      <c r="J1658" t="str">
        <f t="shared" si="26"/>
        <v/>
      </c>
    </row>
    <row r="1659" spans="9:10">
      <c r="I1659" t="str">
        <f>_xlfn.IFNA(VLOOKUP(B1659,T_DistName[],3,FALSE),"")</f>
        <v/>
      </c>
      <c r="J1659" t="str">
        <f t="shared" si="26"/>
        <v/>
      </c>
    </row>
    <row r="1660" spans="9:10">
      <c r="I1660" t="str">
        <f>_xlfn.IFNA(VLOOKUP(B1660,T_DistName[],3,FALSE),"")</f>
        <v/>
      </c>
      <c r="J1660" t="str">
        <f t="shared" si="26"/>
        <v/>
      </c>
    </row>
    <row r="1661" spans="9:10">
      <c r="I1661" t="str">
        <f>_xlfn.IFNA(VLOOKUP(B1661,T_DistName[],3,FALSE),"")</f>
        <v/>
      </c>
      <c r="J1661" t="str">
        <f t="shared" si="26"/>
        <v/>
      </c>
    </row>
    <row r="1662" spans="9:10">
      <c r="I1662" t="str">
        <f>_xlfn.IFNA(VLOOKUP(B1662,T_DistName[],3,FALSE),"")</f>
        <v/>
      </c>
      <c r="J1662" t="str">
        <f t="shared" si="26"/>
        <v/>
      </c>
    </row>
    <row r="1663" spans="9:10">
      <c r="I1663" t="str">
        <f>_xlfn.IFNA(VLOOKUP(B1663,T_DistName[],3,FALSE),"")</f>
        <v/>
      </c>
      <c r="J1663" t="str">
        <f t="shared" si="26"/>
        <v/>
      </c>
    </row>
    <row r="1664" spans="9:10">
      <c r="I1664" t="str">
        <f>_xlfn.IFNA(VLOOKUP(B1664,T_DistName[],3,FALSE),"")</f>
        <v/>
      </c>
      <c r="J1664" t="str">
        <f t="shared" si="26"/>
        <v/>
      </c>
    </row>
    <row r="1665" spans="9:10">
      <c r="I1665" t="str">
        <f>_xlfn.IFNA(VLOOKUP(B1665,T_DistName[],3,FALSE),"")</f>
        <v/>
      </c>
      <c r="J1665" t="str">
        <f t="shared" si="26"/>
        <v/>
      </c>
    </row>
    <row r="1666" spans="9:10">
      <c r="I1666" t="str">
        <f>_xlfn.IFNA(VLOOKUP(B1666,T_DistName[],3,FALSE),"")</f>
        <v/>
      </c>
      <c r="J1666" t="str">
        <f t="shared" si="26"/>
        <v/>
      </c>
    </row>
    <row r="1667" spans="9:10">
      <c r="I1667" t="str">
        <f>_xlfn.IFNA(VLOOKUP(B1667,T_DistName[],3,FALSE),"")</f>
        <v/>
      </c>
      <c r="J1667" t="str">
        <f t="shared" si="26"/>
        <v/>
      </c>
    </row>
    <row r="1668" spans="9:10">
      <c r="I1668" t="str">
        <f>_xlfn.IFNA(VLOOKUP(B1668,T_DistName[],3,FALSE),"")</f>
        <v/>
      </c>
      <c r="J1668" t="str">
        <f t="shared" si="26"/>
        <v/>
      </c>
    </row>
    <row r="1669" spans="9:10">
      <c r="I1669" t="str">
        <f>_xlfn.IFNA(VLOOKUP(B1669,T_DistName[],3,FALSE),"")</f>
        <v/>
      </c>
      <c r="J1669" t="str">
        <f t="shared" si="26"/>
        <v/>
      </c>
    </row>
    <row r="1670" spans="9:10">
      <c r="I1670" t="str">
        <f>_xlfn.IFNA(VLOOKUP(B1670,T_DistName[],3,FALSE),"")</f>
        <v/>
      </c>
      <c r="J1670" t="str">
        <f t="shared" si="26"/>
        <v/>
      </c>
    </row>
    <row r="1671" spans="9:10">
      <c r="I1671" t="str">
        <f>_xlfn.IFNA(VLOOKUP(B1671,T_DistName[],3,FALSE),"")</f>
        <v/>
      </c>
      <c r="J1671" t="str">
        <f t="shared" si="26"/>
        <v/>
      </c>
    </row>
    <row r="1672" spans="9:10">
      <c r="I1672" t="str">
        <f>_xlfn.IFNA(VLOOKUP(B1672,T_DistName[],3,FALSE),"")</f>
        <v/>
      </c>
      <c r="J1672" t="str">
        <f t="shared" si="26"/>
        <v/>
      </c>
    </row>
    <row r="1673" spans="9:10">
      <c r="I1673" t="str">
        <f>_xlfn.IFNA(VLOOKUP(B1673,T_DistName[],3,FALSE),"")</f>
        <v/>
      </c>
      <c r="J1673" t="str">
        <f t="shared" si="26"/>
        <v/>
      </c>
    </row>
    <row r="1674" spans="9:10">
      <c r="I1674" t="str">
        <f>_xlfn.IFNA(VLOOKUP(B1674,T_DistName[],3,FALSE),"")</f>
        <v/>
      </c>
      <c r="J1674" t="str">
        <f t="shared" si="26"/>
        <v/>
      </c>
    </row>
    <row r="1675" spans="9:10">
      <c r="I1675" t="str">
        <f>_xlfn.IFNA(VLOOKUP(B1675,T_DistName[],3,FALSE),"")</f>
        <v/>
      </c>
      <c r="J1675" t="str">
        <f t="shared" si="26"/>
        <v/>
      </c>
    </row>
    <row r="1676" spans="9:10">
      <c r="I1676" t="str">
        <f>_xlfn.IFNA(VLOOKUP(B1676,T_DistName[],3,FALSE),"")</f>
        <v/>
      </c>
      <c r="J1676" t="str">
        <f t="shared" si="26"/>
        <v/>
      </c>
    </row>
    <row r="1677" spans="9:10">
      <c r="I1677" t="str">
        <f>_xlfn.IFNA(VLOOKUP(B1677,T_DistName[],3,FALSE),"")</f>
        <v/>
      </c>
      <c r="J1677" t="str">
        <f t="shared" si="26"/>
        <v/>
      </c>
    </row>
    <row r="1678" spans="9:10">
      <c r="I1678" t="str">
        <f>_xlfn.IFNA(VLOOKUP(B1678,T_DistName[],3,FALSE),"")</f>
        <v/>
      </c>
      <c r="J1678" t="str">
        <f t="shared" si="26"/>
        <v/>
      </c>
    </row>
    <row r="1679" spans="9:10">
      <c r="I1679" t="str">
        <f>_xlfn.IFNA(VLOOKUP(B1679,T_DistName[],3,FALSE),"")</f>
        <v/>
      </c>
      <c r="J1679" t="str">
        <f t="shared" si="26"/>
        <v/>
      </c>
    </row>
    <row r="1680" spans="9:10">
      <c r="I1680" t="str">
        <f>_xlfn.IFNA(VLOOKUP(B1680,T_DistName[],3,FALSE),"")</f>
        <v/>
      </c>
      <c r="J1680" t="str">
        <f t="shared" si="26"/>
        <v/>
      </c>
    </row>
    <row r="1681" spans="9:10">
      <c r="I1681" t="str">
        <f>_xlfn.IFNA(VLOOKUP(B1681,T_DistName[],3,FALSE),"")</f>
        <v/>
      </c>
      <c r="J1681" t="str">
        <f t="shared" si="26"/>
        <v/>
      </c>
    </row>
    <row r="1682" spans="9:10">
      <c r="I1682" t="str">
        <f>_xlfn.IFNA(VLOOKUP(B1682,T_DistName[],3,FALSE),"")</f>
        <v/>
      </c>
      <c r="J1682" t="str">
        <f t="shared" si="26"/>
        <v/>
      </c>
    </row>
    <row r="1683" spans="9:10">
      <c r="I1683" t="str">
        <f>_xlfn.IFNA(VLOOKUP(B1683,T_DistName[],3,FALSE),"")</f>
        <v/>
      </c>
      <c r="J1683" t="str">
        <f t="shared" si="26"/>
        <v/>
      </c>
    </row>
    <row r="1684" spans="9:10">
      <c r="I1684" t="str">
        <f>_xlfn.IFNA(VLOOKUP(B1684,T_DistName[],3,FALSE),"")</f>
        <v/>
      </c>
      <c r="J1684" t="str">
        <f t="shared" si="26"/>
        <v/>
      </c>
    </row>
    <row r="1685" spans="9:10">
      <c r="I1685" t="str">
        <f>_xlfn.IFNA(VLOOKUP(B1685,T_DistName[],3,FALSE),"")</f>
        <v/>
      </c>
      <c r="J1685" t="str">
        <f t="shared" si="26"/>
        <v/>
      </c>
    </row>
    <row r="1686" spans="9:10">
      <c r="I1686" t="str">
        <f>_xlfn.IFNA(VLOOKUP(B1686,T_DistName[],3,FALSE),"")</f>
        <v/>
      </c>
      <c r="J1686" t="str">
        <f t="shared" si="26"/>
        <v/>
      </c>
    </row>
    <row r="1687" spans="9:10">
      <c r="I1687" t="str">
        <f>_xlfn.IFNA(VLOOKUP(B1687,T_DistName[],3,FALSE),"")</f>
        <v/>
      </c>
      <c r="J1687" t="str">
        <f t="shared" si="26"/>
        <v/>
      </c>
    </row>
    <row r="1688" spans="9:10">
      <c r="I1688" t="str">
        <f>_xlfn.IFNA(VLOOKUP(B1688,T_DistName[],3,FALSE),"")</f>
        <v/>
      </c>
      <c r="J1688" t="str">
        <f t="shared" si="26"/>
        <v/>
      </c>
    </row>
    <row r="1689" spans="9:10">
      <c r="I1689" t="str">
        <f>_xlfn.IFNA(VLOOKUP(B1689,T_DistName[],3,FALSE),"")</f>
        <v/>
      </c>
      <c r="J1689" t="str">
        <f t="shared" ref="J1689:J1752" si="27">I1689&amp;F1689</f>
        <v/>
      </c>
    </row>
    <row r="1690" spans="9:10">
      <c r="I1690" t="str">
        <f>_xlfn.IFNA(VLOOKUP(B1690,T_DistName[],3,FALSE),"")</f>
        <v/>
      </c>
      <c r="J1690" t="str">
        <f t="shared" si="27"/>
        <v/>
      </c>
    </row>
    <row r="1691" spans="9:10">
      <c r="I1691" t="str">
        <f>_xlfn.IFNA(VLOOKUP(B1691,T_DistName[],3,FALSE),"")</f>
        <v/>
      </c>
      <c r="J1691" t="str">
        <f t="shared" si="27"/>
        <v/>
      </c>
    </row>
    <row r="1692" spans="9:10">
      <c r="I1692" t="str">
        <f>_xlfn.IFNA(VLOOKUP(B1692,T_DistName[],3,FALSE),"")</f>
        <v/>
      </c>
      <c r="J1692" t="str">
        <f t="shared" si="27"/>
        <v/>
      </c>
    </row>
    <row r="1693" spans="9:10">
      <c r="I1693" t="str">
        <f>_xlfn.IFNA(VLOOKUP(B1693,T_DistName[],3,FALSE),"")</f>
        <v/>
      </c>
      <c r="J1693" t="str">
        <f t="shared" si="27"/>
        <v/>
      </c>
    </row>
    <row r="1694" spans="9:10">
      <c r="I1694" t="str">
        <f>_xlfn.IFNA(VLOOKUP(B1694,T_DistName[],3,FALSE),"")</f>
        <v/>
      </c>
      <c r="J1694" t="str">
        <f t="shared" si="27"/>
        <v/>
      </c>
    </row>
    <row r="1695" spans="9:10">
      <c r="I1695" t="str">
        <f>_xlfn.IFNA(VLOOKUP(B1695,T_DistName[],3,FALSE),"")</f>
        <v/>
      </c>
      <c r="J1695" t="str">
        <f t="shared" si="27"/>
        <v/>
      </c>
    </row>
    <row r="1696" spans="9:10">
      <c r="I1696" t="str">
        <f>_xlfn.IFNA(VLOOKUP(B1696,T_DistName[],3,FALSE),"")</f>
        <v/>
      </c>
      <c r="J1696" t="str">
        <f t="shared" si="27"/>
        <v/>
      </c>
    </row>
    <row r="1697" spans="9:10">
      <c r="I1697" t="str">
        <f>_xlfn.IFNA(VLOOKUP(B1697,T_DistName[],3,FALSE),"")</f>
        <v/>
      </c>
      <c r="J1697" t="str">
        <f t="shared" si="27"/>
        <v/>
      </c>
    </row>
    <row r="1698" spans="9:10">
      <c r="I1698" t="str">
        <f>_xlfn.IFNA(VLOOKUP(B1698,T_DistName[],3,FALSE),"")</f>
        <v/>
      </c>
      <c r="J1698" t="str">
        <f t="shared" si="27"/>
        <v/>
      </c>
    </row>
    <row r="1699" spans="9:10">
      <c r="I1699" t="str">
        <f>_xlfn.IFNA(VLOOKUP(B1699,T_DistName[],3,FALSE),"")</f>
        <v/>
      </c>
      <c r="J1699" t="str">
        <f t="shared" si="27"/>
        <v/>
      </c>
    </row>
    <row r="1700" spans="9:10">
      <c r="I1700" t="str">
        <f>_xlfn.IFNA(VLOOKUP(B1700,T_DistName[],3,FALSE),"")</f>
        <v/>
      </c>
      <c r="J1700" t="str">
        <f t="shared" si="27"/>
        <v/>
      </c>
    </row>
    <row r="1701" spans="9:10">
      <c r="I1701" t="str">
        <f>_xlfn.IFNA(VLOOKUP(B1701,T_DistName[],3,FALSE),"")</f>
        <v/>
      </c>
      <c r="J1701" t="str">
        <f t="shared" si="27"/>
        <v/>
      </c>
    </row>
    <row r="1702" spans="9:10">
      <c r="I1702" t="str">
        <f>_xlfn.IFNA(VLOOKUP(B1702,T_DistName[],3,FALSE),"")</f>
        <v/>
      </c>
      <c r="J1702" t="str">
        <f t="shared" si="27"/>
        <v/>
      </c>
    </row>
    <row r="1703" spans="9:10">
      <c r="I1703" t="str">
        <f>_xlfn.IFNA(VLOOKUP(B1703,T_DistName[],3,FALSE),"")</f>
        <v/>
      </c>
      <c r="J1703" t="str">
        <f t="shared" si="27"/>
        <v/>
      </c>
    </row>
    <row r="1704" spans="9:10">
      <c r="I1704" t="str">
        <f>_xlfn.IFNA(VLOOKUP(B1704,T_DistName[],3,FALSE),"")</f>
        <v/>
      </c>
      <c r="J1704" t="str">
        <f t="shared" si="27"/>
        <v/>
      </c>
    </row>
    <row r="1705" spans="9:10">
      <c r="I1705" t="str">
        <f>_xlfn.IFNA(VLOOKUP(B1705,T_DistName[],3,FALSE),"")</f>
        <v/>
      </c>
      <c r="J1705" t="str">
        <f t="shared" si="27"/>
        <v/>
      </c>
    </row>
    <row r="1706" spans="9:10">
      <c r="I1706" t="str">
        <f>_xlfn.IFNA(VLOOKUP(B1706,T_DistName[],3,FALSE),"")</f>
        <v/>
      </c>
      <c r="J1706" t="str">
        <f t="shared" si="27"/>
        <v/>
      </c>
    </row>
    <row r="1707" spans="9:10">
      <c r="I1707" t="str">
        <f>_xlfn.IFNA(VLOOKUP(B1707,T_DistName[],3,FALSE),"")</f>
        <v/>
      </c>
      <c r="J1707" t="str">
        <f t="shared" si="27"/>
        <v/>
      </c>
    </row>
    <row r="1708" spans="9:10">
      <c r="I1708" t="str">
        <f>_xlfn.IFNA(VLOOKUP(B1708,T_DistName[],3,FALSE),"")</f>
        <v/>
      </c>
      <c r="J1708" t="str">
        <f t="shared" si="27"/>
        <v/>
      </c>
    </row>
    <row r="1709" spans="9:10">
      <c r="I1709" t="str">
        <f>_xlfn.IFNA(VLOOKUP(B1709,T_DistName[],3,FALSE),"")</f>
        <v/>
      </c>
      <c r="J1709" t="str">
        <f t="shared" si="27"/>
        <v/>
      </c>
    </row>
    <row r="1710" spans="9:10">
      <c r="I1710" t="str">
        <f>_xlfn.IFNA(VLOOKUP(B1710,T_DistName[],3,FALSE),"")</f>
        <v/>
      </c>
      <c r="J1710" t="str">
        <f t="shared" si="27"/>
        <v/>
      </c>
    </row>
    <row r="1711" spans="9:10">
      <c r="I1711" t="str">
        <f>_xlfn.IFNA(VLOOKUP(B1711,T_DistName[],3,FALSE),"")</f>
        <v/>
      </c>
      <c r="J1711" t="str">
        <f t="shared" si="27"/>
        <v/>
      </c>
    </row>
    <row r="1712" spans="9:10">
      <c r="I1712" t="str">
        <f>_xlfn.IFNA(VLOOKUP(B1712,T_DistName[],3,FALSE),"")</f>
        <v/>
      </c>
      <c r="J1712" t="str">
        <f t="shared" si="27"/>
        <v/>
      </c>
    </row>
    <row r="1713" spans="9:10">
      <c r="I1713" t="str">
        <f>_xlfn.IFNA(VLOOKUP(B1713,T_DistName[],3,FALSE),"")</f>
        <v/>
      </c>
      <c r="J1713" t="str">
        <f t="shared" si="27"/>
        <v/>
      </c>
    </row>
    <row r="1714" spans="9:10">
      <c r="I1714" t="str">
        <f>_xlfn.IFNA(VLOOKUP(B1714,T_DistName[],3,FALSE),"")</f>
        <v/>
      </c>
      <c r="J1714" t="str">
        <f t="shared" si="27"/>
        <v/>
      </c>
    </row>
    <row r="1715" spans="9:10">
      <c r="I1715" t="str">
        <f>_xlfn.IFNA(VLOOKUP(B1715,T_DistName[],3,FALSE),"")</f>
        <v/>
      </c>
      <c r="J1715" t="str">
        <f t="shared" si="27"/>
        <v/>
      </c>
    </row>
    <row r="1716" spans="9:10">
      <c r="I1716" t="str">
        <f>_xlfn.IFNA(VLOOKUP(B1716,T_DistName[],3,FALSE),"")</f>
        <v/>
      </c>
      <c r="J1716" t="str">
        <f t="shared" si="27"/>
        <v/>
      </c>
    </row>
    <row r="1717" spans="9:10">
      <c r="I1717" t="str">
        <f>_xlfn.IFNA(VLOOKUP(B1717,T_DistName[],3,FALSE),"")</f>
        <v/>
      </c>
      <c r="J1717" t="str">
        <f t="shared" si="27"/>
        <v/>
      </c>
    </row>
    <row r="1718" spans="9:10">
      <c r="I1718" t="str">
        <f>_xlfn.IFNA(VLOOKUP(B1718,T_DistName[],3,FALSE),"")</f>
        <v/>
      </c>
      <c r="J1718" t="str">
        <f t="shared" si="27"/>
        <v/>
      </c>
    </row>
    <row r="1719" spans="9:10">
      <c r="I1719" t="str">
        <f>_xlfn.IFNA(VLOOKUP(B1719,T_DistName[],3,FALSE),"")</f>
        <v/>
      </c>
      <c r="J1719" t="str">
        <f t="shared" si="27"/>
        <v/>
      </c>
    </row>
    <row r="1720" spans="9:10">
      <c r="I1720" t="str">
        <f>_xlfn.IFNA(VLOOKUP(B1720,T_DistName[],3,FALSE),"")</f>
        <v/>
      </c>
      <c r="J1720" t="str">
        <f t="shared" si="27"/>
        <v/>
      </c>
    </row>
    <row r="1721" spans="9:10">
      <c r="I1721" t="str">
        <f>_xlfn.IFNA(VLOOKUP(B1721,T_DistName[],3,FALSE),"")</f>
        <v/>
      </c>
      <c r="J1721" t="str">
        <f t="shared" si="27"/>
        <v/>
      </c>
    </row>
    <row r="1722" spans="9:10">
      <c r="I1722" t="str">
        <f>_xlfn.IFNA(VLOOKUP(B1722,T_DistName[],3,FALSE),"")</f>
        <v/>
      </c>
      <c r="J1722" t="str">
        <f t="shared" si="27"/>
        <v/>
      </c>
    </row>
    <row r="1723" spans="9:10">
      <c r="I1723" t="str">
        <f>_xlfn.IFNA(VLOOKUP(B1723,T_DistName[],3,FALSE),"")</f>
        <v/>
      </c>
      <c r="J1723" t="str">
        <f t="shared" si="27"/>
        <v/>
      </c>
    </row>
    <row r="1724" spans="9:10">
      <c r="I1724" t="str">
        <f>_xlfn.IFNA(VLOOKUP(B1724,T_DistName[],3,FALSE),"")</f>
        <v/>
      </c>
      <c r="J1724" t="str">
        <f t="shared" si="27"/>
        <v/>
      </c>
    </row>
    <row r="1725" spans="9:10">
      <c r="I1725" t="str">
        <f>_xlfn.IFNA(VLOOKUP(B1725,T_DistName[],3,FALSE),"")</f>
        <v/>
      </c>
      <c r="J1725" t="str">
        <f t="shared" si="27"/>
        <v/>
      </c>
    </row>
    <row r="1726" spans="9:10">
      <c r="I1726" t="str">
        <f>_xlfn.IFNA(VLOOKUP(B1726,T_DistName[],3,FALSE),"")</f>
        <v/>
      </c>
      <c r="J1726" t="str">
        <f t="shared" si="27"/>
        <v/>
      </c>
    </row>
    <row r="1727" spans="9:10">
      <c r="I1727" t="str">
        <f>_xlfn.IFNA(VLOOKUP(B1727,T_DistName[],3,FALSE),"")</f>
        <v/>
      </c>
      <c r="J1727" t="str">
        <f t="shared" si="27"/>
        <v/>
      </c>
    </row>
    <row r="1728" spans="9:10">
      <c r="I1728" t="str">
        <f>_xlfn.IFNA(VLOOKUP(B1728,T_DistName[],3,FALSE),"")</f>
        <v/>
      </c>
      <c r="J1728" t="str">
        <f t="shared" si="27"/>
        <v/>
      </c>
    </row>
    <row r="1729" spans="9:10">
      <c r="I1729" t="str">
        <f>_xlfn.IFNA(VLOOKUP(B1729,T_DistName[],3,FALSE),"")</f>
        <v/>
      </c>
      <c r="J1729" t="str">
        <f t="shared" si="27"/>
        <v/>
      </c>
    </row>
    <row r="1730" spans="9:10">
      <c r="I1730" t="str">
        <f>_xlfn.IFNA(VLOOKUP(B1730,T_DistName[],3,FALSE),"")</f>
        <v/>
      </c>
      <c r="J1730" t="str">
        <f t="shared" si="27"/>
        <v/>
      </c>
    </row>
    <row r="1731" spans="9:10">
      <c r="I1731" t="str">
        <f>_xlfn.IFNA(VLOOKUP(B1731,T_DistName[],3,FALSE),"")</f>
        <v/>
      </c>
      <c r="J1731" t="str">
        <f t="shared" si="27"/>
        <v/>
      </c>
    </row>
    <row r="1732" spans="9:10">
      <c r="I1732" t="str">
        <f>_xlfn.IFNA(VLOOKUP(B1732,T_DistName[],3,FALSE),"")</f>
        <v/>
      </c>
      <c r="J1732" t="str">
        <f t="shared" si="27"/>
        <v/>
      </c>
    </row>
    <row r="1733" spans="9:10">
      <c r="I1733" t="str">
        <f>_xlfn.IFNA(VLOOKUP(B1733,T_DistName[],3,FALSE),"")</f>
        <v/>
      </c>
      <c r="J1733" t="str">
        <f t="shared" si="27"/>
        <v/>
      </c>
    </row>
    <row r="1734" spans="9:10">
      <c r="I1734" t="str">
        <f>_xlfn.IFNA(VLOOKUP(B1734,T_DistName[],3,FALSE),"")</f>
        <v/>
      </c>
      <c r="J1734" t="str">
        <f t="shared" si="27"/>
        <v/>
      </c>
    </row>
    <row r="1735" spans="9:10">
      <c r="I1735" t="str">
        <f>_xlfn.IFNA(VLOOKUP(B1735,T_DistName[],3,FALSE),"")</f>
        <v/>
      </c>
      <c r="J1735" t="str">
        <f t="shared" si="27"/>
        <v/>
      </c>
    </row>
    <row r="1736" spans="9:10">
      <c r="I1736" t="str">
        <f>_xlfn.IFNA(VLOOKUP(B1736,T_DistName[],3,FALSE),"")</f>
        <v/>
      </c>
      <c r="J1736" t="str">
        <f t="shared" si="27"/>
        <v/>
      </c>
    </row>
    <row r="1737" spans="9:10">
      <c r="I1737" t="str">
        <f>_xlfn.IFNA(VLOOKUP(B1737,T_DistName[],3,FALSE),"")</f>
        <v/>
      </c>
      <c r="J1737" t="str">
        <f t="shared" si="27"/>
        <v/>
      </c>
    </row>
    <row r="1738" spans="9:10">
      <c r="I1738" t="str">
        <f>_xlfn.IFNA(VLOOKUP(B1738,T_DistName[],3,FALSE),"")</f>
        <v/>
      </c>
      <c r="J1738" t="str">
        <f t="shared" si="27"/>
        <v/>
      </c>
    </row>
    <row r="1739" spans="9:10">
      <c r="I1739" t="str">
        <f>_xlfn.IFNA(VLOOKUP(B1739,T_DistName[],3,FALSE),"")</f>
        <v/>
      </c>
      <c r="J1739" t="str">
        <f t="shared" si="27"/>
        <v/>
      </c>
    </row>
    <row r="1740" spans="9:10">
      <c r="I1740" t="str">
        <f>_xlfn.IFNA(VLOOKUP(B1740,T_DistName[],3,FALSE),"")</f>
        <v/>
      </c>
      <c r="J1740" t="str">
        <f t="shared" si="27"/>
        <v/>
      </c>
    </row>
    <row r="1741" spans="9:10">
      <c r="I1741" t="str">
        <f>_xlfn.IFNA(VLOOKUP(B1741,T_DistName[],3,FALSE),"")</f>
        <v/>
      </c>
      <c r="J1741" t="str">
        <f t="shared" si="27"/>
        <v/>
      </c>
    </row>
    <row r="1742" spans="9:10">
      <c r="I1742" t="str">
        <f>_xlfn.IFNA(VLOOKUP(B1742,T_DistName[],3,FALSE),"")</f>
        <v/>
      </c>
      <c r="J1742" t="str">
        <f t="shared" si="27"/>
        <v/>
      </c>
    </row>
    <row r="1743" spans="9:10">
      <c r="I1743" t="str">
        <f>_xlfn.IFNA(VLOOKUP(B1743,T_DistName[],3,FALSE),"")</f>
        <v/>
      </c>
      <c r="J1743" t="str">
        <f t="shared" si="27"/>
        <v/>
      </c>
    </row>
    <row r="1744" spans="9:10">
      <c r="I1744" t="str">
        <f>_xlfn.IFNA(VLOOKUP(B1744,T_DistName[],3,FALSE),"")</f>
        <v/>
      </c>
      <c r="J1744" t="str">
        <f t="shared" si="27"/>
        <v/>
      </c>
    </row>
    <row r="1745" spans="9:10">
      <c r="I1745" t="str">
        <f>_xlfn.IFNA(VLOOKUP(B1745,T_DistName[],3,FALSE),"")</f>
        <v/>
      </c>
      <c r="J1745" t="str">
        <f t="shared" si="27"/>
        <v/>
      </c>
    </row>
    <row r="1746" spans="9:10">
      <c r="I1746" t="str">
        <f>_xlfn.IFNA(VLOOKUP(B1746,T_DistName[],3,FALSE),"")</f>
        <v/>
      </c>
      <c r="J1746" t="str">
        <f t="shared" si="27"/>
        <v/>
      </c>
    </row>
    <row r="1747" spans="9:10">
      <c r="I1747" t="str">
        <f>_xlfn.IFNA(VLOOKUP(B1747,T_DistName[],3,FALSE),"")</f>
        <v/>
      </c>
      <c r="J1747" t="str">
        <f t="shared" si="27"/>
        <v/>
      </c>
    </row>
    <row r="1748" spans="9:10">
      <c r="I1748" t="str">
        <f>_xlfn.IFNA(VLOOKUP(B1748,T_DistName[],3,FALSE),"")</f>
        <v/>
      </c>
      <c r="J1748" t="str">
        <f t="shared" si="27"/>
        <v/>
      </c>
    </row>
    <row r="1749" spans="9:10">
      <c r="I1749" t="str">
        <f>_xlfn.IFNA(VLOOKUP(B1749,T_DistName[],3,FALSE),"")</f>
        <v/>
      </c>
      <c r="J1749" t="str">
        <f t="shared" si="27"/>
        <v/>
      </c>
    </row>
    <row r="1750" spans="9:10">
      <c r="I1750" t="str">
        <f>_xlfn.IFNA(VLOOKUP(B1750,T_DistName[],3,FALSE),"")</f>
        <v/>
      </c>
      <c r="J1750" t="str">
        <f t="shared" si="27"/>
        <v/>
      </c>
    </row>
    <row r="1751" spans="9:10">
      <c r="I1751" t="str">
        <f>_xlfn.IFNA(VLOOKUP(B1751,T_DistName[],3,FALSE),"")</f>
        <v/>
      </c>
      <c r="J1751" t="str">
        <f t="shared" si="27"/>
        <v/>
      </c>
    </row>
    <row r="1752" spans="9:10">
      <c r="I1752" t="str">
        <f>_xlfn.IFNA(VLOOKUP(B1752,T_DistName[],3,FALSE),"")</f>
        <v/>
      </c>
      <c r="J1752" t="str">
        <f t="shared" si="27"/>
        <v/>
      </c>
    </row>
    <row r="1753" spans="9:10">
      <c r="I1753" t="str">
        <f>_xlfn.IFNA(VLOOKUP(B1753,T_DistName[],3,FALSE),"")</f>
        <v/>
      </c>
      <c r="J1753" t="str">
        <f t="shared" ref="J1753:J1816" si="28">I1753&amp;F1753</f>
        <v/>
      </c>
    </row>
    <row r="1754" spans="9:10">
      <c r="I1754" t="str">
        <f>_xlfn.IFNA(VLOOKUP(B1754,T_DistName[],3,FALSE),"")</f>
        <v/>
      </c>
      <c r="J1754" t="str">
        <f t="shared" si="28"/>
        <v/>
      </c>
    </row>
    <row r="1755" spans="9:10">
      <c r="I1755" t="str">
        <f>_xlfn.IFNA(VLOOKUP(B1755,T_DistName[],3,FALSE),"")</f>
        <v/>
      </c>
      <c r="J1755" t="str">
        <f t="shared" si="28"/>
        <v/>
      </c>
    </row>
    <row r="1756" spans="9:10">
      <c r="I1756" t="str">
        <f>_xlfn.IFNA(VLOOKUP(B1756,T_DistName[],3,FALSE),"")</f>
        <v/>
      </c>
      <c r="J1756" t="str">
        <f t="shared" si="28"/>
        <v/>
      </c>
    </row>
    <row r="1757" spans="9:10">
      <c r="I1757" t="str">
        <f>_xlfn.IFNA(VLOOKUP(B1757,T_DistName[],3,FALSE),"")</f>
        <v/>
      </c>
      <c r="J1757" t="str">
        <f t="shared" si="28"/>
        <v/>
      </c>
    </row>
    <row r="1758" spans="9:10">
      <c r="I1758" t="str">
        <f>_xlfn.IFNA(VLOOKUP(B1758,T_DistName[],3,FALSE),"")</f>
        <v/>
      </c>
      <c r="J1758" t="str">
        <f t="shared" si="28"/>
        <v/>
      </c>
    </row>
    <row r="1759" spans="9:10">
      <c r="I1759" t="str">
        <f>_xlfn.IFNA(VLOOKUP(B1759,T_DistName[],3,FALSE),"")</f>
        <v/>
      </c>
      <c r="J1759" t="str">
        <f t="shared" si="28"/>
        <v/>
      </c>
    </row>
    <row r="1760" spans="9:10">
      <c r="I1760" t="str">
        <f>_xlfn.IFNA(VLOOKUP(B1760,T_DistName[],3,FALSE),"")</f>
        <v/>
      </c>
      <c r="J1760" t="str">
        <f t="shared" si="28"/>
        <v/>
      </c>
    </row>
    <row r="1761" spans="9:10">
      <c r="I1761" t="str">
        <f>_xlfn.IFNA(VLOOKUP(B1761,T_DistName[],3,FALSE),"")</f>
        <v/>
      </c>
      <c r="J1761" t="str">
        <f t="shared" si="28"/>
        <v/>
      </c>
    </row>
    <row r="1762" spans="9:10">
      <c r="I1762" t="str">
        <f>_xlfn.IFNA(VLOOKUP(B1762,T_DistName[],3,FALSE),"")</f>
        <v/>
      </c>
      <c r="J1762" t="str">
        <f t="shared" si="28"/>
        <v/>
      </c>
    </row>
    <row r="1763" spans="9:10">
      <c r="I1763" t="str">
        <f>_xlfn.IFNA(VLOOKUP(B1763,T_DistName[],3,FALSE),"")</f>
        <v/>
      </c>
      <c r="J1763" t="str">
        <f t="shared" si="28"/>
        <v/>
      </c>
    </row>
    <row r="1764" spans="9:10">
      <c r="I1764" t="str">
        <f>_xlfn.IFNA(VLOOKUP(B1764,T_DistName[],3,FALSE),"")</f>
        <v/>
      </c>
      <c r="J1764" t="str">
        <f t="shared" si="28"/>
        <v/>
      </c>
    </row>
    <row r="1765" spans="9:10">
      <c r="I1765" t="str">
        <f>_xlfn.IFNA(VLOOKUP(B1765,T_DistName[],3,FALSE),"")</f>
        <v/>
      </c>
      <c r="J1765" t="str">
        <f t="shared" si="28"/>
        <v/>
      </c>
    </row>
    <row r="1766" spans="9:10">
      <c r="I1766" t="str">
        <f>_xlfn.IFNA(VLOOKUP(B1766,T_DistName[],3,FALSE),"")</f>
        <v/>
      </c>
      <c r="J1766" t="str">
        <f t="shared" si="28"/>
        <v/>
      </c>
    </row>
    <row r="1767" spans="9:10">
      <c r="I1767" t="str">
        <f>_xlfn.IFNA(VLOOKUP(B1767,T_DistName[],3,FALSE),"")</f>
        <v/>
      </c>
      <c r="J1767" t="str">
        <f t="shared" si="28"/>
        <v/>
      </c>
    </row>
    <row r="1768" spans="9:10">
      <c r="I1768" t="str">
        <f>_xlfn.IFNA(VLOOKUP(B1768,T_DistName[],3,FALSE),"")</f>
        <v/>
      </c>
      <c r="J1768" t="str">
        <f t="shared" si="28"/>
        <v/>
      </c>
    </row>
    <row r="1769" spans="9:10">
      <c r="I1769" t="str">
        <f>_xlfn.IFNA(VLOOKUP(B1769,T_DistName[],3,FALSE),"")</f>
        <v/>
      </c>
      <c r="J1769" t="str">
        <f t="shared" si="28"/>
        <v/>
      </c>
    </row>
    <row r="1770" spans="9:10">
      <c r="I1770" t="str">
        <f>_xlfn.IFNA(VLOOKUP(B1770,T_DistName[],3,FALSE),"")</f>
        <v/>
      </c>
      <c r="J1770" t="str">
        <f t="shared" si="28"/>
        <v/>
      </c>
    </row>
    <row r="1771" spans="9:10">
      <c r="I1771" t="str">
        <f>_xlfn.IFNA(VLOOKUP(B1771,T_DistName[],3,FALSE),"")</f>
        <v/>
      </c>
      <c r="J1771" t="str">
        <f t="shared" si="28"/>
        <v/>
      </c>
    </row>
    <row r="1772" spans="9:10">
      <c r="I1772" t="str">
        <f>_xlfn.IFNA(VLOOKUP(B1772,T_DistName[],3,FALSE),"")</f>
        <v/>
      </c>
      <c r="J1772" t="str">
        <f t="shared" si="28"/>
        <v/>
      </c>
    </row>
    <row r="1773" spans="9:10">
      <c r="I1773" t="str">
        <f>_xlfn.IFNA(VLOOKUP(B1773,T_DistName[],3,FALSE),"")</f>
        <v/>
      </c>
      <c r="J1773" t="str">
        <f t="shared" si="28"/>
        <v/>
      </c>
    </row>
    <row r="1774" spans="9:10">
      <c r="I1774" t="str">
        <f>_xlfn.IFNA(VLOOKUP(B1774,T_DistName[],3,FALSE),"")</f>
        <v/>
      </c>
      <c r="J1774" t="str">
        <f t="shared" si="28"/>
        <v/>
      </c>
    </row>
    <row r="1775" spans="9:10">
      <c r="I1775" t="str">
        <f>_xlfn.IFNA(VLOOKUP(B1775,T_DistName[],3,FALSE),"")</f>
        <v/>
      </c>
      <c r="J1775" t="str">
        <f t="shared" si="28"/>
        <v/>
      </c>
    </row>
    <row r="1776" spans="9:10">
      <c r="I1776" t="str">
        <f>_xlfn.IFNA(VLOOKUP(B1776,T_DistName[],3,FALSE),"")</f>
        <v/>
      </c>
      <c r="J1776" t="str">
        <f t="shared" si="28"/>
        <v/>
      </c>
    </row>
    <row r="1777" spans="9:10">
      <c r="I1777" t="str">
        <f>_xlfn.IFNA(VLOOKUP(B1777,T_DistName[],3,FALSE),"")</f>
        <v/>
      </c>
      <c r="J1777" t="str">
        <f t="shared" si="28"/>
        <v/>
      </c>
    </row>
    <row r="1778" spans="9:10">
      <c r="I1778" t="str">
        <f>_xlfn.IFNA(VLOOKUP(B1778,T_DistName[],3,FALSE),"")</f>
        <v/>
      </c>
      <c r="J1778" t="str">
        <f t="shared" si="28"/>
        <v/>
      </c>
    </row>
    <row r="1779" spans="9:10">
      <c r="I1779" t="str">
        <f>_xlfn.IFNA(VLOOKUP(B1779,T_DistName[],3,FALSE),"")</f>
        <v/>
      </c>
      <c r="J1779" t="str">
        <f t="shared" si="28"/>
        <v/>
      </c>
    </row>
    <row r="1780" spans="9:10">
      <c r="I1780" t="str">
        <f>_xlfn.IFNA(VLOOKUP(B1780,T_DistName[],3,FALSE),"")</f>
        <v/>
      </c>
      <c r="J1780" t="str">
        <f t="shared" si="28"/>
        <v/>
      </c>
    </row>
    <row r="1781" spans="9:10">
      <c r="I1781" t="str">
        <f>_xlfn.IFNA(VLOOKUP(B1781,T_DistName[],3,FALSE),"")</f>
        <v/>
      </c>
      <c r="J1781" t="str">
        <f t="shared" si="28"/>
        <v/>
      </c>
    </row>
    <row r="1782" spans="9:10">
      <c r="I1782" t="str">
        <f>_xlfn.IFNA(VLOOKUP(B1782,T_DistName[],3,FALSE),"")</f>
        <v/>
      </c>
      <c r="J1782" t="str">
        <f t="shared" si="28"/>
        <v/>
      </c>
    </row>
    <row r="1783" spans="9:10">
      <c r="I1783" t="str">
        <f>_xlfn.IFNA(VLOOKUP(B1783,T_DistName[],3,FALSE),"")</f>
        <v/>
      </c>
      <c r="J1783" t="str">
        <f t="shared" si="28"/>
        <v/>
      </c>
    </row>
    <row r="1784" spans="9:10">
      <c r="I1784" t="str">
        <f>_xlfn.IFNA(VLOOKUP(B1784,T_DistName[],3,FALSE),"")</f>
        <v/>
      </c>
      <c r="J1784" t="str">
        <f t="shared" si="28"/>
        <v/>
      </c>
    </row>
    <row r="1785" spans="9:10">
      <c r="I1785" t="str">
        <f>_xlfn.IFNA(VLOOKUP(B1785,T_DistName[],3,FALSE),"")</f>
        <v/>
      </c>
      <c r="J1785" t="str">
        <f t="shared" si="28"/>
        <v/>
      </c>
    </row>
    <row r="1786" spans="9:10">
      <c r="I1786" t="str">
        <f>_xlfn.IFNA(VLOOKUP(B1786,T_DistName[],3,FALSE),"")</f>
        <v/>
      </c>
      <c r="J1786" t="str">
        <f t="shared" si="28"/>
        <v/>
      </c>
    </row>
    <row r="1787" spans="9:10">
      <c r="I1787" t="str">
        <f>_xlfn.IFNA(VLOOKUP(B1787,T_DistName[],3,FALSE),"")</f>
        <v/>
      </c>
      <c r="J1787" t="str">
        <f t="shared" si="28"/>
        <v/>
      </c>
    </row>
    <row r="1788" spans="9:10">
      <c r="I1788" t="str">
        <f>_xlfn.IFNA(VLOOKUP(B1788,T_DistName[],3,FALSE),"")</f>
        <v/>
      </c>
      <c r="J1788" t="str">
        <f t="shared" si="28"/>
        <v/>
      </c>
    </row>
    <row r="1789" spans="9:10">
      <c r="I1789" t="str">
        <f>_xlfn.IFNA(VLOOKUP(B1789,T_DistName[],3,FALSE),"")</f>
        <v/>
      </c>
      <c r="J1789" t="str">
        <f t="shared" si="28"/>
        <v/>
      </c>
    </row>
    <row r="1790" spans="9:10">
      <c r="I1790" t="str">
        <f>_xlfn.IFNA(VLOOKUP(B1790,T_DistName[],3,FALSE),"")</f>
        <v/>
      </c>
      <c r="J1790" t="str">
        <f t="shared" si="28"/>
        <v/>
      </c>
    </row>
    <row r="1791" spans="9:10">
      <c r="I1791" t="str">
        <f>_xlfn.IFNA(VLOOKUP(B1791,T_DistName[],3,FALSE),"")</f>
        <v/>
      </c>
      <c r="J1791" t="str">
        <f t="shared" si="28"/>
        <v/>
      </c>
    </row>
    <row r="1792" spans="9:10">
      <c r="I1792" t="str">
        <f>_xlfn.IFNA(VLOOKUP(B1792,T_DistName[],3,FALSE),"")</f>
        <v/>
      </c>
      <c r="J1792" t="str">
        <f t="shared" si="28"/>
        <v/>
      </c>
    </row>
    <row r="1793" spans="9:10">
      <c r="I1793" t="str">
        <f>_xlfn.IFNA(VLOOKUP(B1793,T_DistName[],3,FALSE),"")</f>
        <v/>
      </c>
      <c r="J1793" t="str">
        <f t="shared" si="28"/>
        <v/>
      </c>
    </row>
    <row r="1794" spans="9:10">
      <c r="I1794" t="str">
        <f>_xlfn.IFNA(VLOOKUP(B1794,T_DistName[],3,FALSE),"")</f>
        <v/>
      </c>
      <c r="J1794" t="str">
        <f t="shared" si="28"/>
        <v/>
      </c>
    </row>
    <row r="1795" spans="9:10">
      <c r="I1795" t="str">
        <f>_xlfn.IFNA(VLOOKUP(B1795,T_DistName[],3,FALSE),"")</f>
        <v/>
      </c>
      <c r="J1795" t="str">
        <f t="shared" si="28"/>
        <v/>
      </c>
    </row>
    <row r="1796" spans="9:10">
      <c r="I1796" t="str">
        <f>_xlfn.IFNA(VLOOKUP(B1796,T_DistName[],3,FALSE),"")</f>
        <v/>
      </c>
      <c r="J1796" t="str">
        <f t="shared" si="28"/>
        <v/>
      </c>
    </row>
    <row r="1797" spans="9:10">
      <c r="I1797" t="str">
        <f>_xlfn.IFNA(VLOOKUP(B1797,T_DistName[],3,FALSE),"")</f>
        <v/>
      </c>
      <c r="J1797" t="str">
        <f t="shared" si="28"/>
        <v/>
      </c>
    </row>
    <row r="1798" spans="9:10">
      <c r="I1798" t="str">
        <f>_xlfn.IFNA(VLOOKUP(B1798,T_DistName[],3,FALSE),"")</f>
        <v/>
      </c>
      <c r="J1798" t="str">
        <f t="shared" si="28"/>
        <v/>
      </c>
    </row>
    <row r="1799" spans="9:10">
      <c r="I1799" t="str">
        <f>_xlfn.IFNA(VLOOKUP(B1799,T_DistName[],3,FALSE),"")</f>
        <v/>
      </c>
      <c r="J1799" t="str">
        <f t="shared" si="28"/>
        <v/>
      </c>
    </row>
    <row r="1800" spans="9:10">
      <c r="I1800" t="str">
        <f>_xlfn.IFNA(VLOOKUP(B1800,T_DistName[],3,FALSE),"")</f>
        <v/>
      </c>
      <c r="J1800" t="str">
        <f t="shared" si="28"/>
        <v/>
      </c>
    </row>
    <row r="1801" spans="9:10">
      <c r="I1801" t="str">
        <f>_xlfn.IFNA(VLOOKUP(B1801,T_DistName[],3,FALSE),"")</f>
        <v/>
      </c>
      <c r="J1801" t="str">
        <f t="shared" si="28"/>
        <v/>
      </c>
    </row>
    <row r="1802" spans="9:10">
      <c r="I1802" t="str">
        <f>_xlfn.IFNA(VLOOKUP(B1802,T_DistName[],3,FALSE),"")</f>
        <v/>
      </c>
      <c r="J1802" t="str">
        <f t="shared" si="28"/>
        <v/>
      </c>
    </row>
    <row r="1803" spans="9:10">
      <c r="I1803" t="str">
        <f>_xlfn.IFNA(VLOOKUP(B1803,T_DistName[],3,FALSE),"")</f>
        <v/>
      </c>
      <c r="J1803" t="str">
        <f t="shared" si="28"/>
        <v/>
      </c>
    </row>
    <row r="1804" spans="9:10">
      <c r="I1804" t="str">
        <f>_xlfn.IFNA(VLOOKUP(B1804,T_DistName[],3,FALSE),"")</f>
        <v/>
      </c>
      <c r="J1804" t="str">
        <f t="shared" si="28"/>
        <v/>
      </c>
    </row>
    <row r="1805" spans="9:10">
      <c r="I1805" t="str">
        <f>_xlfn.IFNA(VLOOKUP(B1805,T_DistName[],3,FALSE),"")</f>
        <v/>
      </c>
      <c r="J1805" t="str">
        <f t="shared" si="28"/>
        <v/>
      </c>
    </row>
    <row r="1806" spans="9:10">
      <c r="I1806" t="str">
        <f>_xlfn.IFNA(VLOOKUP(B1806,T_DistName[],3,FALSE),"")</f>
        <v/>
      </c>
      <c r="J1806" t="str">
        <f t="shared" si="28"/>
        <v/>
      </c>
    </row>
    <row r="1807" spans="9:10">
      <c r="I1807" t="str">
        <f>_xlfn.IFNA(VLOOKUP(B1807,T_DistName[],3,FALSE),"")</f>
        <v/>
      </c>
      <c r="J1807" t="str">
        <f t="shared" si="28"/>
        <v/>
      </c>
    </row>
    <row r="1808" spans="9:10">
      <c r="I1808" t="str">
        <f>_xlfn.IFNA(VLOOKUP(B1808,T_DistName[],3,FALSE),"")</f>
        <v/>
      </c>
      <c r="J1808" t="str">
        <f t="shared" si="28"/>
        <v/>
      </c>
    </row>
    <row r="1809" spans="9:10">
      <c r="I1809" t="str">
        <f>_xlfn.IFNA(VLOOKUP(B1809,T_DistName[],3,FALSE),"")</f>
        <v/>
      </c>
      <c r="J1809" t="str">
        <f t="shared" si="28"/>
        <v/>
      </c>
    </row>
    <row r="1810" spans="9:10">
      <c r="I1810" t="str">
        <f>_xlfn.IFNA(VLOOKUP(B1810,T_DistName[],3,FALSE),"")</f>
        <v/>
      </c>
      <c r="J1810" t="str">
        <f t="shared" si="28"/>
        <v/>
      </c>
    </row>
    <row r="1811" spans="9:10">
      <c r="I1811" t="str">
        <f>_xlfn.IFNA(VLOOKUP(B1811,T_DistName[],3,FALSE),"")</f>
        <v/>
      </c>
      <c r="J1811" t="str">
        <f t="shared" si="28"/>
        <v/>
      </c>
    </row>
    <row r="1812" spans="9:10">
      <c r="I1812" t="str">
        <f>_xlfn.IFNA(VLOOKUP(B1812,T_DistName[],3,FALSE),"")</f>
        <v/>
      </c>
      <c r="J1812" t="str">
        <f t="shared" si="28"/>
        <v/>
      </c>
    </row>
    <row r="1813" spans="9:10">
      <c r="I1813" t="str">
        <f>_xlfn.IFNA(VLOOKUP(B1813,T_DistName[],3,FALSE),"")</f>
        <v/>
      </c>
      <c r="J1813" t="str">
        <f t="shared" si="28"/>
        <v/>
      </c>
    </row>
    <row r="1814" spans="9:10">
      <c r="I1814" t="str">
        <f>_xlfn.IFNA(VLOOKUP(B1814,T_DistName[],3,FALSE),"")</f>
        <v/>
      </c>
      <c r="J1814" t="str">
        <f t="shared" si="28"/>
        <v/>
      </c>
    </row>
    <row r="1815" spans="9:10">
      <c r="I1815" t="str">
        <f>_xlfn.IFNA(VLOOKUP(B1815,T_DistName[],3,FALSE),"")</f>
        <v/>
      </c>
      <c r="J1815" t="str">
        <f t="shared" si="28"/>
        <v/>
      </c>
    </row>
    <row r="1816" spans="9:10">
      <c r="I1816" t="str">
        <f>_xlfn.IFNA(VLOOKUP(B1816,T_DistName[],3,FALSE),"")</f>
        <v/>
      </c>
      <c r="J1816" t="str">
        <f t="shared" si="28"/>
        <v/>
      </c>
    </row>
    <row r="1817" spans="9:10">
      <c r="I1817" t="str">
        <f>_xlfn.IFNA(VLOOKUP(B1817,T_DistName[],3,FALSE),"")</f>
        <v/>
      </c>
      <c r="J1817" t="str">
        <f t="shared" ref="J1817:J1880" si="29">I1817&amp;F1817</f>
        <v/>
      </c>
    </row>
    <row r="1818" spans="9:10">
      <c r="I1818" t="str">
        <f>_xlfn.IFNA(VLOOKUP(B1818,T_DistName[],3,FALSE),"")</f>
        <v/>
      </c>
      <c r="J1818" t="str">
        <f t="shared" si="29"/>
        <v/>
      </c>
    </row>
    <row r="1819" spans="9:10">
      <c r="I1819" t="str">
        <f>_xlfn.IFNA(VLOOKUP(B1819,T_DistName[],3,FALSE),"")</f>
        <v/>
      </c>
      <c r="J1819" t="str">
        <f t="shared" si="29"/>
        <v/>
      </c>
    </row>
    <row r="1820" spans="9:10">
      <c r="I1820" t="str">
        <f>_xlfn.IFNA(VLOOKUP(B1820,T_DistName[],3,FALSE),"")</f>
        <v/>
      </c>
      <c r="J1820" t="str">
        <f t="shared" si="29"/>
        <v/>
      </c>
    </row>
    <row r="1821" spans="9:10">
      <c r="I1821" t="str">
        <f>_xlfn.IFNA(VLOOKUP(B1821,T_DistName[],3,FALSE),"")</f>
        <v/>
      </c>
      <c r="J1821" t="str">
        <f t="shared" si="29"/>
        <v/>
      </c>
    </row>
    <row r="1822" spans="9:10">
      <c r="I1822" t="str">
        <f>_xlfn.IFNA(VLOOKUP(B1822,T_DistName[],3,FALSE),"")</f>
        <v/>
      </c>
      <c r="J1822" t="str">
        <f t="shared" si="29"/>
        <v/>
      </c>
    </row>
    <row r="1823" spans="9:10">
      <c r="I1823" t="str">
        <f>_xlfn.IFNA(VLOOKUP(B1823,T_DistName[],3,FALSE),"")</f>
        <v/>
      </c>
      <c r="J1823" t="str">
        <f t="shared" si="29"/>
        <v/>
      </c>
    </row>
    <row r="1824" spans="9:10">
      <c r="I1824" t="str">
        <f>_xlfn.IFNA(VLOOKUP(B1824,T_DistName[],3,FALSE),"")</f>
        <v/>
      </c>
      <c r="J1824" t="str">
        <f t="shared" si="29"/>
        <v/>
      </c>
    </row>
    <row r="1825" spans="9:10">
      <c r="I1825" t="str">
        <f>_xlfn.IFNA(VLOOKUP(B1825,T_DistName[],3,FALSE),"")</f>
        <v/>
      </c>
      <c r="J1825" t="str">
        <f t="shared" si="29"/>
        <v/>
      </c>
    </row>
    <row r="1826" spans="9:10">
      <c r="I1826" t="str">
        <f>_xlfn.IFNA(VLOOKUP(B1826,T_DistName[],3,FALSE),"")</f>
        <v/>
      </c>
      <c r="J1826" t="str">
        <f t="shared" si="29"/>
        <v/>
      </c>
    </row>
    <row r="1827" spans="9:10">
      <c r="I1827" t="str">
        <f>_xlfn.IFNA(VLOOKUP(B1827,T_DistName[],3,FALSE),"")</f>
        <v/>
      </c>
      <c r="J1827" t="str">
        <f t="shared" si="29"/>
        <v/>
      </c>
    </row>
    <row r="1828" spans="9:10">
      <c r="I1828" t="str">
        <f>_xlfn.IFNA(VLOOKUP(B1828,T_DistName[],3,FALSE),"")</f>
        <v/>
      </c>
      <c r="J1828" t="str">
        <f t="shared" si="29"/>
        <v/>
      </c>
    </row>
    <row r="1829" spans="9:10">
      <c r="I1829" t="str">
        <f>_xlfn.IFNA(VLOOKUP(B1829,T_DistName[],3,FALSE),"")</f>
        <v/>
      </c>
      <c r="J1829" t="str">
        <f t="shared" si="29"/>
        <v/>
      </c>
    </row>
    <row r="1830" spans="9:10">
      <c r="I1830" t="str">
        <f>_xlfn.IFNA(VLOOKUP(B1830,T_DistName[],3,FALSE),"")</f>
        <v/>
      </c>
      <c r="J1830" t="str">
        <f t="shared" si="29"/>
        <v/>
      </c>
    </row>
    <row r="1831" spans="9:10">
      <c r="I1831" t="str">
        <f>_xlfn.IFNA(VLOOKUP(B1831,T_DistName[],3,FALSE),"")</f>
        <v/>
      </c>
      <c r="J1831" t="str">
        <f t="shared" si="29"/>
        <v/>
      </c>
    </row>
    <row r="1832" spans="9:10">
      <c r="I1832" t="str">
        <f>_xlfn.IFNA(VLOOKUP(B1832,T_DistName[],3,FALSE),"")</f>
        <v/>
      </c>
      <c r="J1832" t="str">
        <f t="shared" si="29"/>
        <v/>
      </c>
    </row>
    <row r="1833" spans="9:10">
      <c r="I1833" t="str">
        <f>_xlfn.IFNA(VLOOKUP(B1833,T_DistName[],3,FALSE),"")</f>
        <v/>
      </c>
      <c r="J1833" t="str">
        <f t="shared" si="29"/>
        <v/>
      </c>
    </row>
    <row r="1834" spans="9:10">
      <c r="I1834" t="str">
        <f>_xlfn.IFNA(VLOOKUP(B1834,T_DistName[],3,FALSE),"")</f>
        <v/>
      </c>
      <c r="J1834" t="str">
        <f t="shared" si="29"/>
        <v/>
      </c>
    </row>
    <row r="1835" spans="9:10">
      <c r="I1835" t="str">
        <f>_xlfn.IFNA(VLOOKUP(B1835,T_DistName[],3,FALSE),"")</f>
        <v/>
      </c>
      <c r="J1835" t="str">
        <f t="shared" si="29"/>
        <v/>
      </c>
    </row>
    <row r="1836" spans="9:10">
      <c r="I1836" t="str">
        <f>_xlfn.IFNA(VLOOKUP(B1836,T_DistName[],3,FALSE),"")</f>
        <v/>
      </c>
      <c r="J1836" t="str">
        <f t="shared" si="29"/>
        <v/>
      </c>
    </row>
    <row r="1837" spans="9:10">
      <c r="I1837" t="str">
        <f>_xlfn.IFNA(VLOOKUP(B1837,T_DistName[],3,FALSE),"")</f>
        <v/>
      </c>
      <c r="J1837" t="str">
        <f t="shared" si="29"/>
        <v/>
      </c>
    </row>
    <row r="1838" spans="9:10">
      <c r="I1838" t="str">
        <f>_xlfn.IFNA(VLOOKUP(B1838,T_DistName[],3,FALSE),"")</f>
        <v/>
      </c>
      <c r="J1838" t="str">
        <f t="shared" si="29"/>
        <v/>
      </c>
    </row>
    <row r="1839" spans="9:10">
      <c r="I1839" t="str">
        <f>_xlfn.IFNA(VLOOKUP(B1839,T_DistName[],3,FALSE),"")</f>
        <v/>
      </c>
      <c r="J1839" t="str">
        <f t="shared" si="29"/>
        <v/>
      </c>
    </row>
    <row r="1840" spans="9:10">
      <c r="I1840" t="str">
        <f>_xlfn.IFNA(VLOOKUP(B1840,T_DistName[],3,FALSE),"")</f>
        <v/>
      </c>
      <c r="J1840" t="str">
        <f t="shared" si="29"/>
        <v/>
      </c>
    </row>
    <row r="1841" spans="9:10">
      <c r="I1841" t="str">
        <f>_xlfn.IFNA(VLOOKUP(B1841,T_DistName[],3,FALSE),"")</f>
        <v/>
      </c>
      <c r="J1841" t="str">
        <f t="shared" si="29"/>
        <v/>
      </c>
    </row>
    <row r="1842" spans="9:10">
      <c r="I1842" t="str">
        <f>_xlfn.IFNA(VLOOKUP(B1842,T_DistName[],3,FALSE),"")</f>
        <v/>
      </c>
      <c r="J1842" t="str">
        <f t="shared" si="29"/>
        <v/>
      </c>
    </row>
    <row r="1843" spans="9:10">
      <c r="I1843" t="str">
        <f>_xlfn.IFNA(VLOOKUP(B1843,T_DistName[],3,FALSE),"")</f>
        <v/>
      </c>
      <c r="J1843" t="str">
        <f t="shared" si="29"/>
        <v/>
      </c>
    </row>
    <row r="1844" spans="9:10">
      <c r="I1844" t="str">
        <f>_xlfn.IFNA(VLOOKUP(B1844,T_DistName[],3,FALSE),"")</f>
        <v/>
      </c>
      <c r="J1844" t="str">
        <f t="shared" si="29"/>
        <v/>
      </c>
    </row>
    <row r="1845" spans="9:10">
      <c r="I1845" t="str">
        <f>_xlfn.IFNA(VLOOKUP(B1845,T_DistName[],3,FALSE),"")</f>
        <v/>
      </c>
      <c r="J1845" t="str">
        <f t="shared" si="29"/>
        <v/>
      </c>
    </row>
    <row r="1846" spans="9:10">
      <c r="I1846" t="str">
        <f>_xlfn.IFNA(VLOOKUP(B1846,T_DistName[],3,FALSE),"")</f>
        <v/>
      </c>
      <c r="J1846" t="str">
        <f t="shared" si="29"/>
        <v/>
      </c>
    </row>
    <row r="1847" spans="9:10">
      <c r="I1847" t="str">
        <f>_xlfn.IFNA(VLOOKUP(B1847,T_DistName[],3,FALSE),"")</f>
        <v/>
      </c>
      <c r="J1847" t="str">
        <f t="shared" si="29"/>
        <v/>
      </c>
    </row>
    <row r="1848" spans="9:10">
      <c r="I1848" t="str">
        <f>_xlfn.IFNA(VLOOKUP(B1848,T_DistName[],3,FALSE),"")</f>
        <v/>
      </c>
      <c r="J1848" t="str">
        <f t="shared" si="29"/>
        <v/>
      </c>
    </row>
    <row r="1849" spans="9:10">
      <c r="I1849" t="str">
        <f>_xlfn.IFNA(VLOOKUP(B1849,T_DistName[],3,FALSE),"")</f>
        <v/>
      </c>
      <c r="J1849" t="str">
        <f t="shared" si="29"/>
        <v/>
      </c>
    </row>
    <row r="1850" spans="9:10">
      <c r="I1850" t="str">
        <f>_xlfn.IFNA(VLOOKUP(B1850,T_DistName[],3,FALSE),"")</f>
        <v/>
      </c>
      <c r="J1850" t="str">
        <f t="shared" si="29"/>
        <v/>
      </c>
    </row>
    <row r="1851" spans="9:10">
      <c r="I1851" t="str">
        <f>_xlfn.IFNA(VLOOKUP(B1851,T_DistName[],3,FALSE),"")</f>
        <v/>
      </c>
      <c r="J1851" t="str">
        <f t="shared" si="29"/>
        <v/>
      </c>
    </row>
    <row r="1852" spans="9:10">
      <c r="I1852" t="str">
        <f>_xlfn.IFNA(VLOOKUP(B1852,T_DistName[],3,FALSE),"")</f>
        <v/>
      </c>
      <c r="J1852" t="str">
        <f t="shared" si="29"/>
        <v/>
      </c>
    </row>
    <row r="1853" spans="9:10">
      <c r="I1853" t="str">
        <f>_xlfn.IFNA(VLOOKUP(B1853,T_DistName[],3,FALSE),"")</f>
        <v/>
      </c>
      <c r="J1853" t="str">
        <f t="shared" si="29"/>
        <v/>
      </c>
    </row>
    <row r="1854" spans="9:10">
      <c r="I1854" t="str">
        <f>_xlfn.IFNA(VLOOKUP(B1854,T_DistName[],3,FALSE),"")</f>
        <v/>
      </c>
      <c r="J1854" t="str">
        <f t="shared" si="29"/>
        <v/>
      </c>
    </row>
    <row r="1855" spans="9:10">
      <c r="I1855" t="str">
        <f>_xlfn.IFNA(VLOOKUP(B1855,T_DistName[],3,FALSE),"")</f>
        <v/>
      </c>
      <c r="J1855" t="str">
        <f t="shared" si="29"/>
        <v/>
      </c>
    </row>
    <row r="1856" spans="9:10">
      <c r="I1856" t="str">
        <f>_xlfn.IFNA(VLOOKUP(B1856,T_DistName[],3,FALSE),"")</f>
        <v/>
      </c>
      <c r="J1856" t="str">
        <f t="shared" si="29"/>
        <v/>
      </c>
    </row>
    <row r="1857" spans="9:10">
      <c r="I1857" t="str">
        <f>_xlfn.IFNA(VLOOKUP(B1857,T_DistName[],3,FALSE),"")</f>
        <v/>
      </c>
      <c r="J1857" t="str">
        <f t="shared" si="29"/>
        <v/>
      </c>
    </row>
    <row r="1858" spans="9:10">
      <c r="I1858" t="str">
        <f>_xlfn.IFNA(VLOOKUP(B1858,T_DistName[],3,FALSE),"")</f>
        <v/>
      </c>
      <c r="J1858" t="str">
        <f t="shared" si="29"/>
        <v/>
      </c>
    </row>
    <row r="1859" spans="9:10">
      <c r="I1859" t="str">
        <f>_xlfn.IFNA(VLOOKUP(B1859,T_DistName[],3,FALSE),"")</f>
        <v/>
      </c>
      <c r="J1859" t="str">
        <f t="shared" si="29"/>
        <v/>
      </c>
    </row>
    <row r="1860" spans="9:10">
      <c r="I1860" t="str">
        <f>_xlfn.IFNA(VLOOKUP(B1860,T_DistName[],3,FALSE),"")</f>
        <v/>
      </c>
      <c r="J1860" t="str">
        <f t="shared" si="29"/>
        <v/>
      </c>
    </row>
    <row r="1861" spans="9:10">
      <c r="I1861" t="str">
        <f>_xlfn.IFNA(VLOOKUP(B1861,T_DistName[],3,FALSE),"")</f>
        <v/>
      </c>
      <c r="J1861" t="str">
        <f t="shared" si="29"/>
        <v/>
      </c>
    </row>
    <row r="1862" spans="9:10">
      <c r="I1862" t="str">
        <f>_xlfn.IFNA(VLOOKUP(B1862,T_DistName[],3,FALSE),"")</f>
        <v/>
      </c>
      <c r="J1862" t="str">
        <f t="shared" si="29"/>
        <v/>
      </c>
    </row>
    <row r="1863" spans="9:10">
      <c r="I1863" t="str">
        <f>_xlfn.IFNA(VLOOKUP(B1863,T_DistName[],3,FALSE),"")</f>
        <v/>
      </c>
      <c r="J1863" t="str">
        <f t="shared" si="29"/>
        <v/>
      </c>
    </row>
    <row r="1864" spans="9:10">
      <c r="I1864" t="str">
        <f>_xlfn.IFNA(VLOOKUP(B1864,T_DistName[],3,FALSE),"")</f>
        <v/>
      </c>
      <c r="J1864" t="str">
        <f t="shared" si="29"/>
        <v/>
      </c>
    </row>
    <row r="1865" spans="9:10">
      <c r="I1865" t="str">
        <f>_xlfn.IFNA(VLOOKUP(B1865,T_DistName[],3,FALSE),"")</f>
        <v/>
      </c>
      <c r="J1865" t="str">
        <f t="shared" si="29"/>
        <v/>
      </c>
    </row>
    <row r="1866" spans="9:10">
      <c r="I1866" t="str">
        <f>_xlfn.IFNA(VLOOKUP(B1866,T_DistName[],3,FALSE),"")</f>
        <v/>
      </c>
      <c r="J1866" t="str">
        <f t="shared" si="29"/>
        <v/>
      </c>
    </row>
    <row r="1867" spans="9:10">
      <c r="I1867" t="str">
        <f>_xlfn.IFNA(VLOOKUP(B1867,T_DistName[],3,FALSE),"")</f>
        <v/>
      </c>
      <c r="J1867" t="str">
        <f t="shared" si="29"/>
        <v/>
      </c>
    </row>
    <row r="1868" spans="9:10">
      <c r="I1868" t="str">
        <f>_xlfn.IFNA(VLOOKUP(B1868,T_DistName[],3,FALSE),"")</f>
        <v/>
      </c>
      <c r="J1868" t="str">
        <f t="shared" si="29"/>
        <v/>
      </c>
    </row>
    <row r="1869" spans="9:10">
      <c r="I1869" t="str">
        <f>_xlfn.IFNA(VLOOKUP(B1869,T_DistName[],3,FALSE),"")</f>
        <v/>
      </c>
      <c r="J1869" t="str">
        <f t="shared" si="29"/>
        <v/>
      </c>
    </row>
    <row r="1870" spans="9:10">
      <c r="I1870" t="str">
        <f>_xlfn.IFNA(VLOOKUP(B1870,T_DistName[],3,FALSE),"")</f>
        <v/>
      </c>
      <c r="J1870" t="str">
        <f t="shared" si="29"/>
        <v/>
      </c>
    </row>
    <row r="1871" spans="9:10">
      <c r="I1871" t="str">
        <f>_xlfn.IFNA(VLOOKUP(B1871,T_DistName[],3,FALSE),"")</f>
        <v/>
      </c>
      <c r="J1871" t="str">
        <f t="shared" si="29"/>
        <v/>
      </c>
    </row>
    <row r="1872" spans="9:10">
      <c r="I1872" t="str">
        <f>_xlfn.IFNA(VLOOKUP(B1872,T_DistName[],3,FALSE),"")</f>
        <v/>
      </c>
      <c r="J1872" t="str">
        <f t="shared" si="29"/>
        <v/>
      </c>
    </row>
    <row r="1873" spans="9:10">
      <c r="I1873" t="str">
        <f>_xlfn.IFNA(VLOOKUP(B1873,T_DistName[],3,FALSE),"")</f>
        <v/>
      </c>
      <c r="J1873" t="str">
        <f t="shared" si="29"/>
        <v/>
      </c>
    </row>
    <row r="1874" spans="9:10">
      <c r="I1874" t="str">
        <f>_xlfn.IFNA(VLOOKUP(B1874,T_DistName[],3,FALSE),"")</f>
        <v/>
      </c>
      <c r="J1874" t="str">
        <f t="shared" si="29"/>
        <v/>
      </c>
    </row>
    <row r="1875" spans="9:10">
      <c r="I1875" t="str">
        <f>_xlfn.IFNA(VLOOKUP(B1875,T_DistName[],3,FALSE),"")</f>
        <v/>
      </c>
      <c r="J1875" t="str">
        <f t="shared" si="29"/>
        <v/>
      </c>
    </row>
    <row r="1876" spans="9:10">
      <c r="I1876" t="str">
        <f>_xlfn.IFNA(VLOOKUP(B1876,T_DistName[],3,FALSE),"")</f>
        <v/>
      </c>
      <c r="J1876" t="str">
        <f t="shared" si="29"/>
        <v/>
      </c>
    </row>
    <row r="1877" spans="9:10">
      <c r="I1877" t="str">
        <f>_xlfn.IFNA(VLOOKUP(B1877,T_DistName[],3,FALSE),"")</f>
        <v/>
      </c>
      <c r="J1877" t="str">
        <f t="shared" si="29"/>
        <v/>
      </c>
    </row>
    <row r="1878" spans="9:10">
      <c r="I1878" t="str">
        <f>_xlfn.IFNA(VLOOKUP(B1878,T_DistName[],3,FALSE),"")</f>
        <v/>
      </c>
      <c r="J1878" t="str">
        <f t="shared" si="29"/>
        <v/>
      </c>
    </row>
    <row r="1879" spans="9:10">
      <c r="I1879" t="str">
        <f>_xlfn.IFNA(VLOOKUP(B1879,T_DistName[],3,FALSE),"")</f>
        <v/>
      </c>
      <c r="J1879" t="str">
        <f t="shared" si="29"/>
        <v/>
      </c>
    </row>
    <row r="1880" spans="9:10">
      <c r="I1880" t="str">
        <f>_xlfn.IFNA(VLOOKUP(B1880,T_DistName[],3,FALSE),"")</f>
        <v/>
      </c>
      <c r="J1880" t="str">
        <f t="shared" si="29"/>
        <v/>
      </c>
    </row>
    <row r="1881" spans="9:10">
      <c r="I1881" t="str">
        <f>_xlfn.IFNA(VLOOKUP(B1881,T_DistName[],3,FALSE),"")</f>
        <v/>
      </c>
      <c r="J1881" t="str">
        <f t="shared" ref="J1881:J1944" si="30">I1881&amp;F1881</f>
        <v/>
      </c>
    </row>
    <row r="1882" spans="9:10">
      <c r="I1882" t="str">
        <f>_xlfn.IFNA(VLOOKUP(B1882,T_DistName[],3,FALSE),"")</f>
        <v/>
      </c>
      <c r="J1882" t="str">
        <f t="shared" si="30"/>
        <v/>
      </c>
    </row>
    <row r="1883" spans="9:10">
      <c r="I1883" t="str">
        <f>_xlfn.IFNA(VLOOKUP(B1883,T_DistName[],3,FALSE),"")</f>
        <v/>
      </c>
      <c r="J1883" t="str">
        <f t="shared" si="30"/>
        <v/>
      </c>
    </row>
    <row r="1884" spans="9:10">
      <c r="I1884" t="str">
        <f>_xlfn.IFNA(VLOOKUP(B1884,T_DistName[],3,FALSE),"")</f>
        <v/>
      </c>
      <c r="J1884" t="str">
        <f t="shared" si="30"/>
        <v/>
      </c>
    </row>
    <row r="1885" spans="9:10">
      <c r="I1885" t="str">
        <f>_xlfn.IFNA(VLOOKUP(B1885,T_DistName[],3,FALSE),"")</f>
        <v/>
      </c>
      <c r="J1885" t="str">
        <f t="shared" si="30"/>
        <v/>
      </c>
    </row>
    <row r="1886" spans="9:10">
      <c r="I1886" t="str">
        <f>_xlfn.IFNA(VLOOKUP(B1886,T_DistName[],3,FALSE),"")</f>
        <v/>
      </c>
      <c r="J1886" t="str">
        <f t="shared" si="30"/>
        <v/>
      </c>
    </row>
    <row r="1887" spans="9:10">
      <c r="I1887" t="str">
        <f>_xlfn.IFNA(VLOOKUP(B1887,T_DistName[],3,FALSE),"")</f>
        <v/>
      </c>
      <c r="J1887" t="str">
        <f t="shared" si="30"/>
        <v/>
      </c>
    </row>
    <row r="1888" spans="9:10">
      <c r="I1888" t="str">
        <f>_xlfn.IFNA(VLOOKUP(B1888,T_DistName[],3,FALSE),"")</f>
        <v/>
      </c>
      <c r="J1888" t="str">
        <f t="shared" si="30"/>
        <v/>
      </c>
    </row>
    <row r="1889" spans="9:10">
      <c r="I1889" t="str">
        <f>_xlfn.IFNA(VLOOKUP(B1889,T_DistName[],3,FALSE),"")</f>
        <v/>
      </c>
      <c r="J1889" t="str">
        <f t="shared" si="30"/>
        <v/>
      </c>
    </row>
    <row r="1890" spans="9:10">
      <c r="I1890" t="str">
        <f>_xlfn.IFNA(VLOOKUP(B1890,T_DistName[],3,FALSE),"")</f>
        <v/>
      </c>
      <c r="J1890" t="str">
        <f t="shared" si="30"/>
        <v/>
      </c>
    </row>
    <row r="1891" spans="9:10">
      <c r="I1891" t="str">
        <f>_xlfn.IFNA(VLOOKUP(B1891,T_DistName[],3,FALSE),"")</f>
        <v/>
      </c>
      <c r="J1891" t="str">
        <f t="shared" si="30"/>
        <v/>
      </c>
    </row>
    <row r="1892" spans="9:10">
      <c r="I1892" t="str">
        <f>_xlfn.IFNA(VLOOKUP(B1892,T_DistName[],3,FALSE),"")</f>
        <v/>
      </c>
      <c r="J1892" t="str">
        <f t="shared" si="30"/>
        <v/>
      </c>
    </row>
    <row r="1893" spans="9:10">
      <c r="I1893" t="str">
        <f>_xlfn.IFNA(VLOOKUP(B1893,T_DistName[],3,FALSE),"")</f>
        <v/>
      </c>
      <c r="J1893" t="str">
        <f t="shared" si="30"/>
        <v/>
      </c>
    </row>
    <row r="1894" spans="9:10">
      <c r="I1894" t="str">
        <f>_xlfn.IFNA(VLOOKUP(B1894,T_DistName[],3,FALSE),"")</f>
        <v/>
      </c>
      <c r="J1894" t="str">
        <f t="shared" si="30"/>
        <v/>
      </c>
    </row>
    <row r="1895" spans="9:10">
      <c r="I1895" t="str">
        <f>_xlfn.IFNA(VLOOKUP(B1895,T_DistName[],3,FALSE),"")</f>
        <v/>
      </c>
      <c r="J1895" t="str">
        <f t="shared" si="30"/>
        <v/>
      </c>
    </row>
    <row r="1896" spans="9:10">
      <c r="I1896" t="str">
        <f>_xlfn.IFNA(VLOOKUP(B1896,T_DistName[],3,FALSE),"")</f>
        <v/>
      </c>
      <c r="J1896" t="str">
        <f t="shared" si="30"/>
        <v/>
      </c>
    </row>
    <row r="1897" spans="9:10">
      <c r="I1897" t="str">
        <f>_xlfn.IFNA(VLOOKUP(B1897,T_DistName[],3,FALSE),"")</f>
        <v/>
      </c>
      <c r="J1897" t="str">
        <f t="shared" si="30"/>
        <v/>
      </c>
    </row>
    <row r="1898" spans="9:10">
      <c r="I1898" t="str">
        <f>_xlfn.IFNA(VLOOKUP(B1898,T_DistName[],3,FALSE),"")</f>
        <v/>
      </c>
      <c r="J1898" t="str">
        <f t="shared" si="30"/>
        <v/>
      </c>
    </row>
    <row r="1899" spans="9:10">
      <c r="I1899" t="str">
        <f>_xlfn.IFNA(VLOOKUP(B1899,T_DistName[],3,FALSE),"")</f>
        <v/>
      </c>
      <c r="J1899" t="str">
        <f t="shared" si="30"/>
        <v/>
      </c>
    </row>
    <row r="1900" spans="9:10">
      <c r="I1900" t="str">
        <f>_xlfn.IFNA(VLOOKUP(B1900,T_DistName[],3,FALSE),"")</f>
        <v/>
      </c>
      <c r="J1900" t="str">
        <f t="shared" si="30"/>
        <v/>
      </c>
    </row>
    <row r="1901" spans="9:10">
      <c r="I1901" t="str">
        <f>_xlfn.IFNA(VLOOKUP(B1901,T_DistName[],3,FALSE),"")</f>
        <v/>
      </c>
      <c r="J1901" t="str">
        <f t="shared" si="30"/>
        <v/>
      </c>
    </row>
    <row r="1902" spans="9:10">
      <c r="I1902" t="str">
        <f>_xlfn.IFNA(VLOOKUP(B1902,T_DistName[],3,FALSE),"")</f>
        <v/>
      </c>
      <c r="J1902" t="str">
        <f t="shared" si="30"/>
        <v/>
      </c>
    </row>
    <row r="1903" spans="9:10">
      <c r="I1903" t="str">
        <f>_xlfn.IFNA(VLOOKUP(B1903,T_DistName[],3,FALSE),"")</f>
        <v/>
      </c>
      <c r="J1903" t="str">
        <f t="shared" si="30"/>
        <v/>
      </c>
    </row>
    <row r="1904" spans="9:10">
      <c r="I1904" t="str">
        <f>_xlfn.IFNA(VLOOKUP(B1904,T_DistName[],3,FALSE),"")</f>
        <v/>
      </c>
      <c r="J1904" t="str">
        <f t="shared" si="30"/>
        <v/>
      </c>
    </row>
    <row r="1905" spans="9:10">
      <c r="I1905" t="str">
        <f>_xlfn.IFNA(VLOOKUP(B1905,T_DistName[],3,FALSE),"")</f>
        <v/>
      </c>
      <c r="J1905" t="str">
        <f t="shared" si="30"/>
        <v/>
      </c>
    </row>
    <row r="1906" spans="9:10">
      <c r="I1906" t="str">
        <f>_xlfn.IFNA(VLOOKUP(B1906,T_DistName[],3,FALSE),"")</f>
        <v/>
      </c>
      <c r="J1906" t="str">
        <f t="shared" si="30"/>
        <v/>
      </c>
    </row>
    <row r="1907" spans="9:10">
      <c r="I1907" t="str">
        <f>_xlfn.IFNA(VLOOKUP(B1907,T_DistName[],3,FALSE),"")</f>
        <v/>
      </c>
      <c r="J1907" t="str">
        <f t="shared" si="30"/>
        <v/>
      </c>
    </row>
    <row r="1908" spans="9:10">
      <c r="I1908" t="str">
        <f>_xlfn.IFNA(VLOOKUP(B1908,T_DistName[],3,FALSE),"")</f>
        <v/>
      </c>
      <c r="J1908" t="str">
        <f t="shared" si="30"/>
        <v/>
      </c>
    </row>
    <row r="1909" spans="9:10">
      <c r="I1909" t="str">
        <f>_xlfn.IFNA(VLOOKUP(B1909,T_DistName[],3,FALSE),"")</f>
        <v/>
      </c>
      <c r="J1909" t="str">
        <f t="shared" si="30"/>
        <v/>
      </c>
    </row>
    <row r="1910" spans="9:10">
      <c r="I1910" t="str">
        <f>_xlfn.IFNA(VLOOKUP(B1910,T_DistName[],3,FALSE),"")</f>
        <v/>
      </c>
      <c r="J1910" t="str">
        <f t="shared" si="30"/>
        <v/>
      </c>
    </row>
    <row r="1911" spans="9:10">
      <c r="I1911" t="str">
        <f>_xlfn.IFNA(VLOOKUP(B1911,T_DistName[],3,FALSE),"")</f>
        <v/>
      </c>
      <c r="J1911" t="str">
        <f t="shared" si="30"/>
        <v/>
      </c>
    </row>
    <row r="1912" spans="9:10">
      <c r="I1912" t="str">
        <f>_xlfn.IFNA(VLOOKUP(B1912,T_DistName[],3,FALSE),"")</f>
        <v/>
      </c>
      <c r="J1912" t="str">
        <f t="shared" si="30"/>
        <v/>
      </c>
    </row>
    <row r="1913" spans="9:10">
      <c r="I1913" t="str">
        <f>_xlfn.IFNA(VLOOKUP(B1913,T_DistName[],3,FALSE),"")</f>
        <v/>
      </c>
      <c r="J1913" t="str">
        <f t="shared" si="30"/>
        <v/>
      </c>
    </row>
    <row r="1914" spans="9:10">
      <c r="I1914" t="str">
        <f>_xlfn.IFNA(VLOOKUP(B1914,T_DistName[],3,FALSE),"")</f>
        <v/>
      </c>
      <c r="J1914" t="str">
        <f t="shared" si="30"/>
        <v/>
      </c>
    </row>
    <row r="1915" spans="9:10">
      <c r="I1915" t="str">
        <f>_xlfn.IFNA(VLOOKUP(B1915,T_DistName[],3,FALSE),"")</f>
        <v/>
      </c>
      <c r="J1915" t="str">
        <f t="shared" si="30"/>
        <v/>
      </c>
    </row>
    <row r="1916" spans="9:10">
      <c r="I1916" t="str">
        <f>_xlfn.IFNA(VLOOKUP(B1916,T_DistName[],3,FALSE),"")</f>
        <v/>
      </c>
      <c r="J1916" t="str">
        <f t="shared" si="30"/>
        <v/>
      </c>
    </row>
    <row r="1917" spans="9:10">
      <c r="I1917" t="str">
        <f>_xlfn.IFNA(VLOOKUP(B1917,T_DistName[],3,FALSE),"")</f>
        <v/>
      </c>
      <c r="J1917" t="str">
        <f t="shared" si="30"/>
        <v/>
      </c>
    </row>
    <row r="1918" spans="9:10">
      <c r="I1918" t="str">
        <f>_xlfn.IFNA(VLOOKUP(B1918,T_DistName[],3,FALSE),"")</f>
        <v/>
      </c>
      <c r="J1918" t="str">
        <f t="shared" si="30"/>
        <v/>
      </c>
    </row>
    <row r="1919" spans="9:10">
      <c r="I1919" t="str">
        <f>_xlfn.IFNA(VLOOKUP(B1919,T_DistName[],3,FALSE),"")</f>
        <v/>
      </c>
      <c r="J1919" t="str">
        <f t="shared" si="30"/>
        <v/>
      </c>
    </row>
    <row r="1920" spans="9:10">
      <c r="I1920" t="str">
        <f>_xlfn.IFNA(VLOOKUP(B1920,T_DistName[],3,FALSE),"")</f>
        <v/>
      </c>
      <c r="J1920" t="str">
        <f t="shared" si="30"/>
        <v/>
      </c>
    </row>
    <row r="1921" spans="9:10">
      <c r="I1921" t="str">
        <f>_xlfn.IFNA(VLOOKUP(B1921,T_DistName[],3,FALSE),"")</f>
        <v/>
      </c>
      <c r="J1921" t="str">
        <f t="shared" si="30"/>
        <v/>
      </c>
    </row>
    <row r="1922" spans="9:10">
      <c r="I1922" t="str">
        <f>_xlfn.IFNA(VLOOKUP(B1922,T_DistName[],3,FALSE),"")</f>
        <v/>
      </c>
      <c r="J1922" t="str">
        <f t="shared" si="30"/>
        <v/>
      </c>
    </row>
    <row r="1923" spans="9:10">
      <c r="I1923" t="str">
        <f>_xlfn.IFNA(VLOOKUP(B1923,T_DistName[],3,FALSE),"")</f>
        <v/>
      </c>
      <c r="J1923" t="str">
        <f t="shared" si="30"/>
        <v/>
      </c>
    </row>
    <row r="1924" spans="9:10">
      <c r="I1924" t="str">
        <f>_xlfn.IFNA(VLOOKUP(B1924,T_DistName[],3,FALSE),"")</f>
        <v/>
      </c>
      <c r="J1924" t="str">
        <f t="shared" si="30"/>
        <v/>
      </c>
    </row>
    <row r="1925" spans="9:10">
      <c r="I1925" t="str">
        <f>_xlfn.IFNA(VLOOKUP(B1925,T_DistName[],3,FALSE),"")</f>
        <v/>
      </c>
      <c r="J1925" t="str">
        <f t="shared" si="30"/>
        <v/>
      </c>
    </row>
    <row r="1926" spans="9:10">
      <c r="I1926" t="str">
        <f>_xlfn.IFNA(VLOOKUP(B1926,T_DistName[],3,FALSE),"")</f>
        <v/>
      </c>
      <c r="J1926" t="str">
        <f t="shared" si="30"/>
        <v/>
      </c>
    </row>
    <row r="1927" spans="9:10">
      <c r="I1927" t="str">
        <f>_xlfn.IFNA(VLOOKUP(B1927,T_DistName[],3,FALSE),"")</f>
        <v/>
      </c>
      <c r="J1927" t="str">
        <f t="shared" si="30"/>
        <v/>
      </c>
    </row>
    <row r="1928" spans="9:10">
      <c r="I1928" t="str">
        <f>_xlfn.IFNA(VLOOKUP(B1928,T_DistName[],3,FALSE),"")</f>
        <v/>
      </c>
      <c r="J1928" t="str">
        <f t="shared" si="30"/>
        <v/>
      </c>
    </row>
    <row r="1929" spans="9:10">
      <c r="I1929" t="str">
        <f>_xlfn.IFNA(VLOOKUP(B1929,T_DistName[],3,FALSE),"")</f>
        <v/>
      </c>
      <c r="J1929" t="str">
        <f t="shared" si="30"/>
        <v/>
      </c>
    </row>
    <row r="1930" spans="9:10">
      <c r="I1930" t="str">
        <f>_xlfn.IFNA(VLOOKUP(B1930,T_DistName[],3,FALSE),"")</f>
        <v/>
      </c>
      <c r="J1930" t="str">
        <f t="shared" si="30"/>
        <v/>
      </c>
    </row>
    <row r="1931" spans="9:10">
      <c r="I1931" t="str">
        <f>_xlfn.IFNA(VLOOKUP(B1931,T_DistName[],3,FALSE),"")</f>
        <v/>
      </c>
      <c r="J1931" t="str">
        <f t="shared" si="30"/>
        <v/>
      </c>
    </row>
    <row r="1932" spans="9:10">
      <c r="I1932" t="str">
        <f>_xlfn.IFNA(VLOOKUP(B1932,T_DistName[],3,FALSE),"")</f>
        <v/>
      </c>
      <c r="J1932" t="str">
        <f t="shared" si="30"/>
        <v/>
      </c>
    </row>
    <row r="1933" spans="9:10">
      <c r="I1933" t="str">
        <f>_xlfn.IFNA(VLOOKUP(B1933,T_DistName[],3,FALSE),"")</f>
        <v/>
      </c>
      <c r="J1933" t="str">
        <f t="shared" si="30"/>
        <v/>
      </c>
    </row>
    <row r="1934" spans="9:10">
      <c r="I1934" t="str">
        <f>_xlfn.IFNA(VLOOKUP(B1934,T_DistName[],3,FALSE),"")</f>
        <v/>
      </c>
      <c r="J1934" t="str">
        <f t="shared" si="30"/>
        <v/>
      </c>
    </row>
    <row r="1935" spans="9:10">
      <c r="I1935" t="str">
        <f>_xlfn.IFNA(VLOOKUP(B1935,T_DistName[],3,FALSE),"")</f>
        <v/>
      </c>
      <c r="J1935" t="str">
        <f t="shared" si="30"/>
        <v/>
      </c>
    </row>
    <row r="1936" spans="9:10">
      <c r="I1936" t="str">
        <f>_xlfn.IFNA(VLOOKUP(B1936,T_DistName[],3,FALSE),"")</f>
        <v/>
      </c>
      <c r="J1936" t="str">
        <f t="shared" si="30"/>
        <v/>
      </c>
    </row>
    <row r="1937" spans="9:10">
      <c r="I1937" t="str">
        <f>_xlfn.IFNA(VLOOKUP(B1937,T_DistName[],3,FALSE),"")</f>
        <v/>
      </c>
      <c r="J1937" t="str">
        <f t="shared" si="30"/>
        <v/>
      </c>
    </row>
    <row r="1938" spans="9:10">
      <c r="I1938" t="str">
        <f>_xlfn.IFNA(VLOOKUP(B1938,T_DistName[],3,FALSE),"")</f>
        <v/>
      </c>
      <c r="J1938" t="str">
        <f t="shared" si="30"/>
        <v/>
      </c>
    </row>
    <row r="1939" spans="9:10">
      <c r="I1939" t="str">
        <f>_xlfn.IFNA(VLOOKUP(B1939,T_DistName[],3,FALSE),"")</f>
        <v/>
      </c>
      <c r="J1939" t="str">
        <f t="shared" si="30"/>
        <v/>
      </c>
    </row>
    <row r="1940" spans="9:10">
      <c r="I1940" t="str">
        <f>_xlfn.IFNA(VLOOKUP(B1940,T_DistName[],3,FALSE),"")</f>
        <v/>
      </c>
      <c r="J1940" t="str">
        <f t="shared" si="30"/>
        <v/>
      </c>
    </row>
    <row r="1941" spans="9:10">
      <c r="I1941" t="str">
        <f>_xlfn.IFNA(VLOOKUP(B1941,T_DistName[],3,FALSE),"")</f>
        <v/>
      </c>
      <c r="J1941" t="str">
        <f t="shared" si="30"/>
        <v/>
      </c>
    </row>
    <row r="1942" spans="9:10">
      <c r="I1942" t="str">
        <f>_xlfn.IFNA(VLOOKUP(B1942,T_DistName[],3,FALSE),"")</f>
        <v/>
      </c>
      <c r="J1942" t="str">
        <f t="shared" si="30"/>
        <v/>
      </c>
    </row>
    <row r="1943" spans="9:10">
      <c r="I1943" t="str">
        <f>_xlfn.IFNA(VLOOKUP(B1943,T_DistName[],3,FALSE),"")</f>
        <v/>
      </c>
      <c r="J1943" t="str">
        <f t="shared" si="30"/>
        <v/>
      </c>
    </row>
    <row r="1944" spans="9:10">
      <c r="I1944" t="str">
        <f>_xlfn.IFNA(VLOOKUP(B1944,T_DistName[],3,FALSE),"")</f>
        <v/>
      </c>
      <c r="J1944" t="str">
        <f t="shared" si="30"/>
        <v/>
      </c>
    </row>
    <row r="1945" spans="9:10">
      <c r="I1945" t="str">
        <f>_xlfn.IFNA(VLOOKUP(B1945,T_DistName[],3,FALSE),"")</f>
        <v/>
      </c>
      <c r="J1945" t="str">
        <f t="shared" ref="J1945:J2008" si="31">I1945&amp;F1945</f>
        <v/>
      </c>
    </row>
    <row r="1946" spans="9:10">
      <c r="I1946" t="str">
        <f>_xlfn.IFNA(VLOOKUP(B1946,T_DistName[],3,FALSE),"")</f>
        <v/>
      </c>
      <c r="J1946" t="str">
        <f t="shared" si="31"/>
        <v/>
      </c>
    </row>
    <row r="1947" spans="9:10">
      <c r="I1947" t="str">
        <f>_xlfn.IFNA(VLOOKUP(B1947,T_DistName[],3,FALSE),"")</f>
        <v/>
      </c>
      <c r="J1947" t="str">
        <f t="shared" si="31"/>
        <v/>
      </c>
    </row>
    <row r="1948" spans="9:10">
      <c r="I1948" t="str">
        <f>_xlfn.IFNA(VLOOKUP(B1948,T_DistName[],3,FALSE),"")</f>
        <v/>
      </c>
      <c r="J1948" t="str">
        <f t="shared" si="31"/>
        <v/>
      </c>
    </row>
    <row r="1949" spans="9:10">
      <c r="I1949" t="str">
        <f>_xlfn.IFNA(VLOOKUP(B1949,T_DistName[],3,FALSE),"")</f>
        <v/>
      </c>
      <c r="J1949" t="str">
        <f t="shared" si="31"/>
        <v/>
      </c>
    </row>
    <row r="1950" spans="9:10">
      <c r="I1950" t="str">
        <f>_xlfn.IFNA(VLOOKUP(B1950,T_DistName[],3,FALSE),"")</f>
        <v/>
      </c>
      <c r="J1950" t="str">
        <f t="shared" si="31"/>
        <v/>
      </c>
    </row>
    <row r="1951" spans="9:10">
      <c r="I1951" t="str">
        <f>_xlfn.IFNA(VLOOKUP(B1951,T_DistName[],3,FALSE),"")</f>
        <v/>
      </c>
      <c r="J1951" t="str">
        <f t="shared" si="31"/>
        <v/>
      </c>
    </row>
    <row r="1952" spans="9:10">
      <c r="I1952" t="str">
        <f>_xlfn.IFNA(VLOOKUP(B1952,T_DistName[],3,FALSE),"")</f>
        <v/>
      </c>
      <c r="J1952" t="str">
        <f t="shared" si="31"/>
        <v/>
      </c>
    </row>
    <row r="1953" spans="9:10">
      <c r="I1953" t="str">
        <f>_xlfn.IFNA(VLOOKUP(B1953,T_DistName[],3,FALSE),"")</f>
        <v/>
      </c>
      <c r="J1953" t="str">
        <f t="shared" si="31"/>
        <v/>
      </c>
    </row>
    <row r="1954" spans="9:10">
      <c r="I1954" t="str">
        <f>_xlfn.IFNA(VLOOKUP(B1954,T_DistName[],3,FALSE),"")</f>
        <v/>
      </c>
      <c r="J1954" t="str">
        <f t="shared" si="31"/>
        <v/>
      </c>
    </row>
    <row r="1955" spans="9:10">
      <c r="I1955" t="str">
        <f>_xlfn.IFNA(VLOOKUP(B1955,T_DistName[],3,FALSE),"")</f>
        <v/>
      </c>
      <c r="J1955" t="str">
        <f t="shared" si="31"/>
        <v/>
      </c>
    </row>
    <row r="1956" spans="9:10">
      <c r="I1956" t="str">
        <f>_xlfn.IFNA(VLOOKUP(B1956,T_DistName[],3,FALSE),"")</f>
        <v/>
      </c>
      <c r="J1956" t="str">
        <f t="shared" si="31"/>
        <v/>
      </c>
    </row>
    <row r="1957" spans="9:10">
      <c r="I1957" t="str">
        <f>_xlfn.IFNA(VLOOKUP(B1957,T_DistName[],3,FALSE),"")</f>
        <v/>
      </c>
      <c r="J1957" t="str">
        <f t="shared" si="31"/>
        <v/>
      </c>
    </row>
    <row r="1958" spans="9:10">
      <c r="I1958" t="str">
        <f>_xlfn.IFNA(VLOOKUP(B1958,T_DistName[],3,FALSE),"")</f>
        <v/>
      </c>
      <c r="J1958" t="str">
        <f t="shared" si="31"/>
        <v/>
      </c>
    </row>
    <row r="1959" spans="9:10">
      <c r="I1959" t="str">
        <f>_xlfn.IFNA(VLOOKUP(B1959,T_DistName[],3,FALSE),"")</f>
        <v/>
      </c>
      <c r="J1959" t="str">
        <f t="shared" si="31"/>
        <v/>
      </c>
    </row>
    <row r="1960" spans="9:10">
      <c r="I1960" t="str">
        <f>_xlfn.IFNA(VLOOKUP(B1960,T_DistName[],3,FALSE),"")</f>
        <v/>
      </c>
      <c r="J1960" t="str">
        <f t="shared" si="31"/>
        <v/>
      </c>
    </row>
    <row r="1961" spans="9:10">
      <c r="I1961" t="str">
        <f>_xlfn.IFNA(VLOOKUP(B1961,T_DistName[],3,FALSE),"")</f>
        <v/>
      </c>
      <c r="J1961" t="str">
        <f t="shared" si="31"/>
        <v/>
      </c>
    </row>
    <row r="1962" spans="9:10">
      <c r="I1962" t="str">
        <f>_xlfn.IFNA(VLOOKUP(B1962,T_DistName[],3,FALSE),"")</f>
        <v/>
      </c>
      <c r="J1962" t="str">
        <f t="shared" si="31"/>
        <v/>
      </c>
    </row>
    <row r="1963" spans="9:10">
      <c r="I1963" t="str">
        <f>_xlfn.IFNA(VLOOKUP(B1963,T_DistName[],3,FALSE),"")</f>
        <v/>
      </c>
      <c r="J1963" t="str">
        <f t="shared" si="31"/>
        <v/>
      </c>
    </row>
    <row r="1964" spans="9:10">
      <c r="I1964" t="str">
        <f>_xlfn.IFNA(VLOOKUP(B1964,T_DistName[],3,FALSE),"")</f>
        <v/>
      </c>
      <c r="J1964" t="str">
        <f t="shared" si="31"/>
        <v/>
      </c>
    </row>
    <row r="1965" spans="9:10">
      <c r="I1965" t="str">
        <f>_xlfn.IFNA(VLOOKUP(B1965,T_DistName[],3,FALSE),"")</f>
        <v/>
      </c>
      <c r="J1965" t="str">
        <f t="shared" si="31"/>
        <v/>
      </c>
    </row>
    <row r="1966" spans="9:10">
      <c r="I1966" t="str">
        <f>_xlfn.IFNA(VLOOKUP(B1966,T_DistName[],3,FALSE),"")</f>
        <v/>
      </c>
      <c r="J1966" t="str">
        <f t="shared" si="31"/>
        <v/>
      </c>
    </row>
    <row r="1967" spans="9:10">
      <c r="I1967" t="str">
        <f>_xlfn.IFNA(VLOOKUP(B1967,T_DistName[],3,FALSE),"")</f>
        <v/>
      </c>
      <c r="J1967" t="str">
        <f t="shared" si="31"/>
        <v/>
      </c>
    </row>
    <row r="1968" spans="9:10">
      <c r="I1968" t="str">
        <f>_xlfn.IFNA(VLOOKUP(B1968,T_DistName[],3,FALSE),"")</f>
        <v/>
      </c>
      <c r="J1968" t="str">
        <f t="shared" si="31"/>
        <v/>
      </c>
    </row>
    <row r="1969" spans="9:10">
      <c r="I1969" t="str">
        <f>_xlfn.IFNA(VLOOKUP(B1969,T_DistName[],3,FALSE),"")</f>
        <v/>
      </c>
      <c r="J1969" t="str">
        <f t="shared" si="31"/>
        <v/>
      </c>
    </row>
    <row r="1970" spans="9:10">
      <c r="I1970" t="str">
        <f>_xlfn.IFNA(VLOOKUP(B1970,T_DistName[],3,FALSE),"")</f>
        <v/>
      </c>
      <c r="J1970" t="str">
        <f t="shared" si="31"/>
        <v/>
      </c>
    </row>
    <row r="1971" spans="9:10">
      <c r="I1971" t="str">
        <f>_xlfn.IFNA(VLOOKUP(B1971,T_DistName[],3,FALSE),"")</f>
        <v/>
      </c>
      <c r="J1971" t="str">
        <f t="shared" si="31"/>
        <v/>
      </c>
    </row>
    <row r="1972" spans="9:10">
      <c r="I1972" t="str">
        <f>_xlfn.IFNA(VLOOKUP(B1972,T_DistName[],3,FALSE),"")</f>
        <v/>
      </c>
      <c r="J1972" t="str">
        <f t="shared" si="31"/>
        <v/>
      </c>
    </row>
    <row r="1973" spans="9:10">
      <c r="I1973" t="str">
        <f>_xlfn.IFNA(VLOOKUP(B1973,T_DistName[],3,FALSE),"")</f>
        <v/>
      </c>
      <c r="J1973" t="str">
        <f t="shared" si="31"/>
        <v/>
      </c>
    </row>
    <row r="1974" spans="9:10">
      <c r="I1974" t="str">
        <f>_xlfn.IFNA(VLOOKUP(B1974,T_DistName[],3,FALSE),"")</f>
        <v/>
      </c>
      <c r="J1974" t="str">
        <f t="shared" si="31"/>
        <v/>
      </c>
    </row>
    <row r="1975" spans="9:10">
      <c r="I1975" t="str">
        <f>_xlfn.IFNA(VLOOKUP(B1975,T_DistName[],3,FALSE),"")</f>
        <v/>
      </c>
      <c r="J1975" t="str">
        <f t="shared" si="31"/>
        <v/>
      </c>
    </row>
    <row r="1976" spans="9:10">
      <c r="I1976" t="str">
        <f>_xlfn.IFNA(VLOOKUP(B1976,T_DistName[],3,FALSE),"")</f>
        <v/>
      </c>
      <c r="J1976" t="str">
        <f t="shared" si="31"/>
        <v/>
      </c>
    </row>
    <row r="1977" spans="9:10">
      <c r="I1977" t="str">
        <f>_xlfn.IFNA(VLOOKUP(B1977,T_DistName[],3,FALSE),"")</f>
        <v/>
      </c>
      <c r="J1977" t="str">
        <f t="shared" si="31"/>
        <v/>
      </c>
    </row>
    <row r="1978" spans="9:10">
      <c r="I1978" t="str">
        <f>_xlfn.IFNA(VLOOKUP(B1978,T_DistName[],3,FALSE),"")</f>
        <v/>
      </c>
      <c r="J1978" t="str">
        <f t="shared" si="31"/>
        <v/>
      </c>
    </row>
    <row r="1979" spans="9:10">
      <c r="I1979" t="str">
        <f>_xlfn.IFNA(VLOOKUP(B1979,T_DistName[],3,FALSE),"")</f>
        <v/>
      </c>
      <c r="J1979" t="str">
        <f t="shared" si="31"/>
        <v/>
      </c>
    </row>
    <row r="1980" spans="9:10">
      <c r="I1980" t="str">
        <f>_xlfn.IFNA(VLOOKUP(B1980,T_DistName[],3,FALSE),"")</f>
        <v/>
      </c>
      <c r="J1980" t="str">
        <f t="shared" si="31"/>
        <v/>
      </c>
    </row>
    <row r="1981" spans="9:10">
      <c r="I1981" t="str">
        <f>_xlfn.IFNA(VLOOKUP(B1981,T_DistName[],3,FALSE),"")</f>
        <v/>
      </c>
      <c r="J1981" t="str">
        <f t="shared" si="31"/>
        <v/>
      </c>
    </row>
    <row r="1982" spans="9:10">
      <c r="I1982" t="str">
        <f>_xlfn.IFNA(VLOOKUP(B1982,T_DistName[],3,FALSE),"")</f>
        <v/>
      </c>
      <c r="J1982" t="str">
        <f t="shared" si="31"/>
        <v/>
      </c>
    </row>
    <row r="1983" spans="9:10">
      <c r="I1983" t="str">
        <f>_xlfn.IFNA(VLOOKUP(B1983,T_DistName[],3,FALSE),"")</f>
        <v/>
      </c>
      <c r="J1983" t="str">
        <f t="shared" si="31"/>
        <v/>
      </c>
    </row>
    <row r="1984" spans="9:10">
      <c r="I1984" t="str">
        <f>_xlfn.IFNA(VLOOKUP(B1984,T_DistName[],3,FALSE),"")</f>
        <v/>
      </c>
      <c r="J1984" t="str">
        <f t="shared" si="31"/>
        <v/>
      </c>
    </row>
    <row r="1985" spans="9:10">
      <c r="I1985" t="str">
        <f>_xlfn.IFNA(VLOOKUP(B1985,T_DistName[],3,FALSE),"")</f>
        <v/>
      </c>
      <c r="J1985" t="str">
        <f t="shared" si="31"/>
        <v/>
      </c>
    </row>
    <row r="1986" spans="9:10">
      <c r="I1986" t="str">
        <f>_xlfn.IFNA(VLOOKUP(B1986,T_DistName[],3,FALSE),"")</f>
        <v/>
      </c>
      <c r="J1986" t="str">
        <f t="shared" si="31"/>
        <v/>
      </c>
    </row>
    <row r="1987" spans="9:10">
      <c r="I1987" t="str">
        <f>_xlfn.IFNA(VLOOKUP(B1987,T_DistName[],3,FALSE),"")</f>
        <v/>
      </c>
      <c r="J1987" t="str">
        <f t="shared" si="31"/>
        <v/>
      </c>
    </row>
    <row r="1988" spans="9:10">
      <c r="I1988" t="str">
        <f>_xlfn.IFNA(VLOOKUP(B1988,T_DistName[],3,FALSE),"")</f>
        <v/>
      </c>
      <c r="J1988" t="str">
        <f t="shared" si="31"/>
        <v/>
      </c>
    </row>
    <row r="1989" spans="9:10">
      <c r="I1989" t="str">
        <f>_xlfn.IFNA(VLOOKUP(B1989,T_DistName[],3,FALSE),"")</f>
        <v/>
      </c>
      <c r="J1989" t="str">
        <f t="shared" si="31"/>
        <v/>
      </c>
    </row>
    <row r="1990" spans="9:10">
      <c r="I1990" t="str">
        <f>_xlfn.IFNA(VLOOKUP(B1990,T_DistName[],3,FALSE),"")</f>
        <v/>
      </c>
      <c r="J1990" t="str">
        <f t="shared" si="31"/>
        <v/>
      </c>
    </row>
    <row r="1991" spans="9:10">
      <c r="I1991" t="str">
        <f>_xlfn.IFNA(VLOOKUP(B1991,T_DistName[],3,FALSE),"")</f>
        <v/>
      </c>
      <c r="J1991" t="str">
        <f t="shared" si="31"/>
        <v/>
      </c>
    </row>
    <row r="1992" spans="9:10">
      <c r="I1992" t="str">
        <f>_xlfn.IFNA(VLOOKUP(B1992,T_DistName[],3,FALSE),"")</f>
        <v/>
      </c>
      <c r="J1992" t="str">
        <f t="shared" si="31"/>
        <v/>
      </c>
    </row>
    <row r="1993" spans="9:10">
      <c r="I1993" t="str">
        <f>_xlfn.IFNA(VLOOKUP(B1993,T_DistName[],3,FALSE),"")</f>
        <v/>
      </c>
      <c r="J1993" t="str">
        <f t="shared" si="31"/>
        <v/>
      </c>
    </row>
    <row r="1994" spans="9:10">
      <c r="I1994" t="str">
        <f>_xlfn.IFNA(VLOOKUP(B1994,T_DistName[],3,FALSE),"")</f>
        <v/>
      </c>
      <c r="J1994" t="str">
        <f t="shared" si="31"/>
        <v/>
      </c>
    </row>
    <row r="1995" spans="9:10">
      <c r="I1995" t="str">
        <f>_xlfn.IFNA(VLOOKUP(B1995,T_DistName[],3,FALSE),"")</f>
        <v/>
      </c>
      <c r="J1995" t="str">
        <f t="shared" si="31"/>
        <v/>
      </c>
    </row>
    <row r="1996" spans="9:10">
      <c r="I1996" t="str">
        <f>_xlfn.IFNA(VLOOKUP(B1996,T_DistName[],3,FALSE),"")</f>
        <v/>
      </c>
      <c r="J1996" t="str">
        <f t="shared" si="31"/>
        <v/>
      </c>
    </row>
    <row r="1997" spans="9:10">
      <c r="I1997" t="str">
        <f>_xlfn.IFNA(VLOOKUP(B1997,T_DistName[],3,FALSE),"")</f>
        <v/>
      </c>
      <c r="J1997" t="str">
        <f t="shared" si="31"/>
        <v/>
      </c>
    </row>
    <row r="1998" spans="9:10">
      <c r="I1998" t="str">
        <f>_xlfn.IFNA(VLOOKUP(B1998,T_DistName[],3,FALSE),"")</f>
        <v/>
      </c>
      <c r="J1998" t="str">
        <f t="shared" si="31"/>
        <v/>
      </c>
    </row>
    <row r="1999" spans="9:10">
      <c r="I1999" t="str">
        <f>_xlfn.IFNA(VLOOKUP(B1999,T_DistName[],3,FALSE),"")</f>
        <v/>
      </c>
      <c r="J1999" t="str">
        <f t="shared" si="31"/>
        <v/>
      </c>
    </row>
    <row r="2000" spans="9:10">
      <c r="I2000" t="str">
        <f>_xlfn.IFNA(VLOOKUP(B2000,T_DistName[],3,FALSE),"")</f>
        <v/>
      </c>
      <c r="J2000" t="str">
        <f t="shared" si="31"/>
        <v/>
      </c>
    </row>
    <row r="2001" spans="9:10">
      <c r="I2001" t="str">
        <f>_xlfn.IFNA(VLOOKUP(B2001,T_DistName[],3,FALSE),"")</f>
        <v/>
      </c>
      <c r="J2001" t="str">
        <f t="shared" si="31"/>
        <v/>
      </c>
    </row>
    <row r="2002" spans="9:10">
      <c r="I2002" t="str">
        <f>_xlfn.IFNA(VLOOKUP(B2002,T_DistName[],3,FALSE),"")</f>
        <v/>
      </c>
      <c r="J2002" t="str">
        <f t="shared" si="31"/>
        <v/>
      </c>
    </row>
    <row r="2003" spans="9:10">
      <c r="I2003" t="str">
        <f>_xlfn.IFNA(VLOOKUP(B2003,T_DistName[],3,FALSE),"")</f>
        <v/>
      </c>
      <c r="J2003" t="str">
        <f t="shared" si="31"/>
        <v/>
      </c>
    </row>
    <row r="2004" spans="9:10">
      <c r="I2004" t="str">
        <f>_xlfn.IFNA(VLOOKUP(B2004,T_DistName[],3,FALSE),"")</f>
        <v/>
      </c>
      <c r="J2004" t="str">
        <f t="shared" si="31"/>
        <v/>
      </c>
    </row>
    <row r="2005" spans="9:10">
      <c r="I2005" t="str">
        <f>_xlfn.IFNA(VLOOKUP(B2005,T_DistName[],3,FALSE),"")</f>
        <v/>
      </c>
      <c r="J2005" t="str">
        <f t="shared" si="31"/>
        <v/>
      </c>
    </row>
    <row r="2006" spans="9:10">
      <c r="I2006" t="str">
        <f>_xlfn.IFNA(VLOOKUP(B2006,T_DistName[],3,FALSE),"")</f>
        <v/>
      </c>
      <c r="J2006" t="str">
        <f t="shared" si="31"/>
        <v/>
      </c>
    </row>
    <row r="2007" spans="9:10">
      <c r="I2007" t="str">
        <f>_xlfn.IFNA(VLOOKUP(B2007,T_DistName[],3,FALSE),"")</f>
        <v/>
      </c>
      <c r="J2007" t="str">
        <f t="shared" si="31"/>
        <v/>
      </c>
    </row>
    <row r="2008" spans="9:10">
      <c r="I2008" t="str">
        <f>_xlfn.IFNA(VLOOKUP(B2008,T_DistName[],3,FALSE),"")</f>
        <v/>
      </c>
      <c r="J2008" t="str">
        <f t="shared" si="31"/>
        <v/>
      </c>
    </row>
    <row r="2009" spans="9:10">
      <c r="I2009" t="str">
        <f>_xlfn.IFNA(VLOOKUP(B2009,T_DistName[],3,FALSE),"")</f>
        <v/>
      </c>
      <c r="J2009" t="str">
        <f t="shared" ref="J2009:J2072" si="32">I2009&amp;F2009</f>
        <v/>
      </c>
    </row>
    <row r="2010" spans="9:10">
      <c r="I2010" t="str">
        <f>_xlfn.IFNA(VLOOKUP(B2010,T_DistName[],3,FALSE),"")</f>
        <v/>
      </c>
      <c r="J2010" t="str">
        <f t="shared" si="32"/>
        <v/>
      </c>
    </row>
    <row r="2011" spans="9:10">
      <c r="I2011" t="str">
        <f>_xlfn.IFNA(VLOOKUP(B2011,T_DistName[],3,FALSE),"")</f>
        <v/>
      </c>
      <c r="J2011" t="str">
        <f t="shared" si="32"/>
        <v/>
      </c>
    </row>
    <row r="2012" spans="9:10">
      <c r="I2012" t="str">
        <f>_xlfn.IFNA(VLOOKUP(B2012,T_DistName[],3,FALSE),"")</f>
        <v/>
      </c>
      <c r="J2012" t="str">
        <f t="shared" si="32"/>
        <v/>
      </c>
    </row>
    <row r="2013" spans="9:10">
      <c r="I2013" t="str">
        <f>_xlfn.IFNA(VLOOKUP(B2013,T_DistName[],3,FALSE),"")</f>
        <v/>
      </c>
      <c r="J2013" t="str">
        <f t="shared" si="32"/>
        <v/>
      </c>
    </row>
    <row r="2014" spans="9:10">
      <c r="I2014" t="str">
        <f>_xlfn.IFNA(VLOOKUP(B2014,T_DistName[],3,FALSE),"")</f>
        <v/>
      </c>
      <c r="J2014" t="str">
        <f t="shared" si="32"/>
        <v/>
      </c>
    </row>
    <row r="2015" spans="9:10">
      <c r="I2015" t="str">
        <f>_xlfn.IFNA(VLOOKUP(B2015,T_DistName[],3,FALSE),"")</f>
        <v/>
      </c>
      <c r="J2015" t="str">
        <f t="shared" si="32"/>
        <v/>
      </c>
    </row>
    <row r="2016" spans="9:10">
      <c r="I2016" t="str">
        <f>_xlfn.IFNA(VLOOKUP(B2016,T_DistName[],3,FALSE),"")</f>
        <v/>
      </c>
      <c r="J2016" t="str">
        <f t="shared" si="32"/>
        <v/>
      </c>
    </row>
    <row r="2017" spans="9:10">
      <c r="I2017" t="str">
        <f>_xlfn.IFNA(VLOOKUP(B2017,T_DistName[],3,FALSE),"")</f>
        <v/>
      </c>
      <c r="J2017" t="str">
        <f t="shared" si="32"/>
        <v/>
      </c>
    </row>
    <row r="2018" spans="9:10">
      <c r="I2018" t="str">
        <f>_xlfn.IFNA(VLOOKUP(B2018,T_DistName[],3,FALSE),"")</f>
        <v/>
      </c>
      <c r="J2018" t="str">
        <f t="shared" si="32"/>
        <v/>
      </c>
    </row>
    <row r="2019" spans="9:10">
      <c r="I2019" t="str">
        <f>_xlfn.IFNA(VLOOKUP(B2019,T_DistName[],3,FALSE),"")</f>
        <v/>
      </c>
      <c r="J2019" t="str">
        <f t="shared" si="32"/>
        <v/>
      </c>
    </row>
    <row r="2020" spans="9:10">
      <c r="I2020" t="str">
        <f>_xlfn.IFNA(VLOOKUP(B2020,T_DistName[],3,FALSE),"")</f>
        <v/>
      </c>
      <c r="J2020" t="str">
        <f t="shared" si="32"/>
        <v/>
      </c>
    </row>
    <row r="2021" spans="9:10">
      <c r="I2021" t="str">
        <f>_xlfn.IFNA(VLOOKUP(B2021,T_DistName[],3,FALSE),"")</f>
        <v/>
      </c>
      <c r="J2021" t="str">
        <f t="shared" si="32"/>
        <v/>
      </c>
    </row>
    <row r="2022" spans="9:10">
      <c r="I2022" t="str">
        <f>_xlfn.IFNA(VLOOKUP(B2022,T_DistName[],3,FALSE),"")</f>
        <v/>
      </c>
      <c r="J2022" t="str">
        <f t="shared" si="32"/>
        <v/>
      </c>
    </row>
    <row r="2023" spans="9:10">
      <c r="I2023" t="str">
        <f>_xlfn.IFNA(VLOOKUP(B2023,T_DistName[],3,FALSE),"")</f>
        <v/>
      </c>
      <c r="J2023" t="str">
        <f t="shared" si="32"/>
        <v/>
      </c>
    </row>
    <row r="2024" spans="9:10">
      <c r="I2024" t="str">
        <f>_xlfn.IFNA(VLOOKUP(B2024,T_DistName[],3,FALSE),"")</f>
        <v/>
      </c>
      <c r="J2024" t="str">
        <f t="shared" si="32"/>
        <v/>
      </c>
    </row>
    <row r="2025" spans="9:10">
      <c r="I2025" t="str">
        <f>_xlfn.IFNA(VLOOKUP(B2025,T_DistName[],3,FALSE),"")</f>
        <v/>
      </c>
      <c r="J2025" t="str">
        <f t="shared" si="32"/>
        <v/>
      </c>
    </row>
    <row r="2026" spans="9:10">
      <c r="I2026" t="str">
        <f>_xlfn.IFNA(VLOOKUP(B2026,T_DistName[],3,FALSE),"")</f>
        <v/>
      </c>
      <c r="J2026" t="str">
        <f t="shared" si="32"/>
        <v/>
      </c>
    </row>
    <row r="2027" spans="9:10">
      <c r="I2027" t="str">
        <f>_xlfn.IFNA(VLOOKUP(B2027,T_DistName[],3,FALSE),"")</f>
        <v/>
      </c>
      <c r="J2027" t="str">
        <f t="shared" si="32"/>
        <v/>
      </c>
    </row>
    <row r="2028" spans="9:10">
      <c r="I2028" t="str">
        <f>_xlfn.IFNA(VLOOKUP(B2028,T_DistName[],3,FALSE),"")</f>
        <v/>
      </c>
      <c r="J2028" t="str">
        <f t="shared" si="32"/>
        <v/>
      </c>
    </row>
    <row r="2029" spans="9:10">
      <c r="I2029" t="str">
        <f>_xlfn.IFNA(VLOOKUP(B2029,T_DistName[],3,FALSE),"")</f>
        <v/>
      </c>
      <c r="J2029" t="str">
        <f t="shared" si="32"/>
        <v/>
      </c>
    </row>
    <row r="2030" spans="9:10">
      <c r="I2030" t="str">
        <f>_xlfn.IFNA(VLOOKUP(B2030,T_DistName[],3,FALSE),"")</f>
        <v/>
      </c>
      <c r="J2030" t="str">
        <f t="shared" si="32"/>
        <v/>
      </c>
    </row>
    <row r="2031" spans="9:10">
      <c r="I2031" t="str">
        <f>_xlfn.IFNA(VLOOKUP(B2031,T_DistName[],3,FALSE),"")</f>
        <v/>
      </c>
      <c r="J2031" t="str">
        <f t="shared" si="32"/>
        <v/>
      </c>
    </row>
    <row r="2032" spans="9:10">
      <c r="I2032" t="str">
        <f>_xlfn.IFNA(VLOOKUP(B2032,T_DistName[],3,FALSE),"")</f>
        <v/>
      </c>
      <c r="J2032" t="str">
        <f t="shared" si="32"/>
        <v/>
      </c>
    </row>
    <row r="2033" spans="9:10">
      <c r="I2033" t="str">
        <f>_xlfn.IFNA(VLOOKUP(B2033,T_DistName[],3,FALSE),"")</f>
        <v/>
      </c>
      <c r="J2033" t="str">
        <f t="shared" si="32"/>
        <v/>
      </c>
    </row>
    <row r="2034" spans="9:10">
      <c r="I2034" t="str">
        <f>_xlfn.IFNA(VLOOKUP(B2034,T_DistName[],3,FALSE),"")</f>
        <v/>
      </c>
      <c r="J2034" t="str">
        <f t="shared" si="32"/>
        <v/>
      </c>
    </row>
    <row r="2035" spans="9:10">
      <c r="I2035" t="str">
        <f>_xlfn.IFNA(VLOOKUP(B2035,T_DistName[],3,FALSE),"")</f>
        <v/>
      </c>
      <c r="J2035" t="str">
        <f t="shared" si="32"/>
        <v/>
      </c>
    </row>
    <row r="2036" spans="9:10">
      <c r="I2036" t="str">
        <f>_xlfn.IFNA(VLOOKUP(B2036,T_DistName[],3,FALSE),"")</f>
        <v/>
      </c>
      <c r="J2036" t="str">
        <f t="shared" si="32"/>
        <v/>
      </c>
    </row>
    <row r="2037" spans="9:10">
      <c r="I2037" t="str">
        <f>_xlfn.IFNA(VLOOKUP(B2037,T_DistName[],3,FALSE),"")</f>
        <v/>
      </c>
      <c r="J2037" t="str">
        <f t="shared" si="32"/>
        <v/>
      </c>
    </row>
    <row r="2038" spans="9:10">
      <c r="I2038" t="str">
        <f>_xlfn.IFNA(VLOOKUP(B2038,T_DistName[],3,FALSE),"")</f>
        <v/>
      </c>
      <c r="J2038" t="str">
        <f t="shared" si="32"/>
        <v/>
      </c>
    </row>
    <row r="2039" spans="9:10">
      <c r="I2039" t="str">
        <f>_xlfn.IFNA(VLOOKUP(B2039,T_DistName[],3,FALSE),"")</f>
        <v/>
      </c>
      <c r="J2039" t="str">
        <f t="shared" si="32"/>
        <v/>
      </c>
    </row>
    <row r="2040" spans="9:10">
      <c r="I2040" t="str">
        <f>_xlfn.IFNA(VLOOKUP(B2040,T_DistName[],3,FALSE),"")</f>
        <v/>
      </c>
      <c r="J2040" t="str">
        <f t="shared" si="32"/>
        <v/>
      </c>
    </row>
    <row r="2041" spans="9:10">
      <c r="I2041" t="str">
        <f>_xlfn.IFNA(VLOOKUP(B2041,T_DistName[],3,FALSE),"")</f>
        <v/>
      </c>
      <c r="J2041" t="str">
        <f t="shared" si="32"/>
        <v/>
      </c>
    </row>
    <row r="2042" spans="9:10">
      <c r="I2042" t="str">
        <f>_xlfn.IFNA(VLOOKUP(B2042,T_DistName[],3,FALSE),"")</f>
        <v/>
      </c>
      <c r="J2042" t="str">
        <f t="shared" si="32"/>
        <v/>
      </c>
    </row>
    <row r="2043" spans="9:10">
      <c r="I2043" t="str">
        <f>_xlfn.IFNA(VLOOKUP(B2043,T_DistName[],3,FALSE),"")</f>
        <v/>
      </c>
      <c r="J2043" t="str">
        <f t="shared" si="32"/>
        <v/>
      </c>
    </row>
    <row r="2044" spans="9:10">
      <c r="I2044" t="str">
        <f>_xlfn.IFNA(VLOOKUP(B2044,T_DistName[],3,FALSE),"")</f>
        <v/>
      </c>
      <c r="J2044" t="str">
        <f t="shared" si="32"/>
        <v/>
      </c>
    </row>
    <row r="2045" spans="9:10">
      <c r="I2045" t="str">
        <f>_xlfn.IFNA(VLOOKUP(B2045,T_DistName[],3,FALSE),"")</f>
        <v/>
      </c>
      <c r="J2045" t="str">
        <f t="shared" si="32"/>
        <v/>
      </c>
    </row>
    <row r="2046" spans="9:10">
      <c r="I2046" t="str">
        <f>_xlfn.IFNA(VLOOKUP(B2046,T_DistName[],3,FALSE),"")</f>
        <v/>
      </c>
      <c r="J2046" t="str">
        <f t="shared" si="32"/>
        <v/>
      </c>
    </row>
    <row r="2047" spans="9:10">
      <c r="I2047" t="str">
        <f>_xlfn.IFNA(VLOOKUP(B2047,T_DistName[],3,FALSE),"")</f>
        <v/>
      </c>
      <c r="J2047" t="str">
        <f t="shared" si="32"/>
        <v/>
      </c>
    </row>
    <row r="2048" spans="9:10">
      <c r="I2048" t="str">
        <f>_xlfn.IFNA(VLOOKUP(B2048,T_DistName[],3,FALSE),"")</f>
        <v/>
      </c>
      <c r="J2048" t="str">
        <f t="shared" si="32"/>
        <v/>
      </c>
    </row>
    <row r="2049" spans="9:10">
      <c r="I2049" t="str">
        <f>_xlfn.IFNA(VLOOKUP(B2049,T_DistName[],3,FALSE),"")</f>
        <v/>
      </c>
      <c r="J2049" t="str">
        <f t="shared" si="32"/>
        <v/>
      </c>
    </row>
    <row r="2050" spans="9:10">
      <c r="I2050" t="str">
        <f>_xlfn.IFNA(VLOOKUP(B2050,T_DistName[],3,FALSE),"")</f>
        <v/>
      </c>
      <c r="J2050" t="str">
        <f t="shared" si="32"/>
        <v/>
      </c>
    </row>
    <row r="2051" spans="9:10">
      <c r="I2051" t="str">
        <f>_xlfn.IFNA(VLOOKUP(B2051,T_DistName[],3,FALSE),"")</f>
        <v/>
      </c>
      <c r="J2051" t="str">
        <f t="shared" si="32"/>
        <v/>
      </c>
    </row>
    <row r="2052" spans="9:10">
      <c r="I2052" t="str">
        <f>_xlfn.IFNA(VLOOKUP(B2052,T_DistName[],3,FALSE),"")</f>
        <v/>
      </c>
      <c r="J2052" t="str">
        <f t="shared" si="32"/>
        <v/>
      </c>
    </row>
    <row r="2053" spans="9:10">
      <c r="I2053" t="str">
        <f>_xlfn.IFNA(VLOOKUP(B2053,T_DistName[],3,FALSE),"")</f>
        <v/>
      </c>
      <c r="J2053" t="str">
        <f t="shared" si="32"/>
        <v/>
      </c>
    </row>
    <row r="2054" spans="9:10">
      <c r="I2054" t="str">
        <f>_xlfn.IFNA(VLOOKUP(B2054,T_DistName[],3,FALSE),"")</f>
        <v/>
      </c>
      <c r="J2054" t="str">
        <f t="shared" si="32"/>
        <v/>
      </c>
    </row>
    <row r="2055" spans="9:10">
      <c r="I2055" t="str">
        <f>_xlfn.IFNA(VLOOKUP(B2055,T_DistName[],3,FALSE),"")</f>
        <v/>
      </c>
      <c r="J2055" t="str">
        <f t="shared" si="32"/>
        <v/>
      </c>
    </row>
    <row r="2056" spans="9:10">
      <c r="I2056" t="str">
        <f>_xlfn.IFNA(VLOOKUP(B2056,T_DistName[],3,FALSE),"")</f>
        <v/>
      </c>
      <c r="J2056" t="str">
        <f t="shared" si="32"/>
        <v/>
      </c>
    </row>
    <row r="2057" spans="9:10">
      <c r="I2057" t="str">
        <f>_xlfn.IFNA(VLOOKUP(B2057,T_DistName[],3,FALSE),"")</f>
        <v/>
      </c>
      <c r="J2057" t="str">
        <f t="shared" si="32"/>
        <v/>
      </c>
    </row>
    <row r="2058" spans="9:10">
      <c r="I2058" t="str">
        <f>_xlfn.IFNA(VLOOKUP(B2058,T_DistName[],3,FALSE),"")</f>
        <v/>
      </c>
      <c r="J2058" t="str">
        <f t="shared" si="32"/>
        <v/>
      </c>
    </row>
    <row r="2059" spans="9:10">
      <c r="I2059" t="str">
        <f>_xlfn.IFNA(VLOOKUP(B2059,T_DistName[],3,FALSE),"")</f>
        <v/>
      </c>
      <c r="J2059" t="str">
        <f t="shared" si="32"/>
        <v/>
      </c>
    </row>
    <row r="2060" spans="9:10">
      <c r="I2060" t="str">
        <f>_xlfn.IFNA(VLOOKUP(B2060,T_DistName[],3,FALSE),"")</f>
        <v/>
      </c>
      <c r="J2060" t="str">
        <f t="shared" si="32"/>
        <v/>
      </c>
    </row>
    <row r="2061" spans="9:10">
      <c r="I2061" t="str">
        <f>_xlfn.IFNA(VLOOKUP(B2061,T_DistName[],3,FALSE),"")</f>
        <v/>
      </c>
      <c r="J2061" t="str">
        <f t="shared" si="32"/>
        <v/>
      </c>
    </row>
    <row r="2062" spans="9:10">
      <c r="I2062" t="str">
        <f>_xlfn.IFNA(VLOOKUP(B2062,T_DistName[],3,FALSE),"")</f>
        <v/>
      </c>
      <c r="J2062" t="str">
        <f t="shared" si="32"/>
        <v/>
      </c>
    </row>
    <row r="2063" spans="9:10">
      <c r="I2063" t="str">
        <f>_xlfn.IFNA(VLOOKUP(B2063,T_DistName[],3,FALSE),"")</f>
        <v/>
      </c>
      <c r="J2063" t="str">
        <f t="shared" si="32"/>
        <v/>
      </c>
    </row>
    <row r="2064" spans="9:10">
      <c r="I2064" t="str">
        <f>_xlfn.IFNA(VLOOKUP(B2064,T_DistName[],3,FALSE),"")</f>
        <v/>
      </c>
      <c r="J2064" t="str">
        <f t="shared" si="32"/>
        <v/>
      </c>
    </row>
    <row r="2065" spans="9:10">
      <c r="I2065" t="str">
        <f>_xlfn.IFNA(VLOOKUP(B2065,T_DistName[],3,FALSE),"")</f>
        <v/>
      </c>
      <c r="J2065" t="str">
        <f t="shared" si="32"/>
        <v/>
      </c>
    </row>
    <row r="2066" spans="9:10">
      <c r="I2066" t="str">
        <f>_xlfn.IFNA(VLOOKUP(B2066,T_DistName[],3,FALSE),"")</f>
        <v/>
      </c>
      <c r="J2066" t="str">
        <f t="shared" si="32"/>
        <v/>
      </c>
    </row>
    <row r="2067" spans="9:10">
      <c r="I2067" t="str">
        <f>_xlfn.IFNA(VLOOKUP(B2067,T_DistName[],3,FALSE),"")</f>
        <v/>
      </c>
      <c r="J2067" t="str">
        <f t="shared" si="32"/>
        <v/>
      </c>
    </row>
    <row r="2068" spans="9:10">
      <c r="I2068" t="str">
        <f>_xlfn.IFNA(VLOOKUP(B2068,T_DistName[],3,FALSE),"")</f>
        <v/>
      </c>
      <c r="J2068" t="str">
        <f t="shared" si="32"/>
        <v/>
      </c>
    </row>
    <row r="2069" spans="9:10">
      <c r="I2069" t="str">
        <f>_xlfn.IFNA(VLOOKUP(B2069,T_DistName[],3,FALSE),"")</f>
        <v/>
      </c>
      <c r="J2069" t="str">
        <f t="shared" si="32"/>
        <v/>
      </c>
    </row>
    <row r="2070" spans="9:10">
      <c r="I2070" t="str">
        <f>_xlfn.IFNA(VLOOKUP(B2070,T_DistName[],3,FALSE),"")</f>
        <v/>
      </c>
      <c r="J2070" t="str">
        <f t="shared" si="32"/>
        <v/>
      </c>
    </row>
    <row r="2071" spans="9:10">
      <c r="I2071" t="str">
        <f>_xlfn.IFNA(VLOOKUP(B2071,T_DistName[],3,FALSE),"")</f>
        <v/>
      </c>
      <c r="J2071" t="str">
        <f t="shared" si="32"/>
        <v/>
      </c>
    </row>
    <row r="2072" spans="9:10">
      <c r="I2072" t="str">
        <f>_xlfn.IFNA(VLOOKUP(B2072,T_DistName[],3,FALSE),"")</f>
        <v/>
      </c>
      <c r="J2072" t="str">
        <f t="shared" si="32"/>
        <v/>
      </c>
    </row>
    <row r="2073" spans="9:10">
      <c r="I2073" t="str">
        <f>_xlfn.IFNA(VLOOKUP(B2073,T_DistName[],3,FALSE),"")</f>
        <v/>
      </c>
      <c r="J2073" t="str">
        <f t="shared" ref="J2073:J2136" si="33">I2073&amp;F2073</f>
        <v/>
      </c>
    </row>
    <row r="2074" spans="9:10">
      <c r="I2074" t="str">
        <f>_xlfn.IFNA(VLOOKUP(B2074,T_DistName[],3,FALSE),"")</f>
        <v/>
      </c>
      <c r="J2074" t="str">
        <f t="shared" si="33"/>
        <v/>
      </c>
    </row>
    <row r="2075" spans="9:10">
      <c r="I2075" t="str">
        <f>_xlfn.IFNA(VLOOKUP(B2075,T_DistName[],3,FALSE),"")</f>
        <v/>
      </c>
      <c r="J2075" t="str">
        <f t="shared" si="33"/>
        <v/>
      </c>
    </row>
    <row r="2076" spans="9:10">
      <c r="I2076" t="str">
        <f>_xlfn.IFNA(VLOOKUP(B2076,T_DistName[],3,FALSE),"")</f>
        <v/>
      </c>
      <c r="J2076" t="str">
        <f t="shared" si="33"/>
        <v/>
      </c>
    </row>
    <row r="2077" spans="9:10">
      <c r="I2077" t="str">
        <f>_xlfn.IFNA(VLOOKUP(B2077,T_DistName[],3,FALSE),"")</f>
        <v/>
      </c>
      <c r="J2077" t="str">
        <f t="shared" si="33"/>
        <v/>
      </c>
    </row>
    <row r="2078" spans="9:10">
      <c r="I2078" t="str">
        <f>_xlfn.IFNA(VLOOKUP(B2078,T_DistName[],3,FALSE),"")</f>
        <v/>
      </c>
      <c r="J2078" t="str">
        <f t="shared" si="33"/>
        <v/>
      </c>
    </row>
    <row r="2079" spans="9:10">
      <c r="I2079" t="str">
        <f>_xlfn.IFNA(VLOOKUP(B2079,T_DistName[],3,FALSE),"")</f>
        <v/>
      </c>
      <c r="J2079" t="str">
        <f t="shared" si="33"/>
        <v/>
      </c>
    </row>
    <row r="2080" spans="9:10">
      <c r="I2080" t="str">
        <f>_xlfn.IFNA(VLOOKUP(B2080,T_DistName[],3,FALSE),"")</f>
        <v/>
      </c>
      <c r="J2080" t="str">
        <f t="shared" si="33"/>
        <v/>
      </c>
    </row>
    <row r="2081" spans="9:10">
      <c r="I2081" t="str">
        <f>_xlfn.IFNA(VLOOKUP(B2081,T_DistName[],3,FALSE),"")</f>
        <v/>
      </c>
      <c r="J2081" t="str">
        <f t="shared" si="33"/>
        <v/>
      </c>
    </row>
    <row r="2082" spans="9:10">
      <c r="I2082" t="str">
        <f>_xlfn.IFNA(VLOOKUP(B2082,T_DistName[],3,FALSE),"")</f>
        <v/>
      </c>
      <c r="J2082" t="str">
        <f t="shared" si="33"/>
        <v/>
      </c>
    </row>
    <row r="2083" spans="9:10">
      <c r="I2083" t="str">
        <f>_xlfn.IFNA(VLOOKUP(B2083,T_DistName[],3,FALSE),"")</f>
        <v/>
      </c>
      <c r="J2083" t="str">
        <f t="shared" si="33"/>
        <v/>
      </c>
    </row>
    <row r="2084" spans="9:10">
      <c r="I2084" t="str">
        <f>_xlfn.IFNA(VLOOKUP(B2084,T_DistName[],3,FALSE),"")</f>
        <v/>
      </c>
      <c r="J2084" t="str">
        <f t="shared" si="33"/>
        <v/>
      </c>
    </row>
    <row r="2085" spans="9:10">
      <c r="I2085" t="str">
        <f>_xlfn.IFNA(VLOOKUP(B2085,T_DistName[],3,FALSE),"")</f>
        <v/>
      </c>
      <c r="J2085" t="str">
        <f t="shared" si="33"/>
        <v/>
      </c>
    </row>
    <row r="2086" spans="9:10">
      <c r="I2086" t="str">
        <f>_xlfn.IFNA(VLOOKUP(B2086,T_DistName[],3,FALSE),"")</f>
        <v/>
      </c>
      <c r="J2086" t="str">
        <f t="shared" si="33"/>
        <v/>
      </c>
    </row>
    <row r="2087" spans="9:10">
      <c r="I2087" t="str">
        <f>_xlfn.IFNA(VLOOKUP(B2087,T_DistName[],3,FALSE),"")</f>
        <v/>
      </c>
      <c r="J2087" t="str">
        <f t="shared" si="33"/>
        <v/>
      </c>
    </row>
    <row r="2088" spans="9:10">
      <c r="I2088" t="str">
        <f>_xlfn.IFNA(VLOOKUP(B2088,T_DistName[],3,FALSE),"")</f>
        <v/>
      </c>
      <c r="J2088" t="str">
        <f t="shared" si="33"/>
        <v/>
      </c>
    </row>
    <row r="2089" spans="9:10">
      <c r="I2089" t="str">
        <f>_xlfn.IFNA(VLOOKUP(B2089,T_DistName[],3,FALSE),"")</f>
        <v/>
      </c>
      <c r="J2089" t="str">
        <f t="shared" si="33"/>
        <v/>
      </c>
    </row>
    <row r="2090" spans="9:10">
      <c r="I2090" t="str">
        <f>_xlfn.IFNA(VLOOKUP(B2090,T_DistName[],3,FALSE),"")</f>
        <v/>
      </c>
      <c r="J2090" t="str">
        <f t="shared" si="33"/>
        <v/>
      </c>
    </row>
    <row r="2091" spans="9:10">
      <c r="I2091" t="str">
        <f>_xlfn.IFNA(VLOOKUP(B2091,T_DistName[],3,FALSE),"")</f>
        <v/>
      </c>
      <c r="J2091" t="str">
        <f t="shared" si="33"/>
        <v/>
      </c>
    </row>
    <row r="2092" spans="9:10">
      <c r="I2092" t="str">
        <f>_xlfn.IFNA(VLOOKUP(B2092,T_DistName[],3,FALSE),"")</f>
        <v/>
      </c>
      <c r="J2092" t="str">
        <f t="shared" si="33"/>
        <v/>
      </c>
    </row>
    <row r="2093" spans="9:10">
      <c r="I2093" t="str">
        <f>_xlfn.IFNA(VLOOKUP(B2093,T_DistName[],3,FALSE),"")</f>
        <v/>
      </c>
      <c r="J2093" t="str">
        <f t="shared" si="33"/>
        <v/>
      </c>
    </row>
    <row r="2094" spans="9:10">
      <c r="I2094" t="str">
        <f>_xlfn.IFNA(VLOOKUP(B2094,T_DistName[],3,FALSE),"")</f>
        <v/>
      </c>
      <c r="J2094" t="str">
        <f t="shared" si="33"/>
        <v/>
      </c>
    </row>
    <row r="2095" spans="9:10">
      <c r="I2095" t="str">
        <f>_xlfn.IFNA(VLOOKUP(B2095,T_DistName[],3,FALSE),"")</f>
        <v/>
      </c>
      <c r="J2095" t="str">
        <f t="shared" si="33"/>
        <v/>
      </c>
    </row>
    <row r="2096" spans="9:10">
      <c r="I2096" t="str">
        <f>_xlfn.IFNA(VLOOKUP(B2096,T_DistName[],3,FALSE),"")</f>
        <v/>
      </c>
      <c r="J2096" t="str">
        <f t="shared" si="33"/>
        <v/>
      </c>
    </row>
    <row r="2097" spans="9:10">
      <c r="I2097" t="str">
        <f>_xlfn.IFNA(VLOOKUP(B2097,T_DistName[],3,FALSE),"")</f>
        <v/>
      </c>
      <c r="J2097" t="str">
        <f t="shared" si="33"/>
        <v/>
      </c>
    </row>
    <row r="2098" spans="9:10">
      <c r="I2098" t="str">
        <f>_xlfn.IFNA(VLOOKUP(B2098,T_DistName[],3,FALSE),"")</f>
        <v/>
      </c>
      <c r="J2098" t="str">
        <f t="shared" si="33"/>
        <v/>
      </c>
    </row>
    <row r="2099" spans="9:10">
      <c r="I2099" t="str">
        <f>_xlfn.IFNA(VLOOKUP(B2099,T_DistName[],3,FALSE),"")</f>
        <v/>
      </c>
      <c r="J2099" t="str">
        <f t="shared" si="33"/>
        <v/>
      </c>
    </row>
    <row r="2100" spans="9:10">
      <c r="I2100" t="str">
        <f>_xlfn.IFNA(VLOOKUP(B2100,T_DistName[],3,FALSE),"")</f>
        <v/>
      </c>
      <c r="J2100" t="str">
        <f t="shared" si="33"/>
        <v/>
      </c>
    </row>
    <row r="2101" spans="9:10">
      <c r="I2101" t="str">
        <f>_xlfn.IFNA(VLOOKUP(B2101,T_DistName[],3,FALSE),"")</f>
        <v/>
      </c>
      <c r="J2101" t="str">
        <f t="shared" si="33"/>
        <v/>
      </c>
    </row>
    <row r="2102" spans="9:10">
      <c r="I2102" t="str">
        <f>_xlfn.IFNA(VLOOKUP(B2102,T_DistName[],3,FALSE),"")</f>
        <v/>
      </c>
      <c r="J2102" t="str">
        <f t="shared" si="33"/>
        <v/>
      </c>
    </row>
    <row r="2103" spans="9:10">
      <c r="I2103" t="str">
        <f>_xlfn.IFNA(VLOOKUP(B2103,T_DistName[],3,FALSE),"")</f>
        <v/>
      </c>
      <c r="J2103" t="str">
        <f t="shared" si="33"/>
        <v/>
      </c>
    </row>
    <row r="2104" spans="9:10">
      <c r="I2104" t="str">
        <f>_xlfn.IFNA(VLOOKUP(B2104,T_DistName[],3,FALSE),"")</f>
        <v/>
      </c>
      <c r="J2104" t="str">
        <f t="shared" si="33"/>
        <v/>
      </c>
    </row>
    <row r="2105" spans="9:10">
      <c r="I2105" t="str">
        <f>_xlfn.IFNA(VLOOKUP(B2105,T_DistName[],3,FALSE),"")</f>
        <v/>
      </c>
      <c r="J2105" t="str">
        <f t="shared" si="33"/>
        <v/>
      </c>
    </row>
    <row r="2106" spans="9:10">
      <c r="I2106" t="str">
        <f>_xlfn.IFNA(VLOOKUP(B2106,T_DistName[],3,FALSE),"")</f>
        <v/>
      </c>
      <c r="J2106" t="str">
        <f t="shared" si="33"/>
        <v/>
      </c>
    </row>
    <row r="2107" spans="9:10">
      <c r="I2107" t="str">
        <f>_xlfn.IFNA(VLOOKUP(B2107,T_DistName[],3,FALSE),"")</f>
        <v/>
      </c>
      <c r="J2107" t="str">
        <f t="shared" si="33"/>
        <v/>
      </c>
    </row>
    <row r="2108" spans="9:10">
      <c r="I2108" t="str">
        <f>_xlfn.IFNA(VLOOKUP(B2108,T_DistName[],3,FALSE),"")</f>
        <v/>
      </c>
      <c r="J2108" t="str">
        <f t="shared" si="33"/>
        <v/>
      </c>
    </row>
    <row r="2109" spans="9:10">
      <c r="I2109" t="str">
        <f>_xlfn.IFNA(VLOOKUP(B2109,T_DistName[],3,FALSE),"")</f>
        <v/>
      </c>
      <c r="J2109" t="str">
        <f t="shared" si="33"/>
        <v/>
      </c>
    </row>
    <row r="2110" spans="9:10">
      <c r="I2110" t="str">
        <f>_xlfn.IFNA(VLOOKUP(B2110,T_DistName[],3,FALSE),"")</f>
        <v/>
      </c>
      <c r="J2110" t="str">
        <f t="shared" si="33"/>
        <v/>
      </c>
    </row>
    <row r="2111" spans="9:10">
      <c r="I2111" t="str">
        <f>_xlfn.IFNA(VLOOKUP(B2111,T_DistName[],3,FALSE),"")</f>
        <v/>
      </c>
      <c r="J2111" t="str">
        <f t="shared" si="33"/>
        <v/>
      </c>
    </row>
    <row r="2112" spans="9:10">
      <c r="I2112" t="str">
        <f>_xlfn.IFNA(VLOOKUP(B2112,T_DistName[],3,FALSE),"")</f>
        <v/>
      </c>
      <c r="J2112" t="str">
        <f t="shared" si="33"/>
        <v/>
      </c>
    </row>
    <row r="2113" spans="9:10">
      <c r="I2113" t="str">
        <f>_xlfn.IFNA(VLOOKUP(B2113,T_DistName[],3,FALSE),"")</f>
        <v/>
      </c>
      <c r="J2113" t="str">
        <f t="shared" si="33"/>
        <v/>
      </c>
    </row>
    <row r="2114" spans="9:10">
      <c r="I2114" t="str">
        <f>_xlfn.IFNA(VLOOKUP(B2114,T_DistName[],3,FALSE),"")</f>
        <v/>
      </c>
      <c r="J2114" t="str">
        <f t="shared" si="33"/>
        <v/>
      </c>
    </row>
    <row r="2115" spans="9:10">
      <c r="I2115" t="str">
        <f>_xlfn.IFNA(VLOOKUP(B2115,T_DistName[],3,FALSE),"")</f>
        <v/>
      </c>
      <c r="J2115" t="str">
        <f t="shared" si="33"/>
        <v/>
      </c>
    </row>
    <row r="2116" spans="9:10">
      <c r="I2116" t="str">
        <f>_xlfn.IFNA(VLOOKUP(B2116,T_DistName[],3,FALSE),"")</f>
        <v/>
      </c>
      <c r="J2116" t="str">
        <f t="shared" si="33"/>
        <v/>
      </c>
    </row>
    <row r="2117" spans="9:10">
      <c r="I2117" t="str">
        <f>_xlfn.IFNA(VLOOKUP(B2117,T_DistName[],3,FALSE),"")</f>
        <v/>
      </c>
      <c r="J2117" t="str">
        <f t="shared" si="33"/>
        <v/>
      </c>
    </row>
    <row r="2118" spans="9:10">
      <c r="I2118" t="str">
        <f>_xlfn.IFNA(VLOOKUP(B2118,T_DistName[],3,FALSE),"")</f>
        <v/>
      </c>
      <c r="J2118" t="str">
        <f t="shared" si="33"/>
        <v/>
      </c>
    </row>
    <row r="2119" spans="9:10">
      <c r="I2119" t="str">
        <f>_xlfn.IFNA(VLOOKUP(B2119,T_DistName[],3,FALSE),"")</f>
        <v/>
      </c>
      <c r="J2119" t="str">
        <f t="shared" si="33"/>
        <v/>
      </c>
    </row>
    <row r="2120" spans="9:10">
      <c r="I2120" t="str">
        <f>_xlfn.IFNA(VLOOKUP(B2120,T_DistName[],3,FALSE),"")</f>
        <v/>
      </c>
      <c r="J2120" t="str">
        <f t="shared" si="33"/>
        <v/>
      </c>
    </row>
    <row r="2121" spans="9:10">
      <c r="I2121" t="str">
        <f>_xlfn.IFNA(VLOOKUP(B2121,T_DistName[],3,FALSE),"")</f>
        <v/>
      </c>
      <c r="J2121" t="str">
        <f t="shared" si="33"/>
        <v/>
      </c>
    </row>
    <row r="2122" spans="9:10">
      <c r="I2122" t="str">
        <f>_xlfn.IFNA(VLOOKUP(B2122,T_DistName[],3,FALSE),"")</f>
        <v/>
      </c>
      <c r="J2122" t="str">
        <f t="shared" si="33"/>
        <v/>
      </c>
    </row>
    <row r="2123" spans="9:10">
      <c r="I2123" t="str">
        <f>_xlfn.IFNA(VLOOKUP(B2123,T_DistName[],3,FALSE),"")</f>
        <v/>
      </c>
      <c r="J2123" t="str">
        <f t="shared" si="33"/>
        <v/>
      </c>
    </row>
    <row r="2124" spans="9:10">
      <c r="I2124" t="str">
        <f>_xlfn.IFNA(VLOOKUP(B2124,T_DistName[],3,FALSE),"")</f>
        <v/>
      </c>
      <c r="J2124" t="str">
        <f t="shared" si="33"/>
        <v/>
      </c>
    </row>
    <row r="2125" spans="9:10">
      <c r="I2125" t="str">
        <f>_xlfn.IFNA(VLOOKUP(B2125,T_DistName[],3,FALSE),"")</f>
        <v/>
      </c>
      <c r="J2125" t="str">
        <f t="shared" si="33"/>
        <v/>
      </c>
    </row>
    <row r="2126" spans="9:10">
      <c r="I2126" t="str">
        <f>_xlfn.IFNA(VLOOKUP(B2126,T_DistName[],3,FALSE),"")</f>
        <v/>
      </c>
      <c r="J2126" t="str">
        <f t="shared" si="33"/>
        <v/>
      </c>
    </row>
    <row r="2127" spans="9:10">
      <c r="I2127" t="str">
        <f>_xlfn.IFNA(VLOOKUP(B2127,T_DistName[],3,FALSE),"")</f>
        <v/>
      </c>
      <c r="J2127" t="str">
        <f t="shared" si="33"/>
        <v/>
      </c>
    </row>
    <row r="2128" spans="9:10">
      <c r="I2128" t="str">
        <f>_xlfn.IFNA(VLOOKUP(B2128,T_DistName[],3,FALSE),"")</f>
        <v/>
      </c>
      <c r="J2128" t="str">
        <f t="shared" si="33"/>
        <v/>
      </c>
    </row>
    <row r="2129" spans="9:10">
      <c r="I2129" t="str">
        <f>_xlfn.IFNA(VLOOKUP(B2129,T_DistName[],3,FALSE),"")</f>
        <v/>
      </c>
      <c r="J2129" t="str">
        <f t="shared" si="33"/>
        <v/>
      </c>
    </row>
    <row r="2130" spans="9:10">
      <c r="I2130" t="str">
        <f>_xlfn.IFNA(VLOOKUP(B2130,T_DistName[],3,FALSE),"")</f>
        <v/>
      </c>
      <c r="J2130" t="str">
        <f t="shared" si="33"/>
        <v/>
      </c>
    </row>
    <row r="2131" spans="9:10">
      <c r="I2131" t="str">
        <f>_xlfn.IFNA(VLOOKUP(B2131,T_DistName[],3,FALSE),"")</f>
        <v/>
      </c>
      <c r="J2131" t="str">
        <f t="shared" si="33"/>
        <v/>
      </c>
    </row>
    <row r="2132" spans="9:10">
      <c r="I2132" t="str">
        <f>_xlfn.IFNA(VLOOKUP(B2132,T_DistName[],3,FALSE),"")</f>
        <v/>
      </c>
      <c r="J2132" t="str">
        <f t="shared" si="33"/>
        <v/>
      </c>
    </row>
    <row r="2133" spans="9:10">
      <c r="I2133" t="str">
        <f>_xlfn.IFNA(VLOOKUP(B2133,T_DistName[],3,FALSE),"")</f>
        <v/>
      </c>
      <c r="J2133" t="str">
        <f t="shared" si="33"/>
        <v/>
      </c>
    </row>
    <row r="2134" spans="9:10">
      <c r="I2134" t="str">
        <f>_xlfn.IFNA(VLOOKUP(B2134,T_DistName[],3,FALSE),"")</f>
        <v/>
      </c>
      <c r="J2134" t="str">
        <f t="shared" si="33"/>
        <v/>
      </c>
    </row>
    <row r="2135" spans="9:10">
      <c r="I2135" t="str">
        <f>_xlfn.IFNA(VLOOKUP(B2135,T_DistName[],3,FALSE),"")</f>
        <v/>
      </c>
      <c r="J2135" t="str">
        <f t="shared" si="33"/>
        <v/>
      </c>
    </row>
    <row r="2136" spans="9:10">
      <c r="I2136" t="str">
        <f>_xlfn.IFNA(VLOOKUP(B2136,T_DistName[],3,FALSE),"")</f>
        <v/>
      </c>
      <c r="J2136" t="str">
        <f t="shared" si="33"/>
        <v/>
      </c>
    </row>
    <row r="2137" spans="9:10">
      <c r="I2137" t="str">
        <f>_xlfn.IFNA(VLOOKUP(B2137,T_DistName[],3,FALSE),"")</f>
        <v/>
      </c>
      <c r="J2137" t="str">
        <f t="shared" ref="J2137:J2200" si="34">I2137&amp;F2137</f>
        <v/>
      </c>
    </row>
    <row r="2138" spans="9:10">
      <c r="I2138" t="str">
        <f>_xlfn.IFNA(VLOOKUP(B2138,T_DistName[],3,FALSE),"")</f>
        <v/>
      </c>
      <c r="J2138" t="str">
        <f t="shared" si="34"/>
        <v/>
      </c>
    </row>
    <row r="2139" spans="9:10">
      <c r="I2139" t="str">
        <f>_xlfn.IFNA(VLOOKUP(B2139,T_DistName[],3,FALSE),"")</f>
        <v/>
      </c>
      <c r="J2139" t="str">
        <f t="shared" si="34"/>
        <v/>
      </c>
    </row>
    <row r="2140" spans="9:10">
      <c r="I2140" t="str">
        <f>_xlfn.IFNA(VLOOKUP(B2140,T_DistName[],3,FALSE),"")</f>
        <v/>
      </c>
      <c r="J2140" t="str">
        <f t="shared" si="34"/>
        <v/>
      </c>
    </row>
    <row r="2141" spans="9:10">
      <c r="I2141" t="str">
        <f>_xlfn.IFNA(VLOOKUP(B2141,T_DistName[],3,FALSE),"")</f>
        <v/>
      </c>
      <c r="J2141" t="str">
        <f t="shared" si="34"/>
        <v/>
      </c>
    </row>
    <row r="2142" spans="9:10">
      <c r="I2142" t="str">
        <f>_xlfn.IFNA(VLOOKUP(B2142,T_DistName[],3,FALSE),"")</f>
        <v/>
      </c>
      <c r="J2142" t="str">
        <f t="shared" si="34"/>
        <v/>
      </c>
    </row>
    <row r="2143" spans="9:10">
      <c r="I2143" t="str">
        <f>_xlfn.IFNA(VLOOKUP(B2143,T_DistName[],3,FALSE),"")</f>
        <v/>
      </c>
      <c r="J2143" t="str">
        <f t="shared" si="34"/>
        <v/>
      </c>
    </row>
    <row r="2144" spans="9:10">
      <c r="I2144" t="str">
        <f>_xlfn.IFNA(VLOOKUP(B2144,T_DistName[],3,FALSE),"")</f>
        <v/>
      </c>
      <c r="J2144" t="str">
        <f t="shared" si="34"/>
        <v/>
      </c>
    </row>
    <row r="2145" spans="9:10">
      <c r="I2145" t="str">
        <f>_xlfn.IFNA(VLOOKUP(B2145,T_DistName[],3,FALSE),"")</f>
        <v/>
      </c>
      <c r="J2145" t="str">
        <f t="shared" si="34"/>
        <v/>
      </c>
    </row>
    <row r="2146" spans="9:10">
      <c r="I2146" t="str">
        <f>_xlfn.IFNA(VLOOKUP(B2146,T_DistName[],3,FALSE),"")</f>
        <v/>
      </c>
      <c r="J2146" t="str">
        <f t="shared" si="34"/>
        <v/>
      </c>
    </row>
    <row r="2147" spans="9:10">
      <c r="I2147" t="str">
        <f>_xlfn.IFNA(VLOOKUP(B2147,T_DistName[],3,FALSE),"")</f>
        <v/>
      </c>
      <c r="J2147" t="str">
        <f t="shared" si="34"/>
        <v/>
      </c>
    </row>
    <row r="2148" spans="9:10">
      <c r="I2148" t="str">
        <f>_xlfn.IFNA(VLOOKUP(B2148,T_DistName[],3,FALSE),"")</f>
        <v/>
      </c>
      <c r="J2148" t="str">
        <f t="shared" si="34"/>
        <v/>
      </c>
    </row>
    <row r="2149" spans="9:10">
      <c r="I2149" t="str">
        <f>_xlfn.IFNA(VLOOKUP(B2149,T_DistName[],3,FALSE),"")</f>
        <v/>
      </c>
      <c r="J2149" t="str">
        <f t="shared" si="34"/>
        <v/>
      </c>
    </row>
    <row r="2150" spans="9:10">
      <c r="I2150" t="str">
        <f>_xlfn.IFNA(VLOOKUP(B2150,T_DistName[],3,FALSE),"")</f>
        <v/>
      </c>
      <c r="J2150" t="str">
        <f t="shared" si="34"/>
        <v/>
      </c>
    </row>
    <row r="2151" spans="9:10">
      <c r="I2151" t="str">
        <f>_xlfn.IFNA(VLOOKUP(B2151,T_DistName[],3,FALSE),"")</f>
        <v/>
      </c>
      <c r="J2151" t="str">
        <f t="shared" si="34"/>
        <v/>
      </c>
    </row>
    <row r="2152" spans="9:10">
      <c r="I2152" t="str">
        <f>_xlfn.IFNA(VLOOKUP(B2152,T_DistName[],3,FALSE),"")</f>
        <v/>
      </c>
      <c r="J2152" t="str">
        <f t="shared" si="34"/>
        <v/>
      </c>
    </row>
    <row r="2153" spans="9:10">
      <c r="I2153" t="str">
        <f>_xlfn.IFNA(VLOOKUP(B2153,T_DistName[],3,FALSE),"")</f>
        <v/>
      </c>
      <c r="J2153" t="str">
        <f t="shared" si="34"/>
        <v/>
      </c>
    </row>
    <row r="2154" spans="9:10">
      <c r="I2154" t="str">
        <f>_xlfn.IFNA(VLOOKUP(B2154,T_DistName[],3,FALSE),"")</f>
        <v/>
      </c>
      <c r="J2154" t="str">
        <f t="shared" si="34"/>
        <v/>
      </c>
    </row>
    <row r="2155" spans="9:10">
      <c r="I2155" t="str">
        <f>_xlfn.IFNA(VLOOKUP(B2155,T_DistName[],3,FALSE),"")</f>
        <v/>
      </c>
      <c r="J2155" t="str">
        <f t="shared" si="34"/>
        <v/>
      </c>
    </row>
    <row r="2156" spans="9:10">
      <c r="I2156" t="str">
        <f>_xlfn.IFNA(VLOOKUP(B2156,T_DistName[],3,FALSE),"")</f>
        <v/>
      </c>
      <c r="J2156" t="str">
        <f t="shared" si="34"/>
        <v/>
      </c>
    </row>
    <row r="2157" spans="9:10">
      <c r="I2157" t="str">
        <f>_xlfn.IFNA(VLOOKUP(B2157,T_DistName[],3,FALSE),"")</f>
        <v/>
      </c>
      <c r="J2157" t="str">
        <f t="shared" si="34"/>
        <v/>
      </c>
    </row>
    <row r="2158" spans="9:10">
      <c r="I2158" t="str">
        <f>_xlfn.IFNA(VLOOKUP(B2158,T_DistName[],3,FALSE),"")</f>
        <v/>
      </c>
      <c r="J2158" t="str">
        <f t="shared" si="34"/>
        <v/>
      </c>
    </row>
    <row r="2159" spans="9:10">
      <c r="I2159" t="str">
        <f>_xlfn.IFNA(VLOOKUP(B2159,T_DistName[],3,FALSE),"")</f>
        <v/>
      </c>
      <c r="J2159" t="str">
        <f t="shared" si="34"/>
        <v/>
      </c>
    </row>
    <row r="2160" spans="9:10">
      <c r="I2160" t="str">
        <f>_xlfn.IFNA(VLOOKUP(B2160,T_DistName[],3,FALSE),"")</f>
        <v/>
      </c>
      <c r="J2160" t="str">
        <f t="shared" si="34"/>
        <v/>
      </c>
    </row>
    <row r="2161" spans="9:10">
      <c r="I2161" t="str">
        <f>_xlfn.IFNA(VLOOKUP(B2161,T_DistName[],3,FALSE),"")</f>
        <v/>
      </c>
      <c r="J2161" t="str">
        <f t="shared" si="34"/>
        <v/>
      </c>
    </row>
    <row r="2162" spans="9:10">
      <c r="I2162" t="str">
        <f>_xlfn.IFNA(VLOOKUP(B2162,T_DistName[],3,FALSE),"")</f>
        <v/>
      </c>
      <c r="J2162" t="str">
        <f t="shared" si="34"/>
        <v/>
      </c>
    </row>
    <row r="2163" spans="9:10">
      <c r="I2163" t="str">
        <f>_xlfn.IFNA(VLOOKUP(B2163,T_DistName[],3,FALSE),"")</f>
        <v/>
      </c>
      <c r="J2163" t="str">
        <f t="shared" si="34"/>
        <v/>
      </c>
    </row>
    <row r="2164" spans="9:10">
      <c r="I2164" t="str">
        <f>_xlfn.IFNA(VLOOKUP(B2164,T_DistName[],3,FALSE),"")</f>
        <v/>
      </c>
      <c r="J2164" t="str">
        <f t="shared" si="34"/>
        <v/>
      </c>
    </row>
    <row r="2165" spans="9:10">
      <c r="I2165" t="str">
        <f>_xlfn.IFNA(VLOOKUP(B2165,T_DistName[],3,FALSE),"")</f>
        <v/>
      </c>
      <c r="J2165" t="str">
        <f t="shared" si="34"/>
        <v/>
      </c>
    </row>
    <row r="2166" spans="9:10">
      <c r="I2166" t="str">
        <f>_xlfn.IFNA(VLOOKUP(B2166,T_DistName[],3,FALSE),"")</f>
        <v/>
      </c>
      <c r="J2166" t="str">
        <f t="shared" si="34"/>
        <v/>
      </c>
    </row>
    <row r="2167" spans="9:10">
      <c r="I2167" t="str">
        <f>_xlfn.IFNA(VLOOKUP(B2167,T_DistName[],3,FALSE),"")</f>
        <v/>
      </c>
      <c r="J2167" t="str">
        <f t="shared" si="34"/>
        <v/>
      </c>
    </row>
    <row r="2168" spans="9:10">
      <c r="I2168" t="str">
        <f>_xlfn.IFNA(VLOOKUP(B2168,T_DistName[],3,FALSE),"")</f>
        <v/>
      </c>
      <c r="J2168" t="str">
        <f t="shared" si="34"/>
        <v/>
      </c>
    </row>
    <row r="2169" spans="9:10">
      <c r="I2169" t="str">
        <f>_xlfn.IFNA(VLOOKUP(B2169,T_DistName[],3,FALSE),"")</f>
        <v/>
      </c>
      <c r="J2169" t="str">
        <f t="shared" si="34"/>
        <v/>
      </c>
    </row>
    <row r="2170" spans="9:10">
      <c r="I2170" t="str">
        <f>_xlfn.IFNA(VLOOKUP(B2170,T_DistName[],3,FALSE),"")</f>
        <v/>
      </c>
      <c r="J2170" t="str">
        <f t="shared" si="34"/>
        <v/>
      </c>
    </row>
    <row r="2171" spans="9:10">
      <c r="I2171" t="str">
        <f>_xlfn.IFNA(VLOOKUP(B2171,T_DistName[],3,FALSE),"")</f>
        <v/>
      </c>
      <c r="J2171" t="str">
        <f t="shared" si="34"/>
        <v/>
      </c>
    </row>
    <row r="2172" spans="9:10">
      <c r="I2172" t="str">
        <f>_xlfn.IFNA(VLOOKUP(B2172,T_DistName[],3,FALSE),"")</f>
        <v/>
      </c>
      <c r="J2172" t="str">
        <f t="shared" si="34"/>
        <v/>
      </c>
    </row>
    <row r="2173" spans="9:10">
      <c r="I2173" t="str">
        <f>_xlfn.IFNA(VLOOKUP(B2173,T_DistName[],3,FALSE),"")</f>
        <v/>
      </c>
      <c r="J2173" t="str">
        <f t="shared" si="34"/>
        <v/>
      </c>
    </row>
    <row r="2174" spans="9:10">
      <c r="I2174" t="str">
        <f>_xlfn.IFNA(VLOOKUP(B2174,T_DistName[],3,FALSE),"")</f>
        <v/>
      </c>
      <c r="J2174" t="str">
        <f t="shared" si="34"/>
        <v/>
      </c>
    </row>
    <row r="2175" spans="9:10">
      <c r="I2175" t="str">
        <f>_xlfn.IFNA(VLOOKUP(B2175,T_DistName[],3,FALSE),"")</f>
        <v/>
      </c>
      <c r="J2175" t="str">
        <f t="shared" si="34"/>
        <v/>
      </c>
    </row>
    <row r="2176" spans="9:10">
      <c r="I2176" t="str">
        <f>_xlfn.IFNA(VLOOKUP(B2176,T_DistName[],3,FALSE),"")</f>
        <v/>
      </c>
      <c r="J2176" t="str">
        <f t="shared" si="34"/>
        <v/>
      </c>
    </row>
    <row r="2177" spans="9:10">
      <c r="I2177" t="str">
        <f>_xlfn.IFNA(VLOOKUP(B2177,T_DistName[],3,FALSE),"")</f>
        <v/>
      </c>
      <c r="J2177" t="str">
        <f t="shared" si="34"/>
        <v/>
      </c>
    </row>
    <row r="2178" spans="9:10">
      <c r="I2178" t="str">
        <f>_xlfn.IFNA(VLOOKUP(B2178,T_DistName[],3,FALSE),"")</f>
        <v/>
      </c>
      <c r="J2178" t="str">
        <f t="shared" si="34"/>
        <v/>
      </c>
    </row>
    <row r="2179" spans="9:10">
      <c r="I2179" t="str">
        <f>_xlfn.IFNA(VLOOKUP(B2179,T_DistName[],3,FALSE),"")</f>
        <v/>
      </c>
      <c r="J2179" t="str">
        <f t="shared" si="34"/>
        <v/>
      </c>
    </row>
    <row r="2180" spans="9:10">
      <c r="I2180" t="str">
        <f>_xlfn.IFNA(VLOOKUP(B2180,T_DistName[],3,FALSE),"")</f>
        <v/>
      </c>
      <c r="J2180" t="str">
        <f t="shared" si="34"/>
        <v/>
      </c>
    </row>
    <row r="2181" spans="9:10">
      <c r="I2181" t="str">
        <f>_xlfn.IFNA(VLOOKUP(B2181,T_DistName[],3,FALSE),"")</f>
        <v/>
      </c>
      <c r="J2181" t="str">
        <f t="shared" si="34"/>
        <v/>
      </c>
    </row>
    <row r="2182" spans="9:10">
      <c r="I2182" t="str">
        <f>_xlfn.IFNA(VLOOKUP(B2182,T_DistName[],3,FALSE),"")</f>
        <v/>
      </c>
      <c r="J2182" t="str">
        <f t="shared" si="34"/>
        <v/>
      </c>
    </row>
    <row r="2183" spans="9:10">
      <c r="I2183" t="str">
        <f>_xlfn.IFNA(VLOOKUP(B2183,T_DistName[],3,FALSE),"")</f>
        <v/>
      </c>
      <c r="J2183" t="str">
        <f t="shared" si="34"/>
        <v/>
      </c>
    </row>
    <row r="2184" spans="9:10">
      <c r="I2184" t="str">
        <f>_xlfn.IFNA(VLOOKUP(B2184,T_DistName[],3,FALSE),"")</f>
        <v/>
      </c>
      <c r="J2184" t="str">
        <f t="shared" si="34"/>
        <v/>
      </c>
    </row>
    <row r="2185" spans="9:10">
      <c r="I2185" t="str">
        <f>_xlfn.IFNA(VLOOKUP(B2185,T_DistName[],3,FALSE),"")</f>
        <v/>
      </c>
      <c r="J2185" t="str">
        <f t="shared" si="34"/>
        <v/>
      </c>
    </row>
    <row r="2186" spans="9:10">
      <c r="I2186" t="str">
        <f>_xlfn.IFNA(VLOOKUP(B2186,T_DistName[],3,FALSE),"")</f>
        <v/>
      </c>
      <c r="J2186" t="str">
        <f t="shared" si="34"/>
        <v/>
      </c>
    </row>
    <row r="2187" spans="9:10">
      <c r="I2187" t="str">
        <f>_xlfn.IFNA(VLOOKUP(B2187,T_DistName[],3,FALSE),"")</f>
        <v/>
      </c>
      <c r="J2187" t="str">
        <f t="shared" si="34"/>
        <v/>
      </c>
    </row>
    <row r="2188" spans="9:10">
      <c r="I2188" t="str">
        <f>_xlfn.IFNA(VLOOKUP(B2188,T_DistName[],3,FALSE),"")</f>
        <v/>
      </c>
      <c r="J2188" t="str">
        <f t="shared" si="34"/>
        <v/>
      </c>
    </row>
    <row r="2189" spans="9:10">
      <c r="I2189" t="str">
        <f>_xlfn.IFNA(VLOOKUP(B2189,T_DistName[],3,FALSE),"")</f>
        <v/>
      </c>
      <c r="J2189" t="str">
        <f t="shared" si="34"/>
        <v/>
      </c>
    </row>
    <row r="2190" spans="9:10">
      <c r="I2190" t="str">
        <f>_xlfn.IFNA(VLOOKUP(B2190,T_DistName[],3,FALSE),"")</f>
        <v/>
      </c>
      <c r="J2190" t="str">
        <f t="shared" si="34"/>
        <v/>
      </c>
    </row>
    <row r="2191" spans="9:10">
      <c r="I2191" t="str">
        <f>_xlfn.IFNA(VLOOKUP(B2191,T_DistName[],3,FALSE),"")</f>
        <v/>
      </c>
      <c r="J2191" t="str">
        <f t="shared" si="34"/>
        <v/>
      </c>
    </row>
    <row r="2192" spans="9:10">
      <c r="I2192" t="str">
        <f>_xlfn.IFNA(VLOOKUP(B2192,T_DistName[],3,FALSE),"")</f>
        <v/>
      </c>
      <c r="J2192" t="str">
        <f t="shared" si="34"/>
        <v/>
      </c>
    </row>
    <row r="2193" spans="9:10">
      <c r="I2193" t="str">
        <f>_xlfn.IFNA(VLOOKUP(B2193,T_DistName[],3,FALSE),"")</f>
        <v/>
      </c>
      <c r="J2193" t="str">
        <f t="shared" si="34"/>
        <v/>
      </c>
    </row>
    <row r="2194" spans="9:10">
      <c r="I2194" t="str">
        <f>_xlfn.IFNA(VLOOKUP(B2194,T_DistName[],3,FALSE),"")</f>
        <v/>
      </c>
      <c r="J2194" t="str">
        <f t="shared" si="34"/>
        <v/>
      </c>
    </row>
    <row r="2195" spans="9:10">
      <c r="I2195" t="str">
        <f>_xlfn.IFNA(VLOOKUP(B2195,T_DistName[],3,FALSE),"")</f>
        <v/>
      </c>
      <c r="J2195" t="str">
        <f t="shared" si="34"/>
        <v/>
      </c>
    </row>
    <row r="2196" spans="9:10">
      <c r="I2196" t="str">
        <f>_xlfn.IFNA(VLOOKUP(B2196,T_DistName[],3,FALSE),"")</f>
        <v/>
      </c>
      <c r="J2196" t="str">
        <f t="shared" si="34"/>
        <v/>
      </c>
    </row>
    <row r="2197" spans="9:10">
      <c r="I2197" t="str">
        <f>_xlfn.IFNA(VLOOKUP(B2197,T_DistName[],3,FALSE),"")</f>
        <v/>
      </c>
      <c r="J2197" t="str">
        <f t="shared" si="34"/>
        <v/>
      </c>
    </row>
    <row r="2198" spans="9:10">
      <c r="I2198" t="str">
        <f>_xlfn.IFNA(VLOOKUP(B2198,T_DistName[],3,FALSE),"")</f>
        <v/>
      </c>
      <c r="J2198" t="str">
        <f t="shared" si="34"/>
        <v/>
      </c>
    </row>
    <row r="2199" spans="9:10">
      <c r="I2199" t="str">
        <f>_xlfn.IFNA(VLOOKUP(B2199,T_DistName[],3,FALSE),"")</f>
        <v/>
      </c>
      <c r="J2199" t="str">
        <f t="shared" si="34"/>
        <v/>
      </c>
    </row>
    <row r="2200" spans="9:10">
      <c r="I2200" t="str">
        <f>_xlfn.IFNA(VLOOKUP(B2200,T_DistName[],3,FALSE),"")</f>
        <v/>
      </c>
      <c r="J2200" t="str">
        <f t="shared" si="34"/>
        <v/>
      </c>
    </row>
    <row r="2201" spans="9:10">
      <c r="I2201" t="str">
        <f>_xlfn.IFNA(VLOOKUP(B2201,T_DistName[],3,FALSE),"")</f>
        <v/>
      </c>
      <c r="J2201" t="str">
        <f t="shared" ref="J2201:J2264" si="35">I2201&amp;F2201</f>
        <v/>
      </c>
    </row>
    <row r="2202" spans="9:10">
      <c r="I2202" t="str">
        <f>_xlfn.IFNA(VLOOKUP(B2202,T_DistName[],3,FALSE),"")</f>
        <v/>
      </c>
      <c r="J2202" t="str">
        <f t="shared" si="35"/>
        <v/>
      </c>
    </row>
    <row r="2203" spans="9:10">
      <c r="I2203" t="str">
        <f>_xlfn.IFNA(VLOOKUP(B2203,T_DistName[],3,FALSE),"")</f>
        <v/>
      </c>
      <c r="J2203" t="str">
        <f t="shared" si="35"/>
        <v/>
      </c>
    </row>
    <row r="2204" spans="9:10">
      <c r="I2204" t="str">
        <f>_xlfn.IFNA(VLOOKUP(B2204,T_DistName[],3,FALSE),"")</f>
        <v/>
      </c>
      <c r="J2204" t="str">
        <f t="shared" si="35"/>
        <v/>
      </c>
    </row>
    <row r="2205" spans="9:10">
      <c r="I2205" t="str">
        <f>_xlfn.IFNA(VLOOKUP(B2205,T_DistName[],3,FALSE),"")</f>
        <v/>
      </c>
      <c r="J2205" t="str">
        <f t="shared" si="35"/>
        <v/>
      </c>
    </row>
    <row r="2206" spans="9:10">
      <c r="I2206" t="str">
        <f>_xlfn.IFNA(VLOOKUP(B2206,T_DistName[],3,FALSE),"")</f>
        <v/>
      </c>
      <c r="J2206" t="str">
        <f t="shared" si="35"/>
        <v/>
      </c>
    </row>
    <row r="2207" spans="9:10">
      <c r="I2207" t="str">
        <f>_xlfn.IFNA(VLOOKUP(B2207,T_DistName[],3,FALSE),"")</f>
        <v/>
      </c>
      <c r="J2207" t="str">
        <f t="shared" si="35"/>
        <v/>
      </c>
    </row>
    <row r="2208" spans="9:10">
      <c r="I2208" t="str">
        <f>_xlfn.IFNA(VLOOKUP(B2208,T_DistName[],3,FALSE),"")</f>
        <v/>
      </c>
      <c r="J2208" t="str">
        <f t="shared" si="35"/>
        <v/>
      </c>
    </row>
    <row r="2209" spans="9:10">
      <c r="I2209" t="str">
        <f>_xlfn.IFNA(VLOOKUP(B2209,T_DistName[],3,FALSE),"")</f>
        <v/>
      </c>
      <c r="J2209" t="str">
        <f t="shared" si="35"/>
        <v/>
      </c>
    </row>
    <row r="2210" spans="9:10">
      <c r="I2210" t="str">
        <f>_xlfn.IFNA(VLOOKUP(B2210,T_DistName[],3,FALSE),"")</f>
        <v/>
      </c>
      <c r="J2210" t="str">
        <f t="shared" si="35"/>
        <v/>
      </c>
    </row>
    <row r="2211" spans="9:10">
      <c r="I2211" t="str">
        <f>_xlfn.IFNA(VLOOKUP(B2211,T_DistName[],3,FALSE),"")</f>
        <v/>
      </c>
      <c r="J2211" t="str">
        <f t="shared" si="35"/>
        <v/>
      </c>
    </row>
    <row r="2212" spans="9:10">
      <c r="I2212" t="str">
        <f>_xlfn.IFNA(VLOOKUP(B2212,T_DistName[],3,FALSE),"")</f>
        <v/>
      </c>
      <c r="J2212" t="str">
        <f t="shared" si="35"/>
        <v/>
      </c>
    </row>
    <row r="2213" spans="9:10">
      <c r="I2213" t="str">
        <f>_xlfn.IFNA(VLOOKUP(B2213,T_DistName[],3,FALSE),"")</f>
        <v/>
      </c>
      <c r="J2213" t="str">
        <f t="shared" si="35"/>
        <v/>
      </c>
    </row>
    <row r="2214" spans="9:10">
      <c r="I2214" t="str">
        <f>_xlfn.IFNA(VLOOKUP(B2214,T_DistName[],3,FALSE),"")</f>
        <v/>
      </c>
      <c r="J2214" t="str">
        <f t="shared" si="35"/>
        <v/>
      </c>
    </row>
    <row r="2215" spans="9:10">
      <c r="I2215" t="str">
        <f>_xlfn.IFNA(VLOOKUP(B2215,T_DistName[],3,FALSE),"")</f>
        <v/>
      </c>
      <c r="J2215" t="str">
        <f t="shared" si="35"/>
        <v/>
      </c>
    </row>
    <row r="2216" spans="9:10">
      <c r="I2216" t="str">
        <f>_xlfn.IFNA(VLOOKUP(B2216,T_DistName[],3,FALSE),"")</f>
        <v/>
      </c>
      <c r="J2216" t="str">
        <f t="shared" si="35"/>
        <v/>
      </c>
    </row>
    <row r="2217" spans="9:10">
      <c r="I2217" t="str">
        <f>_xlfn.IFNA(VLOOKUP(B2217,T_DistName[],3,FALSE),"")</f>
        <v/>
      </c>
      <c r="J2217" t="str">
        <f t="shared" si="35"/>
        <v/>
      </c>
    </row>
    <row r="2218" spans="9:10">
      <c r="I2218" t="str">
        <f>_xlfn.IFNA(VLOOKUP(B2218,T_DistName[],3,FALSE),"")</f>
        <v/>
      </c>
      <c r="J2218" t="str">
        <f t="shared" si="35"/>
        <v/>
      </c>
    </row>
    <row r="2219" spans="9:10">
      <c r="I2219" t="str">
        <f>_xlfn.IFNA(VLOOKUP(B2219,T_DistName[],3,FALSE),"")</f>
        <v/>
      </c>
      <c r="J2219" t="str">
        <f t="shared" si="35"/>
        <v/>
      </c>
    </row>
    <row r="2220" spans="9:10">
      <c r="I2220" t="str">
        <f>_xlfn.IFNA(VLOOKUP(B2220,T_DistName[],3,FALSE),"")</f>
        <v/>
      </c>
      <c r="J2220" t="str">
        <f t="shared" si="35"/>
        <v/>
      </c>
    </row>
    <row r="2221" spans="9:10">
      <c r="I2221" t="str">
        <f>_xlfn.IFNA(VLOOKUP(B2221,T_DistName[],3,FALSE),"")</f>
        <v/>
      </c>
      <c r="J2221" t="str">
        <f t="shared" si="35"/>
        <v/>
      </c>
    </row>
    <row r="2222" spans="9:10">
      <c r="I2222" t="str">
        <f>_xlfn.IFNA(VLOOKUP(B2222,T_DistName[],3,FALSE),"")</f>
        <v/>
      </c>
      <c r="J2222" t="str">
        <f t="shared" si="35"/>
        <v/>
      </c>
    </row>
    <row r="2223" spans="9:10">
      <c r="I2223" t="str">
        <f>_xlfn.IFNA(VLOOKUP(B2223,T_DistName[],3,FALSE),"")</f>
        <v/>
      </c>
      <c r="J2223" t="str">
        <f t="shared" si="35"/>
        <v/>
      </c>
    </row>
    <row r="2224" spans="9:10">
      <c r="I2224" t="str">
        <f>_xlfn.IFNA(VLOOKUP(B2224,T_DistName[],3,FALSE),"")</f>
        <v/>
      </c>
      <c r="J2224" t="str">
        <f t="shared" si="35"/>
        <v/>
      </c>
    </row>
    <row r="2225" spans="9:10">
      <c r="I2225" t="str">
        <f>_xlfn.IFNA(VLOOKUP(B2225,T_DistName[],3,FALSE),"")</f>
        <v/>
      </c>
      <c r="J2225" t="str">
        <f t="shared" si="35"/>
        <v/>
      </c>
    </row>
    <row r="2226" spans="9:10">
      <c r="I2226" t="str">
        <f>_xlfn.IFNA(VLOOKUP(B2226,T_DistName[],3,FALSE),"")</f>
        <v/>
      </c>
      <c r="J2226" t="str">
        <f t="shared" si="35"/>
        <v/>
      </c>
    </row>
    <row r="2227" spans="9:10">
      <c r="I2227" t="str">
        <f>_xlfn.IFNA(VLOOKUP(B2227,T_DistName[],3,FALSE),"")</f>
        <v/>
      </c>
      <c r="J2227" t="str">
        <f t="shared" si="35"/>
        <v/>
      </c>
    </row>
    <row r="2228" spans="9:10">
      <c r="I2228" t="str">
        <f>_xlfn.IFNA(VLOOKUP(B2228,T_DistName[],3,FALSE),"")</f>
        <v/>
      </c>
      <c r="J2228" t="str">
        <f t="shared" si="35"/>
        <v/>
      </c>
    </row>
    <row r="2229" spans="9:10">
      <c r="I2229" t="str">
        <f>_xlfn.IFNA(VLOOKUP(B2229,T_DistName[],3,FALSE),"")</f>
        <v/>
      </c>
      <c r="J2229" t="str">
        <f t="shared" si="35"/>
        <v/>
      </c>
    </row>
    <row r="2230" spans="9:10">
      <c r="I2230" t="str">
        <f>_xlfn.IFNA(VLOOKUP(B2230,T_DistName[],3,FALSE),"")</f>
        <v/>
      </c>
      <c r="J2230" t="str">
        <f t="shared" si="35"/>
        <v/>
      </c>
    </row>
    <row r="2231" spans="9:10">
      <c r="I2231" t="str">
        <f>_xlfn.IFNA(VLOOKUP(B2231,T_DistName[],3,FALSE),"")</f>
        <v/>
      </c>
      <c r="J2231" t="str">
        <f t="shared" si="35"/>
        <v/>
      </c>
    </row>
    <row r="2232" spans="9:10">
      <c r="I2232" t="str">
        <f>_xlfn.IFNA(VLOOKUP(B2232,T_DistName[],3,FALSE),"")</f>
        <v/>
      </c>
      <c r="J2232" t="str">
        <f t="shared" si="35"/>
        <v/>
      </c>
    </row>
    <row r="2233" spans="9:10">
      <c r="I2233" t="str">
        <f>_xlfn.IFNA(VLOOKUP(B2233,T_DistName[],3,FALSE),"")</f>
        <v/>
      </c>
      <c r="J2233" t="str">
        <f t="shared" si="35"/>
        <v/>
      </c>
    </row>
    <row r="2234" spans="9:10">
      <c r="I2234" t="str">
        <f>_xlfn.IFNA(VLOOKUP(B2234,T_DistName[],3,FALSE),"")</f>
        <v/>
      </c>
      <c r="J2234" t="str">
        <f t="shared" si="35"/>
        <v/>
      </c>
    </row>
    <row r="2235" spans="9:10">
      <c r="I2235" t="str">
        <f>_xlfn.IFNA(VLOOKUP(B2235,T_DistName[],3,FALSE),"")</f>
        <v/>
      </c>
      <c r="J2235" t="str">
        <f t="shared" si="35"/>
        <v/>
      </c>
    </row>
    <row r="2236" spans="9:10">
      <c r="I2236" t="str">
        <f>_xlfn.IFNA(VLOOKUP(B2236,T_DistName[],3,FALSE),"")</f>
        <v/>
      </c>
      <c r="J2236" t="str">
        <f t="shared" si="35"/>
        <v/>
      </c>
    </row>
    <row r="2237" spans="9:10">
      <c r="I2237" t="str">
        <f>_xlfn.IFNA(VLOOKUP(B2237,T_DistName[],3,FALSE),"")</f>
        <v/>
      </c>
      <c r="J2237" t="str">
        <f t="shared" si="35"/>
        <v/>
      </c>
    </row>
    <row r="2238" spans="9:10">
      <c r="I2238" t="str">
        <f>_xlfn.IFNA(VLOOKUP(B2238,T_DistName[],3,FALSE),"")</f>
        <v/>
      </c>
      <c r="J2238" t="str">
        <f t="shared" si="35"/>
        <v/>
      </c>
    </row>
    <row r="2239" spans="9:10">
      <c r="I2239" t="str">
        <f>_xlfn.IFNA(VLOOKUP(B2239,T_DistName[],3,FALSE),"")</f>
        <v/>
      </c>
      <c r="J2239" t="str">
        <f t="shared" si="35"/>
        <v/>
      </c>
    </row>
    <row r="2240" spans="9:10">
      <c r="I2240" t="str">
        <f>_xlfn.IFNA(VLOOKUP(B2240,T_DistName[],3,FALSE),"")</f>
        <v/>
      </c>
      <c r="J2240" t="str">
        <f t="shared" si="35"/>
        <v/>
      </c>
    </row>
    <row r="2241" spans="9:10">
      <c r="I2241" t="str">
        <f>_xlfn.IFNA(VLOOKUP(B2241,T_DistName[],3,FALSE),"")</f>
        <v/>
      </c>
      <c r="J2241" t="str">
        <f t="shared" si="35"/>
        <v/>
      </c>
    </row>
    <row r="2242" spans="9:10">
      <c r="I2242" t="str">
        <f>_xlfn.IFNA(VLOOKUP(B2242,T_DistName[],3,FALSE),"")</f>
        <v/>
      </c>
      <c r="J2242" t="str">
        <f t="shared" si="35"/>
        <v/>
      </c>
    </row>
    <row r="2243" spans="9:10">
      <c r="I2243" t="str">
        <f>_xlfn.IFNA(VLOOKUP(B2243,T_DistName[],3,FALSE),"")</f>
        <v/>
      </c>
      <c r="J2243" t="str">
        <f t="shared" si="35"/>
        <v/>
      </c>
    </row>
    <row r="2244" spans="9:10">
      <c r="I2244" t="str">
        <f>_xlfn.IFNA(VLOOKUP(B2244,T_DistName[],3,FALSE),"")</f>
        <v/>
      </c>
      <c r="J2244" t="str">
        <f t="shared" si="35"/>
        <v/>
      </c>
    </row>
    <row r="2245" spans="9:10">
      <c r="I2245" t="str">
        <f>_xlfn.IFNA(VLOOKUP(B2245,T_DistName[],3,FALSE),"")</f>
        <v/>
      </c>
      <c r="J2245" t="str">
        <f t="shared" si="35"/>
        <v/>
      </c>
    </row>
    <row r="2246" spans="9:10">
      <c r="I2246" t="str">
        <f>_xlfn.IFNA(VLOOKUP(B2246,T_DistName[],3,FALSE),"")</f>
        <v/>
      </c>
      <c r="J2246" t="str">
        <f t="shared" si="35"/>
        <v/>
      </c>
    </row>
    <row r="2247" spans="9:10">
      <c r="I2247" t="str">
        <f>_xlfn.IFNA(VLOOKUP(B2247,T_DistName[],3,FALSE),"")</f>
        <v/>
      </c>
      <c r="J2247" t="str">
        <f t="shared" si="35"/>
        <v/>
      </c>
    </row>
    <row r="2248" spans="9:10">
      <c r="I2248" t="str">
        <f>_xlfn.IFNA(VLOOKUP(B2248,T_DistName[],3,FALSE),"")</f>
        <v/>
      </c>
      <c r="J2248" t="str">
        <f t="shared" si="35"/>
        <v/>
      </c>
    </row>
    <row r="2249" spans="9:10">
      <c r="I2249" t="str">
        <f>_xlfn.IFNA(VLOOKUP(B2249,T_DistName[],3,FALSE),"")</f>
        <v/>
      </c>
      <c r="J2249" t="str">
        <f t="shared" si="35"/>
        <v/>
      </c>
    </row>
    <row r="2250" spans="9:10">
      <c r="I2250" t="str">
        <f>_xlfn.IFNA(VLOOKUP(B2250,T_DistName[],3,FALSE),"")</f>
        <v/>
      </c>
      <c r="J2250" t="str">
        <f t="shared" si="35"/>
        <v/>
      </c>
    </row>
    <row r="2251" spans="9:10">
      <c r="I2251" t="str">
        <f>_xlfn.IFNA(VLOOKUP(B2251,T_DistName[],3,FALSE),"")</f>
        <v/>
      </c>
      <c r="J2251" t="str">
        <f t="shared" si="35"/>
        <v/>
      </c>
    </row>
    <row r="2252" spans="9:10">
      <c r="I2252" t="str">
        <f>_xlfn.IFNA(VLOOKUP(B2252,T_DistName[],3,FALSE),"")</f>
        <v/>
      </c>
      <c r="J2252" t="str">
        <f t="shared" si="35"/>
        <v/>
      </c>
    </row>
    <row r="2253" spans="9:10">
      <c r="I2253" t="str">
        <f>_xlfn.IFNA(VLOOKUP(B2253,T_DistName[],3,FALSE),"")</f>
        <v/>
      </c>
      <c r="J2253" t="str">
        <f t="shared" si="35"/>
        <v/>
      </c>
    </row>
    <row r="2254" spans="9:10">
      <c r="I2254" t="str">
        <f>_xlfn.IFNA(VLOOKUP(B2254,T_DistName[],3,FALSE),"")</f>
        <v/>
      </c>
      <c r="J2254" t="str">
        <f t="shared" si="35"/>
        <v/>
      </c>
    </row>
    <row r="2255" spans="9:10">
      <c r="I2255" t="str">
        <f>_xlfn.IFNA(VLOOKUP(B2255,T_DistName[],3,FALSE),"")</f>
        <v/>
      </c>
      <c r="J2255" t="str">
        <f t="shared" si="35"/>
        <v/>
      </c>
    </row>
    <row r="2256" spans="9:10">
      <c r="I2256" t="str">
        <f>_xlfn.IFNA(VLOOKUP(B2256,T_DistName[],3,FALSE),"")</f>
        <v/>
      </c>
      <c r="J2256" t="str">
        <f t="shared" si="35"/>
        <v/>
      </c>
    </row>
    <row r="2257" spans="9:10">
      <c r="I2257" t="str">
        <f>_xlfn.IFNA(VLOOKUP(B2257,T_DistName[],3,FALSE),"")</f>
        <v/>
      </c>
      <c r="J2257" t="str">
        <f t="shared" si="35"/>
        <v/>
      </c>
    </row>
    <row r="2258" spans="9:10">
      <c r="I2258" t="str">
        <f>_xlfn.IFNA(VLOOKUP(B2258,T_DistName[],3,FALSE),"")</f>
        <v/>
      </c>
      <c r="J2258" t="str">
        <f t="shared" si="35"/>
        <v/>
      </c>
    </row>
    <row r="2259" spans="9:10">
      <c r="I2259" t="str">
        <f>_xlfn.IFNA(VLOOKUP(B2259,T_DistName[],3,FALSE),"")</f>
        <v/>
      </c>
      <c r="J2259" t="str">
        <f t="shared" si="35"/>
        <v/>
      </c>
    </row>
    <row r="2260" spans="9:10">
      <c r="I2260" t="str">
        <f>_xlfn.IFNA(VLOOKUP(B2260,T_DistName[],3,FALSE),"")</f>
        <v/>
      </c>
      <c r="J2260" t="str">
        <f t="shared" si="35"/>
        <v/>
      </c>
    </row>
    <row r="2261" spans="9:10">
      <c r="I2261" t="str">
        <f>_xlfn.IFNA(VLOOKUP(B2261,T_DistName[],3,FALSE),"")</f>
        <v/>
      </c>
      <c r="J2261" t="str">
        <f t="shared" si="35"/>
        <v/>
      </c>
    </row>
    <row r="2262" spans="9:10">
      <c r="I2262" t="str">
        <f>_xlfn.IFNA(VLOOKUP(B2262,T_DistName[],3,FALSE),"")</f>
        <v/>
      </c>
      <c r="J2262" t="str">
        <f t="shared" si="35"/>
        <v/>
      </c>
    </row>
    <row r="2263" spans="9:10">
      <c r="I2263" t="str">
        <f>_xlfn.IFNA(VLOOKUP(B2263,T_DistName[],3,FALSE),"")</f>
        <v/>
      </c>
      <c r="J2263" t="str">
        <f t="shared" si="35"/>
        <v/>
      </c>
    </row>
    <row r="2264" spans="9:10">
      <c r="I2264" t="str">
        <f>_xlfn.IFNA(VLOOKUP(B2264,T_DistName[],3,FALSE),"")</f>
        <v/>
      </c>
      <c r="J2264" t="str">
        <f t="shared" si="35"/>
        <v/>
      </c>
    </row>
    <row r="2265" spans="9:10">
      <c r="I2265" t="str">
        <f>_xlfn.IFNA(VLOOKUP(B2265,T_DistName[],3,FALSE),"")</f>
        <v/>
      </c>
      <c r="J2265" t="str">
        <f t="shared" ref="J2265:J2328" si="36">I2265&amp;F2265</f>
        <v/>
      </c>
    </row>
    <row r="2266" spans="9:10">
      <c r="I2266" t="str">
        <f>_xlfn.IFNA(VLOOKUP(B2266,T_DistName[],3,FALSE),"")</f>
        <v/>
      </c>
      <c r="J2266" t="str">
        <f t="shared" si="36"/>
        <v/>
      </c>
    </row>
    <row r="2267" spans="9:10">
      <c r="I2267" t="str">
        <f>_xlfn.IFNA(VLOOKUP(B2267,T_DistName[],3,FALSE),"")</f>
        <v/>
      </c>
      <c r="J2267" t="str">
        <f t="shared" si="36"/>
        <v/>
      </c>
    </row>
    <row r="2268" spans="9:10">
      <c r="I2268" t="str">
        <f>_xlfn.IFNA(VLOOKUP(B2268,T_DistName[],3,FALSE),"")</f>
        <v/>
      </c>
      <c r="J2268" t="str">
        <f t="shared" si="36"/>
        <v/>
      </c>
    </row>
    <row r="2269" spans="9:10">
      <c r="I2269" t="str">
        <f>_xlfn.IFNA(VLOOKUP(B2269,T_DistName[],3,FALSE),"")</f>
        <v/>
      </c>
      <c r="J2269" t="str">
        <f t="shared" si="36"/>
        <v/>
      </c>
    </row>
    <row r="2270" spans="9:10">
      <c r="I2270" t="str">
        <f>_xlfn.IFNA(VLOOKUP(B2270,T_DistName[],3,FALSE),"")</f>
        <v/>
      </c>
      <c r="J2270" t="str">
        <f t="shared" si="36"/>
        <v/>
      </c>
    </row>
    <row r="2271" spans="9:10">
      <c r="I2271" t="str">
        <f>_xlfn.IFNA(VLOOKUP(B2271,T_DistName[],3,FALSE),"")</f>
        <v/>
      </c>
      <c r="J2271" t="str">
        <f t="shared" si="36"/>
        <v/>
      </c>
    </row>
    <row r="2272" spans="9:10">
      <c r="I2272" t="str">
        <f>_xlfn.IFNA(VLOOKUP(B2272,T_DistName[],3,FALSE),"")</f>
        <v/>
      </c>
      <c r="J2272" t="str">
        <f t="shared" si="36"/>
        <v/>
      </c>
    </row>
    <row r="2273" spans="9:10">
      <c r="I2273" t="str">
        <f>_xlfn.IFNA(VLOOKUP(B2273,T_DistName[],3,FALSE),"")</f>
        <v/>
      </c>
      <c r="J2273" t="str">
        <f t="shared" si="36"/>
        <v/>
      </c>
    </row>
    <row r="2274" spans="9:10">
      <c r="I2274" t="str">
        <f>_xlfn.IFNA(VLOOKUP(B2274,T_DistName[],3,FALSE),"")</f>
        <v/>
      </c>
      <c r="J2274" t="str">
        <f t="shared" si="36"/>
        <v/>
      </c>
    </row>
    <row r="2275" spans="9:10">
      <c r="I2275" t="str">
        <f>_xlfn.IFNA(VLOOKUP(B2275,T_DistName[],3,FALSE),"")</f>
        <v/>
      </c>
      <c r="J2275" t="str">
        <f t="shared" si="36"/>
        <v/>
      </c>
    </row>
    <row r="2276" spans="9:10">
      <c r="I2276" t="str">
        <f>_xlfn.IFNA(VLOOKUP(B2276,T_DistName[],3,FALSE),"")</f>
        <v/>
      </c>
      <c r="J2276" t="str">
        <f t="shared" si="36"/>
        <v/>
      </c>
    </row>
    <row r="2277" spans="9:10">
      <c r="I2277" t="str">
        <f>_xlfn.IFNA(VLOOKUP(B2277,T_DistName[],3,FALSE),"")</f>
        <v/>
      </c>
      <c r="J2277" t="str">
        <f t="shared" si="36"/>
        <v/>
      </c>
    </row>
    <row r="2278" spans="9:10">
      <c r="I2278" t="str">
        <f>_xlfn.IFNA(VLOOKUP(B2278,T_DistName[],3,FALSE),"")</f>
        <v/>
      </c>
      <c r="J2278" t="str">
        <f t="shared" si="36"/>
        <v/>
      </c>
    </row>
    <row r="2279" spans="9:10">
      <c r="I2279" t="str">
        <f>_xlfn.IFNA(VLOOKUP(B2279,T_DistName[],3,FALSE),"")</f>
        <v/>
      </c>
      <c r="J2279" t="str">
        <f t="shared" si="36"/>
        <v/>
      </c>
    </row>
    <row r="2280" spans="9:10">
      <c r="I2280" t="str">
        <f>_xlfn.IFNA(VLOOKUP(B2280,T_DistName[],3,FALSE),"")</f>
        <v/>
      </c>
      <c r="J2280" t="str">
        <f t="shared" si="36"/>
        <v/>
      </c>
    </row>
    <row r="2281" spans="9:10">
      <c r="I2281" t="str">
        <f>_xlfn.IFNA(VLOOKUP(B2281,T_DistName[],3,FALSE),"")</f>
        <v/>
      </c>
      <c r="J2281" t="str">
        <f t="shared" si="36"/>
        <v/>
      </c>
    </row>
    <row r="2282" spans="9:10">
      <c r="I2282" t="str">
        <f>_xlfn.IFNA(VLOOKUP(B2282,T_DistName[],3,FALSE),"")</f>
        <v/>
      </c>
      <c r="J2282" t="str">
        <f t="shared" si="36"/>
        <v/>
      </c>
    </row>
    <row r="2283" spans="9:10">
      <c r="I2283" t="str">
        <f>_xlfn.IFNA(VLOOKUP(B2283,T_DistName[],3,FALSE),"")</f>
        <v/>
      </c>
      <c r="J2283" t="str">
        <f t="shared" si="36"/>
        <v/>
      </c>
    </row>
    <row r="2284" spans="9:10">
      <c r="I2284" t="str">
        <f>_xlfn.IFNA(VLOOKUP(B2284,T_DistName[],3,FALSE),"")</f>
        <v/>
      </c>
      <c r="J2284" t="str">
        <f t="shared" si="36"/>
        <v/>
      </c>
    </row>
    <row r="2285" spans="9:10">
      <c r="I2285" t="str">
        <f>_xlfn.IFNA(VLOOKUP(B2285,T_DistName[],3,FALSE),"")</f>
        <v/>
      </c>
      <c r="J2285" t="str">
        <f t="shared" si="36"/>
        <v/>
      </c>
    </row>
    <row r="2286" spans="9:10">
      <c r="I2286" t="str">
        <f>_xlfn.IFNA(VLOOKUP(B2286,T_DistName[],3,FALSE),"")</f>
        <v/>
      </c>
      <c r="J2286" t="str">
        <f t="shared" si="36"/>
        <v/>
      </c>
    </row>
    <row r="2287" spans="9:10">
      <c r="I2287" t="str">
        <f>_xlfn.IFNA(VLOOKUP(B2287,T_DistName[],3,FALSE),"")</f>
        <v/>
      </c>
      <c r="J2287" t="str">
        <f t="shared" si="36"/>
        <v/>
      </c>
    </row>
    <row r="2288" spans="9:10">
      <c r="I2288" t="str">
        <f>_xlfn.IFNA(VLOOKUP(B2288,T_DistName[],3,FALSE),"")</f>
        <v/>
      </c>
      <c r="J2288" t="str">
        <f t="shared" si="36"/>
        <v/>
      </c>
    </row>
    <row r="2289" spans="9:10">
      <c r="I2289" t="str">
        <f>_xlfn.IFNA(VLOOKUP(B2289,T_DistName[],3,FALSE),"")</f>
        <v/>
      </c>
      <c r="J2289" t="str">
        <f t="shared" si="36"/>
        <v/>
      </c>
    </row>
    <row r="2290" spans="9:10">
      <c r="I2290" t="str">
        <f>_xlfn.IFNA(VLOOKUP(B2290,T_DistName[],3,FALSE),"")</f>
        <v/>
      </c>
      <c r="J2290" t="str">
        <f t="shared" si="36"/>
        <v/>
      </c>
    </row>
    <row r="2291" spans="9:10">
      <c r="I2291" t="str">
        <f>_xlfn.IFNA(VLOOKUP(B2291,T_DistName[],3,FALSE),"")</f>
        <v/>
      </c>
      <c r="J2291" t="str">
        <f t="shared" si="36"/>
        <v/>
      </c>
    </row>
    <row r="2292" spans="9:10">
      <c r="I2292" t="str">
        <f>_xlfn.IFNA(VLOOKUP(B2292,T_DistName[],3,FALSE),"")</f>
        <v/>
      </c>
      <c r="J2292" t="str">
        <f t="shared" si="36"/>
        <v/>
      </c>
    </row>
    <row r="2293" spans="9:10">
      <c r="I2293" t="str">
        <f>_xlfn.IFNA(VLOOKUP(B2293,T_DistName[],3,FALSE),"")</f>
        <v/>
      </c>
      <c r="J2293" t="str">
        <f t="shared" si="36"/>
        <v/>
      </c>
    </row>
    <row r="2294" spans="9:10">
      <c r="I2294" t="str">
        <f>_xlfn.IFNA(VLOOKUP(B2294,T_DistName[],3,FALSE),"")</f>
        <v/>
      </c>
      <c r="J2294" t="str">
        <f t="shared" si="36"/>
        <v/>
      </c>
    </row>
    <row r="2295" spans="9:10">
      <c r="I2295" t="str">
        <f>_xlfn.IFNA(VLOOKUP(B2295,T_DistName[],3,FALSE),"")</f>
        <v/>
      </c>
      <c r="J2295" t="str">
        <f t="shared" si="36"/>
        <v/>
      </c>
    </row>
    <row r="2296" spans="9:10">
      <c r="I2296" t="str">
        <f>_xlfn.IFNA(VLOOKUP(B2296,T_DistName[],3,FALSE),"")</f>
        <v/>
      </c>
      <c r="J2296" t="str">
        <f t="shared" si="36"/>
        <v/>
      </c>
    </row>
    <row r="2297" spans="9:10">
      <c r="I2297" t="str">
        <f>_xlfn.IFNA(VLOOKUP(B2297,T_DistName[],3,FALSE),"")</f>
        <v/>
      </c>
      <c r="J2297" t="str">
        <f t="shared" si="36"/>
        <v/>
      </c>
    </row>
    <row r="2298" spans="9:10">
      <c r="I2298" t="str">
        <f>_xlfn.IFNA(VLOOKUP(B2298,T_DistName[],3,FALSE),"")</f>
        <v/>
      </c>
      <c r="J2298" t="str">
        <f t="shared" si="36"/>
        <v/>
      </c>
    </row>
    <row r="2299" spans="9:10">
      <c r="I2299" t="str">
        <f>_xlfn.IFNA(VLOOKUP(B2299,T_DistName[],3,FALSE),"")</f>
        <v/>
      </c>
      <c r="J2299" t="str">
        <f t="shared" si="36"/>
        <v/>
      </c>
    </row>
    <row r="2300" spans="9:10">
      <c r="I2300" t="str">
        <f>_xlfn.IFNA(VLOOKUP(B2300,T_DistName[],3,FALSE),"")</f>
        <v/>
      </c>
      <c r="J2300" t="str">
        <f t="shared" si="36"/>
        <v/>
      </c>
    </row>
    <row r="2301" spans="9:10">
      <c r="I2301" t="str">
        <f>_xlfn.IFNA(VLOOKUP(B2301,T_DistName[],3,FALSE),"")</f>
        <v/>
      </c>
      <c r="J2301" t="str">
        <f t="shared" si="36"/>
        <v/>
      </c>
    </row>
    <row r="2302" spans="9:10">
      <c r="I2302" t="str">
        <f>_xlfn.IFNA(VLOOKUP(B2302,T_DistName[],3,FALSE),"")</f>
        <v/>
      </c>
      <c r="J2302" t="str">
        <f t="shared" si="36"/>
        <v/>
      </c>
    </row>
    <row r="2303" spans="9:10">
      <c r="I2303" t="str">
        <f>_xlfn.IFNA(VLOOKUP(B2303,T_DistName[],3,FALSE),"")</f>
        <v/>
      </c>
      <c r="J2303" t="str">
        <f t="shared" si="36"/>
        <v/>
      </c>
    </row>
    <row r="2304" spans="9:10">
      <c r="I2304" t="str">
        <f>_xlfn.IFNA(VLOOKUP(B2304,T_DistName[],3,FALSE),"")</f>
        <v/>
      </c>
      <c r="J2304" t="str">
        <f t="shared" si="36"/>
        <v/>
      </c>
    </row>
    <row r="2305" spans="9:10">
      <c r="I2305" t="str">
        <f>_xlfn.IFNA(VLOOKUP(B2305,T_DistName[],3,FALSE),"")</f>
        <v/>
      </c>
      <c r="J2305" t="str">
        <f t="shared" si="36"/>
        <v/>
      </c>
    </row>
    <row r="2306" spans="9:10">
      <c r="I2306" t="str">
        <f>_xlfn.IFNA(VLOOKUP(B2306,T_DistName[],3,FALSE),"")</f>
        <v/>
      </c>
      <c r="J2306" t="str">
        <f t="shared" si="36"/>
        <v/>
      </c>
    </row>
    <row r="2307" spans="9:10">
      <c r="I2307" t="str">
        <f>_xlfn.IFNA(VLOOKUP(B2307,T_DistName[],3,FALSE),"")</f>
        <v/>
      </c>
      <c r="J2307" t="str">
        <f t="shared" si="36"/>
        <v/>
      </c>
    </row>
    <row r="2308" spans="9:10">
      <c r="I2308" t="str">
        <f>_xlfn.IFNA(VLOOKUP(B2308,T_DistName[],3,FALSE),"")</f>
        <v/>
      </c>
      <c r="J2308" t="str">
        <f t="shared" si="36"/>
        <v/>
      </c>
    </row>
    <row r="2309" spans="9:10">
      <c r="I2309" t="str">
        <f>_xlfn.IFNA(VLOOKUP(B2309,T_DistName[],3,FALSE),"")</f>
        <v/>
      </c>
      <c r="J2309" t="str">
        <f t="shared" si="36"/>
        <v/>
      </c>
    </row>
    <row r="2310" spans="9:10">
      <c r="I2310" t="str">
        <f>_xlfn.IFNA(VLOOKUP(B2310,T_DistName[],3,FALSE),"")</f>
        <v/>
      </c>
      <c r="J2310" t="str">
        <f t="shared" si="36"/>
        <v/>
      </c>
    </row>
    <row r="2311" spans="9:10">
      <c r="I2311" t="str">
        <f>_xlfn.IFNA(VLOOKUP(B2311,T_DistName[],3,FALSE),"")</f>
        <v/>
      </c>
      <c r="J2311" t="str">
        <f t="shared" si="36"/>
        <v/>
      </c>
    </row>
    <row r="2312" spans="9:10">
      <c r="I2312" t="str">
        <f>_xlfn.IFNA(VLOOKUP(B2312,T_DistName[],3,FALSE),"")</f>
        <v/>
      </c>
      <c r="J2312" t="str">
        <f t="shared" si="36"/>
        <v/>
      </c>
    </row>
    <row r="2313" spans="9:10">
      <c r="I2313" t="str">
        <f>_xlfn.IFNA(VLOOKUP(B2313,T_DistName[],3,FALSE),"")</f>
        <v/>
      </c>
      <c r="J2313" t="str">
        <f t="shared" si="36"/>
        <v/>
      </c>
    </row>
    <row r="2314" spans="9:10">
      <c r="I2314" t="str">
        <f>_xlfn.IFNA(VLOOKUP(B2314,T_DistName[],3,FALSE),"")</f>
        <v/>
      </c>
      <c r="J2314" t="str">
        <f t="shared" si="36"/>
        <v/>
      </c>
    </row>
    <row r="2315" spans="9:10">
      <c r="I2315" t="str">
        <f>_xlfn.IFNA(VLOOKUP(B2315,T_DistName[],3,FALSE),"")</f>
        <v/>
      </c>
      <c r="J2315" t="str">
        <f t="shared" si="36"/>
        <v/>
      </c>
    </row>
    <row r="2316" spans="9:10">
      <c r="I2316" t="str">
        <f>_xlfn.IFNA(VLOOKUP(B2316,T_DistName[],3,FALSE),"")</f>
        <v/>
      </c>
      <c r="J2316" t="str">
        <f t="shared" si="36"/>
        <v/>
      </c>
    </row>
    <row r="2317" spans="9:10">
      <c r="I2317" t="str">
        <f>_xlfn.IFNA(VLOOKUP(B2317,T_DistName[],3,FALSE),"")</f>
        <v/>
      </c>
      <c r="J2317" t="str">
        <f t="shared" si="36"/>
        <v/>
      </c>
    </row>
    <row r="2318" spans="9:10">
      <c r="I2318" t="str">
        <f>_xlfn.IFNA(VLOOKUP(B2318,T_DistName[],3,FALSE),"")</f>
        <v/>
      </c>
      <c r="J2318" t="str">
        <f t="shared" si="36"/>
        <v/>
      </c>
    </row>
    <row r="2319" spans="9:10">
      <c r="I2319" t="str">
        <f>_xlfn.IFNA(VLOOKUP(B2319,T_DistName[],3,FALSE),"")</f>
        <v/>
      </c>
      <c r="J2319" t="str">
        <f t="shared" si="36"/>
        <v/>
      </c>
    </row>
    <row r="2320" spans="9:10">
      <c r="I2320" t="str">
        <f>_xlfn.IFNA(VLOOKUP(B2320,T_DistName[],3,FALSE),"")</f>
        <v/>
      </c>
      <c r="J2320" t="str">
        <f t="shared" si="36"/>
        <v/>
      </c>
    </row>
    <row r="2321" spans="9:10">
      <c r="I2321" t="str">
        <f>_xlfn.IFNA(VLOOKUP(B2321,T_DistName[],3,FALSE),"")</f>
        <v/>
      </c>
      <c r="J2321" t="str">
        <f t="shared" si="36"/>
        <v/>
      </c>
    </row>
    <row r="2322" spans="9:10">
      <c r="I2322" t="str">
        <f>_xlfn.IFNA(VLOOKUP(B2322,T_DistName[],3,FALSE),"")</f>
        <v/>
      </c>
      <c r="J2322" t="str">
        <f t="shared" si="36"/>
        <v/>
      </c>
    </row>
    <row r="2323" spans="9:10">
      <c r="I2323" t="str">
        <f>_xlfn.IFNA(VLOOKUP(B2323,T_DistName[],3,FALSE),"")</f>
        <v/>
      </c>
      <c r="J2323" t="str">
        <f t="shared" si="36"/>
        <v/>
      </c>
    </row>
    <row r="2324" spans="9:10">
      <c r="I2324" t="str">
        <f>_xlfn.IFNA(VLOOKUP(B2324,T_DistName[],3,FALSE),"")</f>
        <v/>
      </c>
      <c r="J2324" t="str">
        <f t="shared" si="36"/>
        <v/>
      </c>
    </row>
    <row r="2325" spans="9:10">
      <c r="I2325" t="str">
        <f>_xlfn.IFNA(VLOOKUP(B2325,T_DistName[],3,FALSE),"")</f>
        <v/>
      </c>
      <c r="J2325" t="str">
        <f t="shared" si="36"/>
        <v/>
      </c>
    </row>
    <row r="2326" spans="9:10">
      <c r="I2326" t="str">
        <f>_xlfn.IFNA(VLOOKUP(B2326,T_DistName[],3,FALSE),"")</f>
        <v/>
      </c>
      <c r="J2326" t="str">
        <f t="shared" si="36"/>
        <v/>
      </c>
    </row>
    <row r="2327" spans="9:10">
      <c r="I2327" t="str">
        <f>_xlfn.IFNA(VLOOKUP(B2327,T_DistName[],3,FALSE),"")</f>
        <v/>
      </c>
      <c r="J2327" t="str">
        <f t="shared" si="36"/>
        <v/>
      </c>
    </row>
    <row r="2328" spans="9:10">
      <c r="I2328" t="str">
        <f>_xlfn.IFNA(VLOOKUP(B2328,T_DistName[],3,FALSE),"")</f>
        <v/>
      </c>
      <c r="J2328" t="str">
        <f t="shared" si="36"/>
        <v/>
      </c>
    </row>
    <row r="2329" spans="9:10">
      <c r="I2329" t="str">
        <f>_xlfn.IFNA(VLOOKUP(B2329,T_DistName[],3,FALSE),"")</f>
        <v/>
      </c>
      <c r="J2329" t="str">
        <f t="shared" ref="J2329:J2392" si="37">I2329&amp;F2329</f>
        <v/>
      </c>
    </row>
    <row r="2330" spans="9:10">
      <c r="I2330" t="str">
        <f>_xlfn.IFNA(VLOOKUP(B2330,T_DistName[],3,FALSE),"")</f>
        <v/>
      </c>
      <c r="J2330" t="str">
        <f t="shared" si="37"/>
        <v/>
      </c>
    </row>
    <row r="2331" spans="9:10">
      <c r="I2331" t="str">
        <f>_xlfn.IFNA(VLOOKUP(B2331,T_DistName[],3,FALSE),"")</f>
        <v/>
      </c>
      <c r="J2331" t="str">
        <f t="shared" si="37"/>
        <v/>
      </c>
    </row>
    <row r="2332" spans="9:10">
      <c r="I2332" t="str">
        <f>_xlfn.IFNA(VLOOKUP(B2332,T_DistName[],3,FALSE),"")</f>
        <v/>
      </c>
      <c r="J2332" t="str">
        <f t="shared" si="37"/>
        <v/>
      </c>
    </row>
    <row r="2333" spans="9:10">
      <c r="I2333" t="str">
        <f>_xlfn.IFNA(VLOOKUP(B2333,T_DistName[],3,FALSE),"")</f>
        <v/>
      </c>
      <c r="J2333" t="str">
        <f t="shared" si="37"/>
        <v/>
      </c>
    </row>
    <row r="2334" spans="9:10">
      <c r="I2334" t="str">
        <f>_xlfn.IFNA(VLOOKUP(B2334,T_DistName[],3,FALSE),"")</f>
        <v/>
      </c>
      <c r="J2334" t="str">
        <f t="shared" si="37"/>
        <v/>
      </c>
    </row>
    <row r="2335" spans="9:10">
      <c r="I2335" t="str">
        <f>_xlfn.IFNA(VLOOKUP(B2335,T_DistName[],3,FALSE),"")</f>
        <v/>
      </c>
      <c r="J2335" t="str">
        <f t="shared" si="37"/>
        <v/>
      </c>
    </row>
    <row r="2336" spans="9:10">
      <c r="I2336" t="str">
        <f>_xlfn.IFNA(VLOOKUP(B2336,T_DistName[],3,FALSE),"")</f>
        <v/>
      </c>
      <c r="J2336" t="str">
        <f t="shared" si="37"/>
        <v/>
      </c>
    </row>
    <row r="2337" spans="9:10">
      <c r="I2337" t="str">
        <f>_xlfn.IFNA(VLOOKUP(B2337,T_DistName[],3,FALSE),"")</f>
        <v/>
      </c>
      <c r="J2337" t="str">
        <f t="shared" si="37"/>
        <v/>
      </c>
    </row>
    <row r="2338" spans="9:10">
      <c r="I2338" t="str">
        <f>_xlfn.IFNA(VLOOKUP(B2338,T_DistName[],3,FALSE),"")</f>
        <v/>
      </c>
      <c r="J2338" t="str">
        <f t="shared" si="37"/>
        <v/>
      </c>
    </row>
    <row r="2339" spans="9:10">
      <c r="I2339" t="str">
        <f>_xlfn.IFNA(VLOOKUP(B2339,T_DistName[],3,FALSE),"")</f>
        <v/>
      </c>
      <c r="J2339" t="str">
        <f t="shared" si="37"/>
        <v/>
      </c>
    </row>
    <row r="2340" spans="9:10">
      <c r="I2340" t="str">
        <f>_xlfn.IFNA(VLOOKUP(B2340,T_DistName[],3,FALSE),"")</f>
        <v/>
      </c>
      <c r="J2340" t="str">
        <f t="shared" si="37"/>
        <v/>
      </c>
    </row>
    <row r="2341" spans="9:10">
      <c r="I2341" t="str">
        <f>_xlfn.IFNA(VLOOKUP(B2341,T_DistName[],3,FALSE),"")</f>
        <v/>
      </c>
      <c r="J2341" t="str">
        <f t="shared" si="37"/>
        <v/>
      </c>
    </row>
    <row r="2342" spans="9:10">
      <c r="I2342" t="str">
        <f>_xlfn.IFNA(VLOOKUP(B2342,T_DistName[],3,FALSE),"")</f>
        <v/>
      </c>
      <c r="J2342" t="str">
        <f t="shared" si="37"/>
        <v/>
      </c>
    </row>
    <row r="2343" spans="9:10">
      <c r="I2343" t="str">
        <f>_xlfn.IFNA(VLOOKUP(B2343,T_DistName[],3,FALSE),"")</f>
        <v/>
      </c>
      <c r="J2343" t="str">
        <f t="shared" si="37"/>
        <v/>
      </c>
    </row>
    <row r="2344" spans="9:10">
      <c r="I2344" t="str">
        <f>_xlfn.IFNA(VLOOKUP(B2344,T_DistName[],3,FALSE),"")</f>
        <v/>
      </c>
      <c r="J2344" t="str">
        <f t="shared" si="37"/>
        <v/>
      </c>
    </row>
    <row r="2345" spans="9:10">
      <c r="I2345" t="str">
        <f>_xlfn.IFNA(VLOOKUP(B2345,T_DistName[],3,FALSE),"")</f>
        <v/>
      </c>
      <c r="J2345" t="str">
        <f t="shared" si="37"/>
        <v/>
      </c>
    </row>
    <row r="2346" spans="9:10">
      <c r="I2346" t="str">
        <f>_xlfn.IFNA(VLOOKUP(B2346,T_DistName[],3,FALSE),"")</f>
        <v/>
      </c>
      <c r="J2346" t="str">
        <f t="shared" si="37"/>
        <v/>
      </c>
    </row>
    <row r="2347" spans="9:10">
      <c r="I2347" t="str">
        <f>_xlfn.IFNA(VLOOKUP(B2347,T_DistName[],3,FALSE),"")</f>
        <v/>
      </c>
      <c r="J2347" t="str">
        <f t="shared" si="37"/>
        <v/>
      </c>
    </row>
    <row r="2348" spans="9:10">
      <c r="I2348" t="str">
        <f>_xlfn.IFNA(VLOOKUP(B2348,T_DistName[],3,FALSE),"")</f>
        <v/>
      </c>
      <c r="J2348" t="str">
        <f t="shared" si="37"/>
        <v/>
      </c>
    </row>
    <row r="2349" spans="9:10">
      <c r="I2349" t="str">
        <f>_xlfn.IFNA(VLOOKUP(B2349,T_DistName[],3,FALSE),"")</f>
        <v/>
      </c>
      <c r="J2349" t="str">
        <f t="shared" si="37"/>
        <v/>
      </c>
    </row>
    <row r="2350" spans="9:10">
      <c r="I2350" t="str">
        <f>_xlfn.IFNA(VLOOKUP(B2350,T_DistName[],3,FALSE),"")</f>
        <v/>
      </c>
      <c r="J2350" t="str">
        <f t="shared" si="37"/>
        <v/>
      </c>
    </row>
    <row r="2351" spans="9:10">
      <c r="I2351" t="str">
        <f>_xlfn.IFNA(VLOOKUP(B2351,T_DistName[],3,FALSE),"")</f>
        <v/>
      </c>
      <c r="J2351" t="str">
        <f t="shared" si="37"/>
        <v/>
      </c>
    </row>
    <row r="2352" spans="9:10">
      <c r="I2352" t="str">
        <f>_xlfn.IFNA(VLOOKUP(B2352,T_DistName[],3,FALSE),"")</f>
        <v/>
      </c>
      <c r="J2352" t="str">
        <f t="shared" si="37"/>
        <v/>
      </c>
    </row>
    <row r="2353" spans="9:10">
      <c r="I2353" t="str">
        <f>_xlfn.IFNA(VLOOKUP(B2353,T_DistName[],3,FALSE),"")</f>
        <v/>
      </c>
      <c r="J2353" t="str">
        <f t="shared" si="37"/>
        <v/>
      </c>
    </row>
    <row r="2354" spans="9:10">
      <c r="I2354" t="str">
        <f>_xlfn.IFNA(VLOOKUP(B2354,T_DistName[],3,FALSE),"")</f>
        <v/>
      </c>
      <c r="J2354" t="str">
        <f t="shared" si="37"/>
        <v/>
      </c>
    </row>
    <row r="2355" spans="9:10">
      <c r="I2355" t="str">
        <f>_xlfn.IFNA(VLOOKUP(B2355,T_DistName[],3,FALSE),"")</f>
        <v/>
      </c>
      <c r="J2355" t="str">
        <f t="shared" si="37"/>
        <v/>
      </c>
    </row>
    <row r="2356" spans="9:10">
      <c r="I2356" t="str">
        <f>_xlfn.IFNA(VLOOKUP(B2356,T_DistName[],3,FALSE),"")</f>
        <v/>
      </c>
      <c r="J2356" t="str">
        <f t="shared" si="37"/>
        <v/>
      </c>
    </row>
    <row r="2357" spans="9:10">
      <c r="I2357" t="str">
        <f>_xlfn.IFNA(VLOOKUP(B2357,T_DistName[],3,FALSE),"")</f>
        <v/>
      </c>
      <c r="J2357" t="str">
        <f t="shared" si="37"/>
        <v/>
      </c>
    </row>
    <row r="2358" spans="9:10">
      <c r="I2358" t="str">
        <f>_xlfn.IFNA(VLOOKUP(B2358,T_DistName[],3,FALSE),"")</f>
        <v/>
      </c>
      <c r="J2358" t="str">
        <f t="shared" si="37"/>
        <v/>
      </c>
    </row>
    <row r="2359" spans="9:10">
      <c r="I2359" t="str">
        <f>_xlfn.IFNA(VLOOKUP(B2359,T_DistName[],3,FALSE),"")</f>
        <v/>
      </c>
      <c r="J2359" t="str">
        <f t="shared" si="37"/>
        <v/>
      </c>
    </row>
    <row r="2360" spans="9:10">
      <c r="I2360" t="str">
        <f>_xlfn.IFNA(VLOOKUP(B2360,T_DistName[],3,FALSE),"")</f>
        <v/>
      </c>
      <c r="J2360" t="str">
        <f t="shared" si="37"/>
        <v/>
      </c>
    </row>
    <row r="2361" spans="9:10">
      <c r="I2361" t="str">
        <f>_xlfn.IFNA(VLOOKUP(B2361,T_DistName[],3,FALSE),"")</f>
        <v/>
      </c>
      <c r="J2361" t="str">
        <f t="shared" si="37"/>
        <v/>
      </c>
    </row>
    <row r="2362" spans="9:10">
      <c r="I2362" t="str">
        <f>_xlfn.IFNA(VLOOKUP(B2362,T_DistName[],3,FALSE),"")</f>
        <v/>
      </c>
      <c r="J2362" t="str">
        <f t="shared" si="37"/>
        <v/>
      </c>
    </row>
    <row r="2363" spans="9:10">
      <c r="I2363" t="str">
        <f>_xlfn.IFNA(VLOOKUP(B2363,T_DistName[],3,FALSE),"")</f>
        <v/>
      </c>
      <c r="J2363" t="str">
        <f t="shared" si="37"/>
        <v/>
      </c>
    </row>
    <row r="2364" spans="9:10">
      <c r="I2364" t="str">
        <f>_xlfn.IFNA(VLOOKUP(B2364,T_DistName[],3,FALSE),"")</f>
        <v/>
      </c>
      <c r="J2364" t="str">
        <f t="shared" si="37"/>
        <v/>
      </c>
    </row>
    <row r="2365" spans="9:10">
      <c r="I2365" t="str">
        <f>_xlfn.IFNA(VLOOKUP(B2365,T_DistName[],3,FALSE),"")</f>
        <v/>
      </c>
      <c r="J2365" t="str">
        <f t="shared" si="37"/>
        <v/>
      </c>
    </row>
    <row r="2366" spans="9:10">
      <c r="I2366" t="str">
        <f>_xlfn.IFNA(VLOOKUP(B2366,T_DistName[],3,FALSE),"")</f>
        <v/>
      </c>
      <c r="J2366" t="str">
        <f t="shared" si="37"/>
        <v/>
      </c>
    </row>
    <row r="2367" spans="9:10">
      <c r="I2367" t="str">
        <f>_xlfn.IFNA(VLOOKUP(B2367,T_DistName[],3,FALSE),"")</f>
        <v/>
      </c>
      <c r="J2367" t="str">
        <f t="shared" si="37"/>
        <v/>
      </c>
    </row>
    <row r="2368" spans="9:10">
      <c r="I2368" t="str">
        <f>_xlfn.IFNA(VLOOKUP(B2368,T_DistName[],3,FALSE),"")</f>
        <v/>
      </c>
      <c r="J2368" t="str">
        <f t="shared" si="37"/>
        <v/>
      </c>
    </row>
    <row r="2369" spans="9:10">
      <c r="I2369" t="str">
        <f>_xlfn.IFNA(VLOOKUP(B2369,T_DistName[],3,FALSE),"")</f>
        <v/>
      </c>
      <c r="J2369" t="str">
        <f t="shared" si="37"/>
        <v/>
      </c>
    </row>
    <row r="2370" spans="9:10">
      <c r="I2370" t="str">
        <f>_xlfn.IFNA(VLOOKUP(B2370,T_DistName[],3,FALSE),"")</f>
        <v/>
      </c>
      <c r="J2370" t="str">
        <f t="shared" si="37"/>
        <v/>
      </c>
    </row>
    <row r="2371" spans="9:10">
      <c r="I2371" t="str">
        <f>_xlfn.IFNA(VLOOKUP(B2371,T_DistName[],3,FALSE),"")</f>
        <v/>
      </c>
      <c r="J2371" t="str">
        <f t="shared" si="37"/>
        <v/>
      </c>
    </row>
    <row r="2372" spans="9:10">
      <c r="I2372" t="str">
        <f>_xlfn.IFNA(VLOOKUP(B2372,T_DistName[],3,FALSE),"")</f>
        <v/>
      </c>
      <c r="J2372" t="str">
        <f t="shared" si="37"/>
        <v/>
      </c>
    </row>
    <row r="2373" spans="9:10">
      <c r="I2373" t="str">
        <f>_xlfn.IFNA(VLOOKUP(B2373,T_DistName[],3,FALSE),"")</f>
        <v/>
      </c>
      <c r="J2373" t="str">
        <f t="shared" si="37"/>
        <v/>
      </c>
    </row>
    <row r="2374" spans="9:10">
      <c r="I2374" t="str">
        <f>_xlfn.IFNA(VLOOKUP(B2374,T_DistName[],3,FALSE),"")</f>
        <v/>
      </c>
      <c r="J2374" t="str">
        <f t="shared" si="37"/>
        <v/>
      </c>
    </row>
    <row r="2375" spans="9:10">
      <c r="I2375" t="str">
        <f>_xlfn.IFNA(VLOOKUP(B2375,T_DistName[],3,FALSE),"")</f>
        <v/>
      </c>
      <c r="J2375" t="str">
        <f t="shared" si="37"/>
        <v/>
      </c>
    </row>
    <row r="2376" spans="9:10">
      <c r="I2376" t="str">
        <f>_xlfn.IFNA(VLOOKUP(B2376,T_DistName[],3,FALSE),"")</f>
        <v/>
      </c>
      <c r="J2376" t="str">
        <f t="shared" si="37"/>
        <v/>
      </c>
    </row>
    <row r="2377" spans="9:10">
      <c r="I2377" t="str">
        <f>_xlfn.IFNA(VLOOKUP(B2377,T_DistName[],3,FALSE),"")</f>
        <v/>
      </c>
      <c r="J2377" t="str">
        <f t="shared" si="37"/>
        <v/>
      </c>
    </row>
    <row r="2378" spans="9:10">
      <c r="I2378" t="str">
        <f>_xlfn.IFNA(VLOOKUP(B2378,T_DistName[],3,FALSE),"")</f>
        <v/>
      </c>
      <c r="J2378" t="str">
        <f t="shared" si="37"/>
        <v/>
      </c>
    </row>
    <row r="2379" spans="9:10">
      <c r="I2379" t="str">
        <f>_xlfn.IFNA(VLOOKUP(B2379,T_DistName[],3,FALSE),"")</f>
        <v/>
      </c>
      <c r="J2379" t="str">
        <f t="shared" si="37"/>
        <v/>
      </c>
    </row>
    <row r="2380" spans="9:10">
      <c r="I2380" t="str">
        <f>_xlfn.IFNA(VLOOKUP(B2380,T_DistName[],3,FALSE),"")</f>
        <v/>
      </c>
      <c r="J2380" t="str">
        <f t="shared" si="37"/>
        <v/>
      </c>
    </row>
    <row r="2381" spans="9:10">
      <c r="I2381" t="str">
        <f>_xlfn.IFNA(VLOOKUP(B2381,T_DistName[],3,FALSE),"")</f>
        <v/>
      </c>
      <c r="J2381" t="str">
        <f t="shared" si="37"/>
        <v/>
      </c>
    </row>
    <row r="2382" spans="9:10">
      <c r="I2382" t="str">
        <f>_xlfn.IFNA(VLOOKUP(B2382,T_DistName[],3,FALSE),"")</f>
        <v/>
      </c>
      <c r="J2382" t="str">
        <f t="shared" si="37"/>
        <v/>
      </c>
    </row>
    <row r="2383" spans="9:10">
      <c r="I2383" t="str">
        <f>_xlfn.IFNA(VLOOKUP(B2383,T_DistName[],3,FALSE),"")</f>
        <v/>
      </c>
      <c r="J2383" t="str">
        <f t="shared" si="37"/>
        <v/>
      </c>
    </row>
    <row r="2384" spans="9:10">
      <c r="I2384" t="str">
        <f>_xlfn.IFNA(VLOOKUP(B2384,T_DistName[],3,FALSE),"")</f>
        <v/>
      </c>
      <c r="J2384" t="str">
        <f t="shared" si="37"/>
        <v/>
      </c>
    </row>
    <row r="2385" spans="9:10">
      <c r="I2385" t="str">
        <f>_xlfn.IFNA(VLOOKUP(B2385,T_DistName[],3,FALSE),"")</f>
        <v/>
      </c>
      <c r="J2385" t="str">
        <f t="shared" si="37"/>
        <v/>
      </c>
    </row>
    <row r="2386" spans="9:10">
      <c r="I2386" t="str">
        <f>_xlfn.IFNA(VLOOKUP(B2386,T_DistName[],3,FALSE),"")</f>
        <v/>
      </c>
      <c r="J2386" t="str">
        <f t="shared" si="37"/>
        <v/>
      </c>
    </row>
    <row r="2387" spans="9:10">
      <c r="I2387" t="str">
        <f>_xlfn.IFNA(VLOOKUP(B2387,T_DistName[],3,FALSE),"")</f>
        <v/>
      </c>
      <c r="J2387" t="str">
        <f t="shared" si="37"/>
        <v/>
      </c>
    </row>
    <row r="2388" spans="9:10">
      <c r="I2388" t="str">
        <f>_xlfn.IFNA(VLOOKUP(B2388,T_DistName[],3,FALSE),"")</f>
        <v/>
      </c>
      <c r="J2388" t="str">
        <f t="shared" si="37"/>
        <v/>
      </c>
    </row>
    <row r="2389" spans="9:10">
      <c r="I2389" t="str">
        <f>_xlfn.IFNA(VLOOKUP(B2389,T_DistName[],3,FALSE),"")</f>
        <v/>
      </c>
      <c r="J2389" t="str">
        <f t="shared" si="37"/>
        <v/>
      </c>
    </row>
    <row r="2390" spans="9:10">
      <c r="I2390" t="str">
        <f>_xlfn.IFNA(VLOOKUP(B2390,T_DistName[],3,FALSE),"")</f>
        <v/>
      </c>
      <c r="J2390" t="str">
        <f t="shared" si="37"/>
        <v/>
      </c>
    </row>
    <row r="2391" spans="9:10">
      <c r="I2391" t="str">
        <f>_xlfn.IFNA(VLOOKUP(B2391,T_DistName[],3,FALSE),"")</f>
        <v/>
      </c>
      <c r="J2391" t="str">
        <f t="shared" si="37"/>
        <v/>
      </c>
    </row>
    <row r="2392" spans="9:10">
      <c r="I2392" t="str">
        <f>_xlfn.IFNA(VLOOKUP(B2392,T_DistName[],3,FALSE),"")</f>
        <v/>
      </c>
      <c r="J2392" t="str">
        <f t="shared" si="37"/>
        <v/>
      </c>
    </row>
    <row r="2393" spans="9:10">
      <c r="I2393" t="str">
        <f>_xlfn.IFNA(VLOOKUP(B2393,T_DistName[],3,FALSE),"")</f>
        <v/>
      </c>
      <c r="J2393" t="str">
        <f t="shared" ref="J2393:J2456" si="38">I2393&amp;F2393</f>
        <v/>
      </c>
    </row>
    <row r="2394" spans="9:10">
      <c r="I2394" t="str">
        <f>_xlfn.IFNA(VLOOKUP(B2394,T_DistName[],3,FALSE),"")</f>
        <v/>
      </c>
      <c r="J2394" t="str">
        <f t="shared" si="38"/>
        <v/>
      </c>
    </row>
    <row r="2395" spans="9:10">
      <c r="I2395" t="str">
        <f>_xlfn.IFNA(VLOOKUP(B2395,T_DistName[],3,FALSE),"")</f>
        <v/>
      </c>
      <c r="J2395" t="str">
        <f t="shared" si="38"/>
        <v/>
      </c>
    </row>
    <row r="2396" spans="9:10">
      <c r="I2396" t="str">
        <f>_xlfn.IFNA(VLOOKUP(B2396,T_DistName[],3,FALSE),"")</f>
        <v/>
      </c>
      <c r="J2396" t="str">
        <f t="shared" si="38"/>
        <v/>
      </c>
    </row>
    <row r="2397" spans="9:10">
      <c r="I2397" t="str">
        <f>_xlfn.IFNA(VLOOKUP(B2397,T_DistName[],3,FALSE),"")</f>
        <v/>
      </c>
      <c r="J2397" t="str">
        <f t="shared" si="38"/>
        <v/>
      </c>
    </row>
    <row r="2398" spans="9:10">
      <c r="I2398" t="str">
        <f>_xlfn.IFNA(VLOOKUP(B2398,T_DistName[],3,FALSE),"")</f>
        <v/>
      </c>
      <c r="J2398" t="str">
        <f t="shared" si="38"/>
        <v/>
      </c>
    </row>
    <row r="2399" spans="9:10">
      <c r="I2399" t="str">
        <f>_xlfn.IFNA(VLOOKUP(B2399,T_DistName[],3,FALSE),"")</f>
        <v/>
      </c>
      <c r="J2399" t="str">
        <f t="shared" si="38"/>
        <v/>
      </c>
    </row>
    <row r="2400" spans="9:10">
      <c r="I2400" t="str">
        <f>_xlfn.IFNA(VLOOKUP(B2400,T_DistName[],3,FALSE),"")</f>
        <v/>
      </c>
      <c r="J2400" t="str">
        <f t="shared" si="38"/>
        <v/>
      </c>
    </row>
    <row r="2401" spans="9:10">
      <c r="I2401" t="str">
        <f>_xlfn.IFNA(VLOOKUP(B2401,T_DistName[],3,FALSE),"")</f>
        <v/>
      </c>
      <c r="J2401" t="str">
        <f t="shared" si="38"/>
        <v/>
      </c>
    </row>
    <row r="2402" spans="9:10">
      <c r="I2402" t="str">
        <f>_xlfn.IFNA(VLOOKUP(B2402,T_DistName[],3,FALSE),"")</f>
        <v/>
      </c>
      <c r="J2402" t="str">
        <f t="shared" si="38"/>
        <v/>
      </c>
    </row>
    <row r="2403" spans="9:10">
      <c r="I2403" t="str">
        <f>_xlfn.IFNA(VLOOKUP(B2403,T_DistName[],3,FALSE),"")</f>
        <v/>
      </c>
      <c r="J2403" t="str">
        <f t="shared" si="38"/>
        <v/>
      </c>
    </row>
    <row r="2404" spans="9:10">
      <c r="I2404" t="str">
        <f>_xlfn.IFNA(VLOOKUP(B2404,T_DistName[],3,FALSE),"")</f>
        <v/>
      </c>
      <c r="J2404" t="str">
        <f t="shared" si="38"/>
        <v/>
      </c>
    </row>
    <row r="2405" spans="9:10">
      <c r="I2405" t="str">
        <f>_xlfn.IFNA(VLOOKUP(B2405,T_DistName[],3,FALSE),"")</f>
        <v/>
      </c>
      <c r="J2405" t="str">
        <f t="shared" si="38"/>
        <v/>
      </c>
    </row>
    <row r="2406" spans="9:10">
      <c r="I2406" t="str">
        <f>_xlfn.IFNA(VLOOKUP(B2406,T_DistName[],3,FALSE),"")</f>
        <v/>
      </c>
      <c r="J2406" t="str">
        <f t="shared" si="38"/>
        <v/>
      </c>
    </row>
    <row r="2407" spans="9:10">
      <c r="I2407" t="str">
        <f>_xlfn.IFNA(VLOOKUP(B2407,T_DistName[],3,FALSE),"")</f>
        <v/>
      </c>
      <c r="J2407" t="str">
        <f t="shared" si="38"/>
        <v/>
      </c>
    </row>
    <row r="2408" spans="9:10">
      <c r="I2408" t="str">
        <f>_xlfn.IFNA(VLOOKUP(B2408,T_DistName[],3,FALSE),"")</f>
        <v/>
      </c>
      <c r="J2408" t="str">
        <f t="shared" si="38"/>
        <v/>
      </c>
    </row>
    <row r="2409" spans="9:10">
      <c r="I2409" t="str">
        <f>_xlfn.IFNA(VLOOKUP(B2409,T_DistName[],3,FALSE),"")</f>
        <v/>
      </c>
      <c r="J2409" t="str">
        <f t="shared" si="38"/>
        <v/>
      </c>
    </row>
    <row r="2410" spans="9:10">
      <c r="I2410" t="str">
        <f>_xlfn.IFNA(VLOOKUP(B2410,T_DistName[],3,FALSE),"")</f>
        <v/>
      </c>
      <c r="J2410" t="str">
        <f t="shared" si="38"/>
        <v/>
      </c>
    </row>
    <row r="2411" spans="9:10">
      <c r="I2411" t="str">
        <f>_xlfn.IFNA(VLOOKUP(B2411,T_DistName[],3,FALSE),"")</f>
        <v/>
      </c>
      <c r="J2411" t="str">
        <f t="shared" si="38"/>
        <v/>
      </c>
    </row>
    <row r="2412" spans="9:10">
      <c r="I2412" t="str">
        <f>_xlfn.IFNA(VLOOKUP(B2412,T_DistName[],3,FALSE),"")</f>
        <v/>
      </c>
      <c r="J2412" t="str">
        <f t="shared" si="38"/>
        <v/>
      </c>
    </row>
    <row r="2413" spans="9:10">
      <c r="I2413" t="str">
        <f>_xlfn.IFNA(VLOOKUP(B2413,T_DistName[],3,FALSE),"")</f>
        <v/>
      </c>
      <c r="J2413" t="str">
        <f t="shared" si="38"/>
        <v/>
      </c>
    </row>
    <row r="2414" spans="9:10">
      <c r="I2414" t="str">
        <f>_xlfn.IFNA(VLOOKUP(B2414,T_DistName[],3,FALSE),"")</f>
        <v/>
      </c>
      <c r="J2414" t="str">
        <f t="shared" si="38"/>
        <v/>
      </c>
    </row>
    <row r="2415" spans="9:10">
      <c r="I2415" t="str">
        <f>_xlfn.IFNA(VLOOKUP(B2415,T_DistName[],3,FALSE),"")</f>
        <v/>
      </c>
      <c r="J2415" t="str">
        <f t="shared" si="38"/>
        <v/>
      </c>
    </row>
    <row r="2416" spans="9:10">
      <c r="I2416" t="str">
        <f>_xlfn.IFNA(VLOOKUP(B2416,T_DistName[],3,FALSE),"")</f>
        <v/>
      </c>
      <c r="J2416" t="str">
        <f t="shared" si="38"/>
        <v/>
      </c>
    </row>
    <row r="2417" spans="9:10">
      <c r="I2417" t="str">
        <f>_xlfn.IFNA(VLOOKUP(B2417,T_DistName[],3,FALSE),"")</f>
        <v/>
      </c>
      <c r="J2417" t="str">
        <f t="shared" si="38"/>
        <v/>
      </c>
    </row>
    <row r="2418" spans="9:10">
      <c r="I2418" t="str">
        <f>_xlfn.IFNA(VLOOKUP(B2418,T_DistName[],3,FALSE),"")</f>
        <v/>
      </c>
      <c r="J2418" t="str">
        <f t="shared" si="38"/>
        <v/>
      </c>
    </row>
    <row r="2419" spans="9:10">
      <c r="I2419" t="str">
        <f>_xlfn.IFNA(VLOOKUP(B2419,T_DistName[],3,FALSE),"")</f>
        <v/>
      </c>
      <c r="J2419" t="str">
        <f t="shared" si="38"/>
        <v/>
      </c>
    </row>
    <row r="2420" spans="9:10">
      <c r="I2420" t="str">
        <f>_xlfn.IFNA(VLOOKUP(B2420,T_DistName[],3,FALSE),"")</f>
        <v/>
      </c>
      <c r="J2420" t="str">
        <f t="shared" si="38"/>
        <v/>
      </c>
    </row>
    <row r="2421" spans="9:10">
      <c r="I2421" t="str">
        <f>_xlfn.IFNA(VLOOKUP(B2421,T_DistName[],3,FALSE),"")</f>
        <v/>
      </c>
      <c r="J2421" t="str">
        <f t="shared" si="38"/>
        <v/>
      </c>
    </row>
    <row r="2422" spans="9:10">
      <c r="I2422" t="str">
        <f>_xlfn.IFNA(VLOOKUP(B2422,T_DistName[],3,FALSE),"")</f>
        <v/>
      </c>
      <c r="J2422" t="str">
        <f t="shared" si="38"/>
        <v/>
      </c>
    </row>
    <row r="2423" spans="9:10">
      <c r="I2423" t="str">
        <f>_xlfn.IFNA(VLOOKUP(B2423,T_DistName[],3,FALSE),"")</f>
        <v/>
      </c>
      <c r="J2423" t="str">
        <f t="shared" si="38"/>
        <v/>
      </c>
    </row>
    <row r="2424" spans="9:10">
      <c r="I2424" t="str">
        <f>_xlfn.IFNA(VLOOKUP(B2424,T_DistName[],3,FALSE),"")</f>
        <v/>
      </c>
      <c r="J2424" t="str">
        <f t="shared" si="38"/>
        <v/>
      </c>
    </row>
    <row r="2425" spans="9:10">
      <c r="I2425" t="str">
        <f>_xlfn.IFNA(VLOOKUP(B2425,T_DistName[],3,FALSE),"")</f>
        <v/>
      </c>
      <c r="J2425" t="str">
        <f t="shared" si="38"/>
        <v/>
      </c>
    </row>
    <row r="2426" spans="9:10">
      <c r="I2426" t="str">
        <f>_xlfn.IFNA(VLOOKUP(B2426,T_DistName[],3,FALSE),"")</f>
        <v/>
      </c>
      <c r="J2426" t="str">
        <f t="shared" si="38"/>
        <v/>
      </c>
    </row>
    <row r="2427" spans="9:10">
      <c r="I2427" t="str">
        <f>_xlfn.IFNA(VLOOKUP(B2427,T_DistName[],3,FALSE),"")</f>
        <v/>
      </c>
      <c r="J2427" t="str">
        <f t="shared" si="38"/>
        <v/>
      </c>
    </row>
    <row r="2428" spans="9:10">
      <c r="I2428" t="str">
        <f>_xlfn.IFNA(VLOOKUP(B2428,T_DistName[],3,FALSE),"")</f>
        <v/>
      </c>
      <c r="J2428" t="str">
        <f t="shared" si="38"/>
        <v/>
      </c>
    </row>
    <row r="2429" spans="9:10">
      <c r="I2429" t="str">
        <f>_xlfn.IFNA(VLOOKUP(B2429,T_DistName[],3,FALSE),"")</f>
        <v/>
      </c>
      <c r="J2429" t="str">
        <f t="shared" si="38"/>
        <v/>
      </c>
    </row>
    <row r="2430" spans="9:10">
      <c r="I2430" t="str">
        <f>_xlfn.IFNA(VLOOKUP(B2430,T_DistName[],3,FALSE),"")</f>
        <v/>
      </c>
      <c r="J2430" t="str">
        <f t="shared" si="38"/>
        <v/>
      </c>
    </row>
    <row r="2431" spans="9:10">
      <c r="I2431" t="str">
        <f>_xlfn.IFNA(VLOOKUP(B2431,T_DistName[],3,FALSE),"")</f>
        <v/>
      </c>
      <c r="J2431" t="str">
        <f t="shared" si="38"/>
        <v/>
      </c>
    </row>
    <row r="2432" spans="9:10">
      <c r="I2432" t="str">
        <f>_xlfn.IFNA(VLOOKUP(B2432,T_DistName[],3,FALSE),"")</f>
        <v/>
      </c>
      <c r="J2432" t="str">
        <f t="shared" si="38"/>
        <v/>
      </c>
    </row>
    <row r="2433" spans="9:10">
      <c r="I2433" t="str">
        <f>_xlfn.IFNA(VLOOKUP(B2433,T_DistName[],3,FALSE),"")</f>
        <v/>
      </c>
      <c r="J2433" t="str">
        <f t="shared" si="38"/>
        <v/>
      </c>
    </row>
    <row r="2434" spans="9:10">
      <c r="I2434" t="str">
        <f>_xlfn.IFNA(VLOOKUP(B2434,T_DistName[],3,FALSE),"")</f>
        <v/>
      </c>
      <c r="J2434" t="str">
        <f t="shared" si="38"/>
        <v/>
      </c>
    </row>
    <row r="2435" spans="9:10">
      <c r="I2435" t="str">
        <f>_xlfn.IFNA(VLOOKUP(B2435,T_DistName[],3,FALSE),"")</f>
        <v/>
      </c>
      <c r="J2435" t="str">
        <f t="shared" si="38"/>
        <v/>
      </c>
    </row>
    <row r="2436" spans="9:10">
      <c r="I2436" t="str">
        <f>_xlfn.IFNA(VLOOKUP(B2436,T_DistName[],3,FALSE),"")</f>
        <v/>
      </c>
      <c r="J2436" t="str">
        <f t="shared" si="38"/>
        <v/>
      </c>
    </row>
    <row r="2437" spans="9:10">
      <c r="I2437" t="str">
        <f>_xlfn.IFNA(VLOOKUP(B2437,T_DistName[],3,FALSE),"")</f>
        <v/>
      </c>
      <c r="J2437" t="str">
        <f t="shared" si="38"/>
        <v/>
      </c>
    </row>
    <row r="2438" spans="9:10">
      <c r="I2438" t="str">
        <f>_xlfn.IFNA(VLOOKUP(B2438,T_DistName[],3,FALSE),"")</f>
        <v/>
      </c>
      <c r="J2438" t="str">
        <f t="shared" si="38"/>
        <v/>
      </c>
    </row>
    <row r="2439" spans="9:10">
      <c r="I2439" t="str">
        <f>_xlfn.IFNA(VLOOKUP(B2439,T_DistName[],3,FALSE),"")</f>
        <v/>
      </c>
      <c r="J2439" t="str">
        <f t="shared" si="38"/>
        <v/>
      </c>
    </row>
    <row r="2440" spans="9:10">
      <c r="I2440" t="str">
        <f>_xlfn.IFNA(VLOOKUP(B2440,T_DistName[],3,FALSE),"")</f>
        <v/>
      </c>
      <c r="J2440" t="str">
        <f t="shared" si="38"/>
        <v/>
      </c>
    </row>
    <row r="2441" spans="9:10">
      <c r="I2441" t="str">
        <f>_xlfn.IFNA(VLOOKUP(B2441,T_DistName[],3,FALSE),"")</f>
        <v/>
      </c>
      <c r="J2441" t="str">
        <f t="shared" si="38"/>
        <v/>
      </c>
    </row>
    <row r="2442" spans="9:10">
      <c r="I2442" t="str">
        <f>_xlfn.IFNA(VLOOKUP(B2442,T_DistName[],3,FALSE),"")</f>
        <v/>
      </c>
      <c r="J2442" t="str">
        <f t="shared" si="38"/>
        <v/>
      </c>
    </row>
    <row r="2443" spans="9:10">
      <c r="I2443" t="str">
        <f>_xlfn.IFNA(VLOOKUP(B2443,T_DistName[],3,FALSE),"")</f>
        <v/>
      </c>
      <c r="J2443" t="str">
        <f t="shared" si="38"/>
        <v/>
      </c>
    </row>
    <row r="2444" spans="9:10">
      <c r="I2444" t="str">
        <f>_xlfn.IFNA(VLOOKUP(B2444,T_DistName[],3,FALSE),"")</f>
        <v/>
      </c>
      <c r="J2444" t="str">
        <f t="shared" si="38"/>
        <v/>
      </c>
    </row>
    <row r="2445" spans="9:10">
      <c r="I2445" t="str">
        <f>_xlfn.IFNA(VLOOKUP(B2445,T_DistName[],3,FALSE),"")</f>
        <v/>
      </c>
      <c r="J2445" t="str">
        <f t="shared" si="38"/>
        <v/>
      </c>
    </row>
    <row r="2446" spans="9:10">
      <c r="I2446" t="str">
        <f>_xlfn.IFNA(VLOOKUP(B2446,T_DistName[],3,FALSE),"")</f>
        <v/>
      </c>
      <c r="J2446" t="str">
        <f t="shared" si="38"/>
        <v/>
      </c>
    </row>
    <row r="2447" spans="9:10">
      <c r="I2447" t="str">
        <f>_xlfn.IFNA(VLOOKUP(B2447,T_DistName[],3,FALSE),"")</f>
        <v/>
      </c>
      <c r="J2447" t="str">
        <f t="shared" si="38"/>
        <v/>
      </c>
    </row>
    <row r="2448" spans="9:10">
      <c r="I2448" t="str">
        <f>_xlfn.IFNA(VLOOKUP(B2448,T_DistName[],3,FALSE),"")</f>
        <v/>
      </c>
      <c r="J2448" t="str">
        <f t="shared" si="38"/>
        <v/>
      </c>
    </row>
    <row r="2449" spans="9:10">
      <c r="I2449" t="str">
        <f>_xlfn.IFNA(VLOOKUP(B2449,T_DistName[],3,FALSE),"")</f>
        <v/>
      </c>
      <c r="J2449" t="str">
        <f t="shared" si="38"/>
        <v/>
      </c>
    </row>
    <row r="2450" spans="9:10">
      <c r="I2450" t="str">
        <f>_xlfn.IFNA(VLOOKUP(B2450,T_DistName[],3,FALSE),"")</f>
        <v/>
      </c>
      <c r="J2450" t="str">
        <f t="shared" si="38"/>
        <v/>
      </c>
    </row>
    <row r="2451" spans="9:10">
      <c r="I2451" t="str">
        <f>_xlfn.IFNA(VLOOKUP(B2451,T_DistName[],3,FALSE),"")</f>
        <v/>
      </c>
      <c r="J2451" t="str">
        <f t="shared" si="38"/>
        <v/>
      </c>
    </row>
    <row r="2452" spans="9:10">
      <c r="I2452" t="str">
        <f>_xlfn.IFNA(VLOOKUP(B2452,T_DistName[],3,FALSE),"")</f>
        <v/>
      </c>
      <c r="J2452" t="str">
        <f t="shared" si="38"/>
        <v/>
      </c>
    </row>
    <row r="2453" spans="9:10">
      <c r="I2453" t="str">
        <f>_xlfn.IFNA(VLOOKUP(B2453,T_DistName[],3,FALSE),"")</f>
        <v/>
      </c>
      <c r="J2453" t="str">
        <f t="shared" si="38"/>
        <v/>
      </c>
    </row>
    <row r="2454" spans="9:10">
      <c r="I2454" t="str">
        <f>_xlfn.IFNA(VLOOKUP(B2454,T_DistName[],3,FALSE),"")</f>
        <v/>
      </c>
      <c r="J2454" t="str">
        <f t="shared" si="38"/>
        <v/>
      </c>
    </row>
    <row r="2455" spans="9:10">
      <c r="I2455" t="str">
        <f>_xlfn.IFNA(VLOOKUP(B2455,T_DistName[],3,FALSE),"")</f>
        <v/>
      </c>
      <c r="J2455" t="str">
        <f t="shared" si="38"/>
        <v/>
      </c>
    </row>
    <row r="2456" spans="9:10">
      <c r="I2456" t="str">
        <f>_xlfn.IFNA(VLOOKUP(B2456,T_DistName[],3,FALSE),"")</f>
        <v/>
      </c>
      <c r="J2456" t="str">
        <f t="shared" si="38"/>
        <v/>
      </c>
    </row>
    <row r="2457" spans="9:10">
      <c r="I2457" t="str">
        <f>_xlfn.IFNA(VLOOKUP(B2457,T_DistName[],3,FALSE),"")</f>
        <v/>
      </c>
      <c r="J2457" t="str">
        <f t="shared" ref="J2457:J2520" si="39">I2457&amp;F2457</f>
        <v/>
      </c>
    </row>
    <row r="2458" spans="9:10">
      <c r="I2458" t="str">
        <f>_xlfn.IFNA(VLOOKUP(B2458,T_DistName[],3,FALSE),"")</f>
        <v/>
      </c>
      <c r="J2458" t="str">
        <f t="shared" si="39"/>
        <v/>
      </c>
    </row>
    <row r="2459" spans="9:10">
      <c r="I2459" t="str">
        <f>_xlfn.IFNA(VLOOKUP(B2459,T_DistName[],3,FALSE),"")</f>
        <v/>
      </c>
      <c r="J2459" t="str">
        <f t="shared" si="39"/>
        <v/>
      </c>
    </row>
    <row r="2460" spans="9:10">
      <c r="I2460" t="str">
        <f>_xlfn.IFNA(VLOOKUP(B2460,T_DistName[],3,FALSE),"")</f>
        <v/>
      </c>
      <c r="J2460" t="str">
        <f t="shared" si="39"/>
        <v/>
      </c>
    </row>
    <row r="2461" spans="9:10">
      <c r="I2461" t="str">
        <f>_xlfn.IFNA(VLOOKUP(B2461,T_DistName[],3,FALSE),"")</f>
        <v/>
      </c>
      <c r="J2461" t="str">
        <f t="shared" si="39"/>
        <v/>
      </c>
    </row>
    <row r="2462" spans="9:10">
      <c r="I2462" t="str">
        <f>_xlfn.IFNA(VLOOKUP(B2462,T_DistName[],3,FALSE),"")</f>
        <v/>
      </c>
      <c r="J2462" t="str">
        <f t="shared" si="39"/>
        <v/>
      </c>
    </row>
    <row r="2463" spans="9:10">
      <c r="I2463" t="str">
        <f>_xlfn.IFNA(VLOOKUP(B2463,T_DistName[],3,FALSE),"")</f>
        <v/>
      </c>
      <c r="J2463" t="str">
        <f t="shared" si="39"/>
        <v/>
      </c>
    </row>
    <row r="2464" spans="9:10">
      <c r="I2464" t="str">
        <f>_xlfn.IFNA(VLOOKUP(B2464,T_DistName[],3,FALSE),"")</f>
        <v/>
      </c>
      <c r="J2464" t="str">
        <f t="shared" si="39"/>
        <v/>
      </c>
    </row>
    <row r="2465" spans="9:10">
      <c r="I2465" t="str">
        <f>_xlfn.IFNA(VLOOKUP(B2465,T_DistName[],3,FALSE),"")</f>
        <v/>
      </c>
      <c r="J2465" t="str">
        <f t="shared" si="39"/>
        <v/>
      </c>
    </row>
    <row r="2466" spans="9:10">
      <c r="I2466" t="str">
        <f>_xlfn.IFNA(VLOOKUP(B2466,T_DistName[],3,FALSE),"")</f>
        <v/>
      </c>
      <c r="J2466" t="str">
        <f t="shared" si="39"/>
        <v/>
      </c>
    </row>
    <row r="2467" spans="9:10">
      <c r="I2467" t="str">
        <f>_xlfn.IFNA(VLOOKUP(B2467,T_DistName[],3,FALSE),"")</f>
        <v/>
      </c>
      <c r="J2467" t="str">
        <f t="shared" si="39"/>
        <v/>
      </c>
    </row>
    <row r="2468" spans="9:10">
      <c r="I2468" t="str">
        <f>_xlfn.IFNA(VLOOKUP(B2468,T_DistName[],3,FALSE),"")</f>
        <v/>
      </c>
      <c r="J2468" t="str">
        <f t="shared" si="39"/>
        <v/>
      </c>
    </row>
    <row r="2469" spans="9:10">
      <c r="I2469" t="str">
        <f>_xlfn.IFNA(VLOOKUP(B2469,T_DistName[],3,FALSE),"")</f>
        <v/>
      </c>
      <c r="J2469" t="str">
        <f t="shared" si="39"/>
        <v/>
      </c>
    </row>
    <row r="2470" spans="9:10">
      <c r="I2470" t="str">
        <f>_xlfn.IFNA(VLOOKUP(B2470,T_DistName[],3,FALSE),"")</f>
        <v/>
      </c>
      <c r="J2470" t="str">
        <f t="shared" si="39"/>
        <v/>
      </c>
    </row>
    <row r="2471" spans="9:10">
      <c r="I2471" t="str">
        <f>_xlfn.IFNA(VLOOKUP(B2471,T_DistName[],3,FALSE),"")</f>
        <v/>
      </c>
      <c r="J2471" t="str">
        <f t="shared" si="39"/>
        <v/>
      </c>
    </row>
    <row r="2472" spans="9:10">
      <c r="I2472" t="str">
        <f>_xlfn.IFNA(VLOOKUP(B2472,T_DistName[],3,FALSE),"")</f>
        <v/>
      </c>
      <c r="J2472" t="str">
        <f t="shared" si="39"/>
        <v/>
      </c>
    </row>
    <row r="2473" spans="9:10">
      <c r="I2473" t="str">
        <f>_xlfn.IFNA(VLOOKUP(B2473,T_DistName[],3,FALSE),"")</f>
        <v/>
      </c>
      <c r="J2473" t="str">
        <f t="shared" si="39"/>
        <v/>
      </c>
    </row>
    <row r="2474" spans="9:10">
      <c r="I2474" t="str">
        <f>_xlfn.IFNA(VLOOKUP(B2474,T_DistName[],3,FALSE),"")</f>
        <v/>
      </c>
      <c r="J2474" t="str">
        <f t="shared" si="39"/>
        <v/>
      </c>
    </row>
    <row r="2475" spans="9:10">
      <c r="I2475" t="str">
        <f>_xlfn.IFNA(VLOOKUP(B2475,T_DistName[],3,FALSE),"")</f>
        <v/>
      </c>
      <c r="J2475" t="str">
        <f t="shared" si="39"/>
        <v/>
      </c>
    </row>
    <row r="2476" spans="9:10">
      <c r="I2476" t="str">
        <f>_xlfn.IFNA(VLOOKUP(B2476,T_DistName[],3,FALSE),"")</f>
        <v/>
      </c>
      <c r="J2476" t="str">
        <f t="shared" si="39"/>
        <v/>
      </c>
    </row>
    <row r="2477" spans="9:10">
      <c r="I2477" t="str">
        <f>_xlfn.IFNA(VLOOKUP(B2477,T_DistName[],3,FALSE),"")</f>
        <v/>
      </c>
      <c r="J2477" t="str">
        <f t="shared" si="39"/>
        <v/>
      </c>
    </row>
    <row r="2478" spans="9:10">
      <c r="I2478" t="str">
        <f>_xlfn.IFNA(VLOOKUP(B2478,T_DistName[],3,FALSE),"")</f>
        <v/>
      </c>
      <c r="J2478" t="str">
        <f t="shared" si="39"/>
        <v/>
      </c>
    </row>
    <row r="2479" spans="9:10">
      <c r="I2479" t="str">
        <f>_xlfn.IFNA(VLOOKUP(B2479,T_DistName[],3,FALSE),"")</f>
        <v/>
      </c>
      <c r="J2479" t="str">
        <f t="shared" si="39"/>
        <v/>
      </c>
    </row>
    <row r="2480" spans="9:10">
      <c r="I2480" t="str">
        <f>_xlfn.IFNA(VLOOKUP(B2480,T_DistName[],3,FALSE),"")</f>
        <v/>
      </c>
      <c r="J2480" t="str">
        <f t="shared" si="39"/>
        <v/>
      </c>
    </row>
    <row r="2481" spans="9:10">
      <c r="I2481" t="str">
        <f>_xlfn.IFNA(VLOOKUP(B2481,T_DistName[],3,FALSE),"")</f>
        <v/>
      </c>
      <c r="J2481" t="str">
        <f t="shared" si="39"/>
        <v/>
      </c>
    </row>
    <row r="2482" spans="9:10">
      <c r="I2482" t="str">
        <f>_xlfn.IFNA(VLOOKUP(B2482,T_DistName[],3,FALSE),"")</f>
        <v/>
      </c>
      <c r="J2482" t="str">
        <f t="shared" si="39"/>
        <v/>
      </c>
    </row>
    <row r="2483" spans="9:10">
      <c r="I2483" t="str">
        <f>_xlfn.IFNA(VLOOKUP(B2483,T_DistName[],3,FALSE),"")</f>
        <v/>
      </c>
      <c r="J2483" t="str">
        <f t="shared" si="39"/>
        <v/>
      </c>
    </row>
    <row r="2484" spans="9:10">
      <c r="I2484" t="str">
        <f>_xlfn.IFNA(VLOOKUP(B2484,T_DistName[],3,FALSE),"")</f>
        <v/>
      </c>
      <c r="J2484" t="str">
        <f t="shared" si="39"/>
        <v/>
      </c>
    </row>
    <row r="2485" spans="9:10">
      <c r="I2485" t="str">
        <f>_xlfn.IFNA(VLOOKUP(B2485,T_DistName[],3,FALSE),"")</f>
        <v/>
      </c>
      <c r="J2485" t="str">
        <f t="shared" si="39"/>
        <v/>
      </c>
    </row>
    <row r="2486" spans="9:10">
      <c r="I2486" t="str">
        <f>_xlfn.IFNA(VLOOKUP(B2486,T_DistName[],3,FALSE),"")</f>
        <v/>
      </c>
      <c r="J2486" t="str">
        <f t="shared" si="39"/>
        <v/>
      </c>
    </row>
    <row r="2487" spans="9:10">
      <c r="I2487" t="str">
        <f>_xlfn.IFNA(VLOOKUP(B2487,T_DistName[],3,FALSE),"")</f>
        <v/>
      </c>
      <c r="J2487" t="str">
        <f t="shared" si="39"/>
        <v/>
      </c>
    </row>
    <row r="2488" spans="9:10">
      <c r="I2488" t="str">
        <f>_xlfn.IFNA(VLOOKUP(B2488,T_DistName[],3,FALSE),"")</f>
        <v/>
      </c>
      <c r="J2488" t="str">
        <f t="shared" si="39"/>
        <v/>
      </c>
    </row>
    <row r="2489" spans="9:10">
      <c r="I2489" t="str">
        <f>_xlfn.IFNA(VLOOKUP(B2489,T_DistName[],3,FALSE),"")</f>
        <v/>
      </c>
      <c r="J2489" t="str">
        <f t="shared" si="39"/>
        <v/>
      </c>
    </row>
    <row r="2490" spans="9:10">
      <c r="I2490" t="str">
        <f>_xlfn.IFNA(VLOOKUP(B2490,T_DistName[],3,FALSE),"")</f>
        <v/>
      </c>
      <c r="J2490" t="str">
        <f t="shared" si="39"/>
        <v/>
      </c>
    </row>
    <row r="2491" spans="9:10">
      <c r="I2491" t="str">
        <f>_xlfn.IFNA(VLOOKUP(B2491,T_DistName[],3,FALSE),"")</f>
        <v/>
      </c>
      <c r="J2491" t="str">
        <f t="shared" si="39"/>
        <v/>
      </c>
    </row>
    <row r="2492" spans="9:10">
      <c r="I2492" t="str">
        <f>_xlfn.IFNA(VLOOKUP(B2492,T_DistName[],3,FALSE),"")</f>
        <v/>
      </c>
      <c r="J2492" t="str">
        <f t="shared" si="39"/>
        <v/>
      </c>
    </row>
    <row r="2493" spans="9:10">
      <c r="I2493" t="str">
        <f>_xlfn.IFNA(VLOOKUP(B2493,T_DistName[],3,FALSE),"")</f>
        <v/>
      </c>
      <c r="J2493" t="str">
        <f t="shared" si="39"/>
        <v/>
      </c>
    </row>
    <row r="2494" spans="9:10">
      <c r="I2494" t="str">
        <f>_xlfn.IFNA(VLOOKUP(B2494,T_DistName[],3,FALSE),"")</f>
        <v/>
      </c>
      <c r="J2494" t="str">
        <f t="shared" si="39"/>
        <v/>
      </c>
    </row>
    <row r="2495" spans="9:10">
      <c r="I2495" t="str">
        <f>_xlfn.IFNA(VLOOKUP(B2495,T_DistName[],3,FALSE),"")</f>
        <v/>
      </c>
      <c r="J2495" t="str">
        <f t="shared" si="39"/>
        <v/>
      </c>
    </row>
    <row r="2496" spans="9:10">
      <c r="I2496" t="str">
        <f>_xlfn.IFNA(VLOOKUP(B2496,T_DistName[],3,FALSE),"")</f>
        <v/>
      </c>
      <c r="J2496" t="str">
        <f t="shared" si="39"/>
        <v/>
      </c>
    </row>
    <row r="2497" spans="9:10">
      <c r="I2497" t="str">
        <f>_xlfn.IFNA(VLOOKUP(B2497,T_DistName[],3,FALSE),"")</f>
        <v/>
      </c>
      <c r="J2497" t="str">
        <f t="shared" si="39"/>
        <v/>
      </c>
    </row>
    <row r="2498" spans="9:10">
      <c r="I2498" t="str">
        <f>_xlfn.IFNA(VLOOKUP(B2498,T_DistName[],3,FALSE),"")</f>
        <v/>
      </c>
      <c r="J2498" t="str">
        <f t="shared" si="39"/>
        <v/>
      </c>
    </row>
    <row r="2499" spans="9:10">
      <c r="I2499" t="str">
        <f>_xlfn.IFNA(VLOOKUP(B2499,T_DistName[],3,FALSE),"")</f>
        <v/>
      </c>
      <c r="J2499" t="str">
        <f t="shared" si="39"/>
        <v/>
      </c>
    </row>
    <row r="2500" spans="9:10">
      <c r="I2500" t="str">
        <f>_xlfn.IFNA(VLOOKUP(B2500,T_DistName[],3,FALSE),"")</f>
        <v/>
      </c>
      <c r="J2500" t="str">
        <f t="shared" si="39"/>
        <v/>
      </c>
    </row>
    <row r="2501" spans="9:10">
      <c r="I2501" t="str">
        <f>_xlfn.IFNA(VLOOKUP(B2501,T_DistName[],3,FALSE),"")</f>
        <v/>
      </c>
      <c r="J2501" t="str">
        <f t="shared" si="39"/>
        <v/>
      </c>
    </row>
    <row r="2502" spans="9:10">
      <c r="I2502" t="str">
        <f>_xlfn.IFNA(VLOOKUP(B2502,T_DistName[],3,FALSE),"")</f>
        <v/>
      </c>
      <c r="J2502" t="str">
        <f t="shared" si="39"/>
        <v/>
      </c>
    </row>
    <row r="2503" spans="9:10">
      <c r="I2503" t="str">
        <f>_xlfn.IFNA(VLOOKUP(B2503,T_DistName[],3,FALSE),"")</f>
        <v/>
      </c>
      <c r="J2503" t="str">
        <f t="shared" si="39"/>
        <v/>
      </c>
    </row>
    <row r="2504" spans="9:10">
      <c r="I2504" t="str">
        <f>_xlfn.IFNA(VLOOKUP(B2504,T_DistName[],3,FALSE),"")</f>
        <v/>
      </c>
      <c r="J2504" t="str">
        <f t="shared" si="39"/>
        <v/>
      </c>
    </row>
    <row r="2505" spans="9:10">
      <c r="I2505" t="str">
        <f>_xlfn.IFNA(VLOOKUP(B2505,T_DistName[],3,FALSE),"")</f>
        <v/>
      </c>
      <c r="J2505" t="str">
        <f t="shared" si="39"/>
        <v/>
      </c>
    </row>
    <row r="2506" spans="9:10">
      <c r="I2506" t="str">
        <f>_xlfn.IFNA(VLOOKUP(B2506,T_DistName[],3,FALSE),"")</f>
        <v/>
      </c>
      <c r="J2506" t="str">
        <f t="shared" si="39"/>
        <v/>
      </c>
    </row>
    <row r="2507" spans="9:10">
      <c r="I2507" t="str">
        <f>_xlfn.IFNA(VLOOKUP(B2507,T_DistName[],3,FALSE),"")</f>
        <v/>
      </c>
      <c r="J2507" t="str">
        <f t="shared" si="39"/>
        <v/>
      </c>
    </row>
    <row r="2508" spans="9:10">
      <c r="I2508" t="str">
        <f>_xlfn.IFNA(VLOOKUP(B2508,T_DistName[],3,FALSE),"")</f>
        <v/>
      </c>
      <c r="J2508" t="str">
        <f t="shared" si="39"/>
        <v/>
      </c>
    </row>
    <row r="2509" spans="9:10">
      <c r="I2509" t="str">
        <f>_xlfn.IFNA(VLOOKUP(B2509,T_DistName[],3,FALSE),"")</f>
        <v/>
      </c>
      <c r="J2509" t="str">
        <f t="shared" si="39"/>
        <v/>
      </c>
    </row>
    <row r="2510" spans="9:10">
      <c r="I2510" t="str">
        <f>_xlfn.IFNA(VLOOKUP(B2510,T_DistName[],3,FALSE),"")</f>
        <v/>
      </c>
      <c r="J2510" t="str">
        <f t="shared" si="39"/>
        <v/>
      </c>
    </row>
    <row r="2511" spans="9:10">
      <c r="I2511" t="str">
        <f>_xlfn.IFNA(VLOOKUP(B2511,T_DistName[],3,FALSE),"")</f>
        <v/>
      </c>
      <c r="J2511" t="str">
        <f t="shared" si="39"/>
        <v/>
      </c>
    </row>
    <row r="2512" spans="9:10">
      <c r="I2512" t="str">
        <f>_xlfn.IFNA(VLOOKUP(B2512,T_DistName[],3,FALSE),"")</f>
        <v/>
      </c>
      <c r="J2512" t="str">
        <f t="shared" si="39"/>
        <v/>
      </c>
    </row>
    <row r="2513" spans="9:10">
      <c r="I2513" t="str">
        <f>_xlfn.IFNA(VLOOKUP(B2513,T_DistName[],3,FALSE),"")</f>
        <v/>
      </c>
      <c r="J2513" t="str">
        <f t="shared" si="39"/>
        <v/>
      </c>
    </row>
    <row r="2514" spans="9:10">
      <c r="I2514" t="str">
        <f>_xlfn.IFNA(VLOOKUP(B2514,T_DistName[],3,FALSE),"")</f>
        <v/>
      </c>
      <c r="J2514" t="str">
        <f t="shared" si="39"/>
        <v/>
      </c>
    </row>
    <row r="2515" spans="9:10">
      <c r="I2515" t="str">
        <f>_xlfn.IFNA(VLOOKUP(B2515,T_DistName[],3,FALSE),"")</f>
        <v/>
      </c>
      <c r="J2515" t="str">
        <f t="shared" si="39"/>
        <v/>
      </c>
    </row>
    <row r="2516" spans="9:10">
      <c r="I2516" t="str">
        <f>_xlfn.IFNA(VLOOKUP(B2516,T_DistName[],3,FALSE),"")</f>
        <v/>
      </c>
      <c r="J2516" t="str">
        <f t="shared" si="39"/>
        <v/>
      </c>
    </row>
    <row r="2517" spans="9:10">
      <c r="I2517" t="str">
        <f>_xlfn.IFNA(VLOOKUP(B2517,T_DistName[],3,FALSE),"")</f>
        <v/>
      </c>
      <c r="J2517" t="str">
        <f t="shared" si="39"/>
        <v/>
      </c>
    </row>
    <row r="2518" spans="9:10">
      <c r="I2518" t="str">
        <f>_xlfn.IFNA(VLOOKUP(B2518,T_DistName[],3,FALSE),"")</f>
        <v/>
      </c>
      <c r="J2518" t="str">
        <f t="shared" si="39"/>
        <v/>
      </c>
    </row>
    <row r="2519" spans="9:10">
      <c r="I2519" t="str">
        <f>_xlfn.IFNA(VLOOKUP(B2519,T_DistName[],3,FALSE),"")</f>
        <v/>
      </c>
      <c r="J2519" t="str">
        <f t="shared" si="39"/>
        <v/>
      </c>
    </row>
    <row r="2520" spans="9:10">
      <c r="I2520" t="str">
        <f>_xlfn.IFNA(VLOOKUP(B2520,T_DistName[],3,FALSE),"")</f>
        <v/>
      </c>
      <c r="J2520" t="str">
        <f t="shared" si="39"/>
        <v/>
      </c>
    </row>
    <row r="2521" spans="9:10">
      <c r="I2521" t="str">
        <f>_xlfn.IFNA(VLOOKUP(B2521,T_DistName[],3,FALSE),"")</f>
        <v/>
      </c>
      <c r="J2521" t="str">
        <f t="shared" ref="J2521:J2584" si="40">I2521&amp;F2521</f>
        <v/>
      </c>
    </row>
    <row r="2522" spans="9:10">
      <c r="I2522" t="str">
        <f>_xlfn.IFNA(VLOOKUP(B2522,T_DistName[],3,FALSE),"")</f>
        <v/>
      </c>
      <c r="J2522" t="str">
        <f t="shared" si="40"/>
        <v/>
      </c>
    </row>
    <row r="2523" spans="9:10">
      <c r="I2523" t="str">
        <f>_xlfn.IFNA(VLOOKUP(B2523,T_DistName[],3,FALSE),"")</f>
        <v/>
      </c>
      <c r="J2523" t="str">
        <f t="shared" si="40"/>
        <v/>
      </c>
    </row>
    <row r="2524" spans="9:10">
      <c r="I2524" t="str">
        <f>_xlfn.IFNA(VLOOKUP(B2524,T_DistName[],3,FALSE),"")</f>
        <v/>
      </c>
      <c r="J2524" t="str">
        <f t="shared" si="40"/>
        <v/>
      </c>
    </row>
    <row r="2525" spans="9:10">
      <c r="I2525" t="str">
        <f>_xlfn.IFNA(VLOOKUP(B2525,T_DistName[],3,FALSE),"")</f>
        <v/>
      </c>
      <c r="J2525" t="str">
        <f t="shared" si="40"/>
        <v/>
      </c>
    </row>
    <row r="2526" spans="9:10">
      <c r="I2526" t="str">
        <f>_xlfn.IFNA(VLOOKUP(B2526,T_DistName[],3,FALSE),"")</f>
        <v/>
      </c>
      <c r="J2526" t="str">
        <f t="shared" si="40"/>
        <v/>
      </c>
    </row>
    <row r="2527" spans="9:10">
      <c r="I2527" t="str">
        <f>_xlfn.IFNA(VLOOKUP(B2527,T_DistName[],3,FALSE),"")</f>
        <v/>
      </c>
      <c r="J2527" t="str">
        <f t="shared" si="40"/>
        <v/>
      </c>
    </row>
    <row r="2528" spans="9:10">
      <c r="I2528" t="str">
        <f>_xlfn.IFNA(VLOOKUP(B2528,T_DistName[],3,FALSE),"")</f>
        <v/>
      </c>
      <c r="J2528" t="str">
        <f t="shared" si="40"/>
        <v/>
      </c>
    </row>
    <row r="2529" spans="9:10">
      <c r="I2529" t="str">
        <f>_xlfn.IFNA(VLOOKUP(B2529,T_DistName[],3,FALSE),"")</f>
        <v/>
      </c>
      <c r="J2529" t="str">
        <f t="shared" si="40"/>
        <v/>
      </c>
    </row>
    <row r="2530" spans="9:10">
      <c r="I2530" t="str">
        <f>_xlfn.IFNA(VLOOKUP(B2530,T_DistName[],3,FALSE),"")</f>
        <v/>
      </c>
      <c r="J2530" t="str">
        <f t="shared" si="40"/>
        <v/>
      </c>
    </row>
    <row r="2531" spans="9:10">
      <c r="I2531" t="str">
        <f>_xlfn.IFNA(VLOOKUP(B2531,T_DistName[],3,FALSE),"")</f>
        <v/>
      </c>
      <c r="J2531" t="str">
        <f t="shared" si="40"/>
        <v/>
      </c>
    </row>
    <row r="2532" spans="9:10">
      <c r="I2532" t="str">
        <f>_xlfn.IFNA(VLOOKUP(B2532,T_DistName[],3,FALSE),"")</f>
        <v/>
      </c>
      <c r="J2532" t="str">
        <f t="shared" si="40"/>
        <v/>
      </c>
    </row>
    <row r="2533" spans="9:10">
      <c r="I2533" t="str">
        <f>_xlfn.IFNA(VLOOKUP(B2533,T_DistName[],3,FALSE),"")</f>
        <v/>
      </c>
      <c r="J2533" t="str">
        <f t="shared" si="40"/>
        <v/>
      </c>
    </row>
    <row r="2534" spans="9:10">
      <c r="I2534" t="str">
        <f>_xlfn.IFNA(VLOOKUP(B2534,T_DistName[],3,FALSE),"")</f>
        <v/>
      </c>
      <c r="J2534" t="str">
        <f t="shared" si="40"/>
        <v/>
      </c>
    </row>
    <row r="2535" spans="9:10">
      <c r="I2535" t="str">
        <f>_xlfn.IFNA(VLOOKUP(B2535,T_DistName[],3,FALSE),"")</f>
        <v/>
      </c>
      <c r="J2535" t="str">
        <f t="shared" si="40"/>
        <v/>
      </c>
    </row>
    <row r="2536" spans="9:10">
      <c r="I2536" t="str">
        <f>_xlfn.IFNA(VLOOKUP(B2536,T_DistName[],3,FALSE),"")</f>
        <v/>
      </c>
      <c r="J2536" t="str">
        <f t="shared" si="40"/>
        <v/>
      </c>
    </row>
    <row r="2537" spans="9:10">
      <c r="I2537" t="str">
        <f>_xlfn.IFNA(VLOOKUP(B2537,T_DistName[],3,FALSE),"")</f>
        <v/>
      </c>
      <c r="J2537" t="str">
        <f t="shared" si="40"/>
        <v/>
      </c>
    </row>
    <row r="2538" spans="9:10">
      <c r="I2538" t="str">
        <f>_xlfn.IFNA(VLOOKUP(B2538,T_DistName[],3,FALSE),"")</f>
        <v/>
      </c>
      <c r="J2538" t="str">
        <f t="shared" si="40"/>
        <v/>
      </c>
    </row>
    <row r="2539" spans="9:10">
      <c r="I2539" t="str">
        <f>_xlfn.IFNA(VLOOKUP(B2539,T_DistName[],3,FALSE),"")</f>
        <v/>
      </c>
      <c r="J2539" t="str">
        <f t="shared" si="40"/>
        <v/>
      </c>
    </row>
    <row r="2540" spans="9:10">
      <c r="I2540" t="str">
        <f>_xlfn.IFNA(VLOOKUP(B2540,T_DistName[],3,FALSE),"")</f>
        <v/>
      </c>
      <c r="J2540" t="str">
        <f t="shared" si="40"/>
        <v/>
      </c>
    </row>
    <row r="2541" spans="9:10">
      <c r="I2541" t="str">
        <f>_xlfn.IFNA(VLOOKUP(B2541,T_DistName[],3,FALSE),"")</f>
        <v/>
      </c>
      <c r="J2541" t="str">
        <f t="shared" si="40"/>
        <v/>
      </c>
    </row>
    <row r="2542" spans="9:10">
      <c r="I2542" t="str">
        <f>_xlfn.IFNA(VLOOKUP(B2542,T_DistName[],3,FALSE),"")</f>
        <v/>
      </c>
      <c r="J2542" t="str">
        <f t="shared" si="40"/>
        <v/>
      </c>
    </row>
    <row r="2543" spans="9:10">
      <c r="I2543" t="str">
        <f>_xlfn.IFNA(VLOOKUP(B2543,T_DistName[],3,FALSE),"")</f>
        <v/>
      </c>
      <c r="J2543" t="str">
        <f t="shared" si="40"/>
        <v/>
      </c>
    </row>
    <row r="2544" spans="9:10">
      <c r="I2544" t="str">
        <f>_xlfn.IFNA(VLOOKUP(B2544,T_DistName[],3,FALSE),"")</f>
        <v/>
      </c>
      <c r="J2544" t="str">
        <f t="shared" si="40"/>
        <v/>
      </c>
    </row>
    <row r="2545" spans="9:10">
      <c r="I2545" t="str">
        <f>_xlfn.IFNA(VLOOKUP(B2545,T_DistName[],3,FALSE),"")</f>
        <v/>
      </c>
      <c r="J2545" t="str">
        <f t="shared" si="40"/>
        <v/>
      </c>
    </row>
    <row r="2546" spans="9:10">
      <c r="I2546" t="str">
        <f>_xlfn.IFNA(VLOOKUP(B2546,T_DistName[],3,FALSE),"")</f>
        <v/>
      </c>
      <c r="J2546" t="str">
        <f t="shared" si="40"/>
        <v/>
      </c>
    </row>
    <row r="2547" spans="9:10">
      <c r="I2547" t="str">
        <f>_xlfn.IFNA(VLOOKUP(B2547,T_DistName[],3,FALSE),"")</f>
        <v/>
      </c>
      <c r="J2547" t="str">
        <f t="shared" si="40"/>
        <v/>
      </c>
    </row>
    <row r="2548" spans="9:10">
      <c r="I2548" t="str">
        <f>_xlfn.IFNA(VLOOKUP(B2548,T_DistName[],3,FALSE),"")</f>
        <v/>
      </c>
      <c r="J2548" t="str">
        <f t="shared" si="40"/>
        <v/>
      </c>
    </row>
    <row r="2549" spans="9:10">
      <c r="I2549" t="str">
        <f>_xlfn.IFNA(VLOOKUP(B2549,T_DistName[],3,FALSE),"")</f>
        <v/>
      </c>
      <c r="J2549" t="str">
        <f t="shared" si="40"/>
        <v/>
      </c>
    </row>
    <row r="2550" spans="9:10">
      <c r="I2550" t="str">
        <f>_xlfn.IFNA(VLOOKUP(B2550,T_DistName[],3,FALSE),"")</f>
        <v/>
      </c>
      <c r="J2550" t="str">
        <f t="shared" si="40"/>
        <v/>
      </c>
    </row>
    <row r="2551" spans="9:10">
      <c r="I2551" t="str">
        <f>_xlfn.IFNA(VLOOKUP(B2551,T_DistName[],3,FALSE),"")</f>
        <v/>
      </c>
      <c r="J2551" t="str">
        <f t="shared" si="40"/>
        <v/>
      </c>
    </row>
    <row r="2552" spans="9:10">
      <c r="I2552" t="str">
        <f>_xlfn.IFNA(VLOOKUP(B2552,T_DistName[],3,FALSE),"")</f>
        <v/>
      </c>
      <c r="J2552" t="str">
        <f t="shared" si="40"/>
        <v/>
      </c>
    </row>
    <row r="2553" spans="9:10">
      <c r="I2553" t="str">
        <f>_xlfn.IFNA(VLOOKUP(B2553,T_DistName[],3,FALSE),"")</f>
        <v/>
      </c>
      <c r="J2553" t="str">
        <f t="shared" si="40"/>
        <v/>
      </c>
    </row>
    <row r="2554" spans="9:10">
      <c r="I2554" t="str">
        <f>_xlfn.IFNA(VLOOKUP(B2554,T_DistName[],3,FALSE),"")</f>
        <v/>
      </c>
      <c r="J2554" t="str">
        <f t="shared" si="40"/>
        <v/>
      </c>
    </row>
    <row r="2555" spans="9:10">
      <c r="I2555" t="str">
        <f>_xlfn.IFNA(VLOOKUP(B2555,T_DistName[],3,FALSE),"")</f>
        <v/>
      </c>
      <c r="J2555" t="str">
        <f t="shared" si="40"/>
        <v/>
      </c>
    </row>
    <row r="2556" spans="9:10">
      <c r="I2556" t="str">
        <f>_xlfn.IFNA(VLOOKUP(B2556,T_DistName[],3,FALSE),"")</f>
        <v/>
      </c>
      <c r="J2556" t="str">
        <f t="shared" si="40"/>
        <v/>
      </c>
    </row>
    <row r="2557" spans="9:10">
      <c r="I2557" t="str">
        <f>_xlfn.IFNA(VLOOKUP(B2557,T_DistName[],3,FALSE),"")</f>
        <v/>
      </c>
      <c r="J2557" t="str">
        <f t="shared" si="40"/>
        <v/>
      </c>
    </row>
    <row r="2558" spans="9:10">
      <c r="I2558" t="str">
        <f>_xlfn.IFNA(VLOOKUP(B2558,T_DistName[],3,FALSE),"")</f>
        <v/>
      </c>
      <c r="J2558" t="str">
        <f t="shared" si="40"/>
        <v/>
      </c>
    </row>
    <row r="2559" spans="9:10">
      <c r="I2559" t="str">
        <f>_xlfn.IFNA(VLOOKUP(B2559,T_DistName[],3,FALSE),"")</f>
        <v/>
      </c>
      <c r="J2559" t="str">
        <f t="shared" si="40"/>
        <v/>
      </c>
    </row>
    <row r="2560" spans="9:10">
      <c r="I2560" t="str">
        <f>_xlfn.IFNA(VLOOKUP(B2560,T_DistName[],3,FALSE),"")</f>
        <v/>
      </c>
      <c r="J2560" t="str">
        <f t="shared" si="40"/>
        <v/>
      </c>
    </row>
    <row r="2561" spans="9:10">
      <c r="I2561" t="str">
        <f>_xlfn.IFNA(VLOOKUP(B2561,T_DistName[],3,FALSE),"")</f>
        <v/>
      </c>
      <c r="J2561" t="str">
        <f t="shared" si="40"/>
        <v/>
      </c>
    </row>
    <row r="2562" spans="9:10">
      <c r="I2562" t="str">
        <f>_xlfn.IFNA(VLOOKUP(B2562,T_DistName[],3,FALSE),"")</f>
        <v/>
      </c>
      <c r="J2562" t="str">
        <f t="shared" si="40"/>
        <v/>
      </c>
    </row>
    <row r="2563" spans="9:10">
      <c r="I2563" t="str">
        <f>_xlfn.IFNA(VLOOKUP(B2563,T_DistName[],3,FALSE),"")</f>
        <v/>
      </c>
      <c r="J2563" t="str">
        <f t="shared" si="40"/>
        <v/>
      </c>
    </row>
    <row r="2564" spans="9:10">
      <c r="I2564" t="str">
        <f>_xlfn.IFNA(VLOOKUP(B2564,T_DistName[],3,FALSE),"")</f>
        <v/>
      </c>
      <c r="J2564" t="str">
        <f t="shared" si="40"/>
        <v/>
      </c>
    </row>
    <row r="2565" spans="9:10">
      <c r="I2565" t="str">
        <f>_xlfn.IFNA(VLOOKUP(B2565,T_DistName[],3,FALSE),"")</f>
        <v/>
      </c>
      <c r="J2565" t="str">
        <f t="shared" si="40"/>
        <v/>
      </c>
    </row>
    <row r="2566" spans="9:10">
      <c r="I2566" t="str">
        <f>_xlfn.IFNA(VLOOKUP(B2566,T_DistName[],3,FALSE),"")</f>
        <v/>
      </c>
      <c r="J2566" t="str">
        <f t="shared" si="40"/>
        <v/>
      </c>
    </row>
    <row r="2567" spans="9:10">
      <c r="I2567" t="str">
        <f>_xlfn.IFNA(VLOOKUP(B2567,T_DistName[],3,FALSE),"")</f>
        <v/>
      </c>
      <c r="J2567" t="str">
        <f t="shared" si="40"/>
        <v/>
      </c>
    </row>
    <row r="2568" spans="9:10">
      <c r="I2568" t="str">
        <f>_xlfn.IFNA(VLOOKUP(B2568,T_DistName[],3,FALSE),"")</f>
        <v/>
      </c>
      <c r="J2568" t="str">
        <f t="shared" si="40"/>
        <v/>
      </c>
    </row>
    <row r="2569" spans="9:10">
      <c r="I2569" t="str">
        <f>_xlfn.IFNA(VLOOKUP(B2569,T_DistName[],3,FALSE),"")</f>
        <v/>
      </c>
      <c r="J2569" t="str">
        <f t="shared" si="40"/>
        <v/>
      </c>
    </row>
    <row r="2570" spans="9:10">
      <c r="I2570" t="str">
        <f>_xlfn.IFNA(VLOOKUP(B2570,T_DistName[],3,FALSE),"")</f>
        <v/>
      </c>
      <c r="J2570" t="str">
        <f t="shared" si="40"/>
        <v/>
      </c>
    </row>
    <row r="2571" spans="9:10">
      <c r="I2571" t="str">
        <f>_xlfn.IFNA(VLOOKUP(B2571,T_DistName[],3,FALSE),"")</f>
        <v/>
      </c>
      <c r="J2571" t="str">
        <f t="shared" si="40"/>
        <v/>
      </c>
    </row>
    <row r="2572" spans="9:10">
      <c r="I2572" t="str">
        <f>_xlfn.IFNA(VLOOKUP(B2572,T_DistName[],3,FALSE),"")</f>
        <v/>
      </c>
      <c r="J2572" t="str">
        <f t="shared" si="40"/>
        <v/>
      </c>
    </row>
    <row r="2573" spans="9:10">
      <c r="I2573" t="str">
        <f>_xlfn.IFNA(VLOOKUP(B2573,T_DistName[],3,FALSE),"")</f>
        <v/>
      </c>
      <c r="J2573" t="str">
        <f t="shared" si="40"/>
        <v/>
      </c>
    </row>
    <row r="2574" spans="9:10">
      <c r="I2574" t="str">
        <f>_xlfn.IFNA(VLOOKUP(B2574,T_DistName[],3,FALSE),"")</f>
        <v/>
      </c>
      <c r="J2574" t="str">
        <f t="shared" si="40"/>
        <v/>
      </c>
    </row>
    <row r="2575" spans="9:10">
      <c r="I2575" t="str">
        <f>_xlfn.IFNA(VLOOKUP(B2575,T_DistName[],3,FALSE),"")</f>
        <v/>
      </c>
      <c r="J2575" t="str">
        <f t="shared" si="40"/>
        <v/>
      </c>
    </row>
    <row r="2576" spans="9:10">
      <c r="I2576" t="str">
        <f>_xlfn.IFNA(VLOOKUP(B2576,T_DistName[],3,FALSE),"")</f>
        <v/>
      </c>
      <c r="J2576" t="str">
        <f t="shared" si="40"/>
        <v/>
      </c>
    </row>
    <row r="2577" spans="9:10">
      <c r="I2577" t="str">
        <f>_xlfn.IFNA(VLOOKUP(B2577,T_DistName[],3,FALSE),"")</f>
        <v/>
      </c>
      <c r="J2577" t="str">
        <f t="shared" si="40"/>
        <v/>
      </c>
    </row>
    <row r="2578" spans="9:10">
      <c r="I2578" t="str">
        <f>_xlfn.IFNA(VLOOKUP(B2578,T_DistName[],3,FALSE),"")</f>
        <v/>
      </c>
      <c r="J2578" t="str">
        <f t="shared" si="40"/>
        <v/>
      </c>
    </row>
    <row r="2579" spans="9:10">
      <c r="I2579" t="str">
        <f>_xlfn.IFNA(VLOOKUP(B2579,T_DistName[],3,FALSE),"")</f>
        <v/>
      </c>
      <c r="J2579" t="str">
        <f t="shared" si="40"/>
        <v/>
      </c>
    </row>
    <row r="2580" spans="9:10">
      <c r="I2580" t="str">
        <f>_xlfn.IFNA(VLOOKUP(B2580,T_DistName[],3,FALSE),"")</f>
        <v/>
      </c>
      <c r="J2580" t="str">
        <f t="shared" si="40"/>
        <v/>
      </c>
    </row>
    <row r="2581" spans="9:10">
      <c r="I2581" t="str">
        <f>_xlfn.IFNA(VLOOKUP(B2581,T_DistName[],3,FALSE),"")</f>
        <v/>
      </c>
      <c r="J2581" t="str">
        <f t="shared" si="40"/>
        <v/>
      </c>
    </row>
    <row r="2582" spans="9:10">
      <c r="I2582" t="str">
        <f>_xlfn.IFNA(VLOOKUP(B2582,T_DistName[],3,FALSE),"")</f>
        <v/>
      </c>
      <c r="J2582" t="str">
        <f t="shared" si="40"/>
        <v/>
      </c>
    </row>
    <row r="2583" spans="9:10">
      <c r="I2583" t="str">
        <f>_xlfn.IFNA(VLOOKUP(B2583,T_DistName[],3,FALSE),"")</f>
        <v/>
      </c>
      <c r="J2583" t="str">
        <f t="shared" si="40"/>
        <v/>
      </c>
    </row>
    <row r="2584" spans="9:10">
      <c r="I2584" t="str">
        <f>_xlfn.IFNA(VLOOKUP(B2584,T_DistName[],3,FALSE),"")</f>
        <v/>
      </c>
      <c r="J2584" t="str">
        <f t="shared" si="40"/>
        <v/>
      </c>
    </row>
    <row r="2585" spans="9:10">
      <c r="I2585" t="str">
        <f>_xlfn.IFNA(VLOOKUP(B2585,T_DistName[],3,FALSE),"")</f>
        <v/>
      </c>
      <c r="J2585" t="str">
        <f t="shared" ref="J2585:J2648" si="41">I2585&amp;F2585</f>
        <v/>
      </c>
    </row>
    <row r="2586" spans="9:10">
      <c r="I2586" t="str">
        <f>_xlfn.IFNA(VLOOKUP(B2586,T_DistName[],3,FALSE),"")</f>
        <v/>
      </c>
      <c r="J2586" t="str">
        <f t="shared" si="41"/>
        <v/>
      </c>
    </row>
    <row r="2587" spans="9:10">
      <c r="I2587" t="str">
        <f>_xlfn.IFNA(VLOOKUP(B2587,T_DistName[],3,FALSE),"")</f>
        <v/>
      </c>
      <c r="J2587" t="str">
        <f t="shared" si="41"/>
        <v/>
      </c>
    </row>
    <row r="2588" spans="9:10">
      <c r="I2588" t="str">
        <f>_xlfn.IFNA(VLOOKUP(B2588,T_DistName[],3,FALSE),"")</f>
        <v/>
      </c>
      <c r="J2588" t="str">
        <f t="shared" si="41"/>
        <v/>
      </c>
    </row>
    <row r="2589" spans="9:10">
      <c r="I2589" t="str">
        <f>_xlfn.IFNA(VLOOKUP(B2589,T_DistName[],3,FALSE),"")</f>
        <v/>
      </c>
      <c r="J2589" t="str">
        <f t="shared" si="41"/>
        <v/>
      </c>
    </row>
    <row r="2590" spans="9:10">
      <c r="I2590" t="str">
        <f>_xlfn.IFNA(VLOOKUP(B2590,T_DistName[],3,FALSE),"")</f>
        <v/>
      </c>
      <c r="J2590" t="str">
        <f t="shared" si="41"/>
        <v/>
      </c>
    </row>
    <row r="2591" spans="9:10">
      <c r="I2591" t="str">
        <f>_xlfn.IFNA(VLOOKUP(B2591,T_DistName[],3,FALSE),"")</f>
        <v/>
      </c>
      <c r="J2591" t="str">
        <f t="shared" si="41"/>
        <v/>
      </c>
    </row>
    <row r="2592" spans="9:10">
      <c r="I2592" t="str">
        <f>_xlfn.IFNA(VLOOKUP(B2592,T_DistName[],3,FALSE),"")</f>
        <v/>
      </c>
      <c r="J2592" t="str">
        <f t="shared" si="41"/>
        <v/>
      </c>
    </row>
    <row r="2593" spans="9:10">
      <c r="I2593" t="str">
        <f>_xlfn.IFNA(VLOOKUP(B2593,T_DistName[],3,FALSE),"")</f>
        <v/>
      </c>
      <c r="J2593" t="str">
        <f t="shared" si="41"/>
        <v/>
      </c>
    </row>
    <row r="2594" spans="9:10">
      <c r="I2594" t="str">
        <f>_xlfn.IFNA(VLOOKUP(B2594,T_DistName[],3,FALSE),"")</f>
        <v/>
      </c>
      <c r="J2594" t="str">
        <f t="shared" si="41"/>
        <v/>
      </c>
    </row>
    <row r="2595" spans="9:10">
      <c r="I2595" t="str">
        <f>_xlfn.IFNA(VLOOKUP(B2595,T_DistName[],3,FALSE),"")</f>
        <v/>
      </c>
      <c r="J2595" t="str">
        <f t="shared" si="41"/>
        <v/>
      </c>
    </row>
    <row r="2596" spans="9:10">
      <c r="I2596" t="str">
        <f>_xlfn.IFNA(VLOOKUP(B2596,T_DistName[],3,FALSE),"")</f>
        <v/>
      </c>
      <c r="J2596" t="str">
        <f t="shared" si="41"/>
        <v/>
      </c>
    </row>
    <row r="2597" spans="9:10">
      <c r="I2597" t="str">
        <f>_xlfn.IFNA(VLOOKUP(B2597,T_DistName[],3,FALSE),"")</f>
        <v/>
      </c>
      <c r="J2597" t="str">
        <f t="shared" si="41"/>
        <v/>
      </c>
    </row>
    <row r="2598" spans="9:10">
      <c r="I2598" t="str">
        <f>_xlfn.IFNA(VLOOKUP(B2598,T_DistName[],3,FALSE),"")</f>
        <v/>
      </c>
      <c r="J2598" t="str">
        <f t="shared" si="41"/>
        <v/>
      </c>
    </row>
    <row r="2599" spans="9:10">
      <c r="I2599" t="str">
        <f>_xlfn.IFNA(VLOOKUP(B2599,T_DistName[],3,FALSE),"")</f>
        <v/>
      </c>
      <c r="J2599" t="str">
        <f t="shared" si="41"/>
        <v/>
      </c>
    </row>
    <row r="2600" spans="9:10">
      <c r="I2600" t="str">
        <f>_xlfn.IFNA(VLOOKUP(B2600,T_DistName[],3,FALSE),"")</f>
        <v/>
      </c>
      <c r="J2600" t="str">
        <f t="shared" si="41"/>
        <v/>
      </c>
    </row>
    <row r="2601" spans="9:10">
      <c r="I2601" t="str">
        <f>_xlfn.IFNA(VLOOKUP(B2601,T_DistName[],3,FALSE),"")</f>
        <v/>
      </c>
      <c r="J2601" t="str">
        <f t="shared" si="41"/>
        <v/>
      </c>
    </row>
    <row r="2602" spans="9:10">
      <c r="I2602" t="str">
        <f>_xlfn.IFNA(VLOOKUP(B2602,T_DistName[],3,FALSE),"")</f>
        <v/>
      </c>
      <c r="J2602" t="str">
        <f t="shared" si="41"/>
        <v/>
      </c>
    </row>
    <row r="2603" spans="9:10">
      <c r="I2603" t="str">
        <f>_xlfn.IFNA(VLOOKUP(B2603,T_DistName[],3,FALSE),"")</f>
        <v/>
      </c>
      <c r="J2603" t="str">
        <f t="shared" si="41"/>
        <v/>
      </c>
    </row>
    <row r="2604" spans="9:10">
      <c r="I2604" t="str">
        <f>_xlfn.IFNA(VLOOKUP(B2604,T_DistName[],3,FALSE),"")</f>
        <v/>
      </c>
      <c r="J2604" t="str">
        <f t="shared" si="41"/>
        <v/>
      </c>
    </row>
    <row r="2605" spans="9:10">
      <c r="I2605" t="str">
        <f>_xlfn.IFNA(VLOOKUP(B2605,T_DistName[],3,FALSE),"")</f>
        <v/>
      </c>
      <c r="J2605" t="str">
        <f t="shared" si="41"/>
        <v/>
      </c>
    </row>
    <row r="2606" spans="9:10">
      <c r="I2606" t="str">
        <f>_xlfn.IFNA(VLOOKUP(B2606,T_DistName[],3,FALSE),"")</f>
        <v/>
      </c>
      <c r="J2606" t="str">
        <f t="shared" si="41"/>
        <v/>
      </c>
    </row>
    <row r="2607" spans="9:10">
      <c r="I2607" t="str">
        <f>_xlfn.IFNA(VLOOKUP(B2607,T_DistName[],3,FALSE),"")</f>
        <v/>
      </c>
      <c r="J2607" t="str">
        <f t="shared" si="41"/>
        <v/>
      </c>
    </row>
    <row r="2608" spans="9:10">
      <c r="I2608" t="str">
        <f>_xlfn.IFNA(VLOOKUP(B2608,T_DistName[],3,FALSE),"")</f>
        <v/>
      </c>
      <c r="J2608" t="str">
        <f t="shared" si="41"/>
        <v/>
      </c>
    </row>
    <row r="2609" spans="9:10">
      <c r="I2609" t="str">
        <f>_xlfn.IFNA(VLOOKUP(B2609,T_DistName[],3,FALSE),"")</f>
        <v/>
      </c>
      <c r="J2609" t="str">
        <f t="shared" si="41"/>
        <v/>
      </c>
    </row>
    <row r="2610" spans="9:10">
      <c r="I2610" t="str">
        <f>_xlfn.IFNA(VLOOKUP(B2610,T_DistName[],3,FALSE),"")</f>
        <v/>
      </c>
      <c r="J2610" t="str">
        <f t="shared" si="41"/>
        <v/>
      </c>
    </row>
    <row r="2611" spans="9:10">
      <c r="I2611" t="str">
        <f>_xlfn.IFNA(VLOOKUP(B2611,T_DistName[],3,FALSE),"")</f>
        <v/>
      </c>
      <c r="J2611" t="str">
        <f t="shared" si="41"/>
        <v/>
      </c>
    </row>
    <row r="2612" spans="9:10">
      <c r="I2612" t="str">
        <f>_xlfn.IFNA(VLOOKUP(B2612,T_DistName[],3,FALSE),"")</f>
        <v/>
      </c>
      <c r="J2612" t="str">
        <f t="shared" si="41"/>
        <v/>
      </c>
    </row>
    <row r="2613" spans="9:10">
      <c r="I2613" t="str">
        <f>_xlfn.IFNA(VLOOKUP(B2613,T_DistName[],3,FALSE),"")</f>
        <v/>
      </c>
      <c r="J2613" t="str">
        <f t="shared" si="41"/>
        <v/>
      </c>
    </row>
    <row r="2614" spans="9:10">
      <c r="I2614" t="str">
        <f>_xlfn.IFNA(VLOOKUP(B2614,T_DistName[],3,FALSE),"")</f>
        <v/>
      </c>
      <c r="J2614" t="str">
        <f t="shared" si="41"/>
        <v/>
      </c>
    </row>
    <row r="2615" spans="9:10">
      <c r="I2615" t="str">
        <f>_xlfn.IFNA(VLOOKUP(B2615,T_DistName[],3,FALSE),"")</f>
        <v/>
      </c>
      <c r="J2615" t="str">
        <f t="shared" si="41"/>
        <v/>
      </c>
    </row>
    <row r="2616" spans="9:10">
      <c r="I2616" t="str">
        <f>_xlfn.IFNA(VLOOKUP(B2616,T_DistName[],3,FALSE),"")</f>
        <v/>
      </c>
      <c r="J2616" t="str">
        <f t="shared" si="41"/>
        <v/>
      </c>
    </row>
    <row r="2617" spans="9:10">
      <c r="I2617" t="str">
        <f>_xlfn.IFNA(VLOOKUP(B2617,T_DistName[],3,FALSE),"")</f>
        <v/>
      </c>
      <c r="J2617" t="str">
        <f t="shared" si="41"/>
        <v/>
      </c>
    </row>
    <row r="2618" spans="9:10">
      <c r="I2618" t="str">
        <f>_xlfn.IFNA(VLOOKUP(B2618,T_DistName[],3,FALSE),"")</f>
        <v/>
      </c>
      <c r="J2618" t="str">
        <f t="shared" si="41"/>
        <v/>
      </c>
    </row>
    <row r="2619" spans="9:10">
      <c r="I2619" t="str">
        <f>_xlfn.IFNA(VLOOKUP(B2619,T_DistName[],3,FALSE),"")</f>
        <v/>
      </c>
      <c r="J2619" t="str">
        <f t="shared" si="41"/>
        <v/>
      </c>
    </row>
    <row r="2620" spans="9:10">
      <c r="I2620" t="str">
        <f>_xlfn.IFNA(VLOOKUP(B2620,T_DistName[],3,FALSE),"")</f>
        <v/>
      </c>
      <c r="J2620" t="str">
        <f t="shared" si="41"/>
        <v/>
      </c>
    </row>
    <row r="2621" spans="9:10">
      <c r="I2621" t="str">
        <f>_xlfn.IFNA(VLOOKUP(B2621,T_DistName[],3,FALSE),"")</f>
        <v/>
      </c>
      <c r="J2621" t="str">
        <f t="shared" si="41"/>
        <v/>
      </c>
    </row>
    <row r="2622" spans="9:10">
      <c r="I2622" t="str">
        <f>_xlfn.IFNA(VLOOKUP(B2622,T_DistName[],3,FALSE),"")</f>
        <v/>
      </c>
      <c r="J2622" t="str">
        <f t="shared" si="41"/>
        <v/>
      </c>
    </row>
    <row r="2623" spans="9:10">
      <c r="I2623" t="str">
        <f>_xlfn.IFNA(VLOOKUP(B2623,T_DistName[],3,FALSE),"")</f>
        <v/>
      </c>
      <c r="J2623" t="str">
        <f t="shared" si="41"/>
        <v/>
      </c>
    </row>
    <row r="2624" spans="9:10">
      <c r="I2624" t="str">
        <f>_xlfn.IFNA(VLOOKUP(B2624,T_DistName[],3,FALSE),"")</f>
        <v/>
      </c>
      <c r="J2624" t="str">
        <f t="shared" si="41"/>
        <v/>
      </c>
    </row>
    <row r="2625" spans="9:10">
      <c r="I2625" t="str">
        <f>_xlfn.IFNA(VLOOKUP(B2625,T_DistName[],3,FALSE),"")</f>
        <v/>
      </c>
      <c r="J2625" t="str">
        <f t="shared" si="41"/>
        <v/>
      </c>
    </row>
    <row r="2626" spans="9:10">
      <c r="I2626" t="str">
        <f>_xlfn.IFNA(VLOOKUP(B2626,T_DistName[],3,FALSE),"")</f>
        <v/>
      </c>
      <c r="J2626" t="str">
        <f t="shared" si="41"/>
        <v/>
      </c>
    </row>
    <row r="2627" spans="9:10">
      <c r="I2627" t="str">
        <f>_xlfn.IFNA(VLOOKUP(B2627,T_DistName[],3,FALSE),"")</f>
        <v/>
      </c>
      <c r="J2627" t="str">
        <f t="shared" si="41"/>
        <v/>
      </c>
    </row>
    <row r="2628" spans="9:10">
      <c r="I2628" t="str">
        <f>_xlfn.IFNA(VLOOKUP(B2628,T_DistName[],3,FALSE),"")</f>
        <v/>
      </c>
      <c r="J2628" t="str">
        <f t="shared" si="41"/>
        <v/>
      </c>
    </row>
    <row r="2629" spans="9:10">
      <c r="I2629" t="str">
        <f>_xlfn.IFNA(VLOOKUP(B2629,T_DistName[],3,FALSE),"")</f>
        <v/>
      </c>
      <c r="J2629" t="str">
        <f t="shared" si="41"/>
        <v/>
      </c>
    </row>
    <row r="2630" spans="9:10">
      <c r="I2630" t="str">
        <f>_xlfn.IFNA(VLOOKUP(B2630,T_DistName[],3,FALSE),"")</f>
        <v/>
      </c>
      <c r="J2630" t="str">
        <f t="shared" si="41"/>
        <v/>
      </c>
    </row>
    <row r="2631" spans="9:10">
      <c r="I2631" t="str">
        <f>_xlfn.IFNA(VLOOKUP(B2631,T_DistName[],3,FALSE),"")</f>
        <v/>
      </c>
      <c r="J2631" t="str">
        <f t="shared" si="41"/>
        <v/>
      </c>
    </row>
    <row r="2632" spans="9:10">
      <c r="I2632" t="str">
        <f>_xlfn.IFNA(VLOOKUP(B2632,T_DistName[],3,FALSE),"")</f>
        <v/>
      </c>
      <c r="J2632" t="str">
        <f t="shared" si="41"/>
        <v/>
      </c>
    </row>
    <row r="2633" spans="9:10">
      <c r="I2633" t="str">
        <f>_xlfn.IFNA(VLOOKUP(B2633,T_DistName[],3,FALSE),"")</f>
        <v/>
      </c>
      <c r="J2633" t="str">
        <f t="shared" si="41"/>
        <v/>
      </c>
    </row>
    <row r="2634" spans="9:10">
      <c r="I2634" t="str">
        <f>_xlfn.IFNA(VLOOKUP(B2634,T_DistName[],3,FALSE),"")</f>
        <v/>
      </c>
      <c r="J2634" t="str">
        <f t="shared" si="41"/>
        <v/>
      </c>
    </row>
    <row r="2635" spans="9:10">
      <c r="I2635" t="str">
        <f>_xlfn.IFNA(VLOOKUP(B2635,T_DistName[],3,FALSE),"")</f>
        <v/>
      </c>
      <c r="J2635" t="str">
        <f t="shared" si="41"/>
        <v/>
      </c>
    </row>
    <row r="2636" spans="9:10">
      <c r="I2636" t="str">
        <f>_xlfn.IFNA(VLOOKUP(B2636,T_DistName[],3,FALSE),"")</f>
        <v/>
      </c>
      <c r="J2636" t="str">
        <f t="shared" si="41"/>
        <v/>
      </c>
    </row>
    <row r="2637" spans="9:10">
      <c r="I2637" t="str">
        <f>_xlfn.IFNA(VLOOKUP(B2637,T_DistName[],3,FALSE),"")</f>
        <v/>
      </c>
      <c r="J2637" t="str">
        <f t="shared" si="41"/>
        <v/>
      </c>
    </row>
    <row r="2638" spans="9:10">
      <c r="I2638" t="str">
        <f>_xlfn.IFNA(VLOOKUP(B2638,T_DistName[],3,FALSE),"")</f>
        <v/>
      </c>
      <c r="J2638" t="str">
        <f t="shared" si="41"/>
        <v/>
      </c>
    </row>
    <row r="2639" spans="9:10">
      <c r="I2639" t="str">
        <f>_xlfn.IFNA(VLOOKUP(B2639,T_DistName[],3,FALSE),"")</f>
        <v/>
      </c>
      <c r="J2639" t="str">
        <f t="shared" si="41"/>
        <v/>
      </c>
    </row>
    <row r="2640" spans="9:10">
      <c r="I2640" t="str">
        <f>_xlfn.IFNA(VLOOKUP(B2640,T_DistName[],3,FALSE),"")</f>
        <v/>
      </c>
      <c r="J2640" t="str">
        <f t="shared" si="41"/>
        <v/>
      </c>
    </row>
    <row r="2641" spans="9:10">
      <c r="I2641" t="str">
        <f>_xlfn.IFNA(VLOOKUP(B2641,T_DistName[],3,FALSE),"")</f>
        <v/>
      </c>
      <c r="J2641" t="str">
        <f t="shared" si="41"/>
        <v/>
      </c>
    </row>
    <row r="2642" spans="9:10">
      <c r="I2642" t="str">
        <f>_xlfn.IFNA(VLOOKUP(B2642,T_DistName[],3,FALSE),"")</f>
        <v/>
      </c>
      <c r="J2642" t="str">
        <f t="shared" si="41"/>
        <v/>
      </c>
    </row>
    <row r="2643" spans="9:10">
      <c r="I2643" t="str">
        <f>_xlfn.IFNA(VLOOKUP(B2643,T_DistName[],3,FALSE),"")</f>
        <v/>
      </c>
      <c r="J2643" t="str">
        <f t="shared" si="41"/>
        <v/>
      </c>
    </row>
    <row r="2644" spans="9:10">
      <c r="I2644" t="str">
        <f>_xlfn.IFNA(VLOOKUP(B2644,T_DistName[],3,FALSE),"")</f>
        <v/>
      </c>
      <c r="J2644" t="str">
        <f t="shared" si="41"/>
        <v/>
      </c>
    </row>
    <row r="2645" spans="9:10">
      <c r="I2645" t="str">
        <f>_xlfn.IFNA(VLOOKUP(B2645,T_DistName[],3,FALSE),"")</f>
        <v/>
      </c>
      <c r="J2645" t="str">
        <f t="shared" si="41"/>
        <v/>
      </c>
    </row>
    <row r="2646" spans="9:10">
      <c r="I2646" t="str">
        <f>_xlfn.IFNA(VLOOKUP(B2646,T_DistName[],3,FALSE),"")</f>
        <v/>
      </c>
      <c r="J2646" t="str">
        <f t="shared" si="41"/>
        <v/>
      </c>
    </row>
    <row r="2647" spans="9:10">
      <c r="I2647" t="str">
        <f>_xlfn.IFNA(VLOOKUP(B2647,T_DistName[],3,FALSE),"")</f>
        <v/>
      </c>
      <c r="J2647" t="str">
        <f t="shared" si="41"/>
        <v/>
      </c>
    </row>
    <row r="2648" spans="9:10">
      <c r="I2648" t="str">
        <f>_xlfn.IFNA(VLOOKUP(B2648,T_DistName[],3,FALSE),"")</f>
        <v/>
      </c>
      <c r="J2648" t="str">
        <f t="shared" si="41"/>
        <v/>
      </c>
    </row>
    <row r="2649" spans="9:10">
      <c r="I2649" t="str">
        <f>_xlfn.IFNA(VLOOKUP(B2649,T_DistName[],3,FALSE),"")</f>
        <v/>
      </c>
      <c r="J2649" t="str">
        <f t="shared" ref="J2649:J2712" si="42">I2649&amp;F2649</f>
        <v/>
      </c>
    </row>
    <row r="2650" spans="9:10">
      <c r="I2650" t="str">
        <f>_xlfn.IFNA(VLOOKUP(B2650,T_DistName[],3,FALSE),"")</f>
        <v/>
      </c>
      <c r="J2650" t="str">
        <f t="shared" si="42"/>
        <v/>
      </c>
    </row>
    <row r="2651" spans="9:10">
      <c r="I2651" t="str">
        <f>_xlfn.IFNA(VLOOKUP(B2651,T_DistName[],3,FALSE),"")</f>
        <v/>
      </c>
      <c r="J2651" t="str">
        <f t="shared" si="42"/>
        <v/>
      </c>
    </row>
    <row r="2652" spans="9:10">
      <c r="I2652" t="str">
        <f>_xlfn.IFNA(VLOOKUP(B2652,T_DistName[],3,FALSE),"")</f>
        <v/>
      </c>
      <c r="J2652" t="str">
        <f t="shared" si="42"/>
        <v/>
      </c>
    </row>
    <row r="2653" spans="9:10">
      <c r="I2653" t="str">
        <f>_xlfn.IFNA(VLOOKUP(B2653,T_DistName[],3,FALSE),"")</f>
        <v/>
      </c>
      <c r="J2653" t="str">
        <f t="shared" si="42"/>
        <v/>
      </c>
    </row>
    <row r="2654" spans="9:10">
      <c r="I2654" t="str">
        <f>_xlfn.IFNA(VLOOKUP(B2654,T_DistName[],3,FALSE),"")</f>
        <v/>
      </c>
      <c r="J2654" t="str">
        <f t="shared" si="42"/>
        <v/>
      </c>
    </row>
    <row r="2655" spans="9:10">
      <c r="I2655" t="str">
        <f>_xlfn.IFNA(VLOOKUP(B2655,T_DistName[],3,FALSE),"")</f>
        <v/>
      </c>
      <c r="J2655" t="str">
        <f t="shared" si="42"/>
        <v/>
      </c>
    </row>
    <row r="2656" spans="9:10">
      <c r="I2656" t="str">
        <f>_xlfn.IFNA(VLOOKUP(B2656,T_DistName[],3,FALSE),"")</f>
        <v/>
      </c>
      <c r="J2656" t="str">
        <f t="shared" si="42"/>
        <v/>
      </c>
    </row>
    <row r="2657" spans="9:10">
      <c r="I2657" t="str">
        <f>_xlfn.IFNA(VLOOKUP(B2657,T_DistName[],3,FALSE),"")</f>
        <v/>
      </c>
      <c r="J2657" t="str">
        <f t="shared" si="42"/>
        <v/>
      </c>
    </row>
    <row r="2658" spans="9:10">
      <c r="I2658" t="str">
        <f>_xlfn.IFNA(VLOOKUP(B2658,T_DistName[],3,FALSE),"")</f>
        <v/>
      </c>
      <c r="J2658" t="str">
        <f t="shared" si="42"/>
        <v/>
      </c>
    </row>
    <row r="2659" spans="9:10">
      <c r="I2659" t="str">
        <f>_xlfn.IFNA(VLOOKUP(B2659,T_DistName[],3,FALSE),"")</f>
        <v/>
      </c>
      <c r="J2659" t="str">
        <f t="shared" si="42"/>
        <v/>
      </c>
    </row>
    <row r="2660" spans="9:10">
      <c r="I2660" t="str">
        <f>_xlfn.IFNA(VLOOKUP(B2660,T_DistName[],3,FALSE),"")</f>
        <v/>
      </c>
      <c r="J2660" t="str">
        <f t="shared" si="42"/>
        <v/>
      </c>
    </row>
    <row r="2661" spans="9:10">
      <c r="I2661" t="str">
        <f>_xlfn.IFNA(VLOOKUP(B2661,T_DistName[],3,FALSE),"")</f>
        <v/>
      </c>
      <c r="J2661" t="str">
        <f t="shared" si="42"/>
        <v/>
      </c>
    </row>
    <row r="2662" spans="9:10">
      <c r="I2662" t="str">
        <f>_xlfn.IFNA(VLOOKUP(B2662,T_DistName[],3,FALSE),"")</f>
        <v/>
      </c>
      <c r="J2662" t="str">
        <f t="shared" si="42"/>
        <v/>
      </c>
    </row>
    <row r="2663" spans="9:10">
      <c r="I2663" t="str">
        <f>_xlfn.IFNA(VLOOKUP(B2663,T_DistName[],3,FALSE),"")</f>
        <v/>
      </c>
      <c r="J2663" t="str">
        <f t="shared" si="42"/>
        <v/>
      </c>
    </row>
    <row r="2664" spans="9:10">
      <c r="I2664" t="str">
        <f>_xlfn.IFNA(VLOOKUP(B2664,T_DistName[],3,FALSE),"")</f>
        <v/>
      </c>
      <c r="J2664" t="str">
        <f t="shared" si="42"/>
        <v/>
      </c>
    </row>
    <row r="2665" spans="9:10">
      <c r="I2665" t="str">
        <f>_xlfn.IFNA(VLOOKUP(B2665,T_DistName[],3,FALSE),"")</f>
        <v/>
      </c>
      <c r="J2665" t="str">
        <f t="shared" si="42"/>
        <v/>
      </c>
    </row>
    <row r="2666" spans="9:10">
      <c r="I2666" t="str">
        <f>_xlfn.IFNA(VLOOKUP(B2666,T_DistName[],3,FALSE),"")</f>
        <v/>
      </c>
      <c r="J2666" t="str">
        <f t="shared" si="42"/>
        <v/>
      </c>
    </row>
    <row r="2667" spans="9:10">
      <c r="I2667" t="str">
        <f>_xlfn.IFNA(VLOOKUP(B2667,T_DistName[],3,FALSE),"")</f>
        <v/>
      </c>
      <c r="J2667" t="str">
        <f t="shared" si="42"/>
        <v/>
      </c>
    </row>
    <row r="2668" spans="9:10">
      <c r="I2668" t="str">
        <f>_xlfn.IFNA(VLOOKUP(B2668,T_DistName[],3,FALSE),"")</f>
        <v/>
      </c>
      <c r="J2668" t="str">
        <f t="shared" si="42"/>
        <v/>
      </c>
    </row>
    <row r="2669" spans="9:10">
      <c r="I2669" t="str">
        <f>_xlfn.IFNA(VLOOKUP(B2669,T_DistName[],3,FALSE),"")</f>
        <v/>
      </c>
      <c r="J2669" t="str">
        <f t="shared" si="42"/>
        <v/>
      </c>
    </row>
    <row r="2670" spans="9:10">
      <c r="I2670" t="str">
        <f>_xlfn.IFNA(VLOOKUP(B2670,T_DistName[],3,FALSE),"")</f>
        <v/>
      </c>
      <c r="J2670" t="str">
        <f t="shared" si="42"/>
        <v/>
      </c>
    </row>
    <row r="2671" spans="9:10">
      <c r="I2671" t="str">
        <f>_xlfn.IFNA(VLOOKUP(B2671,T_DistName[],3,FALSE),"")</f>
        <v/>
      </c>
      <c r="J2671" t="str">
        <f t="shared" si="42"/>
        <v/>
      </c>
    </row>
    <row r="2672" spans="9:10">
      <c r="I2672" t="str">
        <f>_xlfn.IFNA(VLOOKUP(B2672,T_DistName[],3,FALSE),"")</f>
        <v/>
      </c>
      <c r="J2672" t="str">
        <f t="shared" si="42"/>
        <v/>
      </c>
    </row>
    <row r="2673" spans="9:10">
      <c r="I2673" t="str">
        <f>_xlfn.IFNA(VLOOKUP(B2673,T_DistName[],3,FALSE),"")</f>
        <v/>
      </c>
      <c r="J2673" t="str">
        <f t="shared" si="42"/>
        <v/>
      </c>
    </row>
    <row r="2674" spans="9:10">
      <c r="I2674" t="str">
        <f>_xlfn.IFNA(VLOOKUP(B2674,T_DistName[],3,FALSE),"")</f>
        <v/>
      </c>
      <c r="J2674" t="str">
        <f t="shared" si="42"/>
        <v/>
      </c>
    </row>
    <row r="2675" spans="9:10">
      <c r="I2675" t="str">
        <f>_xlfn.IFNA(VLOOKUP(B2675,T_DistName[],3,FALSE),"")</f>
        <v/>
      </c>
      <c r="J2675" t="str">
        <f t="shared" si="42"/>
        <v/>
      </c>
    </row>
    <row r="2676" spans="9:10">
      <c r="I2676" t="str">
        <f>_xlfn.IFNA(VLOOKUP(B2676,T_DistName[],3,FALSE),"")</f>
        <v/>
      </c>
      <c r="J2676" t="str">
        <f t="shared" si="42"/>
        <v/>
      </c>
    </row>
    <row r="2677" spans="9:10">
      <c r="I2677" t="str">
        <f>_xlfn.IFNA(VLOOKUP(B2677,T_DistName[],3,FALSE),"")</f>
        <v/>
      </c>
      <c r="J2677" t="str">
        <f t="shared" si="42"/>
        <v/>
      </c>
    </row>
    <row r="2678" spans="9:10">
      <c r="I2678" t="str">
        <f>_xlfn.IFNA(VLOOKUP(B2678,T_DistName[],3,FALSE),"")</f>
        <v/>
      </c>
      <c r="J2678" t="str">
        <f t="shared" si="42"/>
        <v/>
      </c>
    </row>
    <row r="2679" spans="9:10">
      <c r="I2679" t="str">
        <f>_xlfn.IFNA(VLOOKUP(B2679,T_DistName[],3,FALSE),"")</f>
        <v/>
      </c>
      <c r="J2679" t="str">
        <f t="shared" si="42"/>
        <v/>
      </c>
    </row>
    <row r="2680" spans="9:10">
      <c r="I2680" t="str">
        <f>_xlfn.IFNA(VLOOKUP(B2680,T_DistName[],3,FALSE),"")</f>
        <v/>
      </c>
      <c r="J2680" t="str">
        <f t="shared" si="42"/>
        <v/>
      </c>
    </row>
    <row r="2681" spans="9:10">
      <c r="I2681" t="str">
        <f>_xlfn.IFNA(VLOOKUP(B2681,T_DistName[],3,FALSE),"")</f>
        <v/>
      </c>
      <c r="J2681" t="str">
        <f t="shared" si="42"/>
        <v/>
      </c>
    </row>
    <row r="2682" spans="9:10">
      <c r="I2682" t="str">
        <f>_xlfn.IFNA(VLOOKUP(B2682,T_DistName[],3,FALSE),"")</f>
        <v/>
      </c>
      <c r="J2682" t="str">
        <f t="shared" si="42"/>
        <v/>
      </c>
    </row>
    <row r="2683" spans="9:10">
      <c r="I2683" t="str">
        <f>_xlfn.IFNA(VLOOKUP(B2683,T_DistName[],3,FALSE),"")</f>
        <v/>
      </c>
      <c r="J2683" t="str">
        <f t="shared" si="42"/>
        <v/>
      </c>
    </row>
    <row r="2684" spans="9:10">
      <c r="I2684" t="str">
        <f>_xlfn.IFNA(VLOOKUP(B2684,T_DistName[],3,FALSE),"")</f>
        <v/>
      </c>
      <c r="J2684" t="str">
        <f t="shared" si="42"/>
        <v/>
      </c>
    </row>
    <row r="2685" spans="9:10">
      <c r="I2685" t="str">
        <f>_xlfn.IFNA(VLOOKUP(B2685,T_DistName[],3,FALSE),"")</f>
        <v/>
      </c>
      <c r="J2685" t="str">
        <f t="shared" si="42"/>
        <v/>
      </c>
    </row>
    <row r="2686" spans="9:10">
      <c r="I2686" t="str">
        <f>_xlfn.IFNA(VLOOKUP(B2686,T_DistName[],3,FALSE),"")</f>
        <v/>
      </c>
      <c r="J2686" t="str">
        <f t="shared" si="42"/>
        <v/>
      </c>
    </row>
    <row r="2687" spans="9:10">
      <c r="I2687" t="str">
        <f>_xlfn.IFNA(VLOOKUP(B2687,T_DistName[],3,FALSE),"")</f>
        <v/>
      </c>
      <c r="J2687" t="str">
        <f t="shared" si="42"/>
        <v/>
      </c>
    </row>
    <row r="2688" spans="9:10">
      <c r="I2688" t="str">
        <f>_xlfn.IFNA(VLOOKUP(B2688,T_DistName[],3,FALSE),"")</f>
        <v/>
      </c>
      <c r="J2688" t="str">
        <f t="shared" si="42"/>
        <v/>
      </c>
    </row>
    <row r="2689" spans="9:10">
      <c r="I2689" t="str">
        <f>_xlfn.IFNA(VLOOKUP(B2689,T_DistName[],3,FALSE),"")</f>
        <v/>
      </c>
      <c r="J2689" t="str">
        <f t="shared" si="42"/>
        <v/>
      </c>
    </row>
    <row r="2690" spans="9:10">
      <c r="I2690" t="str">
        <f>_xlfn.IFNA(VLOOKUP(B2690,T_DistName[],3,FALSE),"")</f>
        <v/>
      </c>
      <c r="J2690" t="str">
        <f t="shared" si="42"/>
        <v/>
      </c>
    </row>
    <row r="2691" spans="9:10">
      <c r="I2691" t="str">
        <f>_xlfn.IFNA(VLOOKUP(B2691,T_DistName[],3,FALSE),"")</f>
        <v/>
      </c>
      <c r="J2691" t="str">
        <f t="shared" si="42"/>
        <v/>
      </c>
    </row>
    <row r="2692" spans="9:10">
      <c r="I2692" t="str">
        <f>_xlfn.IFNA(VLOOKUP(B2692,T_DistName[],3,FALSE),"")</f>
        <v/>
      </c>
      <c r="J2692" t="str">
        <f t="shared" si="42"/>
        <v/>
      </c>
    </row>
    <row r="2693" spans="9:10">
      <c r="I2693" t="str">
        <f>_xlfn.IFNA(VLOOKUP(B2693,T_DistName[],3,FALSE),"")</f>
        <v/>
      </c>
      <c r="J2693" t="str">
        <f t="shared" si="42"/>
        <v/>
      </c>
    </row>
    <row r="2694" spans="9:10">
      <c r="I2694" t="str">
        <f>_xlfn.IFNA(VLOOKUP(B2694,T_DistName[],3,FALSE),"")</f>
        <v/>
      </c>
      <c r="J2694" t="str">
        <f t="shared" si="42"/>
        <v/>
      </c>
    </row>
    <row r="2695" spans="9:10">
      <c r="I2695" t="str">
        <f>_xlfn.IFNA(VLOOKUP(B2695,T_DistName[],3,FALSE),"")</f>
        <v/>
      </c>
      <c r="J2695" t="str">
        <f t="shared" si="42"/>
        <v/>
      </c>
    </row>
    <row r="2696" spans="9:10">
      <c r="I2696" t="str">
        <f>_xlfn.IFNA(VLOOKUP(B2696,T_DistName[],3,FALSE),"")</f>
        <v/>
      </c>
      <c r="J2696" t="str">
        <f t="shared" si="42"/>
        <v/>
      </c>
    </row>
    <row r="2697" spans="9:10">
      <c r="I2697" t="str">
        <f>_xlfn.IFNA(VLOOKUP(B2697,T_DistName[],3,FALSE),"")</f>
        <v/>
      </c>
      <c r="J2697" t="str">
        <f t="shared" si="42"/>
        <v/>
      </c>
    </row>
    <row r="2698" spans="9:10">
      <c r="I2698" t="str">
        <f>_xlfn.IFNA(VLOOKUP(B2698,T_DistName[],3,FALSE),"")</f>
        <v/>
      </c>
      <c r="J2698" t="str">
        <f t="shared" si="42"/>
        <v/>
      </c>
    </row>
    <row r="2699" spans="9:10">
      <c r="I2699" t="str">
        <f>_xlfn.IFNA(VLOOKUP(B2699,T_DistName[],3,FALSE),"")</f>
        <v/>
      </c>
      <c r="J2699" t="str">
        <f t="shared" si="42"/>
        <v/>
      </c>
    </row>
    <row r="2700" spans="9:10">
      <c r="I2700" t="str">
        <f>_xlfn.IFNA(VLOOKUP(B2700,T_DistName[],3,FALSE),"")</f>
        <v/>
      </c>
      <c r="J2700" t="str">
        <f t="shared" si="42"/>
        <v/>
      </c>
    </row>
    <row r="2701" spans="9:10">
      <c r="I2701" t="str">
        <f>_xlfn.IFNA(VLOOKUP(B2701,T_DistName[],3,FALSE),"")</f>
        <v/>
      </c>
      <c r="J2701" t="str">
        <f t="shared" si="42"/>
        <v/>
      </c>
    </row>
    <row r="2702" spans="9:10">
      <c r="I2702" t="str">
        <f>_xlfn.IFNA(VLOOKUP(B2702,T_DistName[],3,FALSE),"")</f>
        <v/>
      </c>
      <c r="J2702" t="str">
        <f t="shared" si="42"/>
        <v/>
      </c>
    </row>
    <row r="2703" spans="9:10">
      <c r="I2703" t="str">
        <f>_xlfn.IFNA(VLOOKUP(B2703,T_DistName[],3,FALSE),"")</f>
        <v/>
      </c>
      <c r="J2703" t="str">
        <f t="shared" si="42"/>
        <v/>
      </c>
    </row>
    <row r="2704" spans="9:10">
      <c r="I2704" t="str">
        <f>_xlfn.IFNA(VLOOKUP(B2704,T_DistName[],3,FALSE),"")</f>
        <v/>
      </c>
      <c r="J2704" t="str">
        <f t="shared" si="42"/>
        <v/>
      </c>
    </row>
    <row r="2705" spans="9:10">
      <c r="I2705" t="str">
        <f>_xlfn.IFNA(VLOOKUP(B2705,T_DistName[],3,FALSE),"")</f>
        <v/>
      </c>
      <c r="J2705" t="str">
        <f t="shared" si="42"/>
        <v/>
      </c>
    </row>
    <row r="2706" spans="9:10">
      <c r="I2706" t="str">
        <f>_xlfn.IFNA(VLOOKUP(B2706,T_DistName[],3,FALSE),"")</f>
        <v/>
      </c>
      <c r="J2706" t="str">
        <f t="shared" si="42"/>
        <v/>
      </c>
    </row>
    <row r="2707" spans="9:10">
      <c r="I2707" t="str">
        <f>_xlfn.IFNA(VLOOKUP(B2707,T_DistName[],3,FALSE),"")</f>
        <v/>
      </c>
      <c r="J2707" t="str">
        <f t="shared" si="42"/>
        <v/>
      </c>
    </row>
    <row r="2708" spans="9:10">
      <c r="I2708" t="str">
        <f>_xlfn.IFNA(VLOOKUP(B2708,T_DistName[],3,FALSE),"")</f>
        <v/>
      </c>
      <c r="J2708" t="str">
        <f t="shared" si="42"/>
        <v/>
      </c>
    </row>
    <row r="2709" spans="9:10">
      <c r="I2709" t="str">
        <f>_xlfn.IFNA(VLOOKUP(B2709,T_DistName[],3,FALSE),"")</f>
        <v/>
      </c>
      <c r="J2709" t="str">
        <f t="shared" si="42"/>
        <v/>
      </c>
    </row>
    <row r="2710" spans="9:10">
      <c r="I2710" t="str">
        <f>_xlfn.IFNA(VLOOKUP(B2710,T_DistName[],3,FALSE),"")</f>
        <v/>
      </c>
      <c r="J2710" t="str">
        <f t="shared" si="42"/>
        <v/>
      </c>
    </row>
    <row r="2711" spans="9:10">
      <c r="I2711" t="str">
        <f>_xlfn.IFNA(VLOOKUP(B2711,T_DistName[],3,FALSE),"")</f>
        <v/>
      </c>
      <c r="J2711" t="str">
        <f t="shared" si="42"/>
        <v/>
      </c>
    </row>
    <row r="2712" spans="9:10">
      <c r="I2712" t="str">
        <f>_xlfn.IFNA(VLOOKUP(B2712,T_DistName[],3,FALSE),"")</f>
        <v/>
      </c>
      <c r="J2712" t="str">
        <f t="shared" si="42"/>
        <v/>
      </c>
    </row>
    <row r="2713" spans="9:10">
      <c r="I2713" t="str">
        <f>_xlfn.IFNA(VLOOKUP(B2713,T_DistName[],3,FALSE),"")</f>
        <v/>
      </c>
      <c r="J2713" t="str">
        <f t="shared" ref="J2713:J2776" si="43">I2713&amp;F2713</f>
        <v/>
      </c>
    </row>
    <row r="2714" spans="9:10">
      <c r="I2714" t="str">
        <f>_xlfn.IFNA(VLOOKUP(B2714,T_DistName[],3,FALSE),"")</f>
        <v/>
      </c>
      <c r="J2714" t="str">
        <f t="shared" si="43"/>
        <v/>
      </c>
    </row>
    <row r="2715" spans="9:10">
      <c r="I2715" t="str">
        <f>_xlfn.IFNA(VLOOKUP(B2715,T_DistName[],3,FALSE),"")</f>
        <v/>
      </c>
      <c r="J2715" t="str">
        <f t="shared" si="43"/>
        <v/>
      </c>
    </row>
    <row r="2716" spans="9:10">
      <c r="I2716" t="str">
        <f>_xlfn.IFNA(VLOOKUP(B2716,T_DistName[],3,FALSE),"")</f>
        <v/>
      </c>
      <c r="J2716" t="str">
        <f t="shared" si="43"/>
        <v/>
      </c>
    </row>
    <row r="2717" spans="9:10">
      <c r="I2717" t="str">
        <f>_xlfn.IFNA(VLOOKUP(B2717,T_DistName[],3,FALSE),"")</f>
        <v/>
      </c>
      <c r="J2717" t="str">
        <f t="shared" si="43"/>
        <v/>
      </c>
    </row>
    <row r="2718" spans="9:10">
      <c r="I2718" t="str">
        <f>_xlfn.IFNA(VLOOKUP(B2718,T_DistName[],3,FALSE),"")</f>
        <v/>
      </c>
      <c r="J2718" t="str">
        <f t="shared" si="43"/>
        <v/>
      </c>
    </row>
    <row r="2719" spans="9:10">
      <c r="I2719" t="str">
        <f>_xlfn.IFNA(VLOOKUP(B2719,T_DistName[],3,FALSE),"")</f>
        <v/>
      </c>
      <c r="J2719" t="str">
        <f t="shared" si="43"/>
        <v/>
      </c>
    </row>
    <row r="2720" spans="9:10">
      <c r="I2720" t="str">
        <f>_xlfn.IFNA(VLOOKUP(B2720,T_DistName[],3,FALSE),"")</f>
        <v/>
      </c>
      <c r="J2720" t="str">
        <f t="shared" si="43"/>
        <v/>
      </c>
    </row>
    <row r="2721" spans="9:10">
      <c r="I2721" t="str">
        <f>_xlfn.IFNA(VLOOKUP(B2721,T_DistName[],3,FALSE),"")</f>
        <v/>
      </c>
      <c r="J2721" t="str">
        <f t="shared" si="43"/>
        <v/>
      </c>
    </row>
    <row r="2722" spans="9:10">
      <c r="I2722" t="str">
        <f>_xlfn.IFNA(VLOOKUP(B2722,T_DistName[],3,FALSE),"")</f>
        <v/>
      </c>
      <c r="J2722" t="str">
        <f t="shared" si="43"/>
        <v/>
      </c>
    </row>
    <row r="2723" spans="9:10">
      <c r="I2723" t="str">
        <f>_xlfn.IFNA(VLOOKUP(B2723,T_DistName[],3,FALSE),"")</f>
        <v/>
      </c>
      <c r="J2723" t="str">
        <f t="shared" si="43"/>
        <v/>
      </c>
    </row>
    <row r="2724" spans="9:10">
      <c r="I2724" t="str">
        <f>_xlfn.IFNA(VLOOKUP(B2724,T_DistName[],3,FALSE),"")</f>
        <v/>
      </c>
      <c r="J2724" t="str">
        <f t="shared" si="43"/>
        <v/>
      </c>
    </row>
    <row r="2725" spans="9:10">
      <c r="I2725" t="str">
        <f>_xlfn.IFNA(VLOOKUP(B2725,T_DistName[],3,FALSE),"")</f>
        <v/>
      </c>
      <c r="J2725" t="str">
        <f t="shared" si="43"/>
        <v/>
      </c>
    </row>
    <row r="2726" spans="9:10">
      <c r="I2726" t="str">
        <f>_xlfn.IFNA(VLOOKUP(B2726,T_DistName[],3,FALSE),"")</f>
        <v/>
      </c>
      <c r="J2726" t="str">
        <f t="shared" si="43"/>
        <v/>
      </c>
    </row>
    <row r="2727" spans="9:10">
      <c r="I2727" t="str">
        <f>_xlfn.IFNA(VLOOKUP(B2727,T_DistName[],3,FALSE),"")</f>
        <v/>
      </c>
      <c r="J2727" t="str">
        <f t="shared" si="43"/>
        <v/>
      </c>
    </row>
    <row r="2728" spans="9:10">
      <c r="I2728" t="str">
        <f>_xlfn.IFNA(VLOOKUP(B2728,T_DistName[],3,FALSE),"")</f>
        <v/>
      </c>
      <c r="J2728" t="str">
        <f t="shared" si="43"/>
        <v/>
      </c>
    </row>
    <row r="2729" spans="9:10">
      <c r="I2729" t="str">
        <f>_xlfn.IFNA(VLOOKUP(B2729,T_DistName[],3,FALSE),"")</f>
        <v/>
      </c>
      <c r="J2729" t="str">
        <f t="shared" si="43"/>
        <v/>
      </c>
    </row>
    <row r="2730" spans="9:10">
      <c r="I2730" t="str">
        <f>_xlfn.IFNA(VLOOKUP(B2730,T_DistName[],3,FALSE),"")</f>
        <v/>
      </c>
      <c r="J2730" t="str">
        <f t="shared" si="43"/>
        <v/>
      </c>
    </row>
    <row r="2731" spans="9:10">
      <c r="I2731" t="str">
        <f>_xlfn.IFNA(VLOOKUP(B2731,T_DistName[],3,FALSE),"")</f>
        <v/>
      </c>
      <c r="J2731" t="str">
        <f t="shared" si="43"/>
        <v/>
      </c>
    </row>
    <row r="2732" spans="9:10">
      <c r="I2732" t="str">
        <f>_xlfn.IFNA(VLOOKUP(B2732,T_DistName[],3,FALSE),"")</f>
        <v/>
      </c>
      <c r="J2732" t="str">
        <f t="shared" si="43"/>
        <v/>
      </c>
    </row>
    <row r="2733" spans="9:10">
      <c r="I2733" t="str">
        <f>_xlfn.IFNA(VLOOKUP(B2733,T_DistName[],3,FALSE),"")</f>
        <v/>
      </c>
      <c r="J2733" t="str">
        <f t="shared" si="43"/>
        <v/>
      </c>
    </row>
    <row r="2734" spans="9:10">
      <c r="I2734" t="str">
        <f>_xlfn.IFNA(VLOOKUP(B2734,T_DistName[],3,FALSE),"")</f>
        <v/>
      </c>
      <c r="J2734" t="str">
        <f t="shared" si="43"/>
        <v/>
      </c>
    </row>
    <row r="2735" spans="9:10">
      <c r="I2735" t="str">
        <f>_xlfn.IFNA(VLOOKUP(B2735,T_DistName[],3,FALSE),"")</f>
        <v/>
      </c>
      <c r="J2735" t="str">
        <f t="shared" si="43"/>
        <v/>
      </c>
    </row>
    <row r="2736" spans="9:10">
      <c r="I2736" t="str">
        <f>_xlfn.IFNA(VLOOKUP(B2736,T_DistName[],3,FALSE),"")</f>
        <v/>
      </c>
      <c r="J2736" t="str">
        <f t="shared" si="43"/>
        <v/>
      </c>
    </row>
    <row r="2737" spans="9:10">
      <c r="I2737" t="str">
        <f>_xlfn.IFNA(VLOOKUP(B2737,T_DistName[],3,FALSE),"")</f>
        <v/>
      </c>
      <c r="J2737" t="str">
        <f t="shared" si="43"/>
        <v/>
      </c>
    </row>
    <row r="2738" spans="9:10">
      <c r="I2738" t="str">
        <f>_xlfn.IFNA(VLOOKUP(B2738,T_DistName[],3,FALSE),"")</f>
        <v/>
      </c>
      <c r="J2738" t="str">
        <f t="shared" si="43"/>
        <v/>
      </c>
    </row>
    <row r="2739" spans="9:10">
      <c r="I2739" t="str">
        <f>_xlfn.IFNA(VLOOKUP(B2739,T_DistName[],3,FALSE),"")</f>
        <v/>
      </c>
      <c r="J2739" t="str">
        <f t="shared" si="43"/>
        <v/>
      </c>
    </row>
    <row r="2740" spans="9:10">
      <c r="I2740" t="str">
        <f>_xlfn.IFNA(VLOOKUP(B2740,T_DistName[],3,FALSE),"")</f>
        <v/>
      </c>
      <c r="J2740" t="str">
        <f t="shared" si="43"/>
        <v/>
      </c>
    </row>
    <row r="2741" spans="9:10">
      <c r="I2741" t="str">
        <f>_xlfn.IFNA(VLOOKUP(B2741,T_DistName[],3,FALSE),"")</f>
        <v/>
      </c>
      <c r="J2741" t="str">
        <f t="shared" si="43"/>
        <v/>
      </c>
    </row>
    <row r="2742" spans="9:10">
      <c r="I2742" t="str">
        <f>_xlfn.IFNA(VLOOKUP(B2742,T_DistName[],3,FALSE),"")</f>
        <v/>
      </c>
      <c r="J2742" t="str">
        <f t="shared" si="43"/>
        <v/>
      </c>
    </row>
    <row r="2743" spans="9:10">
      <c r="I2743" t="str">
        <f>_xlfn.IFNA(VLOOKUP(B2743,T_DistName[],3,FALSE),"")</f>
        <v/>
      </c>
      <c r="J2743" t="str">
        <f t="shared" si="43"/>
        <v/>
      </c>
    </row>
    <row r="2744" spans="9:10">
      <c r="I2744" t="str">
        <f>_xlfn.IFNA(VLOOKUP(B2744,T_DistName[],3,FALSE),"")</f>
        <v/>
      </c>
      <c r="J2744" t="str">
        <f t="shared" si="43"/>
        <v/>
      </c>
    </row>
    <row r="2745" spans="9:10">
      <c r="I2745" t="str">
        <f>_xlfn.IFNA(VLOOKUP(B2745,T_DistName[],3,FALSE),"")</f>
        <v/>
      </c>
      <c r="J2745" t="str">
        <f t="shared" si="43"/>
        <v/>
      </c>
    </row>
    <row r="2746" spans="9:10">
      <c r="I2746" t="str">
        <f>_xlfn.IFNA(VLOOKUP(B2746,T_DistName[],3,FALSE),"")</f>
        <v/>
      </c>
      <c r="J2746" t="str">
        <f t="shared" si="43"/>
        <v/>
      </c>
    </row>
    <row r="2747" spans="9:10">
      <c r="I2747" t="str">
        <f>_xlfn.IFNA(VLOOKUP(B2747,T_DistName[],3,FALSE),"")</f>
        <v/>
      </c>
      <c r="J2747" t="str">
        <f t="shared" si="43"/>
        <v/>
      </c>
    </row>
    <row r="2748" spans="9:10">
      <c r="I2748" t="str">
        <f>_xlfn.IFNA(VLOOKUP(B2748,T_DistName[],3,FALSE),"")</f>
        <v/>
      </c>
      <c r="J2748" t="str">
        <f t="shared" si="43"/>
        <v/>
      </c>
    </row>
    <row r="2749" spans="9:10">
      <c r="I2749" t="str">
        <f>_xlfn.IFNA(VLOOKUP(B2749,T_DistName[],3,FALSE),"")</f>
        <v/>
      </c>
      <c r="J2749" t="str">
        <f t="shared" si="43"/>
        <v/>
      </c>
    </row>
    <row r="2750" spans="9:10">
      <c r="I2750" t="str">
        <f>_xlfn.IFNA(VLOOKUP(B2750,T_DistName[],3,FALSE),"")</f>
        <v/>
      </c>
      <c r="J2750" t="str">
        <f t="shared" si="43"/>
        <v/>
      </c>
    </row>
    <row r="2751" spans="9:10">
      <c r="I2751" t="str">
        <f>_xlfn.IFNA(VLOOKUP(B2751,T_DistName[],3,FALSE),"")</f>
        <v/>
      </c>
      <c r="J2751" t="str">
        <f t="shared" si="43"/>
        <v/>
      </c>
    </row>
    <row r="2752" spans="9:10">
      <c r="I2752" t="str">
        <f>_xlfn.IFNA(VLOOKUP(B2752,T_DistName[],3,FALSE),"")</f>
        <v/>
      </c>
      <c r="J2752" t="str">
        <f t="shared" si="43"/>
        <v/>
      </c>
    </row>
    <row r="2753" spans="9:10">
      <c r="I2753" t="str">
        <f>_xlfn.IFNA(VLOOKUP(B2753,T_DistName[],3,FALSE),"")</f>
        <v/>
      </c>
      <c r="J2753" t="str">
        <f t="shared" si="43"/>
        <v/>
      </c>
    </row>
    <row r="2754" spans="9:10">
      <c r="I2754" t="str">
        <f>_xlfn.IFNA(VLOOKUP(B2754,T_DistName[],3,FALSE),"")</f>
        <v/>
      </c>
      <c r="J2754" t="str">
        <f t="shared" si="43"/>
        <v/>
      </c>
    </row>
    <row r="2755" spans="9:10">
      <c r="I2755" t="str">
        <f>_xlfn.IFNA(VLOOKUP(B2755,T_DistName[],3,FALSE),"")</f>
        <v/>
      </c>
      <c r="J2755" t="str">
        <f t="shared" si="43"/>
        <v/>
      </c>
    </row>
    <row r="2756" spans="9:10">
      <c r="I2756" t="str">
        <f>_xlfn.IFNA(VLOOKUP(B2756,T_DistName[],3,FALSE),"")</f>
        <v/>
      </c>
      <c r="J2756" t="str">
        <f t="shared" si="43"/>
        <v/>
      </c>
    </row>
    <row r="2757" spans="9:10">
      <c r="I2757" t="str">
        <f>_xlfn.IFNA(VLOOKUP(B2757,T_DistName[],3,FALSE),"")</f>
        <v/>
      </c>
      <c r="J2757" t="str">
        <f t="shared" si="43"/>
        <v/>
      </c>
    </row>
    <row r="2758" spans="9:10">
      <c r="I2758" t="str">
        <f>_xlfn.IFNA(VLOOKUP(B2758,T_DistName[],3,FALSE),"")</f>
        <v/>
      </c>
      <c r="J2758" t="str">
        <f t="shared" si="43"/>
        <v/>
      </c>
    </row>
    <row r="2759" spans="9:10">
      <c r="I2759" t="str">
        <f>_xlfn.IFNA(VLOOKUP(B2759,T_DistName[],3,FALSE),"")</f>
        <v/>
      </c>
      <c r="J2759" t="str">
        <f t="shared" si="43"/>
        <v/>
      </c>
    </row>
    <row r="2760" spans="9:10">
      <c r="I2760" t="str">
        <f>_xlfn.IFNA(VLOOKUP(B2760,T_DistName[],3,FALSE),"")</f>
        <v/>
      </c>
      <c r="J2760" t="str">
        <f t="shared" si="43"/>
        <v/>
      </c>
    </row>
    <row r="2761" spans="9:10">
      <c r="I2761" t="str">
        <f>_xlfn.IFNA(VLOOKUP(B2761,T_DistName[],3,FALSE),"")</f>
        <v/>
      </c>
      <c r="J2761" t="str">
        <f t="shared" si="43"/>
        <v/>
      </c>
    </row>
    <row r="2762" spans="9:10">
      <c r="I2762" t="str">
        <f>_xlfn.IFNA(VLOOKUP(B2762,T_DistName[],3,FALSE),"")</f>
        <v/>
      </c>
      <c r="J2762" t="str">
        <f t="shared" si="43"/>
        <v/>
      </c>
    </row>
    <row r="2763" spans="9:10">
      <c r="I2763" t="str">
        <f>_xlfn.IFNA(VLOOKUP(B2763,T_DistName[],3,FALSE),"")</f>
        <v/>
      </c>
      <c r="J2763" t="str">
        <f t="shared" si="43"/>
        <v/>
      </c>
    </row>
    <row r="2764" spans="9:10">
      <c r="I2764" t="str">
        <f>_xlfn.IFNA(VLOOKUP(B2764,T_DistName[],3,FALSE),"")</f>
        <v/>
      </c>
      <c r="J2764" t="str">
        <f t="shared" si="43"/>
        <v/>
      </c>
    </row>
    <row r="2765" spans="9:10">
      <c r="I2765" t="str">
        <f>_xlfn.IFNA(VLOOKUP(B2765,T_DistName[],3,FALSE),"")</f>
        <v/>
      </c>
      <c r="J2765" t="str">
        <f t="shared" si="43"/>
        <v/>
      </c>
    </row>
    <row r="2766" spans="9:10">
      <c r="I2766" t="str">
        <f>_xlfn.IFNA(VLOOKUP(B2766,T_DistName[],3,FALSE),"")</f>
        <v/>
      </c>
      <c r="J2766" t="str">
        <f t="shared" si="43"/>
        <v/>
      </c>
    </row>
    <row r="2767" spans="9:10">
      <c r="I2767" t="str">
        <f>_xlfn.IFNA(VLOOKUP(B2767,T_DistName[],3,FALSE),"")</f>
        <v/>
      </c>
      <c r="J2767" t="str">
        <f t="shared" si="43"/>
        <v/>
      </c>
    </row>
    <row r="2768" spans="9:10">
      <c r="I2768" t="str">
        <f>_xlfn.IFNA(VLOOKUP(B2768,T_DistName[],3,FALSE),"")</f>
        <v/>
      </c>
      <c r="J2768" t="str">
        <f t="shared" si="43"/>
        <v/>
      </c>
    </row>
    <row r="2769" spans="9:10">
      <c r="I2769" t="str">
        <f>_xlfn.IFNA(VLOOKUP(B2769,T_DistName[],3,FALSE),"")</f>
        <v/>
      </c>
      <c r="J2769" t="str">
        <f t="shared" si="43"/>
        <v/>
      </c>
    </row>
    <row r="2770" spans="9:10">
      <c r="I2770" t="str">
        <f>_xlfn.IFNA(VLOOKUP(B2770,T_DistName[],3,FALSE),"")</f>
        <v/>
      </c>
      <c r="J2770" t="str">
        <f t="shared" si="43"/>
        <v/>
      </c>
    </row>
    <row r="2771" spans="9:10">
      <c r="I2771" t="str">
        <f>_xlfn.IFNA(VLOOKUP(B2771,T_DistName[],3,FALSE),"")</f>
        <v/>
      </c>
      <c r="J2771" t="str">
        <f t="shared" si="43"/>
        <v/>
      </c>
    </row>
    <row r="2772" spans="9:10">
      <c r="I2772" t="str">
        <f>_xlfn.IFNA(VLOOKUP(B2772,T_DistName[],3,FALSE),"")</f>
        <v/>
      </c>
      <c r="J2772" t="str">
        <f t="shared" si="43"/>
        <v/>
      </c>
    </row>
    <row r="2773" spans="9:10">
      <c r="I2773" t="str">
        <f>_xlfn.IFNA(VLOOKUP(B2773,T_DistName[],3,FALSE),"")</f>
        <v/>
      </c>
      <c r="J2773" t="str">
        <f t="shared" si="43"/>
        <v/>
      </c>
    </row>
    <row r="2774" spans="9:10">
      <c r="I2774" t="str">
        <f>_xlfn.IFNA(VLOOKUP(B2774,T_DistName[],3,FALSE),"")</f>
        <v/>
      </c>
      <c r="J2774" t="str">
        <f t="shared" si="43"/>
        <v/>
      </c>
    </row>
    <row r="2775" spans="9:10">
      <c r="I2775" t="str">
        <f>_xlfn.IFNA(VLOOKUP(B2775,T_DistName[],3,FALSE),"")</f>
        <v/>
      </c>
      <c r="J2775" t="str">
        <f t="shared" si="43"/>
        <v/>
      </c>
    </row>
    <row r="2776" spans="9:10">
      <c r="I2776" t="str">
        <f>_xlfn.IFNA(VLOOKUP(B2776,T_DistName[],3,FALSE),"")</f>
        <v/>
      </c>
      <c r="J2776" t="str">
        <f t="shared" si="43"/>
        <v/>
      </c>
    </row>
    <row r="2777" spans="9:10">
      <c r="I2777" t="str">
        <f>_xlfn.IFNA(VLOOKUP(B2777,T_DistName[],3,FALSE),"")</f>
        <v/>
      </c>
      <c r="J2777" t="str">
        <f t="shared" ref="J2777:J2840" si="44">I2777&amp;F2777</f>
        <v/>
      </c>
    </row>
    <row r="2778" spans="9:10">
      <c r="I2778" t="str">
        <f>_xlfn.IFNA(VLOOKUP(B2778,T_DistName[],3,FALSE),"")</f>
        <v/>
      </c>
      <c r="J2778" t="str">
        <f t="shared" si="44"/>
        <v/>
      </c>
    </row>
    <row r="2779" spans="9:10">
      <c r="I2779" t="str">
        <f>_xlfn.IFNA(VLOOKUP(B2779,T_DistName[],3,FALSE),"")</f>
        <v/>
      </c>
      <c r="J2779" t="str">
        <f t="shared" si="44"/>
        <v/>
      </c>
    </row>
    <row r="2780" spans="9:10">
      <c r="I2780" t="str">
        <f>_xlfn.IFNA(VLOOKUP(B2780,T_DistName[],3,FALSE),"")</f>
        <v/>
      </c>
      <c r="J2780" t="str">
        <f t="shared" si="44"/>
        <v/>
      </c>
    </row>
    <row r="2781" spans="9:10">
      <c r="I2781" t="str">
        <f>_xlfn.IFNA(VLOOKUP(B2781,T_DistName[],3,FALSE),"")</f>
        <v/>
      </c>
      <c r="J2781" t="str">
        <f t="shared" si="44"/>
        <v/>
      </c>
    </row>
    <row r="2782" spans="9:10">
      <c r="I2782" t="str">
        <f>_xlfn.IFNA(VLOOKUP(B2782,T_DistName[],3,FALSE),"")</f>
        <v/>
      </c>
      <c r="J2782" t="str">
        <f t="shared" si="44"/>
        <v/>
      </c>
    </row>
    <row r="2783" spans="9:10">
      <c r="I2783" t="str">
        <f>_xlfn.IFNA(VLOOKUP(B2783,T_DistName[],3,FALSE),"")</f>
        <v/>
      </c>
      <c r="J2783" t="str">
        <f t="shared" si="44"/>
        <v/>
      </c>
    </row>
    <row r="2784" spans="9:10">
      <c r="I2784" t="str">
        <f>_xlfn.IFNA(VLOOKUP(B2784,T_DistName[],3,FALSE),"")</f>
        <v/>
      </c>
      <c r="J2784" t="str">
        <f t="shared" si="44"/>
        <v/>
      </c>
    </row>
    <row r="2785" spans="9:10">
      <c r="I2785" t="str">
        <f>_xlfn.IFNA(VLOOKUP(B2785,T_DistName[],3,FALSE),"")</f>
        <v/>
      </c>
      <c r="J2785" t="str">
        <f t="shared" si="44"/>
        <v/>
      </c>
    </row>
    <row r="2786" spans="9:10">
      <c r="I2786" t="str">
        <f>_xlfn.IFNA(VLOOKUP(B2786,T_DistName[],3,FALSE),"")</f>
        <v/>
      </c>
      <c r="J2786" t="str">
        <f t="shared" si="44"/>
        <v/>
      </c>
    </row>
    <row r="2787" spans="9:10">
      <c r="I2787" t="str">
        <f>_xlfn.IFNA(VLOOKUP(B2787,T_DistName[],3,FALSE),"")</f>
        <v/>
      </c>
      <c r="J2787" t="str">
        <f t="shared" si="44"/>
        <v/>
      </c>
    </row>
    <row r="2788" spans="9:10">
      <c r="I2788" t="str">
        <f>_xlfn.IFNA(VLOOKUP(B2788,T_DistName[],3,FALSE),"")</f>
        <v/>
      </c>
      <c r="J2788" t="str">
        <f t="shared" si="44"/>
        <v/>
      </c>
    </row>
    <row r="2789" spans="9:10">
      <c r="I2789" t="str">
        <f>_xlfn.IFNA(VLOOKUP(B2789,T_DistName[],3,FALSE),"")</f>
        <v/>
      </c>
      <c r="J2789" t="str">
        <f t="shared" si="44"/>
        <v/>
      </c>
    </row>
    <row r="2790" spans="9:10">
      <c r="I2790" t="str">
        <f>_xlfn.IFNA(VLOOKUP(B2790,T_DistName[],3,FALSE),"")</f>
        <v/>
      </c>
      <c r="J2790" t="str">
        <f t="shared" si="44"/>
        <v/>
      </c>
    </row>
    <row r="2791" spans="9:10">
      <c r="I2791" t="str">
        <f>_xlfn.IFNA(VLOOKUP(B2791,T_DistName[],3,FALSE),"")</f>
        <v/>
      </c>
      <c r="J2791" t="str">
        <f t="shared" si="44"/>
        <v/>
      </c>
    </row>
    <row r="2792" spans="9:10">
      <c r="I2792" t="str">
        <f>_xlfn.IFNA(VLOOKUP(B2792,T_DistName[],3,FALSE),"")</f>
        <v/>
      </c>
      <c r="J2792" t="str">
        <f t="shared" si="44"/>
        <v/>
      </c>
    </row>
    <row r="2793" spans="9:10">
      <c r="I2793" t="str">
        <f>_xlfn.IFNA(VLOOKUP(B2793,T_DistName[],3,FALSE),"")</f>
        <v/>
      </c>
      <c r="J2793" t="str">
        <f t="shared" si="44"/>
        <v/>
      </c>
    </row>
    <row r="2794" spans="9:10">
      <c r="I2794" t="str">
        <f>_xlfn.IFNA(VLOOKUP(B2794,T_DistName[],3,FALSE),"")</f>
        <v/>
      </c>
      <c r="J2794" t="str">
        <f t="shared" si="44"/>
        <v/>
      </c>
    </row>
    <row r="2795" spans="9:10">
      <c r="I2795" t="str">
        <f>_xlfn.IFNA(VLOOKUP(B2795,T_DistName[],3,FALSE),"")</f>
        <v/>
      </c>
      <c r="J2795" t="str">
        <f t="shared" si="44"/>
        <v/>
      </c>
    </row>
    <row r="2796" spans="9:10">
      <c r="I2796" t="str">
        <f>_xlfn.IFNA(VLOOKUP(B2796,T_DistName[],3,FALSE),"")</f>
        <v/>
      </c>
      <c r="J2796" t="str">
        <f t="shared" si="44"/>
        <v/>
      </c>
    </row>
    <row r="2797" spans="9:10">
      <c r="I2797" t="str">
        <f>_xlfn.IFNA(VLOOKUP(B2797,T_DistName[],3,FALSE),"")</f>
        <v/>
      </c>
      <c r="J2797" t="str">
        <f t="shared" si="44"/>
        <v/>
      </c>
    </row>
    <row r="2798" spans="9:10">
      <c r="I2798" t="str">
        <f>_xlfn.IFNA(VLOOKUP(B2798,T_DistName[],3,FALSE),"")</f>
        <v/>
      </c>
      <c r="J2798" t="str">
        <f t="shared" si="44"/>
        <v/>
      </c>
    </row>
    <row r="2799" spans="9:10">
      <c r="I2799" t="str">
        <f>_xlfn.IFNA(VLOOKUP(B2799,T_DistName[],3,FALSE),"")</f>
        <v/>
      </c>
      <c r="J2799" t="str">
        <f t="shared" si="44"/>
        <v/>
      </c>
    </row>
    <row r="2800" spans="9:10">
      <c r="I2800" t="str">
        <f>_xlfn.IFNA(VLOOKUP(B2800,T_DistName[],3,FALSE),"")</f>
        <v/>
      </c>
      <c r="J2800" t="str">
        <f t="shared" si="44"/>
        <v/>
      </c>
    </row>
    <row r="2801" spans="9:10">
      <c r="I2801" t="str">
        <f>_xlfn.IFNA(VLOOKUP(B2801,T_DistName[],3,FALSE),"")</f>
        <v/>
      </c>
      <c r="J2801" t="str">
        <f t="shared" si="44"/>
        <v/>
      </c>
    </row>
    <row r="2802" spans="9:10">
      <c r="I2802" t="str">
        <f>_xlfn.IFNA(VLOOKUP(B2802,T_DistName[],3,FALSE),"")</f>
        <v/>
      </c>
      <c r="J2802" t="str">
        <f t="shared" si="44"/>
        <v/>
      </c>
    </row>
    <row r="2803" spans="9:10">
      <c r="I2803" t="str">
        <f>_xlfn.IFNA(VLOOKUP(B2803,T_DistName[],3,FALSE),"")</f>
        <v/>
      </c>
      <c r="J2803" t="str">
        <f t="shared" si="44"/>
        <v/>
      </c>
    </row>
    <row r="2804" spans="9:10">
      <c r="I2804" t="str">
        <f>_xlfn.IFNA(VLOOKUP(B2804,T_DistName[],3,FALSE),"")</f>
        <v/>
      </c>
      <c r="J2804" t="str">
        <f t="shared" si="44"/>
        <v/>
      </c>
    </row>
    <row r="2805" spans="9:10">
      <c r="I2805" t="str">
        <f>_xlfn.IFNA(VLOOKUP(B2805,T_DistName[],3,FALSE),"")</f>
        <v/>
      </c>
      <c r="J2805" t="str">
        <f t="shared" si="44"/>
        <v/>
      </c>
    </row>
    <row r="2806" spans="9:10">
      <c r="I2806" t="str">
        <f>_xlfn.IFNA(VLOOKUP(B2806,T_DistName[],3,FALSE),"")</f>
        <v/>
      </c>
      <c r="J2806" t="str">
        <f t="shared" si="44"/>
        <v/>
      </c>
    </row>
    <row r="2807" spans="9:10">
      <c r="I2807" t="str">
        <f>_xlfn.IFNA(VLOOKUP(B2807,T_DistName[],3,FALSE),"")</f>
        <v/>
      </c>
      <c r="J2807" t="str">
        <f t="shared" si="44"/>
        <v/>
      </c>
    </row>
    <row r="2808" spans="9:10">
      <c r="I2808" t="str">
        <f>_xlfn.IFNA(VLOOKUP(B2808,T_DistName[],3,FALSE),"")</f>
        <v/>
      </c>
      <c r="J2808" t="str">
        <f t="shared" si="44"/>
        <v/>
      </c>
    </row>
    <row r="2809" spans="9:10">
      <c r="I2809" t="str">
        <f>_xlfn.IFNA(VLOOKUP(B2809,T_DistName[],3,FALSE),"")</f>
        <v/>
      </c>
      <c r="J2809" t="str">
        <f t="shared" si="44"/>
        <v/>
      </c>
    </row>
    <row r="2810" spans="9:10">
      <c r="I2810" t="str">
        <f>_xlfn.IFNA(VLOOKUP(B2810,T_DistName[],3,FALSE),"")</f>
        <v/>
      </c>
      <c r="J2810" t="str">
        <f t="shared" si="44"/>
        <v/>
      </c>
    </row>
    <row r="2811" spans="9:10">
      <c r="I2811" t="str">
        <f>_xlfn.IFNA(VLOOKUP(B2811,T_DistName[],3,FALSE),"")</f>
        <v/>
      </c>
      <c r="J2811" t="str">
        <f t="shared" si="44"/>
        <v/>
      </c>
    </row>
    <row r="2812" spans="9:10">
      <c r="I2812" t="str">
        <f>_xlfn.IFNA(VLOOKUP(B2812,T_DistName[],3,FALSE),"")</f>
        <v/>
      </c>
      <c r="J2812" t="str">
        <f t="shared" si="44"/>
        <v/>
      </c>
    </row>
    <row r="2813" spans="9:10">
      <c r="I2813" t="str">
        <f>_xlfn.IFNA(VLOOKUP(B2813,T_DistName[],3,FALSE),"")</f>
        <v/>
      </c>
      <c r="J2813" t="str">
        <f t="shared" si="44"/>
        <v/>
      </c>
    </row>
    <row r="2814" spans="9:10">
      <c r="I2814" t="str">
        <f>_xlfn.IFNA(VLOOKUP(B2814,T_DistName[],3,FALSE),"")</f>
        <v/>
      </c>
      <c r="J2814" t="str">
        <f t="shared" si="44"/>
        <v/>
      </c>
    </row>
    <row r="2815" spans="9:10">
      <c r="I2815" t="str">
        <f>_xlfn.IFNA(VLOOKUP(B2815,T_DistName[],3,FALSE),"")</f>
        <v/>
      </c>
      <c r="J2815" t="str">
        <f t="shared" si="44"/>
        <v/>
      </c>
    </row>
    <row r="2816" spans="9:10">
      <c r="I2816" t="str">
        <f>_xlfn.IFNA(VLOOKUP(B2816,T_DistName[],3,FALSE),"")</f>
        <v/>
      </c>
      <c r="J2816" t="str">
        <f t="shared" si="44"/>
        <v/>
      </c>
    </row>
    <row r="2817" spans="9:10">
      <c r="I2817" t="str">
        <f>_xlfn.IFNA(VLOOKUP(B2817,T_DistName[],3,FALSE),"")</f>
        <v/>
      </c>
      <c r="J2817" t="str">
        <f t="shared" si="44"/>
        <v/>
      </c>
    </row>
    <row r="2818" spans="9:10">
      <c r="I2818" t="str">
        <f>_xlfn.IFNA(VLOOKUP(B2818,T_DistName[],3,FALSE),"")</f>
        <v/>
      </c>
      <c r="J2818" t="str">
        <f t="shared" si="44"/>
        <v/>
      </c>
    </row>
    <row r="2819" spans="9:10">
      <c r="I2819" t="str">
        <f>_xlfn.IFNA(VLOOKUP(B2819,T_DistName[],3,FALSE),"")</f>
        <v/>
      </c>
      <c r="J2819" t="str">
        <f t="shared" si="44"/>
        <v/>
      </c>
    </row>
    <row r="2820" spans="9:10">
      <c r="I2820" t="str">
        <f>_xlfn.IFNA(VLOOKUP(B2820,T_DistName[],3,FALSE),"")</f>
        <v/>
      </c>
      <c r="J2820" t="str">
        <f t="shared" si="44"/>
        <v/>
      </c>
    </row>
    <row r="2821" spans="9:10">
      <c r="I2821" t="str">
        <f>_xlfn.IFNA(VLOOKUP(B2821,T_DistName[],3,FALSE),"")</f>
        <v/>
      </c>
      <c r="J2821" t="str">
        <f t="shared" si="44"/>
        <v/>
      </c>
    </row>
    <row r="2822" spans="9:10">
      <c r="I2822" t="str">
        <f>_xlfn.IFNA(VLOOKUP(B2822,T_DistName[],3,FALSE),"")</f>
        <v/>
      </c>
      <c r="J2822" t="str">
        <f t="shared" si="44"/>
        <v/>
      </c>
    </row>
    <row r="2823" spans="9:10">
      <c r="I2823" t="str">
        <f>_xlfn.IFNA(VLOOKUP(B2823,T_DistName[],3,FALSE),"")</f>
        <v/>
      </c>
      <c r="J2823" t="str">
        <f t="shared" si="44"/>
        <v/>
      </c>
    </row>
    <row r="2824" spans="9:10">
      <c r="I2824" t="str">
        <f>_xlfn.IFNA(VLOOKUP(B2824,T_DistName[],3,FALSE),"")</f>
        <v/>
      </c>
      <c r="J2824" t="str">
        <f t="shared" si="44"/>
        <v/>
      </c>
    </row>
    <row r="2825" spans="9:10">
      <c r="I2825" t="str">
        <f>_xlfn.IFNA(VLOOKUP(B2825,T_DistName[],3,FALSE),"")</f>
        <v/>
      </c>
      <c r="J2825" t="str">
        <f t="shared" si="44"/>
        <v/>
      </c>
    </row>
    <row r="2826" spans="9:10">
      <c r="I2826" t="str">
        <f>_xlfn.IFNA(VLOOKUP(B2826,T_DistName[],3,FALSE),"")</f>
        <v/>
      </c>
      <c r="J2826" t="str">
        <f t="shared" si="44"/>
        <v/>
      </c>
    </row>
    <row r="2827" spans="9:10">
      <c r="I2827" t="str">
        <f>_xlfn.IFNA(VLOOKUP(B2827,T_DistName[],3,FALSE),"")</f>
        <v/>
      </c>
      <c r="J2827" t="str">
        <f t="shared" si="44"/>
        <v/>
      </c>
    </row>
    <row r="2828" spans="9:10">
      <c r="I2828" t="str">
        <f>_xlfn.IFNA(VLOOKUP(B2828,T_DistName[],3,FALSE),"")</f>
        <v/>
      </c>
      <c r="J2828" t="str">
        <f t="shared" si="44"/>
        <v/>
      </c>
    </row>
    <row r="2829" spans="9:10">
      <c r="I2829" t="str">
        <f>_xlfn.IFNA(VLOOKUP(B2829,T_DistName[],3,FALSE),"")</f>
        <v/>
      </c>
      <c r="J2829" t="str">
        <f t="shared" si="44"/>
        <v/>
      </c>
    </row>
    <row r="2830" spans="9:10">
      <c r="I2830" t="str">
        <f>_xlfn.IFNA(VLOOKUP(B2830,T_DistName[],3,FALSE),"")</f>
        <v/>
      </c>
      <c r="J2830" t="str">
        <f t="shared" si="44"/>
        <v/>
      </c>
    </row>
    <row r="2831" spans="9:10">
      <c r="I2831" t="str">
        <f>_xlfn.IFNA(VLOOKUP(B2831,T_DistName[],3,FALSE),"")</f>
        <v/>
      </c>
      <c r="J2831" t="str">
        <f t="shared" si="44"/>
        <v/>
      </c>
    </row>
    <row r="2832" spans="9:10">
      <c r="I2832" t="str">
        <f>_xlfn.IFNA(VLOOKUP(B2832,T_DistName[],3,FALSE),"")</f>
        <v/>
      </c>
      <c r="J2832" t="str">
        <f t="shared" si="44"/>
        <v/>
      </c>
    </row>
    <row r="2833" spans="9:10">
      <c r="I2833" t="str">
        <f>_xlfn.IFNA(VLOOKUP(B2833,T_DistName[],3,FALSE),"")</f>
        <v/>
      </c>
      <c r="J2833" t="str">
        <f t="shared" si="44"/>
        <v/>
      </c>
    </row>
    <row r="2834" spans="9:10">
      <c r="I2834" t="str">
        <f>_xlfn.IFNA(VLOOKUP(B2834,T_DistName[],3,FALSE),"")</f>
        <v/>
      </c>
      <c r="J2834" t="str">
        <f t="shared" si="44"/>
        <v/>
      </c>
    </row>
    <row r="2835" spans="9:10">
      <c r="I2835" t="str">
        <f>_xlfn.IFNA(VLOOKUP(B2835,T_DistName[],3,FALSE),"")</f>
        <v/>
      </c>
      <c r="J2835" t="str">
        <f t="shared" si="44"/>
        <v/>
      </c>
    </row>
    <row r="2836" spans="9:10">
      <c r="I2836" t="str">
        <f>_xlfn.IFNA(VLOOKUP(B2836,T_DistName[],3,FALSE),"")</f>
        <v/>
      </c>
      <c r="J2836" t="str">
        <f t="shared" si="44"/>
        <v/>
      </c>
    </row>
    <row r="2837" spans="9:10">
      <c r="I2837" t="str">
        <f>_xlfn.IFNA(VLOOKUP(B2837,T_DistName[],3,FALSE),"")</f>
        <v/>
      </c>
      <c r="J2837" t="str">
        <f t="shared" si="44"/>
        <v/>
      </c>
    </row>
    <row r="2838" spans="9:10">
      <c r="I2838" t="str">
        <f>_xlfn.IFNA(VLOOKUP(B2838,T_DistName[],3,FALSE),"")</f>
        <v/>
      </c>
      <c r="J2838" t="str">
        <f t="shared" si="44"/>
        <v/>
      </c>
    </row>
    <row r="2839" spans="9:10">
      <c r="I2839" t="str">
        <f>_xlfn.IFNA(VLOOKUP(B2839,T_DistName[],3,FALSE),"")</f>
        <v/>
      </c>
      <c r="J2839" t="str">
        <f t="shared" si="44"/>
        <v/>
      </c>
    </row>
    <row r="2840" spans="9:10">
      <c r="I2840" t="str">
        <f>_xlfn.IFNA(VLOOKUP(B2840,T_DistName[],3,FALSE),"")</f>
        <v/>
      </c>
      <c r="J2840" t="str">
        <f t="shared" si="44"/>
        <v/>
      </c>
    </row>
    <row r="2841" spans="9:10">
      <c r="I2841" t="str">
        <f>_xlfn.IFNA(VLOOKUP(B2841,T_DistName[],3,FALSE),"")</f>
        <v/>
      </c>
      <c r="J2841" t="str">
        <f t="shared" ref="J2841:J2904" si="45">I2841&amp;F2841</f>
        <v/>
      </c>
    </row>
    <row r="2842" spans="9:10">
      <c r="I2842" t="str">
        <f>_xlfn.IFNA(VLOOKUP(B2842,T_DistName[],3,FALSE),"")</f>
        <v/>
      </c>
      <c r="J2842" t="str">
        <f t="shared" si="45"/>
        <v/>
      </c>
    </row>
    <row r="2843" spans="9:10">
      <c r="I2843" t="str">
        <f>_xlfn.IFNA(VLOOKUP(B2843,T_DistName[],3,FALSE),"")</f>
        <v/>
      </c>
      <c r="J2843" t="str">
        <f t="shared" si="45"/>
        <v/>
      </c>
    </row>
    <row r="2844" spans="9:10">
      <c r="I2844" t="str">
        <f>_xlfn.IFNA(VLOOKUP(B2844,T_DistName[],3,FALSE),"")</f>
        <v/>
      </c>
      <c r="J2844" t="str">
        <f t="shared" si="45"/>
        <v/>
      </c>
    </row>
    <row r="2845" spans="9:10">
      <c r="I2845" t="str">
        <f>_xlfn.IFNA(VLOOKUP(B2845,T_DistName[],3,FALSE),"")</f>
        <v/>
      </c>
      <c r="J2845" t="str">
        <f t="shared" si="45"/>
        <v/>
      </c>
    </row>
    <row r="2846" spans="9:10">
      <c r="I2846" t="str">
        <f>_xlfn.IFNA(VLOOKUP(B2846,T_DistName[],3,FALSE),"")</f>
        <v/>
      </c>
      <c r="J2846" t="str">
        <f t="shared" si="45"/>
        <v/>
      </c>
    </row>
    <row r="2847" spans="9:10">
      <c r="I2847" t="str">
        <f>_xlfn.IFNA(VLOOKUP(B2847,T_DistName[],3,FALSE),"")</f>
        <v/>
      </c>
      <c r="J2847" t="str">
        <f t="shared" si="45"/>
        <v/>
      </c>
    </row>
    <row r="2848" spans="9:10">
      <c r="I2848" t="str">
        <f>_xlfn.IFNA(VLOOKUP(B2848,T_DistName[],3,FALSE),"")</f>
        <v/>
      </c>
      <c r="J2848" t="str">
        <f t="shared" si="45"/>
        <v/>
      </c>
    </row>
    <row r="2849" spans="9:10">
      <c r="I2849" t="str">
        <f>_xlfn.IFNA(VLOOKUP(B2849,T_DistName[],3,FALSE),"")</f>
        <v/>
      </c>
      <c r="J2849" t="str">
        <f t="shared" si="45"/>
        <v/>
      </c>
    </row>
    <row r="2850" spans="9:10">
      <c r="I2850" t="str">
        <f>_xlfn.IFNA(VLOOKUP(B2850,T_DistName[],3,FALSE),"")</f>
        <v/>
      </c>
      <c r="J2850" t="str">
        <f t="shared" si="45"/>
        <v/>
      </c>
    </row>
    <row r="2851" spans="9:10">
      <c r="I2851" t="str">
        <f>_xlfn.IFNA(VLOOKUP(B2851,T_DistName[],3,FALSE),"")</f>
        <v/>
      </c>
      <c r="J2851" t="str">
        <f t="shared" si="45"/>
        <v/>
      </c>
    </row>
    <row r="2852" spans="9:10">
      <c r="I2852" t="str">
        <f>_xlfn.IFNA(VLOOKUP(B2852,T_DistName[],3,FALSE),"")</f>
        <v/>
      </c>
      <c r="J2852" t="str">
        <f t="shared" si="45"/>
        <v/>
      </c>
    </row>
    <row r="2853" spans="9:10">
      <c r="I2853" t="str">
        <f>_xlfn.IFNA(VLOOKUP(B2853,T_DistName[],3,FALSE),"")</f>
        <v/>
      </c>
      <c r="J2853" t="str">
        <f t="shared" si="45"/>
        <v/>
      </c>
    </row>
    <row r="2854" spans="9:10">
      <c r="I2854" t="str">
        <f>_xlfn.IFNA(VLOOKUP(B2854,T_DistName[],3,FALSE),"")</f>
        <v/>
      </c>
      <c r="J2854" t="str">
        <f t="shared" si="45"/>
        <v/>
      </c>
    </row>
    <row r="2855" spans="9:10">
      <c r="I2855" t="str">
        <f>_xlfn.IFNA(VLOOKUP(B2855,T_DistName[],3,FALSE),"")</f>
        <v/>
      </c>
      <c r="J2855" t="str">
        <f t="shared" si="45"/>
        <v/>
      </c>
    </row>
    <row r="2856" spans="9:10">
      <c r="I2856" t="str">
        <f>_xlfn.IFNA(VLOOKUP(B2856,T_DistName[],3,FALSE),"")</f>
        <v/>
      </c>
      <c r="J2856" t="str">
        <f t="shared" si="45"/>
        <v/>
      </c>
    </row>
    <row r="2857" spans="9:10">
      <c r="I2857" t="str">
        <f>_xlfn.IFNA(VLOOKUP(B2857,T_DistName[],3,FALSE),"")</f>
        <v/>
      </c>
      <c r="J2857" t="str">
        <f t="shared" si="45"/>
        <v/>
      </c>
    </row>
    <row r="2858" spans="9:10">
      <c r="I2858" t="str">
        <f>_xlfn.IFNA(VLOOKUP(B2858,T_DistName[],3,FALSE),"")</f>
        <v/>
      </c>
      <c r="J2858" t="str">
        <f t="shared" si="45"/>
        <v/>
      </c>
    </row>
    <row r="2859" spans="9:10">
      <c r="I2859" t="str">
        <f>_xlfn.IFNA(VLOOKUP(B2859,T_DistName[],3,FALSE),"")</f>
        <v/>
      </c>
      <c r="J2859" t="str">
        <f t="shared" si="45"/>
        <v/>
      </c>
    </row>
    <row r="2860" spans="9:10">
      <c r="I2860" t="str">
        <f>_xlfn.IFNA(VLOOKUP(B2860,T_DistName[],3,FALSE),"")</f>
        <v/>
      </c>
      <c r="J2860" t="str">
        <f t="shared" si="45"/>
        <v/>
      </c>
    </row>
    <row r="2861" spans="9:10">
      <c r="I2861" t="str">
        <f>_xlfn.IFNA(VLOOKUP(B2861,T_DistName[],3,FALSE),"")</f>
        <v/>
      </c>
      <c r="J2861" t="str">
        <f t="shared" si="45"/>
        <v/>
      </c>
    </row>
    <row r="2862" spans="9:10">
      <c r="I2862" t="str">
        <f>_xlfn.IFNA(VLOOKUP(B2862,T_DistName[],3,FALSE),"")</f>
        <v/>
      </c>
      <c r="J2862" t="str">
        <f t="shared" si="45"/>
        <v/>
      </c>
    </row>
    <row r="2863" spans="9:10">
      <c r="I2863" t="str">
        <f>_xlfn.IFNA(VLOOKUP(B2863,T_DistName[],3,FALSE),"")</f>
        <v/>
      </c>
      <c r="J2863" t="str">
        <f t="shared" si="45"/>
        <v/>
      </c>
    </row>
    <row r="2864" spans="9:10">
      <c r="I2864" t="str">
        <f>_xlfn.IFNA(VLOOKUP(B2864,T_DistName[],3,FALSE),"")</f>
        <v/>
      </c>
      <c r="J2864" t="str">
        <f t="shared" si="45"/>
        <v/>
      </c>
    </row>
    <row r="2865" spans="9:10">
      <c r="I2865" t="str">
        <f>_xlfn.IFNA(VLOOKUP(B2865,T_DistName[],3,FALSE),"")</f>
        <v/>
      </c>
      <c r="J2865" t="str">
        <f t="shared" si="45"/>
        <v/>
      </c>
    </row>
    <row r="2866" spans="9:10">
      <c r="I2866" t="str">
        <f>_xlfn.IFNA(VLOOKUP(B2866,T_DistName[],3,FALSE),"")</f>
        <v/>
      </c>
      <c r="J2866" t="str">
        <f t="shared" si="45"/>
        <v/>
      </c>
    </row>
    <row r="2867" spans="9:10">
      <c r="I2867" t="str">
        <f>_xlfn.IFNA(VLOOKUP(B2867,T_DistName[],3,FALSE),"")</f>
        <v/>
      </c>
      <c r="J2867" t="str">
        <f t="shared" si="45"/>
        <v/>
      </c>
    </row>
    <row r="2868" spans="9:10">
      <c r="I2868" t="str">
        <f>_xlfn.IFNA(VLOOKUP(B2868,T_DistName[],3,FALSE),"")</f>
        <v/>
      </c>
      <c r="J2868" t="str">
        <f t="shared" si="45"/>
        <v/>
      </c>
    </row>
    <row r="2869" spans="9:10">
      <c r="I2869" t="str">
        <f>_xlfn.IFNA(VLOOKUP(B2869,T_DistName[],3,FALSE),"")</f>
        <v/>
      </c>
      <c r="J2869" t="str">
        <f t="shared" si="45"/>
        <v/>
      </c>
    </row>
    <row r="2870" spans="9:10">
      <c r="I2870" t="str">
        <f>_xlfn.IFNA(VLOOKUP(B2870,T_DistName[],3,FALSE),"")</f>
        <v/>
      </c>
      <c r="J2870" t="str">
        <f t="shared" si="45"/>
        <v/>
      </c>
    </row>
    <row r="2871" spans="9:10">
      <c r="I2871" t="str">
        <f>_xlfn.IFNA(VLOOKUP(B2871,T_DistName[],3,FALSE),"")</f>
        <v/>
      </c>
      <c r="J2871" t="str">
        <f t="shared" si="45"/>
        <v/>
      </c>
    </row>
    <row r="2872" spans="9:10">
      <c r="I2872" t="str">
        <f>_xlfn.IFNA(VLOOKUP(B2872,T_DistName[],3,FALSE),"")</f>
        <v/>
      </c>
      <c r="J2872" t="str">
        <f t="shared" si="45"/>
        <v/>
      </c>
    </row>
    <row r="2873" spans="9:10">
      <c r="I2873" t="str">
        <f>_xlfn.IFNA(VLOOKUP(B2873,T_DistName[],3,FALSE),"")</f>
        <v/>
      </c>
      <c r="J2873" t="str">
        <f t="shared" si="45"/>
        <v/>
      </c>
    </row>
    <row r="2874" spans="9:10">
      <c r="I2874" t="str">
        <f>_xlfn.IFNA(VLOOKUP(B2874,T_DistName[],3,FALSE),"")</f>
        <v/>
      </c>
      <c r="J2874" t="str">
        <f t="shared" si="45"/>
        <v/>
      </c>
    </row>
    <row r="2875" spans="9:10">
      <c r="I2875" t="str">
        <f>_xlfn.IFNA(VLOOKUP(B2875,T_DistName[],3,FALSE),"")</f>
        <v/>
      </c>
      <c r="J2875" t="str">
        <f t="shared" si="45"/>
        <v/>
      </c>
    </row>
    <row r="2876" spans="9:10">
      <c r="I2876" t="str">
        <f>_xlfn.IFNA(VLOOKUP(B2876,T_DistName[],3,FALSE),"")</f>
        <v/>
      </c>
      <c r="J2876" t="str">
        <f t="shared" si="45"/>
        <v/>
      </c>
    </row>
    <row r="2877" spans="9:10">
      <c r="I2877" t="str">
        <f>_xlfn.IFNA(VLOOKUP(B2877,T_DistName[],3,FALSE),"")</f>
        <v/>
      </c>
      <c r="J2877" t="str">
        <f t="shared" si="45"/>
        <v/>
      </c>
    </row>
    <row r="2878" spans="9:10">
      <c r="I2878" t="str">
        <f>_xlfn.IFNA(VLOOKUP(B2878,T_DistName[],3,FALSE),"")</f>
        <v/>
      </c>
      <c r="J2878" t="str">
        <f t="shared" si="45"/>
        <v/>
      </c>
    </row>
    <row r="2879" spans="9:10">
      <c r="I2879" t="str">
        <f>_xlfn.IFNA(VLOOKUP(B2879,T_DistName[],3,FALSE),"")</f>
        <v/>
      </c>
      <c r="J2879" t="str">
        <f t="shared" si="45"/>
        <v/>
      </c>
    </row>
    <row r="2880" spans="9:10">
      <c r="I2880" t="str">
        <f>_xlfn.IFNA(VLOOKUP(B2880,T_DistName[],3,FALSE),"")</f>
        <v/>
      </c>
      <c r="J2880" t="str">
        <f t="shared" si="45"/>
        <v/>
      </c>
    </row>
    <row r="2881" spans="9:10">
      <c r="I2881" t="str">
        <f>_xlfn.IFNA(VLOOKUP(B2881,T_DistName[],3,FALSE),"")</f>
        <v/>
      </c>
      <c r="J2881" t="str">
        <f t="shared" si="45"/>
        <v/>
      </c>
    </row>
    <row r="2882" spans="9:10">
      <c r="I2882" t="str">
        <f>_xlfn.IFNA(VLOOKUP(B2882,T_DistName[],3,FALSE),"")</f>
        <v/>
      </c>
      <c r="J2882" t="str">
        <f t="shared" si="45"/>
        <v/>
      </c>
    </row>
    <row r="2883" spans="9:10">
      <c r="I2883" t="str">
        <f>_xlfn.IFNA(VLOOKUP(B2883,T_DistName[],3,FALSE),"")</f>
        <v/>
      </c>
      <c r="J2883" t="str">
        <f t="shared" si="45"/>
        <v/>
      </c>
    </row>
    <row r="2884" spans="9:10">
      <c r="I2884" t="str">
        <f>_xlfn.IFNA(VLOOKUP(B2884,T_DistName[],3,FALSE),"")</f>
        <v/>
      </c>
      <c r="J2884" t="str">
        <f t="shared" si="45"/>
        <v/>
      </c>
    </row>
    <row r="2885" spans="9:10">
      <c r="I2885" t="str">
        <f>_xlfn.IFNA(VLOOKUP(B2885,T_DistName[],3,FALSE),"")</f>
        <v/>
      </c>
      <c r="J2885" t="str">
        <f t="shared" si="45"/>
        <v/>
      </c>
    </row>
    <row r="2886" spans="9:10">
      <c r="I2886" t="str">
        <f>_xlfn.IFNA(VLOOKUP(B2886,T_DistName[],3,FALSE),"")</f>
        <v/>
      </c>
      <c r="J2886" t="str">
        <f t="shared" si="45"/>
        <v/>
      </c>
    </row>
    <row r="2887" spans="9:10">
      <c r="I2887" t="str">
        <f>_xlfn.IFNA(VLOOKUP(B2887,T_DistName[],3,FALSE),"")</f>
        <v/>
      </c>
      <c r="J2887" t="str">
        <f t="shared" si="45"/>
        <v/>
      </c>
    </row>
    <row r="2888" spans="9:10">
      <c r="I2888" t="str">
        <f>_xlfn.IFNA(VLOOKUP(B2888,T_DistName[],3,FALSE),"")</f>
        <v/>
      </c>
      <c r="J2888" t="str">
        <f t="shared" si="45"/>
        <v/>
      </c>
    </row>
    <row r="2889" spans="9:10">
      <c r="I2889" t="str">
        <f>_xlfn.IFNA(VLOOKUP(B2889,T_DistName[],3,FALSE),"")</f>
        <v/>
      </c>
      <c r="J2889" t="str">
        <f t="shared" si="45"/>
        <v/>
      </c>
    </row>
    <row r="2890" spans="9:10">
      <c r="I2890" t="str">
        <f>_xlfn.IFNA(VLOOKUP(B2890,T_DistName[],3,FALSE),"")</f>
        <v/>
      </c>
      <c r="J2890" t="str">
        <f t="shared" si="45"/>
        <v/>
      </c>
    </row>
    <row r="2891" spans="9:10">
      <c r="I2891" t="str">
        <f>_xlfn.IFNA(VLOOKUP(B2891,T_DistName[],3,FALSE),"")</f>
        <v/>
      </c>
      <c r="J2891" t="str">
        <f t="shared" si="45"/>
        <v/>
      </c>
    </row>
    <row r="2892" spans="9:10">
      <c r="I2892" t="str">
        <f>_xlfn.IFNA(VLOOKUP(B2892,T_DistName[],3,FALSE),"")</f>
        <v/>
      </c>
      <c r="J2892" t="str">
        <f t="shared" si="45"/>
        <v/>
      </c>
    </row>
    <row r="2893" spans="9:10">
      <c r="I2893" t="str">
        <f>_xlfn.IFNA(VLOOKUP(B2893,T_DistName[],3,FALSE),"")</f>
        <v/>
      </c>
      <c r="J2893" t="str">
        <f t="shared" si="45"/>
        <v/>
      </c>
    </row>
    <row r="2894" spans="9:10">
      <c r="I2894" t="str">
        <f>_xlfn.IFNA(VLOOKUP(B2894,T_DistName[],3,FALSE),"")</f>
        <v/>
      </c>
      <c r="J2894" t="str">
        <f t="shared" si="45"/>
        <v/>
      </c>
    </row>
    <row r="2895" spans="9:10">
      <c r="I2895" t="str">
        <f>_xlfn.IFNA(VLOOKUP(B2895,T_DistName[],3,FALSE),"")</f>
        <v/>
      </c>
      <c r="J2895" t="str">
        <f t="shared" si="45"/>
        <v/>
      </c>
    </row>
    <row r="2896" spans="9:10">
      <c r="I2896" t="str">
        <f>_xlfn.IFNA(VLOOKUP(B2896,T_DistName[],3,FALSE),"")</f>
        <v/>
      </c>
      <c r="J2896" t="str">
        <f t="shared" si="45"/>
        <v/>
      </c>
    </row>
    <row r="2897" spans="9:10">
      <c r="I2897" t="str">
        <f>_xlfn.IFNA(VLOOKUP(B2897,T_DistName[],3,FALSE),"")</f>
        <v/>
      </c>
      <c r="J2897" t="str">
        <f t="shared" si="45"/>
        <v/>
      </c>
    </row>
    <row r="2898" spans="9:10">
      <c r="I2898" t="str">
        <f>_xlfn.IFNA(VLOOKUP(B2898,T_DistName[],3,FALSE),"")</f>
        <v/>
      </c>
      <c r="J2898" t="str">
        <f t="shared" si="45"/>
        <v/>
      </c>
    </row>
    <row r="2899" spans="9:10">
      <c r="I2899" t="str">
        <f>_xlfn.IFNA(VLOOKUP(B2899,T_DistName[],3,FALSE),"")</f>
        <v/>
      </c>
      <c r="J2899" t="str">
        <f t="shared" si="45"/>
        <v/>
      </c>
    </row>
    <row r="2900" spans="9:10">
      <c r="I2900" t="str">
        <f>_xlfn.IFNA(VLOOKUP(B2900,T_DistName[],3,FALSE),"")</f>
        <v/>
      </c>
      <c r="J2900" t="str">
        <f t="shared" si="45"/>
        <v/>
      </c>
    </row>
    <row r="2901" spans="9:10">
      <c r="I2901" t="str">
        <f>_xlfn.IFNA(VLOOKUP(B2901,T_DistName[],3,FALSE),"")</f>
        <v/>
      </c>
      <c r="J2901" t="str">
        <f t="shared" si="45"/>
        <v/>
      </c>
    </row>
    <row r="2902" spans="9:10">
      <c r="I2902" t="str">
        <f>_xlfn.IFNA(VLOOKUP(B2902,T_DistName[],3,FALSE),"")</f>
        <v/>
      </c>
      <c r="J2902" t="str">
        <f t="shared" si="45"/>
        <v/>
      </c>
    </row>
    <row r="2903" spans="9:10">
      <c r="I2903" t="str">
        <f>_xlfn.IFNA(VLOOKUP(B2903,T_DistName[],3,FALSE),"")</f>
        <v/>
      </c>
      <c r="J2903" t="str">
        <f t="shared" si="45"/>
        <v/>
      </c>
    </row>
    <row r="2904" spans="9:10">
      <c r="I2904" t="str">
        <f>_xlfn.IFNA(VLOOKUP(B2904,T_DistName[],3,FALSE),"")</f>
        <v/>
      </c>
      <c r="J2904" t="str">
        <f t="shared" si="45"/>
        <v/>
      </c>
    </row>
    <row r="2905" spans="9:10">
      <c r="I2905" t="str">
        <f>_xlfn.IFNA(VLOOKUP(B2905,T_DistName[],3,FALSE),"")</f>
        <v/>
      </c>
      <c r="J2905" t="str">
        <f t="shared" ref="J2905:J2968" si="46">I2905&amp;F2905</f>
        <v/>
      </c>
    </row>
    <row r="2906" spans="9:10">
      <c r="I2906" t="str">
        <f>_xlfn.IFNA(VLOOKUP(B2906,T_DistName[],3,FALSE),"")</f>
        <v/>
      </c>
      <c r="J2906" t="str">
        <f t="shared" si="46"/>
        <v/>
      </c>
    </row>
    <row r="2907" spans="9:10">
      <c r="I2907" t="str">
        <f>_xlfn.IFNA(VLOOKUP(B2907,T_DistName[],3,FALSE),"")</f>
        <v/>
      </c>
      <c r="J2907" t="str">
        <f t="shared" si="46"/>
        <v/>
      </c>
    </row>
    <row r="2908" spans="9:10">
      <c r="I2908" t="str">
        <f>_xlfn.IFNA(VLOOKUP(B2908,T_DistName[],3,FALSE),"")</f>
        <v/>
      </c>
      <c r="J2908" t="str">
        <f t="shared" si="46"/>
        <v/>
      </c>
    </row>
    <row r="2909" spans="9:10">
      <c r="I2909" t="str">
        <f>_xlfn.IFNA(VLOOKUP(B2909,T_DistName[],3,FALSE),"")</f>
        <v/>
      </c>
      <c r="J2909" t="str">
        <f t="shared" si="46"/>
        <v/>
      </c>
    </row>
    <row r="2910" spans="9:10">
      <c r="I2910" t="str">
        <f>_xlfn.IFNA(VLOOKUP(B2910,T_DistName[],3,FALSE),"")</f>
        <v/>
      </c>
      <c r="J2910" t="str">
        <f t="shared" si="46"/>
        <v/>
      </c>
    </row>
    <row r="2911" spans="9:10">
      <c r="I2911" t="str">
        <f>_xlfn.IFNA(VLOOKUP(B2911,T_DistName[],3,FALSE),"")</f>
        <v/>
      </c>
      <c r="J2911" t="str">
        <f t="shared" si="46"/>
        <v/>
      </c>
    </row>
    <row r="2912" spans="9:10">
      <c r="I2912" t="str">
        <f>_xlfn.IFNA(VLOOKUP(B2912,T_DistName[],3,FALSE),"")</f>
        <v/>
      </c>
      <c r="J2912" t="str">
        <f t="shared" si="46"/>
        <v/>
      </c>
    </row>
    <row r="2913" spans="9:10">
      <c r="I2913" t="str">
        <f>_xlfn.IFNA(VLOOKUP(B2913,T_DistName[],3,FALSE),"")</f>
        <v/>
      </c>
      <c r="J2913" t="str">
        <f t="shared" si="46"/>
        <v/>
      </c>
    </row>
    <row r="2914" spans="9:10">
      <c r="I2914" t="str">
        <f>_xlfn.IFNA(VLOOKUP(B2914,T_DistName[],3,FALSE),"")</f>
        <v/>
      </c>
      <c r="J2914" t="str">
        <f t="shared" si="46"/>
        <v/>
      </c>
    </row>
    <row r="2915" spans="9:10">
      <c r="I2915" t="str">
        <f>_xlfn.IFNA(VLOOKUP(B2915,T_DistName[],3,FALSE),"")</f>
        <v/>
      </c>
      <c r="J2915" t="str">
        <f t="shared" si="46"/>
        <v/>
      </c>
    </row>
    <row r="2916" spans="9:10">
      <c r="I2916" t="str">
        <f>_xlfn.IFNA(VLOOKUP(B2916,T_DistName[],3,FALSE),"")</f>
        <v/>
      </c>
      <c r="J2916" t="str">
        <f t="shared" si="46"/>
        <v/>
      </c>
    </row>
    <row r="2917" spans="9:10">
      <c r="I2917" t="str">
        <f>_xlfn.IFNA(VLOOKUP(B2917,T_DistName[],3,FALSE),"")</f>
        <v/>
      </c>
      <c r="J2917" t="str">
        <f t="shared" si="46"/>
        <v/>
      </c>
    </row>
    <row r="2918" spans="9:10">
      <c r="I2918" t="str">
        <f>_xlfn.IFNA(VLOOKUP(B2918,T_DistName[],3,FALSE),"")</f>
        <v/>
      </c>
      <c r="J2918" t="str">
        <f t="shared" si="46"/>
        <v/>
      </c>
    </row>
    <row r="2919" spans="9:10">
      <c r="I2919" t="str">
        <f>_xlfn.IFNA(VLOOKUP(B2919,T_DistName[],3,FALSE),"")</f>
        <v/>
      </c>
      <c r="J2919" t="str">
        <f t="shared" si="46"/>
        <v/>
      </c>
    </row>
    <row r="2920" spans="9:10">
      <c r="I2920" t="str">
        <f>_xlfn.IFNA(VLOOKUP(B2920,T_DistName[],3,FALSE),"")</f>
        <v/>
      </c>
      <c r="J2920" t="str">
        <f t="shared" si="46"/>
        <v/>
      </c>
    </row>
    <row r="2921" spans="9:10">
      <c r="I2921" t="str">
        <f>_xlfn.IFNA(VLOOKUP(B2921,T_DistName[],3,FALSE),"")</f>
        <v/>
      </c>
      <c r="J2921" t="str">
        <f t="shared" si="46"/>
        <v/>
      </c>
    </row>
    <row r="2922" spans="9:10">
      <c r="I2922" t="str">
        <f>_xlfn.IFNA(VLOOKUP(B2922,T_DistName[],3,FALSE),"")</f>
        <v/>
      </c>
      <c r="J2922" t="str">
        <f t="shared" si="46"/>
        <v/>
      </c>
    </row>
    <row r="2923" spans="9:10">
      <c r="I2923" t="str">
        <f>_xlfn.IFNA(VLOOKUP(B2923,T_DistName[],3,FALSE),"")</f>
        <v/>
      </c>
      <c r="J2923" t="str">
        <f t="shared" si="46"/>
        <v/>
      </c>
    </row>
    <row r="2924" spans="9:10">
      <c r="I2924" t="str">
        <f>_xlfn.IFNA(VLOOKUP(B2924,T_DistName[],3,FALSE),"")</f>
        <v/>
      </c>
      <c r="J2924" t="str">
        <f t="shared" si="46"/>
        <v/>
      </c>
    </row>
    <row r="2925" spans="9:10">
      <c r="I2925" t="str">
        <f>_xlfn.IFNA(VLOOKUP(B2925,T_DistName[],3,FALSE),"")</f>
        <v/>
      </c>
      <c r="J2925" t="str">
        <f t="shared" si="46"/>
        <v/>
      </c>
    </row>
    <row r="2926" spans="9:10">
      <c r="I2926" t="str">
        <f>_xlfn.IFNA(VLOOKUP(B2926,T_DistName[],3,FALSE),"")</f>
        <v/>
      </c>
      <c r="J2926" t="str">
        <f t="shared" si="46"/>
        <v/>
      </c>
    </row>
    <row r="2927" spans="9:10">
      <c r="I2927" t="str">
        <f>_xlfn.IFNA(VLOOKUP(B2927,T_DistName[],3,FALSE),"")</f>
        <v/>
      </c>
      <c r="J2927" t="str">
        <f t="shared" si="46"/>
        <v/>
      </c>
    </row>
    <row r="2928" spans="9:10">
      <c r="I2928" t="str">
        <f>_xlfn.IFNA(VLOOKUP(B2928,T_DistName[],3,FALSE),"")</f>
        <v/>
      </c>
      <c r="J2928" t="str">
        <f t="shared" si="46"/>
        <v/>
      </c>
    </row>
    <row r="2929" spans="9:10">
      <c r="I2929" t="str">
        <f>_xlfn.IFNA(VLOOKUP(B2929,T_DistName[],3,FALSE),"")</f>
        <v/>
      </c>
      <c r="J2929" t="str">
        <f t="shared" si="46"/>
        <v/>
      </c>
    </row>
    <row r="2930" spans="9:10">
      <c r="I2930" t="str">
        <f>_xlfn.IFNA(VLOOKUP(B2930,T_DistName[],3,FALSE),"")</f>
        <v/>
      </c>
      <c r="J2930" t="str">
        <f t="shared" si="46"/>
        <v/>
      </c>
    </row>
    <row r="2931" spans="9:10">
      <c r="I2931" t="str">
        <f>_xlfn.IFNA(VLOOKUP(B2931,T_DistName[],3,FALSE),"")</f>
        <v/>
      </c>
      <c r="J2931" t="str">
        <f t="shared" si="46"/>
        <v/>
      </c>
    </row>
    <row r="2932" spans="9:10">
      <c r="I2932" t="str">
        <f>_xlfn.IFNA(VLOOKUP(B2932,T_DistName[],3,FALSE),"")</f>
        <v/>
      </c>
      <c r="J2932" t="str">
        <f t="shared" si="46"/>
        <v/>
      </c>
    </row>
    <row r="2933" spans="9:10">
      <c r="I2933" t="str">
        <f>_xlfn.IFNA(VLOOKUP(B2933,T_DistName[],3,FALSE),"")</f>
        <v/>
      </c>
      <c r="J2933" t="str">
        <f t="shared" si="46"/>
        <v/>
      </c>
    </row>
    <row r="2934" spans="9:10">
      <c r="I2934" t="str">
        <f>_xlfn.IFNA(VLOOKUP(B2934,T_DistName[],3,FALSE),"")</f>
        <v/>
      </c>
      <c r="J2934" t="str">
        <f t="shared" si="46"/>
        <v/>
      </c>
    </row>
    <row r="2935" spans="9:10">
      <c r="I2935" t="str">
        <f>_xlfn.IFNA(VLOOKUP(B2935,T_DistName[],3,FALSE),"")</f>
        <v/>
      </c>
      <c r="J2935" t="str">
        <f t="shared" si="46"/>
        <v/>
      </c>
    </row>
    <row r="2936" spans="9:10">
      <c r="I2936" t="str">
        <f>_xlfn.IFNA(VLOOKUP(B2936,T_DistName[],3,FALSE),"")</f>
        <v/>
      </c>
      <c r="J2936" t="str">
        <f t="shared" si="46"/>
        <v/>
      </c>
    </row>
    <row r="2937" spans="9:10">
      <c r="I2937" t="str">
        <f>_xlfn.IFNA(VLOOKUP(B2937,T_DistName[],3,FALSE),"")</f>
        <v/>
      </c>
      <c r="J2937" t="str">
        <f t="shared" si="46"/>
        <v/>
      </c>
    </row>
    <row r="2938" spans="9:10">
      <c r="I2938" t="str">
        <f>_xlfn.IFNA(VLOOKUP(B2938,T_DistName[],3,FALSE),"")</f>
        <v/>
      </c>
      <c r="J2938" t="str">
        <f t="shared" si="46"/>
        <v/>
      </c>
    </row>
    <row r="2939" spans="9:10">
      <c r="I2939" t="str">
        <f>_xlfn.IFNA(VLOOKUP(B2939,T_DistName[],3,FALSE),"")</f>
        <v/>
      </c>
      <c r="J2939" t="str">
        <f t="shared" si="46"/>
        <v/>
      </c>
    </row>
    <row r="2940" spans="9:10">
      <c r="I2940" t="str">
        <f>_xlfn.IFNA(VLOOKUP(B2940,T_DistName[],3,FALSE),"")</f>
        <v/>
      </c>
      <c r="J2940" t="str">
        <f t="shared" si="46"/>
        <v/>
      </c>
    </row>
    <row r="2941" spans="9:10">
      <c r="I2941" t="str">
        <f>_xlfn.IFNA(VLOOKUP(B2941,T_DistName[],3,FALSE),"")</f>
        <v/>
      </c>
      <c r="J2941" t="str">
        <f t="shared" si="46"/>
        <v/>
      </c>
    </row>
    <row r="2942" spans="9:10">
      <c r="I2942" t="str">
        <f>_xlfn.IFNA(VLOOKUP(B2942,T_DistName[],3,FALSE),"")</f>
        <v/>
      </c>
      <c r="J2942" t="str">
        <f t="shared" si="46"/>
        <v/>
      </c>
    </row>
    <row r="2943" spans="9:10">
      <c r="I2943" t="str">
        <f>_xlfn.IFNA(VLOOKUP(B2943,T_DistName[],3,FALSE),"")</f>
        <v/>
      </c>
      <c r="J2943" t="str">
        <f t="shared" si="46"/>
        <v/>
      </c>
    </row>
    <row r="2944" spans="9:10">
      <c r="I2944" t="str">
        <f>_xlfn.IFNA(VLOOKUP(B2944,T_DistName[],3,FALSE),"")</f>
        <v/>
      </c>
      <c r="J2944" t="str">
        <f t="shared" si="46"/>
        <v/>
      </c>
    </row>
    <row r="2945" spans="9:10">
      <c r="I2945" t="str">
        <f>_xlfn.IFNA(VLOOKUP(B2945,T_DistName[],3,FALSE),"")</f>
        <v/>
      </c>
      <c r="J2945" t="str">
        <f t="shared" si="46"/>
        <v/>
      </c>
    </row>
    <row r="2946" spans="9:10">
      <c r="I2946" t="str">
        <f>_xlfn.IFNA(VLOOKUP(B2946,T_DistName[],3,FALSE),"")</f>
        <v/>
      </c>
      <c r="J2946" t="str">
        <f t="shared" si="46"/>
        <v/>
      </c>
    </row>
    <row r="2947" spans="9:10">
      <c r="I2947" t="str">
        <f>_xlfn.IFNA(VLOOKUP(B2947,T_DistName[],3,FALSE),"")</f>
        <v/>
      </c>
      <c r="J2947" t="str">
        <f t="shared" si="46"/>
        <v/>
      </c>
    </row>
    <row r="2948" spans="9:10">
      <c r="I2948" t="str">
        <f>_xlfn.IFNA(VLOOKUP(B2948,T_DistName[],3,FALSE),"")</f>
        <v/>
      </c>
      <c r="J2948" t="str">
        <f t="shared" si="46"/>
        <v/>
      </c>
    </row>
    <row r="2949" spans="9:10">
      <c r="I2949" t="str">
        <f>_xlfn.IFNA(VLOOKUP(B2949,T_DistName[],3,FALSE),"")</f>
        <v/>
      </c>
      <c r="J2949" t="str">
        <f t="shared" si="46"/>
        <v/>
      </c>
    </row>
    <row r="2950" spans="9:10">
      <c r="I2950" t="str">
        <f>_xlfn.IFNA(VLOOKUP(B2950,T_DistName[],3,FALSE),"")</f>
        <v/>
      </c>
      <c r="J2950" t="str">
        <f t="shared" si="46"/>
        <v/>
      </c>
    </row>
    <row r="2951" spans="9:10">
      <c r="I2951" t="str">
        <f>_xlfn.IFNA(VLOOKUP(B2951,T_DistName[],3,FALSE),"")</f>
        <v/>
      </c>
      <c r="J2951" t="str">
        <f t="shared" si="46"/>
        <v/>
      </c>
    </row>
    <row r="2952" spans="9:10">
      <c r="I2952" t="str">
        <f>_xlfn.IFNA(VLOOKUP(B2952,T_DistName[],3,FALSE),"")</f>
        <v/>
      </c>
      <c r="J2952" t="str">
        <f t="shared" si="46"/>
        <v/>
      </c>
    </row>
    <row r="2953" spans="9:10">
      <c r="I2953" t="str">
        <f>_xlfn.IFNA(VLOOKUP(B2953,T_DistName[],3,FALSE),"")</f>
        <v/>
      </c>
      <c r="J2953" t="str">
        <f t="shared" si="46"/>
        <v/>
      </c>
    </row>
    <row r="2954" spans="9:10">
      <c r="I2954" t="str">
        <f>_xlfn.IFNA(VLOOKUP(B2954,T_DistName[],3,FALSE),"")</f>
        <v/>
      </c>
      <c r="J2954" t="str">
        <f t="shared" si="46"/>
        <v/>
      </c>
    </row>
    <row r="2955" spans="9:10">
      <c r="I2955" t="str">
        <f>_xlfn.IFNA(VLOOKUP(B2955,T_DistName[],3,FALSE),"")</f>
        <v/>
      </c>
      <c r="J2955" t="str">
        <f t="shared" si="46"/>
        <v/>
      </c>
    </row>
    <row r="2956" spans="9:10">
      <c r="I2956" t="str">
        <f>_xlfn.IFNA(VLOOKUP(B2956,T_DistName[],3,FALSE),"")</f>
        <v/>
      </c>
      <c r="J2956" t="str">
        <f t="shared" si="46"/>
        <v/>
      </c>
    </row>
    <row r="2957" spans="9:10">
      <c r="I2957" t="str">
        <f>_xlfn.IFNA(VLOOKUP(B2957,T_DistName[],3,FALSE),"")</f>
        <v/>
      </c>
      <c r="J2957" t="str">
        <f t="shared" si="46"/>
        <v/>
      </c>
    </row>
    <row r="2958" spans="9:10">
      <c r="I2958" t="str">
        <f>_xlfn.IFNA(VLOOKUP(B2958,T_DistName[],3,FALSE),"")</f>
        <v/>
      </c>
      <c r="J2958" t="str">
        <f t="shared" si="46"/>
        <v/>
      </c>
    </row>
    <row r="2959" spans="9:10">
      <c r="I2959" t="str">
        <f>_xlfn.IFNA(VLOOKUP(B2959,T_DistName[],3,FALSE),"")</f>
        <v/>
      </c>
      <c r="J2959" t="str">
        <f t="shared" si="46"/>
        <v/>
      </c>
    </row>
    <row r="2960" spans="9:10">
      <c r="I2960" t="str">
        <f>_xlfn.IFNA(VLOOKUP(B2960,T_DistName[],3,FALSE),"")</f>
        <v/>
      </c>
      <c r="J2960" t="str">
        <f t="shared" si="46"/>
        <v/>
      </c>
    </row>
    <row r="2961" spans="9:10">
      <c r="I2961" t="str">
        <f>_xlfn.IFNA(VLOOKUP(B2961,T_DistName[],3,FALSE),"")</f>
        <v/>
      </c>
      <c r="J2961" t="str">
        <f t="shared" si="46"/>
        <v/>
      </c>
    </row>
    <row r="2962" spans="9:10">
      <c r="I2962" t="str">
        <f>_xlfn.IFNA(VLOOKUP(B2962,T_DistName[],3,FALSE),"")</f>
        <v/>
      </c>
      <c r="J2962" t="str">
        <f t="shared" si="46"/>
        <v/>
      </c>
    </row>
    <row r="2963" spans="9:10">
      <c r="I2963" t="str">
        <f>_xlfn.IFNA(VLOOKUP(B2963,T_DistName[],3,FALSE),"")</f>
        <v/>
      </c>
      <c r="J2963" t="str">
        <f t="shared" si="46"/>
        <v/>
      </c>
    </row>
    <row r="2964" spans="9:10">
      <c r="I2964" t="str">
        <f>_xlfn.IFNA(VLOOKUP(B2964,T_DistName[],3,FALSE),"")</f>
        <v/>
      </c>
      <c r="J2964" t="str">
        <f t="shared" si="46"/>
        <v/>
      </c>
    </row>
    <row r="2965" spans="9:10">
      <c r="I2965" t="str">
        <f>_xlfn.IFNA(VLOOKUP(B2965,T_DistName[],3,FALSE),"")</f>
        <v/>
      </c>
      <c r="J2965" t="str">
        <f t="shared" si="46"/>
        <v/>
      </c>
    </row>
    <row r="2966" spans="9:10">
      <c r="I2966" t="str">
        <f>_xlfn.IFNA(VLOOKUP(B2966,T_DistName[],3,FALSE),"")</f>
        <v/>
      </c>
      <c r="J2966" t="str">
        <f t="shared" si="46"/>
        <v/>
      </c>
    </row>
    <row r="2967" spans="9:10">
      <c r="I2967" t="str">
        <f>_xlfn.IFNA(VLOOKUP(B2967,T_DistName[],3,FALSE),"")</f>
        <v/>
      </c>
      <c r="J2967" t="str">
        <f t="shared" si="46"/>
        <v/>
      </c>
    </row>
    <row r="2968" spans="9:10">
      <c r="I2968" t="str">
        <f>_xlfn.IFNA(VLOOKUP(B2968,T_DistName[],3,FALSE),"")</f>
        <v/>
      </c>
      <c r="J2968" t="str">
        <f t="shared" si="46"/>
        <v/>
      </c>
    </row>
    <row r="2969" spans="9:10">
      <c r="I2969" t="str">
        <f>_xlfn.IFNA(VLOOKUP(B2969,T_DistName[],3,FALSE),"")</f>
        <v/>
      </c>
      <c r="J2969" t="str">
        <f t="shared" ref="J2969:J3032" si="47">I2969&amp;F2969</f>
        <v/>
      </c>
    </row>
    <row r="2970" spans="9:10">
      <c r="I2970" t="str">
        <f>_xlfn.IFNA(VLOOKUP(B2970,T_DistName[],3,FALSE),"")</f>
        <v/>
      </c>
      <c r="J2970" t="str">
        <f t="shared" si="47"/>
        <v/>
      </c>
    </row>
    <row r="2971" spans="9:10">
      <c r="I2971" t="str">
        <f>_xlfn.IFNA(VLOOKUP(B2971,T_DistName[],3,FALSE),"")</f>
        <v/>
      </c>
      <c r="J2971" t="str">
        <f t="shared" si="47"/>
        <v/>
      </c>
    </row>
    <row r="2972" spans="9:10">
      <c r="I2972" t="str">
        <f>_xlfn.IFNA(VLOOKUP(B2972,T_DistName[],3,FALSE),"")</f>
        <v/>
      </c>
      <c r="J2972" t="str">
        <f t="shared" si="47"/>
        <v/>
      </c>
    </row>
    <row r="2973" spans="9:10">
      <c r="I2973" t="str">
        <f>_xlfn.IFNA(VLOOKUP(B2973,T_DistName[],3,FALSE),"")</f>
        <v/>
      </c>
      <c r="J2973" t="str">
        <f t="shared" si="47"/>
        <v/>
      </c>
    </row>
    <row r="2974" spans="9:10">
      <c r="I2974" t="str">
        <f>_xlfn.IFNA(VLOOKUP(B2974,T_DistName[],3,FALSE),"")</f>
        <v/>
      </c>
      <c r="J2974" t="str">
        <f t="shared" si="47"/>
        <v/>
      </c>
    </row>
    <row r="2975" spans="9:10">
      <c r="I2975" t="str">
        <f>_xlfn.IFNA(VLOOKUP(B2975,T_DistName[],3,FALSE),"")</f>
        <v/>
      </c>
      <c r="J2975" t="str">
        <f t="shared" si="47"/>
        <v/>
      </c>
    </row>
    <row r="2976" spans="9:10">
      <c r="I2976" t="str">
        <f>_xlfn.IFNA(VLOOKUP(B2976,T_DistName[],3,FALSE),"")</f>
        <v/>
      </c>
      <c r="J2976" t="str">
        <f t="shared" si="47"/>
        <v/>
      </c>
    </row>
    <row r="2977" spans="9:10">
      <c r="I2977" t="str">
        <f>_xlfn.IFNA(VLOOKUP(B2977,T_DistName[],3,FALSE),"")</f>
        <v/>
      </c>
      <c r="J2977" t="str">
        <f t="shared" si="47"/>
        <v/>
      </c>
    </row>
    <row r="2978" spans="9:10">
      <c r="I2978" t="str">
        <f>_xlfn.IFNA(VLOOKUP(B2978,T_DistName[],3,FALSE),"")</f>
        <v/>
      </c>
      <c r="J2978" t="str">
        <f t="shared" si="47"/>
        <v/>
      </c>
    </row>
    <row r="2979" spans="9:10">
      <c r="I2979" t="str">
        <f>_xlfn.IFNA(VLOOKUP(B2979,T_DistName[],3,FALSE),"")</f>
        <v/>
      </c>
      <c r="J2979" t="str">
        <f t="shared" si="47"/>
        <v/>
      </c>
    </row>
    <row r="2980" spans="9:10">
      <c r="I2980" t="str">
        <f>_xlfn.IFNA(VLOOKUP(B2980,T_DistName[],3,FALSE),"")</f>
        <v/>
      </c>
      <c r="J2980" t="str">
        <f t="shared" si="47"/>
        <v/>
      </c>
    </row>
    <row r="2981" spans="9:10">
      <c r="I2981" t="str">
        <f>_xlfn.IFNA(VLOOKUP(B2981,T_DistName[],3,FALSE),"")</f>
        <v/>
      </c>
      <c r="J2981" t="str">
        <f t="shared" si="47"/>
        <v/>
      </c>
    </row>
    <row r="2982" spans="9:10">
      <c r="I2982" t="str">
        <f>_xlfn.IFNA(VLOOKUP(B2982,T_DistName[],3,FALSE),"")</f>
        <v/>
      </c>
      <c r="J2982" t="str">
        <f t="shared" si="47"/>
        <v/>
      </c>
    </row>
    <row r="2983" spans="9:10">
      <c r="I2983" t="str">
        <f>_xlfn.IFNA(VLOOKUP(B2983,T_DistName[],3,FALSE),"")</f>
        <v/>
      </c>
      <c r="J2983" t="str">
        <f t="shared" si="47"/>
        <v/>
      </c>
    </row>
    <row r="2984" spans="9:10">
      <c r="I2984" t="str">
        <f>_xlfn.IFNA(VLOOKUP(B2984,T_DistName[],3,FALSE),"")</f>
        <v/>
      </c>
      <c r="J2984" t="str">
        <f t="shared" si="47"/>
        <v/>
      </c>
    </row>
    <row r="2985" spans="9:10">
      <c r="I2985" t="str">
        <f>_xlfn.IFNA(VLOOKUP(B2985,T_DistName[],3,FALSE),"")</f>
        <v/>
      </c>
      <c r="J2985" t="str">
        <f t="shared" si="47"/>
        <v/>
      </c>
    </row>
    <row r="2986" spans="9:10">
      <c r="I2986" t="str">
        <f>_xlfn.IFNA(VLOOKUP(B2986,T_DistName[],3,FALSE),"")</f>
        <v/>
      </c>
      <c r="J2986" t="str">
        <f t="shared" si="47"/>
        <v/>
      </c>
    </row>
    <row r="2987" spans="9:10">
      <c r="I2987" t="str">
        <f>_xlfn.IFNA(VLOOKUP(B2987,T_DistName[],3,FALSE),"")</f>
        <v/>
      </c>
      <c r="J2987" t="str">
        <f t="shared" si="47"/>
        <v/>
      </c>
    </row>
    <row r="2988" spans="9:10">
      <c r="I2988" t="str">
        <f>_xlfn.IFNA(VLOOKUP(B2988,T_DistName[],3,FALSE),"")</f>
        <v/>
      </c>
      <c r="J2988" t="str">
        <f t="shared" si="47"/>
        <v/>
      </c>
    </row>
    <row r="2989" spans="9:10">
      <c r="I2989" t="str">
        <f>_xlfn.IFNA(VLOOKUP(B2989,T_DistName[],3,FALSE),"")</f>
        <v/>
      </c>
      <c r="J2989" t="str">
        <f t="shared" si="47"/>
        <v/>
      </c>
    </row>
    <row r="2990" spans="9:10">
      <c r="I2990" t="str">
        <f>_xlfn.IFNA(VLOOKUP(B2990,T_DistName[],3,FALSE),"")</f>
        <v/>
      </c>
      <c r="J2990" t="str">
        <f t="shared" si="47"/>
        <v/>
      </c>
    </row>
    <row r="2991" spans="9:10">
      <c r="I2991" t="str">
        <f>_xlfn.IFNA(VLOOKUP(B2991,T_DistName[],3,FALSE),"")</f>
        <v/>
      </c>
      <c r="J2991" t="str">
        <f t="shared" si="47"/>
        <v/>
      </c>
    </row>
    <row r="2992" spans="9:10">
      <c r="I2992" t="str">
        <f>_xlfn.IFNA(VLOOKUP(B2992,T_DistName[],3,FALSE),"")</f>
        <v/>
      </c>
      <c r="J2992" t="str">
        <f t="shared" si="47"/>
        <v/>
      </c>
    </row>
    <row r="2993" spans="9:10">
      <c r="I2993" t="str">
        <f>_xlfn.IFNA(VLOOKUP(B2993,T_DistName[],3,FALSE),"")</f>
        <v/>
      </c>
      <c r="J2993" t="str">
        <f t="shared" si="47"/>
        <v/>
      </c>
    </row>
    <row r="2994" spans="9:10">
      <c r="I2994" t="str">
        <f>_xlfn.IFNA(VLOOKUP(B2994,T_DistName[],3,FALSE),"")</f>
        <v/>
      </c>
      <c r="J2994" t="str">
        <f t="shared" si="47"/>
        <v/>
      </c>
    </row>
    <row r="2995" spans="9:10">
      <c r="I2995" t="str">
        <f>_xlfn.IFNA(VLOOKUP(B2995,T_DistName[],3,FALSE),"")</f>
        <v/>
      </c>
      <c r="J2995" t="str">
        <f t="shared" si="47"/>
        <v/>
      </c>
    </row>
    <row r="2996" spans="9:10">
      <c r="I2996" t="str">
        <f>_xlfn.IFNA(VLOOKUP(B2996,T_DistName[],3,FALSE),"")</f>
        <v/>
      </c>
      <c r="J2996" t="str">
        <f t="shared" si="47"/>
        <v/>
      </c>
    </row>
    <row r="2997" spans="9:10">
      <c r="I2997" t="str">
        <f>_xlfn.IFNA(VLOOKUP(B2997,T_DistName[],3,FALSE),"")</f>
        <v/>
      </c>
      <c r="J2997" t="str">
        <f t="shared" si="47"/>
        <v/>
      </c>
    </row>
    <row r="2998" spans="9:10">
      <c r="I2998" t="str">
        <f>_xlfn.IFNA(VLOOKUP(B2998,T_DistName[],3,FALSE),"")</f>
        <v/>
      </c>
      <c r="J2998" t="str">
        <f t="shared" si="47"/>
        <v/>
      </c>
    </row>
    <row r="2999" spans="9:10">
      <c r="I2999" t="str">
        <f>_xlfn.IFNA(VLOOKUP(B2999,T_DistName[],3,FALSE),"")</f>
        <v/>
      </c>
      <c r="J2999" t="str">
        <f t="shared" si="47"/>
        <v/>
      </c>
    </row>
    <row r="3000" spans="9:10">
      <c r="I3000" t="str">
        <f>_xlfn.IFNA(VLOOKUP(B3000,T_DistName[],3,FALSE),"")</f>
        <v/>
      </c>
      <c r="J3000" t="str">
        <f t="shared" si="47"/>
        <v/>
      </c>
    </row>
    <row r="3001" spans="9:10">
      <c r="I3001" t="str">
        <f>_xlfn.IFNA(VLOOKUP(B3001,T_DistName[],3,FALSE),"")</f>
        <v/>
      </c>
      <c r="J3001" t="str">
        <f t="shared" si="47"/>
        <v/>
      </c>
    </row>
    <row r="3002" spans="9:10">
      <c r="I3002" t="str">
        <f>_xlfn.IFNA(VLOOKUP(B3002,T_DistName[],3,FALSE),"")</f>
        <v/>
      </c>
      <c r="J3002" t="str">
        <f t="shared" si="47"/>
        <v/>
      </c>
    </row>
    <row r="3003" spans="9:10">
      <c r="I3003" t="str">
        <f>_xlfn.IFNA(VLOOKUP(B3003,T_DistName[],3,FALSE),"")</f>
        <v/>
      </c>
      <c r="J3003" t="str">
        <f t="shared" si="47"/>
        <v/>
      </c>
    </row>
    <row r="3004" spans="9:10">
      <c r="I3004" t="str">
        <f>_xlfn.IFNA(VLOOKUP(B3004,T_DistName[],3,FALSE),"")</f>
        <v/>
      </c>
      <c r="J3004" t="str">
        <f t="shared" si="47"/>
        <v/>
      </c>
    </row>
    <row r="3005" spans="9:10">
      <c r="I3005" t="str">
        <f>_xlfn.IFNA(VLOOKUP(B3005,T_DistName[],3,FALSE),"")</f>
        <v/>
      </c>
      <c r="J3005" t="str">
        <f t="shared" si="47"/>
        <v/>
      </c>
    </row>
    <row r="3006" spans="9:10">
      <c r="I3006" t="str">
        <f>_xlfn.IFNA(VLOOKUP(B3006,T_DistName[],3,FALSE),"")</f>
        <v/>
      </c>
      <c r="J3006" t="str">
        <f t="shared" si="47"/>
        <v/>
      </c>
    </row>
    <row r="3007" spans="9:10">
      <c r="I3007" t="str">
        <f>_xlfn.IFNA(VLOOKUP(B3007,T_DistName[],3,FALSE),"")</f>
        <v/>
      </c>
      <c r="J3007" t="str">
        <f t="shared" si="47"/>
        <v/>
      </c>
    </row>
    <row r="3008" spans="9:10">
      <c r="I3008" t="str">
        <f>_xlfn.IFNA(VLOOKUP(B3008,T_DistName[],3,FALSE),"")</f>
        <v/>
      </c>
      <c r="J3008" t="str">
        <f t="shared" si="47"/>
        <v/>
      </c>
    </row>
    <row r="3009" spans="9:10">
      <c r="I3009" t="str">
        <f>_xlfn.IFNA(VLOOKUP(B3009,T_DistName[],3,FALSE),"")</f>
        <v/>
      </c>
      <c r="J3009" t="str">
        <f t="shared" si="47"/>
        <v/>
      </c>
    </row>
    <row r="3010" spans="9:10">
      <c r="I3010" t="str">
        <f>_xlfn.IFNA(VLOOKUP(B3010,T_DistName[],3,FALSE),"")</f>
        <v/>
      </c>
      <c r="J3010" t="str">
        <f t="shared" si="47"/>
        <v/>
      </c>
    </row>
    <row r="3011" spans="9:10">
      <c r="I3011" t="str">
        <f>_xlfn.IFNA(VLOOKUP(B3011,T_DistName[],3,FALSE),"")</f>
        <v/>
      </c>
      <c r="J3011" t="str">
        <f t="shared" si="47"/>
        <v/>
      </c>
    </row>
    <row r="3012" spans="9:10">
      <c r="I3012" t="str">
        <f>_xlfn.IFNA(VLOOKUP(B3012,T_DistName[],3,FALSE),"")</f>
        <v/>
      </c>
      <c r="J3012" t="str">
        <f t="shared" si="47"/>
        <v/>
      </c>
    </row>
    <row r="3013" spans="9:10">
      <c r="I3013" t="str">
        <f>_xlfn.IFNA(VLOOKUP(B3013,T_DistName[],3,FALSE),"")</f>
        <v/>
      </c>
      <c r="J3013" t="str">
        <f t="shared" si="47"/>
        <v/>
      </c>
    </row>
    <row r="3014" spans="9:10">
      <c r="I3014" t="str">
        <f>_xlfn.IFNA(VLOOKUP(B3014,T_DistName[],3,FALSE),"")</f>
        <v/>
      </c>
      <c r="J3014" t="str">
        <f t="shared" si="47"/>
        <v/>
      </c>
    </row>
    <row r="3015" spans="9:10">
      <c r="I3015" t="str">
        <f>_xlfn.IFNA(VLOOKUP(B3015,T_DistName[],3,FALSE),"")</f>
        <v/>
      </c>
      <c r="J3015" t="str">
        <f t="shared" si="47"/>
        <v/>
      </c>
    </row>
    <row r="3016" spans="9:10">
      <c r="I3016" t="str">
        <f>_xlfn.IFNA(VLOOKUP(B3016,T_DistName[],3,FALSE),"")</f>
        <v/>
      </c>
      <c r="J3016" t="str">
        <f t="shared" si="47"/>
        <v/>
      </c>
    </row>
    <row r="3017" spans="9:10">
      <c r="I3017" t="str">
        <f>_xlfn.IFNA(VLOOKUP(B3017,T_DistName[],3,FALSE),"")</f>
        <v/>
      </c>
      <c r="J3017" t="str">
        <f t="shared" si="47"/>
        <v/>
      </c>
    </row>
    <row r="3018" spans="9:10">
      <c r="I3018" t="str">
        <f>_xlfn.IFNA(VLOOKUP(B3018,T_DistName[],3,FALSE),"")</f>
        <v/>
      </c>
      <c r="J3018" t="str">
        <f t="shared" si="47"/>
        <v/>
      </c>
    </row>
    <row r="3019" spans="9:10">
      <c r="I3019" t="str">
        <f>_xlfn.IFNA(VLOOKUP(B3019,T_DistName[],3,FALSE),"")</f>
        <v/>
      </c>
      <c r="J3019" t="str">
        <f t="shared" si="47"/>
        <v/>
      </c>
    </row>
    <row r="3020" spans="9:10">
      <c r="I3020" t="str">
        <f>_xlfn.IFNA(VLOOKUP(B3020,T_DistName[],3,FALSE),"")</f>
        <v/>
      </c>
      <c r="J3020" t="str">
        <f t="shared" si="47"/>
        <v/>
      </c>
    </row>
    <row r="3021" spans="9:10">
      <c r="I3021" t="str">
        <f>_xlfn.IFNA(VLOOKUP(B3021,T_DistName[],3,FALSE),"")</f>
        <v/>
      </c>
      <c r="J3021" t="str">
        <f t="shared" si="47"/>
        <v/>
      </c>
    </row>
    <row r="3022" spans="9:10">
      <c r="I3022" t="str">
        <f>_xlfn.IFNA(VLOOKUP(B3022,T_DistName[],3,FALSE),"")</f>
        <v/>
      </c>
      <c r="J3022" t="str">
        <f t="shared" si="47"/>
        <v/>
      </c>
    </row>
    <row r="3023" spans="9:10">
      <c r="I3023" t="str">
        <f>_xlfn.IFNA(VLOOKUP(B3023,T_DistName[],3,FALSE),"")</f>
        <v/>
      </c>
      <c r="J3023" t="str">
        <f t="shared" si="47"/>
        <v/>
      </c>
    </row>
    <row r="3024" spans="9:10">
      <c r="I3024" t="str">
        <f>_xlfn.IFNA(VLOOKUP(B3024,T_DistName[],3,FALSE),"")</f>
        <v/>
      </c>
      <c r="J3024" t="str">
        <f t="shared" si="47"/>
        <v/>
      </c>
    </row>
    <row r="3025" spans="9:10">
      <c r="I3025" t="str">
        <f>_xlfn.IFNA(VLOOKUP(B3025,T_DistName[],3,FALSE),"")</f>
        <v/>
      </c>
      <c r="J3025" t="str">
        <f t="shared" si="47"/>
        <v/>
      </c>
    </row>
    <row r="3026" spans="9:10">
      <c r="I3026" t="str">
        <f>_xlfn.IFNA(VLOOKUP(B3026,T_DistName[],3,FALSE),"")</f>
        <v/>
      </c>
      <c r="J3026" t="str">
        <f t="shared" si="47"/>
        <v/>
      </c>
    </row>
    <row r="3027" spans="9:10">
      <c r="I3027" t="str">
        <f>_xlfn.IFNA(VLOOKUP(B3027,T_DistName[],3,FALSE),"")</f>
        <v/>
      </c>
      <c r="J3027" t="str">
        <f t="shared" si="47"/>
        <v/>
      </c>
    </row>
    <row r="3028" spans="9:10">
      <c r="I3028" t="str">
        <f>_xlfn.IFNA(VLOOKUP(B3028,T_DistName[],3,FALSE),"")</f>
        <v/>
      </c>
      <c r="J3028" t="str">
        <f t="shared" si="47"/>
        <v/>
      </c>
    </row>
    <row r="3029" spans="9:10">
      <c r="I3029" t="str">
        <f>_xlfn.IFNA(VLOOKUP(B3029,T_DistName[],3,FALSE),"")</f>
        <v/>
      </c>
      <c r="J3029" t="str">
        <f t="shared" si="47"/>
        <v/>
      </c>
    </row>
    <row r="3030" spans="9:10">
      <c r="I3030" t="str">
        <f>_xlfn.IFNA(VLOOKUP(B3030,T_DistName[],3,FALSE),"")</f>
        <v/>
      </c>
      <c r="J3030" t="str">
        <f t="shared" si="47"/>
        <v/>
      </c>
    </row>
    <row r="3031" spans="9:10">
      <c r="I3031" t="str">
        <f>_xlfn.IFNA(VLOOKUP(B3031,T_DistName[],3,FALSE),"")</f>
        <v/>
      </c>
      <c r="J3031" t="str">
        <f t="shared" si="47"/>
        <v/>
      </c>
    </row>
    <row r="3032" spans="9:10">
      <c r="I3032" t="str">
        <f>_xlfn.IFNA(VLOOKUP(B3032,T_DistName[],3,FALSE),"")</f>
        <v/>
      </c>
      <c r="J3032" t="str">
        <f t="shared" si="47"/>
        <v/>
      </c>
    </row>
    <row r="3033" spans="9:10">
      <c r="I3033" t="str">
        <f>_xlfn.IFNA(VLOOKUP(B3033,T_DistName[],3,FALSE),"")</f>
        <v/>
      </c>
      <c r="J3033" t="str">
        <f t="shared" ref="J3033:J3096" si="48">I3033&amp;F3033</f>
        <v/>
      </c>
    </row>
    <row r="3034" spans="9:10">
      <c r="I3034" t="str">
        <f>_xlfn.IFNA(VLOOKUP(B3034,T_DistName[],3,FALSE),"")</f>
        <v/>
      </c>
      <c r="J3034" t="str">
        <f t="shared" si="48"/>
        <v/>
      </c>
    </row>
    <row r="3035" spans="9:10">
      <c r="I3035" t="str">
        <f>_xlfn.IFNA(VLOOKUP(B3035,T_DistName[],3,FALSE),"")</f>
        <v/>
      </c>
      <c r="J3035" t="str">
        <f t="shared" si="48"/>
        <v/>
      </c>
    </row>
    <row r="3036" spans="9:10">
      <c r="I3036" t="str">
        <f>_xlfn.IFNA(VLOOKUP(B3036,T_DistName[],3,FALSE),"")</f>
        <v/>
      </c>
      <c r="J3036" t="str">
        <f t="shared" si="48"/>
        <v/>
      </c>
    </row>
    <row r="3037" spans="9:10">
      <c r="I3037" t="str">
        <f>_xlfn.IFNA(VLOOKUP(B3037,T_DistName[],3,FALSE),"")</f>
        <v/>
      </c>
      <c r="J3037" t="str">
        <f t="shared" si="48"/>
        <v/>
      </c>
    </row>
    <row r="3038" spans="9:10">
      <c r="I3038" t="str">
        <f>_xlfn.IFNA(VLOOKUP(B3038,T_DistName[],3,FALSE),"")</f>
        <v/>
      </c>
      <c r="J3038" t="str">
        <f t="shared" si="48"/>
        <v/>
      </c>
    </row>
    <row r="3039" spans="9:10">
      <c r="I3039" t="str">
        <f>_xlfn.IFNA(VLOOKUP(B3039,T_DistName[],3,FALSE),"")</f>
        <v/>
      </c>
      <c r="J3039" t="str">
        <f t="shared" si="48"/>
        <v/>
      </c>
    </row>
    <row r="3040" spans="9:10">
      <c r="I3040" t="str">
        <f>_xlfn.IFNA(VLOOKUP(B3040,T_DistName[],3,FALSE),"")</f>
        <v/>
      </c>
      <c r="J3040" t="str">
        <f t="shared" si="48"/>
        <v/>
      </c>
    </row>
    <row r="3041" spans="9:10">
      <c r="I3041" t="str">
        <f>_xlfn.IFNA(VLOOKUP(B3041,T_DistName[],3,FALSE),"")</f>
        <v/>
      </c>
      <c r="J3041" t="str">
        <f t="shared" si="48"/>
        <v/>
      </c>
    </row>
    <row r="3042" spans="9:10">
      <c r="I3042" t="str">
        <f>_xlfn.IFNA(VLOOKUP(B3042,T_DistName[],3,FALSE),"")</f>
        <v/>
      </c>
      <c r="J3042" t="str">
        <f t="shared" si="48"/>
        <v/>
      </c>
    </row>
    <row r="3043" spans="9:10">
      <c r="I3043" t="str">
        <f>_xlfn.IFNA(VLOOKUP(B3043,T_DistName[],3,FALSE),"")</f>
        <v/>
      </c>
      <c r="J3043" t="str">
        <f t="shared" si="48"/>
        <v/>
      </c>
    </row>
    <row r="3044" spans="9:10">
      <c r="I3044" t="str">
        <f>_xlfn.IFNA(VLOOKUP(B3044,T_DistName[],3,FALSE),"")</f>
        <v/>
      </c>
      <c r="J3044" t="str">
        <f t="shared" si="48"/>
        <v/>
      </c>
    </row>
    <row r="3045" spans="9:10">
      <c r="I3045" t="str">
        <f>_xlfn.IFNA(VLOOKUP(B3045,T_DistName[],3,FALSE),"")</f>
        <v/>
      </c>
      <c r="J3045" t="str">
        <f t="shared" si="48"/>
        <v/>
      </c>
    </row>
    <row r="3046" spans="9:10">
      <c r="I3046" t="str">
        <f>_xlfn.IFNA(VLOOKUP(B3046,T_DistName[],3,FALSE),"")</f>
        <v/>
      </c>
      <c r="J3046" t="str">
        <f t="shared" si="48"/>
        <v/>
      </c>
    </row>
    <row r="3047" spans="9:10">
      <c r="I3047" t="str">
        <f>_xlfn.IFNA(VLOOKUP(B3047,T_DistName[],3,FALSE),"")</f>
        <v/>
      </c>
      <c r="J3047" t="str">
        <f t="shared" si="48"/>
        <v/>
      </c>
    </row>
    <row r="3048" spans="9:10">
      <c r="I3048" t="str">
        <f>_xlfn.IFNA(VLOOKUP(B3048,T_DistName[],3,FALSE),"")</f>
        <v/>
      </c>
      <c r="J3048" t="str">
        <f t="shared" si="48"/>
        <v/>
      </c>
    </row>
    <row r="3049" spans="9:10">
      <c r="I3049" t="str">
        <f>_xlfn.IFNA(VLOOKUP(B3049,T_DistName[],3,FALSE),"")</f>
        <v/>
      </c>
      <c r="J3049" t="str">
        <f t="shared" si="48"/>
        <v/>
      </c>
    </row>
    <row r="3050" spans="9:10">
      <c r="I3050" t="str">
        <f>_xlfn.IFNA(VLOOKUP(B3050,T_DistName[],3,FALSE),"")</f>
        <v/>
      </c>
      <c r="J3050" t="str">
        <f t="shared" si="48"/>
        <v/>
      </c>
    </row>
    <row r="3051" spans="9:10">
      <c r="I3051" t="str">
        <f>_xlfn.IFNA(VLOOKUP(B3051,T_DistName[],3,FALSE),"")</f>
        <v/>
      </c>
      <c r="J3051" t="str">
        <f t="shared" si="48"/>
        <v/>
      </c>
    </row>
    <row r="3052" spans="9:10">
      <c r="I3052" t="str">
        <f>_xlfn.IFNA(VLOOKUP(B3052,T_DistName[],3,FALSE),"")</f>
        <v/>
      </c>
      <c r="J3052" t="str">
        <f t="shared" si="48"/>
        <v/>
      </c>
    </row>
    <row r="3053" spans="9:10">
      <c r="I3053" t="str">
        <f>_xlfn.IFNA(VLOOKUP(B3053,T_DistName[],3,FALSE),"")</f>
        <v/>
      </c>
      <c r="J3053" t="str">
        <f t="shared" si="48"/>
        <v/>
      </c>
    </row>
    <row r="3054" spans="9:10">
      <c r="I3054" t="str">
        <f>_xlfn.IFNA(VLOOKUP(B3054,T_DistName[],3,FALSE),"")</f>
        <v/>
      </c>
      <c r="J3054" t="str">
        <f t="shared" si="48"/>
        <v/>
      </c>
    </row>
    <row r="3055" spans="9:10">
      <c r="I3055" t="str">
        <f>_xlfn.IFNA(VLOOKUP(B3055,T_DistName[],3,FALSE),"")</f>
        <v/>
      </c>
      <c r="J3055" t="str">
        <f t="shared" si="48"/>
        <v/>
      </c>
    </row>
    <row r="3056" spans="9:10">
      <c r="I3056" t="str">
        <f>_xlfn.IFNA(VLOOKUP(B3056,T_DistName[],3,FALSE),"")</f>
        <v/>
      </c>
      <c r="J3056" t="str">
        <f t="shared" si="48"/>
        <v/>
      </c>
    </row>
    <row r="3057" spans="9:10">
      <c r="I3057" t="str">
        <f>_xlfn.IFNA(VLOOKUP(B3057,T_DistName[],3,FALSE),"")</f>
        <v/>
      </c>
      <c r="J3057" t="str">
        <f t="shared" si="48"/>
        <v/>
      </c>
    </row>
    <row r="3058" spans="9:10">
      <c r="I3058" t="str">
        <f>_xlfn.IFNA(VLOOKUP(B3058,T_DistName[],3,FALSE),"")</f>
        <v/>
      </c>
      <c r="J3058" t="str">
        <f t="shared" si="48"/>
        <v/>
      </c>
    </row>
    <row r="3059" spans="9:10">
      <c r="I3059" t="str">
        <f>_xlfn.IFNA(VLOOKUP(B3059,T_DistName[],3,FALSE),"")</f>
        <v/>
      </c>
      <c r="J3059" t="str">
        <f t="shared" si="48"/>
        <v/>
      </c>
    </row>
    <row r="3060" spans="9:10">
      <c r="I3060" t="str">
        <f>_xlfn.IFNA(VLOOKUP(B3060,T_DistName[],3,FALSE),"")</f>
        <v/>
      </c>
      <c r="J3060" t="str">
        <f t="shared" si="48"/>
        <v/>
      </c>
    </row>
    <row r="3061" spans="9:10">
      <c r="I3061" t="str">
        <f>_xlfn.IFNA(VLOOKUP(B3061,T_DistName[],3,FALSE),"")</f>
        <v/>
      </c>
      <c r="J3061" t="str">
        <f t="shared" si="48"/>
        <v/>
      </c>
    </row>
    <row r="3062" spans="9:10">
      <c r="I3062" t="str">
        <f>_xlfn.IFNA(VLOOKUP(B3062,T_DistName[],3,FALSE),"")</f>
        <v/>
      </c>
      <c r="J3062" t="str">
        <f t="shared" si="48"/>
        <v/>
      </c>
    </row>
    <row r="3063" spans="9:10">
      <c r="I3063" t="str">
        <f>_xlfn.IFNA(VLOOKUP(B3063,T_DistName[],3,FALSE),"")</f>
        <v/>
      </c>
      <c r="J3063" t="str">
        <f t="shared" si="48"/>
        <v/>
      </c>
    </row>
    <row r="3064" spans="9:10">
      <c r="I3064" t="str">
        <f>_xlfn.IFNA(VLOOKUP(B3064,T_DistName[],3,FALSE),"")</f>
        <v/>
      </c>
      <c r="J3064" t="str">
        <f t="shared" si="48"/>
        <v/>
      </c>
    </row>
    <row r="3065" spans="9:10">
      <c r="I3065" t="str">
        <f>_xlfn.IFNA(VLOOKUP(B3065,T_DistName[],3,FALSE),"")</f>
        <v/>
      </c>
      <c r="J3065" t="str">
        <f t="shared" si="48"/>
        <v/>
      </c>
    </row>
    <row r="3066" spans="9:10">
      <c r="I3066" t="str">
        <f>_xlfn.IFNA(VLOOKUP(B3066,T_DistName[],3,FALSE),"")</f>
        <v/>
      </c>
      <c r="J3066" t="str">
        <f t="shared" si="48"/>
        <v/>
      </c>
    </row>
    <row r="3067" spans="9:10">
      <c r="I3067" t="str">
        <f>_xlfn.IFNA(VLOOKUP(B3067,T_DistName[],3,FALSE),"")</f>
        <v/>
      </c>
      <c r="J3067" t="str">
        <f t="shared" si="48"/>
        <v/>
      </c>
    </row>
    <row r="3068" spans="9:10">
      <c r="I3068" t="str">
        <f>_xlfn.IFNA(VLOOKUP(B3068,T_DistName[],3,FALSE),"")</f>
        <v/>
      </c>
      <c r="J3068" t="str">
        <f t="shared" si="48"/>
        <v/>
      </c>
    </row>
    <row r="3069" spans="9:10">
      <c r="I3069" t="str">
        <f>_xlfn.IFNA(VLOOKUP(B3069,T_DistName[],3,FALSE),"")</f>
        <v/>
      </c>
      <c r="J3069" t="str">
        <f t="shared" si="48"/>
        <v/>
      </c>
    </row>
    <row r="3070" spans="9:10">
      <c r="I3070" t="str">
        <f>_xlfn.IFNA(VLOOKUP(B3070,T_DistName[],3,FALSE),"")</f>
        <v/>
      </c>
      <c r="J3070" t="str">
        <f t="shared" si="48"/>
        <v/>
      </c>
    </row>
    <row r="3071" spans="9:10">
      <c r="I3071" t="str">
        <f>_xlfn.IFNA(VLOOKUP(B3071,T_DistName[],3,FALSE),"")</f>
        <v/>
      </c>
      <c r="J3071" t="str">
        <f t="shared" si="48"/>
        <v/>
      </c>
    </row>
    <row r="3072" spans="9:10">
      <c r="I3072" t="str">
        <f>_xlfn.IFNA(VLOOKUP(B3072,T_DistName[],3,FALSE),"")</f>
        <v/>
      </c>
      <c r="J3072" t="str">
        <f t="shared" si="48"/>
        <v/>
      </c>
    </row>
    <row r="3073" spans="9:10">
      <c r="I3073" t="str">
        <f>_xlfn.IFNA(VLOOKUP(B3073,T_DistName[],3,FALSE),"")</f>
        <v/>
      </c>
      <c r="J3073" t="str">
        <f t="shared" si="48"/>
        <v/>
      </c>
    </row>
    <row r="3074" spans="9:10">
      <c r="I3074" t="str">
        <f>_xlfn.IFNA(VLOOKUP(B3074,T_DistName[],3,FALSE),"")</f>
        <v/>
      </c>
      <c r="J3074" t="str">
        <f t="shared" si="48"/>
        <v/>
      </c>
    </row>
    <row r="3075" spans="9:10">
      <c r="I3075" t="str">
        <f>_xlfn.IFNA(VLOOKUP(B3075,T_DistName[],3,FALSE),"")</f>
        <v/>
      </c>
      <c r="J3075" t="str">
        <f t="shared" si="48"/>
        <v/>
      </c>
    </row>
    <row r="3076" spans="9:10">
      <c r="I3076" t="str">
        <f>_xlfn.IFNA(VLOOKUP(B3076,T_DistName[],3,FALSE),"")</f>
        <v/>
      </c>
      <c r="J3076" t="str">
        <f t="shared" si="48"/>
        <v/>
      </c>
    </row>
    <row r="3077" spans="9:10">
      <c r="I3077" t="str">
        <f>_xlfn.IFNA(VLOOKUP(B3077,T_DistName[],3,FALSE),"")</f>
        <v/>
      </c>
      <c r="J3077" t="str">
        <f t="shared" si="48"/>
        <v/>
      </c>
    </row>
    <row r="3078" spans="9:10">
      <c r="I3078" t="str">
        <f>_xlfn.IFNA(VLOOKUP(B3078,T_DistName[],3,FALSE),"")</f>
        <v/>
      </c>
      <c r="J3078" t="str">
        <f t="shared" si="48"/>
        <v/>
      </c>
    </row>
    <row r="3079" spans="9:10">
      <c r="I3079" t="str">
        <f>_xlfn.IFNA(VLOOKUP(B3079,T_DistName[],3,FALSE),"")</f>
        <v/>
      </c>
      <c r="J3079" t="str">
        <f t="shared" si="48"/>
        <v/>
      </c>
    </row>
    <row r="3080" spans="9:10">
      <c r="I3080" t="str">
        <f>_xlfn.IFNA(VLOOKUP(B3080,T_DistName[],3,FALSE),"")</f>
        <v/>
      </c>
      <c r="J3080" t="str">
        <f t="shared" si="48"/>
        <v/>
      </c>
    </row>
    <row r="3081" spans="9:10">
      <c r="I3081" t="str">
        <f>_xlfn.IFNA(VLOOKUP(B3081,T_DistName[],3,FALSE),"")</f>
        <v/>
      </c>
      <c r="J3081" t="str">
        <f t="shared" si="48"/>
        <v/>
      </c>
    </row>
    <row r="3082" spans="9:10">
      <c r="I3082" t="str">
        <f>_xlfn.IFNA(VLOOKUP(B3082,T_DistName[],3,FALSE),"")</f>
        <v/>
      </c>
      <c r="J3082" t="str">
        <f t="shared" si="48"/>
        <v/>
      </c>
    </row>
    <row r="3083" spans="9:10">
      <c r="I3083" t="str">
        <f>_xlfn.IFNA(VLOOKUP(B3083,T_DistName[],3,FALSE),"")</f>
        <v/>
      </c>
      <c r="J3083" t="str">
        <f t="shared" si="48"/>
        <v/>
      </c>
    </row>
    <row r="3084" spans="9:10">
      <c r="I3084" t="str">
        <f>_xlfn.IFNA(VLOOKUP(B3084,T_DistName[],3,FALSE),"")</f>
        <v/>
      </c>
      <c r="J3084" t="str">
        <f t="shared" si="48"/>
        <v/>
      </c>
    </row>
    <row r="3085" spans="9:10">
      <c r="I3085" t="str">
        <f>_xlfn.IFNA(VLOOKUP(B3085,T_DistName[],3,FALSE),"")</f>
        <v/>
      </c>
      <c r="J3085" t="str">
        <f t="shared" si="48"/>
        <v/>
      </c>
    </row>
    <row r="3086" spans="9:10">
      <c r="I3086" t="str">
        <f>_xlfn.IFNA(VLOOKUP(B3086,T_DistName[],3,FALSE),"")</f>
        <v/>
      </c>
      <c r="J3086" t="str">
        <f t="shared" si="48"/>
        <v/>
      </c>
    </row>
    <row r="3087" spans="9:10">
      <c r="I3087" t="str">
        <f>_xlfn.IFNA(VLOOKUP(B3087,T_DistName[],3,FALSE),"")</f>
        <v/>
      </c>
      <c r="J3087" t="str">
        <f t="shared" si="48"/>
        <v/>
      </c>
    </row>
    <row r="3088" spans="9:10">
      <c r="I3088" t="str">
        <f>_xlfn.IFNA(VLOOKUP(B3088,T_DistName[],3,FALSE),"")</f>
        <v/>
      </c>
      <c r="J3088" t="str">
        <f t="shared" si="48"/>
        <v/>
      </c>
    </row>
    <row r="3089" spans="9:10">
      <c r="I3089" t="str">
        <f>_xlfn.IFNA(VLOOKUP(B3089,T_DistName[],3,FALSE),"")</f>
        <v/>
      </c>
      <c r="J3089" t="str">
        <f t="shared" si="48"/>
        <v/>
      </c>
    </row>
    <row r="3090" spans="9:10">
      <c r="I3090" t="str">
        <f>_xlfn.IFNA(VLOOKUP(B3090,T_DistName[],3,FALSE),"")</f>
        <v/>
      </c>
      <c r="J3090" t="str">
        <f t="shared" si="48"/>
        <v/>
      </c>
    </row>
    <row r="3091" spans="9:10">
      <c r="I3091" t="str">
        <f>_xlfn.IFNA(VLOOKUP(B3091,T_DistName[],3,FALSE),"")</f>
        <v/>
      </c>
      <c r="J3091" t="str">
        <f t="shared" si="48"/>
        <v/>
      </c>
    </row>
    <row r="3092" spans="9:10">
      <c r="I3092" t="str">
        <f>_xlfn.IFNA(VLOOKUP(B3092,T_DistName[],3,FALSE),"")</f>
        <v/>
      </c>
      <c r="J3092" t="str">
        <f t="shared" si="48"/>
        <v/>
      </c>
    </row>
    <row r="3093" spans="9:10">
      <c r="I3093" t="str">
        <f>_xlfn.IFNA(VLOOKUP(B3093,T_DistName[],3,FALSE),"")</f>
        <v/>
      </c>
      <c r="J3093" t="str">
        <f t="shared" si="48"/>
        <v/>
      </c>
    </row>
    <row r="3094" spans="9:10">
      <c r="I3094" t="str">
        <f>_xlfn.IFNA(VLOOKUP(B3094,T_DistName[],3,FALSE),"")</f>
        <v/>
      </c>
      <c r="J3094" t="str">
        <f t="shared" si="48"/>
        <v/>
      </c>
    </row>
    <row r="3095" spans="9:10">
      <c r="I3095" t="str">
        <f>_xlfn.IFNA(VLOOKUP(B3095,T_DistName[],3,FALSE),"")</f>
        <v/>
      </c>
      <c r="J3095" t="str">
        <f t="shared" si="48"/>
        <v/>
      </c>
    </row>
    <row r="3096" spans="9:10">
      <c r="I3096" t="str">
        <f>_xlfn.IFNA(VLOOKUP(B3096,T_DistName[],3,FALSE),"")</f>
        <v/>
      </c>
      <c r="J3096" t="str">
        <f t="shared" si="48"/>
        <v/>
      </c>
    </row>
    <row r="3097" spans="9:10">
      <c r="I3097" t="str">
        <f>_xlfn.IFNA(VLOOKUP(B3097,T_DistName[],3,FALSE),"")</f>
        <v/>
      </c>
      <c r="J3097" t="str">
        <f t="shared" ref="J3097:J3160" si="49">I3097&amp;F3097</f>
        <v/>
      </c>
    </row>
    <row r="3098" spans="9:10">
      <c r="I3098" t="str">
        <f>_xlfn.IFNA(VLOOKUP(B3098,T_DistName[],3,FALSE),"")</f>
        <v/>
      </c>
      <c r="J3098" t="str">
        <f t="shared" si="49"/>
        <v/>
      </c>
    </row>
    <row r="3099" spans="9:10">
      <c r="I3099" t="str">
        <f>_xlfn.IFNA(VLOOKUP(B3099,T_DistName[],3,FALSE),"")</f>
        <v/>
      </c>
      <c r="J3099" t="str">
        <f t="shared" si="49"/>
        <v/>
      </c>
    </row>
    <row r="3100" spans="9:10">
      <c r="I3100" t="str">
        <f>_xlfn.IFNA(VLOOKUP(B3100,T_DistName[],3,FALSE),"")</f>
        <v/>
      </c>
      <c r="J3100" t="str">
        <f t="shared" si="49"/>
        <v/>
      </c>
    </row>
    <row r="3101" spans="9:10">
      <c r="I3101" t="str">
        <f>_xlfn.IFNA(VLOOKUP(B3101,T_DistName[],3,FALSE),"")</f>
        <v/>
      </c>
      <c r="J3101" t="str">
        <f t="shared" si="49"/>
        <v/>
      </c>
    </row>
    <row r="3102" spans="9:10">
      <c r="I3102" t="str">
        <f>_xlfn.IFNA(VLOOKUP(B3102,T_DistName[],3,FALSE),"")</f>
        <v/>
      </c>
      <c r="J3102" t="str">
        <f t="shared" si="49"/>
        <v/>
      </c>
    </row>
    <row r="3103" spans="9:10">
      <c r="I3103" t="str">
        <f>_xlfn.IFNA(VLOOKUP(B3103,T_DistName[],3,FALSE),"")</f>
        <v/>
      </c>
      <c r="J3103" t="str">
        <f t="shared" si="49"/>
        <v/>
      </c>
    </row>
    <row r="3104" spans="9:10">
      <c r="I3104" t="str">
        <f>_xlfn.IFNA(VLOOKUP(B3104,T_DistName[],3,FALSE),"")</f>
        <v/>
      </c>
      <c r="J3104" t="str">
        <f t="shared" si="49"/>
        <v/>
      </c>
    </row>
    <row r="3105" spans="9:10">
      <c r="I3105" t="str">
        <f>_xlfn.IFNA(VLOOKUP(B3105,T_DistName[],3,FALSE),"")</f>
        <v/>
      </c>
      <c r="J3105" t="str">
        <f t="shared" si="49"/>
        <v/>
      </c>
    </row>
    <row r="3106" spans="9:10">
      <c r="I3106" t="str">
        <f>_xlfn.IFNA(VLOOKUP(B3106,T_DistName[],3,FALSE),"")</f>
        <v/>
      </c>
      <c r="J3106" t="str">
        <f t="shared" si="49"/>
        <v/>
      </c>
    </row>
    <row r="3107" spans="9:10">
      <c r="I3107" t="str">
        <f>_xlfn.IFNA(VLOOKUP(B3107,T_DistName[],3,FALSE),"")</f>
        <v/>
      </c>
      <c r="J3107" t="str">
        <f t="shared" si="49"/>
        <v/>
      </c>
    </row>
    <row r="3108" spans="9:10">
      <c r="I3108" t="str">
        <f>_xlfn.IFNA(VLOOKUP(B3108,T_DistName[],3,FALSE),"")</f>
        <v/>
      </c>
      <c r="J3108" t="str">
        <f t="shared" si="49"/>
        <v/>
      </c>
    </row>
    <row r="3109" spans="9:10">
      <c r="I3109" t="str">
        <f>_xlfn.IFNA(VLOOKUP(B3109,T_DistName[],3,FALSE),"")</f>
        <v/>
      </c>
      <c r="J3109" t="str">
        <f t="shared" si="49"/>
        <v/>
      </c>
    </row>
    <row r="3110" spans="9:10">
      <c r="I3110" t="str">
        <f>_xlfn.IFNA(VLOOKUP(B3110,T_DistName[],3,FALSE),"")</f>
        <v/>
      </c>
      <c r="J3110" t="str">
        <f t="shared" si="49"/>
        <v/>
      </c>
    </row>
    <row r="3111" spans="9:10">
      <c r="I3111" t="str">
        <f>_xlfn.IFNA(VLOOKUP(B3111,T_DistName[],3,FALSE),"")</f>
        <v/>
      </c>
      <c r="J3111" t="str">
        <f t="shared" si="49"/>
        <v/>
      </c>
    </row>
    <row r="3112" spans="9:10">
      <c r="I3112" t="str">
        <f>_xlfn.IFNA(VLOOKUP(B3112,T_DistName[],3,FALSE),"")</f>
        <v/>
      </c>
      <c r="J3112" t="str">
        <f t="shared" si="49"/>
        <v/>
      </c>
    </row>
    <row r="3113" spans="9:10">
      <c r="I3113" t="str">
        <f>_xlfn.IFNA(VLOOKUP(B3113,T_DistName[],3,FALSE),"")</f>
        <v/>
      </c>
      <c r="J3113" t="str">
        <f t="shared" si="49"/>
        <v/>
      </c>
    </row>
    <row r="3114" spans="9:10">
      <c r="I3114" t="str">
        <f>_xlfn.IFNA(VLOOKUP(B3114,T_DistName[],3,FALSE),"")</f>
        <v/>
      </c>
      <c r="J3114" t="str">
        <f t="shared" si="49"/>
        <v/>
      </c>
    </row>
    <row r="3115" spans="9:10">
      <c r="I3115" t="str">
        <f>_xlfn.IFNA(VLOOKUP(B3115,T_DistName[],3,FALSE),"")</f>
        <v/>
      </c>
      <c r="J3115" t="str">
        <f t="shared" si="49"/>
        <v/>
      </c>
    </row>
    <row r="3116" spans="9:10">
      <c r="I3116" t="str">
        <f>_xlfn.IFNA(VLOOKUP(B3116,T_DistName[],3,FALSE),"")</f>
        <v/>
      </c>
      <c r="J3116" t="str">
        <f t="shared" si="49"/>
        <v/>
      </c>
    </row>
    <row r="3117" spans="9:10">
      <c r="I3117" t="str">
        <f>_xlfn.IFNA(VLOOKUP(B3117,T_DistName[],3,FALSE),"")</f>
        <v/>
      </c>
      <c r="J3117" t="str">
        <f t="shared" si="49"/>
        <v/>
      </c>
    </row>
    <row r="3118" spans="9:10">
      <c r="I3118" t="str">
        <f>_xlfn.IFNA(VLOOKUP(B3118,T_DistName[],3,FALSE),"")</f>
        <v/>
      </c>
      <c r="J3118" t="str">
        <f t="shared" si="49"/>
        <v/>
      </c>
    </row>
    <row r="3119" spans="9:10">
      <c r="I3119" t="str">
        <f>_xlfn.IFNA(VLOOKUP(B3119,T_DistName[],3,FALSE),"")</f>
        <v/>
      </c>
      <c r="J3119" t="str">
        <f t="shared" si="49"/>
        <v/>
      </c>
    </row>
    <row r="3120" spans="9:10">
      <c r="I3120" t="str">
        <f>_xlfn.IFNA(VLOOKUP(B3120,T_DistName[],3,FALSE),"")</f>
        <v/>
      </c>
      <c r="J3120" t="str">
        <f t="shared" si="49"/>
        <v/>
      </c>
    </row>
    <row r="3121" spans="9:10">
      <c r="I3121" t="str">
        <f>_xlfn.IFNA(VLOOKUP(B3121,T_DistName[],3,FALSE),"")</f>
        <v/>
      </c>
      <c r="J3121" t="str">
        <f t="shared" si="49"/>
        <v/>
      </c>
    </row>
    <row r="3122" spans="9:10">
      <c r="I3122" t="str">
        <f>_xlfn.IFNA(VLOOKUP(B3122,T_DistName[],3,FALSE),"")</f>
        <v/>
      </c>
      <c r="J3122" t="str">
        <f t="shared" si="49"/>
        <v/>
      </c>
    </row>
    <row r="3123" spans="9:10">
      <c r="I3123" t="str">
        <f>_xlfn.IFNA(VLOOKUP(B3123,T_DistName[],3,FALSE),"")</f>
        <v/>
      </c>
      <c r="J3123" t="str">
        <f t="shared" si="49"/>
        <v/>
      </c>
    </row>
    <row r="3124" spans="9:10">
      <c r="I3124" t="str">
        <f>_xlfn.IFNA(VLOOKUP(B3124,T_DistName[],3,FALSE),"")</f>
        <v/>
      </c>
      <c r="J3124" t="str">
        <f t="shared" si="49"/>
        <v/>
      </c>
    </row>
    <row r="3125" spans="9:10">
      <c r="I3125" t="str">
        <f>_xlfn.IFNA(VLOOKUP(B3125,T_DistName[],3,FALSE),"")</f>
        <v/>
      </c>
      <c r="J3125" t="str">
        <f t="shared" si="49"/>
        <v/>
      </c>
    </row>
    <row r="3126" spans="9:10">
      <c r="I3126" t="str">
        <f>_xlfn.IFNA(VLOOKUP(B3126,T_DistName[],3,FALSE),"")</f>
        <v/>
      </c>
      <c r="J3126" t="str">
        <f t="shared" si="49"/>
        <v/>
      </c>
    </row>
    <row r="3127" spans="9:10">
      <c r="I3127" t="str">
        <f>_xlfn.IFNA(VLOOKUP(B3127,T_DistName[],3,FALSE),"")</f>
        <v/>
      </c>
      <c r="J3127" t="str">
        <f t="shared" si="49"/>
        <v/>
      </c>
    </row>
    <row r="3128" spans="9:10">
      <c r="I3128" t="str">
        <f>_xlfn.IFNA(VLOOKUP(B3128,T_DistName[],3,FALSE),"")</f>
        <v/>
      </c>
      <c r="J3128" t="str">
        <f t="shared" si="49"/>
        <v/>
      </c>
    </row>
    <row r="3129" spans="9:10">
      <c r="I3129" t="str">
        <f>_xlfn.IFNA(VLOOKUP(B3129,T_DistName[],3,FALSE),"")</f>
        <v/>
      </c>
      <c r="J3129" t="str">
        <f t="shared" si="49"/>
        <v/>
      </c>
    </row>
    <row r="3130" spans="9:10">
      <c r="I3130" t="str">
        <f>_xlfn.IFNA(VLOOKUP(B3130,T_DistName[],3,FALSE),"")</f>
        <v/>
      </c>
      <c r="J3130" t="str">
        <f t="shared" si="49"/>
        <v/>
      </c>
    </row>
    <row r="3131" spans="9:10">
      <c r="I3131" t="str">
        <f>_xlfn.IFNA(VLOOKUP(B3131,T_DistName[],3,FALSE),"")</f>
        <v/>
      </c>
      <c r="J3131" t="str">
        <f t="shared" si="49"/>
        <v/>
      </c>
    </row>
    <row r="3132" spans="9:10">
      <c r="I3132" t="str">
        <f>_xlfn.IFNA(VLOOKUP(B3132,T_DistName[],3,FALSE),"")</f>
        <v/>
      </c>
      <c r="J3132" t="str">
        <f t="shared" si="49"/>
        <v/>
      </c>
    </row>
    <row r="3133" spans="9:10">
      <c r="I3133" t="str">
        <f>_xlfn.IFNA(VLOOKUP(B3133,T_DistName[],3,FALSE),"")</f>
        <v/>
      </c>
      <c r="J3133" t="str">
        <f t="shared" si="49"/>
        <v/>
      </c>
    </row>
    <row r="3134" spans="9:10">
      <c r="I3134" t="str">
        <f>_xlfn.IFNA(VLOOKUP(B3134,T_DistName[],3,FALSE),"")</f>
        <v/>
      </c>
      <c r="J3134" t="str">
        <f t="shared" si="49"/>
        <v/>
      </c>
    </row>
    <row r="3135" spans="9:10">
      <c r="I3135" t="str">
        <f>_xlfn.IFNA(VLOOKUP(B3135,T_DistName[],3,FALSE),"")</f>
        <v/>
      </c>
      <c r="J3135" t="str">
        <f t="shared" si="49"/>
        <v/>
      </c>
    </row>
    <row r="3136" spans="9:10">
      <c r="I3136" t="str">
        <f>_xlfn.IFNA(VLOOKUP(B3136,T_DistName[],3,FALSE),"")</f>
        <v/>
      </c>
      <c r="J3136" t="str">
        <f t="shared" si="49"/>
        <v/>
      </c>
    </row>
    <row r="3137" spans="9:10">
      <c r="I3137" t="str">
        <f>_xlfn.IFNA(VLOOKUP(B3137,T_DistName[],3,FALSE),"")</f>
        <v/>
      </c>
      <c r="J3137" t="str">
        <f t="shared" si="49"/>
        <v/>
      </c>
    </row>
    <row r="3138" spans="9:10">
      <c r="I3138" t="str">
        <f>_xlfn.IFNA(VLOOKUP(B3138,T_DistName[],3,FALSE),"")</f>
        <v/>
      </c>
      <c r="J3138" t="str">
        <f t="shared" si="49"/>
        <v/>
      </c>
    </row>
    <row r="3139" spans="9:10">
      <c r="I3139" t="str">
        <f>_xlfn.IFNA(VLOOKUP(B3139,T_DistName[],3,FALSE),"")</f>
        <v/>
      </c>
      <c r="J3139" t="str">
        <f t="shared" si="49"/>
        <v/>
      </c>
    </row>
    <row r="3140" spans="9:10">
      <c r="I3140" t="str">
        <f>_xlfn.IFNA(VLOOKUP(B3140,T_DistName[],3,FALSE),"")</f>
        <v/>
      </c>
      <c r="J3140" t="str">
        <f t="shared" si="49"/>
        <v/>
      </c>
    </row>
    <row r="3141" spans="9:10">
      <c r="I3141" t="str">
        <f>_xlfn.IFNA(VLOOKUP(B3141,T_DistName[],3,FALSE),"")</f>
        <v/>
      </c>
      <c r="J3141" t="str">
        <f t="shared" si="49"/>
        <v/>
      </c>
    </row>
    <row r="3142" spans="9:10">
      <c r="I3142" t="str">
        <f>_xlfn.IFNA(VLOOKUP(B3142,T_DistName[],3,FALSE),"")</f>
        <v/>
      </c>
      <c r="J3142" t="str">
        <f t="shared" si="49"/>
        <v/>
      </c>
    </row>
    <row r="3143" spans="9:10">
      <c r="I3143" t="str">
        <f>_xlfn.IFNA(VLOOKUP(B3143,T_DistName[],3,FALSE),"")</f>
        <v/>
      </c>
      <c r="J3143" t="str">
        <f t="shared" si="49"/>
        <v/>
      </c>
    </row>
    <row r="3144" spans="9:10">
      <c r="I3144" t="str">
        <f>_xlfn.IFNA(VLOOKUP(B3144,T_DistName[],3,FALSE),"")</f>
        <v/>
      </c>
      <c r="J3144" t="str">
        <f t="shared" si="49"/>
        <v/>
      </c>
    </row>
    <row r="3145" spans="9:10">
      <c r="I3145" t="str">
        <f>_xlfn.IFNA(VLOOKUP(B3145,T_DistName[],3,FALSE),"")</f>
        <v/>
      </c>
      <c r="J3145" t="str">
        <f t="shared" si="49"/>
        <v/>
      </c>
    </row>
    <row r="3146" spans="9:10">
      <c r="I3146" t="str">
        <f>_xlfn.IFNA(VLOOKUP(B3146,T_DistName[],3,FALSE),"")</f>
        <v/>
      </c>
      <c r="J3146" t="str">
        <f t="shared" si="49"/>
        <v/>
      </c>
    </row>
    <row r="3147" spans="9:10">
      <c r="I3147" t="str">
        <f>_xlfn.IFNA(VLOOKUP(B3147,T_DistName[],3,FALSE),"")</f>
        <v/>
      </c>
      <c r="J3147" t="str">
        <f t="shared" si="49"/>
        <v/>
      </c>
    </row>
    <row r="3148" spans="9:10">
      <c r="I3148" t="str">
        <f>_xlfn.IFNA(VLOOKUP(B3148,T_DistName[],3,FALSE),"")</f>
        <v/>
      </c>
      <c r="J3148" t="str">
        <f t="shared" si="49"/>
        <v/>
      </c>
    </row>
    <row r="3149" spans="9:10">
      <c r="I3149" t="str">
        <f>_xlfn.IFNA(VLOOKUP(B3149,T_DistName[],3,FALSE),"")</f>
        <v/>
      </c>
      <c r="J3149" t="str">
        <f t="shared" si="49"/>
        <v/>
      </c>
    </row>
    <row r="3150" spans="9:10">
      <c r="I3150" t="str">
        <f>_xlfn.IFNA(VLOOKUP(B3150,T_DistName[],3,FALSE),"")</f>
        <v/>
      </c>
      <c r="J3150" t="str">
        <f t="shared" si="49"/>
        <v/>
      </c>
    </row>
    <row r="3151" spans="9:10">
      <c r="I3151" t="str">
        <f>_xlfn.IFNA(VLOOKUP(B3151,T_DistName[],3,FALSE),"")</f>
        <v/>
      </c>
      <c r="J3151" t="str">
        <f t="shared" si="49"/>
        <v/>
      </c>
    </row>
    <row r="3152" spans="9:10">
      <c r="I3152" t="str">
        <f>_xlfn.IFNA(VLOOKUP(B3152,T_DistName[],3,FALSE),"")</f>
        <v/>
      </c>
      <c r="J3152" t="str">
        <f t="shared" si="49"/>
        <v/>
      </c>
    </row>
    <row r="3153" spans="9:10">
      <c r="I3153" t="str">
        <f>_xlfn.IFNA(VLOOKUP(B3153,T_DistName[],3,FALSE),"")</f>
        <v/>
      </c>
      <c r="J3153" t="str">
        <f t="shared" si="49"/>
        <v/>
      </c>
    </row>
    <row r="3154" spans="9:10">
      <c r="I3154" t="str">
        <f>_xlfn.IFNA(VLOOKUP(B3154,T_DistName[],3,FALSE),"")</f>
        <v/>
      </c>
      <c r="J3154" t="str">
        <f t="shared" si="49"/>
        <v/>
      </c>
    </row>
    <row r="3155" spans="9:10">
      <c r="I3155" t="str">
        <f>_xlfn.IFNA(VLOOKUP(B3155,T_DistName[],3,FALSE),"")</f>
        <v/>
      </c>
      <c r="J3155" t="str">
        <f t="shared" si="49"/>
        <v/>
      </c>
    </row>
    <row r="3156" spans="9:10">
      <c r="I3156" t="str">
        <f>_xlfn.IFNA(VLOOKUP(B3156,T_DistName[],3,FALSE),"")</f>
        <v/>
      </c>
      <c r="J3156" t="str">
        <f t="shared" si="49"/>
        <v/>
      </c>
    </row>
    <row r="3157" spans="9:10">
      <c r="I3157" t="str">
        <f>_xlfn.IFNA(VLOOKUP(B3157,T_DistName[],3,FALSE),"")</f>
        <v/>
      </c>
      <c r="J3157" t="str">
        <f t="shared" si="49"/>
        <v/>
      </c>
    </row>
    <row r="3158" spans="9:10">
      <c r="I3158" t="str">
        <f>_xlfn.IFNA(VLOOKUP(B3158,T_DistName[],3,FALSE),"")</f>
        <v/>
      </c>
      <c r="J3158" t="str">
        <f t="shared" si="49"/>
        <v/>
      </c>
    </row>
    <row r="3159" spans="9:10">
      <c r="I3159" t="str">
        <f>_xlfn.IFNA(VLOOKUP(B3159,T_DistName[],3,FALSE),"")</f>
        <v/>
      </c>
      <c r="J3159" t="str">
        <f t="shared" si="49"/>
        <v/>
      </c>
    </row>
    <row r="3160" spans="9:10">
      <c r="I3160" t="str">
        <f>_xlfn.IFNA(VLOOKUP(B3160,T_DistName[],3,FALSE),"")</f>
        <v/>
      </c>
      <c r="J3160" t="str">
        <f t="shared" si="49"/>
        <v/>
      </c>
    </row>
    <row r="3161" spans="9:10">
      <c r="I3161" t="str">
        <f>_xlfn.IFNA(VLOOKUP(B3161,T_DistName[],3,FALSE),"")</f>
        <v/>
      </c>
      <c r="J3161" t="str">
        <f t="shared" ref="J3161:J3224" si="50">I3161&amp;F3161</f>
        <v/>
      </c>
    </row>
    <row r="3162" spans="9:10">
      <c r="I3162" t="str">
        <f>_xlfn.IFNA(VLOOKUP(B3162,T_DistName[],3,FALSE),"")</f>
        <v/>
      </c>
      <c r="J3162" t="str">
        <f t="shared" si="50"/>
        <v/>
      </c>
    </row>
    <row r="3163" spans="9:10">
      <c r="I3163" t="str">
        <f>_xlfn.IFNA(VLOOKUP(B3163,T_DistName[],3,FALSE),"")</f>
        <v/>
      </c>
      <c r="J3163" t="str">
        <f t="shared" si="50"/>
        <v/>
      </c>
    </row>
    <row r="3164" spans="9:10">
      <c r="I3164" t="str">
        <f>_xlfn.IFNA(VLOOKUP(B3164,T_DistName[],3,FALSE),"")</f>
        <v/>
      </c>
      <c r="J3164" t="str">
        <f t="shared" si="50"/>
        <v/>
      </c>
    </row>
    <row r="3165" spans="9:10">
      <c r="I3165" t="str">
        <f>_xlfn.IFNA(VLOOKUP(B3165,T_DistName[],3,FALSE),"")</f>
        <v/>
      </c>
      <c r="J3165" t="str">
        <f t="shared" si="50"/>
        <v/>
      </c>
    </row>
    <row r="3166" spans="9:10">
      <c r="I3166" t="str">
        <f>_xlfn.IFNA(VLOOKUP(B3166,T_DistName[],3,FALSE),"")</f>
        <v/>
      </c>
      <c r="J3166" t="str">
        <f t="shared" si="50"/>
        <v/>
      </c>
    </row>
    <row r="3167" spans="9:10">
      <c r="I3167" t="str">
        <f>_xlfn.IFNA(VLOOKUP(B3167,T_DistName[],3,FALSE),"")</f>
        <v/>
      </c>
      <c r="J3167" t="str">
        <f t="shared" si="50"/>
        <v/>
      </c>
    </row>
    <row r="3168" spans="9:10">
      <c r="I3168" t="str">
        <f>_xlfn.IFNA(VLOOKUP(B3168,T_DistName[],3,FALSE),"")</f>
        <v/>
      </c>
      <c r="J3168" t="str">
        <f t="shared" si="50"/>
        <v/>
      </c>
    </row>
    <row r="3169" spans="9:10">
      <c r="I3169" t="str">
        <f>_xlfn.IFNA(VLOOKUP(B3169,T_DistName[],3,FALSE),"")</f>
        <v/>
      </c>
      <c r="J3169" t="str">
        <f t="shared" si="50"/>
        <v/>
      </c>
    </row>
    <row r="3170" spans="9:10">
      <c r="I3170" t="str">
        <f>_xlfn.IFNA(VLOOKUP(B3170,T_DistName[],3,FALSE),"")</f>
        <v/>
      </c>
      <c r="J3170" t="str">
        <f t="shared" si="50"/>
        <v/>
      </c>
    </row>
    <row r="3171" spans="9:10">
      <c r="I3171" t="str">
        <f>_xlfn.IFNA(VLOOKUP(B3171,T_DistName[],3,FALSE),"")</f>
        <v/>
      </c>
      <c r="J3171" t="str">
        <f t="shared" si="50"/>
        <v/>
      </c>
    </row>
    <row r="3172" spans="9:10">
      <c r="I3172" t="str">
        <f>_xlfn.IFNA(VLOOKUP(B3172,T_DistName[],3,FALSE),"")</f>
        <v/>
      </c>
      <c r="J3172" t="str">
        <f t="shared" si="50"/>
        <v/>
      </c>
    </row>
    <row r="3173" spans="9:10">
      <c r="I3173" t="str">
        <f>_xlfn.IFNA(VLOOKUP(B3173,T_DistName[],3,FALSE),"")</f>
        <v/>
      </c>
      <c r="J3173" t="str">
        <f t="shared" si="50"/>
        <v/>
      </c>
    </row>
    <row r="3174" spans="9:10">
      <c r="I3174" t="str">
        <f>_xlfn.IFNA(VLOOKUP(B3174,T_DistName[],3,FALSE),"")</f>
        <v/>
      </c>
      <c r="J3174" t="str">
        <f t="shared" si="50"/>
        <v/>
      </c>
    </row>
    <row r="3175" spans="9:10">
      <c r="I3175" t="str">
        <f>_xlfn.IFNA(VLOOKUP(B3175,T_DistName[],3,FALSE),"")</f>
        <v/>
      </c>
      <c r="J3175" t="str">
        <f t="shared" si="50"/>
        <v/>
      </c>
    </row>
    <row r="3176" spans="9:10">
      <c r="I3176" t="str">
        <f>_xlfn.IFNA(VLOOKUP(B3176,T_DistName[],3,FALSE),"")</f>
        <v/>
      </c>
      <c r="J3176" t="str">
        <f t="shared" si="50"/>
        <v/>
      </c>
    </row>
    <row r="3177" spans="9:10">
      <c r="I3177" t="str">
        <f>_xlfn.IFNA(VLOOKUP(B3177,T_DistName[],3,FALSE),"")</f>
        <v/>
      </c>
      <c r="J3177" t="str">
        <f t="shared" si="50"/>
        <v/>
      </c>
    </row>
    <row r="3178" spans="9:10">
      <c r="I3178" t="str">
        <f>_xlfn.IFNA(VLOOKUP(B3178,T_DistName[],3,FALSE),"")</f>
        <v/>
      </c>
      <c r="J3178" t="str">
        <f t="shared" si="50"/>
        <v/>
      </c>
    </row>
    <row r="3179" spans="9:10">
      <c r="I3179" t="str">
        <f>_xlfn.IFNA(VLOOKUP(B3179,T_DistName[],3,FALSE),"")</f>
        <v/>
      </c>
      <c r="J3179" t="str">
        <f t="shared" si="50"/>
        <v/>
      </c>
    </row>
    <row r="3180" spans="9:10">
      <c r="I3180" t="str">
        <f>_xlfn.IFNA(VLOOKUP(B3180,T_DistName[],3,FALSE),"")</f>
        <v/>
      </c>
      <c r="J3180" t="str">
        <f t="shared" si="50"/>
        <v/>
      </c>
    </row>
    <row r="3181" spans="9:10">
      <c r="I3181" t="str">
        <f>_xlfn.IFNA(VLOOKUP(B3181,T_DistName[],3,FALSE),"")</f>
        <v/>
      </c>
      <c r="J3181" t="str">
        <f t="shared" si="50"/>
        <v/>
      </c>
    </row>
    <row r="3182" spans="9:10">
      <c r="I3182" t="str">
        <f>_xlfn.IFNA(VLOOKUP(B3182,T_DistName[],3,FALSE),"")</f>
        <v/>
      </c>
      <c r="J3182" t="str">
        <f t="shared" si="50"/>
        <v/>
      </c>
    </row>
    <row r="3183" spans="9:10">
      <c r="I3183" t="str">
        <f>_xlfn.IFNA(VLOOKUP(B3183,T_DistName[],3,FALSE),"")</f>
        <v/>
      </c>
      <c r="J3183" t="str">
        <f t="shared" si="50"/>
        <v/>
      </c>
    </row>
    <row r="3184" spans="9:10">
      <c r="I3184" t="str">
        <f>_xlfn.IFNA(VLOOKUP(B3184,T_DistName[],3,FALSE),"")</f>
        <v/>
      </c>
      <c r="J3184" t="str">
        <f t="shared" si="50"/>
        <v/>
      </c>
    </row>
    <row r="3185" spans="9:10">
      <c r="I3185" t="str">
        <f>_xlfn.IFNA(VLOOKUP(B3185,T_DistName[],3,FALSE),"")</f>
        <v/>
      </c>
      <c r="J3185" t="str">
        <f t="shared" si="50"/>
        <v/>
      </c>
    </row>
    <row r="3186" spans="9:10">
      <c r="I3186" t="str">
        <f>_xlfn.IFNA(VLOOKUP(B3186,T_DistName[],3,FALSE),"")</f>
        <v/>
      </c>
      <c r="J3186" t="str">
        <f t="shared" si="50"/>
        <v/>
      </c>
    </row>
    <row r="3187" spans="9:10">
      <c r="I3187" t="str">
        <f>_xlfn.IFNA(VLOOKUP(B3187,T_DistName[],3,FALSE),"")</f>
        <v/>
      </c>
      <c r="J3187" t="str">
        <f t="shared" si="50"/>
        <v/>
      </c>
    </row>
    <row r="3188" spans="9:10">
      <c r="I3188" t="str">
        <f>_xlfn.IFNA(VLOOKUP(B3188,T_DistName[],3,FALSE),"")</f>
        <v/>
      </c>
      <c r="J3188" t="str">
        <f t="shared" si="50"/>
        <v/>
      </c>
    </row>
    <row r="3189" spans="9:10">
      <c r="I3189" t="str">
        <f>_xlfn.IFNA(VLOOKUP(B3189,T_DistName[],3,FALSE),"")</f>
        <v/>
      </c>
      <c r="J3189" t="str">
        <f t="shared" si="50"/>
        <v/>
      </c>
    </row>
    <row r="3190" spans="9:10">
      <c r="I3190" t="str">
        <f>_xlfn.IFNA(VLOOKUP(B3190,T_DistName[],3,FALSE),"")</f>
        <v/>
      </c>
      <c r="J3190" t="str">
        <f t="shared" si="50"/>
        <v/>
      </c>
    </row>
    <row r="3191" spans="9:10">
      <c r="I3191" t="str">
        <f>_xlfn.IFNA(VLOOKUP(B3191,T_DistName[],3,FALSE),"")</f>
        <v/>
      </c>
      <c r="J3191" t="str">
        <f t="shared" si="50"/>
        <v/>
      </c>
    </row>
    <row r="3192" spans="9:10">
      <c r="I3192" t="str">
        <f>_xlfn.IFNA(VLOOKUP(B3192,T_DistName[],3,FALSE),"")</f>
        <v/>
      </c>
      <c r="J3192" t="str">
        <f t="shared" si="50"/>
        <v/>
      </c>
    </row>
    <row r="3193" spans="9:10">
      <c r="I3193" t="str">
        <f>_xlfn.IFNA(VLOOKUP(B3193,T_DistName[],3,FALSE),"")</f>
        <v/>
      </c>
      <c r="J3193" t="str">
        <f t="shared" si="50"/>
        <v/>
      </c>
    </row>
    <row r="3194" spans="9:10">
      <c r="I3194" t="str">
        <f>_xlfn.IFNA(VLOOKUP(B3194,T_DistName[],3,FALSE),"")</f>
        <v/>
      </c>
      <c r="J3194" t="str">
        <f t="shared" si="50"/>
        <v/>
      </c>
    </row>
    <row r="3195" spans="9:10">
      <c r="I3195" t="str">
        <f>_xlfn.IFNA(VLOOKUP(B3195,T_DistName[],3,FALSE),"")</f>
        <v/>
      </c>
      <c r="J3195" t="str">
        <f t="shared" si="50"/>
        <v/>
      </c>
    </row>
    <row r="3196" spans="9:10">
      <c r="I3196" t="str">
        <f>_xlfn.IFNA(VLOOKUP(B3196,T_DistName[],3,FALSE),"")</f>
        <v/>
      </c>
      <c r="J3196" t="str">
        <f t="shared" si="50"/>
        <v/>
      </c>
    </row>
    <row r="3197" spans="9:10">
      <c r="I3197" t="str">
        <f>_xlfn.IFNA(VLOOKUP(B3197,T_DistName[],3,FALSE),"")</f>
        <v/>
      </c>
      <c r="J3197" t="str">
        <f t="shared" si="50"/>
        <v/>
      </c>
    </row>
    <row r="3198" spans="9:10">
      <c r="I3198" t="str">
        <f>_xlfn.IFNA(VLOOKUP(B3198,T_DistName[],3,FALSE),"")</f>
        <v/>
      </c>
      <c r="J3198" t="str">
        <f t="shared" si="50"/>
        <v/>
      </c>
    </row>
    <row r="3199" spans="9:10">
      <c r="I3199" t="str">
        <f>_xlfn.IFNA(VLOOKUP(B3199,T_DistName[],3,FALSE),"")</f>
        <v/>
      </c>
      <c r="J3199" t="str">
        <f t="shared" si="50"/>
        <v/>
      </c>
    </row>
    <row r="3200" spans="9:10">
      <c r="I3200" t="str">
        <f>_xlfn.IFNA(VLOOKUP(B3200,T_DistName[],3,FALSE),"")</f>
        <v/>
      </c>
      <c r="J3200" t="str">
        <f t="shared" si="50"/>
        <v/>
      </c>
    </row>
    <row r="3201" spans="9:10">
      <c r="I3201" t="str">
        <f>_xlfn.IFNA(VLOOKUP(B3201,T_DistName[],3,FALSE),"")</f>
        <v/>
      </c>
      <c r="J3201" t="str">
        <f t="shared" si="50"/>
        <v/>
      </c>
    </row>
    <row r="3202" spans="9:10">
      <c r="I3202" t="str">
        <f>_xlfn.IFNA(VLOOKUP(B3202,T_DistName[],3,FALSE),"")</f>
        <v/>
      </c>
      <c r="J3202" t="str">
        <f t="shared" si="50"/>
        <v/>
      </c>
    </row>
    <row r="3203" spans="9:10">
      <c r="I3203" t="str">
        <f>_xlfn.IFNA(VLOOKUP(B3203,T_DistName[],3,FALSE),"")</f>
        <v/>
      </c>
      <c r="J3203" t="str">
        <f t="shared" si="50"/>
        <v/>
      </c>
    </row>
    <row r="3204" spans="9:10">
      <c r="I3204" t="str">
        <f>_xlfn.IFNA(VLOOKUP(B3204,T_DistName[],3,FALSE),"")</f>
        <v/>
      </c>
      <c r="J3204" t="str">
        <f t="shared" si="50"/>
        <v/>
      </c>
    </row>
    <row r="3205" spans="9:10">
      <c r="I3205" t="str">
        <f>_xlfn.IFNA(VLOOKUP(B3205,T_DistName[],3,FALSE),"")</f>
        <v/>
      </c>
      <c r="J3205" t="str">
        <f t="shared" si="50"/>
        <v/>
      </c>
    </row>
    <row r="3206" spans="9:10">
      <c r="I3206" t="str">
        <f>_xlfn.IFNA(VLOOKUP(B3206,T_DistName[],3,FALSE),"")</f>
        <v/>
      </c>
      <c r="J3206" t="str">
        <f t="shared" si="50"/>
        <v/>
      </c>
    </row>
    <row r="3207" spans="9:10">
      <c r="I3207" t="str">
        <f>_xlfn.IFNA(VLOOKUP(B3207,T_DistName[],3,FALSE),"")</f>
        <v/>
      </c>
      <c r="J3207" t="str">
        <f t="shared" si="50"/>
        <v/>
      </c>
    </row>
    <row r="3208" spans="9:10">
      <c r="I3208" t="str">
        <f>_xlfn.IFNA(VLOOKUP(B3208,T_DistName[],3,FALSE),"")</f>
        <v/>
      </c>
      <c r="J3208" t="str">
        <f t="shared" si="50"/>
        <v/>
      </c>
    </row>
    <row r="3209" spans="9:10">
      <c r="I3209" t="str">
        <f>_xlfn.IFNA(VLOOKUP(B3209,T_DistName[],3,FALSE),"")</f>
        <v/>
      </c>
      <c r="J3209" t="str">
        <f t="shared" si="50"/>
        <v/>
      </c>
    </row>
    <row r="3210" spans="9:10">
      <c r="I3210" t="str">
        <f>_xlfn.IFNA(VLOOKUP(B3210,T_DistName[],3,FALSE),"")</f>
        <v/>
      </c>
      <c r="J3210" t="str">
        <f t="shared" si="50"/>
        <v/>
      </c>
    </row>
    <row r="3211" spans="9:10">
      <c r="I3211" t="str">
        <f>_xlfn.IFNA(VLOOKUP(B3211,T_DistName[],3,FALSE),"")</f>
        <v/>
      </c>
      <c r="J3211" t="str">
        <f t="shared" si="50"/>
        <v/>
      </c>
    </row>
    <row r="3212" spans="9:10">
      <c r="I3212" t="str">
        <f>_xlfn.IFNA(VLOOKUP(B3212,T_DistName[],3,FALSE),"")</f>
        <v/>
      </c>
      <c r="J3212" t="str">
        <f t="shared" si="50"/>
        <v/>
      </c>
    </row>
    <row r="3213" spans="9:10">
      <c r="I3213" t="str">
        <f>_xlfn.IFNA(VLOOKUP(B3213,T_DistName[],3,FALSE),"")</f>
        <v/>
      </c>
      <c r="J3213" t="str">
        <f t="shared" si="50"/>
        <v/>
      </c>
    </row>
    <row r="3214" spans="9:10">
      <c r="I3214" t="str">
        <f>_xlfn.IFNA(VLOOKUP(B3214,T_DistName[],3,FALSE),"")</f>
        <v/>
      </c>
      <c r="J3214" t="str">
        <f t="shared" si="50"/>
        <v/>
      </c>
    </row>
    <row r="3215" spans="9:10">
      <c r="I3215" t="str">
        <f>_xlfn.IFNA(VLOOKUP(B3215,T_DistName[],3,FALSE),"")</f>
        <v/>
      </c>
      <c r="J3215" t="str">
        <f t="shared" si="50"/>
        <v/>
      </c>
    </row>
    <row r="3216" spans="9:10">
      <c r="I3216" t="str">
        <f>_xlfn.IFNA(VLOOKUP(B3216,T_DistName[],3,FALSE),"")</f>
        <v/>
      </c>
      <c r="J3216" t="str">
        <f t="shared" si="50"/>
        <v/>
      </c>
    </row>
    <row r="3217" spans="9:10">
      <c r="I3217" t="str">
        <f>_xlfn.IFNA(VLOOKUP(B3217,T_DistName[],3,FALSE),"")</f>
        <v/>
      </c>
      <c r="J3217" t="str">
        <f t="shared" si="50"/>
        <v/>
      </c>
    </row>
    <row r="3218" spans="9:10">
      <c r="I3218" t="str">
        <f>_xlfn.IFNA(VLOOKUP(B3218,T_DistName[],3,FALSE),"")</f>
        <v/>
      </c>
      <c r="J3218" t="str">
        <f t="shared" si="50"/>
        <v/>
      </c>
    </row>
    <row r="3219" spans="9:10">
      <c r="I3219" t="str">
        <f>_xlfn.IFNA(VLOOKUP(B3219,T_DistName[],3,FALSE),"")</f>
        <v/>
      </c>
      <c r="J3219" t="str">
        <f t="shared" si="50"/>
        <v/>
      </c>
    </row>
    <row r="3220" spans="9:10">
      <c r="I3220" t="str">
        <f>_xlfn.IFNA(VLOOKUP(B3220,T_DistName[],3,FALSE),"")</f>
        <v/>
      </c>
      <c r="J3220" t="str">
        <f t="shared" si="50"/>
        <v/>
      </c>
    </row>
    <row r="3221" spans="9:10">
      <c r="I3221" t="str">
        <f>_xlfn.IFNA(VLOOKUP(B3221,T_DistName[],3,FALSE),"")</f>
        <v/>
      </c>
      <c r="J3221" t="str">
        <f t="shared" si="50"/>
        <v/>
      </c>
    </row>
    <row r="3222" spans="9:10">
      <c r="I3222" t="str">
        <f>_xlfn.IFNA(VLOOKUP(B3222,T_DistName[],3,FALSE),"")</f>
        <v/>
      </c>
      <c r="J3222" t="str">
        <f t="shared" si="50"/>
        <v/>
      </c>
    </row>
    <row r="3223" spans="9:10">
      <c r="I3223" t="str">
        <f>_xlfn.IFNA(VLOOKUP(B3223,T_DistName[],3,FALSE),"")</f>
        <v/>
      </c>
      <c r="J3223" t="str">
        <f t="shared" si="50"/>
        <v/>
      </c>
    </row>
    <row r="3224" spans="9:10">
      <c r="I3224" t="str">
        <f>_xlfn.IFNA(VLOOKUP(B3224,T_DistName[],3,FALSE),"")</f>
        <v/>
      </c>
      <c r="J3224" t="str">
        <f t="shared" si="50"/>
        <v/>
      </c>
    </row>
    <row r="3225" spans="9:10">
      <c r="I3225" t="str">
        <f>_xlfn.IFNA(VLOOKUP(B3225,T_DistName[],3,FALSE),"")</f>
        <v/>
      </c>
      <c r="J3225" t="str">
        <f t="shared" ref="J3225:J3288" si="51">I3225&amp;F3225</f>
        <v/>
      </c>
    </row>
    <row r="3226" spans="9:10">
      <c r="I3226" t="str">
        <f>_xlfn.IFNA(VLOOKUP(B3226,T_DistName[],3,FALSE),"")</f>
        <v/>
      </c>
      <c r="J3226" t="str">
        <f t="shared" si="51"/>
        <v/>
      </c>
    </row>
    <row r="3227" spans="9:10">
      <c r="I3227" t="str">
        <f>_xlfn.IFNA(VLOOKUP(B3227,T_DistName[],3,FALSE),"")</f>
        <v/>
      </c>
      <c r="J3227" t="str">
        <f t="shared" si="51"/>
        <v/>
      </c>
    </row>
    <row r="3228" spans="9:10">
      <c r="I3228" t="str">
        <f>_xlfn.IFNA(VLOOKUP(B3228,T_DistName[],3,FALSE),"")</f>
        <v/>
      </c>
      <c r="J3228" t="str">
        <f t="shared" si="51"/>
        <v/>
      </c>
    </row>
    <row r="3229" spans="9:10">
      <c r="I3229" t="str">
        <f>_xlfn.IFNA(VLOOKUP(B3229,T_DistName[],3,FALSE),"")</f>
        <v/>
      </c>
      <c r="J3229" t="str">
        <f t="shared" si="51"/>
        <v/>
      </c>
    </row>
    <row r="3230" spans="9:10">
      <c r="I3230" t="str">
        <f>_xlfn.IFNA(VLOOKUP(B3230,T_DistName[],3,FALSE),"")</f>
        <v/>
      </c>
      <c r="J3230" t="str">
        <f t="shared" si="51"/>
        <v/>
      </c>
    </row>
    <row r="3231" spans="9:10">
      <c r="I3231" t="str">
        <f>_xlfn.IFNA(VLOOKUP(B3231,T_DistName[],3,FALSE),"")</f>
        <v/>
      </c>
      <c r="J3231" t="str">
        <f t="shared" si="51"/>
        <v/>
      </c>
    </row>
    <row r="3232" spans="9:10">
      <c r="I3232" t="str">
        <f>_xlfn.IFNA(VLOOKUP(B3232,T_DistName[],3,FALSE),"")</f>
        <v/>
      </c>
      <c r="J3232" t="str">
        <f t="shared" si="51"/>
        <v/>
      </c>
    </row>
    <row r="3233" spans="9:10">
      <c r="I3233" t="str">
        <f>_xlfn.IFNA(VLOOKUP(B3233,T_DistName[],3,FALSE),"")</f>
        <v/>
      </c>
      <c r="J3233" t="str">
        <f t="shared" si="51"/>
        <v/>
      </c>
    </row>
    <row r="3234" spans="9:10">
      <c r="I3234" t="str">
        <f>_xlfn.IFNA(VLOOKUP(B3234,T_DistName[],3,FALSE),"")</f>
        <v/>
      </c>
      <c r="J3234" t="str">
        <f t="shared" si="51"/>
        <v/>
      </c>
    </row>
    <row r="3235" spans="9:10">
      <c r="I3235" t="str">
        <f>_xlfn.IFNA(VLOOKUP(B3235,T_DistName[],3,FALSE),"")</f>
        <v/>
      </c>
      <c r="J3235" t="str">
        <f t="shared" si="51"/>
        <v/>
      </c>
    </row>
    <row r="3236" spans="9:10">
      <c r="I3236" t="str">
        <f>_xlfn.IFNA(VLOOKUP(B3236,T_DistName[],3,FALSE),"")</f>
        <v/>
      </c>
      <c r="J3236" t="str">
        <f t="shared" si="51"/>
        <v/>
      </c>
    </row>
    <row r="3237" spans="9:10">
      <c r="I3237" t="str">
        <f>_xlfn.IFNA(VLOOKUP(B3237,T_DistName[],3,FALSE),"")</f>
        <v/>
      </c>
      <c r="J3237" t="str">
        <f t="shared" si="51"/>
        <v/>
      </c>
    </row>
    <row r="3238" spans="9:10">
      <c r="I3238" t="str">
        <f>_xlfn.IFNA(VLOOKUP(B3238,T_DistName[],3,FALSE),"")</f>
        <v/>
      </c>
      <c r="J3238" t="str">
        <f t="shared" si="51"/>
        <v/>
      </c>
    </row>
    <row r="3239" spans="9:10">
      <c r="I3239" t="str">
        <f>_xlfn.IFNA(VLOOKUP(B3239,T_DistName[],3,FALSE),"")</f>
        <v/>
      </c>
      <c r="J3239" t="str">
        <f t="shared" si="51"/>
        <v/>
      </c>
    </row>
    <row r="3240" spans="9:10">
      <c r="I3240" t="str">
        <f>_xlfn.IFNA(VLOOKUP(B3240,T_DistName[],3,FALSE),"")</f>
        <v/>
      </c>
      <c r="J3240" t="str">
        <f t="shared" si="51"/>
        <v/>
      </c>
    </row>
    <row r="3241" spans="9:10">
      <c r="I3241" t="str">
        <f>_xlfn.IFNA(VLOOKUP(B3241,T_DistName[],3,FALSE),"")</f>
        <v/>
      </c>
      <c r="J3241" t="str">
        <f t="shared" si="51"/>
        <v/>
      </c>
    </row>
    <row r="3242" spans="9:10">
      <c r="I3242" t="str">
        <f>_xlfn.IFNA(VLOOKUP(B3242,T_DistName[],3,FALSE),"")</f>
        <v/>
      </c>
      <c r="J3242" t="str">
        <f t="shared" si="51"/>
        <v/>
      </c>
    </row>
    <row r="3243" spans="9:10">
      <c r="I3243" t="str">
        <f>_xlfn.IFNA(VLOOKUP(B3243,T_DistName[],3,FALSE),"")</f>
        <v/>
      </c>
      <c r="J3243" t="str">
        <f t="shared" si="51"/>
        <v/>
      </c>
    </row>
    <row r="3244" spans="9:10">
      <c r="I3244" t="str">
        <f>_xlfn.IFNA(VLOOKUP(B3244,T_DistName[],3,FALSE),"")</f>
        <v/>
      </c>
      <c r="J3244" t="str">
        <f t="shared" si="51"/>
        <v/>
      </c>
    </row>
    <row r="3245" spans="9:10">
      <c r="I3245" t="str">
        <f>_xlfn.IFNA(VLOOKUP(B3245,T_DistName[],3,FALSE),"")</f>
        <v/>
      </c>
      <c r="J3245" t="str">
        <f t="shared" si="51"/>
        <v/>
      </c>
    </row>
    <row r="3246" spans="9:10">
      <c r="I3246" t="str">
        <f>_xlfn.IFNA(VLOOKUP(B3246,T_DistName[],3,FALSE),"")</f>
        <v/>
      </c>
      <c r="J3246" t="str">
        <f t="shared" si="51"/>
        <v/>
      </c>
    </row>
    <row r="3247" spans="9:10">
      <c r="I3247" t="str">
        <f>_xlfn.IFNA(VLOOKUP(B3247,T_DistName[],3,FALSE),"")</f>
        <v/>
      </c>
      <c r="J3247" t="str">
        <f t="shared" si="51"/>
        <v/>
      </c>
    </row>
    <row r="3248" spans="9:10">
      <c r="I3248" t="str">
        <f>_xlfn.IFNA(VLOOKUP(B3248,T_DistName[],3,FALSE),"")</f>
        <v/>
      </c>
      <c r="J3248" t="str">
        <f t="shared" si="51"/>
        <v/>
      </c>
    </row>
    <row r="3249" spans="9:10">
      <c r="I3249" t="str">
        <f>_xlfn.IFNA(VLOOKUP(B3249,T_DistName[],3,FALSE),"")</f>
        <v/>
      </c>
      <c r="J3249" t="str">
        <f t="shared" si="51"/>
        <v/>
      </c>
    </row>
    <row r="3250" spans="9:10">
      <c r="I3250" t="str">
        <f>_xlfn.IFNA(VLOOKUP(B3250,T_DistName[],3,FALSE),"")</f>
        <v/>
      </c>
      <c r="J3250" t="str">
        <f t="shared" si="51"/>
        <v/>
      </c>
    </row>
    <row r="3251" spans="9:10">
      <c r="I3251" t="str">
        <f>_xlfn.IFNA(VLOOKUP(B3251,T_DistName[],3,FALSE),"")</f>
        <v/>
      </c>
      <c r="J3251" t="str">
        <f t="shared" si="51"/>
        <v/>
      </c>
    </row>
    <row r="3252" spans="9:10">
      <c r="I3252" t="str">
        <f>_xlfn.IFNA(VLOOKUP(B3252,T_DistName[],3,FALSE),"")</f>
        <v/>
      </c>
      <c r="J3252" t="str">
        <f t="shared" si="51"/>
        <v/>
      </c>
    </row>
    <row r="3253" spans="9:10">
      <c r="I3253" t="str">
        <f>_xlfn.IFNA(VLOOKUP(B3253,T_DistName[],3,FALSE),"")</f>
        <v/>
      </c>
      <c r="J3253" t="str">
        <f t="shared" si="51"/>
        <v/>
      </c>
    </row>
    <row r="3254" spans="9:10">
      <c r="I3254" t="str">
        <f>_xlfn.IFNA(VLOOKUP(B3254,T_DistName[],3,FALSE),"")</f>
        <v/>
      </c>
      <c r="J3254" t="str">
        <f t="shared" si="51"/>
        <v/>
      </c>
    </row>
    <row r="3255" spans="9:10">
      <c r="I3255" t="str">
        <f>_xlfn.IFNA(VLOOKUP(B3255,T_DistName[],3,FALSE),"")</f>
        <v/>
      </c>
      <c r="J3255" t="str">
        <f t="shared" si="51"/>
        <v/>
      </c>
    </row>
    <row r="3256" spans="9:10">
      <c r="I3256" t="str">
        <f>_xlfn.IFNA(VLOOKUP(B3256,T_DistName[],3,FALSE),"")</f>
        <v/>
      </c>
      <c r="J3256" t="str">
        <f t="shared" si="51"/>
        <v/>
      </c>
    </row>
    <row r="3257" spans="9:10">
      <c r="I3257" t="str">
        <f>_xlfn.IFNA(VLOOKUP(B3257,T_DistName[],3,FALSE),"")</f>
        <v/>
      </c>
      <c r="J3257" t="str">
        <f t="shared" si="51"/>
        <v/>
      </c>
    </row>
    <row r="3258" spans="9:10">
      <c r="I3258" t="str">
        <f>_xlfn.IFNA(VLOOKUP(B3258,T_DistName[],3,FALSE),"")</f>
        <v/>
      </c>
      <c r="J3258" t="str">
        <f t="shared" si="51"/>
        <v/>
      </c>
    </row>
    <row r="3259" spans="9:10">
      <c r="I3259" t="str">
        <f>_xlfn.IFNA(VLOOKUP(B3259,T_DistName[],3,FALSE),"")</f>
        <v/>
      </c>
      <c r="J3259" t="str">
        <f t="shared" si="51"/>
        <v/>
      </c>
    </row>
    <row r="3260" spans="9:10">
      <c r="I3260" t="str">
        <f>_xlfn.IFNA(VLOOKUP(B3260,T_DistName[],3,FALSE),"")</f>
        <v/>
      </c>
      <c r="J3260" t="str">
        <f t="shared" si="51"/>
        <v/>
      </c>
    </row>
    <row r="3261" spans="9:10">
      <c r="I3261" t="str">
        <f>_xlfn.IFNA(VLOOKUP(B3261,T_DistName[],3,FALSE),"")</f>
        <v/>
      </c>
      <c r="J3261" t="str">
        <f t="shared" si="51"/>
        <v/>
      </c>
    </row>
    <row r="3262" spans="9:10">
      <c r="I3262" t="str">
        <f>_xlfn.IFNA(VLOOKUP(B3262,T_DistName[],3,FALSE),"")</f>
        <v/>
      </c>
      <c r="J3262" t="str">
        <f t="shared" si="51"/>
        <v/>
      </c>
    </row>
    <row r="3263" spans="9:10">
      <c r="I3263" t="str">
        <f>_xlfn.IFNA(VLOOKUP(B3263,T_DistName[],3,FALSE),"")</f>
        <v/>
      </c>
      <c r="J3263" t="str">
        <f t="shared" si="51"/>
        <v/>
      </c>
    </row>
    <row r="3264" spans="9:10">
      <c r="I3264" t="str">
        <f>_xlfn.IFNA(VLOOKUP(B3264,T_DistName[],3,FALSE),"")</f>
        <v/>
      </c>
      <c r="J3264" t="str">
        <f t="shared" si="51"/>
        <v/>
      </c>
    </row>
    <row r="3265" spans="9:10">
      <c r="I3265" t="str">
        <f>_xlfn.IFNA(VLOOKUP(B3265,T_DistName[],3,FALSE),"")</f>
        <v/>
      </c>
      <c r="J3265" t="str">
        <f t="shared" si="51"/>
        <v/>
      </c>
    </row>
    <row r="3266" spans="9:10">
      <c r="I3266" t="str">
        <f>_xlfn.IFNA(VLOOKUP(B3266,T_DistName[],3,FALSE),"")</f>
        <v/>
      </c>
      <c r="J3266" t="str">
        <f t="shared" si="51"/>
        <v/>
      </c>
    </row>
    <row r="3267" spans="9:10">
      <c r="I3267" t="str">
        <f>_xlfn.IFNA(VLOOKUP(B3267,T_DistName[],3,FALSE),"")</f>
        <v/>
      </c>
      <c r="J3267" t="str">
        <f t="shared" si="51"/>
        <v/>
      </c>
    </row>
    <row r="3268" spans="9:10">
      <c r="I3268" t="str">
        <f>_xlfn.IFNA(VLOOKUP(B3268,T_DistName[],3,FALSE),"")</f>
        <v/>
      </c>
      <c r="J3268" t="str">
        <f t="shared" si="51"/>
        <v/>
      </c>
    </row>
    <row r="3269" spans="9:10">
      <c r="I3269" t="str">
        <f>_xlfn.IFNA(VLOOKUP(B3269,T_DistName[],3,FALSE),"")</f>
        <v/>
      </c>
      <c r="J3269" t="str">
        <f t="shared" si="51"/>
        <v/>
      </c>
    </row>
    <row r="3270" spans="9:10">
      <c r="I3270" t="str">
        <f>_xlfn.IFNA(VLOOKUP(B3270,T_DistName[],3,FALSE),"")</f>
        <v/>
      </c>
      <c r="J3270" t="str">
        <f t="shared" si="51"/>
        <v/>
      </c>
    </row>
    <row r="3271" spans="9:10">
      <c r="I3271" t="str">
        <f>_xlfn.IFNA(VLOOKUP(B3271,T_DistName[],3,FALSE),"")</f>
        <v/>
      </c>
      <c r="J3271" t="str">
        <f t="shared" si="51"/>
        <v/>
      </c>
    </row>
    <row r="3272" spans="9:10">
      <c r="I3272" t="str">
        <f>_xlfn.IFNA(VLOOKUP(B3272,T_DistName[],3,FALSE),"")</f>
        <v/>
      </c>
      <c r="J3272" t="str">
        <f t="shared" si="51"/>
        <v/>
      </c>
    </row>
    <row r="3273" spans="9:10">
      <c r="I3273" t="str">
        <f>_xlfn.IFNA(VLOOKUP(B3273,T_DistName[],3,FALSE),"")</f>
        <v/>
      </c>
      <c r="J3273" t="str">
        <f t="shared" si="51"/>
        <v/>
      </c>
    </row>
    <row r="3274" spans="9:10">
      <c r="I3274" t="str">
        <f>_xlfn.IFNA(VLOOKUP(B3274,T_DistName[],3,FALSE),"")</f>
        <v/>
      </c>
      <c r="J3274" t="str">
        <f t="shared" si="51"/>
        <v/>
      </c>
    </row>
    <row r="3275" spans="9:10">
      <c r="I3275" t="str">
        <f>_xlfn.IFNA(VLOOKUP(B3275,T_DistName[],3,FALSE),"")</f>
        <v/>
      </c>
      <c r="J3275" t="str">
        <f t="shared" si="51"/>
        <v/>
      </c>
    </row>
    <row r="3276" spans="9:10">
      <c r="I3276" t="str">
        <f>_xlfn.IFNA(VLOOKUP(B3276,T_DistName[],3,FALSE),"")</f>
        <v/>
      </c>
      <c r="J3276" t="str">
        <f t="shared" si="51"/>
        <v/>
      </c>
    </row>
    <row r="3277" spans="9:10">
      <c r="I3277" t="str">
        <f>_xlfn.IFNA(VLOOKUP(B3277,T_DistName[],3,FALSE),"")</f>
        <v/>
      </c>
      <c r="J3277" t="str">
        <f t="shared" si="51"/>
        <v/>
      </c>
    </row>
    <row r="3278" spans="9:10">
      <c r="I3278" t="str">
        <f>_xlfn.IFNA(VLOOKUP(B3278,T_DistName[],3,FALSE),"")</f>
        <v/>
      </c>
      <c r="J3278" t="str">
        <f t="shared" si="51"/>
        <v/>
      </c>
    </row>
    <row r="3279" spans="9:10">
      <c r="I3279" t="str">
        <f>_xlfn.IFNA(VLOOKUP(B3279,T_DistName[],3,FALSE),"")</f>
        <v/>
      </c>
      <c r="J3279" t="str">
        <f t="shared" si="51"/>
        <v/>
      </c>
    </row>
    <row r="3280" spans="9:10">
      <c r="I3280" t="str">
        <f>_xlfn.IFNA(VLOOKUP(B3280,T_DistName[],3,FALSE),"")</f>
        <v/>
      </c>
      <c r="J3280" t="str">
        <f t="shared" si="51"/>
        <v/>
      </c>
    </row>
    <row r="3281" spans="9:10">
      <c r="I3281" t="str">
        <f>_xlfn.IFNA(VLOOKUP(B3281,T_DistName[],3,FALSE),"")</f>
        <v/>
      </c>
      <c r="J3281" t="str">
        <f t="shared" si="51"/>
        <v/>
      </c>
    </row>
    <row r="3282" spans="9:10">
      <c r="I3282" t="str">
        <f>_xlfn.IFNA(VLOOKUP(B3282,T_DistName[],3,FALSE),"")</f>
        <v/>
      </c>
      <c r="J3282" t="str">
        <f t="shared" si="51"/>
        <v/>
      </c>
    </row>
    <row r="3283" spans="9:10">
      <c r="I3283" t="str">
        <f>_xlfn.IFNA(VLOOKUP(B3283,T_DistName[],3,FALSE),"")</f>
        <v/>
      </c>
      <c r="J3283" t="str">
        <f t="shared" si="51"/>
        <v/>
      </c>
    </row>
    <row r="3284" spans="9:10">
      <c r="I3284" t="str">
        <f>_xlfn.IFNA(VLOOKUP(B3284,T_DistName[],3,FALSE),"")</f>
        <v/>
      </c>
      <c r="J3284" t="str">
        <f t="shared" si="51"/>
        <v/>
      </c>
    </row>
    <row r="3285" spans="9:10">
      <c r="I3285" t="str">
        <f>_xlfn.IFNA(VLOOKUP(B3285,T_DistName[],3,FALSE),"")</f>
        <v/>
      </c>
      <c r="J3285" t="str">
        <f t="shared" si="51"/>
        <v/>
      </c>
    </row>
    <row r="3286" spans="9:10">
      <c r="I3286" t="str">
        <f>_xlfn.IFNA(VLOOKUP(B3286,T_DistName[],3,FALSE),"")</f>
        <v/>
      </c>
      <c r="J3286" t="str">
        <f t="shared" si="51"/>
        <v/>
      </c>
    </row>
    <row r="3287" spans="9:10">
      <c r="I3287" t="str">
        <f>_xlfn.IFNA(VLOOKUP(B3287,T_DistName[],3,FALSE),"")</f>
        <v/>
      </c>
      <c r="J3287" t="str">
        <f t="shared" si="51"/>
        <v/>
      </c>
    </row>
    <row r="3288" spans="9:10">
      <c r="I3288" t="str">
        <f>_xlfn.IFNA(VLOOKUP(B3288,T_DistName[],3,FALSE),"")</f>
        <v/>
      </c>
      <c r="J3288" t="str">
        <f t="shared" si="51"/>
        <v/>
      </c>
    </row>
    <row r="3289" spans="9:10">
      <c r="I3289" t="str">
        <f>_xlfn.IFNA(VLOOKUP(B3289,T_DistName[],3,FALSE),"")</f>
        <v/>
      </c>
      <c r="J3289" t="str">
        <f t="shared" ref="J3289:J3352" si="52">I3289&amp;F3289</f>
        <v/>
      </c>
    </row>
    <row r="3290" spans="9:10">
      <c r="I3290" t="str">
        <f>_xlfn.IFNA(VLOOKUP(B3290,T_DistName[],3,FALSE),"")</f>
        <v/>
      </c>
      <c r="J3290" t="str">
        <f t="shared" si="52"/>
        <v/>
      </c>
    </row>
    <row r="3291" spans="9:10">
      <c r="I3291" t="str">
        <f>_xlfn.IFNA(VLOOKUP(B3291,T_DistName[],3,FALSE),"")</f>
        <v/>
      </c>
      <c r="J3291" t="str">
        <f t="shared" si="52"/>
        <v/>
      </c>
    </row>
    <row r="3292" spans="9:10">
      <c r="I3292" t="str">
        <f>_xlfn.IFNA(VLOOKUP(B3292,T_DistName[],3,FALSE),"")</f>
        <v/>
      </c>
      <c r="J3292" t="str">
        <f t="shared" si="52"/>
        <v/>
      </c>
    </row>
    <row r="3293" spans="9:10">
      <c r="I3293" t="str">
        <f>_xlfn.IFNA(VLOOKUP(B3293,T_DistName[],3,FALSE),"")</f>
        <v/>
      </c>
      <c r="J3293" t="str">
        <f t="shared" si="52"/>
        <v/>
      </c>
    </row>
    <row r="3294" spans="9:10">
      <c r="I3294" t="str">
        <f>_xlfn.IFNA(VLOOKUP(B3294,T_DistName[],3,FALSE),"")</f>
        <v/>
      </c>
      <c r="J3294" t="str">
        <f t="shared" si="52"/>
        <v/>
      </c>
    </row>
    <row r="3295" spans="9:10">
      <c r="I3295" t="str">
        <f>_xlfn.IFNA(VLOOKUP(B3295,T_DistName[],3,FALSE),"")</f>
        <v/>
      </c>
      <c r="J3295" t="str">
        <f t="shared" si="52"/>
        <v/>
      </c>
    </row>
    <row r="3296" spans="9:10">
      <c r="I3296" t="str">
        <f>_xlfn.IFNA(VLOOKUP(B3296,T_DistName[],3,FALSE),"")</f>
        <v/>
      </c>
      <c r="J3296" t="str">
        <f t="shared" si="52"/>
        <v/>
      </c>
    </row>
    <row r="3297" spans="9:10">
      <c r="I3297" t="str">
        <f>_xlfn.IFNA(VLOOKUP(B3297,T_DistName[],3,FALSE),"")</f>
        <v/>
      </c>
      <c r="J3297" t="str">
        <f t="shared" si="52"/>
        <v/>
      </c>
    </row>
    <row r="3298" spans="9:10">
      <c r="I3298" t="str">
        <f>_xlfn.IFNA(VLOOKUP(B3298,T_DistName[],3,FALSE),"")</f>
        <v/>
      </c>
      <c r="J3298" t="str">
        <f t="shared" si="52"/>
        <v/>
      </c>
    </row>
    <row r="3299" spans="9:10">
      <c r="I3299" t="str">
        <f>_xlfn.IFNA(VLOOKUP(B3299,T_DistName[],3,FALSE),"")</f>
        <v/>
      </c>
      <c r="J3299" t="str">
        <f t="shared" si="52"/>
        <v/>
      </c>
    </row>
    <row r="3300" spans="9:10">
      <c r="I3300" t="str">
        <f>_xlfn.IFNA(VLOOKUP(B3300,T_DistName[],3,FALSE),"")</f>
        <v/>
      </c>
      <c r="J3300" t="str">
        <f t="shared" si="52"/>
        <v/>
      </c>
    </row>
    <row r="3301" spans="9:10">
      <c r="I3301" t="str">
        <f>_xlfn.IFNA(VLOOKUP(B3301,T_DistName[],3,FALSE),"")</f>
        <v/>
      </c>
      <c r="J3301" t="str">
        <f t="shared" si="52"/>
        <v/>
      </c>
    </row>
    <row r="3302" spans="9:10">
      <c r="I3302" t="str">
        <f>_xlfn.IFNA(VLOOKUP(B3302,T_DistName[],3,FALSE),"")</f>
        <v/>
      </c>
      <c r="J3302" t="str">
        <f t="shared" si="52"/>
        <v/>
      </c>
    </row>
    <row r="3303" spans="9:10">
      <c r="I3303" t="str">
        <f>_xlfn.IFNA(VLOOKUP(B3303,T_DistName[],3,FALSE),"")</f>
        <v/>
      </c>
      <c r="J3303" t="str">
        <f t="shared" si="52"/>
        <v/>
      </c>
    </row>
    <row r="3304" spans="9:10">
      <c r="I3304" t="str">
        <f>_xlfn.IFNA(VLOOKUP(B3304,T_DistName[],3,FALSE),"")</f>
        <v/>
      </c>
      <c r="J3304" t="str">
        <f t="shared" si="52"/>
        <v/>
      </c>
    </row>
    <row r="3305" spans="9:10">
      <c r="I3305" t="str">
        <f>_xlfn.IFNA(VLOOKUP(B3305,T_DistName[],3,FALSE),"")</f>
        <v/>
      </c>
      <c r="J3305" t="str">
        <f t="shared" si="52"/>
        <v/>
      </c>
    </row>
    <row r="3306" spans="9:10">
      <c r="I3306" t="str">
        <f>_xlfn.IFNA(VLOOKUP(B3306,T_DistName[],3,FALSE),"")</f>
        <v/>
      </c>
      <c r="J3306" t="str">
        <f t="shared" si="52"/>
        <v/>
      </c>
    </row>
    <row r="3307" spans="9:10">
      <c r="I3307" t="str">
        <f>_xlfn.IFNA(VLOOKUP(B3307,T_DistName[],3,FALSE),"")</f>
        <v/>
      </c>
      <c r="J3307" t="str">
        <f t="shared" si="52"/>
        <v/>
      </c>
    </row>
    <row r="3308" spans="9:10">
      <c r="I3308" t="str">
        <f>_xlfn.IFNA(VLOOKUP(B3308,T_DistName[],3,FALSE),"")</f>
        <v/>
      </c>
      <c r="J3308" t="str">
        <f t="shared" si="52"/>
        <v/>
      </c>
    </row>
    <row r="3309" spans="9:10">
      <c r="I3309" t="str">
        <f>_xlfn.IFNA(VLOOKUP(B3309,T_DistName[],3,FALSE),"")</f>
        <v/>
      </c>
      <c r="J3309" t="str">
        <f t="shared" si="52"/>
        <v/>
      </c>
    </row>
    <row r="3310" spans="9:10">
      <c r="I3310" t="str">
        <f>_xlfn.IFNA(VLOOKUP(B3310,T_DistName[],3,FALSE),"")</f>
        <v/>
      </c>
      <c r="J3310" t="str">
        <f t="shared" si="52"/>
        <v/>
      </c>
    </row>
    <row r="3311" spans="9:10">
      <c r="I3311" t="str">
        <f>_xlfn.IFNA(VLOOKUP(B3311,T_DistName[],3,FALSE),"")</f>
        <v/>
      </c>
      <c r="J3311" t="str">
        <f t="shared" si="52"/>
        <v/>
      </c>
    </row>
    <row r="3312" spans="9:10">
      <c r="I3312" t="str">
        <f>_xlfn.IFNA(VLOOKUP(B3312,T_DistName[],3,FALSE),"")</f>
        <v/>
      </c>
      <c r="J3312" t="str">
        <f t="shared" si="52"/>
        <v/>
      </c>
    </row>
    <row r="3313" spans="9:10">
      <c r="I3313" t="str">
        <f>_xlfn.IFNA(VLOOKUP(B3313,T_DistName[],3,FALSE),"")</f>
        <v/>
      </c>
      <c r="J3313" t="str">
        <f t="shared" si="52"/>
        <v/>
      </c>
    </row>
    <row r="3314" spans="9:10">
      <c r="I3314" t="str">
        <f>_xlfn.IFNA(VLOOKUP(B3314,T_DistName[],3,FALSE),"")</f>
        <v/>
      </c>
      <c r="J3314" t="str">
        <f t="shared" si="52"/>
        <v/>
      </c>
    </row>
    <row r="3315" spans="9:10">
      <c r="I3315" t="str">
        <f>_xlfn.IFNA(VLOOKUP(B3315,T_DistName[],3,FALSE),"")</f>
        <v/>
      </c>
      <c r="J3315" t="str">
        <f t="shared" si="52"/>
        <v/>
      </c>
    </row>
    <row r="3316" spans="9:10">
      <c r="I3316" t="str">
        <f>_xlfn.IFNA(VLOOKUP(B3316,T_DistName[],3,FALSE),"")</f>
        <v/>
      </c>
      <c r="J3316" t="str">
        <f t="shared" si="52"/>
        <v/>
      </c>
    </row>
    <row r="3317" spans="9:10">
      <c r="I3317" t="str">
        <f>_xlfn.IFNA(VLOOKUP(B3317,T_DistName[],3,FALSE),"")</f>
        <v/>
      </c>
      <c r="J3317" t="str">
        <f t="shared" si="52"/>
        <v/>
      </c>
    </row>
    <row r="3318" spans="9:10">
      <c r="I3318" t="str">
        <f>_xlfn.IFNA(VLOOKUP(B3318,T_DistName[],3,FALSE),"")</f>
        <v/>
      </c>
      <c r="J3318" t="str">
        <f t="shared" si="52"/>
        <v/>
      </c>
    </row>
    <row r="3319" spans="9:10">
      <c r="I3319" t="str">
        <f>_xlfn.IFNA(VLOOKUP(B3319,T_DistName[],3,FALSE),"")</f>
        <v/>
      </c>
      <c r="J3319" t="str">
        <f t="shared" si="52"/>
        <v/>
      </c>
    </row>
    <row r="3320" spans="9:10">
      <c r="I3320" t="str">
        <f>_xlfn.IFNA(VLOOKUP(B3320,T_DistName[],3,FALSE),"")</f>
        <v/>
      </c>
      <c r="J3320" t="str">
        <f t="shared" si="52"/>
        <v/>
      </c>
    </row>
    <row r="3321" spans="9:10">
      <c r="I3321" t="str">
        <f>_xlfn.IFNA(VLOOKUP(B3321,T_DistName[],3,FALSE),"")</f>
        <v/>
      </c>
      <c r="J3321" t="str">
        <f t="shared" si="52"/>
        <v/>
      </c>
    </row>
    <row r="3322" spans="9:10">
      <c r="I3322" t="str">
        <f>_xlfn.IFNA(VLOOKUP(B3322,T_DistName[],3,FALSE),"")</f>
        <v/>
      </c>
      <c r="J3322" t="str">
        <f t="shared" si="52"/>
        <v/>
      </c>
    </row>
    <row r="3323" spans="9:10">
      <c r="I3323" t="str">
        <f>_xlfn.IFNA(VLOOKUP(B3323,T_DistName[],3,FALSE),"")</f>
        <v/>
      </c>
      <c r="J3323" t="str">
        <f t="shared" si="52"/>
        <v/>
      </c>
    </row>
    <row r="3324" spans="9:10">
      <c r="I3324" t="str">
        <f>_xlfn.IFNA(VLOOKUP(B3324,T_DistName[],3,FALSE),"")</f>
        <v/>
      </c>
      <c r="J3324" t="str">
        <f t="shared" si="52"/>
        <v/>
      </c>
    </row>
    <row r="3325" spans="9:10">
      <c r="I3325" t="str">
        <f>_xlfn.IFNA(VLOOKUP(B3325,T_DistName[],3,FALSE),"")</f>
        <v/>
      </c>
      <c r="J3325" t="str">
        <f t="shared" si="52"/>
        <v/>
      </c>
    </row>
    <row r="3326" spans="9:10">
      <c r="I3326" t="str">
        <f>_xlfn.IFNA(VLOOKUP(B3326,T_DistName[],3,FALSE),"")</f>
        <v/>
      </c>
      <c r="J3326" t="str">
        <f t="shared" si="52"/>
        <v/>
      </c>
    </row>
    <row r="3327" spans="9:10">
      <c r="I3327" t="str">
        <f>_xlfn.IFNA(VLOOKUP(B3327,T_DistName[],3,FALSE),"")</f>
        <v/>
      </c>
      <c r="J3327" t="str">
        <f t="shared" si="52"/>
        <v/>
      </c>
    </row>
    <row r="3328" spans="9:10">
      <c r="I3328" t="str">
        <f>_xlfn.IFNA(VLOOKUP(B3328,T_DistName[],3,FALSE),"")</f>
        <v/>
      </c>
      <c r="J3328" t="str">
        <f t="shared" si="52"/>
        <v/>
      </c>
    </row>
    <row r="3329" spans="9:10">
      <c r="I3329" t="str">
        <f>_xlfn.IFNA(VLOOKUP(B3329,T_DistName[],3,FALSE),"")</f>
        <v/>
      </c>
      <c r="J3329" t="str">
        <f t="shared" si="52"/>
        <v/>
      </c>
    </row>
    <row r="3330" spans="9:10">
      <c r="I3330" t="str">
        <f>_xlfn.IFNA(VLOOKUP(B3330,T_DistName[],3,FALSE),"")</f>
        <v/>
      </c>
      <c r="J3330" t="str">
        <f t="shared" si="52"/>
        <v/>
      </c>
    </row>
    <row r="3331" spans="9:10">
      <c r="I3331" t="str">
        <f>_xlfn.IFNA(VLOOKUP(B3331,T_DistName[],3,FALSE),"")</f>
        <v/>
      </c>
      <c r="J3331" t="str">
        <f t="shared" si="52"/>
        <v/>
      </c>
    </row>
    <row r="3332" spans="9:10">
      <c r="I3332" t="str">
        <f>_xlfn.IFNA(VLOOKUP(B3332,T_DistName[],3,FALSE),"")</f>
        <v/>
      </c>
      <c r="J3332" t="str">
        <f t="shared" si="52"/>
        <v/>
      </c>
    </row>
    <row r="3333" spans="9:10">
      <c r="I3333" t="str">
        <f>_xlfn.IFNA(VLOOKUP(B3333,T_DistName[],3,FALSE),"")</f>
        <v/>
      </c>
      <c r="J3333" t="str">
        <f t="shared" si="52"/>
        <v/>
      </c>
    </row>
    <row r="3334" spans="9:10">
      <c r="I3334" t="str">
        <f>_xlfn.IFNA(VLOOKUP(B3334,T_DistName[],3,FALSE),"")</f>
        <v/>
      </c>
      <c r="J3334" t="str">
        <f t="shared" si="52"/>
        <v/>
      </c>
    </row>
    <row r="3335" spans="9:10">
      <c r="I3335" t="str">
        <f>_xlfn.IFNA(VLOOKUP(B3335,T_DistName[],3,FALSE),"")</f>
        <v/>
      </c>
      <c r="J3335" t="str">
        <f t="shared" si="52"/>
        <v/>
      </c>
    </row>
    <row r="3336" spans="9:10">
      <c r="I3336" t="str">
        <f>_xlfn.IFNA(VLOOKUP(B3336,T_DistName[],3,FALSE),"")</f>
        <v/>
      </c>
      <c r="J3336" t="str">
        <f t="shared" si="52"/>
        <v/>
      </c>
    </row>
    <row r="3337" spans="9:10">
      <c r="I3337" t="str">
        <f>_xlfn.IFNA(VLOOKUP(B3337,T_DistName[],3,FALSE),"")</f>
        <v/>
      </c>
      <c r="J3337" t="str">
        <f t="shared" si="52"/>
        <v/>
      </c>
    </row>
    <row r="3338" spans="9:10">
      <c r="I3338" t="str">
        <f>_xlfn.IFNA(VLOOKUP(B3338,T_DistName[],3,FALSE),"")</f>
        <v/>
      </c>
      <c r="J3338" t="str">
        <f t="shared" si="52"/>
        <v/>
      </c>
    </row>
    <row r="3339" spans="9:10">
      <c r="I3339" t="str">
        <f>_xlfn.IFNA(VLOOKUP(B3339,T_DistName[],3,FALSE),"")</f>
        <v/>
      </c>
      <c r="J3339" t="str">
        <f t="shared" si="52"/>
        <v/>
      </c>
    </row>
    <row r="3340" spans="9:10">
      <c r="I3340" t="str">
        <f>_xlfn.IFNA(VLOOKUP(B3340,T_DistName[],3,FALSE),"")</f>
        <v/>
      </c>
      <c r="J3340" t="str">
        <f t="shared" si="52"/>
        <v/>
      </c>
    </row>
    <row r="3341" spans="9:10">
      <c r="I3341" t="str">
        <f>_xlfn.IFNA(VLOOKUP(B3341,T_DistName[],3,FALSE),"")</f>
        <v/>
      </c>
      <c r="J3341" t="str">
        <f t="shared" si="52"/>
        <v/>
      </c>
    </row>
    <row r="3342" spans="9:10">
      <c r="I3342" t="str">
        <f>_xlfn.IFNA(VLOOKUP(B3342,T_DistName[],3,FALSE),"")</f>
        <v/>
      </c>
      <c r="J3342" t="str">
        <f t="shared" si="52"/>
        <v/>
      </c>
    </row>
    <row r="3343" spans="9:10">
      <c r="I3343" t="str">
        <f>_xlfn.IFNA(VLOOKUP(B3343,T_DistName[],3,FALSE),"")</f>
        <v/>
      </c>
      <c r="J3343" t="str">
        <f t="shared" si="52"/>
        <v/>
      </c>
    </row>
    <row r="3344" spans="9:10">
      <c r="I3344" t="str">
        <f>_xlfn.IFNA(VLOOKUP(B3344,T_DistName[],3,FALSE),"")</f>
        <v/>
      </c>
      <c r="J3344" t="str">
        <f t="shared" si="52"/>
        <v/>
      </c>
    </row>
    <row r="3345" spans="9:10">
      <c r="I3345" t="str">
        <f>_xlfn.IFNA(VLOOKUP(B3345,T_DistName[],3,FALSE),"")</f>
        <v/>
      </c>
      <c r="J3345" t="str">
        <f t="shared" si="52"/>
        <v/>
      </c>
    </row>
    <row r="3346" spans="9:10">
      <c r="I3346" t="str">
        <f>_xlfn.IFNA(VLOOKUP(B3346,T_DistName[],3,FALSE),"")</f>
        <v/>
      </c>
      <c r="J3346" t="str">
        <f t="shared" si="52"/>
        <v/>
      </c>
    </row>
    <row r="3347" spans="9:10">
      <c r="I3347" t="str">
        <f>_xlfn.IFNA(VLOOKUP(B3347,T_DistName[],3,FALSE),"")</f>
        <v/>
      </c>
      <c r="J3347" t="str">
        <f t="shared" si="52"/>
        <v/>
      </c>
    </row>
    <row r="3348" spans="9:10">
      <c r="I3348" t="str">
        <f>_xlfn.IFNA(VLOOKUP(B3348,T_DistName[],3,FALSE),"")</f>
        <v/>
      </c>
      <c r="J3348" t="str">
        <f t="shared" si="52"/>
        <v/>
      </c>
    </row>
    <row r="3349" spans="9:10">
      <c r="I3349" t="str">
        <f>_xlfn.IFNA(VLOOKUP(B3349,T_DistName[],3,FALSE),"")</f>
        <v/>
      </c>
      <c r="J3349" t="str">
        <f t="shared" si="52"/>
        <v/>
      </c>
    </row>
    <row r="3350" spans="9:10">
      <c r="I3350" t="str">
        <f>_xlfn.IFNA(VLOOKUP(B3350,T_DistName[],3,FALSE),"")</f>
        <v/>
      </c>
      <c r="J3350" t="str">
        <f t="shared" si="52"/>
        <v/>
      </c>
    </row>
    <row r="3351" spans="9:10">
      <c r="I3351" t="str">
        <f>_xlfn.IFNA(VLOOKUP(B3351,T_DistName[],3,FALSE),"")</f>
        <v/>
      </c>
      <c r="J3351" t="str">
        <f t="shared" si="52"/>
        <v/>
      </c>
    </row>
    <row r="3352" spans="9:10">
      <c r="I3352" t="str">
        <f>_xlfn.IFNA(VLOOKUP(B3352,T_DistName[],3,FALSE),"")</f>
        <v/>
      </c>
      <c r="J3352" t="str">
        <f t="shared" si="52"/>
        <v/>
      </c>
    </row>
    <row r="3353" spans="9:10">
      <c r="I3353" t="str">
        <f>_xlfn.IFNA(VLOOKUP(B3353,T_DistName[],3,FALSE),"")</f>
        <v/>
      </c>
      <c r="J3353" t="str">
        <f t="shared" ref="J3353:J3416" si="53">I3353&amp;F3353</f>
        <v/>
      </c>
    </row>
    <row r="3354" spans="9:10">
      <c r="I3354" t="str">
        <f>_xlfn.IFNA(VLOOKUP(B3354,T_DistName[],3,FALSE),"")</f>
        <v/>
      </c>
      <c r="J3354" t="str">
        <f t="shared" si="53"/>
        <v/>
      </c>
    </row>
    <row r="3355" spans="9:10">
      <c r="I3355" t="str">
        <f>_xlfn.IFNA(VLOOKUP(B3355,T_DistName[],3,FALSE),"")</f>
        <v/>
      </c>
      <c r="J3355" t="str">
        <f t="shared" si="53"/>
        <v/>
      </c>
    </row>
    <row r="3356" spans="9:10">
      <c r="I3356" t="str">
        <f>_xlfn.IFNA(VLOOKUP(B3356,T_DistName[],3,FALSE),"")</f>
        <v/>
      </c>
      <c r="J3356" t="str">
        <f t="shared" si="53"/>
        <v/>
      </c>
    </row>
    <row r="3357" spans="9:10">
      <c r="I3357" t="str">
        <f>_xlfn.IFNA(VLOOKUP(B3357,T_DistName[],3,FALSE),"")</f>
        <v/>
      </c>
      <c r="J3357" t="str">
        <f t="shared" si="53"/>
        <v/>
      </c>
    </row>
    <row r="3358" spans="9:10">
      <c r="I3358" t="str">
        <f>_xlfn.IFNA(VLOOKUP(B3358,T_DistName[],3,FALSE),"")</f>
        <v/>
      </c>
      <c r="J3358" t="str">
        <f t="shared" si="53"/>
        <v/>
      </c>
    </row>
    <row r="3359" spans="9:10">
      <c r="I3359" t="str">
        <f>_xlfn.IFNA(VLOOKUP(B3359,T_DistName[],3,FALSE),"")</f>
        <v/>
      </c>
      <c r="J3359" t="str">
        <f t="shared" si="53"/>
        <v/>
      </c>
    </row>
    <row r="3360" spans="9:10">
      <c r="I3360" t="str">
        <f>_xlfn.IFNA(VLOOKUP(B3360,T_DistName[],3,FALSE),"")</f>
        <v/>
      </c>
      <c r="J3360" t="str">
        <f t="shared" si="53"/>
        <v/>
      </c>
    </row>
    <row r="3361" spans="9:10">
      <c r="I3361" t="str">
        <f>_xlfn.IFNA(VLOOKUP(B3361,T_DistName[],3,FALSE),"")</f>
        <v/>
      </c>
      <c r="J3361" t="str">
        <f t="shared" si="53"/>
        <v/>
      </c>
    </row>
    <row r="3362" spans="9:10">
      <c r="I3362" t="str">
        <f>_xlfn.IFNA(VLOOKUP(B3362,T_DistName[],3,FALSE),"")</f>
        <v/>
      </c>
      <c r="J3362" t="str">
        <f t="shared" si="53"/>
        <v/>
      </c>
    </row>
    <row r="3363" spans="9:10">
      <c r="I3363" t="str">
        <f>_xlfn.IFNA(VLOOKUP(B3363,T_DistName[],3,FALSE),"")</f>
        <v/>
      </c>
      <c r="J3363" t="str">
        <f t="shared" si="53"/>
        <v/>
      </c>
    </row>
    <row r="3364" spans="9:10">
      <c r="I3364" t="str">
        <f>_xlfn.IFNA(VLOOKUP(B3364,T_DistName[],3,FALSE),"")</f>
        <v/>
      </c>
      <c r="J3364" t="str">
        <f t="shared" si="53"/>
        <v/>
      </c>
    </row>
    <row r="3365" spans="9:10">
      <c r="I3365" t="str">
        <f>_xlfn.IFNA(VLOOKUP(B3365,T_DistName[],3,FALSE),"")</f>
        <v/>
      </c>
      <c r="J3365" t="str">
        <f t="shared" si="53"/>
        <v/>
      </c>
    </row>
    <row r="3366" spans="9:10">
      <c r="I3366" t="str">
        <f>_xlfn.IFNA(VLOOKUP(B3366,T_DistName[],3,FALSE),"")</f>
        <v/>
      </c>
      <c r="J3366" t="str">
        <f t="shared" si="53"/>
        <v/>
      </c>
    </row>
    <row r="3367" spans="9:10">
      <c r="I3367" t="str">
        <f>_xlfn.IFNA(VLOOKUP(B3367,T_DistName[],3,FALSE),"")</f>
        <v/>
      </c>
      <c r="J3367" t="str">
        <f t="shared" si="53"/>
        <v/>
      </c>
    </row>
    <row r="3368" spans="9:10">
      <c r="I3368" t="str">
        <f>_xlfn.IFNA(VLOOKUP(B3368,T_DistName[],3,FALSE),"")</f>
        <v/>
      </c>
      <c r="J3368" t="str">
        <f t="shared" si="53"/>
        <v/>
      </c>
    </row>
    <row r="3369" spans="9:10">
      <c r="I3369" t="str">
        <f>_xlfn.IFNA(VLOOKUP(B3369,T_DistName[],3,FALSE),"")</f>
        <v/>
      </c>
      <c r="J3369" t="str">
        <f t="shared" si="53"/>
        <v/>
      </c>
    </row>
    <row r="3370" spans="9:10">
      <c r="I3370" t="str">
        <f>_xlfn.IFNA(VLOOKUP(B3370,T_DistName[],3,FALSE),"")</f>
        <v/>
      </c>
      <c r="J3370" t="str">
        <f t="shared" si="53"/>
        <v/>
      </c>
    </row>
    <row r="3371" spans="9:10">
      <c r="I3371" t="str">
        <f>_xlfn.IFNA(VLOOKUP(B3371,T_DistName[],3,FALSE),"")</f>
        <v/>
      </c>
      <c r="J3371" t="str">
        <f t="shared" si="53"/>
        <v/>
      </c>
    </row>
    <row r="3372" spans="9:10">
      <c r="I3372" t="str">
        <f>_xlfn.IFNA(VLOOKUP(B3372,T_DistName[],3,FALSE),"")</f>
        <v/>
      </c>
      <c r="J3372" t="str">
        <f t="shared" si="53"/>
        <v/>
      </c>
    </row>
    <row r="3373" spans="9:10">
      <c r="I3373" t="str">
        <f>_xlfn.IFNA(VLOOKUP(B3373,T_DistName[],3,FALSE),"")</f>
        <v/>
      </c>
      <c r="J3373" t="str">
        <f t="shared" si="53"/>
        <v/>
      </c>
    </row>
    <row r="3374" spans="9:10">
      <c r="I3374" t="str">
        <f>_xlfn.IFNA(VLOOKUP(B3374,T_DistName[],3,FALSE),"")</f>
        <v/>
      </c>
      <c r="J3374" t="str">
        <f t="shared" si="53"/>
        <v/>
      </c>
    </row>
    <row r="3375" spans="9:10">
      <c r="I3375" t="str">
        <f>_xlfn.IFNA(VLOOKUP(B3375,T_DistName[],3,FALSE),"")</f>
        <v/>
      </c>
      <c r="J3375" t="str">
        <f t="shared" si="53"/>
        <v/>
      </c>
    </row>
    <row r="3376" spans="9:10">
      <c r="I3376" t="str">
        <f>_xlfn.IFNA(VLOOKUP(B3376,T_DistName[],3,FALSE),"")</f>
        <v/>
      </c>
      <c r="J3376" t="str">
        <f t="shared" si="53"/>
        <v/>
      </c>
    </row>
    <row r="3377" spans="9:10">
      <c r="I3377" t="str">
        <f>_xlfn.IFNA(VLOOKUP(B3377,T_DistName[],3,FALSE),"")</f>
        <v/>
      </c>
      <c r="J3377" t="str">
        <f t="shared" si="53"/>
        <v/>
      </c>
    </row>
    <row r="3378" spans="9:10">
      <c r="I3378" t="str">
        <f>_xlfn.IFNA(VLOOKUP(B3378,T_DistName[],3,FALSE),"")</f>
        <v/>
      </c>
      <c r="J3378" t="str">
        <f t="shared" si="53"/>
        <v/>
      </c>
    </row>
    <row r="3379" spans="9:10">
      <c r="I3379" t="str">
        <f>_xlfn.IFNA(VLOOKUP(B3379,T_DistName[],3,FALSE),"")</f>
        <v/>
      </c>
      <c r="J3379" t="str">
        <f t="shared" si="53"/>
        <v/>
      </c>
    </row>
    <row r="3380" spans="9:10">
      <c r="I3380" t="str">
        <f>_xlfn.IFNA(VLOOKUP(B3380,T_DistName[],3,FALSE),"")</f>
        <v/>
      </c>
      <c r="J3380" t="str">
        <f t="shared" si="53"/>
        <v/>
      </c>
    </row>
    <row r="3381" spans="9:10">
      <c r="I3381" t="str">
        <f>_xlfn.IFNA(VLOOKUP(B3381,T_DistName[],3,FALSE),"")</f>
        <v/>
      </c>
      <c r="J3381" t="str">
        <f t="shared" si="53"/>
        <v/>
      </c>
    </row>
    <row r="3382" spans="9:10">
      <c r="I3382" t="str">
        <f>_xlfn.IFNA(VLOOKUP(B3382,T_DistName[],3,FALSE),"")</f>
        <v/>
      </c>
      <c r="J3382" t="str">
        <f t="shared" si="53"/>
        <v/>
      </c>
    </row>
    <row r="3383" spans="9:10">
      <c r="I3383" t="str">
        <f>_xlfn.IFNA(VLOOKUP(B3383,T_DistName[],3,FALSE),"")</f>
        <v/>
      </c>
      <c r="J3383" t="str">
        <f t="shared" si="53"/>
        <v/>
      </c>
    </row>
    <row r="3384" spans="9:10">
      <c r="I3384" t="str">
        <f>_xlfn.IFNA(VLOOKUP(B3384,T_DistName[],3,FALSE),"")</f>
        <v/>
      </c>
      <c r="J3384" t="str">
        <f t="shared" si="53"/>
        <v/>
      </c>
    </row>
    <row r="3385" spans="9:10">
      <c r="I3385" t="str">
        <f>_xlfn.IFNA(VLOOKUP(B3385,T_DistName[],3,FALSE),"")</f>
        <v/>
      </c>
      <c r="J3385" t="str">
        <f t="shared" si="53"/>
        <v/>
      </c>
    </row>
    <row r="3386" spans="9:10">
      <c r="I3386" t="str">
        <f>_xlfn.IFNA(VLOOKUP(B3386,T_DistName[],3,FALSE),"")</f>
        <v/>
      </c>
      <c r="J3386" t="str">
        <f t="shared" si="53"/>
        <v/>
      </c>
    </row>
    <row r="3387" spans="9:10">
      <c r="I3387" t="str">
        <f>_xlfn.IFNA(VLOOKUP(B3387,T_DistName[],3,FALSE),"")</f>
        <v/>
      </c>
      <c r="J3387" t="str">
        <f t="shared" si="53"/>
        <v/>
      </c>
    </row>
    <row r="3388" spans="9:10">
      <c r="I3388" t="str">
        <f>_xlfn.IFNA(VLOOKUP(B3388,T_DistName[],3,FALSE),"")</f>
        <v/>
      </c>
      <c r="J3388" t="str">
        <f t="shared" si="53"/>
        <v/>
      </c>
    </row>
    <row r="3389" spans="9:10">
      <c r="I3389" t="str">
        <f>_xlfn.IFNA(VLOOKUP(B3389,T_DistName[],3,FALSE),"")</f>
        <v/>
      </c>
      <c r="J3389" t="str">
        <f t="shared" si="53"/>
        <v/>
      </c>
    </row>
    <row r="3390" spans="9:10">
      <c r="I3390" t="str">
        <f>_xlfn.IFNA(VLOOKUP(B3390,T_DistName[],3,FALSE),"")</f>
        <v/>
      </c>
      <c r="J3390" t="str">
        <f t="shared" si="53"/>
        <v/>
      </c>
    </row>
    <row r="3391" spans="9:10">
      <c r="I3391" t="str">
        <f>_xlfn.IFNA(VLOOKUP(B3391,T_DistName[],3,FALSE),"")</f>
        <v/>
      </c>
      <c r="J3391" t="str">
        <f t="shared" si="53"/>
        <v/>
      </c>
    </row>
    <row r="3392" spans="9:10">
      <c r="I3392" t="str">
        <f>_xlfn.IFNA(VLOOKUP(B3392,T_DistName[],3,FALSE),"")</f>
        <v/>
      </c>
      <c r="J3392" t="str">
        <f t="shared" si="53"/>
        <v/>
      </c>
    </row>
    <row r="3393" spans="9:10">
      <c r="I3393" t="str">
        <f>_xlfn.IFNA(VLOOKUP(B3393,T_DistName[],3,FALSE),"")</f>
        <v/>
      </c>
      <c r="J3393" t="str">
        <f t="shared" si="53"/>
        <v/>
      </c>
    </row>
    <row r="3394" spans="9:10">
      <c r="I3394" t="str">
        <f>_xlfn.IFNA(VLOOKUP(B3394,T_DistName[],3,FALSE),"")</f>
        <v/>
      </c>
      <c r="J3394" t="str">
        <f t="shared" si="53"/>
        <v/>
      </c>
    </row>
    <row r="3395" spans="9:10">
      <c r="I3395" t="str">
        <f>_xlfn.IFNA(VLOOKUP(B3395,T_DistName[],3,FALSE),"")</f>
        <v/>
      </c>
      <c r="J3395" t="str">
        <f t="shared" si="53"/>
        <v/>
      </c>
    </row>
    <row r="3396" spans="9:10">
      <c r="I3396" t="str">
        <f>_xlfn.IFNA(VLOOKUP(B3396,T_DistName[],3,FALSE),"")</f>
        <v/>
      </c>
      <c r="J3396" t="str">
        <f t="shared" si="53"/>
        <v/>
      </c>
    </row>
    <row r="3397" spans="9:10">
      <c r="I3397" t="str">
        <f>_xlfn.IFNA(VLOOKUP(B3397,T_DistName[],3,FALSE),"")</f>
        <v/>
      </c>
      <c r="J3397" t="str">
        <f t="shared" si="53"/>
        <v/>
      </c>
    </row>
    <row r="3398" spans="9:10">
      <c r="I3398" t="str">
        <f>_xlfn.IFNA(VLOOKUP(B3398,T_DistName[],3,FALSE),"")</f>
        <v/>
      </c>
      <c r="J3398" t="str">
        <f t="shared" si="53"/>
        <v/>
      </c>
    </row>
    <row r="3399" spans="9:10">
      <c r="I3399" t="str">
        <f>_xlfn.IFNA(VLOOKUP(B3399,T_DistName[],3,FALSE),"")</f>
        <v/>
      </c>
      <c r="J3399" t="str">
        <f t="shared" si="53"/>
        <v/>
      </c>
    </row>
    <row r="3400" spans="9:10">
      <c r="I3400" t="str">
        <f>_xlfn.IFNA(VLOOKUP(B3400,T_DistName[],3,FALSE),"")</f>
        <v/>
      </c>
      <c r="J3400" t="str">
        <f t="shared" si="53"/>
        <v/>
      </c>
    </row>
    <row r="3401" spans="9:10">
      <c r="I3401" t="str">
        <f>_xlfn.IFNA(VLOOKUP(B3401,T_DistName[],3,FALSE),"")</f>
        <v/>
      </c>
      <c r="J3401" t="str">
        <f t="shared" si="53"/>
        <v/>
      </c>
    </row>
    <row r="3402" spans="9:10">
      <c r="I3402" t="str">
        <f>_xlfn.IFNA(VLOOKUP(B3402,T_DistName[],3,FALSE),"")</f>
        <v/>
      </c>
      <c r="J3402" t="str">
        <f t="shared" si="53"/>
        <v/>
      </c>
    </row>
    <row r="3403" spans="9:10">
      <c r="I3403" t="str">
        <f>_xlfn.IFNA(VLOOKUP(B3403,T_DistName[],3,FALSE),"")</f>
        <v/>
      </c>
      <c r="J3403" t="str">
        <f t="shared" si="53"/>
        <v/>
      </c>
    </row>
    <row r="3404" spans="9:10">
      <c r="I3404" t="str">
        <f>_xlfn.IFNA(VLOOKUP(B3404,T_DistName[],3,FALSE),"")</f>
        <v/>
      </c>
      <c r="J3404" t="str">
        <f t="shared" si="53"/>
        <v/>
      </c>
    </row>
    <row r="3405" spans="9:10">
      <c r="I3405" t="str">
        <f>_xlfn.IFNA(VLOOKUP(B3405,T_DistName[],3,FALSE),"")</f>
        <v/>
      </c>
      <c r="J3405" t="str">
        <f t="shared" si="53"/>
        <v/>
      </c>
    </row>
    <row r="3406" spans="9:10">
      <c r="I3406" t="str">
        <f>_xlfn.IFNA(VLOOKUP(B3406,T_DistName[],3,FALSE),"")</f>
        <v/>
      </c>
      <c r="J3406" t="str">
        <f t="shared" si="53"/>
        <v/>
      </c>
    </row>
    <row r="3407" spans="9:10">
      <c r="I3407" t="str">
        <f>_xlfn.IFNA(VLOOKUP(B3407,T_DistName[],3,FALSE),"")</f>
        <v/>
      </c>
      <c r="J3407" t="str">
        <f t="shared" si="53"/>
        <v/>
      </c>
    </row>
    <row r="3408" spans="9:10">
      <c r="I3408" t="str">
        <f>_xlfn.IFNA(VLOOKUP(B3408,T_DistName[],3,FALSE),"")</f>
        <v/>
      </c>
      <c r="J3408" t="str">
        <f t="shared" si="53"/>
        <v/>
      </c>
    </row>
    <row r="3409" spans="9:10">
      <c r="I3409" t="str">
        <f>_xlfn.IFNA(VLOOKUP(B3409,T_DistName[],3,FALSE),"")</f>
        <v/>
      </c>
      <c r="J3409" t="str">
        <f t="shared" si="53"/>
        <v/>
      </c>
    </row>
    <row r="3410" spans="9:10">
      <c r="I3410" t="str">
        <f>_xlfn.IFNA(VLOOKUP(B3410,T_DistName[],3,FALSE),"")</f>
        <v/>
      </c>
      <c r="J3410" t="str">
        <f t="shared" si="53"/>
        <v/>
      </c>
    </row>
    <row r="3411" spans="9:10">
      <c r="I3411" t="str">
        <f>_xlfn.IFNA(VLOOKUP(B3411,T_DistName[],3,FALSE),"")</f>
        <v/>
      </c>
      <c r="J3411" t="str">
        <f t="shared" si="53"/>
        <v/>
      </c>
    </row>
    <row r="3412" spans="9:10">
      <c r="I3412" t="str">
        <f>_xlfn.IFNA(VLOOKUP(B3412,T_DistName[],3,FALSE),"")</f>
        <v/>
      </c>
      <c r="J3412" t="str">
        <f t="shared" si="53"/>
        <v/>
      </c>
    </row>
    <row r="3413" spans="9:10">
      <c r="I3413" t="str">
        <f>_xlfn.IFNA(VLOOKUP(B3413,T_DistName[],3,FALSE),"")</f>
        <v/>
      </c>
      <c r="J3413" t="str">
        <f t="shared" si="53"/>
        <v/>
      </c>
    </row>
    <row r="3414" spans="9:10">
      <c r="I3414" t="str">
        <f>_xlfn.IFNA(VLOOKUP(B3414,T_DistName[],3,FALSE),"")</f>
        <v/>
      </c>
      <c r="J3414" t="str">
        <f t="shared" si="53"/>
        <v/>
      </c>
    </row>
    <row r="3415" spans="9:10">
      <c r="I3415" t="str">
        <f>_xlfn.IFNA(VLOOKUP(B3415,T_DistName[],3,FALSE),"")</f>
        <v/>
      </c>
      <c r="J3415" t="str">
        <f t="shared" si="53"/>
        <v/>
      </c>
    </row>
    <row r="3416" spans="9:10">
      <c r="I3416" t="str">
        <f>_xlfn.IFNA(VLOOKUP(B3416,T_DistName[],3,FALSE),"")</f>
        <v/>
      </c>
      <c r="J3416" t="str">
        <f t="shared" si="53"/>
        <v/>
      </c>
    </row>
    <row r="3417" spans="9:10">
      <c r="I3417" t="str">
        <f>_xlfn.IFNA(VLOOKUP(B3417,T_DistName[],3,FALSE),"")</f>
        <v/>
      </c>
      <c r="J3417" t="str">
        <f t="shared" ref="J3417:J3480" si="54">I3417&amp;F3417</f>
        <v/>
      </c>
    </row>
    <row r="3418" spans="9:10">
      <c r="I3418" t="str">
        <f>_xlfn.IFNA(VLOOKUP(B3418,T_DistName[],3,FALSE),"")</f>
        <v/>
      </c>
      <c r="J3418" t="str">
        <f t="shared" si="54"/>
        <v/>
      </c>
    </row>
    <row r="3419" spans="9:10">
      <c r="I3419" t="str">
        <f>_xlfn.IFNA(VLOOKUP(B3419,T_DistName[],3,FALSE),"")</f>
        <v/>
      </c>
      <c r="J3419" t="str">
        <f t="shared" si="54"/>
        <v/>
      </c>
    </row>
    <row r="3420" spans="9:10">
      <c r="I3420" t="str">
        <f>_xlfn.IFNA(VLOOKUP(B3420,T_DistName[],3,FALSE),"")</f>
        <v/>
      </c>
      <c r="J3420" t="str">
        <f t="shared" si="54"/>
        <v/>
      </c>
    </row>
    <row r="3421" spans="9:10">
      <c r="I3421" t="str">
        <f>_xlfn.IFNA(VLOOKUP(B3421,T_DistName[],3,FALSE),"")</f>
        <v/>
      </c>
      <c r="J3421" t="str">
        <f t="shared" si="54"/>
        <v/>
      </c>
    </row>
    <row r="3422" spans="9:10">
      <c r="I3422" t="str">
        <f>_xlfn.IFNA(VLOOKUP(B3422,T_DistName[],3,FALSE),"")</f>
        <v/>
      </c>
      <c r="J3422" t="str">
        <f t="shared" si="54"/>
        <v/>
      </c>
    </row>
    <row r="3423" spans="9:10">
      <c r="I3423" t="str">
        <f>_xlfn.IFNA(VLOOKUP(B3423,T_DistName[],3,FALSE),"")</f>
        <v/>
      </c>
      <c r="J3423" t="str">
        <f t="shared" si="54"/>
        <v/>
      </c>
    </row>
    <row r="3424" spans="9:10">
      <c r="I3424" t="str">
        <f>_xlfn.IFNA(VLOOKUP(B3424,T_DistName[],3,FALSE),"")</f>
        <v/>
      </c>
      <c r="J3424" t="str">
        <f t="shared" si="54"/>
        <v/>
      </c>
    </row>
    <row r="3425" spans="9:10">
      <c r="I3425" t="str">
        <f>_xlfn.IFNA(VLOOKUP(B3425,T_DistName[],3,FALSE),"")</f>
        <v/>
      </c>
      <c r="J3425" t="str">
        <f t="shared" si="54"/>
        <v/>
      </c>
    </row>
    <row r="3426" spans="9:10">
      <c r="I3426" t="str">
        <f>_xlfn.IFNA(VLOOKUP(B3426,T_DistName[],3,FALSE),"")</f>
        <v/>
      </c>
      <c r="J3426" t="str">
        <f t="shared" si="54"/>
        <v/>
      </c>
    </row>
    <row r="3427" spans="9:10">
      <c r="I3427" t="str">
        <f>_xlfn.IFNA(VLOOKUP(B3427,T_DistName[],3,FALSE),"")</f>
        <v/>
      </c>
      <c r="J3427" t="str">
        <f t="shared" si="54"/>
        <v/>
      </c>
    </row>
    <row r="3428" spans="9:10">
      <c r="I3428" t="str">
        <f>_xlfn.IFNA(VLOOKUP(B3428,T_DistName[],3,FALSE),"")</f>
        <v/>
      </c>
      <c r="J3428" t="str">
        <f t="shared" si="54"/>
        <v/>
      </c>
    </row>
    <row r="3429" spans="9:10">
      <c r="I3429" t="str">
        <f>_xlfn.IFNA(VLOOKUP(B3429,T_DistName[],3,FALSE),"")</f>
        <v/>
      </c>
      <c r="J3429" t="str">
        <f t="shared" si="54"/>
        <v/>
      </c>
    </row>
    <row r="3430" spans="9:10">
      <c r="I3430" t="str">
        <f>_xlfn.IFNA(VLOOKUP(B3430,T_DistName[],3,FALSE),"")</f>
        <v/>
      </c>
      <c r="J3430" t="str">
        <f t="shared" si="54"/>
        <v/>
      </c>
    </row>
    <row r="3431" spans="9:10">
      <c r="I3431" t="str">
        <f>_xlfn.IFNA(VLOOKUP(B3431,T_DistName[],3,FALSE),"")</f>
        <v/>
      </c>
      <c r="J3431" t="str">
        <f t="shared" si="54"/>
        <v/>
      </c>
    </row>
    <row r="3432" spans="9:10">
      <c r="I3432" t="str">
        <f>_xlfn.IFNA(VLOOKUP(B3432,T_DistName[],3,FALSE),"")</f>
        <v/>
      </c>
      <c r="J3432" t="str">
        <f t="shared" si="54"/>
        <v/>
      </c>
    </row>
    <row r="3433" spans="9:10">
      <c r="I3433" t="str">
        <f>_xlfn.IFNA(VLOOKUP(B3433,T_DistName[],3,FALSE),"")</f>
        <v/>
      </c>
      <c r="J3433" t="str">
        <f t="shared" si="54"/>
        <v/>
      </c>
    </row>
    <row r="3434" spans="9:10">
      <c r="I3434" t="str">
        <f>_xlfn.IFNA(VLOOKUP(B3434,T_DistName[],3,FALSE),"")</f>
        <v/>
      </c>
      <c r="J3434" t="str">
        <f t="shared" si="54"/>
        <v/>
      </c>
    </row>
    <row r="3435" spans="9:10">
      <c r="I3435" t="str">
        <f>_xlfn.IFNA(VLOOKUP(B3435,T_DistName[],3,FALSE),"")</f>
        <v/>
      </c>
      <c r="J3435" t="str">
        <f t="shared" si="54"/>
        <v/>
      </c>
    </row>
    <row r="3436" spans="9:10">
      <c r="I3436" t="str">
        <f>_xlfn.IFNA(VLOOKUP(B3436,T_DistName[],3,FALSE),"")</f>
        <v/>
      </c>
      <c r="J3436" t="str">
        <f t="shared" si="54"/>
        <v/>
      </c>
    </row>
    <row r="3437" spans="9:10">
      <c r="I3437" t="str">
        <f>_xlfn.IFNA(VLOOKUP(B3437,T_DistName[],3,FALSE),"")</f>
        <v/>
      </c>
      <c r="J3437" t="str">
        <f t="shared" si="54"/>
        <v/>
      </c>
    </row>
    <row r="3438" spans="9:10">
      <c r="I3438" t="str">
        <f>_xlfn.IFNA(VLOOKUP(B3438,T_DistName[],3,FALSE),"")</f>
        <v/>
      </c>
      <c r="J3438" t="str">
        <f t="shared" si="54"/>
        <v/>
      </c>
    </row>
    <row r="3439" spans="9:10">
      <c r="I3439" t="str">
        <f>_xlfn.IFNA(VLOOKUP(B3439,T_DistName[],3,FALSE),"")</f>
        <v/>
      </c>
      <c r="J3439" t="str">
        <f t="shared" si="54"/>
        <v/>
      </c>
    </row>
    <row r="3440" spans="9:10">
      <c r="I3440" t="str">
        <f>_xlfn.IFNA(VLOOKUP(B3440,T_DistName[],3,FALSE),"")</f>
        <v/>
      </c>
      <c r="J3440" t="str">
        <f t="shared" si="54"/>
        <v/>
      </c>
    </row>
    <row r="3441" spans="9:10">
      <c r="I3441" t="str">
        <f>_xlfn.IFNA(VLOOKUP(B3441,T_DistName[],3,FALSE),"")</f>
        <v/>
      </c>
      <c r="J3441" t="str">
        <f t="shared" si="54"/>
        <v/>
      </c>
    </row>
    <row r="3442" spans="9:10">
      <c r="I3442" t="str">
        <f>_xlfn.IFNA(VLOOKUP(B3442,T_DistName[],3,FALSE),"")</f>
        <v/>
      </c>
      <c r="J3442" t="str">
        <f t="shared" si="54"/>
        <v/>
      </c>
    </row>
    <row r="3443" spans="9:10">
      <c r="I3443" t="str">
        <f>_xlfn.IFNA(VLOOKUP(B3443,T_DistName[],3,FALSE),"")</f>
        <v/>
      </c>
      <c r="J3443" t="str">
        <f t="shared" si="54"/>
        <v/>
      </c>
    </row>
    <row r="3444" spans="9:10">
      <c r="I3444" t="str">
        <f>_xlfn.IFNA(VLOOKUP(B3444,T_DistName[],3,FALSE),"")</f>
        <v/>
      </c>
      <c r="J3444" t="str">
        <f t="shared" si="54"/>
        <v/>
      </c>
    </row>
    <row r="3445" spans="9:10">
      <c r="I3445" t="str">
        <f>_xlfn.IFNA(VLOOKUP(B3445,T_DistName[],3,FALSE),"")</f>
        <v/>
      </c>
      <c r="J3445" t="str">
        <f t="shared" si="54"/>
        <v/>
      </c>
    </row>
    <row r="3446" spans="9:10">
      <c r="I3446" t="str">
        <f>_xlfn.IFNA(VLOOKUP(B3446,T_DistName[],3,FALSE),"")</f>
        <v/>
      </c>
      <c r="J3446" t="str">
        <f t="shared" si="54"/>
        <v/>
      </c>
    </row>
    <row r="3447" spans="9:10">
      <c r="I3447" t="str">
        <f>_xlfn.IFNA(VLOOKUP(B3447,T_DistName[],3,FALSE),"")</f>
        <v/>
      </c>
      <c r="J3447" t="str">
        <f t="shared" si="54"/>
        <v/>
      </c>
    </row>
    <row r="3448" spans="9:10">
      <c r="I3448" t="str">
        <f>_xlfn.IFNA(VLOOKUP(B3448,T_DistName[],3,FALSE),"")</f>
        <v/>
      </c>
      <c r="J3448" t="str">
        <f t="shared" si="54"/>
        <v/>
      </c>
    </row>
    <row r="3449" spans="9:10">
      <c r="I3449" t="str">
        <f>_xlfn.IFNA(VLOOKUP(B3449,T_DistName[],3,FALSE),"")</f>
        <v/>
      </c>
      <c r="J3449" t="str">
        <f t="shared" si="54"/>
        <v/>
      </c>
    </row>
    <row r="3450" spans="9:10">
      <c r="I3450" t="str">
        <f>_xlfn.IFNA(VLOOKUP(B3450,T_DistName[],3,FALSE),"")</f>
        <v/>
      </c>
      <c r="J3450" t="str">
        <f t="shared" si="54"/>
        <v/>
      </c>
    </row>
    <row r="3451" spans="9:10">
      <c r="I3451" t="str">
        <f>_xlfn.IFNA(VLOOKUP(B3451,T_DistName[],3,FALSE),"")</f>
        <v/>
      </c>
      <c r="J3451" t="str">
        <f t="shared" si="54"/>
        <v/>
      </c>
    </row>
    <row r="3452" spans="9:10">
      <c r="I3452" t="str">
        <f>_xlfn.IFNA(VLOOKUP(B3452,T_DistName[],3,FALSE),"")</f>
        <v/>
      </c>
      <c r="J3452" t="str">
        <f t="shared" si="54"/>
        <v/>
      </c>
    </row>
    <row r="3453" spans="9:10">
      <c r="I3453" t="str">
        <f>_xlfn.IFNA(VLOOKUP(B3453,T_DistName[],3,FALSE),"")</f>
        <v/>
      </c>
      <c r="J3453" t="str">
        <f t="shared" si="54"/>
        <v/>
      </c>
    </row>
    <row r="3454" spans="9:10">
      <c r="I3454" t="str">
        <f>_xlfn.IFNA(VLOOKUP(B3454,T_DistName[],3,FALSE),"")</f>
        <v/>
      </c>
      <c r="J3454" t="str">
        <f t="shared" si="54"/>
        <v/>
      </c>
    </row>
    <row r="3455" spans="9:10">
      <c r="I3455" t="str">
        <f>_xlfn.IFNA(VLOOKUP(B3455,T_DistName[],3,FALSE),"")</f>
        <v/>
      </c>
      <c r="J3455" t="str">
        <f t="shared" si="54"/>
        <v/>
      </c>
    </row>
    <row r="3456" spans="9:10">
      <c r="I3456" t="str">
        <f>_xlfn.IFNA(VLOOKUP(B3456,T_DistName[],3,FALSE),"")</f>
        <v/>
      </c>
      <c r="J3456" t="str">
        <f t="shared" si="54"/>
        <v/>
      </c>
    </row>
    <row r="3457" spans="9:10">
      <c r="I3457" t="str">
        <f>_xlfn.IFNA(VLOOKUP(B3457,T_DistName[],3,FALSE),"")</f>
        <v/>
      </c>
      <c r="J3457" t="str">
        <f t="shared" si="54"/>
        <v/>
      </c>
    </row>
    <row r="3458" spans="9:10">
      <c r="I3458" t="str">
        <f>_xlfn.IFNA(VLOOKUP(B3458,T_DistName[],3,FALSE),"")</f>
        <v/>
      </c>
      <c r="J3458" t="str">
        <f t="shared" si="54"/>
        <v/>
      </c>
    </row>
    <row r="3459" spans="9:10">
      <c r="I3459" t="str">
        <f>_xlfn.IFNA(VLOOKUP(B3459,T_DistName[],3,FALSE),"")</f>
        <v/>
      </c>
      <c r="J3459" t="str">
        <f t="shared" si="54"/>
        <v/>
      </c>
    </row>
    <row r="3460" spans="9:10">
      <c r="I3460" t="str">
        <f>_xlfn.IFNA(VLOOKUP(B3460,T_DistName[],3,FALSE),"")</f>
        <v/>
      </c>
      <c r="J3460" t="str">
        <f t="shared" si="54"/>
        <v/>
      </c>
    </row>
    <row r="3461" spans="9:10">
      <c r="I3461" t="str">
        <f>_xlfn.IFNA(VLOOKUP(B3461,T_DistName[],3,FALSE),"")</f>
        <v/>
      </c>
      <c r="J3461" t="str">
        <f t="shared" si="54"/>
        <v/>
      </c>
    </row>
    <row r="3462" spans="9:10">
      <c r="I3462" t="str">
        <f>_xlfn.IFNA(VLOOKUP(B3462,T_DistName[],3,FALSE),"")</f>
        <v/>
      </c>
      <c r="J3462" t="str">
        <f t="shared" si="54"/>
        <v/>
      </c>
    </row>
    <row r="3463" spans="9:10">
      <c r="I3463" t="str">
        <f>_xlfn.IFNA(VLOOKUP(B3463,T_DistName[],3,FALSE),"")</f>
        <v/>
      </c>
      <c r="J3463" t="str">
        <f t="shared" si="54"/>
        <v/>
      </c>
    </row>
    <row r="3464" spans="9:10">
      <c r="I3464" t="str">
        <f>_xlfn.IFNA(VLOOKUP(B3464,T_DistName[],3,FALSE),"")</f>
        <v/>
      </c>
      <c r="J3464" t="str">
        <f t="shared" si="54"/>
        <v/>
      </c>
    </row>
    <row r="3465" spans="9:10">
      <c r="I3465" t="str">
        <f>_xlfn.IFNA(VLOOKUP(B3465,T_DistName[],3,FALSE),"")</f>
        <v/>
      </c>
      <c r="J3465" t="str">
        <f t="shared" si="54"/>
        <v/>
      </c>
    </row>
    <row r="3466" spans="9:10">
      <c r="I3466" t="str">
        <f>_xlfn.IFNA(VLOOKUP(B3466,T_DistName[],3,FALSE),"")</f>
        <v/>
      </c>
      <c r="J3466" t="str">
        <f t="shared" si="54"/>
        <v/>
      </c>
    </row>
    <row r="3467" spans="9:10">
      <c r="I3467" t="str">
        <f>_xlfn.IFNA(VLOOKUP(B3467,T_DistName[],3,FALSE),"")</f>
        <v/>
      </c>
      <c r="J3467" t="str">
        <f t="shared" si="54"/>
        <v/>
      </c>
    </row>
    <row r="3468" spans="9:10">
      <c r="I3468" t="str">
        <f>_xlfn.IFNA(VLOOKUP(B3468,T_DistName[],3,FALSE),"")</f>
        <v/>
      </c>
      <c r="J3468" t="str">
        <f t="shared" si="54"/>
        <v/>
      </c>
    </row>
    <row r="3469" spans="9:10">
      <c r="I3469" t="str">
        <f>_xlfn.IFNA(VLOOKUP(B3469,T_DistName[],3,FALSE),"")</f>
        <v/>
      </c>
      <c r="J3469" t="str">
        <f t="shared" si="54"/>
        <v/>
      </c>
    </row>
    <row r="3470" spans="9:10">
      <c r="I3470" t="str">
        <f>_xlfn.IFNA(VLOOKUP(B3470,T_DistName[],3,FALSE),"")</f>
        <v/>
      </c>
      <c r="J3470" t="str">
        <f t="shared" si="54"/>
        <v/>
      </c>
    </row>
    <row r="3471" spans="9:10">
      <c r="I3471" t="str">
        <f>_xlfn.IFNA(VLOOKUP(B3471,T_DistName[],3,FALSE),"")</f>
        <v/>
      </c>
      <c r="J3471" t="str">
        <f t="shared" si="54"/>
        <v/>
      </c>
    </row>
    <row r="3472" spans="9:10">
      <c r="I3472" t="str">
        <f>_xlfn.IFNA(VLOOKUP(B3472,T_DistName[],3,FALSE),"")</f>
        <v/>
      </c>
      <c r="J3472" t="str">
        <f t="shared" si="54"/>
        <v/>
      </c>
    </row>
    <row r="3473" spans="9:10">
      <c r="I3473" t="str">
        <f>_xlfn.IFNA(VLOOKUP(B3473,T_DistName[],3,FALSE),"")</f>
        <v/>
      </c>
      <c r="J3473" t="str">
        <f t="shared" si="54"/>
        <v/>
      </c>
    </row>
    <row r="3474" spans="9:10">
      <c r="I3474" t="str">
        <f>_xlfn.IFNA(VLOOKUP(B3474,T_DistName[],3,FALSE),"")</f>
        <v/>
      </c>
      <c r="J3474" t="str">
        <f t="shared" si="54"/>
        <v/>
      </c>
    </row>
    <row r="3475" spans="9:10">
      <c r="I3475" t="str">
        <f>_xlfn.IFNA(VLOOKUP(B3475,T_DistName[],3,FALSE),"")</f>
        <v/>
      </c>
      <c r="J3475" t="str">
        <f t="shared" si="54"/>
        <v/>
      </c>
    </row>
    <row r="3476" spans="9:10">
      <c r="I3476" t="str">
        <f>_xlfn.IFNA(VLOOKUP(B3476,T_DistName[],3,FALSE),"")</f>
        <v/>
      </c>
      <c r="J3476" t="str">
        <f t="shared" si="54"/>
        <v/>
      </c>
    </row>
    <row r="3477" spans="9:10">
      <c r="I3477" t="str">
        <f>_xlfn.IFNA(VLOOKUP(B3477,T_DistName[],3,FALSE),"")</f>
        <v/>
      </c>
      <c r="J3477" t="str">
        <f t="shared" si="54"/>
        <v/>
      </c>
    </row>
    <row r="3478" spans="9:10">
      <c r="I3478" t="str">
        <f>_xlfn.IFNA(VLOOKUP(B3478,T_DistName[],3,FALSE),"")</f>
        <v/>
      </c>
      <c r="J3478" t="str">
        <f t="shared" si="54"/>
        <v/>
      </c>
    </row>
    <row r="3479" spans="9:10">
      <c r="I3479" t="str">
        <f>_xlfn.IFNA(VLOOKUP(B3479,T_DistName[],3,FALSE),"")</f>
        <v/>
      </c>
      <c r="J3479" t="str">
        <f t="shared" si="54"/>
        <v/>
      </c>
    </row>
    <row r="3480" spans="9:10">
      <c r="I3480" t="str">
        <f>_xlfn.IFNA(VLOOKUP(B3480,T_DistName[],3,FALSE),"")</f>
        <v/>
      </c>
      <c r="J3480" t="str">
        <f t="shared" si="54"/>
        <v/>
      </c>
    </row>
    <row r="3481" spans="9:10">
      <c r="I3481" t="str">
        <f>_xlfn.IFNA(VLOOKUP(B3481,T_DistName[],3,FALSE),"")</f>
        <v/>
      </c>
      <c r="J3481" t="str">
        <f t="shared" ref="J3481:J3544" si="55">I3481&amp;F3481</f>
        <v/>
      </c>
    </row>
    <row r="3482" spans="9:10">
      <c r="I3482" t="str">
        <f>_xlfn.IFNA(VLOOKUP(B3482,T_DistName[],3,FALSE),"")</f>
        <v/>
      </c>
      <c r="J3482" t="str">
        <f t="shared" si="55"/>
        <v/>
      </c>
    </row>
    <row r="3483" spans="9:10">
      <c r="I3483" t="str">
        <f>_xlfn.IFNA(VLOOKUP(B3483,T_DistName[],3,FALSE),"")</f>
        <v/>
      </c>
      <c r="J3483" t="str">
        <f t="shared" si="55"/>
        <v/>
      </c>
    </row>
    <row r="3484" spans="9:10">
      <c r="I3484" t="str">
        <f>_xlfn.IFNA(VLOOKUP(B3484,T_DistName[],3,FALSE),"")</f>
        <v/>
      </c>
      <c r="J3484" t="str">
        <f t="shared" si="55"/>
        <v/>
      </c>
    </row>
    <row r="3485" spans="9:10">
      <c r="I3485" t="str">
        <f>_xlfn.IFNA(VLOOKUP(B3485,T_DistName[],3,FALSE),"")</f>
        <v/>
      </c>
      <c r="J3485" t="str">
        <f t="shared" si="55"/>
        <v/>
      </c>
    </row>
    <row r="3486" spans="9:10">
      <c r="I3486" t="str">
        <f>_xlfn.IFNA(VLOOKUP(B3486,T_DistName[],3,FALSE),"")</f>
        <v/>
      </c>
      <c r="J3486" t="str">
        <f t="shared" si="55"/>
        <v/>
      </c>
    </row>
    <row r="3487" spans="9:10">
      <c r="I3487" t="str">
        <f>_xlfn.IFNA(VLOOKUP(B3487,T_DistName[],3,FALSE),"")</f>
        <v/>
      </c>
      <c r="J3487" t="str">
        <f t="shared" si="55"/>
        <v/>
      </c>
    </row>
    <row r="3488" spans="9:10">
      <c r="I3488" t="str">
        <f>_xlfn.IFNA(VLOOKUP(B3488,T_DistName[],3,FALSE),"")</f>
        <v/>
      </c>
      <c r="J3488" t="str">
        <f t="shared" si="55"/>
        <v/>
      </c>
    </row>
    <row r="3489" spans="9:10">
      <c r="I3489" t="str">
        <f>_xlfn.IFNA(VLOOKUP(B3489,T_DistName[],3,FALSE),"")</f>
        <v/>
      </c>
      <c r="J3489" t="str">
        <f t="shared" si="55"/>
        <v/>
      </c>
    </row>
    <row r="3490" spans="9:10">
      <c r="I3490" t="str">
        <f>_xlfn.IFNA(VLOOKUP(B3490,T_DistName[],3,FALSE),"")</f>
        <v/>
      </c>
      <c r="J3490" t="str">
        <f t="shared" si="55"/>
        <v/>
      </c>
    </row>
    <row r="3491" spans="9:10">
      <c r="I3491" t="str">
        <f>_xlfn.IFNA(VLOOKUP(B3491,T_DistName[],3,FALSE),"")</f>
        <v/>
      </c>
      <c r="J3491" t="str">
        <f t="shared" si="55"/>
        <v/>
      </c>
    </row>
    <row r="3492" spans="9:10">
      <c r="I3492" t="str">
        <f>_xlfn.IFNA(VLOOKUP(B3492,T_DistName[],3,FALSE),"")</f>
        <v/>
      </c>
      <c r="J3492" t="str">
        <f t="shared" si="55"/>
        <v/>
      </c>
    </row>
    <row r="3493" spans="9:10">
      <c r="I3493" t="str">
        <f>_xlfn.IFNA(VLOOKUP(B3493,T_DistName[],3,FALSE),"")</f>
        <v/>
      </c>
      <c r="J3493" t="str">
        <f t="shared" si="55"/>
        <v/>
      </c>
    </row>
    <row r="3494" spans="9:10">
      <c r="I3494" t="str">
        <f>_xlfn.IFNA(VLOOKUP(B3494,T_DistName[],3,FALSE),"")</f>
        <v/>
      </c>
      <c r="J3494" t="str">
        <f t="shared" si="55"/>
        <v/>
      </c>
    </row>
    <row r="3495" spans="9:10">
      <c r="I3495" t="str">
        <f>_xlfn.IFNA(VLOOKUP(B3495,T_DistName[],3,FALSE),"")</f>
        <v/>
      </c>
      <c r="J3495" t="str">
        <f t="shared" si="55"/>
        <v/>
      </c>
    </row>
    <row r="3496" spans="9:10">
      <c r="I3496" t="str">
        <f>_xlfn.IFNA(VLOOKUP(B3496,T_DistName[],3,FALSE),"")</f>
        <v/>
      </c>
      <c r="J3496" t="str">
        <f t="shared" si="55"/>
        <v/>
      </c>
    </row>
    <row r="3497" spans="9:10">
      <c r="I3497" t="str">
        <f>_xlfn.IFNA(VLOOKUP(B3497,T_DistName[],3,FALSE),"")</f>
        <v/>
      </c>
      <c r="J3497" t="str">
        <f t="shared" si="55"/>
        <v/>
      </c>
    </row>
    <row r="3498" spans="9:10">
      <c r="I3498" t="str">
        <f>_xlfn.IFNA(VLOOKUP(B3498,T_DistName[],3,FALSE),"")</f>
        <v/>
      </c>
      <c r="J3498" t="str">
        <f t="shared" si="55"/>
        <v/>
      </c>
    </row>
    <row r="3499" spans="9:10">
      <c r="I3499" t="str">
        <f>_xlfn.IFNA(VLOOKUP(B3499,T_DistName[],3,FALSE),"")</f>
        <v/>
      </c>
      <c r="J3499" t="str">
        <f t="shared" si="55"/>
        <v/>
      </c>
    </row>
    <row r="3500" spans="9:10">
      <c r="I3500" t="str">
        <f>_xlfn.IFNA(VLOOKUP(B3500,T_DistName[],3,FALSE),"")</f>
        <v/>
      </c>
      <c r="J3500" t="str">
        <f t="shared" si="55"/>
        <v/>
      </c>
    </row>
    <row r="3501" spans="9:10">
      <c r="I3501" t="str">
        <f>_xlfn.IFNA(VLOOKUP(B3501,T_DistName[],3,FALSE),"")</f>
        <v/>
      </c>
      <c r="J3501" t="str">
        <f t="shared" si="55"/>
        <v/>
      </c>
    </row>
    <row r="3502" spans="9:10">
      <c r="I3502" t="str">
        <f>_xlfn.IFNA(VLOOKUP(B3502,T_DistName[],3,FALSE),"")</f>
        <v/>
      </c>
      <c r="J3502" t="str">
        <f t="shared" si="55"/>
        <v/>
      </c>
    </row>
    <row r="3503" spans="9:10">
      <c r="I3503" t="str">
        <f>_xlfn.IFNA(VLOOKUP(B3503,T_DistName[],3,FALSE),"")</f>
        <v/>
      </c>
      <c r="J3503" t="str">
        <f t="shared" si="55"/>
        <v/>
      </c>
    </row>
    <row r="3504" spans="9:10">
      <c r="I3504" t="str">
        <f>_xlfn.IFNA(VLOOKUP(B3504,T_DistName[],3,FALSE),"")</f>
        <v/>
      </c>
      <c r="J3504" t="str">
        <f t="shared" si="55"/>
        <v/>
      </c>
    </row>
    <row r="3505" spans="9:10">
      <c r="I3505" t="str">
        <f>_xlfn.IFNA(VLOOKUP(B3505,T_DistName[],3,FALSE),"")</f>
        <v/>
      </c>
      <c r="J3505" t="str">
        <f t="shared" si="55"/>
        <v/>
      </c>
    </row>
    <row r="3506" spans="9:10">
      <c r="I3506" t="str">
        <f>_xlfn.IFNA(VLOOKUP(B3506,T_DistName[],3,FALSE),"")</f>
        <v/>
      </c>
      <c r="J3506" t="str">
        <f t="shared" si="55"/>
        <v/>
      </c>
    </row>
    <row r="3507" spans="9:10">
      <c r="I3507" t="str">
        <f>_xlfn.IFNA(VLOOKUP(B3507,T_DistName[],3,FALSE),"")</f>
        <v/>
      </c>
      <c r="J3507" t="str">
        <f t="shared" si="55"/>
        <v/>
      </c>
    </row>
    <row r="3508" spans="9:10">
      <c r="I3508" t="str">
        <f>_xlfn.IFNA(VLOOKUP(B3508,T_DistName[],3,FALSE),"")</f>
        <v/>
      </c>
      <c r="J3508" t="str">
        <f t="shared" si="55"/>
        <v/>
      </c>
    </row>
    <row r="3509" spans="9:10">
      <c r="I3509" t="str">
        <f>_xlfn.IFNA(VLOOKUP(B3509,T_DistName[],3,FALSE),"")</f>
        <v/>
      </c>
      <c r="J3509" t="str">
        <f t="shared" si="55"/>
        <v/>
      </c>
    </row>
    <row r="3510" spans="9:10">
      <c r="I3510" t="str">
        <f>_xlfn.IFNA(VLOOKUP(B3510,T_DistName[],3,FALSE),"")</f>
        <v/>
      </c>
      <c r="J3510" t="str">
        <f t="shared" si="55"/>
        <v/>
      </c>
    </row>
    <row r="3511" spans="9:10">
      <c r="I3511" t="str">
        <f>_xlfn.IFNA(VLOOKUP(B3511,T_DistName[],3,FALSE),"")</f>
        <v/>
      </c>
      <c r="J3511" t="str">
        <f t="shared" si="55"/>
        <v/>
      </c>
    </row>
    <row r="3512" spans="9:10">
      <c r="I3512" t="str">
        <f>_xlfn.IFNA(VLOOKUP(B3512,T_DistName[],3,FALSE),"")</f>
        <v/>
      </c>
      <c r="J3512" t="str">
        <f t="shared" si="55"/>
        <v/>
      </c>
    </row>
    <row r="3513" spans="9:10">
      <c r="I3513" t="str">
        <f>_xlfn.IFNA(VLOOKUP(B3513,T_DistName[],3,FALSE),"")</f>
        <v/>
      </c>
      <c r="J3513" t="str">
        <f t="shared" si="55"/>
        <v/>
      </c>
    </row>
    <row r="3514" spans="9:10">
      <c r="I3514" t="str">
        <f>_xlfn.IFNA(VLOOKUP(B3514,T_DistName[],3,FALSE),"")</f>
        <v/>
      </c>
      <c r="J3514" t="str">
        <f t="shared" si="55"/>
        <v/>
      </c>
    </row>
    <row r="3515" spans="9:10">
      <c r="I3515" t="str">
        <f>_xlfn.IFNA(VLOOKUP(B3515,T_DistName[],3,FALSE),"")</f>
        <v/>
      </c>
      <c r="J3515" t="str">
        <f t="shared" si="55"/>
        <v/>
      </c>
    </row>
    <row r="3516" spans="9:10">
      <c r="I3516" t="str">
        <f>_xlfn.IFNA(VLOOKUP(B3516,T_DistName[],3,FALSE),"")</f>
        <v/>
      </c>
      <c r="J3516" t="str">
        <f t="shared" si="55"/>
        <v/>
      </c>
    </row>
    <row r="3517" spans="9:10">
      <c r="I3517" t="str">
        <f>_xlfn.IFNA(VLOOKUP(B3517,T_DistName[],3,FALSE),"")</f>
        <v/>
      </c>
      <c r="J3517" t="str">
        <f t="shared" si="55"/>
        <v/>
      </c>
    </row>
    <row r="3518" spans="9:10">
      <c r="I3518" t="str">
        <f>_xlfn.IFNA(VLOOKUP(B3518,T_DistName[],3,FALSE),"")</f>
        <v/>
      </c>
      <c r="J3518" t="str">
        <f t="shared" si="55"/>
        <v/>
      </c>
    </row>
    <row r="3519" spans="9:10">
      <c r="I3519" t="str">
        <f>_xlfn.IFNA(VLOOKUP(B3519,T_DistName[],3,FALSE),"")</f>
        <v/>
      </c>
      <c r="J3519" t="str">
        <f t="shared" si="55"/>
        <v/>
      </c>
    </row>
    <row r="3520" spans="9:10">
      <c r="I3520" t="str">
        <f>_xlfn.IFNA(VLOOKUP(B3520,T_DistName[],3,FALSE),"")</f>
        <v/>
      </c>
      <c r="J3520" t="str">
        <f t="shared" si="55"/>
        <v/>
      </c>
    </row>
    <row r="3521" spans="9:10">
      <c r="I3521" t="str">
        <f>_xlfn.IFNA(VLOOKUP(B3521,T_DistName[],3,FALSE),"")</f>
        <v/>
      </c>
      <c r="J3521" t="str">
        <f t="shared" si="55"/>
        <v/>
      </c>
    </row>
    <row r="3522" spans="9:10">
      <c r="I3522" t="str">
        <f>_xlfn.IFNA(VLOOKUP(B3522,T_DistName[],3,FALSE),"")</f>
        <v/>
      </c>
      <c r="J3522" t="str">
        <f t="shared" si="55"/>
        <v/>
      </c>
    </row>
    <row r="3523" spans="9:10">
      <c r="I3523" t="str">
        <f>_xlfn.IFNA(VLOOKUP(B3523,T_DistName[],3,FALSE),"")</f>
        <v/>
      </c>
      <c r="J3523" t="str">
        <f t="shared" si="55"/>
        <v/>
      </c>
    </row>
    <row r="3524" spans="9:10">
      <c r="I3524" t="str">
        <f>_xlfn.IFNA(VLOOKUP(B3524,T_DistName[],3,FALSE),"")</f>
        <v/>
      </c>
      <c r="J3524" t="str">
        <f t="shared" si="55"/>
        <v/>
      </c>
    </row>
    <row r="3525" spans="9:10">
      <c r="I3525" t="str">
        <f>_xlfn.IFNA(VLOOKUP(B3525,T_DistName[],3,FALSE),"")</f>
        <v/>
      </c>
      <c r="J3525" t="str">
        <f t="shared" si="55"/>
        <v/>
      </c>
    </row>
    <row r="3526" spans="9:10">
      <c r="I3526" t="str">
        <f>_xlfn.IFNA(VLOOKUP(B3526,T_DistName[],3,FALSE),"")</f>
        <v/>
      </c>
      <c r="J3526" t="str">
        <f t="shared" si="55"/>
        <v/>
      </c>
    </row>
    <row r="3527" spans="9:10">
      <c r="I3527" t="str">
        <f>_xlfn.IFNA(VLOOKUP(B3527,T_DistName[],3,FALSE),"")</f>
        <v/>
      </c>
      <c r="J3527" t="str">
        <f t="shared" si="55"/>
        <v/>
      </c>
    </row>
    <row r="3528" spans="9:10">
      <c r="I3528" t="str">
        <f>_xlfn.IFNA(VLOOKUP(B3528,T_DistName[],3,FALSE),"")</f>
        <v/>
      </c>
      <c r="J3528" t="str">
        <f t="shared" si="55"/>
        <v/>
      </c>
    </row>
    <row r="3529" spans="9:10">
      <c r="I3529" t="str">
        <f>_xlfn.IFNA(VLOOKUP(B3529,T_DistName[],3,FALSE),"")</f>
        <v/>
      </c>
      <c r="J3529" t="str">
        <f t="shared" si="55"/>
        <v/>
      </c>
    </row>
    <row r="3530" spans="9:10">
      <c r="I3530" t="str">
        <f>_xlfn.IFNA(VLOOKUP(B3530,T_DistName[],3,FALSE),"")</f>
        <v/>
      </c>
      <c r="J3530" t="str">
        <f t="shared" si="55"/>
        <v/>
      </c>
    </row>
    <row r="3531" spans="9:10">
      <c r="I3531" t="str">
        <f>_xlfn.IFNA(VLOOKUP(B3531,T_DistName[],3,FALSE),"")</f>
        <v/>
      </c>
      <c r="J3531" t="str">
        <f t="shared" si="55"/>
        <v/>
      </c>
    </row>
    <row r="3532" spans="9:10">
      <c r="I3532" t="str">
        <f>_xlfn.IFNA(VLOOKUP(B3532,T_DistName[],3,FALSE),"")</f>
        <v/>
      </c>
      <c r="J3532" t="str">
        <f t="shared" si="55"/>
        <v/>
      </c>
    </row>
    <row r="3533" spans="9:10">
      <c r="I3533" t="str">
        <f>_xlfn.IFNA(VLOOKUP(B3533,T_DistName[],3,FALSE),"")</f>
        <v/>
      </c>
      <c r="J3533" t="str">
        <f t="shared" si="55"/>
        <v/>
      </c>
    </row>
    <row r="3534" spans="9:10">
      <c r="I3534" t="str">
        <f>_xlfn.IFNA(VLOOKUP(B3534,T_DistName[],3,FALSE),"")</f>
        <v/>
      </c>
      <c r="J3534" t="str">
        <f t="shared" si="55"/>
        <v/>
      </c>
    </row>
    <row r="3535" spans="9:10">
      <c r="I3535" t="str">
        <f>_xlfn.IFNA(VLOOKUP(B3535,T_DistName[],3,FALSE),"")</f>
        <v/>
      </c>
      <c r="J3535" t="str">
        <f t="shared" si="55"/>
        <v/>
      </c>
    </row>
    <row r="3536" spans="9:10">
      <c r="I3536" t="str">
        <f>_xlfn.IFNA(VLOOKUP(B3536,T_DistName[],3,FALSE),"")</f>
        <v/>
      </c>
      <c r="J3536" t="str">
        <f t="shared" si="55"/>
        <v/>
      </c>
    </row>
    <row r="3537" spans="9:10">
      <c r="I3537" t="str">
        <f>_xlfn.IFNA(VLOOKUP(B3537,T_DistName[],3,FALSE),"")</f>
        <v/>
      </c>
      <c r="J3537" t="str">
        <f t="shared" si="55"/>
        <v/>
      </c>
    </row>
    <row r="3538" spans="9:10">
      <c r="I3538" t="str">
        <f>_xlfn.IFNA(VLOOKUP(B3538,T_DistName[],3,FALSE),"")</f>
        <v/>
      </c>
      <c r="J3538" t="str">
        <f t="shared" si="55"/>
        <v/>
      </c>
    </row>
    <row r="3539" spans="9:10">
      <c r="I3539" t="str">
        <f>_xlfn.IFNA(VLOOKUP(B3539,T_DistName[],3,FALSE),"")</f>
        <v/>
      </c>
      <c r="J3539" t="str">
        <f t="shared" si="55"/>
        <v/>
      </c>
    </row>
    <row r="3540" spans="9:10">
      <c r="I3540" t="str">
        <f>_xlfn.IFNA(VLOOKUP(B3540,T_DistName[],3,FALSE),"")</f>
        <v/>
      </c>
      <c r="J3540" t="str">
        <f t="shared" si="55"/>
        <v/>
      </c>
    </row>
    <row r="3541" spans="9:10">
      <c r="I3541" t="str">
        <f>_xlfn.IFNA(VLOOKUP(B3541,T_DistName[],3,FALSE),"")</f>
        <v/>
      </c>
      <c r="J3541" t="str">
        <f t="shared" si="55"/>
        <v/>
      </c>
    </row>
    <row r="3542" spans="9:10">
      <c r="I3542" t="str">
        <f>_xlfn.IFNA(VLOOKUP(B3542,T_DistName[],3,FALSE),"")</f>
        <v/>
      </c>
      <c r="J3542" t="str">
        <f t="shared" si="55"/>
        <v/>
      </c>
    </row>
    <row r="3543" spans="9:10">
      <c r="I3543" t="str">
        <f>_xlfn.IFNA(VLOOKUP(B3543,T_DistName[],3,FALSE),"")</f>
        <v/>
      </c>
      <c r="J3543" t="str">
        <f t="shared" si="55"/>
        <v/>
      </c>
    </row>
    <row r="3544" spans="9:10">
      <c r="I3544" t="str">
        <f>_xlfn.IFNA(VLOOKUP(B3544,T_DistName[],3,FALSE),"")</f>
        <v/>
      </c>
      <c r="J3544" t="str">
        <f t="shared" si="55"/>
        <v/>
      </c>
    </row>
    <row r="3545" spans="9:10">
      <c r="I3545" t="str">
        <f>_xlfn.IFNA(VLOOKUP(B3545,T_DistName[],3,FALSE),"")</f>
        <v/>
      </c>
      <c r="J3545" t="str">
        <f t="shared" ref="J3545:J3608" si="56">I3545&amp;F3545</f>
        <v/>
      </c>
    </row>
    <row r="3546" spans="9:10">
      <c r="I3546" t="str">
        <f>_xlfn.IFNA(VLOOKUP(B3546,T_DistName[],3,FALSE),"")</f>
        <v/>
      </c>
      <c r="J3546" t="str">
        <f t="shared" si="56"/>
        <v/>
      </c>
    </row>
    <row r="3547" spans="9:10">
      <c r="I3547" t="str">
        <f>_xlfn.IFNA(VLOOKUP(B3547,T_DistName[],3,FALSE),"")</f>
        <v/>
      </c>
      <c r="J3547" t="str">
        <f t="shared" si="56"/>
        <v/>
      </c>
    </row>
    <row r="3548" spans="9:10">
      <c r="I3548" t="str">
        <f>_xlfn.IFNA(VLOOKUP(B3548,T_DistName[],3,FALSE),"")</f>
        <v/>
      </c>
      <c r="J3548" t="str">
        <f t="shared" si="56"/>
        <v/>
      </c>
    </row>
    <row r="3549" spans="9:10">
      <c r="I3549" t="str">
        <f>_xlfn.IFNA(VLOOKUP(B3549,T_DistName[],3,FALSE),"")</f>
        <v/>
      </c>
      <c r="J3549" t="str">
        <f t="shared" si="56"/>
        <v/>
      </c>
    </row>
    <row r="3550" spans="9:10">
      <c r="I3550" t="str">
        <f>_xlfn.IFNA(VLOOKUP(B3550,T_DistName[],3,FALSE),"")</f>
        <v/>
      </c>
      <c r="J3550" t="str">
        <f t="shared" si="56"/>
        <v/>
      </c>
    </row>
    <row r="3551" spans="9:10">
      <c r="I3551" t="str">
        <f>_xlfn.IFNA(VLOOKUP(B3551,T_DistName[],3,FALSE),"")</f>
        <v/>
      </c>
      <c r="J3551" t="str">
        <f t="shared" si="56"/>
        <v/>
      </c>
    </row>
    <row r="3552" spans="9:10">
      <c r="I3552" t="str">
        <f>_xlfn.IFNA(VLOOKUP(B3552,T_DistName[],3,FALSE),"")</f>
        <v/>
      </c>
      <c r="J3552" t="str">
        <f t="shared" si="56"/>
        <v/>
      </c>
    </row>
    <row r="3553" spans="9:10">
      <c r="I3553" t="str">
        <f>_xlfn.IFNA(VLOOKUP(B3553,T_DistName[],3,FALSE),"")</f>
        <v/>
      </c>
      <c r="J3553" t="str">
        <f t="shared" si="56"/>
        <v/>
      </c>
    </row>
    <row r="3554" spans="9:10">
      <c r="I3554" t="str">
        <f>_xlfn.IFNA(VLOOKUP(B3554,T_DistName[],3,FALSE),"")</f>
        <v/>
      </c>
      <c r="J3554" t="str">
        <f t="shared" si="56"/>
        <v/>
      </c>
    </row>
    <row r="3555" spans="9:10">
      <c r="I3555" t="str">
        <f>_xlfn.IFNA(VLOOKUP(B3555,T_DistName[],3,FALSE),"")</f>
        <v/>
      </c>
      <c r="J3555" t="str">
        <f t="shared" si="56"/>
        <v/>
      </c>
    </row>
    <row r="3556" spans="9:10">
      <c r="I3556" t="str">
        <f>_xlfn.IFNA(VLOOKUP(B3556,T_DistName[],3,FALSE),"")</f>
        <v/>
      </c>
      <c r="J3556" t="str">
        <f t="shared" si="56"/>
        <v/>
      </c>
    </row>
    <row r="3557" spans="9:10">
      <c r="I3557" t="str">
        <f>_xlfn.IFNA(VLOOKUP(B3557,T_DistName[],3,FALSE),"")</f>
        <v/>
      </c>
      <c r="J3557" t="str">
        <f t="shared" si="56"/>
        <v/>
      </c>
    </row>
    <row r="3558" spans="9:10">
      <c r="I3558" t="str">
        <f>_xlfn.IFNA(VLOOKUP(B3558,T_DistName[],3,FALSE),"")</f>
        <v/>
      </c>
      <c r="J3558" t="str">
        <f t="shared" si="56"/>
        <v/>
      </c>
    </row>
    <row r="3559" spans="9:10">
      <c r="I3559" t="str">
        <f>_xlfn.IFNA(VLOOKUP(B3559,T_DistName[],3,FALSE),"")</f>
        <v/>
      </c>
      <c r="J3559" t="str">
        <f t="shared" si="56"/>
        <v/>
      </c>
    </row>
    <row r="3560" spans="9:10">
      <c r="I3560" t="str">
        <f>_xlfn.IFNA(VLOOKUP(B3560,T_DistName[],3,FALSE),"")</f>
        <v/>
      </c>
      <c r="J3560" t="str">
        <f t="shared" si="56"/>
        <v/>
      </c>
    </row>
    <row r="3561" spans="9:10">
      <c r="I3561" t="str">
        <f>_xlfn.IFNA(VLOOKUP(B3561,T_DistName[],3,FALSE),"")</f>
        <v/>
      </c>
      <c r="J3561" t="str">
        <f t="shared" si="56"/>
        <v/>
      </c>
    </row>
    <row r="3562" spans="9:10">
      <c r="I3562" t="str">
        <f>_xlfn.IFNA(VLOOKUP(B3562,T_DistName[],3,FALSE),"")</f>
        <v/>
      </c>
      <c r="J3562" t="str">
        <f t="shared" si="56"/>
        <v/>
      </c>
    </row>
    <row r="3563" spans="9:10">
      <c r="I3563" t="str">
        <f>_xlfn.IFNA(VLOOKUP(B3563,T_DistName[],3,FALSE),"")</f>
        <v/>
      </c>
      <c r="J3563" t="str">
        <f t="shared" si="56"/>
        <v/>
      </c>
    </row>
    <row r="3564" spans="9:10">
      <c r="I3564" t="str">
        <f>_xlfn.IFNA(VLOOKUP(B3564,T_DistName[],3,FALSE),"")</f>
        <v/>
      </c>
      <c r="J3564" t="str">
        <f t="shared" si="56"/>
        <v/>
      </c>
    </row>
    <row r="3565" spans="9:10">
      <c r="I3565" t="str">
        <f>_xlfn.IFNA(VLOOKUP(B3565,T_DistName[],3,FALSE),"")</f>
        <v/>
      </c>
      <c r="J3565" t="str">
        <f t="shared" si="56"/>
        <v/>
      </c>
    </row>
    <row r="3566" spans="9:10">
      <c r="I3566" t="str">
        <f>_xlfn.IFNA(VLOOKUP(B3566,T_DistName[],3,FALSE),"")</f>
        <v/>
      </c>
      <c r="J3566" t="str">
        <f t="shared" si="56"/>
        <v/>
      </c>
    </row>
    <row r="3567" spans="9:10">
      <c r="I3567" t="str">
        <f>_xlfn.IFNA(VLOOKUP(B3567,T_DistName[],3,FALSE),"")</f>
        <v/>
      </c>
      <c r="J3567" t="str">
        <f t="shared" si="56"/>
        <v/>
      </c>
    </row>
    <row r="3568" spans="9:10">
      <c r="I3568" t="str">
        <f>_xlfn.IFNA(VLOOKUP(B3568,T_DistName[],3,FALSE),"")</f>
        <v/>
      </c>
      <c r="J3568" t="str">
        <f t="shared" si="56"/>
        <v/>
      </c>
    </row>
    <row r="3569" spans="9:10">
      <c r="I3569" t="str">
        <f>_xlfn.IFNA(VLOOKUP(B3569,T_DistName[],3,FALSE),"")</f>
        <v/>
      </c>
      <c r="J3569" t="str">
        <f t="shared" si="56"/>
        <v/>
      </c>
    </row>
    <row r="3570" spans="9:10">
      <c r="I3570" t="str">
        <f>_xlfn.IFNA(VLOOKUP(B3570,T_DistName[],3,FALSE),"")</f>
        <v/>
      </c>
      <c r="J3570" t="str">
        <f t="shared" si="56"/>
        <v/>
      </c>
    </row>
    <row r="3571" spans="9:10">
      <c r="I3571" t="str">
        <f>_xlfn.IFNA(VLOOKUP(B3571,T_DistName[],3,FALSE),"")</f>
        <v/>
      </c>
      <c r="J3571" t="str">
        <f t="shared" si="56"/>
        <v/>
      </c>
    </row>
    <row r="3572" spans="9:10">
      <c r="I3572" t="str">
        <f>_xlfn.IFNA(VLOOKUP(B3572,T_DistName[],3,FALSE),"")</f>
        <v/>
      </c>
      <c r="J3572" t="str">
        <f t="shared" si="56"/>
        <v/>
      </c>
    </row>
    <row r="3573" spans="9:10">
      <c r="I3573" t="str">
        <f>_xlfn.IFNA(VLOOKUP(B3573,T_DistName[],3,FALSE),"")</f>
        <v/>
      </c>
      <c r="J3573" t="str">
        <f t="shared" si="56"/>
        <v/>
      </c>
    </row>
    <row r="3574" spans="9:10">
      <c r="I3574" t="str">
        <f>_xlfn.IFNA(VLOOKUP(B3574,T_DistName[],3,FALSE),"")</f>
        <v/>
      </c>
      <c r="J3574" t="str">
        <f t="shared" si="56"/>
        <v/>
      </c>
    </row>
    <row r="3575" spans="9:10">
      <c r="I3575" t="str">
        <f>_xlfn.IFNA(VLOOKUP(B3575,T_DistName[],3,FALSE),"")</f>
        <v/>
      </c>
      <c r="J3575" t="str">
        <f t="shared" si="56"/>
        <v/>
      </c>
    </row>
    <row r="3576" spans="9:10">
      <c r="I3576" t="str">
        <f>_xlfn.IFNA(VLOOKUP(B3576,T_DistName[],3,FALSE),"")</f>
        <v/>
      </c>
      <c r="J3576" t="str">
        <f t="shared" si="56"/>
        <v/>
      </c>
    </row>
    <row r="3577" spans="9:10">
      <c r="I3577" t="str">
        <f>_xlfn.IFNA(VLOOKUP(B3577,T_DistName[],3,FALSE),"")</f>
        <v/>
      </c>
      <c r="J3577" t="str">
        <f t="shared" si="56"/>
        <v/>
      </c>
    </row>
    <row r="3578" spans="9:10">
      <c r="I3578" t="str">
        <f>_xlfn.IFNA(VLOOKUP(B3578,T_DistName[],3,FALSE),"")</f>
        <v/>
      </c>
      <c r="J3578" t="str">
        <f t="shared" si="56"/>
        <v/>
      </c>
    </row>
    <row r="3579" spans="9:10">
      <c r="I3579" t="str">
        <f>_xlfn.IFNA(VLOOKUP(B3579,T_DistName[],3,FALSE),"")</f>
        <v/>
      </c>
      <c r="J3579" t="str">
        <f t="shared" si="56"/>
        <v/>
      </c>
    </row>
    <row r="3580" spans="9:10">
      <c r="I3580" t="str">
        <f>_xlfn.IFNA(VLOOKUP(B3580,T_DistName[],3,FALSE),"")</f>
        <v/>
      </c>
      <c r="J3580" t="str">
        <f t="shared" si="56"/>
        <v/>
      </c>
    </row>
    <row r="3581" spans="9:10">
      <c r="I3581" t="str">
        <f>_xlfn.IFNA(VLOOKUP(B3581,T_DistName[],3,FALSE),"")</f>
        <v/>
      </c>
      <c r="J3581" t="str">
        <f t="shared" si="56"/>
        <v/>
      </c>
    </row>
    <row r="3582" spans="9:10">
      <c r="I3582" t="str">
        <f>_xlfn.IFNA(VLOOKUP(B3582,T_DistName[],3,FALSE),"")</f>
        <v/>
      </c>
      <c r="J3582" t="str">
        <f t="shared" si="56"/>
        <v/>
      </c>
    </row>
    <row r="3583" spans="9:10">
      <c r="I3583" t="str">
        <f>_xlfn.IFNA(VLOOKUP(B3583,T_DistName[],3,FALSE),"")</f>
        <v/>
      </c>
      <c r="J3583" t="str">
        <f t="shared" si="56"/>
        <v/>
      </c>
    </row>
    <row r="3584" spans="9:10">
      <c r="I3584" t="str">
        <f>_xlfn.IFNA(VLOOKUP(B3584,T_DistName[],3,FALSE),"")</f>
        <v/>
      </c>
      <c r="J3584" t="str">
        <f t="shared" si="56"/>
        <v/>
      </c>
    </row>
    <row r="3585" spans="9:10">
      <c r="I3585" t="str">
        <f>_xlfn.IFNA(VLOOKUP(B3585,T_DistName[],3,FALSE),"")</f>
        <v/>
      </c>
      <c r="J3585" t="str">
        <f t="shared" si="56"/>
        <v/>
      </c>
    </row>
    <row r="3586" spans="9:10">
      <c r="I3586" t="str">
        <f>_xlfn.IFNA(VLOOKUP(B3586,T_DistName[],3,FALSE),"")</f>
        <v/>
      </c>
      <c r="J3586" t="str">
        <f t="shared" si="56"/>
        <v/>
      </c>
    </row>
    <row r="3587" spans="9:10">
      <c r="I3587" t="str">
        <f>_xlfn.IFNA(VLOOKUP(B3587,T_DistName[],3,FALSE),"")</f>
        <v/>
      </c>
      <c r="J3587" t="str">
        <f t="shared" si="56"/>
        <v/>
      </c>
    </row>
    <row r="3588" spans="9:10">
      <c r="I3588" t="str">
        <f>_xlfn.IFNA(VLOOKUP(B3588,T_DistName[],3,FALSE),"")</f>
        <v/>
      </c>
      <c r="J3588" t="str">
        <f t="shared" si="56"/>
        <v/>
      </c>
    </row>
    <row r="3589" spans="9:10">
      <c r="I3589" t="str">
        <f>_xlfn.IFNA(VLOOKUP(B3589,T_DistName[],3,FALSE),"")</f>
        <v/>
      </c>
      <c r="J3589" t="str">
        <f t="shared" si="56"/>
        <v/>
      </c>
    </row>
    <row r="3590" spans="9:10">
      <c r="I3590" t="str">
        <f>_xlfn.IFNA(VLOOKUP(B3590,T_DistName[],3,FALSE),"")</f>
        <v/>
      </c>
      <c r="J3590" t="str">
        <f t="shared" si="56"/>
        <v/>
      </c>
    </row>
    <row r="3591" spans="9:10">
      <c r="I3591" t="str">
        <f>_xlfn.IFNA(VLOOKUP(B3591,T_DistName[],3,FALSE),"")</f>
        <v/>
      </c>
      <c r="J3591" t="str">
        <f t="shared" si="56"/>
        <v/>
      </c>
    </row>
    <row r="3592" spans="9:10">
      <c r="I3592" t="str">
        <f>_xlfn.IFNA(VLOOKUP(B3592,T_DistName[],3,FALSE),"")</f>
        <v/>
      </c>
      <c r="J3592" t="str">
        <f t="shared" si="56"/>
        <v/>
      </c>
    </row>
    <row r="3593" spans="9:10">
      <c r="I3593" t="str">
        <f>_xlfn.IFNA(VLOOKUP(B3593,T_DistName[],3,FALSE),"")</f>
        <v/>
      </c>
      <c r="J3593" t="str">
        <f t="shared" si="56"/>
        <v/>
      </c>
    </row>
    <row r="3594" spans="9:10">
      <c r="I3594" t="str">
        <f>_xlfn.IFNA(VLOOKUP(B3594,T_DistName[],3,FALSE),"")</f>
        <v/>
      </c>
      <c r="J3594" t="str">
        <f t="shared" si="56"/>
        <v/>
      </c>
    </row>
    <row r="3595" spans="9:10">
      <c r="I3595" t="str">
        <f>_xlfn.IFNA(VLOOKUP(B3595,T_DistName[],3,FALSE),"")</f>
        <v/>
      </c>
      <c r="J3595" t="str">
        <f t="shared" si="56"/>
        <v/>
      </c>
    </row>
    <row r="3596" spans="9:10">
      <c r="I3596" t="str">
        <f>_xlfn.IFNA(VLOOKUP(B3596,T_DistName[],3,FALSE),"")</f>
        <v/>
      </c>
      <c r="J3596" t="str">
        <f t="shared" si="56"/>
        <v/>
      </c>
    </row>
    <row r="3597" spans="9:10">
      <c r="I3597" t="str">
        <f>_xlfn.IFNA(VLOOKUP(B3597,T_DistName[],3,FALSE),"")</f>
        <v/>
      </c>
      <c r="J3597" t="str">
        <f t="shared" si="56"/>
        <v/>
      </c>
    </row>
    <row r="3598" spans="9:10">
      <c r="I3598" t="str">
        <f>_xlfn.IFNA(VLOOKUP(B3598,T_DistName[],3,FALSE),"")</f>
        <v/>
      </c>
      <c r="J3598" t="str">
        <f t="shared" si="56"/>
        <v/>
      </c>
    </row>
    <row r="3599" spans="9:10">
      <c r="I3599" t="str">
        <f>_xlfn.IFNA(VLOOKUP(B3599,T_DistName[],3,FALSE),"")</f>
        <v/>
      </c>
      <c r="J3599" t="str">
        <f t="shared" si="56"/>
        <v/>
      </c>
    </row>
    <row r="3600" spans="9:10">
      <c r="I3600" t="str">
        <f>_xlfn.IFNA(VLOOKUP(B3600,T_DistName[],3,FALSE),"")</f>
        <v/>
      </c>
      <c r="J3600" t="str">
        <f t="shared" si="56"/>
        <v/>
      </c>
    </row>
    <row r="3601" spans="9:10">
      <c r="I3601" t="str">
        <f>_xlfn.IFNA(VLOOKUP(B3601,T_DistName[],3,FALSE),"")</f>
        <v/>
      </c>
      <c r="J3601" t="str">
        <f t="shared" si="56"/>
        <v/>
      </c>
    </row>
    <row r="3602" spans="9:10">
      <c r="I3602" t="str">
        <f>_xlfn.IFNA(VLOOKUP(B3602,T_DistName[],3,FALSE),"")</f>
        <v/>
      </c>
      <c r="J3602" t="str">
        <f t="shared" si="56"/>
        <v/>
      </c>
    </row>
    <row r="3603" spans="9:10">
      <c r="I3603" t="str">
        <f>_xlfn.IFNA(VLOOKUP(B3603,T_DistName[],3,FALSE),"")</f>
        <v/>
      </c>
      <c r="J3603" t="str">
        <f t="shared" si="56"/>
        <v/>
      </c>
    </row>
    <row r="3604" spans="9:10">
      <c r="I3604" t="str">
        <f>_xlfn.IFNA(VLOOKUP(B3604,T_DistName[],3,FALSE),"")</f>
        <v/>
      </c>
      <c r="J3604" t="str">
        <f t="shared" si="56"/>
        <v/>
      </c>
    </row>
    <row r="3605" spans="9:10">
      <c r="I3605" t="str">
        <f>_xlfn.IFNA(VLOOKUP(B3605,T_DistName[],3,FALSE),"")</f>
        <v/>
      </c>
      <c r="J3605" t="str">
        <f t="shared" si="56"/>
        <v/>
      </c>
    </row>
    <row r="3606" spans="9:10">
      <c r="I3606" t="str">
        <f>_xlfn.IFNA(VLOOKUP(B3606,T_DistName[],3,FALSE),"")</f>
        <v/>
      </c>
      <c r="J3606" t="str">
        <f t="shared" si="56"/>
        <v/>
      </c>
    </row>
    <row r="3607" spans="9:10">
      <c r="I3607" t="str">
        <f>_xlfn.IFNA(VLOOKUP(B3607,T_DistName[],3,FALSE),"")</f>
        <v/>
      </c>
      <c r="J3607" t="str">
        <f t="shared" si="56"/>
        <v/>
      </c>
    </row>
    <row r="3608" spans="9:10">
      <c r="I3608" t="str">
        <f>_xlfn.IFNA(VLOOKUP(B3608,T_DistName[],3,FALSE),"")</f>
        <v/>
      </c>
      <c r="J3608" t="str">
        <f t="shared" si="56"/>
        <v/>
      </c>
    </row>
    <row r="3609" spans="9:10">
      <c r="I3609" t="str">
        <f>_xlfn.IFNA(VLOOKUP(B3609,T_DistName[],3,FALSE),"")</f>
        <v/>
      </c>
      <c r="J3609" t="str">
        <f t="shared" ref="J3609:J3672" si="57">I3609&amp;F3609</f>
        <v/>
      </c>
    </row>
    <row r="3610" spans="9:10">
      <c r="I3610" t="str">
        <f>_xlfn.IFNA(VLOOKUP(B3610,T_DistName[],3,FALSE),"")</f>
        <v/>
      </c>
      <c r="J3610" t="str">
        <f t="shared" si="57"/>
        <v/>
      </c>
    </row>
    <row r="3611" spans="9:10">
      <c r="I3611" t="str">
        <f>_xlfn.IFNA(VLOOKUP(B3611,T_DistName[],3,FALSE),"")</f>
        <v/>
      </c>
      <c r="J3611" t="str">
        <f t="shared" si="57"/>
        <v/>
      </c>
    </row>
    <row r="3612" spans="9:10">
      <c r="I3612" t="str">
        <f>_xlfn.IFNA(VLOOKUP(B3612,T_DistName[],3,FALSE),"")</f>
        <v/>
      </c>
      <c r="J3612" t="str">
        <f t="shared" si="57"/>
        <v/>
      </c>
    </row>
    <row r="3613" spans="9:10">
      <c r="I3613" t="str">
        <f>_xlfn.IFNA(VLOOKUP(B3613,T_DistName[],3,FALSE),"")</f>
        <v/>
      </c>
      <c r="J3613" t="str">
        <f t="shared" si="57"/>
        <v/>
      </c>
    </row>
    <row r="3614" spans="9:10">
      <c r="I3614" t="str">
        <f>_xlfn.IFNA(VLOOKUP(B3614,T_DistName[],3,FALSE),"")</f>
        <v/>
      </c>
      <c r="J3614" t="str">
        <f t="shared" si="57"/>
        <v/>
      </c>
    </row>
    <row r="3615" spans="9:10">
      <c r="I3615" t="str">
        <f>_xlfn.IFNA(VLOOKUP(B3615,T_DistName[],3,FALSE),"")</f>
        <v/>
      </c>
      <c r="J3615" t="str">
        <f t="shared" si="57"/>
        <v/>
      </c>
    </row>
    <row r="3616" spans="9:10">
      <c r="I3616" t="str">
        <f>_xlfn.IFNA(VLOOKUP(B3616,T_DistName[],3,FALSE),"")</f>
        <v/>
      </c>
      <c r="J3616" t="str">
        <f t="shared" si="57"/>
        <v/>
      </c>
    </row>
    <row r="3617" spans="9:10">
      <c r="I3617" t="str">
        <f>_xlfn.IFNA(VLOOKUP(B3617,T_DistName[],3,FALSE),"")</f>
        <v/>
      </c>
      <c r="J3617" t="str">
        <f t="shared" si="57"/>
        <v/>
      </c>
    </row>
    <row r="3618" spans="9:10">
      <c r="I3618" t="str">
        <f>_xlfn.IFNA(VLOOKUP(B3618,T_DistName[],3,FALSE),"")</f>
        <v/>
      </c>
      <c r="J3618" t="str">
        <f t="shared" si="57"/>
        <v/>
      </c>
    </row>
    <row r="3619" spans="9:10">
      <c r="I3619" t="str">
        <f>_xlfn.IFNA(VLOOKUP(B3619,T_DistName[],3,FALSE),"")</f>
        <v/>
      </c>
      <c r="J3619" t="str">
        <f t="shared" si="57"/>
        <v/>
      </c>
    </row>
    <row r="3620" spans="9:10">
      <c r="I3620" t="str">
        <f>_xlfn.IFNA(VLOOKUP(B3620,T_DistName[],3,FALSE),"")</f>
        <v/>
      </c>
      <c r="J3620" t="str">
        <f t="shared" si="57"/>
        <v/>
      </c>
    </row>
    <row r="3621" spans="9:10">
      <c r="I3621" t="str">
        <f>_xlfn.IFNA(VLOOKUP(B3621,T_DistName[],3,FALSE),"")</f>
        <v/>
      </c>
      <c r="J3621" t="str">
        <f t="shared" si="57"/>
        <v/>
      </c>
    </row>
    <row r="3622" spans="9:10">
      <c r="I3622" t="str">
        <f>_xlfn.IFNA(VLOOKUP(B3622,T_DistName[],3,FALSE),"")</f>
        <v/>
      </c>
      <c r="J3622" t="str">
        <f t="shared" si="57"/>
        <v/>
      </c>
    </row>
    <row r="3623" spans="9:10">
      <c r="I3623" t="str">
        <f>_xlfn.IFNA(VLOOKUP(B3623,T_DistName[],3,FALSE),"")</f>
        <v/>
      </c>
      <c r="J3623" t="str">
        <f t="shared" si="57"/>
        <v/>
      </c>
    </row>
    <row r="3624" spans="9:10">
      <c r="I3624" t="str">
        <f>_xlfn.IFNA(VLOOKUP(B3624,T_DistName[],3,FALSE),"")</f>
        <v/>
      </c>
      <c r="J3624" t="str">
        <f t="shared" si="57"/>
        <v/>
      </c>
    </row>
    <row r="3625" spans="9:10">
      <c r="I3625" t="str">
        <f>_xlfn.IFNA(VLOOKUP(B3625,T_DistName[],3,FALSE),"")</f>
        <v/>
      </c>
      <c r="J3625" t="str">
        <f t="shared" si="57"/>
        <v/>
      </c>
    </row>
    <row r="3626" spans="9:10">
      <c r="I3626" t="str">
        <f>_xlfn.IFNA(VLOOKUP(B3626,T_DistName[],3,FALSE),"")</f>
        <v/>
      </c>
      <c r="J3626" t="str">
        <f t="shared" si="57"/>
        <v/>
      </c>
    </row>
    <row r="3627" spans="9:10">
      <c r="I3627" t="str">
        <f>_xlfn.IFNA(VLOOKUP(B3627,T_DistName[],3,FALSE),"")</f>
        <v/>
      </c>
      <c r="J3627" t="str">
        <f t="shared" si="57"/>
        <v/>
      </c>
    </row>
    <row r="3628" spans="9:10">
      <c r="I3628" t="str">
        <f>_xlfn.IFNA(VLOOKUP(B3628,T_DistName[],3,FALSE),"")</f>
        <v/>
      </c>
      <c r="J3628" t="str">
        <f t="shared" si="57"/>
        <v/>
      </c>
    </row>
    <row r="3629" spans="9:10">
      <c r="I3629" t="str">
        <f>_xlfn.IFNA(VLOOKUP(B3629,T_DistName[],3,FALSE),"")</f>
        <v/>
      </c>
      <c r="J3629" t="str">
        <f t="shared" si="57"/>
        <v/>
      </c>
    </row>
    <row r="3630" spans="9:10">
      <c r="I3630" t="str">
        <f>_xlfn.IFNA(VLOOKUP(B3630,T_DistName[],3,FALSE),"")</f>
        <v/>
      </c>
      <c r="J3630" t="str">
        <f t="shared" si="57"/>
        <v/>
      </c>
    </row>
    <row r="3631" spans="9:10">
      <c r="I3631" t="str">
        <f>_xlfn.IFNA(VLOOKUP(B3631,T_DistName[],3,FALSE),"")</f>
        <v/>
      </c>
      <c r="J3631" t="str">
        <f t="shared" si="57"/>
        <v/>
      </c>
    </row>
    <row r="3632" spans="9:10">
      <c r="I3632" t="str">
        <f>_xlfn.IFNA(VLOOKUP(B3632,T_DistName[],3,FALSE),"")</f>
        <v/>
      </c>
      <c r="J3632" t="str">
        <f t="shared" si="57"/>
        <v/>
      </c>
    </row>
    <row r="3633" spans="9:10">
      <c r="I3633" t="str">
        <f>_xlfn.IFNA(VLOOKUP(B3633,T_DistName[],3,FALSE),"")</f>
        <v/>
      </c>
      <c r="J3633" t="str">
        <f t="shared" si="57"/>
        <v/>
      </c>
    </row>
    <row r="3634" spans="9:10">
      <c r="I3634" t="str">
        <f>_xlfn.IFNA(VLOOKUP(B3634,T_DistName[],3,FALSE),"")</f>
        <v/>
      </c>
      <c r="J3634" t="str">
        <f t="shared" si="57"/>
        <v/>
      </c>
    </row>
    <row r="3635" spans="9:10">
      <c r="I3635" t="str">
        <f>_xlfn.IFNA(VLOOKUP(B3635,T_DistName[],3,FALSE),"")</f>
        <v/>
      </c>
      <c r="J3635" t="str">
        <f t="shared" si="57"/>
        <v/>
      </c>
    </row>
    <row r="3636" spans="9:10">
      <c r="I3636" t="str">
        <f>_xlfn.IFNA(VLOOKUP(B3636,T_DistName[],3,FALSE),"")</f>
        <v/>
      </c>
      <c r="J3636" t="str">
        <f t="shared" si="57"/>
        <v/>
      </c>
    </row>
    <row r="3637" spans="9:10">
      <c r="I3637" t="str">
        <f>_xlfn.IFNA(VLOOKUP(B3637,T_DistName[],3,FALSE),"")</f>
        <v/>
      </c>
      <c r="J3637" t="str">
        <f t="shared" si="57"/>
        <v/>
      </c>
    </row>
    <row r="3638" spans="9:10">
      <c r="I3638" t="str">
        <f>_xlfn.IFNA(VLOOKUP(B3638,T_DistName[],3,FALSE),"")</f>
        <v/>
      </c>
      <c r="J3638" t="str">
        <f t="shared" si="57"/>
        <v/>
      </c>
    </row>
    <row r="3639" spans="9:10">
      <c r="I3639" t="str">
        <f>_xlfn.IFNA(VLOOKUP(B3639,T_DistName[],3,FALSE),"")</f>
        <v/>
      </c>
      <c r="J3639" t="str">
        <f t="shared" si="57"/>
        <v/>
      </c>
    </row>
    <row r="3640" spans="9:10">
      <c r="I3640" t="str">
        <f>_xlfn.IFNA(VLOOKUP(B3640,T_DistName[],3,FALSE),"")</f>
        <v/>
      </c>
      <c r="J3640" t="str">
        <f t="shared" si="57"/>
        <v/>
      </c>
    </row>
    <row r="3641" spans="9:10">
      <c r="I3641" t="str">
        <f>_xlfn.IFNA(VLOOKUP(B3641,T_DistName[],3,FALSE),"")</f>
        <v/>
      </c>
      <c r="J3641" t="str">
        <f t="shared" si="57"/>
        <v/>
      </c>
    </row>
    <row r="3642" spans="9:10">
      <c r="I3642" t="str">
        <f>_xlfn.IFNA(VLOOKUP(B3642,T_DistName[],3,FALSE),"")</f>
        <v/>
      </c>
      <c r="J3642" t="str">
        <f t="shared" si="57"/>
        <v/>
      </c>
    </row>
    <row r="3643" spans="9:10">
      <c r="I3643" t="str">
        <f>_xlfn.IFNA(VLOOKUP(B3643,T_DistName[],3,FALSE),"")</f>
        <v/>
      </c>
      <c r="J3643" t="str">
        <f t="shared" si="57"/>
        <v/>
      </c>
    </row>
    <row r="3644" spans="9:10">
      <c r="I3644" t="str">
        <f>_xlfn.IFNA(VLOOKUP(B3644,T_DistName[],3,FALSE),"")</f>
        <v/>
      </c>
      <c r="J3644" t="str">
        <f t="shared" si="57"/>
        <v/>
      </c>
    </row>
    <row r="3645" spans="9:10">
      <c r="I3645" t="str">
        <f>_xlfn.IFNA(VLOOKUP(B3645,T_DistName[],3,FALSE),"")</f>
        <v/>
      </c>
      <c r="J3645" t="str">
        <f t="shared" si="57"/>
        <v/>
      </c>
    </row>
    <row r="3646" spans="9:10">
      <c r="I3646" t="str">
        <f>_xlfn.IFNA(VLOOKUP(B3646,T_DistName[],3,FALSE),"")</f>
        <v/>
      </c>
      <c r="J3646" t="str">
        <f t="shared" si="57"/>
        <v/>
      </c>
    </row>
    <row r="3647" spans="9:10">
      <c r="I3647" t="str">
        <f>_xlfn.IFNA(VLOOKUP(B3647,T_DistName[],3,FALSE),"")</f>
        <v/>
      </c>
      <c r="J3647" t="str">
        <f t="shared" si="57"/>
        <v/>
      </c>
    </row>
    <row r="3648" spans="9:10">
      <c r="I3648" t="str">
        <f>_xlfn.IFNA(VLOOKUP(B3648,T_DistName[],3,FALSE),"")</f>
        <v/>
      </c>
      <c r="J3648" t="str">
        <f t="shared" si="57"/>
        <v/>
      </c>
    </row>
    <row r="3649" spans="9:10">
      <c r="I3649" t="str">
        <f>_xlfn.IFNA(VLOOKUP(B3649,T_DistName[],3,FALSE),"")</f>
        <v/>
      </c>
      <c r="J3649" t="str">
        <f t="shared" si="57"/>
        <v/>
      </c>
    </row>
    <row r="3650" spans="9:10">
      <c r="I3650" t="str">
        <f>_xlfn.IFNA(VLOOKUP(B3650,T_DistName[],3,FALSE),"")</f>
        <v/>
      </c>
      <c r="J3650" t="str">
        <f t="shared" si="57"/>
        <v/>
      </c>
    </row>
    <row r="3651" spans="9:10">
      <c r="I3651" t="str">
        <f>_xlfn.IFNA(VLOOKUP(B3651,T_DistName[],3,FALSE),"")</f>
        <v/>
      </c>
      <c r="J3651" t="str">
        <f t="shared" si="57"/>
        <v/>
      </c>
    </row>
    <row r="3652" spans="9:10">
      <c r="I3652" t="str">
        <f>_xlfn.IFNA(VLOOKUP(B3652,T_DistName[],3,FALSE),"")</f>
        <v/>
      </c>
      <c r="J3652" t="str">
        <f t="shared" si="57"/>
        <v/>
      </c>
    </row>
    <row r="3653" spans="9:10">
      <c r="I3653" t="str">
        <f>_xlfn.IFNA(VLOOKUP(B3653,T_DistName[],3,FALSE),"")</f>
        <v/>
      </c>
      <c r="J3653" t="str">
        <f t="shared" si="57"/>
        <v/>
      </c>
    </row>
    <row r="3654" spans="9:10">
      <c r="I3654" t="str">
        <f>_xlfn.IFNA(VLOOKUP(B3654,T_DistName[],3,FALSE),"")</f>
        <v/>
      </c>
      <c r="J3654" t="str">
        <f t="shared" si="57"/>
        <v/>
      </c>
    </row>
    <row r="3655" spans="9:10">
      <c r="I3655" t="str">
        <f>_xlfn.IFNA(VLOOKUP(B3655,T_DistName[],3,FALSE),"")</f>
        <v/>
      </c>
      <c r="J3655" t="str">
        <f t="shared" si="57"/>
        <v/>
      </c>
    </row>
    <row r="3656" spans="9:10">
      <c r="I3656" t="str">
        <f>_xlfn.IFNA(VLOOKUP(B3656,T_DistName[],3,FALSE),"")</f>
        <v/>
      </c>
      <c r="J3656" t="str">
        <f t="shared" si="57"/>
        <v/>
      </c>
    </row>
    <row r="3657" spans="9:10">
      <c r="I3657" t="str">
        <f>_xlfn.IFNA(VLOOKUP(B3657,T_DistName[],3,FALSE),"")</f>
        <v/>
      </c>
      <c r="J3657" t="str">
        <f t="shared" si="57"/>
        <v/>
      </c>
    </row>
    <row r="3658" spans="9:10">
      <c r="I3658" t="str">
        <f>_xlfn.IFNA(VLOOKUP(B3658,T_DistName[],3,FALSE),"")</f>
        <v/>
      </c>
      <c r="J3658" t="str">
        <f t="shared" si="57"/>
        <v/>
      </c>
    </row>
    <row r="3659" spans="9:10">
      <c r="I3659" t="str">
        <f>_xlfn.IFNA(VLOOKUP(B3659,T_DistName[],3,FALSE),"")</f>
        <v/>
      </c>
      <c r="J3659" t="str">
        <f t="shared" si="57"/>
        <v/>
      </c>
    </row>
    <row r="3660" spans="9:10">
      <c r="I3660" t="str">
        <f>_xlfn.IFNA(VLOOKUP(B3660,T_DistName[],3,FALSE),"")</f>
        <v/>
      </c>
      <c r="J3660" t="str">
        <f t="shared" si="57"/>
        <v/>
      </c>
    </row>
    <row r="3661" spans="9:10">
      <c r="I3661" t="str">
        <f>_xlfn.IFNA(VLOOKUP(B3661,T_DistName[],3,FALSE),"")</f>
        <v/>
      </c>
      <c r="J3661" t="str">
        <f t="shared" si="57"/>
        <v/>
      </c>
    </row>
    <row r="3662" spans="9:10">
      <c r="I3662" t="str">
        <f>_xlfn.IFNA(VLOOKUP(B3662,T_DistName[],3,FALSE),"")</f>
        <v/>
      </c>
      <c r="J3662" t="str">
        <f t="shared" si="57"/>
        <v/>
      </c>
    </row>
    <row r="3663" spans="9:10">
      <c r="I3663" t="str">
        <f>_xlfn.IFNA(VLOOKUP(B3663,T_DistName[],3,FALSE),"")</f>
        <v/>
      </c>
      <c r="J3663" t="str">
        <f t="shared" si="57"/>
        <v/>
      </c>
    </row>
    <row r="3664" spans="9:10">
      <c r="I3664" t="str">
        <f>_xlfn.IFNA(VLOOKUP(B3664,T_DistName[],3,FALSE),"")</f>
        <v/>
      </c>
      <c r="J3664" t="str">
        <f t="shared" si="57"/>
        <v/>
      </c>
    </row>
    <row r="3665" spans="9:10">
      <c r="I3665" t="str">
        <f>_xlfn.IFNA(VLOOKUP(B3665,T_DistName[],3,FALSE),"")</f>
        <v/>
      </c>
      <c r="J3665" t="str">
        <f t="shared" si="57"/>
        <v/>
      </c>
    </row>
    <row r="3666" spans="9:10">
      <c r="I3666" t="str">
        <f>_xlfn.IFNA(VLOOKUP(B3666,T_DistName[],3,FALSE),"")</f>
        <v/>
      </c>
      <c r="J3666" t="str">
        <f t="shared" si="57"/>
        <v/>
      </c>
    </row>
    <row r="3667" spans="9:10">
      <c r="I3667" t="str">
        <f>_xlfn.IFNA(VLOOKUP(B3667,T_DistName[],3,FALSE),"")</f>
        <v/>
      </c>
      <c r="J3667" t="str">
        <f t="shared" si="57"/>
        <v/>
      </c>
    </row>
    <row r="3668" spans="9:10">
      <c r="I3668" t="str">
        <f>_xlfn.IFNA(VLOOKUP(B3668,T_DistName[],3,FALSE),"")</f>
        <v/>
      </c>
      <c r="J3668" t="str">
        <f t="shared" si="57"/>
        <v/>
      </c>
    </row>
    <row r="3669" spans="9:10">
      <c r="I3669" t="str">
        <f>_xlfn.IFNA(VLOOKUP(B3669,T_DistName[],3,FALSE),"")</f>
        <v/>
      </c>
      <c r="J3669" t="str">
        <f t="shared" si="57"/>
        <v/>
      </c>
    </row>
    <row r="3670" spans="9:10">
      <c r="I3670" t="str">
        <f>_xlfn.IFNA(VLOOKUP(B3670,T_DistName[],3,FALSE),"")</f>
        <v/>
      </c>
      <c r="J3670" t="str">
        <f t="shared" si="57"/>
        <v/>
      </c>
    </row>
    <row r="3671" spans="9:10">
      <c r="I3671" t="str">
        <f>_xlfn.IFNA(VLOOKUP(B3671,T_DistName[],3,FALSE),"")</f>
        <v/>
      </c>
      <c r="J3671" t="str">
        <f t="shared" si="57"/>
        <v/>
      </c>
    </row>
    <row r="3672" spans="9:10">
      <c r="I3672" t="str">
        <f>_xlfn.IFNA(VLOOKUP(B3672,T_DistName[],3,FALSE),"")</f>
        <v/>
      </c>
      <c r="J3672" t="str">
        <f t="shared" si="57"/>
        <v/>
      </c>
    </row>
    <row r="3673" spans="9:10">
      <c r="I3673" t="str">
        <f>_xlfn.IFNA(VLOOKUP(B3673,T_DistName[],3,FALSE),"")</f>
        <v/>
      </c>
      <c r="J3673" t="str">
        <f t="shared" ref="J3673:J3736" si="58">I3673&amp;F3673</f>
        <v/>
      </c>
    </row>
    <row r="3674" spans="9:10">
      <c r="I3674" t="str">
        <f>_xlfn.IFNA(VLOOKUP(B3674,T_DistName[],3,FALSE),"")</f>
        <v/>
      </c>
      <c r="J3674" t="str">
        <f t="shared" si="58"/>
        <v/>
      </c>
    </row>
    <row r="3675" spans="9:10">
      <c r="I3675" t="str">
        <f>_xlfn.IFNA(VLOOKUP(B3675,T_DistName[],3,FALSE),"")</f>
        <v/>
      </c>
      <c r="J3675" t="str">
        <f t="shared" si="58"/>
        <v/>
      </c>
    </row>
    <row r="3676" spans="9:10">
      <c r="I3676" t="str">
        <f>_xlfn.IFNA(VLOOKUP(B3676,T_DistName[],3,FALSE),"")</f>
        <v/>
      </c>
      <c r="J3676" t="str">
        <f t="shared" si="58"/>
        <v/>
      </c>
    </row>
    <row r="3677" spans="9:10">
      <c r="I3677" t="str">
        <f>_xlfn.IFNA(VLOOKUP(B3677,T_DistName[],3,FALSE),"")</f>
        <v/>
      </c>
      <c r="J3677" t="str">
        <f t="shared" si="58"/>
        <v/>
      </c>
    </row>
    <row r="3678" spans="9:10">
      <c r="I3678" t="str">
        <f>_xlfn.IFNA(VLOOKUP(B3678,T_DistName[],3,FALSE),"")</f>
        <v/>
      </c>
      <c r="J3678" t="str">
        <f t="shared" si="58"/>
        <v/>
      </c>
    </row>
    <row r="3679" spans="9:10">
      <c r="I3679" t="str">
        <f>_xlfn.IFNA(VLOOKUP(B3679,T_DistName[],3,FALSE),"")</f>
        <v/>
      </c>
      <c r="J3679" t="str">
        <f t="shared" si="58"/>
        <v/>
      </c>
    </row>
    <row r="3680" spans="9:10">
      <c r="I3680" t="str">
        <f>_xlfn.IFNA(VLOOKUP(B3680,T_DistName[],3,FALSE),"")</f>
        <v/>
      </c>
      <c r="J3680" t="str">
        <f t="shared" si="58"/>
        <v/>
      </c>
    </row>
    <row r="3681" spans="9:10">
      <c r="I3681" t="str">
        <f>_xlfn.IFNA(VLOOKUP(B3681,T_DistName[],3,FALSE),"")</f>
        <v/>
      </c>
      <c r="J3681" t="str">
        <f t="shared" si="58"/>
        <v/>
      </c>
    </row>
    <row r="3682" spans="9:10">
      <c r="I3682" t="str">
        <f>_xlfn.IFNA(VLOOKUP(B3682,T_DistName[],3,FALSE),"")</f>
        <v/>
      </c>
      <c r="J3682" t="str">
        <f t="shared" si="58"/>
        <v/>
      </c>
    </row>
    <row r="3683" spans="9:10">
      <c r="I3683" t="str">
        <f>_xlfn.IFNA(VLOOKUP(B3683,T_DistName[],3,FALSE),"")</f>
        <v/>
      </c>
      <c r="J3683" t="str">
        <f t="shared" si="58"/>
        <v/>
      </c>
    </row>
    <row r="3684" spans="9:10">
      <c r="I3684" t="str">
        <f>_xlfn.IFNA(VLOOKUP(B3684,T_DistName[],3,FALSE),"")</f>
        <v/>
      </c>
      <c r="J3684" t="str">
        <f t="shared" si="58"/>
        <v/>
      </c>
    </row>
    <row r="3685" spans="9:10">
      <c r="I3685" t="str">
        <f>_xlfn.IFNA(VLOOKUP(B3685,T_DistName[],3,FALSE),"")</f>
        <v/>
      </c>
      <c r="J3685" t="str">
        <f t="shared" si="58"/>
        <v/>
      </c>
    </row>
    <row r="3686" spans="9:10">
      <c r="I3686" t="str">
        <f>_xlfn.IFNA(VLOOKUP(B3686,T_DistName[],3,FALSE),"")</f>
        <v/>
      </c>
      <c r="J3686" t="str">
        <f t="shared" si="58"/>
        <v/>
      </c>
    </row>
    <row r="3687" spans="9:10">
      <c r="I3687" t="str">
        <f>_xlfn.IFNA(VLOOKUP(B3687,T_DistName[],3,FALSE),"")</f>
        <v/>
      </c>
      <c r="J3687" t="str">
        <f t="shared" si="58"/>
        <v/>
      </c>
    </row>
    <row r="3688" spans="9:10">
      <c r="I3688" t="str">
        <f>_xlfn.IFNA(VLOOKUP(B3688,T_DistName[],3,FALSE),"")</f>
        <v/>
      </c>
      <c r="J3688" t="str">
        <f t="shared" si="58"/>
        <v/>
      </c>
    </row>
    <row r="3689" spans="9:10">
      <c r="I3689" t="str">
        <f>_xlfn.IFNA(VLOOKUP(B3689,T_DistName[],3,FALSE),"")</f>
        <v/>
      </c>
      <c r="J3689" t="str">
        <f t="shared" si="58"/>
        <v/>
      </c>
    </row>
    <row r="3690" spans="9:10">
      <c r="I3690" t="str">
        <f>_xlfn.IFNA(VLOOKUP(B3690,T_DistName[],3,FALSE),"")</f>
        <v/>
      </c>
      <c r="J3690" t="str">
        <f t="shared" si="58"/>
        <v/>
      </c>
    </row>
    <row r="3691" spans="9:10">
      <c r="I3691" t="str">
        <f>_xlfn.IFNA(VLOOKUP(B3691,T_DistName[],3,FALSE),"")</f>
        <v/>
      </c>
      <c r="J3691" t="str">
        <f t="shared" si="58"/>
        <v/>
      </c>
    </row>
    <row r="3692" spans="9:10">
      <c r="I3692" t="str">
        <f>_xlfn.IFNA(VLOOKUP(B3692,T_DistName[],3,FALSE),"")</f>
        <v/>
      </c>
      <c r="J3692" t="str">
        <f t="shared" si="58"/>
        <v/>
      </c>
    </row>
    <row r="3693" spans="9:10">
      <c r="I3693" t="str">
        <f>_xlfn.IFNA(VLOOKUP(B3693,T_DistName[],3,FALSE),"")</f>
        <v/>
      </c>
      <c r="J3693" t="str">
        <f t="shared" si="58"/>
        <v/>
      </c>
    </row>
    <row r="3694" spans="9:10">
      <c r="I3694" t="str">
        <f>_xlfn.IFNA(VLOOKUP(B3694,T_DistName[],3,FALSE),"")</f>
        <v/>
      </c>
      <c r="J3694" t="str">
        <f t="shared" si="58"/>
        <v/>
      </c>
    </row>
    <row r="3695" spans="9:10">
      <c r="I3695" t="str">
        <f>_xlfn.IFNA(VLOOKUP(B3695,T_DistName[],3,FALSE),"")</f>
        <v/>
      </c>
      <c r="J3695" t="str">
        <f t="shared" si="58"/>
        <v/>
      </c>
    </row>
    <row r="3696" spans="9:10">
      <c r="I3696" t="str">
        <f>_xlfn.IFNA(VLOOKUP(B3696,T_DistName[],3,FALSE),"")</f>
        <v/>
      </c>
      <c r="J3696" t="str">
        <f t="shared" si="58"/>
        <v/>
      </c>
    </row>
    <row r="3697" spans="9:10">
      <c r="I3697" t="str">
        <f>_xlfn.IFNA(VLOOKUP(B3697,T_DistName[],3,FALSE),"")</f>
        <v/>
      </c>
      <c r="J3697" t="str">
        <f t="shared" si="58"/>
        <v/>
      </c>
    </row>
    <row r="3698" spans="9:10">
      <c r="I3698" t="str">
        <f>_xlfn.IFNA(VLOOKUP(B3698,T_DistName[],3,FALSE),"")</f>
        <v/>
      </c>
      <c r="J3698" t="str">
        <f t="shared" si="58"/>
        <v/>
      </c>
    </row>
    <row r="3699" spans="9:10">
      <c r="I3699" t="str">
        <f>_xlfn.IFNA(VLOOKUP(B3699,T_DistName[],3,FALSE),"")</f>
        <v/>
      </c>
      <c r="J3699" t="str">
        <f t="shared" si="58"/>
        <v/>
      </c>
    </row>
    <row r="3700" spans="9:10">
      <c r="I3700" t="str">
        <f>_xlfn.IFNA(VLOOKUP(B3700,T_DistName[],3,FALSE),"")</f>
        <v/>
      </c>
      <c r="J3700" t="str">
        <f t="shared" si="58"/>
        <v/>
      </c>
    </row>
    <row r="3701" spans="9:10">
      <c r="I3701" t="str">
        <f>_xlfn.IFNA(VLOOKUP(B3701,T_DistName[],3,FALSE),"")</f>
        <v/>
      </c>
      <c r="J3701" t="str">
        <f t="shared" si="58"/>
        <v/>
      </c>
    </row>
    <row r="3702" spans="9:10">
      <c r="I3702" t="str">
        <f>_xlfn.IFNA(VLOOKUP(B3702,T_DistName[],3,FALSE),"")</f>
        <v/>
      </c>
      <c r="J3702" t="str">
        <f t="shared" si="58"/>
        <v/>
      </c>
    </row>
    <row r="3703" spans="9:10">
      <c r="I3703" t="str">
        <f>_xlfn.IFNA(VLOOKUP(B3703,T_DistName[],3,FALSE),"")</f>
        <v/>
      </c>
      <c r="J3703" t="str">
        <f t="shared" si="58"/>
        <v/>
      </c>
    </row>
    <row r="3704" spans="9:10">
      <c r="I3704" t="str">
        <f>_xlfn.IFNA(VLOOKUP(B3704,T_DistName[],3,FALSE),"")</f>
        <v/>
      </c>
      <c r="J3704" t="str">
        <f t="shared" si="58"/>
        <v/>
      </c>
    </row>
    <row r="3705" spans="9:10">
      <c r="I3705" t="str">
        <f>_xlfn.IFNA(VLOOKUP(B3705,T_DistName[],3,FALSE),"")</f>
        <v/>
      </c>
      <c r="J3705" t="str">
        <f t="shared" si="58"/>
        <v/>
      </c>
    </row>
    <row r="3706" spans="9:10">
      <c r="I3706" t="str">
        <f>_xlfn.IFNA(VLOOKUP(B3706,T_DistName[],3,FALSE),"")</f>
        <v/>
      </c>
      <c r="J3706" t="str">
        <f t="shared" si="58"/>
        <v/>
      </c>
    </row>
    <row r="3707" spans="9:10">
      <c r="I3707" t="str">
        <f>_xlfn.IFNA(VLOOKUP(B3707,T_DistName[],3,FALSE),"")</f>
        <v/>
      </c>
      <c r="J3707" t="str">
        <f t="shared" si="58"/>
        <v/>
      </c>
    </row>
    <row r="3708" spans="9:10">
      <c r="I3708" t="str">
        <f>_xlfn.IFNA(VLOOKUP(B3708,T_DistName[],3,FALSE),"")</f>
        <v/>
      </c>
      <c r="J3708" t="str">
        <f t="shared" si="58"/>
        <v/>
      </c>
    </row>
    <row r="3709" spans="9:10">
      <c r="I3709" t="str">
        <f>_xlfn.IFNA(VLOOKUP(B3709,T_DistName[],3,FALSE),"")</f>
        <v/>
      </c>
      <c r="J3709" t="str">
        <f t="shared" si="58"/>
        <v/>
      </c>
    </row>
    <row r="3710" spans="9:10">
      <c r="I3710" t="str">
        <f>_xlfn.IFNA(VLOOKUP(B3710,T_DistName[],3,FALSE),"")</f>
        <v/>
      </c>
      <c r="J3710" t="str">
        <f t="shared" si="58"/>
        <v/>
      </c>
    </row>
    <row r="3711" spans="9:10">
      <c r="I3711" t="str">
        <f>_xlfn.IFNA(VLOOKUP(B3711,T_DistName[],3,FALSE),"")</f>
        <v/>
      </c>
      <c r="J3711" t="str">
        <f t="shared" si="58"/>
        <v/>
      </c>
    </row>
    <row r="3712" spans="9:10">
      <c r="I3712" t="str">
        <f>_xlfn.IFNA(VLOOKUP(B3712,T_DistName[],3,FALSE),"")</f>
        <v/>
      </c>
      <c r="J3712" t="str">
        <f t="shared" si="58"/>
        <v/>
      </c>
    </row>
    <row r="3713" spans="9:10">
      <c r="I3713" t="str">
        <f>_xlfn.IFNA(VLOOKUP(B3713,T_DistName[],3,FALSE),"")</f>
        <v/>
      </c>
      <c r="J3713" t="str">
        <f t="shared" si="58"/>
        <v/>
      </c>
    </row>
    <row r="3714" spans="9:10">
      <c r="I3714" t="str">
        <f>_xlfn.IFNA(VLOOKUP(B3714,T_DistName[],3,FALSE),"")</f>
        <v/>
      </c>
      <c r="J3714" t="str">
        <f t="shared" si="58"/>
        <v/>
      </c>
    </row>
    <row r="3715" spans="9:10">
      <c r="I3715" t="str">
        <f>_xlfn.IFNA(VLOOKUP(B3715,T_DistName[],3,FALSE),"")</f>
        <v/>
      </c>
      <c r="J3715" t="str">
        <f t="shared" si="58"/>
        <v/>
      </c>
    </row>
    <row r="3716" spans="9:10">
      <c r="I3716" t="str">
        <f>_xlfn.IFNA(VLOOKUP(B3716,T_DistName[],3,FALSE),"")</f>
        <v/>
      </c>
      <c r="J3716" t="str">
        <f t="shared" si="58"/>
        <v/>
      </c>
    </row>
    <row r="3717" spans="9:10">
      <c r="I3717" t="str">
        <f>_xlfn.IFNA(VLOOKUP(B3717,T_DistName[],3,FALSE),"")</f>
        <v/>
      </c>
      <c r="J3717" t="str">
        <f t="shared" si="58"/>
        <v/>
      </c>
    </row>
    <row r="3718" spans="9:10">
      <c r="I3718" t="str">
        <f>_xlfn.IFNA(VLOOKUP(B3718,T_DistName[],3,FALSE),"")</f>
        <v/>
      </c>
      <c r="J3718" t="str">
        <f t="shared" si="58"/>
        <v/>
      </c>
    </row>
    <row r="3719" spans="9:10">
      <c r="I3719" t="str">
        <f>_xlfn.IFNA(VLOOKUP(B3719,T_DistName[],3,FALSE),"")</f>
        <v/>
      </c>
      <c r="J3719" t="str">
        <f t="shared" si="58"/>
        <v/>
      </c>
    </row>
    <row r="3720" spans="9:10">
      <c r="I3720" t="str">
        <f>_xlfn.IFNA(VLOOKUP(B3720,T_DistName[],3,FALSE),"")</f>
        <v/>
      </c>
      <c r="J3720" t="str">
        <f t="shared" si="58"/>
        <v/>
      </c>
    </row>
    <row r="3721" spans="9:10">
      <c r="I3721" t="str">
        <f>_xlfn.IFNA(VLOOKUP(B3721,T_DistName[],3,FALSE),"")</f>
        <v/>
      </c>
      <c r="J3721" t="str">
        <f t="shared" si="58"/>
        <v/>
      </c>
    </row>
    <row r="3722" spans="9:10">
      <c r="I3722" t="str">
        <f>_xlfn.IFNA(VLOOKUP(B3722,T_DistName[],3,FALSE),"")</f>
        <v/>
      </c>
      <c r="J3722" t="str">
        <f t="shared" si="58"/>
        <v/>
      </c>
    </row>
    <row r="3723" spans="9:10">
      <c r="I3723" t="str">
        <f>_xlfn.IFNA(VLOOKUP(B3723,T_DistName[],3,FALSE),"")</f>
        <v/>
      </c>
      <c r="J3723" t="str">
        <f t="shared" si="58"/>
        <v/>
      </c>
    </row>
    <row r="3724" spans="9:10">
      <c r="I3724" t="str">
        <f>_xlfn.IFNA(VLOOKUP(B3724,T_DistName[],3,FALSE),"")</f>
        <v/>
      </c>
      <c r="J3724" t="str">
        <f t="shared" si="58"/>
        <v/>
      </c>
    </row>
    <row r="3725" spans="9:10">
      <c r="I3725" t="str">
        <f>_xlfn.IFNA(VLOOKUP(B3725,T_DistName[],3,FALSE),"")</f>
        <v/>
      </c>
      <c r="J3725" t="str">
        <f t="shared" si="58"/>
        <v/>
      </c>
    </row>
    <row r="3726" spans="9:10">
      <c r="I3726" t="str">
        <f>_xlfn.IFNA(VLOOKUP(B3726,T_DistName[],3,FALSE),"")</f>
        <v/>
      </c>
      <c r="J3726" t="str">
        <f t="shared" si="58"/>
        <v/>
      </c>
    </row>
    <row r="3727" spans="9:10">
      <c r="I3727" t="str">
        <f>_xlfn.IFNA(VLOOKUP(B3727,T_DistName[],3,FALSE),"")</f>
        <v/>
      </c>
      <c r="J3727" t="str">
        <f t="shared" si="58"/>
        <v/>
      </c>
    </row>
    <row r="3728" spans="9:10">
      <c r="I3728" t="str">
        <f>_xlfn.IFNA(VLOOKUP(B3728,T_DistName[],3,FALSE),"")</f>
        <v/>
      </c>
      <c r="J3728" t="str">
        <f t="shared" si="58"/>
        <v/>
      </c>
    </row>
    <row r="3729" spans="9:10">
      <c r="I3729" t="str">
        <f>_xlfn.IFNA(VLOOKUP(B3729,T_DistName[],3,FALSE),"")</f>
        <v/>
      </c>
      <c r="J3729" t="str">
        <f t="shared" si="58"/>
        <v/>
      </c>
    </row>
    <row r="3730" spans="9:10">
      <c r="I3730" t="str">
        <f>_xlfn.IFNA(VLOOKUP(B3730,T_DistName[],3,FALSE),"")</f>
        <v/>
      </c>
      <c r="J3730" t="str">
        <f t="shared" si="58"/>
        <v/>
      </c>
    </row>
    <row r="3731" spans="9:10">
      <c r="I3731" t="str">
        <f>_xlfn.IFNA(VLOOKUP(B3731,T_DistName[],3,FALSE),"")</f>
        <v/>
      </c>
      <c r="J3731" t="str">
        <f t="shared" si="58"/>
        <v/>
      </c>
    </row>
    <row r="3732" spans="9:10">
      <c r="I3732" t="str">
        <f>_xlfn.IFNA(VLOOKUP(B3732,T_DistName[],3,FALSE),"")</f>
        <v/>
      </c>
      <c r="J3732" t="str">
        <f t="shared" si="58"/>
        <v/>
      </c>
    </row>
    <row r="3733" spans="9:10">
      <c r="I3733" t="str">
        <f>_xlfn.IFNA(VLOOKUP(B3733,T_DistName[],3,FALSE),"")</f>
        <v/>
      </c>
      <c r="J3733" t="str">
        <f t="shared" si="58"/>
        <v/>
      </c>
    </row>
    <row r="3734" spans="9:10">
      <c r="I3734" t="str">
        <f>_xlfn.IFNA(VLOOKUP(B3734,T_DistName[],3,FALSE),"")</f>
        <v/>
      </c>
      <c r="J3734" t="str">
        <f t="shared" si="58"/>
        <v/>
      </c>
    </row>
    <row r="3735" spans="9:10">
      <c r="I3735" t="str">
        <f>_xlfn.IFNA(VLOOKUP(B3735,T_DistName[],3,FALSE),"")</f>
        <v/>
      </c>
      <c r="J3735" t="str">
        <f t="shared" si="58"/>
        <v/>
      </c>
    </row>
    <row r="3736" spans="9:10">
      <c r="I3736" t="str">
        <f>_xlfn.IFNA(VLOOKUP(B3736,T_DistName[],3,FALSE),"")</f>
        <v/>
      </c>
      <c r="J3736" t="str">
        <f t="shared" si="58"/>
        <v/>
      </c>
    </row>
    <row r="3737" spans="9:10">
      <c r="I3737" t="str">
        <f>_xlfn.IFNA(VLOOKUP(B3737,T_DistName[],3,FALSE),"")</f>
        <v/>
      </c>
      <c r="J3737" t="str">
        <f t="shared" ref="J3737:J3800" si="59">I3737&amp;F3737</f>
        <v/>
      </c>
    </row>
    <row r="3738" spans="9:10">
      <c r="I3738" t="str">
        <f>_xlfn.IFNA(VLOOKUP(B3738,T_DistName[],3,FALSE),"")</f>
        <v/>
      </c>
      <c r="J3738" t="str">
        <f t="shared" si="59"/>
        <v/>
      </c>
    </row>
    <row r="3739" spans="9:10">
      <c r="I3739" t="str">
        <f>_xlfn.IFNA(VLOOKUP(B3739,T_DistName[],3,FALSE),"")</f>
        <v/>
      </c>
      <c r="J3739" t="str">
        <f t="shared" si="59"/>
        <v/>
      </c>
    </row>
    <row r="3740" spans="9:10">
      <c r="I3740" t="str">
        <f>_xlfn.IFNA(VLOOKUP(B3740,T_DistName[],3,FALSE),"")</f>
        <v/>
      </c>
      <c r="J3740" t="str">
        <f t="shared" si="59"/>
        <v/>
      </c>
    </row>
    <row r="3741" spans="9:10">
      <c r="I3741" t="str">
        <f>_xlfn.IFNA(VLOOKUP(B3741,T_DistName[],3,FALSE),"")</f>
        <v/>
      </c>
      <c r="J3741" t="str">
        <f t="shared" si="59"/>
        <v/>
      </c>
    </row>
    <row r="3742" spans="9:10">
      <c r="I3742" t="str">
        <f>_xlfn.IFNA(VLOOKUP(B3742,T_DistName[],3,FALSE),"")</f>
        <v/>
      </c>
      <c r="J3742" t="str">
        <f t="shared" si="59"/>
        <v/>
      </c>
    </row>
    <row r="3743" spans="9:10">
      <c r="I3743" t="str">
        <f>_xlfn.IFNA(VLOOKUP(B3743,T_DistName[],3,FALSE),"")</f>
        <v/>
      </c>
      <c r="J3743" t="str">
        <f t="shared" si="59"/>
        <v/>
      </c>
    </row>
    <row r="3744" spans="9:10">
      <c r="I3744" t="str">
        <f>_xlfn.IFNA(VLOOKUP(B3744,T_DistName[],3,FALSE),"")</f>
        <v/>
      </c>
      <c r="J3744" t="str">
        <f t="shared" si="59"/>
        <v/>
      </c>
    </row>
    <row r="3745" spans="9:10">
      <c r="I3745" t="str">
        <f>_xlfn.IFNA(VLOOKUP(B3745,T_DistName[],3,FALSE),"")</f>
        <v/>
      </c>
      <c r="J3745" t="str">
        <f t="shared" si="59"/>
        <v/>
      </c>
    </row>
    <row r="3746" spans="9:10">
      <c r="I3746" t="str">
        <f>_xlfn.IFNA(VLOOKUP(B3746,T_DistName[],3,FALSE),"")</f>
        <v/>
      </c>
      <c r="J3746" t="str">
        <f t="shared" si="59"/>
        <v/>
      </c>
    </row>
    <row r="3747" spans="9:10">
      <c r="I3747" t="str">
        <f>_xlfn.IFNA(VLOOKUP(B3747,T_DistName[],3,FALSE),"")</f>
        <v/>
      </c>
      <c r="J3747" t="str">
        <f t="shared" si="59"/>
        <v/>
      </c>
    </row>
    <row r="3748" spans="9:10">
      <c r="I3748" t="str">
        <f>_xlfn.IFNA(VLOOKUP(B3748,T_DistName[],3,FALSE),"")</f>
        <v/>
      </c>
      <c r="J3748" t="str">
        <f t="shared" si="59"/>
        <v/>
      </c>
    </row>
    <row r="3749" spans="9:10">
      <c r="I3749" t="str">
        <f>_xlfn.IFNA(VLOOKUP(B3749,T_DistName[],3,FALSE),"")</f>
        <v/>
      </c>
      <c r="J3749" t="str">
        <f t="shared" si="59"/>
        <v/>
      </c>
    </row>
    <row r="3750" spans="9:10">
      <c r="I3750" t="str">
        <f>_xlfn.IFNA(VLOOKUP(B3750,T_DistName[],3,FALSE),"")</f>
        <v/>
      </c>
      <c r="J3750" t="str">
        <f t="shared" si="59"/>
        <v/>
      </c>
    </row>
    <row r="3751" spans="9:10">
      <c r="I3751" t="str">
        <f>_xlfn.IFNA(VLOOKUP(B3751,T_DistName[],3,FALSE),"")</f>
        <v/>
      </c>
      <c r="J3751" t="str">
        <f t="shared" si="59"/>
        <v/>
      </c>
    </row>
    <row r="3752" spans="9:10">
      <c r="I3752" t="str">
        <f>_xlfn.IFNA(VLOOKUP(B3752,T_DistName[],3,FALSE),"")</f>
        <v/>
      </c>
      <c r="J3752" t="str">
        <f t="shared" si="59"/>
        <v/>
      </c>
    </row>
    <row r="3753" spans="9:10">
      <c r="I3753" t="str">
        <f>_xlfn.IFNA(VLOOKUP(B3753,T_DistName[],3,FALSE),"")</f>
        <v/>
      </c>
      <c r="J3753" t="str">
        <f t="shared" si="59"/>
        <v/>
      </c>
    </row>
    <row r="3754" spans="9:10">
      <c r="I3754" t="str">
        <f>_xlfn.IFNA(VLOOKUP(B3754,T_DistName[],3,FALSE),"")</f>
        <v/>
      </c>
      <c r="J3754" t="str">
        <f t="shared" si="59"/>
        <v/>
      </c>
    </row>
    <row r="3755" spans="9:10">
      <c r="I3755" t="str">
        <f>_xlfn.IFNA(VLOOKUP(B3755,T_DistName[],3,FALSE),"")</f>
        <v/>
      </c>
      <c r="J3755" t="str">
        <f t="shared" si="59"/>
        <v/>
      </c>
    </row>
    <row r="3756" spans="9:10">
      <c r="I3756" t="str">
        <f>_xlfn.IFNA(VLOOKUP(B3756,T_DistName[],3,FALSE),"")</f>
        <v/>
      </c>
      <c r="J3756" t="str">
        <f t="shared" si="59"/>
        <v/>
      </c>
    </row>
    <row r="3757" spans="9:10">
      <c r="I3757" t="str">
        <f>_xlfn.IFNA(VLOOKUP(B3757,T_DistName[],3,FALSE),"")</f>
        <v/>
      </c>
      <c r="J3757" t="str">
        <f t="shared" si="59"/>
        <v/>
      </c>
    </row>
    <row r="3758" spans="9:10">
      <c r="I3758" t="str">
        <f>_xlfn.IFNA(VLOOKUP(B3758,T_DistName[],3,FALSE),"")</f>
        <v/>
      </c>
      <c r="J3758" t="str">
        <f t="shared" si="59"/>
        <v/>
      </c>
    </row>
    <row r="3759" spans="9:10">
      <c r="I3759" t="str">
        <f>_xlfn.IFNA(VLOOKUP(B3759,T_DistName[],3,FALSE),"")</f>
        <v/>
      </c>
      <c r="J3759" t="str">
        <f t="shared" si="59"/>
        <v/>
      </c>
    </row>
    <row r="3760" spans="9:10">
      <c r="I3760" t="str">
        <f>_xlfn.IFNA(VLOOKUP(B3760,T_DistName[],3,FALSE),"")</f>
        <v/>
      </c>
      <c r="J3760" t="str">
        <f t="shared" si="59"/>
        <v/>
      </c>
    </row>
    <row r="3761" spans="9:10">
      <c r="I3761" t="str">
        <f>_xlfn.IFNA(VLOOKUP(B3761,T_DistName[],3,FALSE),"")</f>
        <v/>
      </c>
      <c r="J3761" t="str">
        <f t="shared" si="59"/>
        <v/>
      </c>
    </row>
    <row r="3762" spans="9:10">
      <c r="I3762" t="str">
        <f>_xlfn.IFNA(VLOOKUP(B3762,T_DistName[],3,FALSE),"")</f>
        <v/>
      </c>
      <c r="J3762" t="str">
        <f t="shared" si="59"/>
        <v/>
      </c>
    </row>
    <row r="3763" spans="9:10">
      <c r="I3763" t="str">
        <f>_xlfn.IFNA(VLOOKUP(B3763,T_DistName[],3,FALSE),"")</f>
        <v/>
      </c>
      <c r="J3763" t="str">
        <f t="shared" si="59"/>
        <v/>
      </c>
    </row>
    <row r="3764" spans="9:10">
      <c r="I3764" t="str">
        <f>_xlfn.IFNA(VLOOKUP(B3764,T_DistName[],3,FALSE),"")</f>
        <v/>
      </c>
      <c r="J3764" t="str">
        <f t="shared" si="59"/>
        <v/>
      </c>
    </row>
    <row r="3765" spans="9:10">
      <c r="I3765" t="str">
        <f>_xlfn.IFNA(VLOOKUP(B3765,T_DistName[],3,FALSE),"")</f>
        <v/>
      </c>
      <c r="J3765" t="str">
        <f t="shared" si="59"/>
        <v/>
      </c>
    </row>
    <row r="3766" spans="9:10">
      <c r="I3766" t="str">
        <f>_xlfn.IFNA(VLOOKUP(B3766,T_DistName[],3,FALSE),"")</f>
        <v/>
      </c>
      <c r="J3766" t="str">
        <f t="shared" si="59"/>
        <v/>
      </c>
    </row>
    <row r="3767" spans="9:10">
      <c r="I3767" t="str">
        <f>_xlfn.IFNA(VLOOKUP(B3767,T_DistName[],3,FALSE),"")</f>
        <v/>
      </c>
      <c r="J3767" t="str">
        <f t="shared" si="59"/>
        <v/>
      </c>
    </row>
    <row r="3768" spans="9:10">
      <c r="I3768" t="str">
        <f>_xlfn.IFNA(VLOOKUP(B3768,T_DistName[],3,FALSE),"")</f>
        <v/>
      </c>
      <c r="J3768" t="str">
        <f t="shared" si="59"/>
        <v/>
      </c>
    </row>
    <row r="3769" spans="9:10">
      <c r="I3769" t="str">
        <f>_xlfn.IFNA(VLOOKUP(B3769,T_DistName[],3,FALSE),"")</f>
        <v/>
      </c>
      <c r="J3769" t="str">
        <f t="shared" si="59"/>
        <v/>
      </c>
    </row>
    <row r="3770" spans="9:10">
      <c r="I3770" t="str">
        <f>_xlfn.IFNA(VLOOKUP(B3770,T_DistName[],3,FALSE),"")</f>
        <v/>
      </c>
      <c r="J3770" t="str">
        <f t="shared" si="59"/>
        <v/>
      </c>
    </row>
    <row r="3771" spans="9:10">
      <c r="I3771" t="str">
        <f>_xlfn.IFNA(VLOOKUP(B3771,T_DistName[],3,FALSE),"")</f>
        <v/>
      </c>
      <c r="J3771" t="str">
        <f t="shared" si="59"/>
        <v/>
      </c>
    </row>
    <row r="3772" spans="9:10">
      <c r="I3772" t="str">
        <f>_xlfn.IFNA(VLOOKUP(B3772,T_DistName[],3,FALSE),"")</f>
        <v/>
      </c>
      <c r="J3772" t="str">
        <f t="shared" si="59"/>
        <v/>
      </c>
    </row>
    <row r="3773" spans="9:10">
      <c r="I3773" t="str">
        <f>_xlfn.IFNA(VLOOKUP(B3773,T_DistName[],3,FALSE),"")</f>
        <v/>
      </c>
      <c r="J3773" t="str">
        <f t="shared" si="59"/>
        <v/>
      </c>
    </row>
    <row r="3774" spans="9:10">
      <c r="I3774" t="str">
        <f>_xlfn.IFNA(VLOOKUP(B3774,T_DistName[],3,FALSE),"")</f>
        <v/>
      </c>
      <c r="J3774" t="str">
        <f t="shared" si="59"/>
        <v/>
      </c>
    </row>
    <row r="3775" spans="9:10">
      <c r="I3775" t="str">
        <f>_xlfn.IFNA(VLOOKUP(B3775,T_DistName[],3,FALSE),"")</f>
        <v/>
      </c>
      <c r="J3775" t="str">
        <f t="shared" si="59"/>
        <v/>
      </c>
    </row>
    <row r="3776" spans="9:10">
      <c r="I3776" t="str">
        <f>_xlfn.IFNA(VLOOKUP(B3776,T_DistName[],3,FALSE),"")</f>
        <v/>
      </c>
      <c r="J3776" t="str">
        <f t="shared" si="59"/>
        <v/>
      </c>
    </row>
    <row r="3777" spans="9:10">
      <c r="I3777" t="str">
        <f>_xlfn.IFNA(VLOOKUP(B3777,T_DistName[],3,FALSE),"")</f>
        <v/>
      </c>
      <c r="J3777" t="str">
        <f t="shared" si="59"/>
        <v/>
      </c>
    </row>
    <row r="3778" spans="9:10">
      <c r="I3778" t="str">
        <f>_xlfn.IFNA(VLOOKUP(B3778,T_DistName[],3,FALSE),"")</f>
        <v/>
      </c>
      <c r="J3778" t="str">
        <f t="shared" si="59"/>
        <v/>
      </c>
    </row>
    <row r="3779" spans="9:10">
      <c r="I3779" t="str">
        <f>_xlfn.IFNA(VLOOKUP(B3779,T_DistName[],3,FALSE),"")</f>
        <v/>
      </c>
      <c r="J3779" t="str">
        <f t="shared" si="59"/>
        <v/>
      </c>
    </row>
    <row r="3780" spans="9:10">
      <c r="I3780" t="str">
        <f>_xlfn.IFNA(VLOOKUP(B3780,T_DistName[],3,FALSE),"")</f>
        <v/>
      </c>
      <c r="J3780" t="str">
        <f t="shared" si="59"/>
        <v/>
      </c>
    </row>
    <row r="3781" spans="9:10">
      <c r="I3781" t="str">
        <f>_xlfn.IFNA(VLOOKUP(B3781,T_DistName[],3,FALSE),"")</f>
        <v/>
      </c>
      <c r="J3781" t="str">
        <f t="shared" si="59"/>
        <v/>
      </c>
    </row>
    <row r="3782" spans="9:10">
      <c r="I3782" t="str">
        <f>_xlfn.IFNA(VLOOKUP(B3782,T_DistName[],3,FALSE),"")</f>
        <v/>
      </c>
      <c r="J3782" t="str">
        <f t="shared" si="59"/>
        <v/>
      </c>
    </row>
    <row r="3783" spans="9:10">
      <c r="I3783" t="str">
        <f>_xlfn.IFNA(VLOOKUP(B3783,T_DistName[],3,FALSE),"")</f>
        <v/>
      </c>
      <c r="J3783" t="str">
        <f t="shared" si="59"/>
        <v/>
      </c>
    </row>
    <row r="3784" spans="9:10">
      <c r="I3784" t="str">
        <f>_xlfn.IFNA(VLOOKUP(B3784,T_DistName[],3,FALSE),"")</f>
        <v/>
      </c>
      <c r="J3784" t="str">
        <f t="shared" si="59"/>
        <v/>
      </c>
    </row>
    <row r="3785" spans="9:10">
      <c r="I3785" t="str">
        <f>_xlfn.IFNA(VLOOKUP(B3785,T_DistName[],3,FALSE),"")</f>
        <v/>
      </c>
      <c r="J3785" t="str">
        <f t="shared" si="59"/>
        <v/>
      </c>
    </row>
    <row r="3786" spans="9:10">
      <c r="I3786" t="str">
        <f>_xlfn.IFNA(VLOOKUP(B3786,T_DistName[],3,FALSE),"")</f>
        <v/>
      </c>
      <c r="J3786" t="str">
        <f t="shared" si="59"/>
        <v/>
      </c>
    </row>
    <row r="3787" spans="9:10">
      <c r="I3787" t="str">
        <f>_xlfn.IFNA(VLOOKUP(B3787,T_DistName[],3,FALSE),"")</f>
        <v/>
      </c>
      <c r="J3787" t="str">
        <f t="shared" si="59"/>
        <v/>
      </c>
    </row>
    <row r="3788" spans="9:10">
      <c r="I3788" t="str">
        <f>_xlfn.IFNA(VLOOKUP(B3788,T_DistName[],3,FALSE),"")</f>
        <v/>
      </c>
      <c r="J3788" t="str">
        <f t="shared" si="59"/>
        <v/>
      </c>
    </row>
    <row r="3789" spans="9:10">
      <c r="I3789" t="str">
        <f>_xlfn.IFNA(VLOOKUP(B3789,T_DistName[],3,FALSE),"")</f>
        <v/>
      </c>
      <c r="J3789" t="str">
        <f t="shared" si="59"/>
        <v/>
      </c>
    </row>
    <row r="3790" spans="9:10">
      <c r="I3790" t="str">
        <f>_xlfn.IFNA(VLOOKUP(B3790,T_DistName[],3,FALSE),"")</f>
        <v/>
      </c>
      <c r="J3790" t="str">
        <f t="shared" si="59"/>
        <v/>
      </c>
    </row>
    <row r="3791" spans="9:10">
      <c r="I3791" t="str">
        <f>_xlfn.IFNA(VLOOKUP(B3791,T_DistName[],3,FALSE),"")</f>
        <v/>
      </c>
      <c r="J3791" t="str">
        <f t="shared" si="59"/>
        <v/>
      </c>
    </row>
    <row r="3792" spans="9:10">
      <c r="I3792" t="str">
        <f>_xlfn.IFNA(VLOOKUP(B3792,T_DistName[],3,FALSE),"")</f>
        <v/>
      </c>
      <c r="J3792" t="str">
        <f t="shared" si="59"/>
        <v/>
      </c>
    </row>
    <row r="3793" spans="9:10">
      <c r="I3793" t="str">
        <f>_xlfn.IFNA(VLOOKUP(B3793,T_DistName[],3,FALSE),"")</f>
        <v/>
      </c>
      <c r="J3793" t="str">
        <f t="shared" si="59"/>
        <v/>
      </c>
    </row>
    <row r="3794" spans="9:10">
      <c r="I3794" t="str">
        <f>_xlfn.IFNA(VLOOKUP(B3794,T_DistName[],3,FALSE),"")</f>
        <v/>
      </c>
      <c r="J3794" t="str">
        <f t="shared" si="59"/>
        <v/>
      </c>
    </row>
    <row r="3795" spans="9:10">
      <c r="I3795" t="str">
        <f>_xlfn.IFNA(VLOOKUP(B3795,T_DistName[],3,FALSE),"")</f>
        <v/>
      </c>
      <c r="J3795" t="str">
        <f t="shared" si="59"/>
        <v/>
      </c>
    </row>
    <row r="3796" spans="9:10">
      <c r="I3796" t="str">
        <f>_xlfn.IFNA(VLOOKUP(B3796,T_DistName[],3,FALSE),"")</f>
        <v/>
      </c>
      <c r="J3796" t="str">
        <f t="shared" si="59"/>
        <v/>
      </c>
    </row>
    <row r="3797" spans="9:10">
      <c r="I3797" t="str">
        <f>_xlfn.IFNA(VLOOKUP(B3797,T_DistName[],3,FALSE),"")</f>
        <v/>
      </c>
      <c r="J3797" t="str">
        <f t="shared" si="59"/>
        <v/>
      </c>
    </row>
    <row r="3798" spans="9:10">
      <c r="I3798" t="str">
        <f>_xlfn.IFNA(VLOOKUP(B3798,T_DistName[],3,FALSE),"")</f>
        <v/>
      </c>
      <c r="J3798" t="str">
        <f t="shared" si="59"/>
        <v/>
      </c>
    </row>
    <row r="3799" spans="9:10">
      <c r="I3799" t="str">
        <f>_xlfn.IFNA(VLOOKUP(B3799,T_DistName[],3,FALSE),"")</f>
        <v/>
      </c>
      <c r="J3799" t="str">
        <f t="shared" si="59"/>
        <v/>
      </c>
    </row>
    <row r="3800" spans="9:10">
      <c r="I3800" t="str">
        <f>_xlfn.IFNA(VLOOKUP(B3800,T_DistName[],3,FALSE),"")</f>
        <v/>
      </c>
      <c r="J3800" t="str">
        <f t="shared" si="59"/>
        <v/>
      </c>
    </row>
    <row r="3801" spans="9:10">
      <c r="I3801" t="str">
        <f>_xlfn.IFNA(VLOOKUP(B3801,T_DistName[],3,FALSE),"")</f>
        <v/>
      </c>
      <c r="J3801" t="str">
        <f t="shared" ref="J3801:J3864" si="60">I3801&amp;F3801</f>
        <v/>
      </c>
    </row>
    <row r="3802" spans="9:10">
      <c r="I3802" t="str">
        <f>_xlfn.IFNA(VLOOKUP(B3802,T_DistName[],3,FALSE),"")</f>
        <v/>
      </c>
      <c r="J3802" t="str">
        <f t="shared" si="60"/>
        <v/>
      </c>
    </row>
    <row r="3803" spans="9:10">
      <c r="I3803" t="str">
        <f>_xlfn.IFNA(VLOOKUP(B3803,T_DistName[],3,FALSE),"")</f>
        <v/>
      </c>
      <c r="J3803" t="str">
        <f t="shared" si="60"/>
        <v/>
      </c>
    </row>
    <row r="3804" spans="9:10">
      <c r="I3804" t="str">
        <f>_xlfn.IFNA(VLOOKUP(B3804,T_DistName[],3,FALSE),"")</f>
        <v/>
      </c>
      <c r="J3804" t="str">
        <f t="shared" si="60"/>
        <v/>
      </c>
    </row>
    <row r="3805" spans="9:10">
      <c r="I3805" t="str">
        <f>_xlfn.IFNA(VLOOKUP(B3805,T_DistName[],3,FALSE),"")</f>
        <v/>
      </c>
      <c r="J3805" t="str">
        <f t="shared" si="60"/>
        <v/>
      </c>
    </row>
    <row r="3806" spans="9:10">
      <c r="I3806" t="str">
        <f>_xlfn.IFNA(VLOOKUP(B3806,T_DistName[],3,FALSE),"")</f>
        <v/>
      </c>
      <c r="J3806" t="str">
        <f t="shared" si="60"/>
        <v/>
      </c>
    </row>
    <row r="3807" spans="9:10">
      <c r="I3807" t="str">
        <f>_xlfn.IFNA(VLOOKUP(B3807,T_DistName[],3,FALSE),"")</f>
        <v/>
      </c>
      <c r="J3807" t="str">
        <f t="shared" si="60"/>
        <v/>
      </c>
    </row>
    <row r="3808" spans="9:10">
      <c r="I3808" t="str">
        <f>_xlfn.IFNA(VLOOKUP(B3808,T_DistName[],3,FALSE),"")</f>
        <v/>
      </c>
      <c r="J3808" t="str">
        <f t="shared" si="60"/>
        <v/>
      </c>
    </row>
    <row r="3809" spans="9:10">
      <c r="I3809" t="str">
        <f>_xlfn.IFNA(VLOOKUP(B3809,T_DistName[],3,FALSE),"")</f>
        <v/>
      </c>
      <c r="J3809" t="str">
        <f t="shared" si="60"/>
        <v/>
      </c>
    </row>
    <row r="3810" spans="9:10">
      <c r="I3810" t="str">
        <f>_xlfn.IFNA(VLOOKUP(B3810,T_DistName[],3,FALSE),"")</f>
        <v/>
      </c>
      <c r="J3810" t="str">
        <f t="shared" si="60"/>
        <v/>
      </c>
    </row>
    <row r="3811" spans="9:10">
      <c r="I3811" t="str">
        <f>_xlfn.IFNA(VLOOKUP(B3811,T_DistName[],3,FALSE),"")</f>
        <v/>
      </c>
      <c r="J3811" t="str">
        <f t="shared" si="60"/>
        <v/>
      </c>
    </row>
    <row r="3812" spans="9:10">
      <c r="I3812" t="str">
        <f>_xlfn.IFNA(VLOOKUP(B3812,T_DistName[],3,FALSE),"")</f>
        <v/>
      </c>
      <c r="J3812" t="str">
        <f t="shared" si="60"/>
        <v/>
      </c>
    </row>
    <row r="3813" spans="9:10">
      <c r="I3813" t="str">
        <f>_xlfn.IFNA(VLOOKUP(B3813,T_DistName[],3,FALSE),"")</f>
        <v/>
      </c>
      <c r="J3813" t="str">
        <f t="shared" si="60"/>
        <v/>
      </c>
    </row>
    <row r="3814" spans="9:10">
      <c r="I3814" t="str">
        <f>_xlfn.IFNA(VLOOKUP(B3814,T_DistName[],3,FALSE),"")</f>
        <v/>
      </c>
      <c r="J3814" t="str">
        <f t="shared" si="60"/>
        <v/>
      </c>
    </row>
    <row r="3815" spans="9:10">
      <c r="I3815" t="str">
        <f>_xlfn.IFNA(VLOOKUP(B3815,T_DistName[],3,FALSE),"")</f>
        <v/>
      </c>
      <c r="J3815" t="str">
        <f t="shared" si="60"/>
        <v/>
      </c>
    </row>
    <row r="3816" spans="9:10">
      <c r="I3816" t="str">
        <f>_xlfn.IFNA(VLOOKUP(B3816,T_DistName[],3,FALSE),"")</f>
        <v/>
      </c>
      <c r="J3816" t="str">
        <f t="shared" si="60"/>
        <v/>
      </c>
    </row>
    <row r="3817" spans="9:10">
      <c r="I3817" t="str">
        <f>_xlfn.IFNA(VLOOKUP(B3817,T_DistName[],3,FALSE),"")</f>
        <v/>
      </c>
      <c r="J3817" t="str">
        <f t="shared" si="60"/>
        <v/>
      </c>
    </row>
    <row r="3818" spans="9:10">
      <c r="I3818" t="str">
        <f>_xlfn.IFNA(VLOOKUP(B3818,T_DistName[],3,FALSE),"")</f>
        <v/>
      </c>
      <c r="J3818" t="str">
        <f t="shared" si="60"/>
        <v/>
      </c>
    </row>
    <row r="3819" spans="9:10">
      <c r="I3819" t="str">
        <f>_xlfn.IFNA(VLOOKUP(B3819,T_DistName[],3,FALSE),"")</f>
        <v/>
      </c>
      <c r="J3819" t="str">
        <f t="shared" si="60"/>
        <v/>
      </c>
    </row>
    <row r="3820" spans="9:10">
      <c r="I3820" t="str">
        <f>_xlfn.IFNA(VLOOKUP(B3820,T_DistName[],3,FALSE),"")</f>
        <v/>
      </c>
      <c r="J3820" t="str">
        <f t="shared" si="60"/>
        <v/>
      </c>
    </row>
    <row r="3821" spans="9:10">
      <c r="I3821" t="str">
        <f>_xlfn.IFNA(VLOOKUP(B3821,T_DistName[],3,FALSE),"")</f>
        <v/>
      </c>
      <c r="J3821" t="str">
        <f t="shared" si="60"/>
        <v/>
      </c>
    </row>
    <row r="3822" spans="9:10">
      <c r="I3822" t="str">
        <f>_xlfn.IFNA(VLOOKUP(B3822,T_DistName[],3,FALSE),"")</f>
        <v/>
      </c>
      <c r="J3822" t="str">
        <f t="shared" si="60"/>
        <v/>
      </c>
    </row>
    <row r="3823" spans="9:10">
      <c r="I3823" t="str">
        <f>_xlfn.IFNA(VLOOKUP(B3823,T_DistName[],3,FALSE),"")</f>
        <v/>
      </c>
      <c r="J3823" t="str">
        <f t="shared" si="60"/>
        <v/>
      </c>
    </row>
    <row r="3824" spans="9:10">
      <c r="I3824" t="str">
        <f>_xlfn.IFNA(VLOOKUP(B3824,T_DistName[],3,FALSE),"")</f>
        <v/>
      </c>
      <c r="J3824" t="str">
        <f t="shared" si="60"/>
        <v/>
      </c>
    </row>
    <row r="3825" spans="9:10">
      <c r="I3825" t="str">
        <f>_xlfn.IFNA(VLOOKUP(B3825,T_DistName[],3,FALSE),"")</f>
        <v/>
      </c>
      <c r="J3825" t="str">
        <f t="shared" si="60"/>
        <v/>
      </c>
    </row>
    <row r="3826" spans="9:10">
      <c r="I3826" t="str">
        <f>_xlfn.IFNA(VLOOKUP(B3826,T_DistName[],3,FALSE),"")</f>
        <v/>
      </c>
      <c r="J3826" t="str">
        <f t="shared" si="60"/>
        <v/>
      </c>
    </row>
    <row r="3827" spans="9:10">
      <c r="I3827" t="str">
        <f>_xlfn.IFNA(VLOOKUP(B3827,T_DistName[],3,FALSE),"")</f>
        <v/>
      </c>
      <c r="J3827" t="str">
        <f t="shared" si="60"/>
        <v/>
      </c>
    </row>
    <row r="3828" spans="9:10">
      <c r="I3828" t="str">
        <f>_xlfn.IFNA(VLOOKUP(B3828,T_DistName[],3,FALSE),"")</f>
        <v/>
      </c>
      <c r="J3828" t="str">
        <f t="shared" si="60"/>
        <v/>
      </c>
    </row>
    <row r="3829" spans="9:10">
      <c r="I3829" t="str">
        <f>_xlfn.IFNA(VLOOKUP(B3829,T_DistName[],3,FALSE),"")</f>
        <v/>
      </c>
      <c r="J3829" t="str">
        <f t="shared" si="60"/>
        <v/>
      </c>
    </row>
    <row r="3830" spans="9:10">
      <c r="I3830" t="str">
        <f>_xlfn.IFNA(VLOOKUP(B3830,T_DistName[],3,FALSE),"")</f>
        <v/>
      </c>
      <c r="J3830" t="str">
        <f t="shared" si="60"/>
        <v/>
      </c>
    </row>
    <row r="3831" spans="9:10">
      <c r="I3831" t="str">
        <f>_xlfn.IFNA(VLOOKUP(B3831,T_DistName[],3,FALSE),"")</f>
        <v/>
      </c>
      <c r="J3831" t="str">
        <f t="shared" si="60"/>
        <v/>
      </c>
    </row>
    <row r="3832" spans="9:10">
      <c r="I3832" t="str">
        <f>_xlfn.IFNA(VLOOKUP(B3832,T_DistName[],3,FALSE),"")</f>
        <v/>
      </c>
      <c r="J3832" t="str">
        <f t="shared" si="60"/>
        <v/>
      </c>
    </row>
    <row r="3833" spans="9:10">
      <c r="I3833" t="str">
        <f>_xlfn.IFNA(VLOOKUP(B3833,T_DistName[],3,FALSE),"")</f>
        <v/>
      </c>
      <c r="J3833" t="str">
        <f t="shared" si="60"/>
        <v/>
      </c>
    </row>
    <row r="3834" spans="9:10">
      <c r="I3834" t="str">
        <f>_xlfn.IFNA(VLOOKUP(B3834,T_DistName[],3,FALSE),"")</f>
        <v/>
      </c>
      <c r="J3834" t="str">
        <f t="shared" si="60"/>
        <v/>
      </c>
    </row>
    <row r="3835" spans="9:10">
      <c r="I3835" t="str">
        <f>_xlfn.IFNA(VLOOKUP(B3835,T_DistName[],3,FALSE),"")</f>
        <v/>
      </c>
      <c r="J3835" t="str">
        <f t="shared" si="60"/>
        <v/>
      </c>
    </row>
    <row r="3836" spans="9:10">
      <c r="I3836" t="str">
        <f>_xlfn.IFNA(VLOOKUP(B3836,T_DistName[],3,FALSE),"")</f>
        <v/>
      </c>
      <c r="J3836" t="str">
        <f t="shared" si="60"/>
        <v/>
      </c>
    </row>
    <row r="3837" spans="9:10">
      <c r="I3837" t="str">
        <f>_xlfn.IFNA(VLOOKUP(B3837,T_DistName[],3,FALSE),"")</f>
        <v/>
      </c>
      <c r="J3837" t="str">
        <f t="shared" si="60"/>
        <v/>
      </c>
    </row>
    <row r="3838" spans="9:10">
      <c r="I3838" t="str">
        <f>_xlfn.IFNA(VLOOKUP(B3838,T_DistName[],3,FALSE),"")</f>
        <v/>
      </c>
      <c r="J3838" t="str">
        <f t="shared" si="60"/>
        <v/>
      </c>
    </row>
    <row r="3839" spans="9:10">
      <c r="I3839" t="str">
        <f>_xlfn.IFNA(VLOOKUP(B3839,T_DistName[],3,FALSE),"")</f>
        <v/>
      </c>
      <c r="J3839" t="str">
        <f t="shared" si="60"/>
        <v/>
      </c>
    </row>
    <row r="3840" spans="9:10">
      <c r="I3840" t="str">
        <f>_xlfn.IFNA(VLOOKUP(B3840,T_DistName[],3,FALSE),"")</f>
        <v/>
      </c>
      <c r="J3840" t="str">
        <f t="shared" si="60"/>
        <v/>
      </c>
    </row>
    <row r="3841" spans="9:10">
      <c r="I3841" t="str">
        <f>_xlfn.IFNA(VLOOKUP(B3841,T_DistName[],3,FALSE),"")</f>
        <v/>
      </c>
      <c r="J3841" t="str">
        <f t="shared" si="60"/>
        <v/>
      </c>
    </row>
    <row r="3842" spans="9:10">
      <c r="I3842" t="str">
        <f>_xlfn.IFNA(VLOOKUP(B3842,T_DistName[],3,FALSE),"")</f>
        <v/>
      </c>
      <c r="J3842" t="str">
        <f t="shared" si="60"/>
        <v/>
      </c>
    </row>
    <row r="3843" spans="9:10">
      <c r="I3843" t="str">
        <f>_xlfn.IFNA(VLOOKUP(B3843,T_DistName[],3,FALSE),"")</f>
        <v/>
      </c>
      <c r="J3843" t="str">
        <f t="shared" si="60"/>
        <v/>
      </c>
    </row>
    <row r="3844" spans="9:10">
      <c r="I3844" t="str">
        <f>_xlfn.IFNA(VLOOKUP(B3844,T_DistName[],3,FALSE),"")</f>
        <v/>
      </c>
      <c r="J3844" t="str">
        <f t="shared" si="60"/>
        <v/>
      </c>
    </row>
    <row r="3845" spans="9:10">
      <c r="I3845" t="str">
        <f>_xlfn.IFNA(VLOOKUP(B3845,T_DistName[],3,FALSE),"")</f>
        <v/>
      </c>
      <c r="J3845" t="str">
        <f t="shared" si="60"/>
        <v/>
      </c>
    </row>
    <row r="3846" spans="9:10">
      <c r="I3846" t="str">
        <f>_xlfn.IFNA(VLOOKUP(B3846,T_DistName[],3,FALSE),"")</f>
        <v/>
      </c>
      <c r="J3846" t="str">
        <f t="shared" si="60"/>
        <v/>
      </c>
    </row>
    <row r="3847" spans="9:10">
      <c r="I3847" t="str">
        <f>_xlfn.IFNA(VLOOKUP(B3847,T_DistName[],3,FALSE),"")</f>
        <v/>
      </c>
      <c r="J3847" t="str">
        <f t="shared" si="60"/>
        <v/>
      </c>
    </row>
    <row r="3848" spans="9:10">
      <c r="I3848" t="str">
        <f>_xlfn.IFNA(VLOOKUP(B3848,T_DistName[],3,FALSE),"")</f>
        <v/>
      </c>
      <c r="J3848" t="str">
        <f t="shared" si="60"/>
        <v/>
      </c>
    </row>
    <row r="3849" spans="9:10">
      <c r="I3849" t="str">
        <f>_xlfn.IFNA(VLOOKUP(B3849,T_DistName[],3,FALSE),"")</f>
        <v/>
      </c>
      <c r="J3849" t="str">
        <f t="shared" si="60"/>
        <v/>
      </c>
    </row>
    <row r="3850" spans="9:10">
      <c r="I3850" t="str">
        <f>_xlfn.IFNA(VLOOKUP(B3850,T_DistName[],3,FALSE),"")</f>
        <v/>
      </c>
      <c r="J3850" t="str">
        <f t="shared" si="60"/>
        <v/>
      </c>
    </row>
    <row r="3851" spans="9:10">
      <c r="I3851" t="str">
        <f>_xlfn.IFNA(VLOOKUP(B3851,T_DistName[],3,FALSE),"")</f>
        <v/>
      </c>
      <c r="J3851" t="str">
        <f t="shared" si="60"/>
        <v/>
      </c>
    </row>
    <row r="3852" spans="9:10">
      <c r="I3852" t="str">
        <f>_xlfn.IFNA(VLOOKUP(B3852,T_DistName[],3,FALSE),"")</f>
        <v/>
      </c>
      <c r="J3852" t="str">
        <f t="shared" si="60"/>
        <v/>
      </c>
    </row>
    <row r="3853" spans="9:10">
      <c r="I3853" t="str">
        <f>_xlfn.IFNA(VLOOKUP(B3853,T_DistName[],3,FALSE),"")</f>
        <v/>
      </c>
      <c r="J3853" t="str">
        <f t="shared" si="60"/>
        <v/>
      </c>
    </row>
    <row r="3854" spans="9:10">
      <c r="I3854" t="str">
        <f>_xlfn.IFNA(VLOOKUP(B3854,T_DistName[],3,FALSE),"")</f>
        <v/>
      </c>
      <c r="J3854" t="str">
        <f t="shared" si="60"/>
        <v/>
      </c>
    </row>
    <row r="3855" spans="9:10">
      <c r="I3855" t="str">
        <f>_xlfn.IFNA(VLOOKUP(B3855,T_DistName[],3,FALSE),"")</f>
        <v/>
      </c>
      <c r="J3855" t="str">
        <f t="shared" si="60"/>
        <v/>
      </c>
    </row>
    <row r="3856" spans="9:10">
      <c r="I3856" t="str">
        <f>_xlfn.IFNA(VLOOKUP(B3856,T_DistName[],3,FALSE),"")</f>
        <v/>
      </c>
      <c r="J3856" t="str">
        <f t="shared" si="60"/>
        <v/>
      </c>
    </row>
    <row r="3857" spans="9:10">
      <c r="I3857" t="str">
        <f>_xlfn.IFNA(VLOOKUP(B3857,T_DistName[],3,FALSE),"")</f>
        <v/>
      </c>
      <c r="J3857" t="str">
        <f t="shared" si="60"/>
        <v/>
      </c>
    </row>
    <row r="3858" spans="9:10">
      <c r="I3858" t="str">
        <f>_xlfn.IFNA(VLOOKUP(B3858,T_DistName[],3,FALSE),"")</f>
        <v/>
      </c>
      <c r="J3858" t="str">
        <f t="shared" si="60"/>
        <v/>
      </c>
    </row>
    <row r="3859" spans="9:10">
      <c r="I3859" t="str">
        <f>_xlfn.IFNA(VLOOKUP(B3859,T_DistName[],3,FALSE),"")</f>
        <v/>
      </c>
      <c r="J3859" t="str">
        <f t="shared" si="60"/>
        <v/>
      </c>
    </row>
    <row r="3860" spans="9:10">
      <c r="I3860" t="str">
        <f>_xlfn.IFNA(VLOOKUP(B3860,T_DistName[],3,FALSE),"")</f>
        <v/>
      </c>
      <c r="J3860" t="str">
        <f t="shared" si="60"/>
        <v/>
      </c>
    </row>
    <row r="3861" spans="9:10">
      <c r="I3861" t="str">
        <f>_xlfn.IFNA(VLOOKUP(B3861,T_DistName[],3,FALSE),"")</f>
        <v/>
      </c>
      <c r="J3861" t="str">
        <f t="shared" si="60"/>
        <v/>
      </c>
    </row>
    <row r="3862" spans="9:10">
      <c r="I3862" t="str">
        <f>_xlfn.IFNA(VLOOKUP(B3862,T_DistName[],3,FALSE),"")</f>
        <v/>
      </c>
      <c r="J3862" t="str">
        <f t="shared" si="60"/>
        <v/>
      </c>
    </row>
    <row r="3863" spans="9:10">
      <c r="I3863" t="str">
        <f>_xlfn.IFNA(VLOOKUP(B3863,T_DistName[],3,FALSE),"")</f>
        <v/>
      </c>
      <c r="J3863" t="str">
        <f t="shared" si="60"/>
        <v/>
      </c>
    </row>
    <row r="3864" spans="9:10">
      <c r="I3864" t="str">
        <f>_xlfn.IFNA(VLOOKUP(B3864,T_DistName[],3,FALSE),"")</f>
        <v/>
      </c>
      <c r="J3864" t="str">
        <f t="shared" si="60"/>
        <v/>
      </c>
    </row>
    <row r="3865" spans="9:10">
      <c r="I3865" t="str">
        <f>_xlfn.IFNA(VLOOKUP(B3865,T_DistName[],3,FALSE),"")</f>
        <v/>
      </c>
      <c r="J3865" t="str">
        <f t="shared" ref="J3865:J3928" si="61">I3865&amp;F3865</f>
        <v/>
      </c>
    </row>
    <row r="3866" spans="9:10">
      <c r="I3866" t="str">
        <f>_xlfn.IFNA(VLOOKUP(B3866,T_DistName[],3,FALSE),"")</f>
        <v/>
      </c>
      <c r="J3866" t="str">
        <f t="shared" si="61"/>
        <v/>
      </c>
    </row>
    <row r="3867" spans="9:10">
      <c r="I3867" t="str">
        <f>_xlfn.IFNA(VLOOKUP(B3867,T_DistName[],3,FALSE),"")</f>
        <v/>
      </c>
      <c r="J3867" t="str">
        <f t="shared" si="61"/>
        <v/>
      </c>
    </row>
    <row r="3868" spans="9:10">
      <c r="I3868" t="str">
        <f>_xlfn.IFNA(VLOOKUP(B3868,T_DistName[],3,FALSE),"")</f>
        <v/>
      </c>
      <c r="J3868" t="str">
        <f t="shared" si="61"/>
        <v/>
      </c>
    </row>
    <row r="3869" spans="9:10">
      <c r="I3869" t="str">
        <f>_xlfn.IFNA(VLOOKUP(B3869,T_DistName[],3,FALSE),"")</f>
        <v/>
      </c>
      <c r="J3869" t="str">
        <f t="shared" si="61"/>
        <v/>
      </c>
    </row>
    <row r="3870" spans="9:10">
      <c r="I3870" t="str">
        <f>_xlfn.IFNA(VLOOKUP(B3870,T_DistName[],3,FALSE),"")</f>
        <v/>
      </c>
      <c r="J3870" t="str">
        <f t="shared" si="61"/>
        <v/>
      </c>
    </row>
    <row r="3871" spans="9:10">
      <c r="I3871" t="str">
        <f>_xlfn.IFNA(VLOOKUP(B3871,T_DistName[],3,FALSE),"")</f>
        <v/>
      </c>
      <c r="J3871" t="str">
        <f t="shared" si="61"/>
        <v/>
      </c>
    </row>
    <row r="3872" spans="9:10">
      <c r="I3872" t="str">
        <f>_xlfn.IFNA(VLOOKUP(B3872,T_DistName[],3,FALSE),"")</f>
        <v/>
      </c>
      <c r="J3872" t="str">
        <f t="shared" si="61"/>
        <v/>
      </c>
    </row>
    <row r="3873" spans="9:10">
      <c r="I3873" t="str">
        <f>_xlfn.IFNA(VLOOKUP(B3873,T_DistName[],3,FALSE),"")</f>
        <v/>
      </c>
      <c r="J3873" t="str">
        <f t="shared" si="61"/>
        <v/>
      </c>
    </row>
    <row r="3874" spans="9:10">
      <c r="I3874" t="str">
        <f>_xlfn.IFNA(VLOOKUP(B3874,T_DistName[],3,FALSE),"")</f>
        <v/>
      </c>
      <c r="J3874" t="str">
        <f t="shared" si="61"/>
        <v/>
      </c>
    </row>
    <row r="3875" spans="9:10">
      <c r="I3875" t="str">
        <f>_xlfn.IFNA(VLOOKUP(B3875,T_DistName[],3,FALSE),"")</f>
        <v/>
      </c>
      <c r="J3875" t="str">
        <f t="shared" si="61"/>
        <v/>
      </c>
    </row>
    <row r="3876" spans="9:10">
      <c r="I3876" t="str">
        <f>_xlfn.IFNA(VLOOKUP(B3876,T_DistName[],3,FALSE),"")</f>
        <v/>
      </c>
      <c r="J3876" t="str">
        <f t="shared" si="61"/>
        <v/>
      </c>
    </row>
    <row r="3877" spans="9:10">
      <c r="I3877" t="str">
        <f>_xlfn.IFNA(VLOOKUP(B3877,T_DistName[],3,FALSE),"")</f>
        <v/>
      </c>
      <c r="J3877" t="str">
        <f t="shared" si="61"/>
        <v/>
      </c>
    </row>
    <row r="3878" spans="9:10">
      <c r="I3878" t="str">
        <f>_xlfn.IFNA(VLOOKUP(B3878,T_DistName[],3,FALSE),"")</f>
        <v/>
      </c>
      <c r="J3878" t="str">
        <f t="shared" si="61"/>
        <v/>
      </c>
    </row>
    <row r="3879" spans="9:10">
      <c r="I3879" t="str">
        <f>_xlfn.IFNA(VLOOKUP(B3879,T_DistName[],3,FALSE),"")</f>
        <v/>
      </c>
      <c r="J3879" t="str">
        <f t="shared" si="61"/>
        <v/>
      </c>
    </row>
    <row r="3880" spans="9:10">
      <c r="I3880" t="str">
        <f>_xlfn.IFNA(VLOOKUP(B3880,T_DistName[],3,FALSE),"")</f>
        <v/>
      </c>
      <c r="J3880" t="str">
        <f t="shared" si="61"/>
        <v/>
      </c>
    </row>
    <row r="3881" spans="9:10">
      <c r="I3881" t="str">
        <f>_xlfn.IFNA(VLOOKUP(B3881,T_DistName[],3,FALSE),"")</f>
        <v/>
      </c>
      <c r="J3881" t="str">
        <f t="shared" si="61"/>
        <v/>
      </c>
    </row>
    <row r="3882" spans="9:10">
      <c r="I3882" t="str">
        <f>_xlfn.IFNA(VLOOKUP(B3882,T_DistName[],3,FALSE),"")</f>
        <v/>
      </c>
      <c r="J3882" t="str">
        <f t="shared" si="61"/>
        <v/>
      </c>
    </row>
    <row r="3883" spans="9:10">
      <c r="I3883" t="str">
        <f>_xlfn.IFNA(VLOOKUP(B3883,T_DistName[],3,FALSE),"")</f>
        <v/>
      </c>
      <c r="J3883" t="str">
        <f t="shared" si="61"/>
        <v/>
      </c>
    </row>
    <row r="3884" spans="9:10">
      <c r="I3884" t="str">
        <f>_xlfn.IFNA(VLOOKUP(B3884,T_DistName[],3,FALSE),"")</f>
        <v/>
      </c>
      <c r="J3884" t="str">
        <f t="shared" si="61"/>
        <v/>
      </c>
    </row>
    <row r="3885" spans="9:10">
      <c r="I3885" t="str">
        <f>_xlfn.IFNA(VLOOKUP(B3885,T_DistName[],3,FALSE),"")</f>
        <v/>
      </c>
      <c r="J3885" t="str">
        <f t="shared" si="61"/>
        <v/>
      </c>
    </row>
    <row r="3886" spans="9:10">
      <c r="I3886" t="str">
        <f>_xlfn.IFNA(VLOOKUP(B3886,T_DistName[],3,FALSE),"")</f>
        <v/>
      </c>
      <c r="J3886" t="str">
        <f t="shared" si="61"/>
        <v/>
      </c>
    </row>
    <row r="3887" spans="9:10">
      <c r="I3887" t="str">
        <f>_xlfn.IFNA(VLOOKUP(B3887,T_DistName[],3,FALSE),"")</f>
        <v/>
      </c>
      <c r="J3887" t="str">
        <f t="shared" si="61"/>
        <v/>
      </c>
    </row>
    <row r="3888" spans="9:10">
      <c r="I3888" t="str">
        <f>_xlfn.IFNA(VLOOKUP(B3888,T_DistName[],3,FALSE),"")</f>
        <v/>
      </c>
      <c r="J3888" t="str">
        <f t="shared" si="61"/>
        <v/>
      </c>
    </row>
    <row r="3889" spans="9:10">
      <c r="I3889" t="str">
        <f>_xlfn.IFNA(VLOOKUP(B3889,T_DistName[],3,FALSE),"")</f>
        <v/>
      </c>
      <c r="J3889" t="str">
        <f t="shared" si="61"/>
        <v/>
      </c>
    </row>
    <row r="3890" spans="9:10">
      <c r="I3890" t="str">
        <f>_xlfn.IFNA(VLOOKUP(B3890,T_DistName[],3,FALSE),"")</f>
        <v/>
      </c>
      <c r="J3890" t="str">
        <f t="shared" si="61"/>
        <v/>
      </c>
    </row>
    <row r="3891" spans="9:10">
      <c r="I3891" t="str">
        <f>_xlfn.IFNA(VLOOKUP(B3891,T_DistName[],3,FALSE),"")</f>
        <v/>
      </c>
      <c r="J3891" t="str">
        <f t="shared" si="61"/>
        <v/>
      </c>
    </row>
    <row r="3892" spans="9:10">
      <c r="I3892" t="str">
        <f>_xlfn.IFNA(VLOOKUP(B3892,T_DistName[],3,FALSE),"")</f>
        <v/>
      </c>
      <c r="J3892" t="str">
        <f t="shared" si="61"/>
        <v/>
      </c>
    </row>
    <row r="3893" spans="9:10">
      <c r="I3893" t="str">
        <f>_xlfn.IFNA(VLOOKUP(B3893,T_DistName[],3,FALSE),"")</f>
        <v/>
      </c>
      <c r="J3893" t="str">
        <f t="shared" si="61"/>
        <v/>
      </c>
    </row>
    <row r="3894" spans="9:10">
      <c r="I3894" t="str">
        <f>_xlfn.IFNA(VLOOKUP(B3894,T_DistName[],3,FALSE),"")</f>
        <v/>
      </c>
      <c r="J3894" t="str">
        <f t="shared" si="61"/>
        <v/>
      </c>
    </row>
    <row r="3895" spans="9:10">
      <c r="I3895" t="str">
        <f>_xlfn.IFNA(VLOOKUP(B3895,T_DistName[],3,FALSE),"")</f>
        <v/>
      </c>
      <c r="J3895" t="str">
        <f t="shared" si="61"/>
        <v/>
      </c>
    </row>
    <row r="3896" spans="9:10">
      <c r="I3896" t="str">
        <f>_xlfn.IFNA(VLOOKUP(B3896,T_DistName[],3,FALSE),"")</f>
        <v/>
      </c>
      <c r="J3896" t="str">
        <f t="shared" si="61"/>
        <v/>
      </c>
    </row>
    <row r="3897" spans="9:10">
      <c r="I3897" t="str">
        <f>_xlfn.IFNA(VLOOKUP(B3897,T_DistName[],3,FALSE),"")</f>
        <v/>
      </c>
      <c r="J3897" t="str">
        <f t="shared" si="61"/>
        <v/>
      </c>
    </row>
    <row r="3898" spans="9:10">
      <c r="I3898" t="str">
        <f>_xlfn.IFNA(VLOOKUP(B3898,T_DistName[],3,FALSE),"")</f>
        <v/>
      </c>
      <c r="J3898" t="str">
        <f t="shared" si="61"/>
        <v/>
      </c>
    </row>
    <row r="3899" spans="9:10">
      <c r="I3899" t="str">
        <f>_xlfn.IFNA(VLOOKUP(B3899,T_DistName[],3,FALSE),"")</f>
        <v/>
      </c>
      <c r="J3899" t="str">
        <f t="shared" si="61"/>
        <v/>
      </c>
    </row>
    <row r="3900" spans="9:10">
      <c r="I3900" t="str">
        <f>_xlfn.IFNA(VLOOKUP(B3900,T_DistName[],3,FALSE),"")</f>
        <v/>
      </c>
      <c r="J3900" t="str">
        <f t="shared" si="61"/>
        <v/>
      </c>
    </row>
    <row r="3901" spans="9:10">
      <c r="I3901" t="str">
        <f>_xlfn.IFNA(VLOOKUP(B3901,T_DistName[],3,FALSE),"")</f>
        <v/>
      </c>
      <c r="J3901" t="str">
        <f t="shared" si="61"/>
        <v/>
      </c>
    </row>
    <row r="3902" spans="9:10">
      <c r="I3902" t="str">
        <f>_xlfn.IFNA(VLOOKUP(B3902,T_DistName[],3,FALSE),"")</f>
        <v/>
      </c>
      <c r="J3902" t="str">
        <f t="shared" si="61"/>
        <v/>
      </c>
    </row>
    <row r="3903" spans="9:10">
      <c r="I3903" t="str">
        <f>_xlfn.IFNA(VLOOKUP(B3903,T_DistName[],3,FALSE),"")</f>
        <v/>
      </c>
      <c r="J3903" t="str">
        <f t="shared" si="61"/>
        <v/>
      </c>
    </row>
    <row r="3904" spans="9:10">
      <c r="I3904" t="str">
        <f>_xlfn.IFNA(VLOOKUP(B3904,T_DistName[],3,FALSE),"")</f>
        <v/>
      </c>
      <c r="J3904" t="str">
        <f t="shared" si="61"/>
        <v/>
      </c>
    </row>
    <row r="3905" spans="9:10">
      <c r="I3905" t="str">
        <f>_xlfn.IFNA(VLOOKUP(B3905,T_DistName[],3,FALSE),"")</f>
        <v/>
      </c>
      <c r="J3905" t="str">
        <f t="shared" si="61"/>
        <v/>
      </c>
    </row>
    <row r="3906" spans="9:10">
      <c r="I3906" t="str">
        <f>_xlfn.IFNA(VLOOKUP(B3906,T_DistName[],3,FALSE),"")</f>
        <v/>
      </c>
      <c r="J3906" t="str">
        <f t="shared" si="61"/>
        <v/>
      </c>
    </row>
    <row r="3907" spans="9:10">
      <c r="I3907" t="str">
        <f>_xlfn.IFNA(VLOOKUP(B3907,T_DistName[],3,FALSE),"")</f>
        <v/>
      </c>
      <c r="J3907" t="str">
        <f t="shared" si="61"/>
        <v/>
      </c>
    </row>
    <row r="3908" spans="9:10">
      <c r="I3908" t="str">
        <f>_xlfn.IFNA(VLOOKUP(B3908,T_DistName[],3,FALSE),"")</f>
        <v/>
      </c>
      <c r="J3908" t="str">
        <f t="shared" si="61"/>
        <v/>
      </c>
    </row>
    <row r="3909" spans="9:10">
      <c r="I3909" t="str">
        <f>_xlfn.IFNA(VLOOKUP(B3909,T_DistName[],3,FALSE),"")</f>
        <v/>
      </c>
      <c r="J3909" t="str">
        <f t="shared" si="61"/>
        <v/>
      </c>
    </row>
    <row r="3910" spans="9:10">
      <c r="I3910" t="str">
        <f>_xlfn.IFNA(VLOOKUP(B3910,T_DistName[],3,FALSE),"")</f>
        <v/>
      </c>
      <c r="J3910" t="str">
        <f t="shared" si="61"/>
        <v/>
      </c>
    </row>
    <row r="3911" spans="9:10">
      <c r="I3911" t="str">
        <f>_xlfn.IFNA(VLOOKUP(B3911,T_DistName[],3,FALSE),"")</f>
        <v/>
      </c>
      <c r="J3911" t="str">
        <f t="shared" si="61"/>
        <v/>
      </c>
    </row>
    <row r="3912" spans="9:10">
      <c r="I3912" t="str">
        <f>_xlfn.IFNA(VLOOKUP(B3912,T_DistName[],3,FALSE),"")</f>
        <v/>
      </c>
      <c r="J3912" t="str">
        <f t="shared" si="61"/>
        <v/>
      </c>
    </row>
    <row r="3913" spans="9:10">
      <c r="I3913" t="str">
        <f>_xlfn.IFNA(VLOOKUP(B3913,T_DistName[],3,FALSE),"")</f>
        <v/>
      </c>
      <c r="J3913" t="str">
        <f t="shared" si="61"/>
        <v/>
      </c>
    </row>
    <row r="3914" spans="9:10">
      <c r="I3914" t="str">
        <f>_xlfn.IFNA(VLOOKUP(B3914,T_DistName[],3,FALSE),"")</f>
        <v/>
      </c>
      <c r="J3914" t="str">
        <f t="shared" si="61"/>
        <v/>
      </c>
    </row>
    <row r="3915" spans="9:10">
      <c r="I3915" t="str">
        <f>_xlfn.IFNA(VLOOKUP(B3915,T_DistName[],3,FALSE),"")</f>
        <v/>
      </c>
      <c r="J3915" t="str">
        <f t="shared" si="61"/>
        <v/>
      </c>
    </row>
    <row r="3916" spans="9:10">
      <c r="I3916" t="str">
        <f>_xlfn.IFNA(VLOOKUP(B3916,T_DistName[],3,FALSE),"")</f>
        <v/>
      </c>
      <c r="J3916" t="str">
        <f t="shared" si="61"/>
        <v/>
      </c>
    </row>
    <row r="3917" spans="9:10">
      <c r="I3917" t="str">
        <f>_xlfn.IFNA(VLOOKUP(B3917,T_DistName[],3,FALSE),"")</f>
        <v/>
      </c>
      <c r="J3917" t="str">
        <f t="shared" si="61"/>
        <v/>
      </c>
    </row>
    <row r="3918" spans="9:10">
      <c r="I3918" t="str">
        <f>_xlfn.IFNA(VLOOKUP(B3918,T_DistName[],3,FALSE),"")</f>
        <v/>
      </c>
      <c r="J3918" t="str">
        <f t="shared" si="61"/>
        <v/>
      </c>
    </row>
    <row r="3919" spans="9:10">
      <c r="I3919" t="str">
        <f>_xlfn.IFNA(VLOOKUP(B3919,T_DistName[],3,FALSE),"")</f>
        <v/>
      </c>
      <c r="J3919" t="str">
        <f t="shared" si="61"/>
        <v/>
      </c>
    </row>
    <row r="3920" spans="9:10">
      <c r="I3920" t="str">
        <f>_xlfn.IFNA(VLOOKUP(B3920,T_DistName[],3,FALSE),"")</f>
        <v/>
      </c>
      <c r="J3920" t="str">
        <f t="shared" si="61"/>
        <v/>
      </c>
    </row>
    <row r="3921" spans="9:10">
      <c r="I3921" t="str">
        <f>_xlfn.IFNA(VLOOKUP(B3921,T_DistName[],3,FALSE),"")</f>
        <v/>
      </c>
      <c r="J3921" t="str">
        <f t="shared" si="61"/>
        <v/>
      </c>
    </row>
    <row r="3922" spans="9:10">
      <c r="I3922" t="str">
        <f>_xlfn.IFNA(VLOOKUP(B3922,T_DistName[],3,FALSE),"")</f>
        <v/>
      </c>
      <c r="J3922" t="str">
        <f t="shared" si="61"/>
        <v/>
      </c>
    </row>
    <row r="3923" spans="9:10">
      <c r="I3923" t="str">
        <f>_xlfn.IFNA(VLOOKUP(B3923,T_DistName[],3,FALSE),"")</f>
        <v/>
      </c>
      <c r="J3923" t="str">
        <f t="shared" si="61"/>
        <v/>
      </c>
    </row>
    <row r="3924" spans="9:10">
      <c r="I3924" t="str">
        <f>_xlfn.IFNA(VLOOKUP(B3924,T_DistName[],3,FALSE),"")</f>
        <v/>
      </c>
      <c r="J3924" t="str">
        <f t="shared" si="61"/>
        <v/>
      </c>
    </row>
    <row r="3925" spans="9:10">
      <c r="I3925" t="str">
        <f>_xlfn.IFNA(VLOOKUP(B3925,T_DistName[],3,FALSE),"")</f>
        <v/>
      </c>
      <c r="J3925" t="str">
        <f t="shared" si="61"/>
        <v/>
      </c>
    </row>
    <row r="3926" spans="9:10">
      <c r="I3926" t="str">
        <f>_xlfn.IFNA(VLOOKUP(B3926,T_DistName[],3,FALSE),"")</f>
        <v/>
      </c>
      <c r="J3926" t="str">
        <f t="shared" si="61"/>
        <v/>
      </c>
    </row>
    <row r="3927" spans="9:10">
      <c r="I3927" t="str">
        <f>_xlfn.IFNA(VLOOKUP(B3927,T_DistName[],3,FALSE),"")</f>
        <v/>
      </c>
      <c r="J3927" t="str">
        <f t="shared" si="61"/>
        <v/>
      </c>
    </row>
    <row r="3928" spans="9:10">
      <c r="I3928" t="str">
        <f>_xlfn.IFNA(VLOOKUP(B3928,T_DistName[],3,FALSE),"")</f>
        <v/>
      </c>
      <c r="J3928" t="str">
        <f t="shared" si="61"/>
        <v/>
      </c>
    </row>
    <row r="3929" spans="9:10">
      <c r="I3929" t="str">
        <f>_xlfn.IFNA(VLOOKUP(B3929,T_DistName[],3,FALSE),"")</f>
        <v/>
      </c>
      <c r="J3929" t="str">
        <f t="shared" ref="J3929:J3992" si="62">I3929&amp;F3929</f>
        <v/>
      </c>
    </row>
    <row r="3930" spans="9:10">
      <c r="I3930" t="str">
        <f>_xlfn.IFNA(VLOOKUP(B3930,T_DistName[],3,FALSE),"")</f>
        <v/>
      </c>
      <c r="J3930" t="str">
        <f t="shared" si="62"/>
        <v/>
      </c>
    </row>
    <row r="3931" spans="9:10">
      <c r="I3931" t="str">
        <f>_xlfn.IFNA(VLOOKUP(B3931,T_DistName[],3,FALSE),"")</f>
        <v/>
      </c>
      <c r="J3931" t="str">
        <f t="shared" si="62"/>
        <v/>
      </c>
    </row>
    <row r="3932" spans="9:10">
      <c r="I3932" t="str">
        <f>_xlfn.IFNA(VLOOKUP(B3932,T_DistName[],3,FALSE),"")</f>
        <v/>
      </c>
      <c r="J3932" t="str">
        <f t="shared" si="62"/>
        <v/>
      </c>
    </row>
    <row r="3933" spans="9:10">
      <c r="I3933" t="str">
        <f>_xlfn.IFNA(VLOOKUP(B3933,T_DistName[],3,FALSE),"")</f>
        <v/>
      </c>
      <c r="J3933" t="str">
        <f t="shared" si="62"/>
        <v/>
      </c>
    </row>
    <row r="3934" spans="9:10">
      <c r="I3934" t="str">
        <f>_xlfn.IFNA(VLOOKUP(B3934,T_DistName[],3,FALSE),"")</f>
        <v/>
      </c>
      <c r="J3934" t="str">
        <f t="shared" si="62"/>
        <v/>
      </c>
    </row>
    <row r="3935" spans="9:10">
      <c r="I3935" t="str">
        <f>_xlfn.IFNA(VLOOKUP(B3935,T_DistName[],3,FALSE),"")</f>
        <v/>
      </c>
      <c r="J3935" t="str">
        <f t="shared" si="62"/>
        <v/>
      </c>
    </row>
    <row r="3936" spans="9:10">
      <c r="I3936" t="str">
        <f>_xlfn.IFNA(VLOOKUP(B3936,T_DistName[],3,FALSE),"")</f>
        <v/>
      </c>
      <c r="J3936" t="str">
        <f t="shared" si="62"/>
        <v/>
      </c>
    </row>
    <row r="3937" spans="9:10">
      <c r="I3937" t="str">
        <f>_xlfn.IFNA(VLOOKUP(B3937,T_DistName[],3,FALSE),"")</f>
        <v/>
      </c>
      <c r="J3937" t="str">
        <f t="shared" si="62"/>
        <v/>
      </c>
    </row>
    <row r="3938" spans="9:10">
      <c r="I3938" t="str">
        <f>_xlfn.IFNA(VLOOKUP(B3938,T_DistName[],3,FALSE),"")</f>
        <v/>
      </c>
      <c r="J3938" t="str">
        <f t="shared" si="62"/>
        <v/>
      </c>
    </row>
    <row r="3939" spans="9:10">
      <c r="I3939" t="str">
        <f>_xlfn.IFNA(VLOOKUP(B3939,T_DistName[],3,FALSE),"")</f>
        <v/>
      </c>
      <c r="J3939" t="str">
        <f t="shared" si="62"/>
        <v/>
      </c>
    </row>
    <row r="3940" spans="9:10">
      <c r="I3940" t="str">
        <f>_xlfn.IFNA(VLOOKUP(B3940,T_DistName[],3,FALSE),"")</f>
        <v/>
      </c>
      <c r="J3940" t="str">
        <f t="shared" si="62"/>
        <v/>
      </c>
    </row>
    <row r="3941" spans="9:10">
      <c r="I3941" t="str">
        <f>_xlfn.IFNA(VLOOKUP(B3941,T_DistName[],3,FALSE),"")</f>
        <v/>
      </c>
      <c r="J3941" t="str">
        <f t="shared" si="62"/>
        <v/>
      </c>
    </row>
    <row r="3942" spans="9:10">
      <c r="I3942" t="str">
        <f>_xlfn.IFNA(VLOOKUP(B3942,T_DistName[],3,FALSE),"")</f>
        <v/>
      </c>
      <c r="J3942" t="str">
        <f t="shared" si="62"/>
        <v/>
      </c>
    </row>
    <row r="3943" spans="9:10">
      <c r="I3943" t="str">
        <f>_xlfn.IFNA(VLOOKUP(B3943,T_DistName[],3,FALSE),"")</f>
        <v/>
      </c>
      <c r="J3943" t="str">
        <f t="shared" si="62"/>
        <v/>
      </c>
    </row>
    <row r="3944" spans="9:10">
      <c r="I3944" t="str">
        <f>_xlfn.IFNA(VLOOKUP(B3944,T_DistName[],3,FALSE),"")</f>
        <v/>
      </c>
      <c r="J3944" t="str">
        <f t="shared" si="62"/>
        <v/>
      </c>
    </row>
    <row r="3945" spans="9:10">
      <c r="I3945" t="str">
        <f>_xlfn.IFNA(VLOOKUP(B3945,T_DistName[],3,FALSE),"")</f>
        <v/>
      </c>
      <c r="J3945" t="str">
        <f t="shared" si="62"/>
        <v/>
      </c>
    </row>
    <row r="3946" spans="9:10">
      <c r="I3946" t="str">
        <f>_xlfn.IFNA(VLOOKUP(B3946,T_DistName[],3,FALSE),"")</f>
        <v/>
      </c>
      <c r="J3946" t="str">
        <f t="shared" si="62"/>
        <v/>
      </c>
    </row>
    <row r="3947" spans="9:10">
      <c r="I3947" t="str">
        <f>_xlfn.IFNA(VLOOKUP(B3947,T_DistName[],3,FALSE),"")</f>
        <v/>
      </c>
      <c r="J3947" t="str">
        <f t="shared" si="62"/>
        <v/>
      </c>
    </row>
    <row r="3948" spans="9:10">
      <c r="I3948" t="str">
        <f>_xlfn.IFNA(VLOOKUP(B3948,T_DistName[],3,FALSE),"")</f>
        <v/>
      </c>
      <c r="J3948" t="str">
        <f t="shared" si="62"/>
        <v/>
      </c>
    </row>
    <row r="3949" spans="9:10">
      <c r="I3949" t="str">
        <f>_xlfn.IFNA(VLOOKUP(B3949,T_DistName[],3,FALSE),"")</f>
        <v/>
      </c>
      <c r="J3949" t="str">
        <f t="shared" si="62"/>
        <v/>
      </c>
    </row>
    <row r="3950" spans="9:10">
      <c r="I3950" t="str">
        <f>_xlfn.IFNA(VLOOKUP(B3950,T_DistName[],3,FALSE),"")</f>
        <v/>
      </c>
      <c r="J3950" t="str">
        <f t="shared" si="62"/>
        <v/>
      </c>
    </row>
    <row r="3951" spans="9:10">
      <c r="I3951" t="str">
        <f>_xlfn.IFNA(VLOOKUP(B3951,T_DistName[],3,FALSE),"")</f>
        <v/>
      </c>
      <c r="J3951" t="str">
        <f t="shared" si="62"/>
        <v/>
      </c>
    </row>
    <row r="3952" spans="9:10">
      <c r="I3952" t="str">
        <f>_xlfn.IFNA(VLOOKUP(B3952,T_DistName[],3,FALSE),"")</f>
        <v/>
      </c>
      <c r="J3952" t="str">
        <f t="shared" si="62"/>
        <v/>
      </c>
    </row>
    <row r="3953" spans="9:10">
      <c r="I3953" t="str">
        <f>_xlfn.IFNA(VLOOKUP(B3953,T_DistName[],3,FALSE),"")</f>
        <v/>
      </c>
      <c r="J3953" t="str">
        <f t="shared" si="62"/>
        <v/>
      </c>
    </row>
    <row r="3954" spans="9:10">
      <c r="I3954" t="str">
        <f>_xlfn.IFNA(VLOOKUP(B3954,T_DistName[],3,FALSE),"")</f>
        <v/>
      </c>
      <c r="J3954" t="str">
        <f t="shared" si="62"/>
        <v/>
      </c>
    </row>
    <row r="3955" spans="9:10">
      <c r="I3955" t="str">
        <f>_xlfn.IFNA(VLOOKUP(B3955,T_DistName[],3,FALSE),"")</f>
        <v/>
      </c>
      <c r="J3955" t="str">
        <f t="shared" si="62"/>
        <v/>
      </c>
    </row>
    <row r="3956" spans="9:10">
      <c r="I3956" t="str">
        <f>_xlfn.IFNA(VLOOKUP(B3956,T_DistName[],3,FALSE),"")</f>
        <v/>
      </c>
      <c r="J3956" t="str">
        <f t="shared" si="62"/>
        <v/>
      </c>
    </row>
    <row r="3957" spans="9:10">
      <c r="I3957" t="str">
        <f>_xlfn.IFNA(VLOOKUP(B3957,T_DistName[],3,FALSE),"")</f>
        <v/>
      </c>
      <c r="J3957" t="str">
        <f t="shared" si="62"/>
        <v/>
      </c>
    </row>
    <row r="3958" spans="9:10">
      <c r="I3958" t="str">
        <f>_xlfn.IFNA(VLOOKUP(B3958,T_DistName[],3,FALSE),"")</f>
        <v/>
      </c>
      <c r="J3958" t="str">
        <f t="shared" si="62"/>
        <v/>
      </c>
    </row>
    <row r="3959" spans="9:10">
      <c r="I3959" t="str">
        <f>_xlfn.IFNA(VLOOKUP(B3959,T_DistName[],3,FALSE),"")</f>
        <v/>
      </c>
      <c r="J3959" t="str">
        <f t="shared" si="62"/>
        <v/>
      </c>
    </row>
    <row r="3960" spans="9:10">
      <c r="I3960" t="str">
        <f>_xlfn.IFNA(VLOOKUP(B3960,T_DistName[],3,FALSE),"")</f>
        <v/>
      </c>
      <c r="J3960" t="str">
        <f t="shared" si="62"/>
        <v/>
      </c>
    </row>
    <row r="3961" spans="9:10">
      <c r="I3961" t="str">
        <f>_xlfn.IFNA(VLOOKUP(B3961,T_DistName[],3,FALSE),"")</f>
        <v/>
      </c>
      <c r="J3961" t="str">
        <f t="shared" si="62"/>
        <v/>
      </c>
    </row>
    <row r="3962" spans="9:10">
      <c r="I3962" t="str">
        <f>_xlfn.IFNA(VLOOKUP(B3962,T_DistName[],3,FALSE),"")</f>
        <v/>
      </c>
      <c r="J3962" t="str">
        <f t="shared" si="62"/>
        <v/>
      </c>
    </row>
    <row r="3963" spans="9:10">
      <c r="I3963" t="str">
        <f>_xlfn.IFNA(VLOOKUP(B3963,T_DistName[],3,FALSE),"")</f>
        <v/>
      </c>
      <c r="J3963" t="str">
        <f t="shared" si="62"/>
        <v/>
      </c>
    </row>
    <row r="3964" spans="9:10">
      <c r="I3964" t="str">
        <f>_xlfn.IFNA(VLOOKUP(B3964,T_DistName[],3,FALSE),"")</f>
        <v/>
      </c>
      <c r="J3964" t="str">
        <f t="shared" si="62"/>
        <v/>
      </c>
    </row>
    <row r="3965" spans="9:10">
      <c r="I3965" t="str">
        <f>_xlfn.IFNA(VLOOKUP(B3965,T_DistName[],3,FALSE),"")</f>
        <v/>
      </c>
      <c r="J3965" t="str">
        <f t="shared" si="62"/>
        <v/>
      </c>
    </row>
    <row r="3966" spans="9:10">
      <c r="I3966" t="str">
        <f>_xlfn.IFNA(VLOOKUP(B3966,T_DistName[],3,FALSE),"")</f>
        <v/>
      </c>
      <c r="J3966" t="str">
        <f t="shared" si="62"/>
        <v/>
      </c>
    </row>
    <row r="3967" spans="9:10">
      <c r="I3967" t="str">
        <f>_xlfn.IFNA(VLOOKUP(B3967,T_DistName[],3,FALSE),"")</f>
        <v/>
      </c>
      <c r="J3967" t="str">
        <f t="shared" si="62"/>
        <v/>
      </c>
    </row>
    <row r="3968" spans="9:10">
      <c r="I3968" t="str">
        <f>_xlfn.IFNA(VLOOKUP(B3968,T_DistName[],3,FALSE),"")</f>
        <v/>
      </c>
      <c r="J3968" t="str">
        <f t="shared" si="62"/>
        <v/>
      </c>
    </row>
    <row r="3969" spans="9:10">
      <c r="I3969" t="str">
        <f>_xlfn.IFNA(VLOOKUP(B3969,T_DistName[],3,FALSE),"")</f>
        <v/>
      </c>
      <c r="J3969" t="str">
        <f t="shared" si="62"/>
        <v/>
      </c>
    </row>
    <row r="3970" spans="9:10">
      <c r="I3970" t="str">
        <f>_xlfn.IFNA(VLOOKUP(B3970,T_DistName[],3,FALSE),"")</f>
        <v/>
      </c>
      <c r="J3970" t="str">
        <f t="shared" si="62"/>
        <v/>
      </c>
    </row>
    <row r="3971" spans="9:10">
      <c r="I3971" t="str">
        <f>_xlfn.IFNA(VLOOKUP(B3971,T_DistName[],3,FALSE),"")</f>
        <v/>
      </c>
      <c r="J3971" t="str">
        <f t="shared" si="62"/>
        <v/>
      </c>
    </row>
    <row r="3972" spans="9:10">
      <c r="I3972" t="str">
        <f>_xlfn.IFNA(VLOOKUP(B3972,T_DistName[],3,FALSE),"")</f>
        <v/>
      </c>
      <c r="J3972" t="str">
        <f t="shared" si="62"/>
        <v/>
      </c>
    </row>
    <row r="3973" spans="9:10">
      <c r="I3973" t="str">
        <f>_xlfn.IFNA(VLOOKUP(B3973,T_DistName[],3,FALSE),"")</f>
        <v/>
      </c>
      <c r="J3973" t="str">
        <f t="shared" si="62"/>
        <v/>
      </c>
    </row>
    <row r="3974" spans="9:10">
      <c r="I3974" t="str">
        <f>_xlfn.IFNA(VLOOKUP(B3974,T_DistName[],3,FALSE),"")</f>
        <v/>
      </c>
      <c r="J3974" t="str">
        <f t="shared" si="62"/>
        <v/>
      </c>
    </row>
    <row r="3975" spans="9:10">
      <c r="I3975" t="str">
        <f>_xlfn.IFNA(VLOOKUP(B3975,T_DistName[],3,FALSE),"")</f>
        <v/>
      </c>
      <c r="J3975" t="str">
        <f t="shared" si="62"/>
        <v/>
      </c>
    </row>
    <row r="3976" spans="9:10">
      <c r="I3976" t="str">
        <f>_xlfn.IFNA(VLOOKUP(B3976,T_DistName[],3,FALSE),"")</f>
        <v/>
      </c>
      <c r="J3976" t="str">
        <f t="shared" si="62"/>
        <v/>
      </c>
    </row>
    <row r="3977" spans="9:10">
      <c r="I3977" t="str">
        <f>_xlfn.IFNA(VLOOKUP(B3977,T_DistName[],3,FALSE),"")</f>
        <v/>
      </c>
      <c r="J3977" t="str">
        <f t="shared" si="62"/>
        <v/>
      </c>
    </row>
    <row r="3978" spans="9:10">
      <c r="I3978" t="str">
        <f>_xlfn.IFNA(VLOOKUP(B3978,T_DistName[],3,FALSE),"")</f>
        <v/>
      </c>
      <c r="J3978" t="str">
        <f t="shared" si="62"/>
        <v/>
      </c>
    </row>
    <row r="3979" spans="9:10">
      <c r="I3979" t="str">
        <f>_xlfn.IFNA(VLOOKUP(B3979,T_DistName[],3,FALSE),"")</f>
        <v/>
      </c>
      <c r="J3979" t="str">
        <f t="shared" si="62"/>
        <v/>
      </c>
    </row>
    <row r="3980" spans="9:10">
      <c r="I3980" t="str">
        <f>_xlfn.IFNA(VLOOKUP(B3980,T_DistName[],3,FALSE),"")</f>
        <v/>
      </c>
      <c r="J3980" t="str">
        <f t="shared" si="62"/>
        <v/>
      </c>
    </row>
    <row r="3981" spans="9:10">
      <c r="I3981" t="str">
        <f>_xlfn.IFNA(VLOOKUP(B3981,T_DistName[],3,FALSE),"")</f>
        <v/>
      </c>
      <c r="J3981" t="str">
        <f t="shared" si="62"/>
        <v/>
      </c>
    </row>
    <row r="3982" spans="9:10">
      <c r="I3982" t="str">
        <f>_xlfn.IFNA(VLOOKUP(B3982,T_DistName[],3,FALSE),"")</f>
        <v/>
      </c>
      <c r="J3982" t="str">
        <f t="shared" si="62"/>
        <v/>
      </c>
    </row>
    <row r="3983" spans="9:10">
      <c r="I3983" t="str">
        <f>_xlfn.IFNA(VLOOKUP(B3983,T_DistName[],3,FALSE),"")</f>
        <v/>
      </c>
      <c r="J3983" t="str">
        <f t="shared" si="62"/>
        <v/>
      </c>
    </row>
    <row r="3984" spans="9:10">
      <c r="I3984" t="str">
        <f>_xlfn.IFNA(VLOOKUP(B3984,T_DistName[],3,FALSE),"")</f>
        <v/>
      </c>
      <c r="J3984" t="str">
        <f t="shared" si="62"/>
        <v/>
      </c>
    </row>
    <row r="3985" spans="9:10">
      <c r="I3985" t="str">
        <f>_xlfn.IFNA(VLOOKUP(B3985,T_DistName[],3,FALSE),"")</f>
        <v/>
      </c>
      <c r="J3985" t="str">
        <f t="shared" si="62"/>
        <v/>
      </c>
    </row>
    <row r="3986" spans="9:10">
      <c r="I3986" t="str">
        <f>_xlfn.IFNA(VLOOKUP(B3986,T_DistName[],3,FALSE),"")</f>
        <v/>
      </c>
      <c r="J3986" t="str">
        <f t="shared" si="62"/>
        <v/>
      </c>
    </row>
    <row r="3987" spans="9:10">
      <c r="I3987" t="str">
        <f>_xlfn.IFNA(VLOOKUP(B3987,T_DistName[],3,FALSE),"")</f>
        <v/>
      </c>
      <c r="J3987" t="str">
        <f t="shared" si="62"/>
        <v/>
      </c>
    </row>
    <row r="3988" spans="9:10">
      <c r="I3988" t="str">
        <f>_xlfn.IFNA(VLOOKUP(B3988,T_DistName[],3,FALSE),"")</f>
        <v/>
      </c>
      <c r="J3988" t="str">
        <f t="shared" si="62"/>
        <v/>
      </c>
    </row>
    <row r="3989" spans="9:10">
      <c r="I3989" t="str">
        <f>_xlfn.IFNA(VLOOKUP(B3989,T_DistName[],3,FALSE),"")</f>
        <v/>
      </c>
      <c r="J3989" t="str">
        <f t="shared" si="62"/>
        <v/>
      </c>
    </row>
    <row r="3990" spans="9:10">
      <c r="I3990" t="str">
        <f>_xlfn.IFNA(VLOOKUP(B3990,T_DistName[],3,FALSE),"")</f>
        <v/>
      </c>
      <c r="J3990" t="str">
        <f t="shared" si="62"/>
        <v/>
      </c>
    </row>
    <row r="3991" spans="9:10">
      <c r="I3991" t="str">
        <f>_xlfn.IFNA(VLOOKUP(B3991,T_DistName[],3,FALSE),"")</f>
        <v/>
      </c>
      <c r="J3991" t="str">
        <f t="shared" si="62"/>
        <v/>
      </c>
    </row>
    <row r="3992" spans="9:10">
      <c r="I3992" t="str">
        <f>_xlfn.IFNA(VLOOKUP(B3992,T_DistName[],3,FALSE),"")</f>
        <v/>
      </c>
      <c r="J3992" t="str">
        <f t="shared" si="62"/>
        <v/>
      </c>
    </row>
    <row r="3993" spans="9:10">
      <c r="I3993" t="str">
        <f>_xlfn.IFNA(VLOOKUP(B3993,T_DistName[],3,FALSE),"")</f>
        <v/>
      </c>
      <c r="J3993" t="str">
        <f t="shared" ref="J3993:J4056" si="63">I3993&amp;F3993</f>
        <v/>
      </c>
    </row>
    <row r="3994" spans="9:10">
      <c r="I3994" t="str">
        <f>_xlfn.IFNA(VLOOKUP(B3994,T_DistName[],3,FALSE),"")</f>
        <v/>
      </c>
      <c r="J3994" t="str">
        <f t="shared" si="63"/>
        <v/>
      </c>
    </row>
    <row r="3995" spans="9:10">
      <c r="I3995" t="str">
        <f>_xlfn.IFNA(VLOOKUP(B3995,T_DistName[],3,FALSE),"")</f>
        <v/>
      </c>
      <c r="J3995" t="str">
        <f t="shared" si="63"/>
        <v/>
      </c>
    </row>
    <row r="3996" spans="9:10">
      <c r="I3996" t="str">
        <f>_xlfn.IFNA(VLOOKUP(B3996,T_DistName[],3,FALSE),"")</f>
        <v/>
      </c>
      <c r="J3996" t="str">
        <f t="shared" si="63"/>
        <v/>
      </c>
    </row>
    <row r="3997" spans="9:10">
      <c r="I3997" t="str">
        <f>_xlfn.IFNA(VLOOKUP(B3997,T_DistName[],3,FALSE),"")</f>
        <v/>
      </c>
      <c r="J3997" t="str">
        <f t="shared" si="63"/>
        <v/>
      </c>
    </row>
    <row r="3998" spans="9:10">
      <c r="I3998" t="str">
        <f>_xlfn.IFNA(VLOOKUP(B3998,T_DistName[],3,FALSE),"")</f>
        <v/>
      </c>
      <c r="J3998" t="str">
        <f t="shared" si="63"/>
        <v/>
      </c>
    </row>
    <row r="3999" spans="9:10">
      <c r="I3999" t="str">
        <f>_xlfn.IFNA(VLOOKUP(B3999,T_DistName[],3,FALSE),"")</f>
        <v/>
      </c>
      <c r="J3999" t="str">
        <f t="shared" si="63"/>
        <v/>
      </c>
    </row>
    <row r="4000" spans="9:10">
      <c r="I4000" t="str">
        <f>_xlfn.IFNA(VLOOKUP(B4000,T_DistName[],3,FALSE),"")</f>
        <v/>
      </c>
      <c r="J4000" t="str">
        <f t="shared" si="63"/>
        <v/>
      </c>
    </row>
    <row r="4001" spans="9:10">
      <c r="I4001" t="str">
        <f>_xlfn.IFNA(VLOOKUP(B4001,T_DistName[],3,FALSE),"")</f>
        <v/>
      </c>
      <c r="J4001" t="str">
        <f t="shared" si="63"/>
        <v/>
      </c>
    </row>
    <row r="4002" spans="9:10">
      <c r="I4002" t="str">
        <f>_xlfn.IFNA(VLOOKUP(B4002,T_DistName[],3,FALSE),"")</f>
        <v/>
      </c>
      <c r="J4002" t="str">
        <f t="shared" si="63"/>
        <v/>
      </c>
    </row>
    <row r="4003" spans="9:10">
      <c r="I4003" t="str">
        <f>_xlfn.IFNA(VLOOKUP(B4003,T_DistName[],3,FALSE),"")</f>
        <v/>
      </c>
      <c r="J4003" t="str">
        <f t="shared" si="63"/>
        <v/>
      </c>
    </row>
    <row r="4004" spans="9:10">
      <c r="I4004" t="str">
        <f>_xlfn.IFNA(VLOOKUP(B4004,T_DistName[],3,FALSE),"")</f>
        <v/>
      </c>
      <c r="J4004" t="str">
        <f t="shared" si="63"/>
        <v/>
      </c>
    </row>
    <row r="4005" spans="9:10">
      <c r="I4005" t="str">
        <f>_xlfn.IFNA(VLOOKUP(B4005,T_DistName[],3,FALSE),"")</f>
        <v/>
      </c>
      <c r="J4005" t="str">
        <f t="shared" si="63"/>
        <v/>
      </c>
    </row>
    <row r="4006" spans="9:10">
      <c r="I4006" t="str">
        <f>_xlfn.IFNA(VLOOKUP(B4006,T_DistName[],3,FALSE),"")</f>
        <v/>
      </c>
      <c r="J4006" t="str">
        <f t="shared" si="63"/>
        <v/>
      </c>
    </row>
    <row r="4007" spans="9:10">
      <c r="I4007" t="str">
        <f>_xlfn.IFNA(VLOOKUP(B4007,T_DistName[],3,FALSE),"")</f>
        <v/>
      </c>
      <c r="J4007" t="str">
        <f t="shared" si="63"/>
        <v/>
      </c>
    </row>
    <row r="4008" spans="9:10">
      <c r="I4008" t="str">
        <f>_xlfn.IFNA(VLOOKUP(B4008,T_DistName[],3,FALSE),"")</f>
        <v/>
      </c>
      <c r="J4008" t="str">
        <f t="shared" si="63"/>
        <v/>
      </c>
    </row>
    <row r="4009" spans="9:10">
      <c r="I4009" t="str">
        <f>_xlfn.IFNA(VLOOKUP(B4009,T_DistName[],3,FALSE),"")</f>
        <v/>
      </c>
      <c r="J4009" t="str">
        <f t="shared" si="63"/>
        <v/>
      </c>
    </row>
    <row r="4010" spans="9:10">
      <c r="I4010" t="str">
        <f>_xlfn.IFNA(VLOOKUP(B4010,T_DistName[],3,FALSE),"")</f>
        <v/>
      </c>
      <c r="J4010" t="str">
        <f t="shared" si="63"/>
        <v/>
      </c>
    </row>
    <row r="4011" spans="9:10">
      <c r="I4011" t="str">
        <f>_xlfn.IFNA(VLOOKUP(B4011,T_DistName[],3,FALSE),"")</f>
        <v/>
      </c>
      <c r="J4011" t="str">
        <f t="shared" si="63"/>
        <v/>
      </c>
    </row>
    <row r="4012" spans="9:10">
      <c r="I4012" t="str">
        <f>_xlfn.IFNA(VLOOKUP(B4012,T_DistName[],3,FALSE),"")</f>
        <v/>
      </c>
      <c r="J4012" t="str">
        <f t="shared" si="63"/>
        <v/>
      </c>
    </row>
    <row r="4013" spans="9:10">
      <c r="I4013" t="str">
        <f>_xlfn.IFNA(VLOOKUP(B4013,T_DistName[],3,FALSE),"")</f>
        <v/>
      </c>
      <c r="J4013" t="str">
        <f t="shared" si="63"/>
        <v/>
      </c>
    </row>
    <row r="4014" spans="9:10">
      <c r="I4014" t="str">
        <f>_xlfn.IFNA(VLOOKUP(B4014,T_DistName[],3,FALSE),"")</f>
        <v/>
      </c>
      <c r="J4014" t="str">
        <f t="shared" si="63"/>
        <v/>
      </c>
    </row>
    <row r="4015" spans="9:10">
      <c r="I4015" t="str">
        <f>_xlfn.IFNA(VLOOKUP(B4015,T_DistName[],3,FALSE),"")</f>
        <v/>
      </c>
      <c r="J4015" t="str">
        <f t="shared" si="63"/>
        <v/>
      </c>
    </row>
    <row r="4016" spans="9:10">
      <c r="I4016" t="str">
        <f>_xlfn.IFNA(VLOOKUP(B4016,T_DistName[],3,FALSE),"")</f>
        <v/>
      </c>
      <c r="J4016" t="str">
        <f t="shared" si="63"/>
        <v/>
      </c>
    </row>
    <row r="4017" spans="9:10">
      <c r="I4017" t="str">
        <f>_xlfn.IFNA(VLOOKUP(B4017,T_DistName[],3,FALSE),"")</f>
        <v/>
      </c>
      <c r="J4017" t="str">
        <f t="shared" si="63"/>
        <v/>
      </c>
    </row>
    <row r="4018" spans="9:10">
      <c r="I4018" t="str">
        <f>_xlfn.IFNA(VLOOKUP(B4018,T_DistName[],3,FALSE),"")</f>
        <v/>
      </c>
      <c r="J4018" t="str">
        <f t="shared" si="63"/>
        <v/>
      </c>
    </row>
    <row r="4019" spans="9:10">
      <c r="I4019" t="str">
        <f>_xlfn.IFNA(VLOOKUP(B4019,T_DistName[],3,FALSE),"")</f>
        <v/>
      </c>
      <c r="J4019" t="str">
        <f t="shared" si="63"/>
        <v/>
      </c>
    </row>
    <row r="4020" spans="9:10">
      <c r="I4020" t="str">
        <f>_xlfn.IFNA(VLOOKUP(B4020,T_DistName[],3,FALSE),"")</f>
        <v/>
      </c>
      <c r="J4020" t="str">
        <f t="shared" si="63"/>
        <v/>
      </c>
    </row>
    <row r="4021" spans="9:10">
      <c r="I4021" t="str">
        <f>_xlfn.IFNA(VLOOKUP(B4021,T_DistName[],3,FALSE),"")</f>
        <v/>
      </c>
      <c r="J4021" t="str">
        <f t="shared" si="63"/>
        <v/>
      </c>
    </row>
    <row r="4022" spans="9:10">
      <c r="I4022" t="str">
        <f>_xlfn.IFNA(VLOOKUP(B4022,T_DistName[],3,FALSE),"")</f>
        <v/>
      </c>
      <c r="J4022" t="str">
        <f t="shared" si="63"/>
        <v/>
      </c>
    </row>
    <row r="4023" spans="9:10">
      <c r="I4023" t="str">
        <f>_xlfn.IFNA(VLOOKUP(B4023,T_DistName[],3,FALSE),"")</f>
        <v/>
      </c>
      <c r="J4023" t="str">
        <f t="shared" si="63"/>
        <v/>
      </c>
    </row>
    <row r="4024" spans="9:10">
      <c r="I4024" t="str">
        <f>_xlfn.IFNA(VLOOKUP(B4024,T_DistName[],3,FALSE),"")</f>
        <v/>
      </c>
      <c r="J4024" t="str">
        <f t="shared" si="63"/>
        <v/>
      </c>
    </row>
    <row r="4025" spans="9:10">
      <c r="I4025" t="str">
        <f>_xlfn.IFNA(VLOOKUP(B4025,T_DistName[],3,FALSE),"")</f>
        <v/>
      </c>
      <c r="J4025" t="str">
        <f t="shared" si="63"/>
        <v/>
      </c>
    </row>
    <row r="4026" spans="9:10">
      <c r="I4026" t="str">
        <f>_xlfn.IFNA(VLOOKUP(B4026,T_DistName[],3,FALSE),"")</f>
        <v/>
      </c>
      <c r="J4026" t="str">
        <f t="shared" si="63"/>
        <v/>
      </c>
    </row>
    <row r="4027" spans="9:10">
      <c r="I4027" t="str">
        <f>_xlfn.IFNA(VLOOKUP(B4027,T_DistName[],3,FALSE),"")</f>
        <v/>
      </c>
      <c r="J4027" t="str">
        <f t="shared" si="63"/>
        <v/>
      </c>
    </row>
    <row r="4028" spans="9:10">
      <c r="I4028" t="str">
        <f>_xlfn.IFNA(VLOOKUP(B4028,T_DistName[],3,FALSE),"")</f>
        <v/>
      </c>
      <c r="J4028" t="str">
        <f t="shared" si="63"/>
        <v/>
      </c>
    </row>
    <row r="4029" spans="9:10">
      <c r="I4029" t="str">
        <f>_xlfn.IFNA(VLOOKUP(B4029,T_DistName[],3,FALSE),"")</f>
        <v/>
      </c>
      <c r="J4029" t="str">
        <f t="shared" si="63"/>
        <v/>
      </c>
    </row>
    <row r="4030" spans="9:10">
      <c r="I4030" t="str">
        <f>_xlfn.IFNA(VLOOKUP(B4030,T_DistName[],3,FALSE),"")</f>
        <v/>
      </c>
      <c r="J4030" t="str">
        <f t="shared" si="63"/>
        <v/>
      </c>
    </row>
    <row r="4031" spans="9:10">
      <c r="I4031" t="str">
        <f>_xlfn.IFNA(VLOOKUP(B4031,T_DistName[],3,FALSE),"")</f>
        <v/>
      </c>
      <c r="J4031" t="str">
        <f t="shared" si="63"/>
        <v/>
      </c>
    </row>
    <row r="4032" spans="9:10">
      <c r="I4032" t="str">
        <f>_xlfn.IFNA(VLOOKUP(B4032,T_DistName[],3,FALSE),"")</f>
        <v/>
      </c>
      <c r="J4032" t="str">
        <f t="shared" si="63"/>
        <v/>
      </c>
    </row>
    <row r="4033" spans="9:10">
      <c r="I4033" t="str">
        <f>_xlfn.IFNA(VLOOKUP(B4033,T_DistName[],3,FALSE),"")</f>
        <v/>
      </c>
      <c r="J4033" t="str">
        <f t="shared" si="63"/>
        <v/>
      </c>
    </row>
    <row r="4034" spans="9:10">
      <c r="I4034" t="str">
        <f>_xlfn.IFNA(VLOOKUP(B4034,T_DistName[],3,FALSE),"")</f>
        <v/>
      </c>
      <c r="J4034" t="str">
        <f t="shared" si="63"/>
        <v/>
      </c>
    </row>
    <row r="4035" spans="9:10">
      <c r="I4035" t="str">
        <f>_xlfn.IFNA(VLOOKUP(B4035,T_DistName[],3,FALSE),"")</f>
        <v/>
      </c>
      <c r="J4035" t="str">
        <f t="shared" si="63"/>
        <v/>
      </c>
    </row>
    <row r="4036" spans="9:10">
      <c r="I4036" t="str">
        <f>_xlfn.IFNA(VLOOKUP(B4036,T_DistName[],3,FALSE),"")</f>
        <v/>
      </c>
      <c r="J4036" t="str">
        <f t="shared" si="63"/>
        <v/>
      </c>
    </row>
    <row r="4037" spans="9:10">
      <c r="I4037" t="str">
        <f>_xlfn.IFNA(VLOOKUP(B4037,T_DistName[],3,FALSE),"")</f>
        <v/>
      </c>
      <c r="J4037" t="str">
        <f t="shared" si="63"/>
        <v/>
      </c>
    </row>
    <row r="4038" spans="9:10">
      <c r="I4038" t="str">
        <f>_xlfn.IFNA(VLOOKUP(B4038,T_DistName[],3,FALSE),"")</f>
        <v/>
      </c>
      <c r="J4038" t="str">
        <f t="shared" si="63"/>
        <v/>
      </c>
    </row>
    <row r="4039" spans="9:10">
      <c r="I4039" t="str">
        <f>_xlfn.IFNA(VLOOKUP(B4039,T_DistName[],3,FALSE),"")</f>
        <v/>
      </c>
      <c r="J4039" t="str">
        <f t="shared" si="63"/>
        <v/>
      </c>
    </row>
    <row r="4040" spans="9:10">
      <c r="I4040" t="str">
        <f>_xlfn.IFNA(VLOOKUP(B4040,T_DistName[],3,FALSE),"")</f>
        <v/>
      </c>
      <c r="J4040" t="str">
        <f t="shared" si="63"/>
        <v/>
      </c>
    </row>
    <row r="4041" spans="9:10">
      <c r="I4041" t="str">
        <f>_xlfn.IFNA(VLOOKUP(B4041,T_DistName[],3,FALSE),"")</f>
        <v/>
      </c>
      <c r="J4041" t="str">
        <f t="shared" si="63"/>
        <v/>
      </c>
    </row>
    <row r="4042" spans="9:10">
      <c r="I4042" t="str">
        <f>_xlfn.IFNA(VLOOKUP(B4042,T_DistName[],3,FALSE),"")</f>
        <v/>
      </c>
      <c r="J4042" t="str">
        <f t="shared" si="63"/>
        <v/>
      </c>
    </row>
    <row r="4043" spans="9:10">
      <c r="I4043" t="str">
        <f>_xlfn.IFNA(VLOOKUP(B4043,T_DistName[],3,FALSE),"")</f>
        <v/>
      </c>
      <c r="J4043" t="str">
        <f t="shared" si="63"/>
        <v/>
      </c>
    </row>
    <row r="4044" spans="9:10">
      <c r="I4044" t="str">
        <f>_xlfn.IFNA(VLOOKUP(B4044,T_DistName[],3,FALSE),"")</f>
        <v/>
      </c>
      <c r="J4044" t="str">
        <f t="shared" si="63"/>
        <v/>
      </c>
    </row>
    <row r="4045" spans="9:10">
      <c r="I4045" t="str">
        <f>_xlfn.IFNA(VLOOKUP(B4045,T_DistName[],3,FALSE),"")</f>
        <v/>
      </c>
      <c r="J4045" t="str">
        <f t="shared" si="63"/>
        <v/>
      </c>
    </row>
    <row r="4046" spans="9:10">
      <c r="I4046" t="str">
        <f>_xlfn.IFNA(VLOOKUP(B4046,T_DistName[],3,FALSE),"")</f>
        <v/>
      </c>
      <c r="J4046" t="str">
        <f t="shared" si="63"/>
        <v/>
      </c>
    </row>
    <row r="4047" spans="9:10">
      <c r="I4047" t="str">
        <f>_xlfn.IFNA(VLOOKUP(B4047,T_DistName[],3,FALSE),"")</f>
        <v/>
      </c>
      <c r="J4047" t="str">
        <f t="shared" si="63"/>
        <v/>
      </c>
    </row>
    <row r="4048" spans="9:10">
      <c r="I4048" t="str">
        <f>_xlfn.IFNA(VLOOKUP(B4048,T_DistName[],3,FALSE),"")</f>
        <v/>
      </c>
      <c r="J4048" t="str">
        <f t="shared" si="63"/>
        <v/>
      </c>
    </row>
    <row r="4049" spans="9:10">
      <c r="I4049" t="str">
        <f>_xlfn.IFNA(VLOOKUP(B4049,T_DistName[],3,FALSE),"")</f>
        <v/>
      </c>
      <c r="J4049" t="str">
        <f t="shared" si="63"/>
        <v/>
      </c>
    </row>
    <row r="4050" spans="9:10">
      <c r="I4050" t="str">
        <f>_xlfn.IFNA(VLOOKUP(B4050,T_DistName[],3,FALSE),"")</f>
        <v/>
      </c>
      <c r="J4050" t="str">
        <f t="shared" si="63"/>
        <v/>
      </c>
    </row>
    <row r="4051" spans="9:10">
      <c r="I4051" t="str">
        <f>_xlfn.IFNA(VLOOKUP(B4051,T_DistName[],3,FALSE),"")</f>
        <v/>
      </c>
      <c r="J4051" t="str">
        <f t="shared" si="63"/>
        <v/>
      </c>
    </row>
    <row r="4052" spans="9:10">
      <c r="I4052" t="str">
        <f>_xlfn.IFNA(VLOOKUP(B4052,T_DistName[],3,FALSE),"")</f>
        <v/>
      </c>
      <c r="J4052" t="str">
        <f t="shared" si="63"/>
        <v/>
      </c>
    </row>
    <row r="4053" spans="9:10">
      <c r="I4053" t="str">
        <f>_xlfn.IFNA(VLOOKUP(B4053,T_DistName[],3,FALSE),"")</f>
        <v/>
      </c>
      <c r="J4053" t="str">
        <f t="shared" si="63"/>
        <v/>
      </c>
    </row>
    <row r="4054" spans="9:10">
      <c r="I4054" t="str">
        <f>_xlfn.IFNA(VLOOKUP(B4054,T_DistName[],3,FALSE),"")</f>
        <v/>
      </c>
      <c r="J4054" t="str">
        <f t="shared" si="63"/>
        <v/>
      </c>
    </row>
    <row r="4055" spans="9:10">
      <c r="I4055" t="str">
        <f>_xlfn.IFNA(VLOOKUP(B4055,T_DistName[],3,FALSE),"")</f>
        <v/>
      </c>
      <c r="J4055" t="str">
        <f t="shared" si="63"/>
        <v/>
      </c>
    </row>
    <row r="4056" spans="9:10">
      <c r="I4056" t="str">
        <f>_xlfn.IFNA(VLOOKUP(B4056,T_DistName[],3,FALSE),"")</f>
        <v/>
      </c>
      <c r="J4056" t="str">
        <f t="shared" si="63"/>
        <v/>
      </c>
    </row>
    <row r="4057" spans="9:10">
      <c r="I4057" t="str">
        <f>_xlfn.IFNA(VLOOKUP(B4057,T_DistName[],3,FALSE),"")</f>
        <v/>
      </c>
      <c r="J4057" t="str">
        <f t="shared" ref="J4057:J4120" si="64">I4057&amp;F4057</f>
        <v/>
      </c>
    </row>
    <row r="4058" spans="9:10">
      <c r="I4058" t="str">
        <f>_xlfn.IFNA(VLOOKUP(B4058,T_DistName[],3,FALSE),"")</f>
        <v/>
      </c>
      <c r="J4058" t="str">
        <f t="shared" si="64"/>
        <v/>
      </c>
    </row>
    <row r="4059" spans="9:10">
      <c r="I4059" t="str">
        <f>_xlfn.IFNA(VLOOKUP(B4059,T_DistName[],3,FALSE),"")</f>
        <v/>
      </c>
      <c r="J4059" t="str">
        <f t="shared" si="64"/>
        <v/>
      </c>
    </row>
    <row r="4060" spans="9:10">
      <c r="I4060" t="str">
        <f>_xlfn.IFNA(VLOOKUP(B4060,T_DistName[],3,FALSE),"")</f>
        <v/>
      </c>
      <c r="J4060" t="str">
        <f t="shared" si="64"/>
        <v/>
      </c>
    </row>
    <row r="4061" spans="9:10">
      <c r="I4061" t="str">
        <f>_xlfn.IFNA(VLOOKUP(B4061,T_DistName[],3,FALSE),"")</f>
        <v/>
      </c>
      <c r="J4061" t="str">
        <f t="shared" si="64"/>
        <v/>
      </c>
    </row>
    <row r="4062" spans="9:10">
      <c r="I4062" t="str">
        <f>_xlfn.IFNA(VLOOKUP(B4062,T_DistName[],3,FALSE),"")</f>
        <v/>
      </c>
      <c r="J4062" t="str">
        <f t="shared" si="64"/>
        <v/>
      </c>
    </row>
    <row r="4063" spans="9:10">
      <c r="I4063" t="str">
        <f>_xlfn.IFNA(VLOOKUP(B4063,T_DistName[],3,FALSE),"")</f>
        <v/>
      </c>
      <c r="J4063" t="str">
        <f t="shared" si="64"/>
        <v/>
      </c>
    </row>
    <row r="4064" spans="9:10">
      <c r="I4064" t="str">
        <f>_xlfn.IFNA(VLOOKUP(B4064,T_DistName[],3,FALSE),"")</f>
        <v/>
      </c>
      <c r="J4064" t="str">
        <f t="shared" si="64"/>
        <v/>
      </c>
    </row>
    <row r="4065" spans="9:10">
      <c r="I4065" t="str">
        <f>_xlfn.IFNA(VLOOKUP(B4065,T_DistName[],3,FALSE),"")</f>
        <v/>
      </c>
      <c r="J4065" t="str">
        <f t="shared" si="64"/>
        <v/>
      </c>
    </row>
    <row r="4066" spans="9:10">
      <c r="I4066" t="str">
        <f>_xlfn.IFNA(VLOOKUP(B4066,T_DistName[],3,FALSE),"")</f>
        <v/>
      </c>
      <c r="J4066" t="str">
        <f t="shared" si="64"/>
        <v/>
      </c>
    </row>
    <row r="4067" spans="9:10">
      <c r="I4067" t="str">
        <f>_xlfn.IFNA(VLOOKUP(B4067,T_DistName[],3,FALSE),"")</f>
        <v/>
      </c>
      <c r="J4067" t="str">
        <f t="shared" si="64"/>
        <v/>
      </c>
    </row>
    <row r="4068" spans="9:10">
      <c r="I4068" t="str">
        <f>_xlfn.IFNA(VLOOKUP(B4068,T_DistName[],3,FALSE),"")</f>
        <v/>
      </c>
      <c r="J4068" t="str">
        <f t="shared" si="64"/>
        <v/>
      </c>
    </row>
    <row r="4069" spans="9:10">
      <c r="I4069" t="str">
        <f>_xlfn.IFNA(VLOOKUP(B4069,T_DistName[],3,FALSE),"")</f>
        <v/>
      </c>
      <c r="J4069" t="str">
        <f t="shared" si="64"/>
        <v/>
      </c>
    </row>
    <row r="4070" spans="9:10">
      <c r="I4070" t="str">
        <f>_xlfn.IFNA(VLOOKUP(B4070,T_DistName[],3,FALSE),"")</f>
        <v/>
      </c>
      <c r="J4070" t="str">
        <f t="shared" si="64"/>
        <v/>
      </c>
    </row>
    <row r="4071" spans="9:10">
      <c r="I4071" t="str">
        <f>_xlfn.IFNA(VLOOKUP(B4071,T_DistName[],3,FALSE),"")</f>
        <v/>
      </c>
      <c r="J4071" t="str">
        <f t="shared" si="64"/>
        <v/>
      </c>
    </row>
    <row r="4072" spans="9:10">
      <c r="I4072" t="str">
        <f>_xlfn.IFNA(VLOOKUP(B4072,T_DistName[],3,FALSE),"")</f>
        <v/>
      </c>
      <c r="J4072" t="str">
        <f t="shared" si="64"/>
        <v/>
      </c>
    </row>
    <row r="4073" spans="9:10">
      <c r="I4073" t="str">
        <f>_xlfn.IFNA(VLOOKUP(B4073,T_DistName[],3,FALSE),"")</f>
        <v/>
      </c>
      <c r="J4073" t="str">
        <f t="shared" si="64"/>
        <v/>
      </c>
    </row>
    <row r="4074" spans="9:10">
      <c r="I4074" t="str">
        <f>_xlfn.IFNA(VLOOKUP(B4074,T_DistName[],3,FALSE),"")</f>
        <v/>
      </c>
      <c r="J4074" t="str">
        <f t="shared" si="64"/>
        <v/>
      </c>
    </row>
    <row r="4075" spans="9:10">
      <c r="I4075" t="str">
        <f>_xlfn.IFNA(VLOOKUP(B4075,T_DistName[],3,FALSE),"")</f>
        <v/>
      </c>
      <c r="J4075" t="str">
        <f t="shared" si="64"/>
        <v/>
      </c>
    </row>
    <row r="4076" spans="9:10">
      <c r="I4076" t="str">
        <f>_xlfn.IFNA(VLOOKUP(B4076,T_DistName[],3,FALSE),"")</f>
        <v/>
      </c>
      <c r="J4076" t="str">
        <f t="shared" si="64"/>
        <v/>
      </c>
    </row>
    <row r="4077" spans="9:10">
      <c r="I4077" t="str">
        <f>_xlfn.IFNA(VLOOKUP(B4077,T_DistName[],3,FALSE),"")</f>
        <v/>
      </c>
      <c r="J4077" t="str">
        <f t="shared" si="64"/>
        <v/>
      </c>
    </row>
    <row r="4078" spans="9:10">
      <c r="I4078" t="str">
        <f>_xlfn.IFNA(VLOOKUP(B4078,T_DistName[],3,FALSE),"")</f>
        <v/>
      </c>
      <c r="J4078" t="str">
        <f t="shared" si="64"/>
        <v/>
      </c>
    </row>
    <row r="4079" spans="9:10">
      <c r="I4079" t="str">
        <f>_xlfn.IFNA(VLOOKUP(B4079,T_DistName[],3,FALSE),"")</f>
        <v/>
      </c>
      <c r="J4079" t="str">
        <f t="shared" si="64"/>
        <v/>
      </c>
    </row>
    <row r="4080" spans="9:10">
      <c r="I4080" t="str">
        <f>_xlfn.IFNA(VLOOKUP(B4080,T_DistName[],3,FALSE),"")</f>
        <v/>
      </c>
      <c r="J4080" t="str">
        <f t="shared" si="64"/>
        <v/>
      </c>
    </row>
    <row r="4081" spans="9:10">
      <c r="I4081" t="str">
        <f>_xlfn.IFNA(VLOOKUP(B4081,T_DistName[],3,FALSE),"")</f>
        <v/>
      </c>
      <c r="J4081" t="str">
        <f t="shared" si="64"/>
        <v/>
      </c>
    </row>
    <row r="4082" spans="9:10">
      <c r="I4082" t="str">
        <f>_xlfn.IFNA(VLOOKUP(B4082,T_DistName[],3,FALSE),"")</f>
        <v/>
      </c>
      <c r="J4082" t="str">
        <f t="shared" si="64"/>
        <v/>
      </c>
    </row>
    <row r="4083" spans="9:10">
      <c r="I4083" t="str">
        <f>_xlfn.IFNA(VLOOKUP(B4083,T_DistName[],3,FALSE),"")</f>
        <v/>
      </c>
      <c r="J4083" t="str">
        <f t="shared" si="64"/>
        <v/>
      </c>
    </row>
    <row r="4084" spans="9:10">
      <c r="I4084" t="str">
        <f>_xlfn.IFNA(VLOOKUP(B4084,T_DistName[],3,FALSE),"")</f>
        <v/>
      </c>
      <c r="J4084" t="str">
        <f t="shared" si="64"/>
        <v/>
      </c>
    </row>
    <row r="4085" spans="9:10">
      <c r="I4085" t="str">
        <f>_xlfn.IFNA(VLOOKUP(B4085,T_DistName[],3,FALSE),"")</f>
        <v/>
      </c>
      <c r="J4085" t="str">
        <f t="shared" si="64"/>
        <v/>
      </c>
    </row>
    <row r="4086" spans="9:10">
      <c r="I4086" t="str">
        <f>_xlfn.IFNA(VLOOKUP(B4086,T_DistName[],3,FALSE),"")</f>
        <v/>
      </c>
      <c r="J4086" t="str">
        <f t="shared" si="64"/>
        <v/>
      </c>
    </row>
    <row r="4087" spans="9:10">
      <c r="I4087" t="str">
        <f>_xlfn.IFNA(VLOOKUP(B4087,T_DistName[],3,FALSE),"")</f>
        <v/>
      </c>
      <c r="J4087" t="str">
        <f t="shared" si="64"/>
        <v/>
      </c>
    </row>
    <row r="4088" spans="9:10">
      <c r="I4088" t="str">
        <f>_xlfn.IFNA(VLOOKUP(B4088,T_DistName[],3,FALSE),"")</f>
        <v/>
      </c>
      <c r="J4088" t="str">
        <f t="shared" si="64"/>
        <v/>
      </c>
    </row>
    <row r="4089" spans="9:10">
      <c r="I4089" t="str">
        <f>_xlfn.IFNA(VLOOKUP(B4089,T_DistName[],3,FALSE),"")</f>
        <v/>
      </c>
      <c r="J4089" t="str">
        <f t="shared" si="64"/>
        <v/>
      </c>
    </row>
    <row r="4090" spans="9:10">
      <c r="I4090" t="str">
        <f>_xlfn.IFNA(VLOOKUP(B4090,T_DistName[],3,FALSE),"")</f>
        <v/>
      </c>
      <c r="J4090" t="str">
        <f t="shared" si="64"/>
        <v/>
      </c>
    </row>
    <row r="4091" spans="9:10">
      <c r="I4091" t="str">
        <f>_xlfn.IFNA(VLOOKUP(B4091,T_DistName[],3,FALSE),"")</f>
        <v/>
      </c>
      <c r="J4091" t="str">
        <f t="shared" si="64"/>
        <v/>
      </c>
    </row>
    <row r="4092" spans="9:10">
      <c r="I4092" t="str">
        <f>_xlfn.IFNA(VLOOKUP(B4092,T_DistName[],3,FALSE),"")</f>
        <v/>
      </c>
      <c r="J4092" t="str">
        <f t="shared" si="64"/>
        <v/>
      </c>
    </row>
    <row r="4093" spans="9:10">
      <c r="I4093" t="str">
        <f>_xlfn.IFNA(VLOOKUP(B4093,T_DistName[],3,FALSE),"")</f>
        <v/>
      </c>
      <c r="J4093" t="str">
        <f t="shared" si="64"/>
        <v/>
      </c>
    </row>
    <row r="4094" spans="9:10">
      <c r="I4094" t="str">
        <f>_xlfn.IFNA(VLOOKUP(B4094,T_DistName[],3,FALSE),"")</f>
        <v/>
      </c>
      <c r="J4094" t="str">
        <f t="shared" si="64"/>
        <v/>
      </c>
    </row>
    <row r="4095" spans="9:10">
      <c r="I4095" t="str">
        <f>_xlfn.IFNA(VLOOKUP(B4095,T_DistName[],3,FALSE),"")</f>
        <v/>
      </c>
      <c r="J4095" t="str">
        <f t="shared" si="64"/>
        <v/>
      </c>
    </row>
    <row r="4096" spans="9:10">
      <c r="I4096" t="str">
        <f>_xlfn.IFNA(VLOOKUP(B4096,T_DistName[],3,FALSE),"")</f>
        <v/>
      </c>
      <c r="J4096" t="str">
        <f t="shared" si="64"/>
        <v/>
      </c>
    </row>
    <row r="4097" spans="9:10">
      <c r="I4097" t="str">
        <f>_xlfn.IFNA(VLOOKUP(B4097,T_DistName[],3,FALSE),"")</f>
        <v/>
      </c>
      <c r="J4097" t="str">
        <f t="shared" si="64"/>
        <v/>
      </c>
    </row>
    <row r="4098" spans="9:10">
      <c r="I4098" t="str">
        <f>_xlfn.IFNA(VLOOKUP(B4098,T_DistName[],3,FALSE),"")</f>
        <v/>
      </c>
      <c r="J4098" t="str">
        <f t="shared" si="64"/>
        <v/>
      </c>
    </row>
    <row r="4099" spans="9:10">
      <c r="I4099" t="str">
        <f>_xlfn.IFNA(VLOOKUP(B4099,T_DistName[],3,FALSE),"")</f>
        <v/>
      </c>
      <c r="J4099" t="str">
        <f t="shared" si="64"/>
        <v/>
      </c>
    </row>
    <row r="4100" spans="9:10">
      <c r="I4100" t="str">
        <f>_xlfn.IFNA(VLOOKUP(B4100,T_DistName[],3,FALSE),"")</f>
        <v/>
      </c>
      <c r="J4100" t="str">
        <f t="shared" si="64"/>
        <v/>
      </c>
    </row>
    <row r="4101" spans="9:10">
      <c r="I4101" t="str">
        <f>_xlfn.IFNA(VLOOKUP(B4101,T_DistName[],3,FALSE),"")</f>
        <v/>
      </c>
      <c r="J4101" t="str">
        <f t="shared" si="64"/>
        <v/>
      </c>
    </row>
    <row r="4102" spans="9:10">
      <c r="I4102" t="str">
        <f>_xlfn.IFNA(VLOOKUP(B4102,T_DistName[],3,FALSE),"")</f>
        <v/>
      </c>
      <c r="J4102" t="str">
        <f t="shared" si="64"/>
        <v/>
      </c>
    </row>
    <row r="4103" spans="9:10">
      <c r="I4103" t="str">
        <f>_xlfn.IFNA(VLOOKUP(B4103,T_DistName[],3,FALSE),"")</f>
        <v/>
      </c>
      <c r="J4103" t="str">
        <f t="shared" si="64"/>
        <v/>
      </c>
    </row>
    <row r="4104" spans="9:10">
      <c r="I4104" t="str">
        <f>_xlfn.IFNA(VLOOKUP(B4104,T_DistName[],3,FALSE),"")</f>
        <v/>
      </c>
      <c r="J4104" t="str">
        <f t="shared" si="64"/>
        <v/>
      </c>
    </row>
    <row r="4105" spans="9:10">
      <c r="I4105" t="str">
        <f>_xlfn.IFNA(VLOOKUP(B4105,T_DistName[],3,FALSE),"")</f>
        <v/>
      </c>
      <c r="J4105" t="str">
        <f t="shared" si="64"/>
        <v/>
      </c>
    </row>
    <row r="4106" spans="9:10">
      <c r="I4106" t="str">
        <f>_xlfn.IFNA(VLOOKUP(B4106,T_DistName[],3,FALSE),"")</f>
        <v/>
      </c>
      <c r="J4106" t="str">
        <f t="shared" si="64"/>
        <v/>
      </c>
    </row>
    <row r="4107" spans="9:10">
      <c r="I4107" t="str">
        <f>_xlfn.IFNA(VLOOKUP(B4107,T_DistName[],3,FALSE),"")</f>
        <v/>
      </c>
      <c r="J4107" t="str">
        <f t="shared" si="64"/>
        <v/>
      </c>
    </row>
    <row r="4108" spans="9:10">
      <c r="I4108" t="str">
        <f>_xlfn.IFNA(VLOOKUP(B4108,T_DistName[],3,FALSE),"")</f>
        <v/>
      </c>
      <c r="J4108" t="str">
        <f t="shared" si="64"/>
        <v/>
      </c>
    </row>
    <row r="4109" spans="9:10">
      <c r="I4109" t="str">
        <f>_xlfn.IFNA(VLOOKUP(B4109,T_DistName[],3,FALSE),"")</f>
        <v/>
      </c>
      <c r="J4109" t="str">
        <f t="shared" si="64"/>
        <v/>
      </c>
    </row>
    <row r="4110" spans="9:10">
      <c r="I4110" t="str">
        <f>_xlfn.IFNA(VLOOKUP(B4110,T_DistName[],3,FALSE),"")</f>
        <v/>
      </c>
      <c r="J4110" t="str">
        <f t="shared" si="64"/>
        <v/>
      </c>
    </row>
    <row r="4111" spans="9:10">
      <c r="I4111" t="str">
        <f>_xlfn.IFNA(VLOOKUP(B4111,T_DistName[],3,FALSE),"")</f>
        <v/>
      </c>
      <c r="J4111" t="str">
        <f t="shared" si="64"/>
        <v/>
      </c>
    </row>
    <row r="4112" spans="9:10">
      <c r="I4112" t="str">
        <f>_xlfn.IFNA(VLOOKUP(B4112,T_DistName[],3,FALSE),"")</f>
        <v/>
      </c>
      <c r="J4112" t="str">
        <f t="shared" si="64"/>
        <v/>
      </c>
    </row>
    <row r="4113" spans="9:10">
      <c r="I4113" t="str">
        <f>_xlfn.IFNA(VLOOKUP(B4113,T_DistName[],3,FALSE),"")</f>
        <v/>
      </c>
      <c r="J4113" t="str">
        <f t="shared" si="64"/>
        <v/>
      </c>
    </row>
    <row r="4114" spans="9:10">
      <c r="I4114" t="str">
        <f>_xlfn.IFNA(VLOOKUP(B4114,T_DistName[],3,FALSE),"")</f>
        <v/>
      </c>
      <c r="J4114" t="str">
        <f t="shared" si="64"/>
        <v/>
      </c>
    </row>
    <row r="4115" spans="9:10">
      <c r="I4115" t="str">
        <f>_xlfn.IFNA(VLOOKUP(B4115,T_DistName[],3,FALSE),"")</f>
        <v/>
      </c>
      <c r="J4115" t="str">
        <f t="shared" si="64"/>
        <v/>
      </c>
    </row>
    <row r="4116" spans="9:10">
      <c r="I4116" t="str">
        <f>_xlfn.IFNA(VLOOKUP(B4116,T_DistName[],3,FALSE),"")</f>
        <v/>
      </c>
      <c r="J4116" t="str">
        <f t="shared" si="64"/>
        <v/>
      </c>
    </row>
    <row r="4117" spans="9:10">
      <c r="I4117" t="str">
        <f>_xlfn.IFNA(VLOOKUP(B4117,T_DistName[],3,FALSE),"")</f>
        <v/>
      </c>
      <c r="J4117" t="str">
        <f t="shared" si="64"/>
        <v/>
      </c>
    </row>
    <row r="4118" spans="9:10">
      <c r="I4118" t="str">
        <f>_xlfn.IFNA(VLOOKUP(B4118,T_DistName[],3,FALSE),"")</f>
        <v/>
      </c>
      <c r="J4118" t="str">
        <f t="shared" si="64"/>
        <v/>
      </c>
    </row>
    <row r="4119" spans="9:10">
      <c r="I4119" t="str">
        <f>_xlfn.IFNA(VLOOKUP(B4119,T_DistName[],3,FALSE),"")</f>
        <v/>
      </c>
      <c r="J4119" t="str">
        <f t="shared" si="64"/>
        <v/>
      </c>
    </row>
    <row r="4120" spans="9:10">
      <c r="I4120" t="str">
        <f>_xlfn.IFNA(VLOOKUP(B4120,T_DistName[],3,FALSE),"")</f>
        <v/>
      </c>
      <c r="J4120" t="str">
        <f t="shared" si="64"/>
        <v/>
      </c>
    </row>
    <row r="4121" spans="9:10">
      <c r="I4121" t="str">
        <f>_xlfn.IFNA(VLOOKUP(B4121,T_DistName[],3,FALSE),"")</f>
        <v/>
      </c>
      <c r="J4121" t="str">
        <f t="shared" ref="J4121:J4184" si="65">I4121&amp;F4121</f>
        <v/>
      </c>
    </row>
    <row r="4122" spans="9:10">
      <c r="I4122" t="str">
        <f>_xlfn.IFNA(VLOOKUP(B4122,T_DistName[],3,FALSE),"")</f>
        <v/>
      </c>
      <c r="J4122" t="str">
        <f t="shared" si="65"/>
        <v/>
      </c>
    </row>
    <row r="4123" spans="9:10">
      <c r="I4123" t="str">
        <f>_xlfn.IFNA(VLOOKUP(B4123,T_DistName[],3,FALSE),"")</f>
        <v/>
      </c>
      <c r="J4123" t="str">
        <f t="shared" si="65"/>
        <v/>
      </c>
    </row>
    <row r="4124" spans="9:10">
      <c r="I4124" t="str">
        <f>_xlfn.IFNA(VLOOKUP(B4124,T_DistName[],3,FALSE),"")</f>
        <v/>
      </c>
      <c r="J4124" t="str">
        <f t="shared" si="65"/>
        <v/>
      </c>
    </row>
    <row r="4125" spans="9:10">
      <c r="I4125" t="str">
        <f>_xlfn.IFNA(VLOOKUP(B4125,T_DistName[],3,FALSE),"")</f>
        <v/>
      </c>
      <c r="J4125" t="str">
        <f t="shared" si="65"/>
        <v/>
      </c>
    </row>
    <row r="4126" spans="9:10">
      <c r="I4126" t="str">
        <f>_xlfn.IFNA(VLOOKUP(B4126,T_DistName[],3,FALSE),"")</f>
        <v/>
      </c>
      <c r="J4126" t="str">
        <f t="shared" si="65"/>
        <v/>
      </c>
    </row>
    <row r="4127" spans="9:10">
      <c r="I4127" t="str">
        <f>_xlfn.IFNA(VLOOKUP(B4127,T_DistName[],3,FALSE),"")</f>
        <v/>
      </c>
      <c r="J4127" t="str">
        <f t="shared" si="65"/>
        <v/>
      </c>
    </row>
    <row r="4128" spans="9:10">
      <c r="I4128" t="str">
        <f>_xlfn.IFNA(VLOOKUP(B4128,T_DistName[],3,FALSE),"")</f>
        <v/>
      </c>
      <c r="J4128" t="str">
        <f t="shared" si="65"/>
        <v/>
      </c>
    </row>
    <row r="4129" spans="9:10">
      <c r="I4129" t="str">
        <f>_xlfn.IFNA(VLOOKUP(B4129,T_DistName[],3,FALSE),"")</f>
        <v/>
      </c>
      <c r="J4129" t="str">
        <f t="shared" si="65"/>
        <v/>
      </c>
    </row>
    <row r="4130" spans="9:10">
      <c r="I4130" t="str">
        <f>_xlfn.IFNA(VLOOKUP(B4130,T_DistName[],3,FALSE),"")</f>
        <v/>
      </c>
      <c r="J4130" t="str">
        <f t="shared" si="65"/>
        <v/>
      </c>
    </row>
    <row r="4131" spans="9:10">
      <c r="I4131" t="str">
        <f>_xlfn.IFNA(VLOOKUP(B4131,T_DistName[],3,FALSE),"")</f>
        <v/>
      </c>
      <c r="J4131" t="str">
        <f t="shared" si="65"/>
        <v/>
      </c>
    </row>
    <row r="4132" spans="9:10">
      <c r="I4132" t="str">
        <f>_xlfn.IFNA(VLOOKUP(B4132,T_DistName[],3,FALSE),"")</f>
        <v/>
      </c>
      <c r="J4132" t="str">
        <f t="shared" si="65"/>
        <v/>
      </c>
    </row>
    <row r="4133" spans="9:10">
      <c r="I4133" t="str">
        <f>_xlfn.IFNA(VLOOKUP(B4133,T_DistName[],3,FALSE),"")</f>
        <v/>
      </c>
      <c r="J4133" t="str">
        <f t="shared" si="65"/>
        <v/>
      </c>
    </row>
    <row r="4134" spans="9:10">
      <c r="I4134" t="str">
        <f>_xlfn.IFNA(VLOOKUP(B4134,T_DistName[],3,FALSE),"")</f>
        <v/>
      </c>
      <c r="J4134" t="str">
        <f t="shared" si="65"/>
        <v/>
      </c>
    </row>
    <row r="4135" spans="9:10">
      <c r="I4135" t="str">
        <f>_xlfn.IFNA(VLOOKUP(B4135,T_DistName[],3,FALSE),"")</f>
        <v/>
      </c>
      <c r="J4135" t="str">
        <f t="shared" si="65"/>
        <v/>
      </c>
    </row>
    <row r="4136" spans="9:10">
      <c r="I4136" t="str">
        <f>_xlfn.IFNA(VLOOKUP(B4136,T_DistName[],3,FALSE),"")</f>
        <v/>
      </c>
      <c r="J4136" t="str">
        <f t="shared" si="65"/>
        <v/>
      </c>
    </row>
    <row r="4137" spans="9:10">
      <c r="I4137" t="str">
        <f>_xlfn.IFNA(VLOOKUP(B4137,T_DistName[],3,FALSE),"")</f>
        <v/>
      </c>
      <c r="J4137" t="str">
        <f t="shared" si="65"/>
        <v/>
      </c>
    </row>
    <row r="4138" spans="9:10">
      <c r="I4138" t="str">
        <f>_xlfn.IFNA(VLOOKUP(B4138,T_DistName[],3,FALSE),"")</f>
        <v/>
      </c>
      <c r="J4138" t="str">
        <f t="shared" si="65"/>
        <v/>
      </c>
    </row>
    <row r="4139" spans="9:10">
      <c r="I4139" t="str">
        <f>_xlfn.IFNA(VLOOKUP(B4139,T_DistName[],3,FALSE),"")</f>
        <v/>
      </c>
      <c r="J4139" t="str">
        <f t="shared" si="65"/>
        <v/>
      </c>
    </row>
    <row r="4140" spans="9:10">
      <c r="I4140" t="str">
        <f>_xlfn.IFNA(VLOOKUP(B4140,T_DistName[],3,FALSE),"")</f>
        <v/>
      </c>
      <c r="J4140" t="str">
        <f t="shared" si="65"/>
        <v/>
      </c>
    </row>
    <row r="4141" spans="9:10">
      <c r="I4141" t="str">
        <f>_xlfn.IFNA(VLOOKUP(B4141,T_DistName[],3,FALSE),"")</f>
        <v/>
      </c>
      <c r="J4141" t="str">
        <f t="shared" si="65"/>
        <v/>
      </c>
    </row>
    <row r="4142" spans="9:10">
      <c r="I4142" t="str">
        <f>_xlfn.IFNA(VLOOKUP(B4142,T_DistName[],3,FALSE),"")</f>
        <v/>
      </c>
      <c r="J4142" t="str">
        <f t="shared" si="65"/>
        <v/>
      </c>
    </row>
    <row r="4143" spans="9:10">
      <c r="I4143" t="str">
        <f>_xlfn.IFNA(VLOOKUP(B4143,T_DistName[],3,FALSE),"")</f>
        <v/>
      </c>
      <c r="J4143" t="str">
        <f t="shared" si="65"/>
        <v/>
      </c>
    </row>
    <row r="4144" spans="9:10">
      <c r="I4144" t="str">
        <f>_xlfn.IFNA(VLOOKUP(B4144,T_DistName[],3,FALSE),"")</f>
        <v/>
      </c>
      <c r="J4144" t="str">
        <f t="shared" si="65"/>
        <v/>
      </c>
    </row>
    <row r="4145" spans="9:10">
      <c r="I4145" t="str">
        <f>_xlfn.IFNA(VLOOKUP(B4145,T_DistName[],3,FALSE),"")</f>
        <v/>
      </c>
      <c r="J4145" t="str">
        <f t="shared" si="65"/>
        <v/>
      </c>
    </row>
    <row r="4146" spans="9:10">
      <c r="I4146" t="str">
        <f>_xlfn.IFNA(VLOOKUP(B4146,T_DistName[],3,FALSE),"")</f>
        <v/>
      </c>
      <c r="J4146" t="str">
        <f t="shared" si="65"/>
        <v/>
      </c>
    </row>
    <row r="4147" spans="9:10">
      <c r="I4147" t="str">
        <f>_xlfn.IFNA(VLOOKUP(B4147,T_DistName[],3,FALSE),"")</f>
        <v/>
      </c>
      <c r="J4147" t="str">
        <f t="shared" si="65"/>
        <v/>
      </c>
    </row>
    <row r="4148" spans="9:10">
      <c r="I4148" t="str">
        <f>_xlfn.IFNA(VLOOKUP(B4148,T_DistName[],3,FALSE),"")</f>
        <v/>
      </c>
      <c r="J4148" t="str">
        <f t="shared" si="65"/>
        <v/>
      </c>
    </row>
    <row r="4149" spans="9:10">
      <c r="I4149" t="str">
        <f>_xlfn.IFNA(VLOOKUP(B4149,T_DistName[],3,FALSE),"")</f>
        <v/>
      </c>
      <c r="J4149" t="str">
        <f t="shared" si="65"/>
        <v/>
      </c>
    </row>
    <row r="4150" spans="9:10">
      <c r="I4150" t="str">
        <f>_xlfn.IFNA(VLOOKUP(B4150,T_DistName[],3,FALSE),"")</f>
        <v/>
      </c>
      <c r="J4150" t="str">
        <f t="shared" si="65"/>
        <v/>
      </c>
    </row>
    <row r="4151" spans="9:10">
      <c r="I4151" t="str">
        <f>_xlfn.IFNA(VLOOKUP(B4151,T_DistName[],3,FALSE),"")</f>
        <v/>
      </c>
      <c r="J4151" t="str">
        <f t="shared" si="65"/>
        <v/>
      </c>
    </row>
    <row r="4152" spans="9:10">
      <c r="I4152" t="str">
        <f>_xlfn.IFNA(VLOOKUP(B4152,T_DistName[],3,FALSE),"")</f>
        <v/>
      </c>
      <c r="J4152" t="str">
        <f t="shared" si="65"/>
        <v/>
      </c>
    </row>
    <row r="4153" spans="9:10">
      <c r="I4153" t="str">
        <f>_xlfn.IFNA(VLOOKUP(B4153,T_DistName[],3,FALSE),"")</f>
        <v/>
      </c>
      <c r="J4153" t="str">
        <f t="shared" si="65"/>
        <v/>
      </c>
    </row>
    <row r="4154" spans="9:10">
      <c r="I4154" t="str">
        <f>_xlfn.IFNA(VLOOKUP(B4154,T_DistName[],3,FALSE),"")</f>
        <v/>
      </c>
      <c r="J4154" t="str">
        <f t="shared" si="65"/>
        <v/>
      </c>
    </row>
    <row r="4155" spans="9:10">
      <c r="I4155" t="str">
        <f>_xlfn.IFNA(VLOOKUP(B4155,T_DistName[],3,FALSE),"")</f>
        <v/>
      </c>
      <c r="J4155" t="str">
        <f t="shared" si="65"/>
        <v/>
      </c>
    </row>
    <row r="4156" spans="9:10">
      <c r="I4156" t="str">
        <f>_xlfn.IFNA(VLOOKUP(B4156,T_DistName[],3,FALSE),"")</f>
        <v/>
      </c>
      <c r="J4156" t="str">
        <f t="shared" si="65"/>
        <v/>
      </c>
    </row>
    <row r="4157" spans="9:10">
      <c r="I4157" t="str">
        <f>_xlfn.IFNA(VLOOKUP(B4157,T_DistName[],3,FALSE),"")</f>
        <v/>
      </c>
      <c r="J4157" t="str">
        <f t="shared" si="65"/>
        <v/>
      </c>
    </row>
    <row r="4158" spans="9:10">
      <c r="I4158" t="str">
        <f>_xlfn.IFNA(VLOOKUP(B4158,T_DistName[],3,FALSE),"")</f>
        <v/>
      </c>
      <c r="J4158" t="str">
        <f t="shared" si="65"/>
        <v/>
      </c>
    </row>
    <row r="4159" spans="9:10">
      <c r="I4159" t="str">
        <f>_xlfn.IFNA(VLOOKUP(B4159,T_DistName[],3,FALSE),"")</f>
        <v/>
      </c>
      <c r="J4159" t="str">
        <f t="shared" si="65"/>
        <v/>
      </c>
    </row>
    <row r="4160" spans="9:10">
      <c r="I4160" t="str">
        <f>_xlfn.IFNA(VLOOKUP(B4160,T_DistName[],3,FALSE),"")</f>
        <v/>
      </c>
      <c r="J4160" t="str">
        <f t="shared" si="65"/>
        <v/>
      </c>
    </row>
    <row r="4161" spans="9:10">
      <c r="I4161" t="str">
        <f>_xlfn.IFNA(VLOOKUP(B4161,T_DistName[],3,FALSE),"")</f>
        <v/>
      </c>
      <c r="J4161" t="str">
        <f t="shared" si="65"/>
        <v/>
      </c>
    </row>
    <row r="4162" spans="9:10">
      <c r="I4162" t="str">
        <f>_xlfn.IFNA(VLOOKUP(B4162,T_DistName[],3,FALSE),"")</f>
        <v/>
      </c>
      <c r="J4162" t="str">
        <f t="shared" si="65"/>
        <v/>
      </c>
    </row>
    <row r="4163" spans="9:10">
      <c r="I4163" t="str">
        <f>_xlfn.IFNA(VLOOKUP(B4163,T_DistName[],3,FALSE),"")</f>
        <v/>
      </c>
      <c r="J4163" t="str">
        <f t="shared" si="65"/>
        <v/>
      </c>
    </row>
    <row r="4164" spans="9:10">
      <c r="I4164" t="str">
        <f>_xlfn.IFNA(VLOOKUP(B4164,T_DistName[],3,FALSE),"")</f>
        <v/>
      </c>
      <c r="J4164" t="str">
        <f t="shared" si="65"/>
        <v/>
      </c>
    </row>
    <row r="4165" spans="9:10">
      <c r="I4165" t="str">
        <f>_xlfn.IFNA(VLOOKUP(B4165,T_DistName[],3,FALSE),"")</f>
        <v/>
      </c>
      <c r="J4165" t="str">
        <f t="shared" si="65"/>
        <v/>
      </c>
    </row>
    <row r="4166" spans="9:10">
      <c r="I4166" t="str">
        <f>_xlfn.IFNA(VLOOKUP(B4166,T_DistName[],3,FALSE),"")</f>
        <v/>
      </c>
      <c r="J4166" t="str">
        <f t="shared" si="65"/>
        <v/>
      </c>
    </row>
    <row r="4167" spans="9:10">
      <c r="I4167" t="str">
        <f>_xlfn.IFNA(VLOOKUP(B4167,T_DistName[],3,FALSE),"")</f>
        <v/>
      </c>
      <c r="J4167" t="str">
        <f t="shared" si="65"/>
        <v/>
      </c>
    </row>
    <row r="4168" spans="9:10">
      <c r="I4168" t="str">
        <f>_xlfn.IFNA(VLOOKUP(B4168,T_DistName[],3,FALSE),"")</f>
        <v/>
      </c>
      <c r="J4168" t="str">
        <f t="shared" si="65"/>
        <v/>
      </c>
    </row>
    <row r="4169" spans="9:10">
      <c r="I4169" t="str">
        <f>_xlfn.IFNA(VLOOKUP(B4169,T_DistName[],3,FALSE),"")</f>
        <v/>
      </c>
      <c r="J4169" t="str">
        <f t="shared" si="65"/>
        <v/>
      </c>
    </row>
    <row r="4170" spans="9:10">
      <c r="I4170" t="str">
        <f>_xlfn.IFNA(VLOOKUP(B4170,T_DistName[],3,FALSE),"")</f>
        <v/>
      </c>
      <c r="J4170" t="str">
        <f t="shared" si="65"/>
        <v/>
      </c>
    </row>
    <row r="4171" spans="9:10">
      <c r="I4171" t="str">
        <f>_xlfn.IFNA(VLOOKUP(B4171,T_DistName[],3,FALSE),"")</f>
        <v/>
      </c>
      <c r="J4171" t="str">
        <f t="shared" si="65"/>
        <v/>
      </c>
    </row>
    <row r="4172" spans="9:10">
      <c r="I4172" t="str">
        <f>_xlfn.IFNA(VLOOKUP(B4172,T_DistName[],3,FALSE),"")</f>
        <v/>
      </c>
      <c r="J4172" t="str">
        <f t="shared" si="65"/>
        <v/>
      </c>
    </row>
    <row r="4173" spans="9:10">
      <c r="I4173" t="str">
        <f>_xlfn.IFNA(VLOOKUP(B4173,T_DistName[],3,FALSE),"")</f>
        <v/>
      </c>
      <c r="J4173" t="str">
        <f t="shared" si="65"/>
        <v/>
      </c>
    </row>
    <row r="4174" spans="9:10">
      <c r="I4174" t="str">
        <f>_xlfn.IFNA(VLOOKUP(B4174,T_DistName[],3,FALSE),"")</f>
        <v/>
      </c>
      <c r="J4174" t="str">
        <f t="shared" si="65"/>
        <v/>
      </c>
    </row>
    <row r="4175" spans="9:10">
      <c r="I4175" t="str">
        <f>_xlfn.IFNA(VLOOKUP(B4175,T_DistName[],3,FALSE),"")</f>
        <v/>
      </c>
      <c r="J4175" t="str">
        <f t="shared" si="65"/>
        <v/>
      </c>
    </row>
    <row r="4176" spans="9:10">
      <c r="I4176" t="str">
        <f>_xlfn.IFNA(VLOOKUP(B4176,T_DistName[],3,FALSE),"")</f>
        <v/>
      </c>
      <c r="J4176" t="str">
        <f t="shared" si="65"/>
        <v/>
      </c>
    </row>
    <row r="4177" spans="9:10">
      <c r="I4177" t="str">
        <f>_xlfn.IFNA(VLOOKUP(B4177,T_DistName[],3,FALSE),"")</f>
        <v/>
      </c>
      <c r="J4177" t="str">
        <f t="shared" si="65"/>
        <v/>
      </c>
    </row>
    <row r="4178" spans="9:10">
      <c r="I4178" t="str">
        <f>_xlfn.IFNA(VLOOKUP(B4178,T_DistName[],3,FALSE),"")</f>
        <v/>
      </c>
      <c r="J4178" t="str">
        <f t="shared" si="65"/>
        <v/>
      </c>
    </row>
    <row r="4179" spans="9:10">
      <c r="I4179" t="str">
        <f>_xlfn.IFNA(VLOOKUP(B4179,T_DistName[],3,FALSE),"")</f>
        <v/>
      </c>
      <c r="J4179" t="str">
        <f t="shared" si="65"/>
        <v/>
      </c>
    </row>
    <row r="4180" spans="9:10">
      <c r="I4180" t="str">
        <f>_xlfn.IFNA(VLOOKUP(B4180,T_DistName[],3,FALSE),"")</f>
        <v/>
      </c>
      <c r="J4180" t="str">
        <f t="shared" si="65"/>
        <v/>
      </c>
    </row>
    <row r="4181" spans="9:10">
      <c r="I4181" t="str">
        <f>_xlfn.IFNA(VLOOKUP(B4181,T_DistName[],3,FALSE),"")</f>
        <v/>
      </c>
      <c r="J4181" t="str">
        <f t="shared" si="65"/>
        <v/>
      </c>
    </row>
    <row r="4182" spans="9:10">
      <c r="I4182" t="str">
        <f>_xlfn.IFNA(VLOOKUP(B4182,T_DistName[],3,FALSE),"")</f>
        <v/>
      </c>
      <c r="J4182" t="str">
        <f t="shared" si="65"/>
        <v/>
      </c>
    </row>
    <row r="4183" spans="9:10">
      <c r="I4183" t="str">
        <f>_xlfn.IFNA(VLOOKUP(B4183,T_DistName[],3,FALSE),"")</f>
        <v/>
      </c>
      <c r="J4183" t="str">
        <f t="shared" si="65"/>
        <v/>
      </c>
    </row>
    <row r="4184" spans="9:10">
      <c r="I4184" t="str">
        <f>_xlfn.IFNA(VLOOKUP(B4184,T_DistName[],3,FALSE),"")</f>
        <v/>
      </c>
      <c r="J4184" t="str">
        <f t="shared" si="65"/>
        <v/>
      </c>
    </row>
    <row r="4185" spans="9:10">
      <c r="I4185" t="str">
        <f>_xlfn.IFNA(VLOOKUP(B4185,T_DistName[],3,FALSE),"")</f>
        <v/>
      </c>
      <c r="J4185" t="str">
        <f t="shared" ref="J4185:J4248" si="66">I4185&amp;F4185</f>
        <v/>
      </c>
    </row>
    <row r="4186" spans="9:10">
      <c r="I4186" t="str">
        <f>_xlfn.IFNA(VLOOKUP(B4186,T_DistName[],3,FALSE),"")</f>
        <v/>
      </c>
      <c r="J4186" t="str">
        <f t="shared" si="66"/>
        <v/>
      </c>
    </row>
    <row r="4187" spans="9:10">
      <c r="I4187" t="str">
        <f>_xlfn.IFNA(VLOOKUP(B4187,T_DistName[],3,FALSE),"")</f>
        <v/>
      </c>
      <c r="J4187" t="str">
        <f t="shared" si="66"/>
        <v/>
      </c>
    </row>
    <row r="4188" spans="9:10">
      <c r="I4188" t="str">
        <f>_xlfn.IFNA(VLOOKUP(B4188,T_DistName[],3,FALSE),"")</f>
        <v/>
      </c>
      <c r="J4188" t="str">
        <f t="shared" si="66"/>
        <v/>
      </c>
    </row>
    <row r="4189" spans="9:10">
      <c r="I4189" t="str">
        <f>_xlfn.IFNA(VLOOKUP(B4189,T_DistName[],3,FALSE),"")</f>
        <v/>
      </c>
      <c r="J4189" t="str">
        <f t="shared" si="66"/>
        <v/>
      </c>
    </row>
    <row r="4190" spans="9:10">
      <c r="I4190" t="str">
        <f>_xlfn.IFNA(VLOOKUP(B4190,T_DistName[],3,FALSE),"")</f>
        <v/>
      </c>
      <c r="J4190" t="str">
        <f t="shared" si="66"/>
        <v/>
      </c>
    </row>
    <row r="4191" spans="9:10">
      <c r="I4191" t="str">
        <f>_xlfn.IFNA(VLOOKUP(B4191,T_DistName[],3,FALSE),"")</f>
        <v/>
      </c>
      <c r="J4191" t="str">
        <f t="shared" si="66"/>
        <v/>
      </c>
    </row>
    <row r="4192" spans="9:10">
      <c r="I4192" t="str">
        <f>_xlfn.IFNA(VLOOKUP(B4192,T_DistName[],3,FALSE),"")</f>
        <v/>
      </c>
      <c r="J4192" t="str">
        <f t="shared" si="66"/>
        <v/>
      </c>
    </row>
    <row r="4193" spans="9:10">
      <c r="I4193" t="str">
        <f>_xlfn.IFNA(VLOOKUP(B4193,T_DistName[],3,FALSE),"")</f>
        <v/>
      </c>
      <c r="J4193" t="str">
        <f t="shared" si="66"/>
        <v/>
      </c>
    </row>
    <row r="4194" spans="9:10">
      <c r="I4194" t="str">
        <f>_xlfn.IFNA(VLOOKUP(B4194,T_DistName[],3,FALSE),"")</f>
        <v/>
      </c>
      <c r="J4194" t="str">
        <f t="shared" si="66"/>
        <v/>
      </c>
    </row>
    <row r="4195" spans="9:10">
      <c r="I4195" t="str">
        <f>_xlfn.IFNA(VLOOKUP(B4195,T_DistName[],3,FALSE),"")</f>
        <v/>
      </c>
      <c r="J4195" t="str">
        <f t="shared" si="66"/>
        <v/>
      </c>
    </row>
    <row r="4196" spans="9:10">
      <c r="I4196" t="str">
        <f>_xlfn.IFNA(VLOOKUP(B4196,T_DistName[],3,FALSE),"")</f>
        <v/>
      </c>
      <c r="J4196" t="str">
        <f t="shared" si="66"/>
        <v/>
      </c>
    </row>
    <row r="4197" spans="9:10">
      <c r="I4197" t="str">
        <f>_xlfn.IFNA(VLOOKUP(B4197,T_DistName[],3,FALSE),"")</f>
        <v/>
      </c>
      <c r="J4197" t="str">
        <f t="shared" si="66"/>
        <v/>
      </c>
    </row>
    <row r="4198" spans="9:10">
      <c r="I4198" t="str">
        <f>_xlfn.IFNA(VLOOKUP(B4198,T_DistName[],3,FALSE),"")</f>
        <v/>
      </c>
      <c r="J4198" t="str">
        <f t="shared" si="66"/>
        <v/>
      </c>
    </row>
    <row r="4199" spans="9:10">
      <c r="I4199" t="str">
        <f>_xlfn.IFNA(VLOOKUP(B4199,T_DistName[],3,FALSE),"")</f>
        <v/>
      </c>
      <c r="J4199" t="str">
        <f t="shared" si="66"/>
        <v/>
      </c>
    </row>
    <row r="4200" spans="9:10">
      <c r="I4200" t="str">
        <f>_xlfn.IFNA(VLOOKUP(B4200,T_DistName[],3,FALSE),"")</f>
        <v/>
      </c>
      <c r="J4200" t="str">
        <f t="shared" si="66"/>
        <v/>
      </c>
    </row>
    <row r="4201" spans="9:10">
      <c r="I4201" t="str">
        <f>_xlfn.IFNA(VLOOKUP(B4201,T_DistName[],3,FALSE),"")</f>
        <v/>
      </c>
      <c r="J4201" t="str">
        <f t="shared" si="66"/>
        <v/>
      </c>
    </row>
    <row r="4202" spans="9:10">
      <c r="I4202" t="str">
        <f>_xlfn.IFNA(VLOOKUP(B4202,T_DistName[],3,FALSE),"")</f>
        <v/>
      </c>
      <c r="J4202" t="str">
        <f t="shared" si="66"/>
        <v/>
      </c>
    </row>
    <row r="4203" spans="9:10">
      <c r="I4203" t="str">
        <f>_xlfn.IFNA(VLOOKUP(B4203,T_DistName[],3,FALSE),"")</f>
        <v/>
      </c>
      <c r="J4203" t="str">
        <f t="shared" si="66"/>
        <v/>
      </c>
    </row>
    <row r="4204" spans="9:10">
      <c r="I4204" t="str">
        <f>_xlfn.IFNA(VLOOKUP(B4204,T_DistName[],3,FALSE),"")</f>
        <v/>
      </c>
      <c r="J4204" t="str">
        <f t="shared" si="66"/>
        <v/>
      </c>
    </row>
    <row r="4205" spans="9:10">
      <c r="I4205" t="str">
        <f>_xlfn.IFNA(VLOOKUP(B4205,T_DistName[],3,FALSE),"")</f>
        <v/>
      </c>
      <c r="J4205" t="str">
        <f t="shared" si="66"/>
        <v/>
      </c>
    </row>
    <row r="4206" spans="9:10">
      <c r="I4206" t="str">
        <f>_xlfn.IFNA(VLOOKUP(B4206,T_DistName[],3,FALSE),"")</f>
        <v/>
      </c>
      <c r="J4206" t="str">
        <f t="shared" si="66"/>
        <v/>
      </c>
    </row>
    <row r="4207" spans="9:10">
      <c r="I4207" t="str">
        <f>_xlfn.IFNA(VLOOKUP(B4207,T_DistName[],3,FALSE),"")</f>
        <v/>
      </c>
      <c r="J4207" t="str">
        <f t="shared" si="66"/>
        <v/>
      </c>
    </row>
    <row r="4208" spans="9:10">
      <c r="I4208" t="str">
        <f>_xlfn.IFNA(VLOOKUP(B4208,T_DistName[],3,FALSE),"")</f>
        <v/>
      </c>
      <c r="J4208" t="str">
        <f t="shared" si="66"/>
        <v/>
      </c>
    </row>
    <row r="4209" spans="9:10">
      <c r="I4209" t="str">
        <f>_xlfn.IFNA(VLOOKUP(B4209,T_DistName[],3,FALSE),"")</f>
        <v/>
      </c>
      <c r="J4209" t="str">
        <f t="shared" si="66"/>
        <v/>
      </c>
    </row>
    <row r="4210" spans="9:10">
      <c r="I4210" t="str">
        <f>_xlfn.IFNA(VLOOKUP(B4210,T_DistName[],3,FALSE),"")</f>
        <v/>
      </c>
      <c r="J4210" t="str">
        <f t="shared" si="66"/>
        <v/>
      </c>
    </row>
    <row r="4211" spans="9:10">
      <c r="I4211" t="str">
        <f>_xlfn.IFNA(VLOOKUP(B4211,T_DistName[],3,FALSE),"")</f>
        <v/>
      </c>
      <c r="J4211" t="str">
        <f t="shared" si="66"/>
        <v/>
      </c>
    </row>
    <row r="4212" spans="9:10">
      <c r="I4212" t="str">
        <f>_xlfn.IFNA(VLOOKUP(B4212,T_DistName[],3,FALSE),"")</f>
        <v/>
      </c>
      <c r="J4212" t="str">
        <f t="shared" si="66"/>
        <v/>
      </c>
    </row>
    <row r="4213" spans="9:10">
      <c r="I4213" t="str">
        <f>_xlfn.IFNA(VLOOKUP(B4213,T_DistName[],3,FALSE),"")</f>
        <v/>
      </c>
      <c r="J4213" t="str">
        <f t="shared" si="66"/>
        <v/>
      </c>
    </row>
    <row r="4214" spans="9:10">
      <c r="I4214" t="str">
        <f>_xlfn.IFNA(VLOOKUP(B4214,T_DistName[],3,FALSE),"")</f>
        <v/>
      </c>
      <c r="J4214" t="str">
        <f t="shared" si="66"/>
        <v/>
      </c>
    </row>
    <row r="4215" spans="9:10">
      <c r="I4215" t="str">
        <f>_xlfn.IFNA(VLOOKUP(B4215,T_DistName[],3,FALSE),"")</f>
        <v/>
      </c>
      <c r="J4215" t="str">
        <f t="shared" si="66"/>
        <v/>
      </c>
    </row>
    <row r="4216" spans="9:10">
      <c r="I4216" t="str">
        <f>_xlfn.IFNA(VLOOKUP(B4216,T_DistName[],3,FALSE),"")</f>
        <v/>
      </c>
      <c r="J4216" t="str">
        <f t="shared" si="66"/>
        <v/>
      </c>
    </row>
    <row r="4217" spans="9:10">
      <c r="I4217" t="str">
        <f>_xlfn.IFNA(VLOOKUP(B4217,T_DistName[],3,FALSE),"")</f>
        <v/>
      </c>
      <c r="J4217" t="str">
        <f t="shared" si="66"/>
        <v/>
      </c>
    </row>
    <row r="4218" spans="9:10">
      <c r="I4218" t="str">
        <f>_xlfn.IFNA(VLOOKUP(B4218,T_DistName[],3,FALSE),"")</f>
        <v/>
      </c>
      <c r="J4218" t="str">
        <f t="shared" si="66"/>
        <v/>
      </c>
    </row>
    <row r="4219" spans="9:10">
      <c r="I4219" t="str">
        <f>_xlfn.IFNA(VLOOKUP(B4219,T_DistName[],3,FALSE),"")</f>
        <v/>
      </c>
      <c r="J4219" t="str">
        <f t="shared" si="66"/>
        <v/>
      </c>
    </row>
    <row r="4220" spans="9:10">
      <c r="I4220" t="str">
        <f>_xlfn.IFNA(VLOOKUP(B4220,T_DistName[],3,FALSE),"")</f>
        <v/>
      </c>
      <c r="J4220" t="str">
        <f t="shared" si="66"/>
        <v/>
      </c>
    </row>
    <row r="4221" spans="9:10">
      <c r="I4221" t="str">
        <f>_xlfn.IFNA(VLOOKUP(B4221,T_DistName[],3,FALSE),"")</f>
        <v/>
      </c>
      <c r="J4221" t="str">
        <f t="shared" si="66"/>
        <v/>
      </c>
    </row>
    <row r="4222" spans="9:10">
      <c r="I4222" t="str">
        <f>_xlfn.IFNA(VLOOKUP(B4222,T_DistName[],3,FALSE),"")</f>
        <v/>
      </c>
      <c r="J4222" t="str">
        <f t="shared" si="66"/>
        <v/>
      </c>
    </row>
    <row r="4223" spans="9:10">
      <c r="I4223" t="str">
        <f>_xlfn.IFNA(VLOOKUP(B4223,T_DistName[],3,FALSE),"")</f>
        <v/>
      </c>
      <c r="J4223" t="str">
        <f t="shared" si="66"/>
        <v/>
      </c>
    </row>
    <row r="4224" spans="9:10">
      <c r="I4224" t="str">
        <f>_xlfn.IFNA(VLOOKUP(B4224,T_DistName[],3,FALSE),"")</f>
        <v/>
      </c>
      <c r="J4224" t="str">
        <f t="shared" si="66"/>
        <v/>
      </c>
    </row>
    <row r="4225" spans="9:10">
      <c r="I4225" t="str">
        <f>_xlfn.IFNA(VLOOKUP(B4225,T_DistName[],3,FALSE),"")</f>
        <v/>
      </c>
      <c r="J4225" t="str">
        <f t="shared" si="66"/>
        <v/>
      </c>
    </row>
    <row r="4226" spans="9:10">
      <c r="I4226" t="str">
        <f>_xlfn.IFNA(VLOOKUP(B4226,T_DistName[],3,FALSE),"")</f>
        <v/>
      </c>
      <c r="J4226" t="str">
        <f t="shared" si="66"/>
        <v/>
      </c>
    </row>
    <row r="4227" spans="9:10">
      <c r="I4227" t="str">
        <f>_xlfn.IFNA(VLOOKUP(B4227,T_DistName[],3,FALSE),"")</f>
        <v/>
      </c>
      <c r="J4227" t="str">
        <f t="shared" si="66"/>
        <v/>
      </c>
    </row>
    <row r="4228" spans="9:10">
      <c r="I4228" t="str">
        <f>_xlfn.IFNA(VLOOKUP(B4228,T_DistName[],3,FALSE),"")</f>
        <v/>
      </c>
      <c r="J4228" t="str">
        <f t="shared" si="66"/>
        <v/>
      </c>
    </row>
    <row r="4229" spans="9:10">
      <c r="I4229" t="str">
        <f>_xlfn.IFNA(VLOOKUP(B4229,T_DistName[],3,FALSE),"")</f>
        <v/>
      </c>
      <c r="J4229" t="str">
        <f t="shared" si="66"/>
        <v/>
      </c>
    </row>
    <row r="4230" spans="9:10">
      <c r="I4230" t="str">
        <f>_xlfn.IFNA(VLOOKUP(B4230,T_DistName[],3,FALSE),"")</f>
        <v/>
      </c>
      <c r="J4230" t="str">
        <f t="shared" si="66"/>
        <v/>
      </c>
    </row>
    <row r="4231" spans="9:10">
      <c r="I4231" t="str">
        <f>_xlfn.IFNA(VLOOKUP(B4231,T_DistName[],3,FALSE),"")</f>
        <v/>
      </c>
      <c r="J4231" t="str">
        <f t="shared" si="66"/>
        <v/>
      </c>
    </row>
    <row r="4232" spans="9:10">
      <c r="I4232" t="str">
        <f>_xlfn.IFNA(VLOOKUP(B4232,T_DistName[],3,FALSE),"")</f>
        <v/>
      </c>
      <c r="J4232" t="str">
        <f t="shared" si="66"/>
        <v/>
      </c>
    </row>
    <row r="4233" spans="9:10">
      <c r="I4233" t="str">
        <f>_xlfn.IFNA(VLOOKUP(B4233,T_DistName[],3,FALSE),"")</f>
        <v/>
      </c>
      <c r="J4233" t="str">
        <f t="shared" si="66"/>
        <v/>
      </c>
    </row>
    <row r="4234" spans="9:10">
      <c r="I4234" t="str">
        <f>_xlfn.IFNA(VLOOKUP(B4234,T_DistName[],3,FALSE),"")</f>
        <v/>
      </c>
      <c r="J4234" t="str">
        <f t="shared" si="66"/>
        <v/>
      </c>
    </row>
    <row r="4235" spans="9:10">
      <c r="I4235" t="str">
        <f>_xlfn.IFNA(VLOOKUP(B4235,T_DistName[],3,FALSE),"")</f>
        <v/>
      </c>
      <c r="J4235" t="str">
        <f t="shared" si="66"/>
        <v/>
      </c>
    </row>
    <row r="4236" spans="9:10">
      <c r="I4236" t="str">
        <f>_xlfn.IFNA(VLOOKUP(B4236,T_DistName[],3,FALSE),"")</f>
        <v/>
      </c>
      <c r="J4236" t="str">
        <f t="shared" si="66"/>
        <v/>
      </c>
    </row>
    <row r="4237" spans="9:10">
      <c r="I4237" t="str">
        <f>_xlfn.IFNA(VLOOKUP(B4237,T_DistName[],3,FALSE),"")</f>
        <v/>
      </c>
      <c r="J4237" t="str">
        <f t="shared" si="66"/>
        <v/>
      </c>
    </row>
    <row r="4238" spans="9:10">
      <c r="I4238" t="str">
        <f>_xlfn.IFNA(VLOOKUP(B4238,T_DistName[],3,FALSE),"")</f>
        <v/>
      </c>
      <c r="J4238" t="str">
        <f t="shared" si="66"/>
        <v/>
      </c>
    </row>
    <row r="4239" spans="9:10">
      <c r="I4239" t="str">
        <f>_xlfn.IFNA(VLOOKUP(B4239,T_DistName[],3,FALSE),"")</f>
        <v/>
      </c>
      <c r="J4239" t="str">
        <f t="shared" si="66"/>
        <v/>
      </c>
    </row>
    <row r="4240" spans="9:10">
      <c r="I4240" t="str">
        <f>_xlfn.IFNA(VLOOKUP(B4240,T_DistName[],3,FALSE),"")</f>
        <v/>
      </c>
      <c r="J4240" t="str">
        <f t="shared" si="66"/>
        <v/>
      </c>
    </row>
    <row r="4241" spans="9:10">
      <c r="I4241" t="str">
        <f>_xlfn.IFNA(VLOOKUP(B4241,T_DistName[],3,FALSE),"")</f>
        <v/>
      </c>
      <c r="J4241" t="str">
        <f t="shared" si="66"/>
        <v/>
      </c>
    </row>
    <row r="4242" spans="9:10">
      <c r="I4242" t="str">
        <f>_xlfn.IFNA(VLOOKUP(B4242,T_DistName[],3,FALSE),"")</f>
        <v/>
      </c>
      <c r="J4242" t="str">
        <f t="shared" si="66"/>
        <v/>
      </c>
    </row>
    <row r="4243" spans="9:10">
      <c r="I4243" t="str">
        <f>_xlfn.IFNA(VLOOKUP(B4243,T_DistName[],3,FALSE),"")</f>
        <v/>
      </c>
      <c r="J4243" t="str">
        <f t="shared" si="66"/>
        <v/>
      </c>
    </row>
    <row r="4244" spans="9:10">
      <c r="I4244" t="str">
        <f>_xlfn.IFNA(VLOOKUP(B4244,T_DistName[],3,FALSE),"")</f>
        <v/>
      </c>
      <c r="J4244" t="str">
        <f t="shared" si="66"/>
        <v/>
      </c>
    </row>
    <row r="4245" spans="9:10">
      <c r="I4245" t="str">
        <f>_xlfn.IFNA(VLOOKUP(B4245,T_DistName[],3,FALSE),"")</f>
        <v/>
      </c>
      <c r="J4245" t="str">
        <f t="shared" si="66"/>
        <v/>
      </c>
    </row>
    <row r="4246" spans="9:10">
      <c r="I4246" t="str">
        <f>_xlfn.IFNA(VLOOKUP(B4246,T_DistName[],3,FALSE),"")</f>
        <v/>
      </c>
      <c r="J4246" t="str">
        <f t="shared" si="66"/>
        <v/>
      </c>
    </row>
    <row r="4247" spans="9:10">
      <c r="I4247" t="str">
        <f>_xlfn.IFNA(VLOOKUP(B4247,T_DistName[],3,FALSE),"")</f>
        <v/>
      </c>
      <c r="J4247" t="str">
        <f t="shared" si="66"/>
        <v/>
      </c>
    </row>
    <row r="4248" spans="9:10">
      <c r="I4248" t="str">
        <f>_xlfn.IFNA(VLOOKUP(B4248,T_DistName[],3,FALSE),"")</f>
        <v/>
      </c>
      <c r="J4248" t="str">
        <f t="shared" si="66"/>
        <v/>
      </c>
    </row>
    <row r="4249" spans="9:10">
      <c r="I4249" t="str">
        <f>_xlfn.IFNA(VLOOKUP(B4249,T_DistName[],3,FALSE),"")</f>
        <v/>
      </c>
      <c r="J4249" t="str">
        <f t="shared" ref="J4249:J4312" si="67">I4249&amp;F4249</f>
        <v/>
      </c>
    </row>
    <row r="4250" spans="9:10">
      <c r="I4250" t="str">
        <f>_xlfn.IFNA(VLOOKUP(B4250,T_DistName[],3,FALSE),"")</f>
        <v/>
      </c>
      <c r="J4250" t="str">
        <f t="shared" si="67"/>
        <v/>
      </c>
    </row>
    <row r="4251" spans="9:10">
      <c r="I4251" t="str">
        <f>_xlfn.IFNA(VLOOKUP(B4251,T_DistName[],3,FALSE),"")</f>
        <v/>
      </c>
      <c r="J4251" t="str">
        <f t="shared" si="67"/>
        <v/>
      </c>
    </row>
    <row r="4252" spans="9:10">
      <c r="I4252" t="str">
        <f>_xlfn.IFNA(VLOOKUP(B4252,T_DistName[],3,FALSE),"")</f>
        <v/>
      </c>
      <c r="J4252" t="str">
        <f t="shared" si="67"/>
        <v/>
      </c>
    </row>
    <row r="4253" spans="9:10">
      <c r="I4253" t="str">
        <f>_xlfn.IFNA(VLOOKUP(B4253,T_DistName[],3,FALSE),"")</f>
        <v/>
      </c>
      <c r="J4253" t="str">
        <f t="shared" si="67"/>
        <v/>
      </c>
    </row>
    <row r="4254" spans="9:10">
      <c r="I4254" t="str">
        <f>_xlfn.IFNA(VLOOKUP(B4254,T_DistName[],3,FALSE),"")</f>
        <v/>
      </c>
      <c r="J4254" t="str">
        <f t="shared" si="67"/>
        <v/>
      </c>
    </row>
    <row r="4255" spans="9:10">
      <c r="I4255" t="str">
        <f>_xlfn.IFNA(VLOOKUP(B4255,T_DistName[],3,FALSE),"")</f>
        <v/>
      </c>
      <c r="J4255" t="str">
        <f t="shared" si="67"/>
        <v/>
      </c>
    </row>
    <row r="4256" spans="9:10">
      <c r="I4256" t="str">
        <f>_xlfn.IFNA(VLOOKUP(B4256,T_DistName[],3,FALSE),"")</f>
        <v/>
      </c>
      <c r="J4256" t="str">
        <f t="shared" si="67"/>
        <v/>
      </c>
    </row>
    <row r="4257" spans="9:10">
      <c r="I4257" t="str">
        <f>_xlfn.IFNA(VLOOKUP(B4257,T_DistName[],3,FALSE),"")</f>
        <v/>
      </c>
      <c r="J4257" t="str">
        <f t="shared" si="67"/>
        <v/>
      </c>
    </row>
    <row r="4258" spans="9:10">
      <c r="I4258" t="str">
        <f>_xlfn.IFNA(VLOOKUP(B4258,T_DistName[],3,FALSE),"")</f>
        <v/>
      </c>
      <c r="J4258" t="str">
        <f t="shared" si="67"/>
        <v/>
      </c>
    </row>
    <row r="4259" spans="9:10">
      <c r="I4259" t="str">
        <f>_xlfn.IFNA(VLOOKUP(B4259,T_DistName[],3,FALSE),"")</f>
        <v/>
      </c>
      <c r="J4259" t="str">
        <f t="shared" si="67"/>
        <v/>
      </c>
    </row>
    <row r="4260" spans="9:10">
      <c r="I4260" t="str">
        <f>_xlfn.IFNA(VLOOKUP(B4260,T_DistName[],3,FALSE),"")</f>
        <v/>
      </c>
      <c r="J4260" t="str">
        <f t="shared" si="67"/>
        <v/>
      </c>
    </row>
    <row r="4261" spans="9:10">
      <c r="I4261" t="str">
        <f>_xlfn.IFNA(VLOOKUP(B4261,T_DistName[],3,FALSE),"")</f>
        <v/>
      </c>
      <c r="J4261" t="str">
        <f t="shared" si="67"/>
        <v/>
      </c>
    </row>
    <row r="4262" spans="9:10">
      <c r="I4262" t="str">
        <f>_xlfn.IFNA(VLOOKUP(B4262,T_DistName[],3,FALSE),"")</f>
        <v/>
      </c>
      <c r="J4262" t="str">
        <f t="shared" si="67"/>
        <v/>
      </c>
    </row>
    <row r="4263" spans="9:10">
      <c r="I4263" t="str">
        <f>_xlfn.IFNA(VLOOKUP(B4263,T_DistName[],3,FALSE),"")</f>
        <v/>
      </c>
      <c r="J4263" t="str">
        <f t="shared" si="67"/>
        <v/>
      </c>
    </row>
    <row r="4264" spans="9:10">
      <c r="I4264" t="str">
        <f>_xlfn.IFNA(VLOOKUP(B4264,T_DistName[],3,FALSE),"")</f>
        <v/>
      </c>
      <c r="J4264" t="str">
        <f t="shared" si="67"/>
        <v/>
      </c>
    </row>
    <row r="4265" spans="9:10">
      <c r="I4265" t="str">
        <f>_xlfn.IFNA(VLOOKUP(B4265,T_DistName[],3,FALSE),"")</f>
        <v/>
      </c>
      <c r="J4265" t="str">
        <f t="shared" si="67"/>
        <v/>
      </c>
    </row>
    <row r="4266" spans="9:10">
      <c r="I4266" t="str">
        <f>_xlfn.IFNA(VLOOKUP(B4266,T_DistName[],3,FALSE),"")</f>
        <v/>
      </c>
      <c r="J4266" t="str">
        <f t="shared" si="67"/>
        <v/>
      </c>
    </row>
    <row r="4267" spans="9:10">
      <c r="I4267" t="str">
        <f>_xlfn.IFNA(VLOOKUP(B4267,T_DistName[],3,FALSE),"")</f>
        <v/>
      </c>
      <c r="J4267" t="str">
        <f t="shared" si="67"/>
        <v/>
      </c>
    </row>
    <row r="4268" spans="9:10">
      <c r="I4268" t="str">
        <f>_xlfn.IFNA(VLOOKUP(B4268,T_DistName[],3,FALSE),"")</f>
        <v/>
      </c>
      <c r="J4268" t="str">
        <f t="shared" si="67"/>
        <v/>
      </c>
    </row>
    <row r="4269" spans="9:10">
      <c r="I4269" t="str">
        <f>_xlfn.IFNA(VLOOKUP(B4269,T_DistName[],3,FALSE),"")</f>
        <v/>
      </c>
      <c r="J4269" t="str">
        <f t="shared" si="67"/>
        <v/>
      </c>
    </row>
    <row r="4270" spans="9:10">
      <c r="I4270" t="str">
        <f>_xlfn.IFNA(VLOOKUP(B4270,T_DistName[],3,FALSE),"")</f>
        <v/>
      </c>
      <c r="J4270" t="str">
        <f t="shared" si="67"/>
        <v/>
      </c>
    </row>
    <row r="4271" spans="9:10">
      <c r="I4271" t="str">
        <f>_xlfn.IFNA(VLOOKUP(B4271,T_DistName[],3,FALSE),"")</f>
        <v/>
      </c>
      <c r="J4271" t="str">
        <f t="shared" si="67"/>
        <v/>
      </c>
    </row>
    <row r="4272" spans="9:10">
      <c r="I4272" t="str">
        <f>_xlfn.IFNA(VLOOKUP(B4272,T_DistName[],3,FALSE),"")</f>
        <v/>
      </c>
      <c r="J4272" t="str">
        <f t="shared" si="67"/>
        <v/>
      </c>
    </row>
    <row r="4273" spans="9:10">
      <c r="I4273" t="str">
        <f>_xlfn.IFNA(VLOOKUP(B4273,T_DistName[],3,FALSE),"")</f>
        <v/>
      </c>
      <c r="J4273" t="str">
        <f t="shared" si="67"/>
        <v/>
      </c>
    </row>
    <row r="4274" spans="9:10">
      <c r="I4274" t="str">
        <f>_xlfn.IFNA(VLOOKUP(B4274,T_DistName[],3,FALSE),"")</f>
        <v/>
      </c>
      <c r="J4274" t="str">
        <f t="shared" si="67"/>
        <v/>
      </c>
    </row>
    <row r="4275" spans="9:10">
      <c r="I4275" t="str">
        <f>_xlfn.IFNA(VLOOKUP(B4275,T_DistName[],3,FALSE),"")</f>
        <v/>
      </c>
      <c r="J4275" t="str">
        <f t="shared" si="67"/>
        <v/>
      </c>
    </row>
    <row r="4276" spans="9:10">
      <c r="I4276" t="str">
        <f>_xlfn.IFNA(VLOOKUP(B4276,T_DistName[],3,FALSE),"")</f>
        <v/>
      </c>
      <c r="J4276" t="str">
        <f t="shared" si="67"/>
        <v/>
      </c>
    </row>
    <row r="4277" spans="9:10">
      <c r="I4277" t="str">
        <f>_xlfn.IFNA(VLOOKUP(B4277,T_DistName[],3,FALSE),"")</f>
        <v/>
      </c>
      <c r="J4277" t="str">
        <f t="shared" si="67"/>
        <v/>
      </c>
    </row>
    <row r="4278" spans="9:10">
      <c r="I4278" t="str">
        <f>_xlfn.IFNA(VLOOKUP(B4278,T_DistName[],3,FALSE),"")</f>
        <v/>
      </c>
      <c r="J4278" t="str">
        <f t="shared" si="67"/>
        <v/>
      </c>
    </row>
    <row r="4279" spans="9:10">
      <c r="I4279" t="str">
        <f>_xlfn.IFNA(VLOOKUP(B4279,T_DistName[],3,FALSE),"")</f>
        <v/>
      </c>
      <c r="J4279" t="str">
        <f t="shared" si="67"/>
        <v/>
      </c>
    </row>
    <row r="4280" spans="9:10">
      <c r="I4280" t="str">
        <f>_xlfn.IFNA(VLOOKUP(B4280,T_DistName[],3,FALSE),"")</f>
        <v/>
      </c>
      <c r="J4280" t="str">
        <f t="shared" si="67"/>
        <v/>
      </c>
    </row>
    <row r="4281" spans="9:10">
      <c r="I4281" t="str">
        <f>_xlfn.IFNA(VLOOKUP(B4281,T_DistName[],3,FALSE),"")</f>
        <v/>
      </c>
      <c r="J4281" t="str">
        <f t="shared" si="67"/>
        <v/>
      </c>
    </row>
    <row r="4282" spans="9:10">
      <c r="I4282" t="str">
        <f>_xlfn.IFNA(VLOOKUP(B4282,T_DistName[],3,FALSE),"")</f>
        <v/>
      </c>
      <c r="J4282" t="str">
        <f t="shared" si="67"/>
        <v/>
      </c>
    </row>
    <row r="4283" spans="9:10">
      <c r="I4283" t="str">
        <f>_xlfn.IFNA(VLOOKUP(B4283,T_DistName[],3,FALSE),"")</f>
        <v/>
      </c>
      <c r="J4283" t="str">
        <f t="shared" si="67"/>
        <v/>
      </c>
    </row>
    <row r="4284" spans="9:10">
      <c r="I4284" t="str">
        <f>_xlfn.IFNA(VLOOKUP(B4284,T_DistName[],3,FALSE),"")</f>
        <v/>
      </c>
      <c r="J4284" t="str">
        <f t="shared" si="67"/>
        <v/>
      </c>
    </row>
    <row r="4285" spans="9:10">
      <c r="I4285" t="str">
        <f>_xlfn.IFNA(VLOOKUP(B4285,T_DistName[],3,FALSE),"")</f>
        <v/>
      </c>
      <c r="J4285" t="str">
        <f t="shared" si="67"/>
        <v/>
      </c>
    </row>
    <row r="4286" spans="9:10">
      <c r="I4286" t="str">
        <f>_xlfn.IFNA(VLOOKUP(B4286,T_DistName[],3,FALSE),"")</f>
        <v/>
      </c>
      <c r="J4286" t="str">
        <f t="shared" si="67"/>
        <v/>
      </c>
    </row>
    <row r="4287" spans="9:10">
      <c r="I4287" t="str">
        <f>_xlfn.IFNA(VLOOKUP(B4287,T_DistName[],3,FALSE),"")</f>
        <v/>
      </c>
      <c r="J4287" t="str">
        <f t="shared" si="67"/>
        <v/>
      </c>
    </row>
    <row r="4288" spans="9:10">
      <c r="I4288" t="str">
        <f>_xlfn.IFNA(VLOOKUP(B4288,T_DistName[],3,FALSE),"")</f>
        <v/>
      </c>
      <c r="J4288" t="str">
        <f t="shared" si="67"/>
        <v/>
      </c>
    </row>
    <row r="4289" spans="9:10">
      <c r="I4289" t="str">
        <f>_xlfn.IFNA(VLOOKUP(B4289,T_DistName[],3,FALSE),"")</f>
        <v/>
      </c>
      <c r="J4289" t="str">
        <f t="shared" si="67"/>
        <v/>
      </c>
    </row>
    <row r="4290" spans="9:10">
      <c r="I4290" t="str">
        <f>_xlfn.IFNA(VLOOKUP(B4290,T_DistName[],3,FALSE),"")</f>
        <v/>
      </c>
      <c r="J4290" t="str">
        <f t="shared" si="67"/>
        <v/>
      </c>
    </row>
    <row r="4291" spans="9:10">
      <c r="I4291" t="str">
        <f>_xlfn.IFNA(VLOOKUP(B4291,T_DistName[],3,FALSE),"")</f>
        <v/>
      </c>
      <c r="J4291" t="str">
        <f t="shared" si="67"/>
        <v/>
      </c>
    </row>
    <row r="4292" spans="9:10">
      <c r="I4292" t="str">
        <f>_xlfn.IFNA(VLOOKUP(B4292,T_DistName[],3,FALSE),"")</f>
        <v/>
      </c>
      <c r="J4292" t="str">
        <f t="shared" si="67"/>
        <v/>
      </c>
    </row>
    <row r="4293" spans="9:10">
      <c r="I4293" t="str">
        <f>_xlfn.IFNA(VLOOKUP(B4293,T_DistName[],3,FALSE),"")</f>
        <v/>
      </c>
      <c r="J4293" t="str">
        <f t="shared" si="67"/>
        <v/>
      </c>
    </row>
    <row r="4294" spans="9:10">
      <c r="I4294" t="str">
        <f>_xlfn.IFNA(VLOOKUP(B4294,T_DistName[],3,FALSE),"")</f>
        <v/>
      </c>
      <c r="J4294" t="str">
        <f t="shared" si="67"/>
        <v/>
      </c>
    </row>
    <row r="4295" spans="9:10">
      <c r="I4295" t="str">
        <f>_xlfn.IFNA(VLOOKUP(B4295,T_DistName[],3,FALSE),"")</f>
        <v/>
      </c>
      <c r="J4295" t="str">
        <f t="shared" si="67"/>
        <v/>
      </c>
    </row>
    <row r="4296" spans="9:10">
      <c r="I4296" t="str">
        <f>_xlfn.IFNA(VLOOKUP(B4296,T_DistName[],3,FALSE),"")</f>
        <v/>
      </c>
      <c r="J4296" t="str">
        <f t="shared" si="67"/>
        <v/>
      </c>
    </row>
    <row r="4297" spans="9:10">
      <c r="I4297" t="str">
        <f>_xlfn.IFNA(VLOOKUP(B4297,T_DistName[],3,FALSE),"")</f>
        <v/>
      </c>
      <c r="J4297" t="str">
        <f t="shared" si="67"/>
        <v/>
      </c>
    </row>
    <row r="4298" spans="9:10">
      <c r="I4298" t="str">
        <f>_xlfn.IFNA(VLOOKUP(B4298,T_DistName[],3,FALSE),"")</f>
        <v/>
      </c>
      <c r="J4298" t="str">
        <f t="shared" si="67"/>
        <v/>
      </c>
    </row>
    <row r="4299" spans="9:10">
      <c r="I4299" t="str">
        <f>_xlfn.IFNA(VLOOKUP(B4299,T_DistName[],3,FALSE),"")</f>
        <v/>
      </c>
      <c r="J4299" t="str">
        <f t="shared" si="67"/>
        <v/>
      </c>
    </row>
    <row r="4300" spans="9:10">
      <c r="I4300" t="str">
        <f>_xlfn.IFNA(VLOOKUP(B4300,T_DistName[],3,FALSE),"")</f>
        <v/>
      </c>
      <c r="J4300" t="str">
        <f t="shared" si="67"/>
        <v/>
      </c>
    </row>
    <row r="4301" spans="9:10">
      <c r="I4301" t="str">
        <f>_xlfn.IFNA(VLOOKUP(B4301,T_DistName[],3,FALSE),"")</f>
        <v/>
      </c>
      <c r="J4301" t="str">
        <f t="shared" si="67"/>
        <v/>
      </c>
    </row>
    <row r="4302" spans="9:10">
      <c r="I4302" t="str">
        <f>_xlfn.IFNA(VLOOKUP(B4302,T_DistName[],3,FALSE),"")</f>
        <v/>
      </c>
      <c r="J4302" t="str">
        <f t="shared" si="67"/>
        <v/>
      </c>
    </row>
    <row r="4303" spans="9:10">
      <c r="I4303" t="str">
        <f>_xlfn.IFNA(VLOOKUP(B4303,T_DistName[],3,FALSE),"")</f>
        <v/>
      </c>
      <c r="J4303" t="str">
        <f t="shared" si="67"/>
        <v/>
      </c>
    </row>
    <row r="4304" spans="9:10">
      <c r="I4304" t="str">
        <f>_xlfn.IFNA(VLOOKUP(B4304,T_DistName[],3,FALSE),"")</f>
        <v/>
      </c>
      <c r="J4304" t="str">
        <f t="shared" si="67"/>
        <v/>
      </c>
    </row>
    <row r="4305" spans="9:10">
      <c r="I4305" t="str">
        <f>_xlfn.IFNA(VLOOKUP(B4305,T_DistName[],3,FALSE),"")</f>
        <v/>
      </c>
      <c r="J4305" t="str">
        <f t="shared" si="67"/>
        <v/>
      </c>
    </row>
    <row r="4306" spans="9:10">
      <c r="I4306" t="str">
        <f>_xlfn.IFNA(VLOOKUP(B4306,T_DistName[],3,FALSE),"")</f>
        <v/>
      </c>
      <c r="J4306" t="str">
        <f t="shared" si="67"/>
        <v/>
      </c>
    </row>
    <row r="4307" spans="9:10">
      <c r="I4307" t="str">
        <f>_xlfn.IFNA(VLOOKUP(B4307,T_DistName[],3,FALSE),"")</f>
        <v/>
      </c>
      <c r="J4307" t="str">
        <f t="shared" si="67"/>
        <v/>
      </c>
    </row>
    <row r="4308" spans="9:10">
      <c r="I4308" t="str">
        <f>_xlfn.IFNA(VLOOKUP(B4308,T_DistName[],3,FALSE),"")</f>
        <v/>
      </c>
      <c r="J4308" t="str">
        <f t="shared" si="67"/>
        <v/>
      </c>
    </row>
    <row r="4309" spans="9:10">
      <c r="I4309" t="str">
        <f>_xlfn.IFNA(VLOOKUP(B4309,T_DistName[],3,FALSE),"")</f>
        <v/>
      </c>
      <c r="J4309" t="str">
        <f t="shared" si="67"/>
        <v/>
      </c>
    </row>
    <row r="4310" spans="9:10">
      <c r="I4310" t="str">
        <f>_xlfn.IFNA(VLOOKUP(B4310,T_DistName[],3,FALSE),"")</f>
        <v/>
      </c>
      <c r="J4310" t="str">
        <f t="shared" si="67"/>
        <v/>
      </c>
    </row>
    <row r="4311" spans="9:10">
      <c r="I4311" t="str">
        <f>_xlfn.IFNA(VLOOKUP(B4311,T_DistName[],3,FALSE),"")</f>
        <v/>
      </c>
      <c r="J4311" t="str">
        <f t="shared" si="67"/>
        <v/>
      </c>
    </row>
    <row r="4312" spans="9:10">
      <c r="I4312" t="str">
        <f>_xlfn.IFNA(VLOOKUP(B4312,T_DistName[],3,FALSE),"")</f>
        <v/>
      </c>
      <c r="J4312" t="str">
        <f t="shared" si="67"/>
        <v/>
      </c>
    </row>
    <row r="4313" spans="9:10">
      <c r="I4313" t="str">
        <f>_xlfn.IFNA(VLOOKUP(B4313,T_DistName[],3,FALSE),"")</f>
        <v/>
      </c>
      <c r="J4313" t="str">
        <f t="shared" ref="J4313:J4376" si="68">I4313&amp;F4313</f>
        <v/>
      </c>
    </row>
    <row r="4314" spans="9:10">
      <c r="I4314" t="str">
        <f>_xlfn.IFNA(VLOOKUP(B4314,T_DistName[],3,FALSE),"")</f>
        <v/>
      </c>
      <c r="J4314" t="str">
        <f t="shared" si="68"/>
        <v/>
      </c>
    </row>
    <row r="4315" spans="9:10">
      <c r="I4315" t="str">
        <f>_xlfn.IFNA(VLOOKUP(B4315,T_DistName[],3,FALSE),"")</f>
        <v/>
      </c>
      <c r="J4315" t="str">
        <f t="shared" si="68"/>
        <v/>
      </c>
    </row>
    <row r="4316" spans="9:10">
      <c r="I4316" t="str">
        <f>_xlfn.IFNA(VLOOKUP(B4316,T_DistName[],3,FALSE),"")</f>
        <v/>
      </c>
      <c r="J4316" t="str">
        <f t="shared" si="68"/>
        <v/>
      </c>
    </row>
    <row r="4317" spans="9:10">
      <c r="I4317" t="str">
        <f>_xlfn.IFNA(VLOOKUP(B4317,T_DistName[],3,FALSE),"")</f>
        <v/>
      </c>
      <c r="J4317" t="str">
        <f t="shared" si="68"/>
        <v/>
      </c>
    </row>
    <row r="4318" spans="9:10">
      <c r="I4318" t="str">
        <f>_xlfn.IFNA(VLOOKUP(B4318,T_DistName[],3,FALSE),"")</f>
        <v/>
      </c>
      <c r="J4318" t="str">
        <f t="shared" si="68"/>
        <v/>
      </c>
    </row>
    <row r="4319" spans="9:10">
      <c r="I4319" t="str">
        <f>_xlfn.IFNA(VLOOKUP(B4319,T_DistName[],3,FALSE),"")</f>
        <v/>
      </c>
      <c r="J4319" t="str">
        <f t="shared" si="68"/>
        <v/>
      </c>
    </row>
    <row r="4320" spans="9:10">
      <c r="I4320" t="str">
        <f>_xlfn.IFNA(VLOOKUP(B4320,T_DistName[],3,FALSE),"")</f>
        <v/>
      </c>
      <c r="J4320" t="str">
        <f t="shared" si="68"/>
        <v/>
      </c>
    </row>
    <row r="4321" spans="9:10">
      <c r="I4321" t="str">
        <f>_xlfn.IFNA(VLOOKUP(B4321,T_DistName[],3,FALSE),"")</f>
        <v/>
      </c>
      <c r="J4321" t="str">
        <f t="shared" si="68"/>
        <v/>
      </c>
    </row>
    <row r="4322" spans="9:10">
      <c r="I4322" t="str">
        <f>_xlfn.IFNA(VLOOKUP(B4322,T_DistName[],3,FALSE),"")</f>
        <v/>
      </c>
      <c r="J4322" t="str">
        <f t="shared" si="68"/>
        <v/>
      </c>
    </row>
    <row r="4323" spans="9:10">
      <c r="I4323" t="str">
        <f>_xlfn.IFNA(VLOOKUP(B4323,T_DistName[],3,FALSE),"")</f>
        <v/>
      </c>
      <c r="J4323" t="str">
        <f t="shared" si="68"/>
        <v/>
      </c>
    </row>
    <row r="4324" spans="9:10">
      <c r="I4324" t="str">
        <f>_xlfn.IFNA(VLOOKUP(B4324,T_DistName[],3,FALSE),"")</f>
        <v/>
      </c>
      <c r="J4324" t="str">
        <f t="shared" si="68"/>
        <v/>
      </c>
    </row>
    <row r="4325" spans="9:10">
      <c r="I4325" t="str">
        <f>_xlfn.IFNA(VLOOKUP(B4325,T_DistName[],3,FALSE),"")</f>
        <v/>
      </c>
      <c r="J4325" t="str">
        <f t="shared" si="68"/>
        <v/>
      </c>
    </row>
    <row r="4326" spans="9:10">
      <c r="I4326" t="str">
        <f>_xlfn.IFNA(VLOOKUP(B4326,T_DistName[],3,FALSE),"")</f>
        <v/>
      </c>
      <c r="J4326" t="str">
        <f t="shared" si="68"/>
        <v/>
      </c>
    </row>
    <row r="4327" spans="9:10">
      <c r="I4327" t="str">
        <f>_xlfn.IFNA(VLOOKUP(B4327,T_DistName[],3,FALSE),"")</f>
        <v/>
      </c>
      <c r="J4327" t="str">
        <f t="shared" si="68"/>
        <v/>
      </c>
    </row>
    <row r="4328" spans="9:10">
      <c r="I4328" t="str">
        <f>_xlfn.IFNA(VLOOKUP(B4328,T_DistName[],3,FALSE),"")</f>
        <v/>
      </c>
      <c r="J4328" t="str">
        <f t="shared" si="68"/>
        <v/>
      </c>
    </row>
    <row r="4329" spans="9:10">
      <c r="I4329" t="str">
        <f>_xlfn.IFNA(VLOOKUP(B4329,T_DistName[],3,FALSE),"")</f>
        <v/>
      </c>
      <c r="J4329" t="str">
        <f t="shared" si="68"/>
        <v/>
      </c>
    </row>
    <row r="4330" spans="9:10">
      <c r="I4330" t="str">
        <f>_xlfn.IFNA(VLOOKUP(B4330,T_DistName[],3,FALSE),"")</f>
        <v/>
      </c>
      <c r="J4330" t="str">
        <f t="shared" si="68"/>
        <v/>
      </c>
    </row>
    <row r="4331" spans="9:10">
      <c r="I4331" t="str">
        <f>_xlfn.IFNA(VLOOKUP(B4331,T_DistName[],3,FALSE),"")</f>
        <v/>
      </c>
      <c r="J4331" t="str">
        <f t="shared" si="68"/>
        <v/>
      </c>
    </row>
    <row r="4332" spans="9:10">
      <c r="I4332" t="str">
        <f>_xlfn.IFNA(VLOOKUP(B4332,T_DistName[],3,FALSE),"")</f>
        <v/>
      </c>
      <c r="J4332" t="str">
        <f t="shared" si="68"/>
        <v/>
      </c>
    </row>
    <row r="4333" spans="9:10">
      <c r="I4333" t="str">
        <f>_xlfn.IFNA(VLOOKUP(B4333,T_DistName[],3,FALSE),"")</f>
        <v/>
      </c>
      <c r="J4333" t="str">
        <f t="shared" si="68"/>
        <v/>
      </c>
    </row>
    <row r="4334" spans="9:10">
      <c r="I4334" t="str">
        <f>_xlfn.IFNA(VLOOKUP(B4334,T_DistName[],3,FALSE),"")</f>
        <v/>
      </c>
      <c r="J4334" t="str">
        <f t="shared" si="68"/>
        <v/>
      </c>
    </row>
    <row r="4335" spans="9:10">
      <c r="I4335" t="str">
        <f>_xlfn.IFNA(VLOOKUP(B4335,T_DistName[],3,FALSE),"")</f>
        <v/>
      </c>
      <c r="J4335" t="str">
        <f t="shared" si="68"/>
        <v/>
      </c>
    </row>
    <row r="4336" spans="9:10">
      <c r="I4336" t="str">
        <f>_xlfn.IFNA(VLOOKUP(B4336,T_DistName[],3,FALSE),"")</f>
        <v/>
      </c>
      <c r="J4336" t="str">
        <f t="shared" si="68"/>
        <v/>
      </c>
    </row>
    <row r="4337" spans="9:10">
      <c r="I4337" t="str">
        <f>_xlfn.IFNA(VLOOKUP(B4337,T_DistName[],3,FALSE),"")</f>
        <v/>
      </c>
      <c r="J4337" t="str">
        <f t="shared" si="68"/>
        <v/>
      </c>
    </row>
    <row r="4338" spans="9:10">
      <c r="I4338" t="str">
        <f>_xlfn.IFNA(VLOOKUP(B4338,T_DistName[],3,FALSE),"")</f>
        <v/>
      </c>
      <c r="J4338" t="str">
        <f t="shared" si="68"/>
        <v/>
      </c>
    </row>
    <row r="4339" spans="9:10">
      <c r="I4339" t="str">
        <f>_xlfn.IFNA(VLOOKUP(B4339,T_DistName[],3,FALSE),"")</f>
        <v/>
      </c>
      <c r="J4339" t="str">
        <f t="shared" si="68"/>
        <v/>
      </c>
    </row>
    <row r="4340" spans="9:10">
      <c r="I4340" t="str">
        <f>_xlfn.IFNA(VLOOKUP(B4340,T_DistName[],3,FALSE),"")</f>
        <v/>
      </c>
      <c r="J4340" t="str">
        <f t="shared" si="68"/>
        <v/>
      </c>
    </row>
    <row r="4341" spans="9:10">
      <c r="I4341" t="str">
        <f>_xlfn.IFNA(VLOOKUP(B4341,T_DistName[],3,FALSE),"")</f>
        <v/>
      </c>
      <c r="J4341" t="str">
        <f t="shared" si="68"/>
        <v/>
      </c>
    </row>
    <row r="4342" spans="9:10">
      <c r="I4342" t="str">
        <f>_xlfn.IFNA(VLOOKUP(B4342,T_DistName[],3,FALSE),"")</f>
        <v/>
      </c>
      <c r="J4342" t="str">
        <f t="shared" si="68"/>
        <v/>
      </c>
    </row>
    <row r="4343" spans="9:10">
      <c r="I4343" t="str">
        <f>_xlfn.IFNA(VLOOKUP(B4343,T_DistName[],3,FALSE),"")</f>
        <v/>
      </c>
      <c r="J4343" t="str">
        <f t="shared" si="68"/>
        <v/>
      </c>
    </row>
    <row r="4344" spans="9:10">
      <c r="I4344" t="str">
        <f>_xlfn.IFNA(VLOOKUP(B4344,T_DistName[],3,FALSE),"")</f>
        <v/>
      </c>
      <c r="J4344" t="str">
        <f t="shared" si="68"/>
        <v/>
      </c>
    </row>
    <row r="4345" spans="9:10">
      <c r="I4345" t="str">
        <f>_xlfn.IFNA(VLOOKUP(B4345,T_DistName[],3,FALSE),"")</f>
        <v/>
      </c>
      <c r="J4345" t="str">
        <f t="shared" si="68"/>
        <v/>
      </c>
    </row>
    <row r="4346" spans="9:10">
      <c r="I4346" t="str">
        <f>_xlfn.IFNA(VLOOKUP(B4346,T_DistName[],3,FALSE),"")</f>
        <v/>
      </c>
      <c r="J4346" t="str">
        <f t="shared" si="68"/>
        <v/>
      </c>
    </row>
    <row r="4347" spans="9:10">
      <c r="I4347" t="str">
        <f>_xlfn.IFNA(VLOOKUP(B4347,T_DistName[],3,FALSE),"")</f>
        <v/>
      </c>
      <c r="J4347" t="str">
        <f t="shared" si="68"/>
        <v/>
      </c>
    </row>
    <row r="4348" spans="9:10">
      <c r="I4348" t="str">
        <f>_xlfn.IFNA(VLOOKUP(B4348,T_DistName[],3,FALSE),"")</f>
        <v/>
      </c>
      <c r="J4348" t="str">
        <f t="shared" si="68"/>
        <v/>
      </c>
    </row>
    <row r="4349" spans="9:10">
      <c r="I4349" t="str">
        <f>_xlfn.IFNA(VLOOKUP(B4349,T_DistName[],3,FALSE),"")</f>
        <v/>
      </c>
      <c r="J4349" t="str">
        <f t="shared" si="68"/>
        <v/>
      </c>
    </row>
    <row r="4350" spans="9:10">
      <c r="I4350" t="str">
        <f>_xlfn.IFNA(VLOOKUP(B4350,T_DistName[],3,FALSE),"")</f>
        <v/>
      </c>
      <c r="J4350" t="str">
        <f t="shared" si="68"/>
        <v/>
      </c>
    </row>
    <row r="4351" spans="9:10">
      <c r="I4351" t="str">
        <f>_xlfn.IFNA(VLOOKUP(B4351,T_DistName[],3,FALSE),"")</f>
        <v/>
      </c>
      <c r="J4351" t="str">
        <f t="shared" si="68"/>
        <v/>
      </c>
    </row>
    <row r="4352" spans="9:10">
      <c r="I4352" t="str">
        <f>_xlfn.IFNA(VLOOKUP(B4352,T_DistName[],3,FALSE),"")</f>
        <v/>
      </c>
      <c r="J4352" t="str">
        <f t="shared" si="68"/>
        <v/>
      </c>
    </row>
    <row r="4353" spans="9:10">
      <c r="I4353" t="str">
        <f>_xlfn.IFNA(VLOOKUP(B4353,T_DistName[],3,FALSE),"")</f>
        <v/>
      </c>
      <c r="J4353" t="str">
        <f t="shared" si="68"/>
        <v/>
      </c>
    </row>
    <row r="4354" spans="9:10">
      <c r="I4354" t="str">
        <f>_xlfn.IFNA(VLOOKUP(B4354,T_DistName[],3,FALSE),"")</f>
        <v/>
      </c>
      <c r="J4354" t="str">
        <f t="shared" si="68"/>
        <v/>
      </c>
    </row>
    <row r="4355" spans="9:10">
      <c r="I4355" t="str">
        <f>_xlfn.IFNA(VLOOKUP(B4355,T_DistName[],3,FALSE),"")</f>
        <v/>
      </c>
      <c r="J4355" t="str">
        <f t="shared" si="68"/>
        <v/>
      </c>
    </row>
    <row r="4356" spans="9:10">
      <c r="I4356" t="str">
        <f>_xlfn.IFNA(VLOOKUP(B4356,T_DistName[],3,FALSE),"")</f>
        <v/>
      </c>
      <c r="J4356" t="str">
        <f t="shared" si="68"/>
        <v/>
      </c>
    </row>
    <row r="4357" spans="9:10">
      <c r="I4357" t="str">
        <f>_xlfn.IFNA(VLOOKUP(B4357,T_DistName[],3,FALSE),"")</f>
        <v/>
      </c>
      <c r="J4357" t="str">
        <f t="shared" si="68"/>
        <v/>
      </c>
    </row>
    <row r="4358" spans="9:10">
      <c r="I4358" t="str">
        <f>_xlfn.IFNA(VLOOKUP(B4358,T_DistName[],3,FALSE),"")</f>
        <v/>
      </c>
      <c r="J4358" t="str">
        <f t="shared" si="68"/>
        <v/>
      </c>
    </row>
    <row r="4359" spans="9:10">
      <c r="I4359" t="str">
        <f>_xlfn.IFNA(VLOOKUP(B4359,T_DistName[],3,FALSE),"")</f>
        <v/>
      </c>
      <c r="J4359" t="str">
        <f t="shared" si="68"/>
        <v/>
      </c>
    </row>
    <row r="4360" spans="9:10">
      <c r="I4360" t="str">
        <f>_xlfn.IFNA(VLOOKUP(B4360,T_DistName[],3,FALSE),"")</f>
        <v/>
      </c>
      <c r="J4360" t="str">
        <f t="shared" si="68"/>
        <v/>
      </c>
    </row>
    <row r="4361" spans="9:10">
      <c r="I4361" t="str">
        <f>_xlfn.IFNA(VLOOKUP(B4361,T_DistName[],3,FALSE),"")</f>
        <v/>
      </c>
      <c r="J4361" t="str">
        <f t="shared" si="68"/>
        <v/>
      </c>
    </row>
    <row r="4362" spans="9:10">
      <c r="I4362" t="str">
        <f>_xlfn.IFNA(VLOOKUP(B4362,T_DistName[],3,FALSE),"")</f>
        <v/>
      </c>
      <c r="J4362" t="str">
        <f t="shared" si="68"/>
        <v/>
      </c>
    </row>
    <row r="4363" spans="9:10">
      <c r="I4363" t="str">
        <f>_xlfn.IFNA(VLOOKUP(B4363,T_DistName[],3,FALSE),"")</f>
        <v/>
      </c>
      <c r="J4363" t="str">
        <f t="shared" si="68"/>
        <v/>
      </c>
    </row>
    <row r="4364" spans="9:10">
      <c r="I4364" t="str">
        <f>_xlfn.IFNA(VLOOKUP(B4364,T_DistName[],3,FALSE),"")</f>
        <v/>
      </c>
      <c r="J4364" t="str">
        <f t="shared" si="68"/>
        <v/>
      </c>
    </row>
    <row r="4365" spans="9:10">
      <c r="I4365" t="str">
        <f>_xlfn.IFNA(VLOOKUP(B4365,T_DistName[],3,FALSE),"")</f>
        <v/>
      </c>
      <c r="J4365" t="str">
        <f t="shared" si="68"/>
        <v/>
      </c>
    </row>
    <row r="4366" spans="9:10">
      <c r="I4366" t="str">
        <f>_xlfn.IFNA(VLOOKUP(B4366,T_DistName[],3,FALSE),"")</f>
        <v/>
      </c>
      <c r="J4366" t="str">
        <f t="shared" si="68"/>
        <v/>
      </c>
    </row>
    <row r="4367" spans="9:10">
      <c r="I4367" t="str">
        <f>_xlfn.IFNA(VLOOKUP(B4367,T_DistName[],3,FALSE),"")</f>
        <v/>
      </c>
      <c r="J4367" t="str">
        <f t="shared" si="68"/>
        <v/>
      </c>
    </row>
    <row r="4368" spans="9:10">
      <c r="I4368" t="str">
        <f>_xlfn.IFNA(VLOOKUP(B4368,T_DistName[],3,FALSE),"")</f>
        <v/>
      </c>
      <c r="J4368" t="str">
        <f t="shared" si="68"/>
        <v/>
      </c>
    </row>
    <row r="4369" spans="9:10">
      <c r="I4369" t="str">
        <f>_xlfn.IFNA(VLOOKUP(B4369,T_DistName[],3,FALSE),"")</f>
        <v/>
      </c>
      <c r="J4369" t="str">
        <f t="shared" si="68"/>
        <v/>
      </c>
    </row>
    <row r="4370" spans="9:10">
      <c r="I4370" t="str">
        <f>_xlfn.IFNA(VLOOKUP(B4370,T_DistName[],3,FALSE),"")</f>
        <v/>
      </c>
      <c r="J4370" t="str">
        <f t="shared" si="68"/>
        <v/>
      </c>
    </row>
    <row r="4371" spans="9:10">
      <c r="I4371" t="str">
        <f>_xlfn.IFNA(VLOOKUP(B4371,T_DistName[],3,FALSE),"")</f>
        <v/>
      </c>
      <c r="J4371" t="str">
        <f t="shared" si="68"/>
        <v/>
      </c>
    </row>
    <row r="4372" spans="9:10">
      <c r="I4372" t="str">
        <f>_xlfn.IFNA(VLOOKUP(B4372,T_DistName[],3,FALSE),"")</f>
        <v/>
      </c>
      <c r="J4372" t="str">
        <f t="shared" si="68"/>
        <v/>
      </c>
    </row>
    <row r="4373" spans="9:10">
      <c r="I4373" t="str">
        <f>_xlfn.IFNA(VLOOKUP(B4373,T_DistName[],3,FALSE),"")</f>
        <v/>
      </c>
      <c r="J4373" t="str">
        <f t="shared" si="68"/>
        <v/>
      </c>
    </row>
    <row r="4374" spans="9:10">
      <c r="I4374" t="str">
        <f>_xlfn.IFNA(VLOOKUP(B4374,T_DistName[],3,FALSE),"")</f>
        <v/>
      </c>
      <c r="J4374" t="str">
        <f t="shared" si="68"/>
        <v/>
      </c>
    </row>
    <row r="4375" spans="9:10">
      <c r="I4375" t="str">
        <f>_xlfn.IFNA(VLOOKUP(B4375,T_DistName[],3,FALSE),"")</f>
        <v/>
      </c>
      <c r="J4375" t="str">
        <f t="shared" si="68"/>
        <v/>
      </c>
    </row>
    <row r="4376" spans="9:10">
      <c r="I4376" t="str">
        <f>_xlfn.IFNA(VLOOKUP(B4376,T_DistName[],3,FALSE),"")</f>
        <v/>
      </c>
      <c r="J4376" t="str">
        <f t="shared" si="68"/>
        <v/>
      </c>
    </row>
    <row r="4377" spans="9:10">
      <c r="I4377" t="str">
        <f>_xlfn.IFNA(VLOOKUP(B4377,T_DistName[],3,FALSE),"")</f>
        <v/>
      </c>
      <c r="J4377" t="str">
        <f t="shared" ref="J4377:J4440" si="69">I4377&amp;F4377</f>
        <v/>
      </c>
    </row>
    <row r="4378" spans="9:10">
      <c r="I4378" t="str">
        <f>_xlfn.IFNA(VLOOKUP(B4378,T_DistName[],3,FALSE),"")</f>
        <v/>
      </c>
      <c r="J4378" t="str">
        <f t="shared" si="69"/>
        <v/>
      </c>
    </row>
    <row r="4379" spans="9:10">
      <c r="I4379" t="str">
        <f>_xlfn.IFNA(VLOOKUP(B4379,T_DistName[],3,FALSE),"")</f>
        <v/>
      </c>
      <c r="J4379" t="str">
        <f t="shared" si="69"/>
        <v/>
      </c>
    </row>
    <row r="4380" spans="9:10">
      <c r="I4380" t="str">
        <f>_xlfn.IFNA(VLOOKUP(B4380,T_DistName[],3,FALSE),"")</f>
        <v/>
      </c>
      <c r="J4380" t="str">
        <f t="shared" si="69"/>
        <v/>
      </c>
    </row>
    <row r="4381" spans="9:10">
      <c r="I4381" t="str">
        <f>_xlfn.IFNA(VLOOKUP(B4381,T_DistName[],3,FALSE),"")</f>
        <v/>
      </c>
      <c r="J4381" t="str">
        <f t="shared" si="69"/>
        <v/>
      </c>
    </row>
    <row r="4382" spans="9:10">
      <c r="I4382" t="str">
        <f>_xlfn.IFNA(VLOOKUP(B4382,T_DistName[],3,FALSE),"")</f>
        <v/>
      </c>
      <c r="J4382" t="str">
        <f t="shared" si="69"/>
        <v/>
      </c>
    </row>
    <row r="4383" spans="9:10">
      <c r="I4383" t="str">
        <f>_xlfn.IFNA(VLOOKUP(B4383,T_DistName[],3,FALSE),"")</f>
        <v/>
      </c>
      <c r="J4383" t="str">
        <f t="shared" si="69"/>
        <v/>
      </c>
    </row>
    <row r="4384" spans="9:10">
      <c r="I4384" t="str">
        <f>_xlfn.IFNA(VLOOKUP(B4384,T_DistName[],3,FALSE),"")</f>
        <v/>
      </c>
      <c r="J4384" t="str">
        <f t="shared" si="69"/>
        <v/>
      </c>
    </row>
    <row r="4385" spans="9:10">
      <c r="I4385" t="str">
        <f>_xlfn.IFNA(VLOOKUP(B4385,T_DistName[],3,FALSE),"")</f>
        <v/>
      </c>
      <c r="J4385" t="str">
        <f t="shared" si="69"/>
        <v/>
      </c>
    </row>
    <row r="4386" spans="9:10">
      <c r="I4386" t="str">
        <f>_xlfn.IFNA(VLOOKUP(B4386,T_DistName[],3,FALSE),"")</f>
        <v/>
      </c>
      <c r="J4386" t="str">
        <f t="shared" si="69"/>
        <v/>
      </c>
    </row>
    <row r="4387" spans="9:10">
      <c r="I4387" t="str">
        <f>_xlfn.IFNA(VLOOKUP(B4387,T_DistName[],3,FALSE),"")</f>
        <v/>
      </c>
      <c r="J4387" t="str">
        <f t="shared" si="69"/>
        <v/>
      </c>
    </row>
    <row r="4388" spans="9:10">
      <c r="I4388" t="str">
        <f>_xlfn.IFNA(VLOOKUP(B4388,T_DistName[],3,FALSE),"")</f>
        <v/>
      </c>
      <c r="J4388" t="str">
        <f t="shared" si="69"/>
        <v/>
      </c>
    </row>
    <row r="4389" spans="9:10">
      <c r="I4389" t="str">
        <f>_xlfn.IFNA(VLOOKUP(B4389,T_DistName[],3,FALSE),"")</f>
        <v/>
      </c>
      <c r="J4389" t="str">
        <f t="shared" si="69"/>
        <v/>
      </c>
    </row>
    <row r="4390" spans="9:10">
      <c r="I4390" t="str">
        <f>_xlfn.IFNA(VLOOKUP(B4390,T_DistName[],3,FALSE),"")</f>
        <v/>
      </c>
      <c r="J4390" t="str">
        <f t="shared" si="69"/>
        <v/>
      </c>
    </row>
    <row r="4391" spans="9:10">
      <c r="I4391" t="str">
        <f>_xlfn.IFNA(VLOOKUP(B4391,T_DistName[],3,FALSE),"")</f>
        <v/>
      </c>
      <c r="J4391" t="str">
        <f t="shared" si="69"/>
        <v/>
      </c>
    </row>
    <row r="4392" spans="9:10">
      <c r="I4392" t="str">
        <f>_xlfn.IFNA(VLOOKUP(B4392,T_DistName[],3,FALSE),"")</f>
        <v/>
      </c>
      <c r="J4392" t="str">
        <f t="shared" si="69"/>
        <v/>
      </c>
    </row>
    <row r="4393" spans="9:10">
      <c r="I4393" t="str">
        <f>_xlfn.IFNA(VLOOKUP(B4393,T_DistName[],3,FALSE),"")</f>
        <v/>
      </c>
      <c r="J4393" t="str">
        <f t="shared" si="69"/>
        <v/>
      </c>
    </row>
    <row r="4394" spans="9:10">
      <c r="I4394" t="str">
        <f>_xlfn.IFNA(VLOOKUP(B4394,T_DistName[],3,FALSE),"")</f>
        <v/>
      </c>
      <c r="J4394" t="str">
        <f t="shared" si="69"/>
        <v/>
      </c>
    </row>
    <row r="4395" spans="9:10">
      <c r="I4395" t="str">
        <f>_xlfn.IFNA(VLOOKUP(B4395,T_DistName[],3,FALSE),"")</f>
        <v/>
      </c>
      <c r="J4395" t="str">
        <f t="shared" si="69"/>
        <v/>
      </c>
    </row>
    <row r="4396" spans="9:10">
      <c r="I4396" t="str">
        <f>_xlfn.IFNA(VLOOKUP(B4396,T_DistName[],3,FALSE),"")</f>
        <v/>
      </c>
      <c r="J4396" t="str">
        <f t="shared" si="69"/>
        <v/>
      </c>
    </row>
    <row r="4397" spans="9:10">
      <c r="I4397" t="str">
        <f>_xlfn.IFNA(VLOOKUP(B4397,T_DistName[],3,FALSE),"")</f>
        <v/>
      </c>
      <c r="J4397" t="str">
        <f t="shared" si="69"/>
        <v/>
      </c>
    </row>
    <row r="4398" spans="9:10">
      <c r="I4398" t="str">
        <f>_xlfn.IFNA(VLOOKUP(B4398,T_DistName[],3,FALSE),"")</f>
        <v/>
      </c>
      <c r="J4398" t="str">
        <f t="shared" si="69"/>
        <v/>
      </c>
    </row>
    <row r="4399" spans="9:10">
      <c r="I4399" t="str">
        <f>_xlfn.IFNA(VLOOKUP(B4399,T_DistName[],3,FALSE),"")</f>
        <v/>
      </c>
      <c r="J4399" t="str">
        <f t="shared" si="69"/>
        <v/>
      </c>
    </row>
    <row r="4400" spans="9:10">
      <c r="I4400" t="str">
        <f>_xlfn.IFNA(VLOOKUP(B4400,T_DistName[],3,FALSE),"")</f>
        <v/>
      </c>
      <c r="J4400" t="str">
        <f t="shared" si="69"/>
        <v/>
      </c>
    </row>
    <row r="4401" spans="9:10">
      <c r="I4401" t="str">
        <f>_xlfn.IFNA(VLOOKUP(B4401,T_DistName[],3,FALSE),"")</f>
        <v/>
      </c>
      <c r="J4401" t="str">
        <f t="shared" si="69"/>
        <v/>
      </c>
    </row>
    <row r="4402" spans="9:10">
      <c r="I4402" t="str">
        <f>_xlfn.IFNA(VLOOKUP(B4402,T_DistName[],3,FALSE),"")</f>
        <v/>
      </c>
      <c r="J4402" t="str">
        <f t="shared" si="69"/>
        <v/>
      </c>
    </row>
    <row r="4403" spans="9:10">
      <c r="I4403" t="str">
        <f>_xlfn.IFNA(VLOOKUP(B4403,T_DistName[],3,FALSE),"")</f>
        <v/>
      </c>
      <c r="J4403" t="str">
        <f t="shared" si="69"/>
        <v/>
      </c>
    </row>
    <row r="4404" spans="9:10">
      <c r="I4404" t="str">
        <f>_xlfn.IFNA(VLOOKUP(B4404,T_DistName[],3,FALSE),"")</f>
        <v/>
      </c>
      <c r="J4404" t="str">
        <f t="shared" si="69"/>
        <v/>
      </c>
    </row>
    <row r="4405" spans="9:10">
      <c r="I4405" t="str">
        <f>_xlfn.IFNA(VLOOKUP(B4405,T_DistName[],3,FALSE),"")</f>
        <v/>
      </c>
      <c r="J4405" t="str">
        <f t="shared" si="69"/>
        <v/>
      </c>
    </row>
    <row r="4406" spans="9:10">
      <c r="I4406" t="str">
        <f>_xlfn.IFNA(VLOOKUP(B4406,T_DistName[],3,FALSE),"")</f>
        <v/>
      </c>
      <c r="J4406" t="str">
        <f t="shared" si="69"/>
        <v/>
      </c>
    </row>
    <row r="4407" spans="9:10">
      <c r="I4407" t="str">
        <f>_xlfn.IFNA(VLOOKUP(B4407,T_DistName[],3,FALSE),"")</f>
        <v/>
      </c>
      <c r="J4407" t="str">
        <f t="shared" si="69"/>
        <v/>
      </c>
    </row>
    <row r="4408" spans="9:10">
      <c r="I4408" t="str">
        <f>_xlfn.IFNA(VLOOKUP(B4408,T_DistName[],3,FALSE),"")</f>
        <v/>
      </c>
      <c r="J4408" t="str">
        <f t="shared" si="69"/>
        <v/>
      </c>
    </row>
    <row r="4409" spans="9:10">
      <c r="I4409" t="str">
        <f>_xlfn.IFNA(VLOOKUP(B4409,T_DistName[],3,FALSE),"")</f>
        <v/>
      </c>
      <c r="J4409" t="str">
        <f t="shared" si="69"/>
        <v/>
      </c>
    </row>
    <row r="4410" spans="9:10">
      <c r="I4410" t="str">
        <f>_xlfn.IFNA(VLOOKUP(B4410,T_DistName[],3,FALSE),"")</f>
        <v/>
      </c>
      <c r="J4410" t="str">
        <f t="shared" si="69"/>
        <v/>
      </c>
    </row>
    <row r="4411" spans="9:10">
      <c r="I4411" t="str">
        <f>_xlfn.IFNA(VLOOKUP(B4411,T_DistName[],3,FALSE),"")</f>
        <v/>
      </c>
      <c r="J4411" t="str">
        <f t="shared" si="69"/>
        <v/>
      </c>
    </row>
    <row r="4412" spans="9:10">
      <c r="I4412" t="str">
        <f>_xlfn.IFNA(VLOOKUP(B4412,T_DistName[],3,FALSE),"")</f>
        <v/>
      </c>
      <c r="J4412" t="str">
        <f t="shared" si="69"/>
        <v/>
      </c>
    </row>
    <row r="4413" spans="9:10">
      <c r="I4413" t="str">
        <f>_xlfn.IFNA(VLOOKUP(B4413,T_DistName[],3,FALSE),"")</f>
        <v/>
      </c>
      <c r="J4413" t="str">
        <f t="shared" si="69"/>
        <v/>
      </c>
    </row>
    <row r="4414" spans="9:10">
      <c r="I4414" t="str">
        <f>_xlfn.IFNA(VLOOKUP(B4414,T_DistName[],3,FALSE),"")</f>
        <v/>
      </c>
      <c r="J4414" t="str">
        <f t="shared" si="69"/>
        <v/>
      </c>
    </row>
    <row r="4415" spans="9:10">
      <c r="I4415" t="str">
        <f>_xlfn.IFNA(VLOOKUP(B4415,T_DistName[],3,FALSE),"")</f>
        <v/>
      </c>
      <c r="J4415" t="str">
        <f t="shared" si="69"/>
        <v/>
      </c>
    </row>
    <row r="4416" spans="9:10">
      <c r="I4416" t="str">
        <f>_xlfn.IFNA(VLOOKUP(B4416,T_DistName[],3,FALSE),"")</f>
        <v/>
      </c>
      <c r="J4416" t="str">
        <f t="shared" si="69"/>
        <v/>
      </c>
    </row>
    <row r="4417" spans="9:10">
      <c r="I4417" t="str">
        <f>_xlfn.IFNA(VLOOKUP(B4417,T_DistName[],3,FALSE),"")</f>
        <v/>
      </c>
      <c r="J4417" t="str">
        <f t="shared" si="69"/>
        <v/>
      </c>
    </row>
    <row r="4418" spans="9:10">
      <c r="I4418" t="str">
        <f>_xlfn.IFNA(VLOOKUP(B4418,T_DistName[],3,FALSE),"")</f>
        <v/>
      </c>
      <c r="J4418" t="str">
        <f t="shared" si="69"/>
        <v/>
      </c>
    </row>
    <row r="4419" spans="9:10">
      <c r="I4419" t="str">
        <f>_xlfn.IFNA(VLOOKUP(B4419,T_DistName[],3,FALSE),"")</f>
        <v/>
      </c>
      <c r="J4419" t="str">
        <f t="shared" si="69"/>
        <v/>
      </c>
    </row>
    <row r="4420" spans="9:10">
      <c r="I4420" t="str">
        <f>_xlfn.IFNA(VLOOKUP(B4420,T_DistName[],3,FALSE),"")</f>
        <v/>
      </c>
      <c r="J4420" t="str">
        <f t="shared" si="69"/>
        <v/>
      </c>
    </row>
    <row r="4421" spans="9:10">
      <c r="I4421" t="str">
        <f>_xlfn.IFNA(VLOOKUP(B4421,T_DistName[],3,FALSE),"")</f>
        <v/>
      </c>
      <c r="J4421" t="str">
        <f t="shared" si="69"/>
        <v/>
      </c>
    </row>
    <row r="4422" spans="9:10">
      <c r="I4422" t="str">
        <f>_xlfn.IFNA(VLOOKUP(B4422,T_DistName[],3,FALSE),"")</f>
        <v/>
      </c>
      <c r="J4422" t="str">
        <f t="shared" si="69"/>
        <v/>
      </c>
    </row>
    <row r="4423" spans="9:10">
      <c r="I4423" t="str">
        <f>_xlfn.IFNA(VLOOKUP(B4423,T_DistName[],3,FALSE),"")</f>
        <v/>
      </c>
      <c r="J4423" t="str">
        <f t="shared" si="69"/>
        <v/>
      </c>
    </row>
    <row r="4424" spans="9:10">
      <c r="I4424" t="str">
        <f>_xlfn.IFNA(VLOOKUP(B4424,T_DistName[],3,FALSE),"")</f>
        <v/>
      </c>
      <c r="J4424" t="str">
        <f t="shared" si="69"/>
        <v/>
      </c>
    </row>
    <row r="4425" spans="9:10">
      <c r="I4425" t="str">
        <f>_xlfn.IFNA(VLOOKUP(B4425,T_DistName[],3,FALSE),"")</f>
        <v/>
      </c>
      <c r="J4425" t="str">
        <f t="shared" si="69"/>
        <v/>
      </c>
    </row>
    <row r="4426" spans="9:10">
      <c r="I4426" t="str">
        <f>_xlfn.IFNA(VLOOKUP(B4426,T_DistName[],3,FALSE),"")</f>
        <v/>
      </c>
      <c r="J4426" t="str">
        <f t="shared" si="69"/>
        <v/>
      </c>
    </row>
    <row r="4427" spans="9:10">
      <c r="I4427" t="str">
        <f>_xlfn.IFNA(VLOOKUP(B4427,T_DistName[],3,FALSE),"")</f>
        <v/>
      </c>
      <c r="J4427" t="str">
        <f t="shared" si="69"/>
        <v/>
      </c>
    </row>
    <row r="4428" spans="9:10">
      <c r="I4428" t="str">
        <f>_xlfn.IFNA(VLOOKUP(B4428,T_DistName[],3,FALSE),"")</f>
        <v/>
      </c>
      <c r="J4428" t="str">
        <f t="shared" si="69"/>
        <v/>
      </c>
    </row>
    <row r="4429" spans="9:10">
      <c r="I4429" t="str">
        <f>_xlfn.IFNA(VLOOKUP(B4429,T_DistName[],3,FALSE),"")</f>
        <v/>
      </c>
      <c r="J4429" t="str">
        <f t="shared" si="69"/>
        <v/>
      </c>
    </row>
    <row r="4430" spans="9:10">
      <c r="I4430" t="str">
        <f>_xlfn.IFNA(VLOOKUP(B4430,T_DistName[],3,FALSE),"")</f>
        <v/>
      </c>
      <c r="J4430" t="str">
        <f t="shared" si="69"/>
        <v/>
      </c>
    </row>
    <row r="4431" spans="9:10">
      <c r="I4431" t="str">
        <f>_xlfn.IFNA(VLOOKUP(B4431,T_DistName[],3,FALSE),"")</f>
        <v/>
      </c>
      <c r="J4431" t="str">
        <f t="shared" si="69"/>
        <v/>
      </c>
    </row>
    <row r="4432" spans="9:10">
      <c r="I4432" t="str">
        <f>_xlfn.IFNA(VLOOKUP(B4432,T_DistName[],3,FALSE),"")</f>
        <v/>
      </c>
      <c r="J4432" t="str">
        <f t="shared" si="69"/>
        <v/>
      </c>
    </row>
    <row r="4433" spans="9:10">
      <c r="I4433" t="str">
        <f>_xlfn.IFNA(VLOOKUP(B4433,T_DistName[],3,FALSE),"")</f>
        <v/>
      </c>
      <c r="J4433" t="str">
        <f t="shared" si="69"/>
        <v/>
      </c>
    </row>
    <row r="4434" spans="9:10">
      <c r="I4434" t="str">
        <f>_xlfn.IFNA(VLOOKUP(B4434,T_DistName[],3,FALSE),"")</f>
        <v/>
      </c>
      <c r="J4434" t="str">
        <f t="shared" si="69"/>
        <v/>
      </c>
    </row>
    <row r="4435" spans="9:10">
      <c r="I4435" t="str">
        <f>_xlfn.IFNA(VLOOKUP(B4435,T_DistName[],3,FALSE),"")</f>
        <v/>
      </c>
      <c r="J4435" t="str">
        <f t="shared" si="69"/>
        <v/>
      </c>
    </row>
    <row r="4436" spans="9:10">
      <c r="I4436" t="str">
        <f>_xlfn.IFNA(VLOOKUP(B4436,T_DistName[],3,FALSE),"")</f>
        <v/>
      </c>
      <c r="J4436" t="str">
        <f t="shared" si="69"/>
        <v/>
      </c>
    </row>
    <row r="4437" spans="9:10">
      <c r="I4437" t="str">
        <f>_xlfn.IFNA(VLOOKUP(B4437,T_DistName[],3,FALSE),"")</f>
        <v/>
      </c>
      <c r="J4437" t="str">
        <f t="shared" si="69"/>
        <v/>
      </c>
    </row>
    <row r="4438" spans="9:10">
      <c r="I4438" t="str">
        <f>_xlfn.IFNA(VLOOKUP(B4438,T_DistName[],3,FALSE),"")</f>
        <v/>
      </c>
      <c r="J4438" t="str">
        <f t="shared" si="69"/>
        <v/>
      </c>
    </row>
    <row r="4439" spans="9:10">
      <c r="I4439" t="str">
        <f>_xlfn.IFNA(VLOOKUP(B4439,T_DistName[],3,FALSE),"")</f>
        <v/>
      </c>
      <c r="J4439" t="str">
        <f t="shared" si="69"/>
        <v/>
      </c>
    </row>
    <row r="4440" spans="9:10">
      <c r="I4440" t="str">
        <f>_xlfn.IFNA(VLOOKUP(B4440,T_DistName[],3,FALSE),"")</f>
        <v/>
      </c>
      <c r="J4440" t="str">
        <f t="shared" si="69"/>
        <v/>
      </c>
    </row>
    <row r="4441" spans="9:10">
      <c r="I4441" t="str">
        <f>_xlfn.IFNA(VLOOKUP(B4441,T_DistName[],3,FALSE),"")</f>
        <v/>
      </c>
      <c r="J4441" t="str">
        <f t="shared" ref="J4441:J4504" si="70">I4441&amp;F4441</f>
        <v/>
      </c>
    </row>
    <row r="4442" spans="9:10">
      <c r="I4442" t="str">
        <f>_xlfn.IFNA(VLOOKUP(B4442,T_DistName[],3,FALSE),"")</f>
        <v/>
      </c>
      <c r="J4442" t="str">
        <f t="shared" si="70"/>
        <v/>
      </c>
    </row>
    <row r="4443" spans="9:10">
      <c r="I4443" t="str">
        <f>_xlfn.IFNA(VLOOKUP(B4443,T_DistName[],3,FALSE),"")</f>
        <v/>
      </c>
      <c r="J4443" t="str">
        <f t="shared" si="70"/>
        <v/>
      </c>
    </row>
    <row r="4444" spans="9:10">
      <c r="I4444" t="str">
        <f>_xlfn.IFNA(VLOOKUP(B4444,T_DistName[],3,FALSE),"")</f>
        <v/>
      </c>
      <c r="J4444" t="str">
        <f t="shared" si="70"/>
        <v/>
      </c>
    </row>
    <row r="4445" spans="9:10">
      <c r="I4445" t="str">
        <f>_xlfn.IFNA(VLOOKUP(B4445,T_DistName[],3,FALSE),"")</f>
        <v/>
      </c>
      <c r="J4445" t="str">
        <f t="shared" si="70"/>
        <v/>
      </c>
    </row>
    <row r="4446" spans="9:10">
      <c r="I4446" t="str">
        <f>_xlfn.IFNA(VLOOKUP(B4446,T_DistName[],3,FALSE),"")</f>
        <v/>
      </c>
      <c r="J4446" t="str">
        <f t="shared" si="70"/>
        <v/>
      </c>
    </row>
    <row r="4447" spans="9:10">
      <c r="I4447" t="str">
        <f>_xlfn.IFNA(VLOOKUP(B4447,T_DistName[],3,FALSE),"")</f>
        <v/>
      </c>
      <c r="J4447" t="str">
        <f t="shared" si="70"/>
        <v/>
      </c>
    </row>
    <row r="4448" spans="9:10">
      <c r="I4448" t="str">
        <f>_xlfn.IFNA(VLOOKUP(B4448,T_DistName[],3,FALSE),"")</f>
        <v/>
      </c>
      <c r="J4448" t="str">
        <f t="shared" si="70"/>
        <v/>
      </c>
    </row>
    <row r="4449" spans="9:10">
      <c r="I4449" t="str">
        <f>_xlfn.IFNA(VLOOKUP(B4449,T_DistName[],3,FALSE),"")</f>
        <v/>
      </c>
      <c r="J4449" t="str">
        <f t="shared" si="70"/>
        <v/>
      </c>
    </row>
    <row r="4450" spans="9:10">
      <c r="I4450" t="str">
        <f>_xlfn.IFNA(VLOOKUP(B4450,T_DistName[],3,FALSE),"")</f>
        <v/>
      </c>
      <c r="J4450" t="str">
        <f t="shared" si="70"/>
        <v/>
      </c>
    </row>
    <row r="4451" spans="9:10">
      <c r="I4451" t="str">
        <f>_xlfn.IFNA(VLOOKUP(B4451,T_DistName[],3,FALSE),"")</f>
        <v/>
      </c>
      <c r="J4451" t="str">
        <f t="shared" si="70"/>
        <v/>
      </c>
    </row>
    <row r="4452" spans="9:10">
      <c r="I4452" t="str">
        <f>_xlfn.IFNA(VLOOKUP(B4452,T_DistName[],3,FALSE),"")</f>
        <v/>
      </c>
      <c r="J4452" t="str">
        <f t="shared" si="70"/>
        <v/>
      </c>
    </row>
    <row r="4453" spans="9:10">
      <c r="I4453" t="str">
        <f>_xlfn.IFNA(VLOOKUP(B4453,T_DistName[],3,FALSE),"")</f>
        <v/>
      </c>
      <c r="J4453" t="str">
        <f t="shared" si="70"/>
        <v/>
      </c>
    </row>
    <row r="4454" spans="9:10">
      <c r="I4454" t="str">
        <f>_xlfn.IFNA(VLOOKUP(B4454,T_DistName[],3,FALSE),"")</f>
        <v/>
      </c>
      <c r="J4454" t="str">
        <f t="shared" si="70"/>
        <v/>
      </c>
    </row>
    <row r="4455" spans="9:10">
      <c r="I4455" t="str">
        <f>_xlfn.IFNA(VLOOKUP(B4455,T_DistName[],3,FALSE),"")</f>
        <v/>
      </c>
      <c r="J4455" t="str">
        <f t="shared" si="70"/>
        <v/>
      </c>
    </row>
    <row r="4456" spans="9:10">
      <c r="I4456" t="str">
        <f>_xlfn.IFNA(VLOOKUP(B4456,T_DistName[],3,FALSE),"")</f>
        <v/>
      </c>
      <c r="J4456" t="str">
        <f t="shared" si="70"/>
        <v/>
      </c>
    </row>
    <row r="4457" spans="9:10">
      <c r="I4457" t="str">
        <f>_xlfn.IFNA(VLOOKUP(B4457,T_DistName[],3,FALSE),"")</f>
        <v/>
      </c>
      <c r="J4457" t="str">
        <f t="shared" si="70"/>
        <v/>
      </c>
    </row>
    <row r="4458" spans="9:10">
      <c r="I4458" t="str">
        <f>_xlfn.IFNA(VLOOKUP(B4458,T_DistName[],3,FALSE),"")</f>
        <v/>
      </c>
      <c r="J4458" t="str">
        <f t="shared" si="70"/>
        <v/>
      </c>
    </row>
    <row r="4459" spans="9:10">
      <c r="I4459" t="str">
        <f>_xlfn.IFNA(VLOOKUP(B4459,T_DistName[],3,FALSE),"")</f>
        <v/>
      </c>
      <c r="J4459" t="str">
        <f t="shared" si="70"/>
        <v/>
      </c>
    </row>
    <row r="4460" spans="9:10">
      <c r="I4460" t="str">
        <f>_xlfn.IFNA(VLOOKUP(B4460,T_DistName[],3,FALSE),"")</f>
        <v/>
      </c>
      <c r="J4460" t="str">
        <f t="shared" si="70"/>
        <v/>
      </c>
    </row>
    <row r="4461" spans="9:10">
      <c r="I4461" t="str">
        <f>_xlfn.IFNA(VLOOKUP(B4461,T_DistName[],3,FALSE),"")</f>
        <v/>
      </c>
      <c r="J4461" t="str">
        <f t="shared" si="70"/>
        <v/>
      </c>
    </row>
    <row r="4462" spans="9:10">
      <c r="I4462" t="str">
        <f>_xlfn.IFNA(VLOOKUP(B4462,T_DistName[],3,FALSE),"")</f>
        <v/>
      </c>
      <c r="J4462" t="str">
        <f t="shared" si="70"/>
        <v/>
      </c>
    </row>
    <row r="4463" spans="9:10">
      <c r="I4463" t="str">
        <f>_xlfn.IFNA(VLOOKUP(B4463,T_DistName[],3,FALSE),"")</f>
        <v/>
      </c>
      <c r="J4463" t="str">
        <f t="shared" si="70"/>
        <v/>
      </c>
    </row>
    <row r="4464" spans="9:10">
      <c r="I4464" t="str">
        <f>_xlfn.IFNA(VLOOKUP(B4464,T_DistName[],3,FALSE),"")</f>
        <v/>
      </c>
      <c r="J4464" t="str">
        <f t="shared" si="70"/>
        <v/>
      </c>
    </row>
    <row r="4465" spans="9:10">
      <c r="I4465" t="str">
        <f>_xlfn.IFNA(VLOOKUP(B4465,T_DistName[],3,FALSE),"")</f>
        <v/>
      </c>
      <c r="J4465" t="str">
        <f t="shared" si="70"/>
        <v/>
      </c>
    </row>
    <row r="4466" spans="9:10">
      <c r="I4466" t="str">
        <f>_xlfn.IFNA(VLOOKUP(B4466,T_DistName[],3,FALSE),"")</f>
        <v/>
      </c>
      <c r="J4466" t="str">
        <f t="shared" si="70"/>
        <v/>
      </c>
    </row>
    <row r="4467" spans="9:10">
      <c r="I4467" t="str">
        <f>_xlfn.IFNA(VLOOKUP(B4467,T_DistName[],3,FALSE),"")</f>
        <v/>
      </c>
      <c r="J4467" t="str">
        <f t="shared" si="70"/>
        <v/>
      </c>
    </row>
    <row r="4468" spans="9:10">
      <c r="I4468" t="str">
        <f>_xlfn.IFNA(VLOOKUP(B4468,T_DistName[],3,FALSE),"")</f>
        <v/>
      </c>
      <c r="J4468" t="str">
        <f t="shared" si="70"/>
        <v/>
      </c>
    </row>
    <row r="4469" spans="9:10">
      <c r="I4469" t="str">
        <f>_xlfn.IFNA(VLOOKUP(B4469,T_DistName[],3,FALSE),"")</f>
        <v/>
      </c>
      <c r="J4469" t="str">
        <f t="shared" si="70"/>
        <v/>
      </c>
    </row>
    <row r="4470" spans="9:10">
      <c r="I4470" t="str">
        <f>_xlfn.IFNA(VLOOKUP(B4470,T_DistName[],3,FALSE),"")</f>
        <v/>
      </c>
      <c r="J4470" t="str">
        <f t="shared" si="70"/>
        <v/>
      </c>
    </row>
    <row r="4471" spans="9:10">
      <c r="I4471" t="str">
        <f>_xlfn.IFNA(VLOOKUP(B4471,T_DistName[],3,FALSE),"")</f>
        <v/>
      </c>
      <c r="J4471" t="str">
        <f t="shared" si="70"/>
        <v/>
      </c>
    </row>
    <row r="4472" spans="9:10">
      <c r="I4472" t="str">
        <f>_xlfn.IFNA(VLOOKUP(B4472,T_DistName[],3,FALSE),"")</f>
        <v/>
      </c>
      <c r="J4472" t="str">
        <f t="shared" si="70"/>
        <v/>
      </c>
    </row>
    <row r="4473" spans="9:10">
      <c r="I4473" t="str">
        <f>_xlfn.IFNA(VLOOKUP(B4473,T_DistName[],3,FALSE),"")</f>
        <v/>
      </c>
      <c r="J4473" t="str">
        <f t="shared" si="70"/>
        <v/>
      </c>
    </row>
    <row r="4474" spans="9:10">
      <c r="I4474" t="str">
        <f>_xlfn.IFNA(VLOOKUP(B4474,T_DistName[],3,FALSE),"")</f>
        <v/>
      </c>
      <c r="J4474" t="str">
        <f t="shared" si="70"/>
        <v/>
      </c>
    </row>
    <row r="4475" spans="9:10">
      <c r="I4475" t="str">
        <f>_xlfn.IFNA(VLOOKUP(B4475,T_DistName[],3,FALSE),"")</f>
        <v/>
      </c>
      <c r="J4475" t="str">
        <f t="shared" si="70"/>
        <v/>
      </c>
    </row>
    <row r="4476" spans="9:10">
      <c r="I4476" t="str">
        <f>_xlfn.IFNA(VLOOKUP(B4476,T_DistName[],3,FALSE),"")</f>
        <v/>
      </c>
      <c r="J4476" t="str">
        <f t="shared" si="70"/>
        <v/>
      </c>
    </row>
    <row r="4477" spans="9:10">
      <c r="I4477" t="str">
        <f>_xlfn.IFNA(VLOOKUP(B4477,T_DistName[],3,FALSE),"")</f>
        <v/>
      </c>
      <c r="J4477" t="str">
        <f t="shared" si="70"/>
        <v/>
      </c>
    </row>
    <row r="4478" spans="9:10">
      <c r="I4478" t="str">
        <f>_xlfn.IFNA(VLOOKUP(B4478,T_DistName[],3,FALSE),"")</f>
        <v/>
      </c>
      <c r="J4478" t="str">
        <f t="shared" si="70"/>
        <v/>
      </c>
    </row>
    <row r="4479" spans="9:10">
      <c r="I4479" t="str">
        <f>_xlfn.IFNA(VLOOKUP(B4479,T_DistName[],3,FALSE),"")</f>
        <v/>
      </c>
      <c r="J4479" t="str">
        <f t="shared" si="70"/>
        <v/>
      </c>
    </row>
    <row r="4480" spans="9:10">
      <c r="I4480" t="str">
        <f>_xlfn.IFNA(VLOOKUP(B4480,T_DistName[],3,FALSE),"")</f>
        <v/>
      </c>
      <c r="J4480" t="str">
        <f t="shared" si="70"/>
        <v/>
      </c>
    </row>
    <row r="4481" spans="9:10">
      <c r="I4481" t="str">
        <f>_xlfn.IFNA(VLOOKUP(B4481,T_DistName[],3,FALSE),"")</f>
        <v/>
      </c>
      <c r="J4481" t="str">
        <f t="shared" si="70"/>
        <v/>
      </c>
    </row>
    <row r="4482" spans="9:10">
      <c r="I4482" t="str">
        <f>_xlfn.IFNA(VLOOKUP(B4482,T_DistName[],3,FALSE),"")</f>
        <v/>
      </c>
      <c r="J4482" t="str">
        <f t="shared" si="70"/>
        <v/>
      </c>
    </row>
    <row r="4483" spans="9:10">
      <c r="I4483" t="str">
        <f>_xlfn.IFNA(VLOOKUP(B4483,T_DistName[],3,FALSE),"")</f>
        <v/>
      </c>
      <c r="J4483" t="str">
        <f t="shared" si="70"/>
        <v/>
      </c>
    </row>
    <row r="4484" spans="9:10">
      <c r="I4484" t="str">
        <f>_xlfn.IFNA(VLOOKUP(B4484,T_DistName[],3,FALSE),"")</f>
        <v/>
      </c>
      <c r="J4484" t="str">
        <f t="shared" si="70"/>
        <v/>
      </c>
    </row>
    <row r="4485" spans="9:10">
      <c r="I4485" t="str">
        <f>_xlfn.IFNA(VLOOKUP(B4485,T_DistName[],3,FALSE),"")</f>
        <v/>
      </c>
      <c r="J4485" t="str">
        <f t="shared" si="70"/>
        <v/>
      </c>
    </row>
    <row r="4486" spans="9:10">
      <c r="I4486" t="str">
        <f>_xlfn.IFNA(VLOOKUP(B4486,T_DistName[],3,FALSE),"")</f>
        <v/>
      </c>
      <c r="J4486" t="str">
        <f t="shared" si="70"/>
        <v/>
      </c>
    </row>
    <row r="4487" spans="9:10">
      <c r="I4487" t="str">
        <f>_xlfn.IFNA(VLOOKUP(B4487,T_DistName[],3,FALSE),"")</f>
        <v/>
      </c>
      <c r="J4487" t="str">
        <f t="shared" si="70"/>
        <v/>
      </c>
    </row>
    <row r="4488" spans="9:10">
      <c r="I4488" t="str">
        <f>_xlfn.IFNA(VLOOKUP(B4488,T_DistName[],3,FALSE),"")</f>
        <v/>
      </c>
      <c r="J4488" t="str">
        <f t="shared" si="70"/>
        <v/>
      </c>
    </row>
    <row r="4489" spans="9:10">
      <c r="I4489" t="str">
        <f>_xlfn.IFNA(VLOOKUP(B4489,T_DistName[],3,FALSE),"")</f>
        <v/>
      </c>
      <c r="J4489" t="str">
        <f t="shared" si="70"/>
        <v/>
      </c>
    </row>
    <row r="4490" spans="9:10">
      <c r="I4490" t="str">
        <f>_xlfn.IFNA(VLOOKUP(B4490,T_DistName[],3,FALSE),"")</f>
        <v/>
      </c>
      <c r="J4490" t="str">
        <f t="shared" si="70"/>
        <v/>
      </c>
    </row>
    <row r="4491" spans="9:10">
      <c r="I4491" t="str">
        <f>_xlfn.IFNA(VLOOKUP(B4491,T_DistName[],3,FALSE),"")</f>
        <v/>
      </c>
      <c r="J4491" t="str">
        <f t="shared" si="70"/>
        <v/>
      </c>
    </row>
    <row r="4492" spans="9:10">
      <c r="I4492" t="str">
        <f>_xlfn.IFNA(VLOOKUP(B4492,T_DistName[],3,FALSE),"")</f>
        <v/>
      </c>
      <c r="J4492" t="str">
        <f t="shared" si="70"/>
        <v/>
      </c>
    </row>
    <row r="4493" spans="9:10">
      <c r="I4493" t="str">
        <f>_xlfn.IFNA(VLOOKUP(B4493,T_DistName[],3,FALSE),"")</f>
        <v/>
      </c>
      <c r="J4493" t="str">
        <f t="shared" si="70"/>
        <v/>
      </c>
    </row>
    <row r="4494" spans="9:10">
      <c r="I4494" t="str">
        <f>_xlfn.IFNA(VLOOKUP(B4494,T_DistName[],3,FALSE),"")</f>
        <v/>
      </c>
      <c r="J4494" t="str">
        <f t="shared" si="70"/>
        <v/>
      </c>
    </row>
    <row r="4495" spans="9:10">
      <c r="I4495" t="str">
        <f>_xlfn.IFNA(VLOOKUP(B4495,T_DistName[],3,FALSE),"")</f>
        <v/>
      </c>
      <c r="J4495" t="str">
        <f t="shared" si="70"/>
        <v/>
      </c>
    </row>
    <row r="4496" spans="9:10">
      <c r="I4496" t="str">
        <f>_xlfn.IFNA(VLOOKUP(B4496,T_DistName[],3,FALSE),"")</f>
        <v/>
      </c>
      <c r="J4496" t="str">
        <f t="shared" si="70"/>
        <v/>
      </c>
    </row>
    <row r="4497" spans="9:10">
      <c r="I4497" t="str">
        <f>_xlfn.IFNA(VLOOKUP(B4497,T_DistName[],3,FALSE),"")</f>
        <v/>
      </c>
      <c r="J4497" t="str">
        <f t="shared" si="70"/>
        <v/>
      </c>
    </row>
    <row r="4498" spans="9:10">
      <c r="I4498" t="str">
        <f>_xlfn.IFNA(VLOOKUP(B4498,T_DistName[],3,FALSE),"")</f>
        <v/>
      </c>
      <c r="J4498" t="str">
        <f t="shared" si="70"/>
        <v/>
      </c>
    </row>
    <row r="4499" spans="9:10">
      <c r="I4499" t="str">
        <f>_xlfn.IFNA(VLOOKUP(B4499,T_DistName[],3,FALSE),"")</f>
        <v/>
      </c>
      <c r="J4499" t="str">
        <f t="shared" si="70"/>
        <v/>
      </c>
    </row>
    <row r="4500" spans="9:10">
      <c r="I4500" t="str">
        <f>_xlfn.IFNA(VLOOKUP(B4500,T_DistName[],3,FALSE),"")</f>
        <v/>
      </c>
      <c r="J4500" t="str">
        <f t="shared" si="70"/>
        <v/>
      </c>
    </row>
    <row r="4501" spans="9:10">
      <c r="I4501" t="str">
        <f>_xlfn.IFNA(VLOOKUP(B4501,T_DistName[],3,FALSE),"")</f>
        <v/>
      </c>
      <c r="J4501" t="str">
        <f t="shared" si="70"/>
        <v/>
      </c>
    </row>
    <row r="4502" spans="9:10">
      <c r="I4502" t="str">
        <f>_xlfn.IFNA(VLOOKUP(B4502,T_DistName[],3,FALSE),"")</f>
        <v/>
      </c>
      <c r="J4502" t="str">
        <f t="shared" si="70"/>
        <v/>
      </c>
    </row>
    <row r="4503" spans="9:10">
      <c r="I4503" t="str">
        <f>_xlfn.IFNA(VLOOKUP(B4503,T_DistName[],3,FALSE),"")</f>
        <v/>
      </c>
      <c r="J4503" t="str">
        <f t="shared" si="70"/>
        <v/>
      </c>
    </row>
    <row r="4504" spans="9:10">
      <c r="I4504" t="str">
        <f>_xlfn.IFNA(VLOOKUP(B4504,T_DistName[],3,FALSE),"")</f>
        <v/>
      </c>
      <c r="J4504" t="str">
        <f t="shared" si="70"/>
        <v/>
      </c>
    </row>
    <row r="4505" spans="9:10">
      <c r="I4505" t="str">
        <f>_xlfn.IFNA(VLOOKUP(B4505,T_DistName[],3,FALSE),"")</f>
        <v/>
      </c>
      <c r="J4505" t="str">
        <f t="shared" ref="J4505:J4568" si="71">I4505&amp;F4505</f>
        <v/>
      </c>
    </row>
    <row r="4506" spans="9:10">
      <c r="I4506" t="str">
        <f>_xlfn.IFNA(VLOOKUP(B4506,T_DistName[],3,FALSE),"")</f>
        <v/>
      </c>
      <c r="J4506" t="str">
        <f t="shared" si="71"/>
        <v/>
      </c>
    </row>
    <row r="4507" spans="9:10">
      <c r="I4507" t="str">
        <f>_xlfn.IFNA(VLOOKUP(B4507,T_DistName[],3,FALSE),"")</f>
        <v/>
      </c>
      <c r="J4507" t="str">
        <f t="shared" si="71"/>
        <v/>
      </c>
    </row>
    <row r="4508" spans="9:10">
      <c r="I4508" t="str">
        <f>_xlfn.IFNA(VLOOKUP(B4508,T_DistName[],3,FALSE),"")</f>
        <v/>
      </c>
      <c r="J4508" t="str">
        <f t="shared" si="71"/>
        <v/>
      </c>
    </row>
    <row r="4509" spans="9:10">
      <c r="I4509" t="str">
        <f>_xlfn.IFNA(VLOOKUP(B4509,T_DistName[],3,FALSE),"")</f>
        <v/>
      </c>
      <c r="J4509" t="str">
        <f t="shared" si="71"/>
        <v/>
      </c>
    </row>
    <row r="4510" spans="9:10">
      <c r="I4510" t="str">
        <f>_xlfn.IFNA(VLOOKUP(B4510,T_DistName[],3,FALSE),"")</f>
        <v/>
      </c>
      <c r="J4510" t="str">
        <f t="shared" si="71"/>
        <v/>
      </c>
    </row>
    <row r="4511" spans="9:10">
      <c r="I4511" t="str">
        <f>_xlfn.IFNA(VLOOKUP(B4511,T_DistName[],3,FALSE),"")</f>
        <v/>
      </c>
      <c r="J4511" t="str">
        <f t="shared" si="71"/>
        <v/>
      </c>
    </row>
    <row r="4512" spans="9:10">
      <c r="I4512" t="str">
        <f>_xlfn.IFNA(VLOOKUP(B4512,T_DistName[],3,FALSE),"")</f>
        <v/>
      </c>
      <c r="J4512" t="str">
        <f t="shared" si="71"/>
        <v/>
      </c>
    </row>
    <row r="4513" spans="9:10">
      <c r="I4513" t="str">
        <f>_xlfn.IFNA(VLOOKUP(B4513,T_DistName[],3,FALSE),"")</f>
        <v/>
      </c>
      <c r="J4513" t="str">
        <f t="shared" si="71"/>
        <v/>
      </c>
    </row>
    <row r="4514" spans="9:10">
      <c r="I4514" t="str">
        <f>_xlfn.IFNA(VLOOKUP(B4514,T_DistName[],3,FALSE),"")</f>
        <v/>
      </c>
      <c r="J4514" t="str">
        <f t="shared" si="71"/>
        <v/>
      </c>
    </row>
    <row r="4515" spans="9:10">
      <c r="I4515" t="str">
        <f>_xlfn.IFNA(VLOOKUP(B4515,T_DistName[],3,FALSE),"")</f>
        <v/>
      </c>
      <c r="J4515" t="str">
        <f t="shared" si="71"/>
        <v/>
      </c>
    </row>
    <row r="4516" spans="9:10">
      <c r="I4516" t="str">
        <f>_xlfn.IFNA(VLOOKUP(B4516,T_DistName[],3,FALSE),"")</f>
        <v/>
      </c>
      <c r="J4516" t="str">
        <f t="shared" si="71"/>
        <v/>
      </c>
    </row>
    <row r="4517" spans="9:10">
      <c r="I4517" t="str">
        <f>_xlfn.IFNA(VLOOKUP(B4517,T_DistName[],3,FALSE),"")</f>
        <v/>
      </c>
      <c r="J4517" t="str">
        <f t="shared" si="71"/>
        <v/>
      </c>
    </row>
    <row r="4518" spans="9:10">
      <c r="I4518" t="str">
        <f>_xlfn.IFNA(VLOOKUP(B4518,T_DistName[],3,FALSE),"")</f>
        <v/>
      </c>
      <c r="J4518" t="str">
        <f t="shared" si="71"/>
        <v/>
      </c>
    </row>
    <row r="4519" spans="9:10">
      <c r="I4519" t="str">
        <f>_xlfn.IFNA(VLOOKUP(B4519,T_DistName[],3,FALSE),"")</f>
        <v/>
      </c>
      <c r="J4519" t="str">
        <f t="shared" si="71"/>
        <v/>
      </c>
    </row>
    <row r="4520" spans="9:10">
      <c r="I4520" t="str">
        <f>_xlfn.IFNA(VLOOKUP(B4520,T_DistName[],3,FALSE),"")</f>
        <v/>
      </c>
      <c r="J4520" t="str">
        <f t="shared" si="71"/>
        <v/>
      </c>
    </row>
    <row r="4521" spans="9:10">
      <c r="I4521" t="str">
        <f>_xlfn.IFNA(VLOOKUP(B4521,T_DistName[],3,FALSE),"")</f>
        <v/>
      </c>
      <c r="J4521" t="str">
        <f t="shared" si="71"/>
        <v/>
      </c>
    </row>
    <row r="4522" spans="9:10">
      <c r="I4522" t="str">
        <f>_xlfn.IFNA(VLOOKUP(B4522,T_DistName[],3,FALSE),"")</f>
        <v/>
      </c>
      <c r="J4522" t="str">
        <f t="shared" si="71"/>
        <v/>
      </c>
    </row>
    <row r="4523" spans="9:10">
      <c r="I4523" t="str">
        <f>_xlfn.IFNA(VLOOKUP(B4523,T_DistName[],3,FALSE),"")</f>
        <v/>
      </c>
      <c r="J4523" t="str">
        <f t="shared" si="71"/>
        <v/>
      </c>
    </row>
    <row r="4524" spans="9:10">
      <c r="I4524" t="str">
        <f>_xlfn.IFNA(VLOOKUP(B4524,T_DistName[],3,FALSE),"")</f>
        <v/>
      </c>
      <c r="J4524" t="str">
        <f t="shared" si="71"/>
        <v/>
      </c>
    </row>
    <row r="4525" spans="9:10">
      <c r="I4525" t="str">
        <f>_xlfn.IFNA(VLOOKUP(B4525,T_DistName[],3,FALSE),"")</f>
        <v/>
      </c>
      <c r="J4525" t="str">
        <f t="shared" si="71"/>
        <v/>
      </c>
    </row>
    <row r="4526" spans="9:10">
      <c r="I4526" t="str">
        <f>_xlfn.IFNA(VLOOKUP(B4526,T_DistName[],3,FALSE),"")</f>
        <v/>
      </c>
      <c r="J4526" t="str">
        <f t="shared" si="71"/>
        <v/>
      </c>
    </row>
    <row r="4527" spans="9:10">
      <c r="I4527" t="str">
        <f>_xlfn.IFNA(VLOOKUP(B4527,T_DistName[],3,FALSE),"")</f>
        <v/>
      </c>
      <c r="J4527" t="str">
        <f t="shared" si="71"/>
        <v/>
      </c>
    </row>
    <row r="4528" spans="9:10">
      <c r="I4528" t="str">
        <f>_xlfn.IFNA(VLOOKUP(B4528,T_DistName[],3,FALSE),"")</f>
        <v/>
      </c>
      <c r="J4528" t="str">
        <f t="shared" si="71"/>
        <v/>
      </c>
    </row>
    <row r="4529" spans="9:10">
      <c r="I4529" t="str">
        <f>_xlfn.IFNA(VLOOKUP(B4529,T_DistName[],3,FALSE),"")</f>
        <v/>
      </c>
      <c r="J4529" t="str">
        <f t="shared" si="71"/>
        <v/>
      </c>
    </row>
    <row r="4530" spans="9:10">
      <c r="I4530" t="str">
        <f>_xlfn.IFNA(VLOOKUP(B4530,T_DistName[],3,FALSE),"")</f>
        <v/>
      </c>
      <c r="J4530" t="str">
        <f t="shared" si="71"/>
        <v/>
      </c>
    </row>
    <row r="4531" spans="9:10">
      <c r="I4531" t="str">
        <f>_xlfn.IFNA(VLOOKUP(B4531,T_DistName[],3,FALSE),"")</f>
        <v/>
      </c>
      <c r="J4531" t="str">
        <f t="shared" si="71"/>
        <v/>
      </c>
    </row>
    <row r="4532" spans="9:10">
      <c r="I4532" t="str">
        <f>_xlfn.IFNA(VLOOKUP(B4532,T_DistName[],3,FALSE),"")</f>
        <v/>
      </c>
      <c r="J4532" t="str">
        <f t="shared" si="71"/>
        <v/>
      </c>
    </row>
    <row r="4533" spans="9:10">
      <c r="I4533" t="str">
        <f>_xlfn.IFNA(VLOOKUP(B4533,T_DistName[],3,FALSE),"")</f>
        <v/>
      </c>
      <c r="J4533" t="str">
        <f t="shared" si="71"/>
        <v/>
      </c>
    </row>
    <row r="4534" spans="9:10">
      <c r="I4534" t="str">
        <f>_xlfn.IFNA(VLOOKUP(B4534,T_DistName[],3,FALSE),"")</f>
        <v/>
      </c>
      <c r="J4534" t="str">
        <f t="shared" si="71"/>
        <v/>
      </c>
    </row>
    <row r="4535" spans="9:10">
      <c r="I4535" t="str">
        <f>_xlfn.IFNA(VLOOKUP(B4535,T_DistName[],3,FALSE),"")</f>
        <v/>
      </c>
      <c r="J4535" t="str">
        <f t="shared" si="71"/>
        <v/>
      </c>
    </row>
    <row r="4536" spans="9:10">
      <c r="I4536" t="str">
        <f>_xlfn.IFNA(VLOOKUP(B4536,T_DistName[],3,FALSE),"")</f>
        <v/>
      </c>
      <c r="J4536" t="str">
        <f t="shared" si="71"/>
        <v/>
      </c>
    </row>
    <row r="4537" spans="9:10">
      <c r="I4537" t="str">
        <f>_xlfn.IFNA(VLOOKUP(B4537,T_DistName[],3,FALSE),"")</f>
        <v/>
      </c>
      <c r="J4537" t="str">
        <f t="shared" si="71"/>
        <v/>
      </c>
    </row>
    <row r="4538" spans="9:10">
      <c r="I4538" t="str">
        <f>_xlfn.IFNA(VLOOKUP(B4538,T_DistName[],3,FALSE),"")</f>
        <v/>
      </c>
      <c r="J4538" t="str">
        <f t="shared" si="71"/>
        <v/>
      </c>
    </row>
    <row r="4539" spans="9:10">
      <c r="I4539" t="str">
        <f>_xlfn.IFNA(VLOOKUP(B4539,T_DistName[],3,FALSE),"")</f>
        <v/>
      </c>
      <c r="J4539" t="str">
        <f t="shared" si="71"/>
        <v/>
      </c>
    </row>
    <row r="4540" spans="9:10">
      <c r="I4540" t="str">
        <f>_xlfn.IFNA(VLOOKUP(B4540,T_DistName[],3,FALSE),"")</f>
        <v/>
      </c>
      <c r="J4540" t="str">
        <f t="shared" si="71"/>
        <v/>
      </c>
    </row>
    <row r="4541" spans="9:10">
      <c r="I4541" t="str">
        <f>_xlfn.IFNA(VLOOKUP(B4541,T_DistName[],3,FALSE),"")</f>
        <v/>
      </c>
      <c r="J4541" t="str">
        <f t="shared" si="71"/>
        <v/>
      </c>
    </row>
    <row r="4542" spans="9:10">
      <c r="I4542" t="str">
        <f>_xlfn.IFNA(VLOOKUP(B4542,T_DistName[],3,FALSE),"")</f>
        <v/>
      </c>
      <c r="J4542" t="str">
        <f t="shared" si="71"/>
        <v/>
      </c>
    </row>
    <row r="4543" spans="9:10">
      <c r="I4543" t="str">
        <f>_xlfn.IFNA(VLOOKUP(B4543,T_DistName[],3,FALSE),"")</f>
        <v/>
      </c>
      <c r="J4543" t="str">
        <f t="shared" si="71"/>
        <v/>
      </c>
    </row>
    <row r="4544" spans="9:10">
      <c r="I4544" t="str">
        <f>_xlfn.IFNA(VLOOKUP(B4544,T_DistName[],3,FALSE),"")</f>
        <v/>
      </c>
      <c r="J4544" t="str">
        <f t="shared" si="71"/>
        <v/>
      </c>
    </row>
    <row r="4545" spans="9:10">
      <c r="I4545" t="str">
        <f>_xlfn.IFNA(VLOOKUP(B4545,T_DistName[],3,FALSE),"")</f>
        <v/>
      </c>
      <c r="J4545" t="str">
        <f t="shared" si="71"/>
        <v/>
      </c>
    </row>
    <row r="4546" spans="9:10">
      <c r="I4546" t="str">
        <f>_xlfn.IFNA(VLOOKUP(B4546,T_DistName[],3,FALSE),"")</f>
        <v/>
      </c>
      <c r="J4546" t="str">
        <f t="shared" si="71"/>
        <v/>
      </c>
    </row>
    <row r="4547" spans="9:10">
      <c r="I4547" t="str">
        <f>_xlfn.IFNA(VLOOKUP(B4547,T_DistName[],3,FALSE),"")</f>
        <v/>
      </c>
      <c r="J4547" t="str">
        <f t="shared" si="71"/>
        <v/>
      </c>
    </row>
    <row r="4548" spans="9:10">
      <c r="I4548" t="str">
        <f>_xlfn.IFNA(VLOOKUP(B4548,T_DistName[],3,FALSE),"")</f>
        <v/>
      </c>
      <c r="J4548" t="str">
        <f t="shared" si="71"/>
        <v/>
      </c>
    </row>
    <row r="4549" spans="9:10">
      <c r="I4549" t="str">
        <f>_xlfn.IFNA(VLOOKUP(B4549,T_DistName[],3,FALSE),"")</f>
        <v/>
      </c>
      <c r="J4549" t="str">
        <f t="shared" si="71"/>
        <v/>
      </c>
    </row>
    <row r="4550" spans="9:10">
      <c r="I4550" t="str">
        <f>_xlfn.IFNA(VLOOKUP(B4550,T_DistName[],3,FALSE),"")</f>
        <v/>
      </c>
      <c r="J4550" t="str">
        <f t="shared" si="71"/>
        <v/>
      </c>
    </row>
    <row r="4551" spans="9:10">
      <c r="I4551" t="str">
        <f>_xlfn.IFNA(VLOOKUP(B4551,T_DistName[],3,FALSE),"")</f>
        <v/>
      </c>
      <c r="J4551" t="str">
        <f t="shared" si="71"/>
        <v/>
      </c>
    </row>
    <row r="4552" spans="9:10">
      <c r="I4552" t="str">
        <f>_xlfn.IFNA(VLOOKUP(B4552,T_DistName[],3,FALSE),"")</f>
        <v/>
      </c>
      <c r="J4552" t="str">
        <f t="shared" si="71"/>
        <v/>
      </c>
    </row>
    <row r="4553" spans="9:10">
      <c r="I4553" t="str">
        <f>_xlfn.IFNA(VLOOKUP(B4553,T_DistName[],3,FALSE),"")</f>
        <v/>
      </c>
      <c r="J4553" t="str">
        <f t="shared" si="71"/>
        <v/>
      </c>
    </row>
    <row r="4554" spans="9:10">
      <c r="I4554" t="str">
        <f>_xlfn.IFNA(VLOOKUP(B4554,T_DistName[],3,FALSE),"")</f>
        <v/>
      </c>
      <c r="J4554" t="str">
        <f t="shared" si="71"/>
        <v/>
      </c>
    </row>
    <row r="4555" spans="9:10">
      <c r="I4555" t="str">
        <f>_xlfn.IFNA(VLOOKUP(B4555,T_DistName[],3,FALSE),"")</f>
        <v/>
      </c>
      <c r="J4555" t="str">
        <f t="shared" si="71"/>
        <v/>
      </c>
    </row>
    <row r="4556" spans="9:10">
      <c r="I4556" t="str">
        <f>_xlfn.IFNA(VLOOKUP(B4556,T_DistName[],3,FALSE),"")</f>
        <v/>
      </c>
      <c r="J4556" t="str">
        <f t="shared" si="71"/>
        <v/>
      </c>
    </row>
    <row r="4557" spans="9:10">
      <c r="I4557" t="str">
        <f>_xlfn.IFNA(VLOOKUP(B4557,T_DistName[],3,FALSE),"")</f>
        <v/>
      </c>
      <c r="J4557" t="str">
        <f t="shared" si="71"/>
        <v/>
      </c>
    </row>
    <row r="4558" spans="9:10">
      <c r="I4558" t="str">
        <f>_xlfn.IFNA(VLOOKUP(B4558,T_DistName[],3,FALSE),"")</f>
        <v/>
      </c>
      <c r="J4558" t="str">
        <f t="shared" si="71"/>
        <v/>
      </c>
    </row>
    <row r="4559" spans="9:10">
      <c r="I4559" t="str">
        <f>_xlfn.IFNA(VLOOKUP(B4559,T_DistName[],3,FALSE),"")</f>
        <v/>
      </c>
      <c r="J4559" t="str">
        <f t="shared" si="71"/>
        <v/>
      </c>
    </row>
    <row r="4560" spans="9:10">
      <c r="I4560" t="str">
        <f>_xlfn.IFNA(VLOOKUP(B4560,T_DistName[],3,FALSE),"")</f>
        <v/>
      </c>
      <c r="J4560" t="str">
        <f t="shared" si="71"/>
        <v/>
      </c>
    </row>
    <row r="4561" spans="9:10">
      <c r="I4561" t="str">
        <f>_xlfn.IFNA(VLOOKUP(B4561,T_DistName[],3,FALSE),"")</f>
        <v/>
      </c>
      <c r="J4561" t="str">
        <f t="shared" si="71"/>
        <v/>
      </c>
    </row>
    <row r="4562" spans="9:10">
      <c r="I4562" t="str">
        <f>_xlfn.IFNA(VLOOKUP(B4562,T_DistName[],3,FALSE),"")</f>
        <v/>
      </c>
      <c r="J4562" t="str">
        <f t="shared" si="71"/>
        <v/>
      </c>
    </row>
    <row r="4563" spans="9:10">
      <c r="I4563" t="str">
        <f>_xlfn.IFNA(VLOOKUP(B4563,T_DistName[],3,FALSE),"")</f>
        <v/>
      </c>
      <c r="J4563" t="str">
        <f t="shared" si="71"/>
        <v/>
      </c>
    </row>
    <row r="4564" spans="9:10">
      <c r="I4564" t="str">
        <f>_xlfn.IFNA(VLOOKUP(B4564,T_DistName[],3,FALSE),"")</f>
        <v/>
      </c>
      <c r="J4564" t="str">
        <f t="shared" si="71"/>
        <v/>
      </c>
    </row>
    <row r="4565" spans="9:10">
      <c r="I4565" t="str">
        <f>_xlfn.IFNA(VLOOKUP(B4565,T_DistName[],3,FALSE),"")</f>
        <v/>
      </c>
      <c r="J4565" t="str">
        <f t="shared" si="71"/>
        <v/>
      </c>
    </row>
    <row r="4566" spans="9:10">
      <c r="I4566" t="str">
        <f>_xlfn.IFNA(VLOOKUP(B4566,T_DistName[],3,FALSE),"")</f>
        <v/>
      </c>
      <c r="J4566" t="str">
        <f t="shared" si="71"/>
        <v/>
      </c>
    </row>
    <row r="4567" spans="9:10">
      <c r="I4567" t="str">
        <f>_xlfn.IFNA(VLOOKUP(B4567,T_DistName[],3,FALSE),"")</f>
        <v/>
      </c>
      <c r="J4567" t="str">
        <f t="shared" si="71"/>
        <v/>
      </c>
    </row>
    <row r="4568" spans="9:10">
      <c r="I4568" t="str">
        <f>_xlfn.IFNA(VLOOKUP(B4568,T_DistName[],3,FALSE),"")</f>
        <v/>
      </c>
      <c r="J4568" t="str">
        <f t="shared" si="71"/>
        <v/>
      </c>
    </row>
    <row r="4569" spans="9:10">
      <c r="I4569" t="str">
        <f>_xlfn.IFNA(VLOOKUP(B4569,T_DistName[],3,FALSE),"")</f>
        <v/>
      </c>
      <c r="J4569" t="str">
        <f t="shared" ref="J4569:J4632" si="72">I4569&amp;F4569</f>
        <v/>
      </c>
    </row>
    <row r="4570" spans="9:10">
      <c r="I4570" t="str">
        <f>_xlfn.IFNA(VLOOKUP(B4570,T_DistName[],3,FALSE),"")</f>
        <v/>
      </c>
      <c r="J4570" t="str">
        <f t="shared" si="72"/>
        <v/>
      </c>
    </row>
    <row r="4571" spans="9:10">
      <c r="I4571" t="str">
        <f>_xlfn.IFNA(VLOOKUP(B4571,T_DistName[],3,FALSE),"")</f>
        <v/>
      </c>
      <c r="J4571" t="str">
        <f t="shared" si="72"/>
        <v/>
      </c>
    </row>
    <row r="4572" spans="9:10">
      <c r="I4572" t="str">
        <f>_xlfn.IFNA(VLOOKUP(B4572,T_DistName[],3,FALSE),"")</f>
        <v/>
      </c>
      <c r="J4572" t="str">
        <f t="shared" si="72"/>
        <v/>
      </c>
    </row>
    <row r="4573" spans="9:10">
      <c r="I4573" t="str">
        <f>_xlfn.IFNA(VLOOKUP(B4573,T_DistName[],3,FALSE),"")</f>
        <v/>
      </c>
      <c r="J4573" t="str">
        <f t="shared" si="72"/>
        <v/>
      </c>
    </row>
    <row r="4574" spans="9:10">
      <c r="I4574" t="str">
        <f>_xlfn.IFNA(VLOOKUP(B4574,T_DistName[],3,FALSE),"")</f>
        <v/>
      </c>
      <c r="J4574" t="str">
        <f t="shared" si="72"/>
        <v/>
      </c>
    </row>
    <row r="4575" spans="9:10">
      <c r="I4575" t="str">
        <f>_xlfn.IFNA(VLOOKUP(B4575,T_DistName[],3,FALSE),"")</f>
        <v/>
      </c>
      <c r="J4575" t="str">
        <f t="shared" si="72"/>
        <v/>
      </c>
    </row>
    <row r="4576" spans="9:10">
      <c r="I4576" t="str">
        <f>_xlfn.IFNA(VLOOKUP(B4576,T_DistName[],3,FALSE),"")</f>
        <v/>
      </c>
      <c r="J4576" t="str">
        <f t="shared" si="72"/>
        <v/>
      </c>
    </row>
    <row r="4577" spans="9:10">
      <c r="I4577" t="str">
        <f>_xlfn.IFNA(VLOOKUP(B4577,T_DistName[],3,FALSE),"")</f>
        <v/>
      </c>
      <c r="J4577" t="str">
        <f t="shared" si="72"/>
        <v/>
      </c>
    </row>
    <row r="4578" spans="9:10">
      <c r="I4578" t="str">
        <f>_xlfn.IFNA(VLOOKUP(B4578,T_DistName[],3,FALSE),"")</f>
        <v/>
      </c>
      <c r="J4578" t="str">
        <f t="shared" si="72"/>
        <v/>
      </c>
    </row>
    <row r="4579" spans="9:10">
      <c r="I4579" t="str">
        <f>_xlfn.IFNA(VLOOKUP(B4579,T_DistName[],3,FALSE),"")</f>
        <v/>
      </c>
      <c r="J4579" t="str">
        <f t="shared" si="72"/>
        <v/>
      </c>
    </row>
    <row r="4580" spans="9:10">
      <c r="I4580" t="str">
        <f>_xlfn.IFNA(VLOOKUP(B4580,T_DistName[],3,FALSE),"")</f>
        <v/>
      </c>
      <c r="J4580" t="str">
        <f t="shared" si="72"/>
        <v/>
      </c>
    </row>
    <row r="4581" spans="9:10">
      <c r="I4581" t="str">
        <f>_xlfn.IFNA(VLOOKUP(B4581,T_DistName[],3,FALSE),"")</f>
        <v/>
      </c>
      <c r="J4581" t="str">
        <f t="shared" si="72"/>
        <v/>
      </c>
    </row>
    <row r="4582" spans="9:10">
      <c r="I4582" t="str">
        <f>_xlfn.IFNA(VLOOKUP(B4582,T_DistName[],3,FALSE),"")</f>
        <v/>
      </c>
      <c r="J4582" t="str">
        <f t="shared" si="72"/>
        <v/>
      </c>
    </row>
    <row r="4583" spans="9:10">
      <c r="I4583" t="str">
        <f>_xlfn.IFNA(VLOOKUP(B4583,T_DistName[],3,FALSE),"")</f>
        <v/>
      </c>
      <c r="J4583" t="str">
        <f t="shared" si="72"/>
        <v/>
      </c>
    </row>
    <row r="4584" spans="9:10">
      <c r="I4584" t="str">
        <f>_xlfn.IFNA(VLOOKUP(B4584,T_DistName[],3,FALSE),"")</f>
        <v/>
      </c>
      <c r="J4584" t="str">
        <f t="shared" si="72"/>
        <v/>
      </c>
    </row>
    <row r="4585" spans="9:10">
      <c r="I4585" t="str">
        <f>_xlfn.IFNA(VLOOKUP(B4585,T_DistName[],3,FALSE),"")</f>
        <v/>
      </c>
      <c r="J4585" t="str">
        <f t="shared" si="72"/>
        <v/>
      </c>
    </row>
    <row r="4586" spans="9:10">
      <c r="I4586" t="str">
        <f>_xlfn.IFNA(VLOOKUP(B4586,T_DistName[],3,FALSE),"")</f>
        <v/>
      </c>
      <c r="J4586" t="str">
        <f t="shared" si="72"/>
        <v/>
      </c>
    </row>
    <row r="4587" spans="9:10">
      <c r="I4587" t="str">
        <f>_xlfn.IFNA(VLOOKUP(B4587,T_DistName[],3,FALSE),"")</f>
        <v/>
      </c>
      <c r="J4587" t="str">
        <f t="shared" si="72"/>
        <v/>
      </c>
    </row>
    <row r="4588" spans="9:10">
      <c r="I4588" t="str">
        <f>_xlfn.IFNA(VLOOKUP(B4588,T_DistName[],3,FALSE),"")</f>
        <v/>
      </c>
      <c r="J4588" t="str">
        <f t="shared" si="72"/>
        <v/>
      </c>
    </row>
    <row r="4589" spans="9:10">
      <c r="I4589" t="str">
        <f>_xlfn.IFNA(VLOOKUP(B4589,T_DistName[],3,FALSE),"")</f>
        <v/>
      </c>
      <c r="J4589" t="str">
        <f t="shared" si="72"/>
        <v/>
      </c>
    </row>
    <row r="4590" spans="9:10">
      <c r="I4590" t="str">
        <f>_xlfn.IFNA(VLOOKUP(B4590,T_DistName[],3,FALSE),"")</f>
        <v/>
      </c>
      <c r="J4590" t="str">
        <f t="shared" si="72"/>
        <v/>
      </c>
    </row>
    <row r="4591" spans="9:10">
      <c r="I4591" t="str">
        <f>_xlfn.IFNA(VLOOKUP(B4591,T_DistName[],3,FALSE),"")</f>
        <v/>
      </c>
      <c r="J4591" t="str">
        <f t="shared" si="72"/>
        <v/>
      </c>
    </row>
    <row r="4592" spans="9:10">
      <c r="I4592" t="str">
        <f>_xlfn.IFNA(VLOOKUP(B4592,T_DistName[],3,FALSE),"")</f>
        <v/>
      </c>
      <c r="J4592" t="str">
        <f t="shared" si="72"/>
        <v/>
      </c>
    </row>
    <row r="4593" spans="9:10">
      <c r="I4593" t="str">
        <f>_xlfn.IFNA(VLOOKUP(B4593,T_DistName[],3,FALSE),"")</f>
        <v/>
      </c>
      <c r="J4593" t="str">
        <f t="shared" si="72"/>
        <v/>
      </c>
    </row>
    <row r="4594" spans="9:10">
      <c r="I4594" t="str">
        <f>_xlfn.IFNA(VLOOKUP(B4594,T_DistName[],3,FALSE),"")</f>
        <v/>
      </c>
      <c r="J4594" t="str">
        <f t="shared" si="72"/>
        <v/>
      </c>
    </row>
    <row r="4595" spans="9:10">
      <c r="I4595" t="str">
        <f>_xlfn.IFNA(VLOOKUP(B4595,T_DistName[],3,FALSE),"")</f>
        <v/>
      </c>
      <c r="J4595" t="str">
        <f t="shared" si="72"/>
        <v/>
      </c>
    </row>
    <row r="4596" spans="9:10">
      <c r="I4596" t="str">
        <f>_xlfn.IFNA(VLOOKUP(B4596,T_DistName[],3,FALSE),"")</f>
        <v/>
      </c>
      <c r="J4596" t="str">
        <f t="shared" si="72"/>
        <v/>
      </c>
    </row>
    <row r="4597" spans="9:10">
      <c r="I4597" t="str">
        <f>_xlfn.IFNA(VLOOKUP(B4597,T_DistName[],3,FALSE),"")</f>
        <v/>
      </c>
      <c r="J4597" t="str">
        <f t="shared" si="72"/>
        <v/>
      </c>
    </row>
    <row r="4598" spans="9:10">
      <c r="I4598" t="str">
        <f>_xlfn.IFNA(VLOOKUP(B4598,T_DistName[],3,FALSE),"")</f>
        <v/>
      </c>
      <c r="J4598" t="str">
        <f t="shared" si="72"/>
        <v/>
      </c>
    </row>
    <row r="4599" spans="9:10">
      <c r="I4599" t="str">
        <f>_xlfn.IFNA(VLOOKUP(B4599,T_DistName[],3,FALSE),"")</f>
        <v/>
      </c>
      <c r="J4599" t="str">
        <f t="shared" si="72"/>
        <v/>
      </c>
    </row>
    <row r="4600" spans="9:10">
      <c r="I4600" t="str">
        <f>_xlfn.IFNA(VLOOKUP(B4600,T_DistName[],3,FALSE),"")</f>
        <v/>
      </c>
      <c r="J4600" t="str">
        <f t="shared" si="72"/>
        <v/>
      </c>
    </row>
    <row r="4601" spans="9:10">
      <c r="I4601" t="str">
        <f>_xlfn.IFNA(VLOOKUP(B4601,T_DistName[],3,FALSE),"")</f>
        <v/>
      </c>
      <c r="J4601" t="str">
        <f t="shared" si="72"/>
        <v/>
      </c>
    </row>
    <row r="4602" spans="9:10">
      <c r="I4602" t="str">
        <f>_xlfn.IFNA(VLOOKUP(B4602,T_DistName[],3,FALSE),"")</f>
        <v/>
      </c>
      <c r="J4602" t="str">
        <f t="shared" si="72"/>
        <v/>
      </c>
    </row>
    <row r="4603" spans="9:10">
      <c r="I4603" t="str">
        <f>_xlfn.IFNA(VLOOKUP(B4603,T_DistName[],3,FALSE),"")</f>
        <v/>
      </c>
      <c r="J4603" t="str">
        <f t="shared" si="72"/>
        <v/>
      </c>
    </row>
    <row r="4604" spans="9:10">
      <c r="I4604" t="str">
        <f>_xlfn.IFNA(VLOOKUP(B4604,T_DistName[],3,FALSE),"")</f>
        <v/>
      </c>
      <c r="J4604" t="str">
        <f t="shared" si="72"/>
        <v/>
      </c>
    </row>
    <row r="4605" spans="9:10">
      <c r="I4605" t="str">
        <f>_xlfn.IFNA(VLOOKUP(B4605,T_DistName[],3,FALSE),"")</f>
        <v/>
      </c>
      <c r="J4605" t="str">
        <f t="shared" si="72"/>
        <v/>
      </c>
    </row>
    <row r="4606" spans="9:10">
      <c r="I4606" t="str">
        <f>_xlfn.IFNA(VLOOKUP(B4606,T_DistName[],3,FALSE),"")</f>
        <v/>
      </c>
      <c r="J4606" t="str">
        <f t="shared" si="72"/>
        <v/>
      </c>
    </row>
    <row r="4607" spans="9:10">
      <c r="I4607" t="str">
        <f>_xlfn.IFNA(VLOOKUP(B4607,T_DistName[],3,FALSE),"")</f>
        <v/>
      </c>
      <c r="J4607" t="str">
        <f t="shared" si="72"/>
        <v/>
      </c>
    </row>
    <row r="4608" spans="9:10">
      <c r="I4608" t="str">
        <f>_xlfn.IFNA(VLOOKUP(B4608,T_DistName[],3,FALSE),"")</f>
        <v/>
      </c>
      <c r="J4608" t="str">
        <f t="shared" si="72"/>
        <v/>
      </c>
    </row>
    <row r="4609" spans="9:10">
      <c r="I4609" t="str">
        <f>_xlfn.IFNA(VLOOKUP(B4609,T_DistName[],3,FALSE),"")</f>
        <v/>
      </c>
      <c r="J4609" t="str">
        <f t="shared" si="72"/>
        <v/>
      </c>
    </row>
    <row r="4610" spans="9:10">
      <c r="I4610" t="str">
        <f>_xlfn.IFNA(VLOOKUP(B4610,T_DistName[],3,FALSE),"")</f>
        <v/>
      </c>
      <c r="J4610" t="str">
        <f t="shared" si="72"/>
        <v/>
      </c>
    </row>
    <row r="4611" spans="9:10">
      <c r="I4611" t="str">
        <f>_xlfn.IFNA(VLOOKUP(B4611,T_DistName[],3,FALSE),"")</f>
        <v/>
      </c>
      <c r="J4611" t="str">
        <f t="shared" si="72"/>
        <v/>
      </c>
    </row>
    <row r="4612" spans="9:10">
      <c r="I4612" t="str">
        <f>_xlfn.IFNA(VLOOKUP(B4612,T_DistName[],3,FALSE),"")</f>
        <v/>
      </c>
      <c r="J4612" t="str">
        <f t="shared" si="72"/>
        <v/>
      </c>
    </row>
    <row r="4613" spans="9:10">
      <c r="I4613" t="str">
        <f>_xlfn.IFNA(VLOOKUP(B4613,T_DistName[],3,FALSE),"")</f>
        <v/>
      </c>
      <c r="J4613" t="str">
        <f t="shared" si="72"/>
        <v/>
      </c>
    </row>
    <row r="4614" spans="9:10">
      <c r="I4614" t="str">
        <f>_xlfn.IFNA(VLOOKUP(B4614,T_DistName[],3,FALSE),"")</f>
        <v/>
      </c>
      <c r="J4614" t="str">
        <f t="shared" si="72"/>
        <v/>
      </c>
    </row>
    <row r="4615" spans="9:10">
      <c r="I4615" t="str">
        <f>_xlfn.IFNA(VLOOKUP(B4615,T_DistName[],3,FALSE),"")</f>
        <v/>
      </c>
      <c r="J4615" t="str">
        <f t="shared" si="72"/>
        <v/>
      </c>
    </row>
    <row r="4616" spans="9:10">
      <c r="I4616" t="str">
        <f>_xlfn.IFNA(VLOOKUP(B4616,T_DistName[],3,FALSE),"")</f>
        <v/>
      </c>
      <c r="J4616" t="str">
        <f t="shared" si="72"/>
        <v/>
      </c>
    </row>
    <row r="4617" spans="9:10">
      <c r="I4617" t="str">
        <f>_xlfn.IFNA(VLOOKUP(B4617,T_DistName[],3,FALSE),"")</f>
        <v/>
      </c>
      <c r="J4617" t="str">
        <f t="shared" si="72"/>
        <v/>
      </c>
    </row>
    <row r="4618" spans="9:10">
      <c r="I4618" t="str">
        <f>_xlfn.IFNA(VLOOKUP(B4618,T_DistName[],3,FALSE),"")</f>
        <v/>
      </c>
      <c r="J4618" t="str">
        <f t="shared" si="72"/>
        <v/>
      </c>
    </row>
    <row r="4619" spans="9:10">
      <c r="I4619" t="str">
        <f>_xlfn.IFNA(VLOOKUP(B4619,T_DistName[],3,FALSE),"")</f>
        <v/>
      </c>
      <c r="J4619" t="str">
        <f t="shared" si="72"/>
        <v/>
      </c>
    </row>
    <row r="4620" spans="9:10">
      <c r="I4620" t="str">
        <f>_xlfn.IFNA(VLOOKUP(B4620,T_DistName[],3,FALSE),"")</f>
        <v/>
      </c>
      <c r="J4620" t="str">
        <f t="shared" si="72"/>
        <v/>
      </c>
    </row>
    <row r="4621" spans="9:10">
      <c r="I4621" t="str">
        <f>_xlfn.IFNA(VLOOKUP(B4621,T_DistName[],3,FALSE),"")</f>
        <v/>
      </c>
      <c r="J4621" t="str">
        <f t="shared" si="72"/>
        <v/>
      </c>
    </row>
    <row r="4622" spans="9:10">
      <c r="I4622" t="str">
        <f>_xlfn.IFNA(VLOOKUP(B4622,T_DistName[],3,FALSE),"")</f>
        <v/>
      </c>
      <c r="J4622" t="str">
        <f t="shared" si="72"/>
        <v/>
      </c>
    </row>
    <row r="4623" spans="9:10">
      <c r="I4623" t="str">
        <f>_xlfn.IFNA(VLOOKUP(B4623,T_DistName[],3,FALSE),"")</f>
        <v/>
      </c>
      <c r="J4623" t="str">
        <f t="shared" si="72"/>
        <v/>
      </c>
    </row>
    <row r="4624" spans="9:10">
      <c r="I4624" t="str">
        <f>_xlfn.IFNA(VLOOKUP(B4624,T_DistName[],3,FALSE),"")</f>
        <v/>
      </c>
      <c r="J4624" t="str">
        <f t="shared" si="72"/>
        <v/>
      </c>
    </row>
    <row r="4625" spans="9:10">
      <c r="I4625" t="str">
        <f>_xlfn.IFNA(VLOOKUP(B4625,T_DistName[],3,FALSE),"")</f>
        <v/>
      </c>
      <c r="J4625" t="str">
        <f t="shared" si="72"/>
        <v/>
      </c>
    </row>
    <row r="4626" spans="9:10">
      <c r="I4626" t="str">
        <f>_xlfn.IFNA(VLOOKUP(B4626,T_DistName[],3,FALSE),"")</f>
        <v/>
      </c>
      <c r="J4626" t="str">
        <f t="shared" si="72"/>
        <v/>
      </c>
    </row>
    <row r="4627" spans="9:10">
      <c r="I4627" t="str">
        <f>_xlfn.IFNA(VLOOKUP(B4627,T_DistName[],3,FALSE),"")</f>
        <v/>
      </c>
      <c r="J4627" t="str">
        <f t="shared" si="72"/>
        <v/>
      </c>
    </row>
    <row r="4628" spans="9:10">
      <c r="I4628" t="str">
        <f>_xlfn.IFNA(VLOOKUP(B4628,T_DistName[],3,FALSE),"")</f>
        <v/>
      </c>
      <c r="J4628" t="str">
        <f t="shared" si="72"/>
        <v/>
      </c>
    </row>
    <row r="4629" spans="9:10">
      <c r="I4629" t="str">
        <f>_xlfn.IFNA(VLOOKUP(B4629,T_DistName[],3,FALSE),"")</f>
        <v/>
      </c>
      <c r="J4629" t="str">
        <f t="shared" si="72"/>
        <v/>
      </c>
    </row>
    <row r="4630" spans="9:10">
      <c r="I4630" t="str">
        <f>_xlfn.IFNA(VLOOKUP(B4630,T_DistName[],3,FALSE),"")</f>
        <v/>
      </c>
      <c r="J4630" t="str">
        <f t="shared" si="72"/>
        <v/>
      </c>
    </row>
    <row r="4631" spans="9:10">
      <c r="I4631" t="str">
        <f>_xlfn.IFNA(VLOOKUP(B4631,T_DistName[],3,FALSE),"")</f>
        <v/>
      </c>
      <c r="J4631" t="str">
        <f t="shared" si="72"/>
        <v/>
      </c>
    </row>
    <row r="4632" spans="9:10">
      <c r="I4632" t="str">
        <f>_xlfn.IFNA(VLOOKUP(B4632,T_DistName[],3,FALSE),"")</f>
        <v/>
      </c>
      <c r="J4632" t="str">
        <f t="shared" si="72"/>
        <v/>
      </c>
    </row>
    <row r="4633" spans="9:10">
      <c r="I4633" t="str">
        <f>_xlfn.IFNA(VLOOKUP(B4633,T_DistName[],3,FALSE),"")</f>
        <v/>
      </c>
      <c r="J4633" t="str">
        <f t="shared" ref="J4633:J4696" si="73">I4633&amp;F4633</f>
        <v/>
      </c>
    </row>
    <row r="4634" spans="9:10">
      <c r="I4634" t="str">
        <f>_xlfn.IFNA(VLOOKUP(B4634,T_DistName[],3,FALSE),"")</f>
        <v/>
      </c>
      <c r="J4634" t="str">
        <f t="shared" si="73"/>
        <v/>
      </c>
    </row>
    <row r="4635" spans="9:10">
      <c r="I4635" t="str">
        <f>_xlfn.IFNA(VLOOKUP(B4635,T_DistName[],3,FALSE),"")</f>
        <v/>
      </c>
      <c r="J4635" t="str">
        <f t="shared" si="73"/>
        <v/>
      </c>
    </row>
    <row r="4636" spans="9:10">
      <c r="I4636" t="str">
        <f>_xlfn.IFNA(VLOOKUP(B4636,T_DistName[],3,FALSE),"")</f>
        <v/>
      </c>
      <c r="J4636" t="str">
        <f t="shared" si="73"/>
        <v/>
      </c>
    </row>
    <row r="4637" spans="9:10">
      <c r="I4637" t="str">
        <f>_xlfn.IFNA(VLOOKUP(B4637,T_DistName[],3,FALSE),"")</f>
        <v/>
      </c>
      <c r="J4637" t="str">
        <f t="shared" si="73"/>
        <v/>
      </c>
    </row>
    <row r="4638" spans="9:10">
      <c r="I4638" t="str">
        <f>_xlfn.IFNA(VLOOKUP(B4638,T_DistName[],3,FALSE),"")</f>
        <v/>
      </c>
      <c r="J4638" t="str">
        <f t="shared" si="73"/>
        <v/>
      </c>
    </row>
    <row r="4639" spans="9:10">
      <c r="I4639" t="str">
        <f>_xlfn.IFNA(VLOOKUP(B4639,T_DistName[],3,FALSE),"")</f>
        <v/>
      </c>
      <c r="J4639" t="str">
        <f t="shared" si="73"/>
        <v/>
      </c>
    </row>
    <row r="4640" spans="9:10">
      <c r="I4640" t="str">
        <f>_xlfn.IFNA(VLOOKUP(B4640,T_DistName[],3,FALSE),"")</f>
        <v/>
      </c>
      <c r="J4640" t="str">
        <f t="shared" si="73"/>
        <v/>
      </c>
    </row>
    <row r="4641" spans="9:10">
      <c r="I4641" t="str">
        <f>_xlfn.IFNA(VLOOKUP(B4641,T_DistName[],3,FALSE),"")</f>
        <v/>
      </c>
      <c r="J4641" t="str">
        <f t="shared" si="73"/>
        <v/>
      </c>
    </row>
    <row r="4642" spans="9:10">
      <c r="I4642" t="str">
        <f>_xlfn.IFNA(VLOOKUP(B4642,T_DistName[],3,FALSE),"")</f>
        <v/>
      </c>
      <c r="J4642" t="str">
        <f t="shared" si="73"/>
        <v/>
      </c>
    </row>
    <row r="4643" spans="9:10">
      <c r="I4643" t="str">
        <f>_xlfn.IFNA(VLOOKUP(B4643,T_DistName[],3,FALSE),"")</f>
        <v/>
      </c>
      <c r="J4643" t="str">
        <f t="shared" si="73"/>
        <v/>
      </c>
    </row>
    <row r="4644" spans="9:10">
      <c r="I4644" t="str">
        <f>_xlfn.IFNA(VLOOKUP(B4644,T_DistName[],3,FALSE),"")</f>
        <v/>
      </c>
      <c r="J4644" t="str">
        <f t="shared" si="73"/>
        <v/>
      </c>
    </row>
    <row r="4645" spans="9:10">
      <c r="I4645" t="str">
        <f>_xlfn.IFNA(VLOOKUP(B4645,T_DistName[],3,FALSE),"")</f>
        <v/>
      </c>
      <c r="J4645" t="str">
        <f t="shared" si="73"/>
        <v/>
      </c>
    </row>
    <row r="4646" spans="9:10">
      <c r="I4646" t="str">
        <f>_xlfn.IFNA(VLOOKUP(B4646,T_DistName[],3,FALSE),"")</f>
        <v/>
      </c>
      <c r="J4646" t="str">
        <f t="shared" si="73"/>
        <v/>
      </c>
    </row>
    <row r="4647" spans="9:10">
      <c r="I4647" t="str">
        <f>_xlfn.IFNA(VLOOKUP(B4647,T_DistName[],3,FALSE),"")</f>
        <v/>
      </c>
      <c r="J4647" t="str">
        <f t="shared" si="73"/>
        <v/>
      </c>
    </row>
    <row r="4648" spans="9:10">
      <c r="I4648" t="str">
        <f>_xlfn.IFNA(VLOOKUP(B4648,T_DistName[],3,FALSE),"")</f>
        <v/>
      </c>
      <c r="J4648" t="str">
        <f t="shared" si="73"/>
        <v/>
      </c>
    </row>
    <row r="4649" spans="9:10">
      <c r="I4649" t="str">
        <f>_xlfn.IFNA(VLOOKUP(B4649,T_DistName[],3,FALSE),"")</f>
        <v/>
      </c>
      <c r="J4649" t="str">
        <f t="shared" si="73"/>
        <v/>
      </c>
    </row>
    <row r="4650" spans="9:10">
      <c r="I4650" t="str">
        <f>_xlfn.IFNA(VLOOKUP(B4650,T_DistName[],3,FALSE),"")</f>
        <v/>
      </c>
      <c r="J4650" t="str">
        <f t="shared" si="73"/>
        <v/>
      </c>
    </row>
    <row r="4651" spans="9:10">
      <c r="I4651" t="str">
        <f>_xlfn.IFNA(VLOOKUP(B4651,T_DistName[],3,FALSE),"")</f>
        <v/>
      </c>
      <c r="J4651" t="str">
        <f t="shared" si="73"/>
        <v/>
      </c>
    </row>
    <row r="4652" spans="9:10">
      <c r="I4652" t="str">
        <f>_xlfn.IFNA(VLOOKUP(B4652,T_DistName[],3,FALSE),"")</f>
        <v/>
      </c>
      <c r="J4652" t="str">
        <f t="shared" si="73"/>
        <v/>
      </c>
    </row>
    <row r="4653" spans="9:10">
      <c r="I4653" t="str">
        <f>_xlfn.IFNA(VLOOKUP(B4653,T_DistName[],3,FALSE),"")</f>
        <v/>
      </c>
      <c r="J4653" t="str">
        <f t="shared" si="73"/>
        <v/>
      </c>
    </row>
    <row r="4654" spans="9:10">
      <c r="I4654" t="str">
        <f>_xlfn.IFNA(VLOOKUP(B4654,T_DistName[],3,FALSE),"")</f>
        <v/>
      </c>
      <c r="J4654" t="str">
        <f t="shared" si="73"/>
        <v/>
      </c>
    </row>
    <row r="4655" spans="9:10">
      <c r="I4655" t="str">
        <f>_xlfn.IFNA(VLOOKUP(B4655,T_DistName[],3,FALSE),"")</f>
        <v/>
      </c>
      <c r="J4655" t="str">
        <f t="shared" si="73"/>
        <v/>
      </c>
    </row>
    <row r="4656" spans="9:10">
      <c r="I4656" t="str">
        <f>_xlfn.IFNA(VLOOKUP(B4656,T_DistName[],3,FALSE),"")</f>
        <v/>
      </c>
      <c r="J4656" t="str">
        <f t="shared" si="73"/>
        <v/>
      </c>
    </row>
    <row r="4657" spans="9:10">
      <c r="I4657" t="str">
        <f>_xlfn.IFNA(VLOOKUP(B4657,T_DistName[],3,FALSE),"")</f>
        <v/>
      </c>
      <c r="J4657" t="str">
        <f t="shared" si="73"/>
        <v/>
      </c>
    </row>
    <row r="4658" spans="9:10">
      <c r="I4658" t="str">
        <f>_xlfn.IFNA(VLOOKUP(B4658,T_DistName[],3,FALSE),"")</f>
        <v/>
      </c>
      <c r="J4658" t="str">
        <f t="shared" si="73"/>
        <v/>
      </c>
    </row>
    <row r="4659" spans="9:10">
      <c r="I4659" t="str">
        <f>_xlfn.IFNA(VLOOKUP(B4659,T_DistName[],3,FALSE),"")</f>
        <v/>
      </c>
      <c r="J4659" t="str">
        <f t="shared" si="73"/>
        <v/>
      </c>
    </row>
    <row r="4660" spans="9:10">
      <c r="I4660" t="str">
        <f>_xlfn.IFNA(VLOOKUP(B4660,T_DistName[],3,FALSE),"")</f>
        <v/>
      </c>
      <c r="J4660" t="str">
        <f t="shared" si="73"/>
        <v/>
      </c>
    </row>
    <row r="4661" spans="9:10">
      <c r="I4661" t="str">
        <f>_xlfn.IFNA(VLOOKUP(B4661,T_DistName[],3,FALSE),"")</f>
        <v/>
      </c>
      <c r="J4661" t="str">
        <f t="shared" si="73"/>
        <v/>
      </c>
    </row>
    <row r="4662" spans="9:10">
      <c r="I4662" t="str">
        <f>_xlfn.IFNA(VLOOKUP(B4662,T_DistName[],3,FALSE),"")</f>
        <v/>
      </c>
      <c r="J4662" t="str">
        <f t="shared" si="73"/>
        <v/>
      </c>
    </row>
    <row r="4663" spans="9:10">
      <c r="I4663" t="str">
        <f>_xlfn.IFNA(VLOOKUP(B4663,T_DistName[],3,FALSE),"")</f>
        <v/>
      </c>
      <c r="J4663" t="str">
        <f t="shared" si="73"/>
        <v/>
      </c>
    </row>
    <row r="4664" spans="9:10">
      <c r="I4664" t="str">
        <f>_xlfn.IFNA(VLOOKUP(B4664,T_DistName[],3,FALSE),"")</f>
        <v/>
      </c>
      <c r="J4664" t="str">
        <f t="shared" si="73"/>
        <v/>
      </c>
    </row>
    <row r="4665" spans="9:10">
      <c r="I4665" t="str">
        <f>_xlfn.IFNA(VLOOKUP(B4665,T_DistName[],3,FALSE),"")</f>
        <v/>
      </c>
      <c r="J4665" t="str">
        <f t="shared" si="73"/>
        <v/>
      </c>
    </row>
    <row r="4666" spans="9:10">
      <c r="I4666" t="str">
        <f>_xlfn.IFNA(VLOOKUP(B4666,T_DistName[],3,FALSE),"")</f>
        <v/>
      </c>
      <c r="J4666" t="str">
        <f t="shared" si="73"/>
        <v/>
      </c>
    </row>
    <row r="4667" spans="9:10">
      <c r="I4667" t="str">
        <f>_xlfn.IFNA(VLOOKUP(B4667,T_DistName[],3,FALSE),"")</f>
        <v/>
      </c>
      <c r="J4667" t="str">
        <f t="shared" si="73"/>
        <v/>
      </c>
    </row>
    <row r="4668" spans="9:10">
      <c r="I4668" t="str">
        <f>_xlfn.IFNA(VLOOKUP(B4668,T_DistName[],3,FALSE),"")</f>
        <v/>
      </c>
      <c r="J4668" t="str">
        <f t="shared" si="73"/>
        <v/>
      </c>
    </row>
    <row r="4669" spans="9:10">
      <c r="I4669" t="str">
        <f>_xlfn.IFNA(VLOOKUP(B4669,T_DistName[],3,FALSE),"")</f>
        <v/>
      </c>
      <c r="J4669" t="str">
        <f t="shared" si="73"/>
        <v/>
      </c>
    </row>
    <row r="4670" spans="9:10">
      <c r="I4670" t="str">
        <f>_xlfn.IFNA(VLOOKUP(B4670,T_DistName[],3,FALSE),"")</f>
        <v/>
      </c>
      <c r="J4670" t="str">
        <f t="shared" si="73"/>
        <v/>
      </c>
    </row>
    <row r="4671" spans="9:10">
      <c r="I4671" t="str">
        <f>_xlfn.IFNA(VLOOKUP(B4671,T_DistName[],3,FALSE),"")</f>
        <v/>
      </c>
      <c r="J4671" t="str">
        <f t="shared" si="73"/>
        <v/>
      </c>
    </row>
    <row r="4672" spans="9:10">
      <c r="I4672" t="str">
        <f>_xlfn.IFNA(VLOOKUP(B4672,T_DistName[],3,FALSE),"")</f>
        <v/>
      </c>
      <c r="J4672" t="str">
        <f t="shared" si="73"/>
        <v/>
      </c>
    </row>
    <row r="4673" spans="9:10">
      <c r="I4673" t="str">
        <f>_xlfn.IFNA(VLOOKUP(B4673,T_DistName[],3,FALSE),"")</f>
        <v/>
      </c>
      <c r="J4673" t="str">
        <f t="shared" si="73"/>
        <v/>
      </c>
    </row>
    <row r="4674" spans="9:10">
      <c r="I4674" t="str">
        <f>_xlfn.IFNA(VLOOKUP(B4674,T_DistName[],3,FALSE),"")</f>
        <v/>
      </c>
      <c r="J4674" t="str">
        <f t="shared" si="73"/>
        <v/>
      </c>
    </row>
    <row r="4675" spans="9:10">
      <c r="I4675" t="str">
        <f>_xlfn.IFNA(VLOOKUP(B4675,T_DistName[],3,FALSE),"")</f>
        <v/>
      </c>
      <c r="J4675" t="str">
        <f t="shared" si="73"/>
        <v/>
      </c>
    </row>
    <row r="4676" spans="9:10">
      <c r="I4676" t="str">
        <f>_xlfn.IFNA(VLOOKUP(B4676,T_DistName[],3,FALSE),"")</f>
        <v/>
      </c>
      <c r="J4676" t="str">
        <f t="shared" si="73"/>
        <v/>
      </c>
    </row>
    <row r="4677" spans="9:10">
      <c r="I4677" t="str">
        <f>_xlfn.IFNA(VLOOKUP(B4677,T_DistName[],3,FALSE),"")</f>
        <v/>
      </c>
      <c r="J4677" t="str">
        <f t="shared" si="73"/>
        <v/>
      </c>
    </row>
    <row r="4678" spans="9:10">
      <c r="I4678" t="str">
        <f>_xlfn.IFNA(VLOOKUP(B4678,T_DistName[],3,FALSE),"")</f>
        <v/>
      </c>
      <c r="J4678" t="str">
        <f t="shared" si="73"/>
        <v/>
      </c>
    </row>
    <row r="4679" spans="9:10">
      <c r="I4679" t="str">
        <f>_xlfn.IFNA(VLOOKUP(B4679,T_DistName[],3,FALSE),"")</f>
        <v/>
      </c>
      <c r="J4679" t="str">
        <f t="shared" si="73"/>
        <v/>
      </c>
    </row>
    <row r="4680" spans="9:10">
      <c r="I4680" t="str">
        <f>_xlfn.IFNA(VLOOKUP(B4680,T_DistName[],3,FALSE),"")</f>
        <v/>
      </c>
      <c r="J4680" t="str">
        <f t="shared" si="73"/>
        <v/>
      </c>
    </row>
    <row r="4681" spans="9:10">
      <c r="I4681" t="str">
        <f>_xlfn.IFNA(VLOOKUP(B4681,T_DistName[],3,FALSE),"")</f>
        <v/>
      </c>
      <c r="J4681" t="str">
        <f t="shared" si="73"/>
        <v/>
      </c>
    </row>
    <row r="4682" spans="9:10">
      <c r="I4682" t="str">
        <f>_xlfn.IFNA(VLOOKUP(B4682,T_DistName[],3,FALSE),"")</f>
        <v/>
      </c>
      <c r="J4682" t="str">
        <f t="shared" si="73"/>
        <v/>
      </c>
    </row>
    <row r="4683" spans="9:10">
      <c r="I4683" t="str">
        <f>_xlfn.IFNA(VLOOKUP(B4683,T_DistName[],3,FALSE),"")</f>
        <v/>
      </c>
      <c r="J4683" t="str">
        <f t="shared" si="73"/>
        <v/>
      </c>
    </row>
    <row r="4684" spans="9:10">
      <c r="I4684" t="str">
        <f>_xlfn.IFNA(VLOOKUP(B4684,T_DistName[],3,FALSE),"")</f>
        <v/>
      </c>
      <c r="J4684" t="str">
        <f t="shared" si="73"/>
        <v/>
      </c>
    </row>
    <row r="4685" spans="9:10">
      <c r="I4685" t="str">
        <f>_xlfn.IFNA(VLOOKUP(B4685,T_DistName[],3,FALSE),"")</f>
        <v/>
      </c>
      <c r="J4685" t="str">
        <f t="shared" si="73"/>
        <v/>
      </c>
    </row>
    <row r="4686" spans="9:10">
      <c r="I4686" t="str">
        <f>_xlfn.IFNA(VLOOKUP(B4686,T_DistName[],3,FALSE),"")</f>
        <v/>
      </c>
      <c r="J4686" t="str">
        <f t="shared" si="73"/>
        <v/>
      </c>
    </row>
    <row r="4687" spans="9:10">
      <c r="I4687" t="str">
        <f>_xlfn.IFNA(VLOOKUP(B4687,T_DistName[],3,FALSE),"")</f>
        <v/>
      </c>
      <c r="J4687" t="str">
        <f t="shared" si="73"/>
        <v/>
      </c>
    </row>
    <row r="4688" spans="9:10">
      <c r="I4688" t="str">
        <f>_xlfn.IFNA(VLOOKUP(B4688,T_DistName[],3,FALSE),"")</f>
        <v/>
      </c>
      <c r="J4688" t="str">
        <f t="shared" si="73"/>
        <v/>
      </c>
    </row>
    <row r="4689" spans="9:10">
      <c r="I4689" t="str">
        <f>_xlfn.IFNA(VLOOKUP(B4689,T_DistName[],3,FALSE),"")</f>
        <v/>
      </c>
      <c r="J4689" t="str">
        <f t="shared" si="73"/>
        <v/>
      </c>
    </row>
    <row r="4690" spans="9:10">
      <c r="I4690" t="str">
        <f>_xlfn.IFNA(VLOOKUP(B4690,T_DistName[],3,FALSE),"")</f>
        <v/>
      </c>
      <c r="J4690" t="str">
        <f t="shared" si="73"/>
        <v/>
      </c>
    </row>
    <row r="4691" spans="9:10">
      <c r="I4691" t="str">
        <f>_xlfn.IFNA(VLOOKUP(B4691,T_DistName[],3,FALSE),"")</f>
        <v/>
      </c>
      <c r="J4691" t="str">
        <f t="shared" si="73"/>
        <v/>
      </c>
    </row>
    <row r="4692" spans="9:10">
      <c r="I4692" t="str">
        <f>_xlfn.IFNA(VLOOKUP(B4692,T_DistName[],3,FALSE),"")</f>
        <v/>
      </c>
      <c r="J4692" t="str">
        <f t="shared" si="73"/>
        <v/>
      </c>
    </row>
    <row r="4693" spans="9:10">
      <c r="I4693" t="str">
        <f>_xlfn.IFNA(VLOOKUP(B4693,T_DistName[],3,FALSE),"")</f>
        <v/>
      </c>
      <c r="J4693" t="str">
        <f t="shared" si="73"/>
        <v/>
      </c>
    </row>
    <row r="4694" spans="9:10">
      <c r="I4694" t="str">
        <f>_xlfn.IFNA(VLOOKUP(B4694,T_DistName[],3,FALSE),"")</f>
        <v/>
      </c>
      <c r="J4694" t="str">
        <f t="shared" si="73"/>
        <v/>
      </c>
    </row>
    <row r="4695" spans="9:10">
      <c r="I4695" t="str">
        <f>_xlfn.IFNA(VLOOKUP(B4695,T_DistName[],3,FALSE),"")</f>
        <v/>
      </c>
      <c r="J4695" t="str">
        <f t="shared" si="73"/>
        <v/>
      </c>
    </row>
    <row r="4696" spans="9:10">
      <c r="I4696" t="str">
        <f>_xlfn.IFNA(VLOOKUP(B4696,T_DistName[],3,FALSE),"")</f>
        <v/>
      </c>
      <c r="J4696" t="str">
        <f t="shared" si="73"/>
        <v/>
      </c>
    </row>
    <row r="4697" spans="9:10">
      <c r="I4697" t="str">
        <f>_xlfn.IFNA(VLOOKUP(B4697,T_DistName[],3,FALSE),"")</f>
        <v/>
      </c>
      <c r="J4697" t="str">
        <f t="shared" ref="J4697:J4760" si="74">I4697&amp;F4697</f>
        <v/>
      </c>
    </row>
    <row r="4698" spans="9:10">
      <c r="I4698" t="str">
        <f>_xlfn.IFNA(VLOOKUP(B4698,T_DistName[],3,FALSE),"")</f>
        <v/>
      </c>
      <c r="J4698" t="str">
        <f t="shared" si="74"/>
        <v/>
      </c>
    </row>
    <row r="4699" spans="9:10">
      <c r="I4699" t="str">
        <f>_xlfn.IFNA(VLOOKUP(B4699,T_DistName[],3,FALSE),"")</f>
        <v/>
      </c>
      <c r="J4699" t="str">
        <f t="shared" si="74"/>
        <v/>
      </c>
    </row>
    <row r="4700" spans="9:10">
      <c r="I4700" t="str">
        <f>_xlfn.IFNA(VLOOKUP(B4700,T_DistName[],3,FALSE),"")</f>
        <v/>
      </c>
      <c r="J4700" t="str">
        <f t="shared" si="74"/>
        <v/>
      </c>
    </row>
    <row r="4701" spans="9:10">
      <c r="I4701" t="str">
        <f>_xlfn.IFNA(VLOOKUP(B4701,T_DistName[],3,FALSE),"")</f>
        <v/>
      </c>
      <c r="J4701" t="str">
        <f t="shared" si="74"/>
        <v/>
      </c>
    </row>
    <row r="4702" spans="9:10">
      <c r="I4702" t="str">
        <f>_xlfn.IFNA(VLOOKUP(B4702,T_DistName[],3,FALSE),"")</f>
        <v/>
      </c>
      <c r="J4702" t="str">
        <f t="shared" si="74"/>
        <v/>
      </c>
    </row>
    <row r="4703" spans="9:10">
      <c r="I4703" t="str">
        <f>_xlfn.IFNA(VLOOKUP(B4703,T_DistName[],3,FALSE),"")</f>
        <v/>
      </c>
      <c r="J4703" t="str">
        <f t="shared" si="74"/>
        <v/>
      </c>
    </row>
    <row r="4704" spans="9:10">
      <c r="I4704" t="str">
        <f>_xlfn.IFNA(VLOOKUP(B4704,T_DistName[],3,FALSE),"")</f>
        <v/>
      </c>
      <c r="J4704" t="str">
        <f t="shared" si="74"/>
        <v/>
      </c>
    </row>
    <row r="4705" spans="9:10">
      <c r="I4705" t="str">
        <f>_xlfn.IFNA(VLOOKUP(B4705,T_DistName[],3,FALSE),"")</f>
        <v/>
      </c>
      <c r="J4705" t="str">
        <f t="shared" si="74"/>
        <v/>
      </c>
    </row>
    <row r="4706" spans="9:10">
      <c r="I4706" t="str">
        <f>_xlfn.IFNA(VLOOKUP(B4706,T_DistName[],3,FALSE),"")</f>
        <v/>
      </c>
      <c r="J4706" t="str">
        <f t="shared" si="74"/>
        <v/>
      </c>
    </row>
    <row r="4707" spans="9:10">
      <c r="I4707" t="str">
        <f>_xlfn.IFNA(VLOOKUP(B4707,T_DistName[],3,FALSE),"")</f>
        <v/>
      </c>
      <c r="J4707" t="str">
        <f t="shared" si="74"/>
        <v/>
      </c>
    </row>
    <row r="4708" spans="9:10">
      <c r="I4708" t="str">
        <f>_xlfn.IFNA(VLOOKUP(B4708,T_DistName[],3,FALSE),"")</f>
        <v/>
      </c>
      <c r="J4708" t="str">
        <f t="shared" si="74"/>
        <v/>
      </c>
    </row>
    <row r="4709" spans="9:10">
      <c r="I4709" t="str">
        <f>_xlfn.IFNA(VLOOKUP(B4709,T_DistName[],3,FALSE),"")</f>
        <v/>
      </c>
      <c r="J4709" t="str">
        <f t="shared" si="74"/>
        <v/>
      </c>
    </row>
    <row r="4710" spans="9:10">
      <c r="I4710" t="str">
        <f>_xlfn.IFNA(VLOOKUP(B4710,T_DistName[],3,FALSE),"")</f>
        <v/>
      </c>
      <c r="J4710" t="str">
        <f t="shared" si="74"/>
        <v/>
      </c>
    </row>
    <row r="4711" spans="9:10">
      <c r="I4711" t="str">
        <f>_xlfn.IFNA(VLOOKUP(B4711,T_DistName[],3,FALSE),"")</f>
        <v/>
      </c>
      <c r="J4711" t="str">
        <f t="shared" si="74"/>
        <v/>
      </c>
    </row>
    <row r="4712" spans="9:10">
      <c r="I4712" t="str">
        <f>_xlfn.IFNA(VLOOKUP(B4712,T_DistName[],3,FALSE),"")</f>
        <v/>
      </c>
      <c r="J4712" t="str">
        <f t="shared" si="74"/>
        <v/>
      </c>
    </row>
    <row r="4713" spans="9:10">
      <c r="I4713" t="str">
        <f>_xlfn.IFNA(VLOOKUP(B4713,T_DistName[],3,FALSE),"")</f>
        <v/>
      </c>
      <c r="J4713" t="str">
        <f t="shared" si="74"/>
        <v/>
      </c>
    </row>
    <row r="4714" spans="9:10">
      <c r="I4714" t="str">
        <f>_xlfn.IFNA(VLOOKUP(B4714,T_DistName[],3,FALSE),"")</f>
        <v/>
      </c>
      <c r="J4714" t="str">
        <f t="shared" si="74"/>
        <v/>
      </c>
    </row>
    <row r="4715" spans="9:10">
      <c r="I4715" t="str">
        <f>_xlfn.IFNA(VLOOKUP(B4715,T_DistName[],3,FALSE),"")</f>
        <v/>
      </c>
      <c r="J4715" t="str">
        <f t="shared" si="74"/>
        <v/>
      </c>
    </row>
    <row r="4716" spans="9:10">
      <c r="I4716" t="str">
        <f>_xlfn.IFNA(VLOOKUP(B4716,T_DistName[],3,FALSE),"")</f>
        <v/>
      </c>
      <c r="J4716" t="str">
        <f t="shared" si="74"/>
        <v/>
      </c>
    </row>
    <row r="4717" spans="9:10">
      <c r="I4717" t="str">
        <f>_xlfn.IFNA(VLOOKUP(B4717,T_DistName[],3,FALSE),"")</f>
        <v/>
      </c>
      <c r="J4717" t="str">
        <f t="shared" si="74"/>
        <v/>
      </c>
    </row>
    <row r="4718" spans="9:10">
      <c r="I4718" t="str">
        <f>_xlfn.IFNA(VLOOKUP(B4718,T_DistName[],3,FALSE),"")</f>
        <v/>
      </c>
      <c r="J4718" t="str">
        <f t="shared" si="74"/>
        <v/>
      </c>
    </row>
    <row r="4719" spans="9:10">
      <c r="I4719" t="str">
        <f>_xlfn.IFNA(VLOOKUP(B4719,T_DistName[],3,FALSE),"")</f>
        <v/>
      </c>
      <c r="J4719" t="str">
        <f t="shared" si="74"/>
        <v/>
      </c>
    </row>
    <row r="4720" spans="9:10">
      <c r="I4720" t="str">
        <f>_xlfn.IFNA(VLOOKUP(B4720,T_DistName[],3,FALSE),"")</f>
        <v/>
      </c>
      <c r="J4720" t="str">
        <f t="shared" si="74"/>
        <v/>
      </c>
    </row>
    <row r="4721" spans="9:10">
      <c r="I4721" t="str">
        <f>_xlfn.IFNA(VLOOKUP(B4721,T_DistName[],3,FALSE),"")</f>
        <v/>
      </c>
      <c r="J4721" t="str">
        <f t="shared" si="74"/>
        <v/>
      </c>
    </row>
    <row r="4722" spans="9:10">
      <c r="I4722" t="str">
        <f>_xlfn.IFNA(VLOOKUP(B4722,T_DistName[],3,FALSE),"")</f>
        <v/>
      </c>
      <c r="J4722" t="str">
        <f t="shared" si="74"/>
        <v/>
      </c>
    </row>
    <row r="4723" spans="9:10">
      <c r="I4723" t="str">
        <f>_xlfn.IFNA(VLOOKUP(B4723,T_DistName[],3,FALSE),"")</f>
        <v/>
      </c>
      <c r="J4723" t="str">
        <f t="shared" si="74"/>
        <v/>
      </c>
    </row>
    <row r="4724" spans="9:10">
      <c r="I4724" t="str">
        <f>_xlfn.IFNA(VLOOKUP(B4724,T_DistName[],3,FALSE),"")</f>
        <v/>
      </c>
      <c r="J4724" t="str">
        <f t="shared" si="74"/>
        <v/>
      </c>
    </row>
    <row r="4725" spans="9:10">
      <c r="I4725" t="str">
        <f>_xlfn.IFNA(VLOOKUP(B4725,T_DistName[],3,FALSE),"")</f>
        <v/>
      </c>
      <c r="J4725" t="str">
        <f t="shared" si="74"/>
        <v/>
      </c>
    </row>
    <row r="4726" spans="9:10">
      <c r="I4726" t="str">
        <f>_xlfn.IFNA(VLOOKUP(B4726,T_DistName[],3,FALSE),"")</f>
        <v/>
      </c>
      <c r="J4726" t="str">
        <f t="shared" si="74"/>
        <v/>
      </c>
    </row>
    <row r="4727" spans="9:10">
      <c r="I4727" t="str">
        <f>_xlfn.IFNA(VLOOKUP(B4727,T_DistName[],3,FALSE),"")</f>
        <v/>
      </c>
      <c r="J4727" t="str">
        <f t="shared" si="74"/>
        <v/>
      </c>
    </row>
    <row r="4728" spans="9:10">
      <c r="I4728" t="str">
        <f>_xlfn.IFNA(VLOOKUP(B4728,T_DistName[],3,FALSE),"")</f>
        <v/>
      </c>
      <c r="J4728" t="str">
        <f t="shared" si="74"/>
        <v/>
      </c>
    </row>
    <row r="4729" spans="9:10">
      <c r="I4729" t="str">
        <f>_xlfn.IFNA(VLOOKUP(B4729,T_DistName[],3,FALSE),"")</f>
        <v/>
      </c>
      <c r="J4729" t="str">
        <f t="shared" si="74"/>
        <v/>
      </c>
    </row>
    <row r="4730" spans="9:10">
      <c r="I4730" t="str">
        <f>_xlfn.IFNA(VLOOKUP(B4730,T_DistName[],3,FALSE),"")</f>
        <v/>
      </c>
      <c r="J4730" t="str">
        <f t="shared" si="74"/>
        <v/>
      </c>
    </row>
    <row r="4731" spans="9:10">
      <c r="I4731" t="str">
        <f>_xlfn.IFNA(VLOOKUP(B4731,T_DistName[],3,FALSE),"")</f>
        <v/>
      </c>
      <c r="J4731" t="str">
        <f t="shared" si="74"/>
        <v/>
      </c>
    </row>
    <row r="4732" spans="9:10">
      <c r="I4732" t="str">
        <f>_xlfn.IFNA(VLOOKUP(B4732,T_DistName[],3,FALSE),"")</f>
        <v/>
      </c>
      <c r="J4732" t="str">
        <f t="shared" si="74"/>
        <v/>
      </c>
    </row>
    <row r="4733" spans="9:10">
      <c r="I4733" t="str">
        <f>_xlfn.IFNA(VLOOKUP(B4733,T_DistName[],3,FALSE),"")</f>
        <v/>
      </c>
      <c r="J4733" t="str">
        <f t="shared" si="74"/>
        <v/>
      </c>
    </row>
    <row r="4734" spans="9:10">
      <c r="I4734" t="str">
        <f>_xlfn.IFNA(VLOOKUP(B4734,T_DistName[],3,FALSE),"")</f>
        <v/>
      </c>
      <c r="J4734" t="str">
        <f t="shared" si="74"/>
        <v/>
      </c>
    </row>
    <row r="4735" spans="9:10">
      <c r="I4735" t="str">
        <f>_xlfn.IFNA(VLOOKUP(B4735,T_DistName[],3,FALSE),"")</f>
        <v/>
      </c>
      <c r="J4735" t="str">
        <f t="shared" si="74"/>
        <v/>
      </c>
    </row>
    <row r="4736" spans="9:10">
      <c r="I4736" t="str">
        <f>_xlfn.IFNA(VLOOKUP(B4736,T_DistName[],3,FALSE),"")</f>
        <v/>
      </c>
      <c r="J4736" t="str">
        <f t="shared" si="74"/>
        <v/>
      </c>
    </row>
    <row r="4737" spans="9:10">
      <c r="I4737" t="str">
        <f>_xlfn.IFNA(VLOOKUP(B4737,T_DistName[],3,FALSE),"")</f>
        <v/>
      </c>
      <c r="J4737" t="str">
        <f t="shared" si="74"/>
        <v/>
      </c>
    </row>
    <row r="4738" spans="9:10">
      <c r="I4738" t="str">
        <f>_xlfn.IFNA(VLOOKUP(B4738,T_DistName[],3,FALSE),"")</f>
        <v/>
      </c>
      <c r="J4738" t="str">
        <f t="shared" si="74"/>
        <v/>
      </c>
    </row>
    <row r="4739" spans="9:10">
      <c r="I4739" t="str">
        <f>_xlfn.IFNA(VLOOKUP(B4739,T_DistName[],3,FALSE),"")</f>
        <v/>
      </c>
      <c r="J4739" t="str">
        <f t="shared" si="74"/>
        <v/>
      </c>
    </row>
    <row r="4740" spans="9:10">
      <c r="I4740" t="str">
        <f>_xlfn.IFNA(VLOOKUP(B4740,T_DistName[],3,FALSE),"")</f>
        <v/>
      </c>
      <c r="J4740" t="str">
        <f t="shared" si="74"/>
        <v/>
      </c>
    </row>
    <row r="4741" spans="9:10">
      <c r="I4741" t="str">
        <f>_xlfn.IFNA(VLOOKUP(B4741,T_DistName[],3,FALSE),"")</f>
        <v/>
      </c>
      <c r="J4741" t="str">
        <f t="shared" si="74"/>
        <v/>
      </c>
    </row>
    <row r="4742" spans="9:10">
      <c r="I4742" t="str">
        <f>_xlfn.IFNA(VLOOKUP(B4742,T_DistName[],3,FALSE),"")</f>
        <v/>
      </c>
      <c r="J4742" t="str">
        <f t="shared" si="74"/>
        <v/>
      </c>
    </row>
    <row r="4743" spans="9:10">
      <c r="I4743" t="str">
        <f>_xlfn.IFNA(VLOOKUP(B4743,T_DistName[],3,FALSE),"")</f>
        <v/>
      </c>
      <c r="J4743" t="str">
        <f t="shared" si="74"/>
        <v/>
      </c>
    </row>
    <row r="4744" spans="9:10">
      <c r="I4744" t="str">
        <f>_xlfn.IFNA(VLOOKUP(B4744,T_DistName[],3,FALSE),"")</f>
        <v/>
      </c>
      <c r="J4744" t="str">
        <f t="shared" si="74"/>
        <v/>
      </c>
    </row>
    <row r="4745" spans="9:10">
      <c r="I4745" t="str">
        <f>_xlfn.IFNA(VLOOKUP(B4745,T_DistName[],3,FALSE),"")</f>
        <v/>
      </c>
      <c r="J4745" t="str">
        <f t="shared" si="74"/>
        <v/>
      </c>
    </row>
    <row r="4746" spans="9:10">
      <c r="I4746" t="str">
        <f>_xlfn.IFNA(VLOOKUP(B4746,T_DistName[],3,FALSE),"")</f>
        <v/>
      </c>
      <c r="J4746" t="str">
        <f t="shared" si="74"/>
        <v/>
      </c>
    </row>
    <row r="4747" spans="9:10">
      <c r="I4747" t="str">
        <f>_xlfn.IFNA(VLOOKUP(B4747,T_DistName[],3,FALSE),"")</f>
        <v/>
      </c>
      <c r="J4747" t="str">
        <f t="shared" si="74"/>
        <v/>
      </c>
    </row>
    <row r="4748" spans="9:10">
      <c r="I4748" t="str">
        <f>_xlfn.IFNA(VLOOKUP(B4748,T_DistName[],3,FALSE),"")</f>
        <v/>
      </c>
      <c r="J4748" t="str">
        <f t="shared" si="74"/>
        <v/>
      </c>
    </row>
    <row r="4749" spans="9:10">
      <c r="I4749" t="str">
        <f>_xlfn.IFNA(VLOOKUP(B4749,T_DistName[],3,FALSE),"")</f>
        <v/>
      </c>
      <c r="J4749" t="str">
        <f t="shared" si="74"/>
        <v/>
      </c>
    </row>
    <row r="4750" spans="9:10">
      <c r="I4750" t="str">
        <f>_xlfn.IFNA(VLOOKUP(B4750,T_DistName[],3,FALSE),"")</f>
        <v/>
      </c>
      <c r="J4750" t="str">
        <f t="shared" si="74"/>
        <v/>
      </c>
    </row>
    <row r="4751" spans="9:10">
      <c r="I4751" t="str">
        <f>_xlfn.IFNA(VLOOKUP(B4751,T_DistName[],3,FALSE),"")</f>
        <v/>
      </c>
      <c r="J4751" t="str">
        <f t="shared" si="74"/>
        <v/>
      </c>
    </row>
    <row r="4752" spans="9:10">
      <c r="I4752" t="str">
        <f>_xlfn.IFNA(VLOOKUP(B4752,T_DistName[],3,FALSE),"")</f>
        <v/>
      </c>
      <c r="J4752" t="str">
        <f t="shared" si="74"/>
        <v/>
      </c>
    </row>
    <row r="4753" spans="9:10">
      <c r="I4753" t="str">
        <f>_xlfn.IFNA(VLOOKUP(B4753,T_DistName[],3,FALSE),"")</f>
        <v/>
      </c>
      <c r="J4753" t="str">
        <f t="shared" si="74"/>
        <v/>
      </c>
    </row>
    <row r="4754" spans="9:10">
      <c r="I4754" t="str">
        <f>_xlfn.IFNA(VLOOKUP(B4754,T_DistName[],3,FALSE),"")</f>
        <v/>
      </c>
      <c r="J4754" t="str">
        <f t="shared" si="74"/>
        <v/>
      </c>
    </row>
    <row r="4755" spans="9:10">
      <c r="I4755" t="str">
        <f>_xlfn.IFNA(VLOOKUP(B4755,T_DistName[],3,FALSE),"")</f>
        <v/>
      </c>
      <c r="J4755" t="str">
        <f t="shared" si="74"/>
        <v/>
      </c>
    </row>
    <row r="4756" spans="9:10">
      <c r="I4756" t="str">
        <f>_xlfn.IFNA(VLOOKUP(B4756,T_DistName[],3,FALSE),"")</f>
        <v/>
      </c>
      <c r="J4756" t="str">
        <f t="shared" si="74"/>
        <v/>
      </c>
    </row>
    <row r="4757" spans="9:10">
      <c r="I4757" t="str">
        <f>_xlfn.IFNA(VLOOKUP(B4757,T_DistName[],3,FALSE),"")</f>
        <v/>
      </c>
      <c r="J4757" t="str">
        <f t="shared" si="74"/>
        <v/>
      </c>
    </row>
    <row r="4758" spans="9:10">
      <c r="I4758" t="str">
        <f>_xlfn.IFNA(VLOOKUP(B4758,T_DistName[],3,FALSE),"")</f>
        <v/>
      </c>
      <c r="J4758" t="str">
        <f t="shared" si="74"/>
        <v/>
      </c>
    </row>
    <row r="4759" spans="9:10">
      <c r="I4759" t="str">
        <f>_xlfn.IFNA(VLOOKUP(B4759,T_DistName[],3,FALSE),"")</f>
        <v/>
      </c>
      <c r="J4759" t="str">
        <f t="shared" si="74"/>
        <v/>
      </c>
    </row>
    <row r="4760" spans="9:10">
      <c r="I4760" t="str">
        <f>_xlfn.IFNA(VLOOKUP(B4760,T_DistName[],3,FALSE),"")</f>
        <v/>
      </c>
      <c r="J4760" t="str">
        <f t="shared" si="74"/>
        <v/>
      </c>
    </row>
    <row r="4761" spans="9:10">
      <c r="I4761" t="str">
        <f>_xlfn.IFNA(VLOOKUP(B4761,T_DistName[],3,FALSE),"")</f>
        <v/>
      </c>
      <c r="J4761" t="str">
        <f t="shared" ref="J4761:J4824" si="75">I4761&amp;F4761</f>
        <v/>
      </c>
    </row>
    <row r="4762" spans="9:10">
      <c r="I4762" t="str">
        <f>_xlfn.IFNA(VLOOKUP(B4762,T_DistName[],3,FALSE),"")</f>
        <v/>
      </c>
      <c r="J4762" t="str">
        <f t="shared" si="75"/>
        <v/>
      </c>
    </row>
    <row r="4763" spans="9:10">
      <c r="I4763" t="str">
        <f>_xlfn.IFNA(VLOOKUP(B4763,T_DistName[],3,FALSE),"")</f>
        <v/>
      </c>
      <c r="J4763" t="str">
        <f t="shared" si="75"/>
        <v/>
      </c>
    </row>
    <row r="4764" spans="9:10">
      <c r="I4764" t="str">
        <f>_xlfn.IFNA(VLOOKUP(B4764,T_DistName[],3,FALSE),"")</f>
        <v/>
      </c>
      <c r="J4764" t="str">
        <f t="shared" si="75"/>
        <v/>
      </c>
    </row>
    <row r="4765" spans="9:10">
      <c r="I4765" t="str">
        <f>_xlfn.IFNA(VLOOKUP(B4765,T_DistName[],3,FALSE),"")</f>
        <v/>
      </c>
      <c r="J4765" t="str">
        <f t="shared" si="75"/>
        <v/>
      </c>
    </row>
    <row r="4766" spans="9:10">
      <c r="I4766" t="str">
        <f>_xlfn.IFNA(VLOOKUP(B4766,T_DistName[],3,FALSE),"")</f>
        <v/>
      </c>
      <c r="J4766" t="str">
        <f t="shared" si="75"/>
        <v/>
      </c>
    </row>
    <row r="4767" spans="9:10">
      <c r="I4767" t="str">
        <f>_xlfn.IFNA(VLOOKUP(B4767,T_DistName[],3,FALSE),"")</f>
        <v/>
      </c>
      <c r="J4767" t="str">
        <f t="shared" si="75"/>
        <v/>
      </c>
    </row>
    <row r="4768" spans="9:10">
      <c r="I4768" t="str">
        <f>_xlfn.IFNA(VLOOKUP(B4768,T_DistName[],3,FALSE),"")</f>
        <v/>
      </c>
      <c r="J4768" t="str">
        <f t="shared" si="75"/>
        <v/>
      </c>
    </row>
    <row r="4769" spans="9:10">
      <c r="I4769" t="str">
        <f>_xlfn.IFNA(VLOOKUP(B4769,T_DistName[],3,FALSE),"")</f>
        <v/>
      </c>
      <c r="J4769" t="str">
        <f t="shared" si="75"/>
        <v/>
      </c>
    </row>
    <row r="4770" spans="9:10">
      <c r="I4770" t="str">
        <f>_xlfn.IFNA(VLOOKUP(B4770,T_DistName[],3,FALSE),"")</f>
        <v/>
      </c>
      <c r="J4770" t="str">
        <f t="shared" si="75"/>
        <v/>
      </c>
    </row>
    <row r="4771" spans="9:10">
      <c r="I4771" t="str">
        <f>_xlfn.IFNA(VLOOKUP(B4771,T_DistName[],3,FALSE),"")</f>
        <v/>
      </c>
      <c r="J4771" t="str">
        <f t="shared" si="75"/>
        <v/>
      </c>
    </row>
    <row r="4772" spans="9:10">
      <c r="I4772" t="str">
        <f>_xlfn.IFNA(VLOOKUP(B4772,T_DistName[],3,FALSE),"")</f>
        <v/>
      </c>
      <c r="J4772" t="str">
        <f t="shared" si="75"/>
        <v/>
      </c>
    </row>
    <row r="4773" spans="9:10">
      <c r="I4773" t="str">
        <f>_xlfn.IFNA(VLOOKUP(B4773,T_DistName[],3,FALSE),"")</f>
        <v/>
      </c>
      <c r="J4773" t="str">
        <f t="shared" si="75"/>
        <v/>
      </c>
    </row>
    <row r="4774" spans="9:10">
      <c r="I4774" t="str">
        <f>_xlfn.IFNA(VLOOKUP(B4774,T_DistName[],3,FALSE),"")</f>
        <v/>
      </c>
      <c r="J4774" t="str">
        <f t="shared" si="75"/>
        <v/>
      </c>
    </row>
    <row r="4775" spans="9:10">
      <c r="I4775" t="str">
        <f>_xlfn.IFNA(VLOOKUP(B4775,T_DistName[],3,FALSE),"")</f>
        <v/>
      </c>
      <c r="J4775" t="str">
        <f t="shared" si="75"/>
        <v/>
      </c>
    </row>
    <row r="4776" spans="9:10">
      <c r="I4776" t="str">
        <f>_xlfn.IFNA(VLOOKUP(B4776,T_DistName[],3,FALSE),"")</f>
        <v/>
      </c>
      <c r="J4776" t="str">
        <f t="shared" si="75"/>
        <v/>
      </c>
    </row>
    <row r="4777" spans="9:10">
      <c r="I4777" t="str">
        <f>_xlfn.IFNA(VLOOKUP(B4777,T_DistName[],3,FALSE),"")</f>
        <v/>
      </c>
      <c r="J4777" t="str">
        <f t="shared" si="75"/>
        <v/>
      </c>
    </row>
    <row r="4778" spans="9:10">
      <c r="I4778" t="str">
        <f>_xlfn.IFNA(VLOOKUP(B4778,T_DistName[],3,FALSE),"")</f>
        <v/>
      </c>
      <c r="J4778" t="str">
        <f t="shared" si="75"/>
        <v/>
      </c>
    </row>
    <row r="4779" spans="9:10">
      <c r="I4779" t="str">
        <f>_xlfn.IFNA(VLOOKUP(B4779,T_DistName[],3,FALSE),"")</f>
        <v/>
      </c>
      <c r="J4779" t="str">
        <f t="shared" si="75"/>
        <v/>
      </c>
    </row>
    <row r="4780" spans="9:10">
      <c r="I4780" t="str">
        <f>_xlfn.IFNA(VLOOKUP(B4780,T_DistName[],3,FALSE),"")</f>
        <v/>
      </c>
      <c r="J4780" t="str">
        <f t="shared" si="75"/>
        <v/>
      </c>
    </row>
    <row r="4781" spans="9:10">
      <c r="I4781" t="str">
        <f>_xlfn.IFNA(VLOOKUP(B4781,T_DistName[],3,FALSE),"")</f>
        <v/>
      </c>
      <c r="J4781" t="str">
        <f t="shared" si="75"/>
        <v/>
      </c>
    </row>
    <row r="4782" spans="9:10">
      <c r="I4782" t="str">
        <f>_xlfn.IFNA(VLOOKUP(B4782,T_DistName[],3,FALSE),"")</f>
        <v/>
      </c>
      <c r="J4782" t="str">
        <f t="shared" si="75"/>
        <v/>
      </c>
    </row>
    <row r="4783" spans="9:10">
      <c r="I4783" t="str">
        <f>_xlfn.IFNA(VLOOKUP(B4783,T_DistName[],3,FALSE),"")</f>
        <v/>
      </c>
      <c r="J4783" t="str">
        <f t="shared" si="75"/>
        <v/>
      </c>
    </row>
    <row r="4784" spans="9:10">
      <c r="I4784" t="str">
        <f>_xlfn.IFNA(VLOOKUP(B4784,T_DistName[],3,FALSE),"")</f>
        <v/>
      </c>
      <c r="J4784" t="str">
        <f t="shared" si="75"/>
        <v/>
      </c>
    </row>
    <row r="4785" spans="9:10">
      <c r="I4785" t="str">
        <f>_xlfn.IFNA(VLOOKUP(B4785,T_DistName[],3,FALSE),"")</f>
        <v/>
      </c>
      <c r="J4785" t="str">
        <f t="shared" si="75"/>
        <v/>
      </c>
    </row>
    <row r="4786" spans="9:10">
      <c r="I4786" t="str">
        <f>_xlfn.IFNA(VLOOKUP(B4786,T_DistName[],3,FALSE),"")</f>
        <v/>
      </c>
      <c r="J4786" t="str">
        <f t="shared" si="75"/>
        <v/>
      </c>
    </row>
    <row r="4787" spans="9:10">
      <c r="I4787" t="str">
        <f>_xlfn.IFNA(VLOOKUP(B4787,T_DistName[],3,FALSE),"")</f>
        <v/>
      </c>
      <c r="J4787" t="str">
        <f t="shared" si="75"/>
        <v/>
      </c>
    </row>
    <row r="4788" spans="9:10">
      <c r="I4788" t="str">
        <f>_xlfn.IFNA(VLOOKUP(B4788,T_DistName[],3,FALSE),"")</f>
        <v/>
      </c>
      <c r="J4788" t="str">
        <f t="shared" si="75"/>
        <v/>
      </c>
    </row>
    <row r="4789" spans="9:10">
      <c r="I4789" t="str">
        <f>_xlfn.IFNA(VLOOKUP(B4789,T_DistName[],3,FALSE),"")</f>
        <v/>
      </c>
      <c r="J4789" t="str">
        <f t="shared" si="75"/>
        <v/>
      </c>
    </row>
    <row r="4790" spans="9:10">
      <c r="I4790" t="str">
        <f>_xlfn.IFNA(VLOOKUP(B4790,T_DistName[],3,FALSE),"")</f>
        <v/>
      </c>
      <c r="J4790" t="str">
        <f t="shared" si="75"/>
        <v/>
      </c>
    </row>
    <row r="4791" spans="9:10">
      <c r="I4791" t="str">
        <f>_xlfn.IFNA(VLOOKUP(B4791,T_DistName[],3,FALSE),"")</f>
        <v/>
      </c>
      <c r="J4791" t="str">
        <f t="shared" si="75"/>
        <v/>
      </c>
    </row>
    <row r="4792" spans="9:10">
      <c r="I4792" t="str">
        <f>_xlfn.IFNA(VLOOKUP(B4792,T_DistName[],3,FALSE),"")</f>
        <v/>
      </c>
      <c r="J4792" t="str">
        <f t="shared" si="75"/>
        <v/>
      </c>
    </row>
    <row r="4793" spans="9:10">
      <c r="I4793" t="str">
        <f>_xlfn.IFNA(VLOOKUP(B4793,T_DistName[],3,FALSE),"")</f>
        <v/>
      </c>
      <c r="J4793" t="str">
        <f t="shared" si="75"/>
        <v/>
      </c>
    </row>
    <row r="4794" spans="9:10">
      <c r="I4794" t="str">
        <f>_xlfn.IFNA(VLOOKUP(B4794,T_DistName[],3,FALSE),"")</f>
        <v/>
      </c>
      <c r="J4794" t="str">
        <f t="shared" si="75"/>
        <v/>
      </c>
    </row>
    <row r="4795" spans="9:10">
      <c r="I4795" t="str">
        <f>_xlfn.IFNA(VLOOKUP(B4795,T_DistName[],3,FALSE),"")</f>
        <v/>
      </c>
      <c r="J4795" t="str">
        <f t="shared" si="75"/>
        <v/>
      </c>
    </row>
    <row r="4796" spans="9:10">
      <c r="I4796" t="str">
        <f>_xlfn.IFNA(VLOOKUP(B4796,T_DistName[],3,FALSE),"")</f>
        <v/>
      </c>
      <c r="J4796" t="str">
        <f t="shared" si="75"/>
        <v/>
      </c>
    </row>
    <row r="4797" spans="9:10">
      <c r="I4797" t="str">
        <f>_xlfn.IFNA(VLOOKUP(B4797,T_DistName[],3,FALSE),"")</f>
        <v/>
      </c>
      <c r="J4797" t="str">
        <f t="shared" si="75"/>
        <v/>
      </c>
    </row>
    <row r="4798" spans="9:10">
      <c r="I4798" t="str">
        <f>_xlfn.IFNA(VLOOKUP(B4798,T_DistName[],3,FALSE),"")</f>
        <v/>
      </c>
      <c r="J4798" t="str">
        <f t="shared" si="75"/>
        <v/>
      </c>
    </row>
    <row r="4799" spans="9:10">
      <c r="I4799" t="str">
        <f>_xlfn.IFNA(VLOOKUP(B4799,T_DistName[],3,FALSE),"")</f>
        <v/>
      </c>
      <c r="J4799" t="str">
        <f t="shared" si="75"/>
        <v/>
      </c>
    </row>
    <row r="4800" spans="9:10">
      <c r="I4800" t="str">
        <f>_xlfn.IFNA(VLOOKUP(B4800,T_DistName[],3,FALSE),"")</f>
        <v/>
      </c>
      <c r="J4800" t="str">
        <f t="shared" si="75"/>
        <v/>
      </c>
    </row>
    <row r="4801" spans="9:10">
      <c r="I4801" t="str">
        <f>_xlfn.IFNA(VLOOKUP(B4801,T_DistName[],3,FALSE),"")</f>
        <v/>
      </c>
      <c r="J4801" t="str">
        <f t="shared" si="75"/>
        <v/>
      </c>
    </row>
    <row r="4802" spans="9:10">
      <c r="I4802" t="str">
        <f>_xlfn.IFNA(VLOOKUP(B4802,T_DistName[],3,FALSE),"")</f>
        <v/>
      </c>
      <c r="J4802" t="str">
        <f t="shared" si="75"/>
        <v/>
      </c>
    </row>
    <row r="4803" spans="9:10">
      <c r="I4803" t="str">
        <f>_xlfn.IFNA(VLOOKUP(B4803,T_DistName[],3,FALSE),"")</f>
        <v/>
      </c>
      <c r="J4803" t="str">
        <f t="shared" si="75"/>
        <v/>
      </c>
    </row>
    <row r="4804" spans="9:10">
      <c r="I4804" t="str">
        <f>_xlfn.IFNA(VLOOKUP(B4804,T_DistName[],3,FALSE),"")</f>
        <v/>
      </c>
      <c r="J4804" t="str">
        <f t="shared" si="75"/>
        <v/>
      </c>
    </row>
    <row r="4805" spans="9:10">
      <c r="I4805" t="str">
        <f>_xlfn.IFNA(VLOOKUP(B4805,T_DistName[],3,FALSE),"")</f>
        <v/>
      </c>
      <c r="J4805" t="str">
        <f t="shared" si="75"/>
        <v/>
      </c>
    </row>
    <row r="4806" spans="9:10">
      <c r="I4806" t="str">
        <f>_xlfn.IFNA(VLOOKUP(B4806,T_DistName[],3,FALSE),"")</f>
        <v/>
      </c>
      <c r="J4806" t="str">
        <f t="shared" si="75"/>
        <v/>
      </c>
    </row>
    <row r="4807" spans="9:10">
      <c r="I4807" t="str">
        <f>_xlfn.IFNA(VLOOKUP(B4807,T_DistName[],3,FALSE),"")</f>
        <v/>
      </c>
      <c r="J4807" t="str">
        <f t="shared" si="75"/>
        <v/>
      </c>
    </row>
    <row r="4808" spans="9:10">
      <c r="I4808" t="str">
        <f>_xlfn.IFNA(VLOOKUP(B4808,T_DistName[],3,FALSE),"")</f>
        <v/>
      </c>
      <c r="J4808" t="str">
        <f t="shared" si="75"/>
        <v/>
      </c>
    </row>
    <row r="4809" spans="9:10">
      <c r="I4809" t="str">
        <f>_xlfn.IFNA(VLOOKUP(B4809,T_DistName[],3,FALSE),"")</f>
        <v/>
      </c>
      <c r="J4809" t="str">
        <f t="shared" si="75"/>
        <v/>
      </c>
    </row>
    <row r="4810" spans="9:10">
      <c r="I4810" t="str">
        <f>_xlfn.IFNA(VLOOKUP(B4810,T_DistName[],3,FALSE),"")</f>
        <v/>
      </c>
      <c r="J4810" t="str">
        <f t="shared" si="75"/>
        <v/>
      </c>
    </row>
    <row r="4811" spans="9:10">
      <c r="I4811" t="str">
        <f>_xlfn.IFNA(VLOOKUP(B4811,T_DistName[],3,FALSE),"")</f>
        <v/>
      </c>
      <c r="J4811" t="str">
        <f t="shared" si="75"/>
        <v/>
      </c>
    </row>
    <row r="4812" spans="9:10">
      <c r="I4812" t="str">
        <f>_xlfn.IFNA(VLOOKUP(B4812,T_DistName[],3,FALSE),"")</f>
        <v/>
      </c>
      <c r="J4812" t="str">
        <f t="shared" si="75"/>
        <v/>
      </c>
    </row>
    <row r="4813" spans="9:10">
      <c r="I4813" t="str">
        <f>_xlfn.IFNA(VLOOKUP(B4813,T_DistName[],3,FALSE),"")</f>
        <v/>
      </c>
      <c r="J4813" t="str">
        <f t="shared" si="75"/>
        <v/>
      </c>
    </row>
    <row r="4814" spans="9:10">
      <c r="I4814" t="str">
        <f>_xlfn.IFNA(VLOOKUP(B4814,T_DistName[],3,FALSE),"")</f>
        <v/>
      </c>
      <c r="J4814" t="str">
        <f t="shared" si="75"/>
        <v/>
      </c>
    </row>
    <row r="4815" spans="9:10">
      <c r="I4815" t="str">
        <f>_xlfn.IFNA(VLOOKUP(B4815,T_DistName[],3,FALSE),"")</f>
        <v/>
      </c>
      <c r="J4815" t="str">
        <f t="shared" si="75"/>
        <v/>
      </c>
    </row>
    <row r="4816" spans="9:10">
      <c r="I4816" t="str">
        <f>_xlfn.IFNA(VLOOKUP(B4816,T_DistName[],3,FALSE),"")</f>
        <v/>
      </c>
      <c r="J4816" t="str">
        <f t="shared" si="75"/>
        <v/>
      </c>
    </row>
    <row r="4817" spans="9:10">
      <c r="I4817" t="str">
        <f>_xlfn.IFNA(VLOOKUP(B4817,T_DistName[],3,FALSE),"")</f>
        <v/>
      </c>
      <c r="J4817" t="str">
        <f t="shared" si="75"/>
        <v/>
      </c>
    </row>
    <row r="4818" spans="9:10">
      <c r="I4818" t="str">
        <f>_xlfn.IFNA(VLOOKUP(B4818,T_DistName[],3,FALSE),"")</f>
        <v/>
      </c>
      <c r="J4818" t="str">
        <f t="shared" si="75"/>
        <v/>
      </c>
    </row>
    <row r="4819" spans="9:10">
      <c r="I4819" t="str">
        <f>_xlfn.IFNA(VLOOKUP(B4819,T_DistName[],3,FALSE),"")</f>
        <v/>
      </c>
      <c r="J4819" t="str">
        <f t="shared" si="75"/>
        <v/>
      </c>
    </row>
    <row r="4820" spans="9:10">
      <c r="I4820" t="str">
        <f>_xlfn.IFNA(VLOOKUP(B4820,T_DistName[],3,FALSE),"")</f>
        <v/>
      </c>
      <c r="J4820" t="str">
        <f t="shared" si="75"/>
        <v/>
      </c>
    </row>
    <row r="4821" spans="9:10">
      <c r="I4821" t="str">
        <f>_xlfn.IFNA(VLOOKUP(B4821,T_DistName[],3,FALSE),"")</f>
        <v/>
      </c>
      <c r="J4821" t="str">
        <f t="shared" si="75"/>
        <v/>
      </c>
    </row>
    <row r="4822" spans="9:10">
      <c r="I4822" t="str">
        <f>_xlfn.IFNA(VLOOKUP(B4822,T_DistName[],3,FALSE),"")</f>
        <v/>
      </c>
      <c r="J4822" t="str">
        <f t="shared" si="75"/>
        <v/>
      </c>
    </row>
    <row r="4823" spans="9:10">
      <c r="I4823" t="str">
        <f>_xlfn.IFNA(VLOOKUP(B4823,T_DistName[],3,FALSE),"")</f>
        <v/>
      </c>
      <c r="J4823" t="str">
        <f t="shared" si="75"/>
        <v/>
      </c>
    </row>
    <row r="4824" spans="9:10">
      <c r="I4824" t="str">
        <f>_xlfn.IFNA(VLOOKUP(B4824,T_DistName[],3,FALSE),"")</f>
        <v/>
      </c>
      <c r="J4824" t="str">
        <f t="shared" si="75"/>
        <v/>
      </c>
    </row>
    <row r="4825" spans="9:10">
      <c r="I4825" t="str">
        <f>_xlfn.IFNA(VLOOKUP(B4825,T_DistName[],3,FALSE),"")</f>
        <v/>
      </c>
      <c r="J4825" t="str">
        <f t="shared" ref="J4825:J4888" si="76">I4825&amp;F4825</f>
        <v/>
      </c>
    </row>
    <row r="4826" spans="9:10">
      <c r="I4826" t="str">
        <f>_xlfn.IFNA(VLOOKUP(B4826,T_DistName[],3,FALSE),"")</f>
        <v/>
      </c>
      <c r="J4826" t="str">
        <f t="shared" si="76"/>
        <v/>
      </c>
    </row>
    <row r="4827" spans="9:10">
      <c r="I4827" t="str">
        <f>_xlfn.IFNA(VLOOKUP(B4827,T_DistName[],3,FALSE),"")</f>
        <v/>
      </c>
      <c r="J4827" t="str">
        <f t="shared" si="76"/>
        <v/>
      </c>
    </row>
    <row r="4828" spans="9:10">
      <c r="I4828" t="str">
        <f>_xlfn.IFNA(VLOOKUP(B4828,T_DistName[],3,FALSE),"")</f>
        <v/>
      </c>
      <c r="J4828" t="str">
        <f t="shared" si="76"/>
        <v/>
      </c>
    </row>
    <row r="4829" spans="9:10">
      <c r="I4829" t="str">
        <f>_xlfn.IFNA(VLOOKUP(B4829,T_DistName[],3,FALSE),"")</f>
        <v/>
      </c>
      <c r="J4829" t="str">
        <f t="shared" si="76"/>
        <v/>
      </c>
    </row>
    <row r="4830" spans="9:10">
      <c r="I4830" t="str">
        <f>_xlfn.IFNA(VLOOKUP(B4830,T_DistName[],3,FALSE),"")</f>
        <v/>
      </c>
      <c r="J4830" t="str">
        <f t="shared" si="76"/>
        <v/>
      </c>
    </row>
    <row r="4831" spans="9:10">
      <c r="I4831" t="str">
        <f>_xlfn.IFNA(VLOOKUP(B4831,T_DistName[],3,FALSE),"")</f>
        <v/>
      </c>
      <c r="J4831" t="str">
        <f t="shared" si="76"/>
        <v/>
      </c>
    </row>
    <row r="4832" spans="9:10">
      <c r="I4832" t="str">
        <f>_xlfn.IFNA(VLOOKUP(B4832,T_DistName[],3,FALSE),"")</f>
        <v/>
      </c>
      <c r="J4832" t="str">
        <f t="shared" si="76"/>
        <v/>
      </c>
    </row>
    <row r="4833" spans="9:10">
      <c r="I4833" t="str">
        <f>_xlfn.IFNA(VLOOKUP(B4833,T_DistName[],3,FALSE),"")</f>
        <v/>
      </c>
      <c r="J4833" t="str">
        <f t="shared" si="76"/>
        <v/>
      </c>
    </row>
    <row r="4834" spans="9:10">
      <c r="I4834" t="str">
        <f>_xlfn.IFNA(VLOOKUP(B4834,T_DistName[],3,FALSE),"")</f>
        <v/>
      </c>
      <c r="J4834" t="str">
        <f t="shared" si="76"/>
        <v/>
      </c>
    </row>
    <row r="4835" spans="9:10">
      <c r="I4835" t="str">
        <f>_xlfn.IFNA(VLOOKUP(B4835,T_DistName[],3,FALSE),"")</f>
        <v/>
      </c>
      <c r="J4835" t="str">
        <f t="shared" si="76"/>
        <v/>
      </c>
    </row>
    <row r="4836" spans="9:10">
      <c r="I4836" t="str">
        <f>_xlfn.IFNA(VLOOKUP(B4836,T_DistName[],3,FALSE),"")</f>
        <v/>
      </c>
      <c r="J4836" t="str">
        <f t="shared" si="76"/>
        <v/>
      </c>
    </row>
    <row r="4837" spans="9:10">
      <c r="I4837" t="str">
        <f>_xlfn.IFNA(VLOOKUP(B4837,T_DistName[],3,FALSE),"")</f>
        <v/>
      </c>
      <c r="J4837" t="str">
        <f t="shared" si="76"/>
        <v/>
      </c>
    </row>
    <row r="4838" spans="9:10">
      <c r="I4838" t="str">
        <f>_xlfn.IFNA(VLOOKUP(B4838,T_DistName[],3,FALSE),"")</f>
        <v/>
      </c>
      <c r="J4838" t="str">
        <f t="shared" si="76"/>
        <v/>
      </c>
    </row>
    <row r="4839" spans="9:10">
      <c r="I4839" t="str">
        <f>_xlfn.IFNA(VLOOKUP(B4839,T_DistName[],3,FALSE),"")</f>
        <v/>
      </c>
      <c r="J4839" t="str">
        <f t="shared" si="76"/>
        <v/>
      </c>
    </row>
    <row r="4840" spans="9:10">
      <c r="I4840" t="str">
        <f>_xlfn.IFNA(VLOOKUP(B4840,T_DistName[],3,FALSE),"")</f>
        <v/>
      </c>
      <c r="J4840" t="str">
        <f t="shared" si="76"/>
        <v/>
      </c>
    </row>
    <row r="4841" spans="9:10">
      <c r="I4841" t="str">
        <f>_xlfn.IFNA(VLOOKUP(B4841,T_DistName[],3,FALSE),"")</f>
        <v/>
      </c>
      <c r="J4841" t="str">
        <f t="shared" si="76"/>
        <v/>
      </c>
    </row>
    <row r="4842" spans="9:10">
      <c r="I4842" t="str">
        <f>_xlfn.IFNA(VLOOKUP(B4842,T_DistName[],3,FALSE),"")</f>
        <v/>
      </c>
      <c r="J4842" t="str">
        <f t="shared" si="76"/>
        <v/>
      </c>
    </row>
    <row r="4843" spans="9:10">
      <c r="I4843" t="str">
        <f>_xlfn.IFNA(VLOOKUP(B4843,T_DistName[],3,FALSE),"")</f>
        <v/>
      </c>
      <c r="J4843" t="str">
        <f t="shared" si="76"/>
        <v/>
      </c>
    </row>
    <row r="4844" spans="9:10">
      <c r="I4844" t="str">
        <f>_xlfn.IFNA(VLOOKUP(B4844,T_DistName[],3,FALSE),"")</f>
        <v/>
      </c>
      <c r="J4844" t="str">
        <f t="shared" si="76"/>
        <v/>
      </c>
    </row>
    <row r="4845" spans="9:10">
      <c r="I4845" t="str">
        <f>_xlfn.IFNA(VLOOKUP(B4845,T_DistName[],3,FALSE),"")</f>
        <v/>
      </c>
      <c r="J4845" t="str">
        <f t="shared" si="76"/>
        <v/>
      </c>
    </row>
    <row r="4846" spans="9:10">
      <c r="I4846" t="str">
        <f>_xlfn.IFNA(VLOOKUP(B4846,T_DistName[],3,FALSE),"")</f>
        <v/>
      </c>
      <c r="J4846" t="str">
        <f t="shared" si="76"/>
        <v/>
      </c>
    </row>
    <row r="4847" spans="9:10">
      <c r="I4847" t="str">
        <f>_xlfn.IFNA(VLOOKUP(B4847,T_DistName[],3,FALSE),"")</f>
        <v/>
      </c>
      <c r="J4847" t="str">
        <f t="shared" si="76"/>
        <v/>
      </c>
    </row>
    <row r="4848" spans="9:10">
      <c r="I4848" t="str">
        <f>_xlfn.IFNA(VLOOKUP(B4848,T_DistName[],3,FALSE),"")</f>
        <v/>
      </c>
      <c r="J4848" t="str">
        <f t="shared" si="76"/>
        <v/>
      </c>
    </row>
    <row r="4849" spans="9:10">
      <c r="I4849" t="str">
        <f>_xlfn.IFNA(VLOOKUP(B4849,T_DistName[],3,FALSE),"")</f>
        <v/>
      </c>
      <c r="J4849" t="str">
        <f t="shared" si="76"/>
        <v/>
      </c>
    </row>
    <row r="4850" spans="9:10">
      <c r="I4850" t="str">
        <f>_xlfn.IFNA(VLOOKUP(B4850,T_DistName[],3,FALSE),"")</f>
        <v/>
      </c>
      <c r="J4850" t="str">
        <f t="shared" si="76"/>
        <v/>
      </c>
    </row>
    <row r="4851" spans="9:10">
      <c r="I4851" t="str">
        <f>_xlfn.IFNA(VLOOKUP(B4851,T_DistName[],3,FALSE),"")</f>
        <v/>
      </c>
      <c r="J4851" t="str">
        <f t="shared" si="76"/>
        <v/>
      </c>
    </row>
    <row r="4852" spans="9:10">
      <c r="I4852" t="str">
        <f>_xlfn.IFNA(VLOOKUP(B4852,T_DistName[],3,FALSE),"")</f>
        <v/>
      </c>
      <c r="J4852" t="str">
        <f t="shared" si="76"/>
        <v/>
      </c>
    </row>
    <row r="4853" spans="9:10">
      <c r="I4853" t="str">
        <f>_xlfn.IFNA(VLOOKUP(B4853,T_DistName[],3,FALSE),"")</f>
        <v/>
      </c>
      <c r="J4853" t="str">
        <f t="shared" si="76"/>
        <v/>
      </c>
    </row>
    <row r="4854" spans="9:10">
      <c r="I4854" t="str">
        <f>_xlfn.IFNA(VLOOKUP(B4854,T_DistName[],3,FALSE),"")</f>
        <v/>
      </c>
      <c r="J4854" t="str">
        <f t="shared" si="76"/>
        <v/>
      </c>
    </row>
    <row r="4855" spans="9:10">
      <c r="I4855" t="str">
        <f>_xlfn.IFNA(VLOOKUP(B4855,T_DistName[],3,FALSE),"")</f>
        <v/>
      </c>
      <c r="J4855" t="str">
        <f t="shared" si="76"/>
        <v/>
      </c>
    </row>
    <row r="4856" spans="9:10">
      <c r="I4856" t="str">
        <f>_xlfn.IFNA(VLOOKUP(B4856,T_DistName[],3,FALSE),"")</f>
        <v/>
      </c>
      <c r="J4856" t="str">
        <f t="shared" si="76"/>
        <v/>
      </c>
    </row>
    <row r="4857" spans="9:10">
      <c r="I4857" t="str">
        <f>_xlfn.IFNA(VLOOKUP(B4857,T_DistName[],3,FALSE),"")</f>
        <v/>
      </c>
      <c r="J4857" t="str">
        <f t="shared" si="76"/>
        <v/>
      </c>
    </row>
    <row r="4858" spans="9:10">
      <c r="I4858" t="str">
        <f>_xlfn.IFNA(VLOOKUP(B4858,T_DistName[],3,FALSE),"")</f>
        <v/>
      </c>
      <c r="J4858" t="str">
        <f t="shared" si="76"/>
        <v/>
      </c>
    </row>
    <row r="4859" spans="9:10">
      <c r="I4859" t="str">
        <f>_xlfn.IFNA(VLOOKUP(B4859,T_DistName[],3,FALSE),"")</f>
        <v/>
      </c>
      <c r="J4859" t="str">
        <f t="shared" si="76"/>
        <v/>
      </c>
    </row>
    <row r="4860" spans="9:10">
      <c r="I4860" t="str">
        <f>_xlfn.IFNA(VLOOKUP(B4860,T_DistName[],3,FALSE),"")</f>
        <v/>
      </c>
      <c r="J4860" t="str">
        <f t="shared" si="76"/>
        <v/>
      </c>
    </row>
    <row r="4861" spans="9:10">
      <c r="I4861" t="str">
        <f>_xlfn.IFNA(VLOOKUP(B4861,T_DistName[],3,FALSE),"")</f>
        <v/>
      </c>
      <c r="J4861" t="str">
        <f t="shared" si="76"/>
        <v/>
      </c>
    </row>
    <row r="4862" spans="9:10">
      <c r="I4862" t="str">
        <f>_xlfn.IFNA(VLOOKUP(B4862,T_DistName[],3,FALSE),"")</f>
        <v/>
      </c>
      <c r="J4862" t="str">
        <f t="shared" si="76"/>
        <v/>
      </c>
    </row>
    <row r="4863" spans="9:10">
      <c r="I4863" t="str">
        <f>_xlfn.IFNA(VLOOKUP(B4863,T_DistName[],3,FALSE),"")</f>
        <v/>
      </c>
      <c r="J4863" t="str">
        <f t="shared" si="76"/>
        <v/>
      </c>
    </row>
    <row r="4864" spans="9:10">
      <c r="I4864" t="str">
        <f>_xlfn.IFNA(VLOOKUP(B4864,T_DistName[],3,FALSE),"")</f>
        <v/>
      </c>
      <c r="J4864" t="str">
        <f t="shared" si="76"/>
        <v/>
      </c>
    </row>
    <row r="4865" spans="9:10">
      <c r="I4865" t="str">
        <f>_xlfn.IFNA(VLOOKUP(B4865,T_DistName[],3,FALSE),"")</f>
        <v/>
      </c>
      <c r="J4865" t="str">
        <f t="shared" si="76"/>
        <v/>
      </c>
    </row>
    <row r="4866" spans="9:10">
      <c r="I4866" t="str">
        <f>_xlfn.IFNA(VLOOKUP(B4866,T_DistName[],3,FALSE),"")</f>
        <v/>
      </c>
      <c r="J4866" t="str">
        <f t="shared" si="76"/>
        <v/>
      </c>
    </row>
    <row r="4867" spans="9:10">
      <c r="I4867" t="str">
        <f>_xlfn.IFNA(VLOOKUP(B4867,T_DistName[],3,FALSE),"")</f>
        <v/>
      </c>
      <c r="J4867" t="str">
        <f t="shared" si="76"/>
        <v/>
      </c>
    </row>
    <row r="4868" spans="9:10">
      <c r="I4868" t="str">
        <f>_xlfn.IFNA(VLOOKUP(B4868,T_DistName[],3,FALSE),"")</f>
        <v/>
      </c>
      <c r="J4868" t="str">
        <f t="shared" si="76"/>
        <v/>
      </c>
    </row>
    <row r="4869" spans="9:10">
      <c r="I4869" t="str">
        <f>_xlfn.IFNA(VLOOKUP(B4869,T_DistName[],3,FALSE),"")</f>
        <v/>
      </c>
      <c r="J4869" t="str">
        <f t="shared" si="76"/>
        <v/>
      </c>
    </row>
    <row r="4870" spans="9:10">
      <c r="I4870" t="str">
        <f>_xlfn.IFNA(VLOOKUP(B4870,T_DistName[],3,FALSE),"")</f>
        <v/>
      </c>
      <c r="J4870" t="str">
        <f t="shared" si="76"/>
        <v/>
      </c>
    </row>
    <row r="4871" spans="9:10">
      <c r="I4871" t="str">
        <f>_xlfn.IFNA(VLOOKUP(B4871,T_DistName[],3,FALSE),"")</f>
        <v/>
      </c>
      <c r="J4871" t="str">
        <f t="shared" si="76"/>
        <v/>
      </c>
    </row>
    <row r="4872" spans="9:10">
      <c r="I4872" t="str">
        <f>_xlfn.IFNA(VLOOKUP(B4872,T_DistName[],3,FALSE),"")</f>
        <v/>
      </c>
      <c r="J4872" t="str">
        <f t="shared" si="76"/>
        <v/>
      </c>
    </row>
    <row r="4873" spans="9:10">
      <c r="I4873" t="str">
        <f>_xlfn.IFNA(VLOOKUP(B4873,T_DistName[],3,FALSE),"")</f>
        <v/>
      </c>
      <c r="J4873" t="str">
        <f t="shared" si="76"/>
        <v/>
      </c>
    </row>
    <row r="4874" spans="9:10">
      <c r="I4874" t="str">
        <f>_xlfn.IFNA(VLOOKUP(B4874,T_DistName[],3,FALSE),"")</f>
        <v/>
      </c>
      <c r="J4874" t="str">
        <f t="shared" si="76"/>
        <v/>
      </c>
    </row>
    <row r="4875" spans="9:10">
      <c r="I4875" t="str">
        <f>_xlfn.IFNA(VLOOKUP(B4875,T_DistName[],3,FALSE),"")</f>
        <v/>
      </c>
      <c r="J4875" t="str">
        <f t="shared" si="76"/>
        <v/>
      </c>
    </row>
    <row r="4876" spans="9:10">
      <c r="I4876" t="str">
        <f>_xlfn.IFNA(VLOOKUP(B4876,T_DistName[],3,FALSE),"")</f>
        <v/>
      </c>
      <c r="J4876" t="str">
        <f t="shared" si="76"/>
        <v/>
      </c>
    </row>
    <row r="4877" spans="9:10">
      <c r="I4877" t="str">
        <f>_xlfn.IFNA(VLOOKUP(B4877,T_DistName[],3,FALSE),"")</f>
        <v/>
      </c>
      <c r="J4877" t="str">
        <f t="shared" si="76"/>
        <v/>
      </c>
    </row>
    <row r="4878" spans="9:10">
      <c r="I4878" t="str">
        <f>_xlfn.IFNA(VLOOKUP(B4878,T_DistName[],3,FALSE),"")</f>
        <v/>
      </c>
      <c r="J4878" t="str">
        <f t="shared" si="76"/>
        <v/>
      </c>
    </row>
    <row r="4879" spans="9:10">
      <c r="I4879" t="str">
        <f>_xlfn.IFNA(VLOOKUP(B4879,T_DistName[],3,FALSE),"")</f>
        <v/>
      </c>
      <c r="J4879" t="str">
        <f t="shared" si="76"/>
        <v/>
      </c>
    </row>
    <row r="4880" spans="9:10">
      <c r="I4880" t="str">
        <f>_xlfn.IFNA(VLOOKUP(B4880,T_DistName[],3,FALSE),"")</f>
        <v/>
      </c>
      <c r="J4880" t="str">
        <f t="shared" si="76"/>
        <v/>
      </c>
    </row>
    <row r="4881" spans="9:10">
      <c r="I4881" t="str">
        <f>_xlfn.IFNA(VLOOKUP(B4881,T_DistName[],3,FALSE),"")</f>
        <v/>
      </c>
      <c r="J4881" t="str">
        <f t="shared" si="76"/>
        <v/>
      </c>
    </row>
    <row r="4882" spans="9:10">
      <c r="I4882" t="str">
        <f>_xlfn.IFNA(VLOOKUP(B4882,T_DistName[],3,FALSE),"")</f>
        <v/>
      </c>
      <c r="J4882" t="str">
        <f t="shared" si="76"/>
        <v/>
      </c>
    </row>
    <row r="4883" spans="9:10">
      <c r="I4883" t="str">
        <f>_xlfn.IFNA(VLOOKUP(B4883,T_DistName[],3,FALSE),"")</f>
        <v/>
      </c>
      <c r="J4883" t="str">
        <f t="shared" si="76"/>
        <v/>
      </c>
    </row>
    <row r="4884" spans="9:10">
      <c r="I4884" t="str">
        <f>_xlfn.IFNA(VLOOKUP(B4884,T_DistName[],3,FALSE),"")</f>
        <v/>
      </c>
      <c r="J4884" t="str">
        <f t="shared" si="76"/>
        <v/>
      </c>
    </row>
    <row r="4885" spans="9:10">
      <c r="I4885" t="str">
        <f>_xlfn.IFNA(VLOOKUP(B4885,T_DistName[],3,FALSE),"")</f>
        <v/>
      </c>
      <c r="J4885" t="str">
        <f t="shared" si="76"/>
        <v/>
      </c>
    </row>
    <row r="4886" spans="9:10">
      <c r="I4886" t="str">
        <f>_xlfn.IFNA(VLOOKUP(B4886,T_DistName[],3,FALSE),"")</f>
        <v/>
      </c>
      <c r="J4886" t="str">
        <f t="shared" si="76"/>
        <v/>
      </c>
    </row>
    <row r="4887" spans="9:10">
      <c r="I4887" t="str">
        <f>_xlfn.IFNA(VLOOKUP(B4887,T_DistName[],3,FALSE),"")</f>
        <v/>
      </c>
      <c r="J4887" t="str">
        <f t="shared" si="76"/>
        <v/>
      </c>
    </row>
    <row r="4888" spans="9:10">
      <c r="I4888" t="str">
        <f>_xlfn.IFNA(VLOOKUP(B4888,T_DistName[],3,FALSE),"")</f>
        <v/>
      </c>
      <c r="J4888" t="str">
        <f t="shared" si="76"/>
        <v/>
      </c>
    </row>
    <row r="4889" spans="9:10">
      <c r="I4889" t="str">
        <f>_xlfn.IFNA(VLOOKUP(B4889,T_DistName[],3,FALSE),"")</f>
        <v/>
      </c>
      <c r="J4889" t="str">
        <f t="shared" ref="J4889:J4952" si="77">I4889&amp;F4889</f>
        <v/>
      </c>
    </row>
    <row r="4890" spans="9:10">
      <c r="I4890" t="str">
        <f>_xlfn.IFNA(VLOOKUP(B4890,T_DistName[],3,FALSE),"")</f>
        <v/>
      </c>
      <c r="J4890" t="str">
        <f t="shared" si="77"/>
        <v/>
      </c>
    </row>
    <row r="4891" spans="9:10">
      <c r="I4891" t="str">
        <f>_xlfn.IFNA(VLOOKUP(B4891,T_DistName[],3,FALSE),"")</f>
        <v/>
      </c>
      <c r="J4891" t="str">
        <f t="shared" si="77"/>
        <v/>
      </c>
    </row>
    <row r="4892" spans="9:10">
      <c r="I4892" t="str">
        <f>_xlfn.IFNA(VLOOKUP(B4892,T_DistName[],3,FALSE),"")</f>
        <v/>
      </c>
      <c r="J4892" t="str">
        <f t="shared" si="77"/>
        <v/>
      </c>
    </row>
    <row r="4893" spans="9:10">
      <c r="I4893" t="str">
        <f>_xlfn.IFNA(VLOOKUP(B4893,T_DistName[],3,FALSE),"")</f>
        <v/>
      </c>
      <c r="J4893" t="str">
        <f t="shared" si="77"/>
        <v/>
      </c>
    </row>
    <row r="4894" spans="9:10">
      <c r="I4894" t="str">
        <f>_xlfn.IFNA(VLOOKUP(B4894,T_DistName[],3,FALSE),"")</f>
        <v/>
      </c>
      <c r="J4894" t="str">
        <f t="shared" si="77"/>
        <v/>
      </c>
    </row>
    <row r="4895" spans="9:10">
      <c r="I4895" t="str">
        <f>_xlfn.IFNA(VLOOKUP(B4895,T_DistName[],3,FALSE),"")</f>
        <v/>
      </c>
      <c r="J4895" t="str">
        <f t="shared" si="77"/>
        <v/>
      </c>
    </row>
    <row r="4896" spans="9:10">
      <c r="I4896" t="str">
        <f>_xlfn.IFNA(VLOOKUP(B4896,T_DistName[],3,FALSE),"")</f>
        <v/>
      </c>
      <c r="J4896" t="str">
        <f t="shared" si="77"/>
        <v/>
      </c>
    </row>
    <row r="4897" spans="9:10">
      <c r="I4897" t="str">
        <f>_xlfn.IFNA(VLOOKUP(B4897,T_DistName[],3,FALSE),"")</f>
        <v/>
      </c>
      <c r="J4897" t="str">
        <f t="shared" si="77"/>
        <v/>
      </c>
    </row>
    <row r="4898" spans="9:10">
      <c r="I4898" t="str">
        <f>_xlfn.IFNA(VLOOKUP(B4898,T_DistName[],3,FALSE),"")</f>
        <v/>
      </c>
      <c r="J4898" t="str">
        <f t="shared" si="77"/>
        <v/>
      </c>
    </row>
    <row r="4899" spans="9:10">
      <c r="I4899" t="str">
        <f>_xlfn.IFNA(VLOOKUP(B4899,T_DistName[],3,FALSE),"")</f>
        <v/>
      </c>
      <c r="J4899" t="str">
        <f t="shared" si="77"/>
        <v/>
      </c>
    </row>
    <row r="4900" spans="9:10">
      <c r="I4900" t="str">
        <f>_xlfn.IFNA(VLOOKUP(B4900,T_DistName[],3,FALSE),"")</f>
        <v/>
      </c>
      <c r="J4900" t="str">
        <f t="shared" si="77"/>
        <v/>
      </c>
    </row>
    <row r="4901" spans="9:10">
      <c r="I4901" t="str">
        <f>_xlfn.IFNA(VLOOKUP(B4901,T_DistName[],3,FALSE),"")</f>
        <v/>
      </c>
      <c r="J4901" t="str">
        <f t="shared" si="77"/>
        <v/>
      </c>
    </row>
    <row r="4902" spans="9:10">
      <c r="I4902" t="str">
        <f>_xlfn.IFNA(VLOOKUP(B4902,T_DistName[],3,FALSE),"")</f>
        <v/>
      </c>
      <c r="J4902" t="str">
        <f t="shared" si="77"/>
        <v/>
      </c>
    </row>
    <row r="4903" spans="9:10">
      <c r="I4903" t="str">
        <f>_xlfn.IFNA(VLOOKUP(B4903,T_DistName[],3,FALSE),"")</f>
        <v/>
      </c>
      <c r="J4903" t="str">
        <f t="shared" si="77"/>
        <v/>
      </c>
    </row>
    <row r="4904" spans="9:10">
      <c r="I4904" t="str">
        <f>_xlfn.IFNA(VLOOKUP(B4904,T_DistName[],3,FALSE),"")</f>
        <v/>
      </c>
      <c r="J4904" t="str">
        <f t="shared" si="77"/>
        <v/>
      </c>
    </row>
    <row r="4905" spans="9:10">
      <c r="I4905" t="str">
        <f>_xlfn.IFNA(VLOOKUP(B4905,T_DistName[],3,FALSE),"")</f>
        <v/>
      </c>
      <c r="J4905" t="str">
        <f t="shared" si="77"/>
        <v/>
      </c>
    </row>
    <row r="4906" spans="9:10">
      <c r="I4906" t="str">
        <f>_xlfn.IFNA(VLOOKUP(B4906,T_DistName[],3,FALSE),"")</f>
        <v/>
      </c>
      <c r="J4906" t="str">
        <f t="shared" si="77"/>
        <v/>
      </c>
    </row>
    <row r="4907" spans="9:10">
      <c r="I4907" t="str">
        <f>_xlfn.IFNA(VLOOKUP(B4907,T_DistName[],3,FALSE),"")</f>
        <v/>
      </c>
      <c r="J4907" t="str">
        <f t="shared" si="77"/>
        <v/>
      </c>
    </row>
    <row r="4908" spans="9:10">
      <c r="I4908" t="str">
        <f>_xlfn.IFNA(VLOOKUP(B4908,T_DistName[],3,FALSE),"")</f>
        <v/>
      </c>
      <c r="J4908" t="str">
        <f t="shared" si="77"/>
        <v/>
      </c>
    </row>
    <row r="4909" spans="9:10">
      <c r="I4909" t="str">
        <f>_xlfn.IFNA(VLOOKUP(B4909,T_DistName[],3,FALSE),"")</f>
        <v/>
      </c>
      <c r="J4909" t="str">
        <f t="shared" si="77"/>
        <v/>
      </c>
    </row>
    <row r="4910" spans="9:10">
      <c r="I4910" t="str">
        <f>_xlfn.IFNA(VLOOKUP(B4910,T_DistName[],3,FALSE),"")</f>
        <v/>
      </c>
      <c r="J4910" t="str">
        <f t="shared" si="77"/>
        <v/>
      </c>
    </row>
    <row r="4911" spans="9:10">
      <c r="I4911" t="str">
        <f>_xlfn.IFNA(VLOOKUP(B4911,T_DistName[],3,FALSE),"")</f>
        <v/>
      </c>
      <c r="J4911" t="str">
        <f t="shared" si="77"/>
        <v/>
      </c>
    </row>
    <row r="4912" spans="9:10">
      <c r="I4912" t="str">
        <f>_xlfn.IFNA(VLOOKUP(B4912,T_DistName[],3,FALSE),"")</f>
        <v/>
      </c>
      <c r="J4912" t="str">
        <f t="shared" si="77"/>
        <v/>
      </c>
    </row>
    <row r="4913" spans="9:10">
      <c r="I4913" t="str">
        <f>_xlfn.IFNA(VLOOKUP(B4913,T_DistName[],3,FALSE),"")</f>
        <v/>
      </c>
      <c r="J4913" t="str">
        <f t="shared" si="77"/>
        <v/>
      </c>
    </row>
    <row r="4914" spans="9:10">
      <c r="I4914" t="str">
        <f>_xlfn.IFNA(VLOOKUP(B4914,T_DistName[],3,FALSE),"")</f>
        <v/>
      </c>
      <c r="J4914" t="str">
        <f t="shared" si="77"/>
        <v/>
      </c>
    </row>
    <row r="4915" spans="9:10">
      <c r="I4915" t="str">
        <f>_xlfn.IFNA(VLOOKUP(B4915,T_DistName[],3,FALSE),"")</f>
        <v/>
      </c>
      <c r="J4915" t="str">
        <f t="shared" si="77"/>
        <v/>
      </c>
    </row>
    <row r="4916" spans="9:10">
      <c r="I4916" t="str">
        <f>_xlfn.IFNA(VLOOKUP(B4916,T_DistName[],3,FALSE),"")</f>
        <v/>
      </c>
      <c r="J4916" t="str">
        <f t="shared" si="77"/>
        <v/>
      </c>
    </row>
    <row r="4917" spans="9:10">
      <c r="I4917" t="str">
        <f>_xlfn.IFNA(VLOOKUP(B4917,T_DistName[],3,FALSE),"")</f>
        <v/>
      </c>
      <c r="J4917" t="str">
        <f t="shared" si="77"/>
        <v/>
      </c>
    </row>
    <row r="4918" spans="9:10">
      <c r="I4918" t="str">
        <f>_xlfn.IFNA(VLOOKUP(B4918,T_DistName[],3,FALSE),"")</f>
        <v/>
      </c>
      <c r="J4918" t="str">
        <f t="shared" si="77"/>
        <v/>
      </c>
    </row>
    <row r="4919" spans="9:10">
      <c r="I4919" t="str">
        <f>_xlfn.IFNA(VLOOKUP(B4919,T_DistName[],3,FALSE),"")</f>
        <v/>
      </c>
      <c r="J4919" t="str">
        <f t="shared" si="77"/>
        <v/>
      </c>
    </row>
    <row r="4920" spans="9:10">
      <c r="I4920" t="str">
        <f>_xlfn.IFNA(VLOOKUP(B4920,T_DistName[],3,FALSE),"")</f>
        <v/>
      </c>
      <c r="J4920" t="str">
        <f t="shared" si="77"/>
        <v/>
      </c>
    </row>
    <row r="4921" spans="9:10">
      <c r="I4921" t="str">
        <f>_xlfn.IFNA(VLOOKUP(B4921,T_DistName[],3,FALSE),"")</f>
        <v/>
      </c>
      <c r="J4921" t="str">
        <f t="shared" si="77"/>
        <v/>
      </c>
    </row>
    <row r="4922" spans="9:10">
      <c r="I4922" t="str">
        <f>_xlfn.IFNA(VLOOKUP(B4922,T_DistName[],3,FALSE),"")</f>
        <v/>
      </c>
      <c r="J4922" t="str">
        <f t="shared" si="77"/>
        <v/>
      </c>
    </row>
    <row r="4923" spans="9:10">
      <c r="I4923" t="str">
        <f>_xlfn.IFNA(VLOOKUP(B4923,T_DistName[],3,FALSE),"")</f>
        <v/>
      </c>
      <c r="J4923" t="str">
        <f t="shared" si="77"/>
        <v/>
      </c>
    </row>
    <row r="4924" spans="9:10">
      <c r="I4924" t="str">
        <f>_xlfn.IFNA(VLOOKUP(B4924,T_DistName[],3,FALSE),"")</f>
        <v/>
      </c>
      <c r="J4924" t="str">
        <f t="shared" si="77"/>
        <v/>
      </c>
    </row>
    <row r="4925" spans="9:10">
      <c r="I4925" t="str">
        <f>_xlfn.IFNA(VLOOKUP(B4925,T_DistName[],3,FALSE),"")</f>
        <v/>
      </c>
      <c r="J4925" t="str">
        <f t="shared" si="77"/>
        <v/>
      </c>
    </row>
    <row r="4926" spans="9:10">
      <c r="I4926" t="str">
        <f>_xlfn.IFNA(VLOOKUP(B4926,T_DistName[],3,FALSE),"")</f>
        <v/>
      </c>
      <c r="J4926" t="str">
        <f t="shared" si="77"/>
        <v/>
      </c>
    </row>
    <row r="4927" spans="9:10">
      <c r="I4927" t="str">
        <f>_xlfn.IFNA(VLOOKUP(B4927,T_DistName[],3,FALSE),"")</f>
        <v/>
      </c>
      <c r="J4927" t="str">
        <f t="shared" si="77"/>
        <v/>
      </c>
    </row>
    <row r="4928" spans="9:10">
      <c r="I4928" t="str">
        <f>_xlfn.IFNA(VLOOKUP(B4928,T_DistName[],3,FALSE),"")</f>
        <v/>
      </c>
      <c r="J4928" t="str">
        <f t="shared" si="77"/>
        <v/>
      </c>
    </row>
    <row r="4929" spans="9:10">
      <c r="I4929" t="str">
        <f>_xlfn.IFNA(VLOOKUP(B4929,T_DistName[],3,FALSE),"")</f>
        <v/>
      </c>
      <c r="J4929" t="str">
        <f t="shared" si="77"/>
        <v/>
      </c>
    </row>
    <row r="4930" spans="9:10">
      <c r="I4930" t="str">
        <f>_xlfn.IFNA(VLOOKUP(B4930,T_DistName[],3,FALSE),"")</f>
        <v/>
      </c>
      <c r="J4930" t="str">
        <f t="shared" si="77"/>
        <v/>
      </c>
    </row>
    <row r="4931" spans="9:10">
      <c r="I4931" t="str">
        <f>_xlfn.IFNA(VLOOKUP(B4931,T_DistName[],3,FALSE),"")</f>
        <v/>
      </c>
      <c r="J4931" t="str">
        <f t="shared" si="77"/>
        <v/>
      </c>
    </row>
    <row r="4932" spans="9:10">
      <c r="I4932" t="str">
        <f>_xlfn.IFNA(VLOOKUP(B4932,T_DistName[],3,FALSE),"")</f>
        <v/>
      </c>
      <c r="J4932" t="str">
        <f t="shared" si="77"/>
        <v/>
      </c>
    </row>
    <row r="4933" spans="9:10">
      <c r="I4933" t="str">
        <f>_xlfn.IFNA(VLOOKUP(B4933,T_DistName[],3,FALSE),"")</f>
        <v/>
      </c>
      <c r="J4933" t="str">
        <f t="shared" si="77"/>
        <v/>
      </c>
    </row>
    <row r="4934" spans="9:10">
      <c r="I4934" t="str">
        <f>_xlfn.IFNA(VLOOKUP(B4934,T_DistName[],3,FALSE),"")</f>
        <v/>
      </c>
      <c r="J4934" t="str">
        <f t="shared" si="77"/>
        <v/>
      </c>
    </row>
    <row r="4935" spans="9:10">
      <c r="I4935" t="str">
        <f>_xlfn.IFNA(VLOOKUP(B4935,T_DistName[],3,FALSE),"")</f>
        <v/>
      </c>
      <c r="J4935" t="str">
        <f t="shared" si="77"/>
        <v/>
      </c>
    </row>
    <row r="4936" spans="9:10">
      <c r="I4936" t="str">
        <f>_xlfn.IFNA(VLOOKUP(B4936,T_DistName[],3,FALSE),"")</f>
        <v/>
      </c>
      <c r="J4936" t="str">
        <f t="shared" si="77"/>
        <v/>
      </c>
    </row>
    <row r="4937" spans="9:10">
      <c r="I4937" t="str">
        <f>_xlfn.IFNA(VLOOKUP(B4937,T_DistName[],3,FALSE),"")</f>
        <v/>
      </c>
      <c r="J4937" t="str">
        <f t="shared" si="77"/>
        <v/>
      </c>
    </row>
    <row r="4938" spans="9:10">
      <c r="I4938" t="str">
        <f>_xlfn.IFNA(VLOOKUP(B4938,T_DistName[],3,FALSE),"")</f>
        <v/>
      </c>
      <c r="J4938" t="str">
        <f t="shared" si="77"/>
        <v/>
      </c>
    </row>
    <row r="4939" spans="9:10">
      <c r="I4939" t="str">
        <f>_xlfn.IFNA(VLOOKUP(B4939,T_DistName[],3,FALSE),"")</f>
        <v/>
      </c>
      <c r="J4939" t="str">
        <f t="shared" si="77"/>
        <v/>
      </c>
    </row>
    <row r="4940" spans="9:10">
      <c r="I4940" t="str">
        <f>_xlfn.IFNA(VLOOKUP(B4940,T_DistName[],3,FALSE),"")</f>
        <v/>
      </c>
      <c r="J4940" t="str">
        <f t="shared" si="77"/>
        <v/>
      </c>
    </row>
    <row r="4941" spans="9:10">
      <c r="I4941" t="str">
        <f>_xlfn.IFNA(VLOOKUP(B4941,T_DistName[],3,FALSE),"")</f>
        <v/>
      </c>
      <c r="J4941" t="str">
        <f t="shared" si="77"/>
        <v/>
      </c>
    </row>
    <row r="4942" spans="9:10">
      <c r="I4942" t="str">
        <f>_xlfn.IFNA(VLOOKUP(B4942,T_DistName[],3,FALSE),"")</f>
        <v/>
      </c>
      <c r="J4942" t="str">
        <f t="shared" si="77"/>
        <v/>
      </c>
    </row>
    <row r="4943" spans="9:10">
      <c r="I4943" t="str">
        <f>_xlfn.IFNA(VLOOKUP(B4943,T_DistName[],3,FALSE),"")</f>
        <v/>
      </c>
      <c r="J4943" t="str">
        <f t="shared" si="77"/>
        <v/>
      </c>
    </row>
    <row r="4944" spans="9:10">
      <c r="I4944" t="str">
        <f>_xlfn.IFNA(VLOOKUP(B4944,T_DistName[],3,FALSE),"")</f>
        <v/>
      </c>
      <c r="J4944" t="str">
        <f t="shared" si="77"/>
        <v/>
      </c>
    </row>
    <row r="4945" spans="9:10">
      <c r="I4945" t="str">
        <f>_xlfn.IFNA(VLOOKUP(B4945,T_DistName[],3,FALSE),"")</f>
        <v/>
      </c>
      <c r="J4945" t="str">
        <f t="shared" si="77"/>
        <v/>
      </c>
    </row>
    <row r="4946" spans="9:10">
      <c r="I4946" t="str">
        <f>_xlfn.IFNA(VLOOKUP(B4946,T_DistName[],3,FALSE),"")</f>
        <v/>
      </c>
      <c r="J4946" t="str">
        <f t="shared" si="77"/>
        <v/>
      </c>
    </row>
    <row r="4947" spans="9:10">
      <c r="I4947" t="str">
        <f>_xlfn.IFNA(VLOOKUP(B4947,T_DistName[],3,FALSE),"")</f>
        <v/>
      </c>
      <c r="J4947" t="str">
        <f t="shared" si="77"/>
        <v/>
      </c>
    </row>
    <row r="4948" spans="9:10">
      <c r="I4948" t="str">
        <f>_xlfn.IFNA(VLOOKUP(B4948,T_DistName[],3,FALSE),"")</f>
        <v/>
      </c>
      <c r="J4948" t="str">
        <f t="shared" si="77"/>
        <v/>
      </c>
    </row>
    <row r="4949" spans="9:10">
      <c r="I4949" t="str">
        <f>_xlfn.IFNA(VLOOKUP(B4949,T_DistName[],3,FALSE),"")</f>
        <v/>
      </c>
      <c r="J4949" t="str">
        <f t="shared" si="77"/>
        <v/>
      </c>
    </row>
    <row r="4950" spans="9:10">
      <c r="I4950" t="str">
        <f>_xlfn.IFNA(VLOOKUP(B4950,T_DistName[],3,FALSE),"")</f>
        <v/>
      </c>
      <c r="J4950" t="str">
        <f t="shared" si="77"/>
        <v/>
      </c>
    </row>
    <row r="4951" spans="9:10">
      <c r="I4951" t="str">
        <f>_xlfn.IFNA(VLOOKUP(B4951,T_DistName[],3,FALSE),"")</f>
        <v/>
      </c>
      <c r="J4951" t="str">
        <f t="shared" si="77"/>
        <v/>
      </c>
    </row>
    <row r="4952" spans="9:10">
      <c r="I4952" t="str">
        <f>_xlfn.IFNA(VLOOKUP(B4952,T_DistName[],3,FALSE),"")</f>
        <v/>
      </c>
      <c r="J4952" t="str">
        <f t="shared" si="77"/>
        <v/>
      </c>
    </row>
    <row r="4953" spans="9:10">
      <c r="I4953" t="str">
        <f>_xlfn.IFNA(VLOOKUP(B4953,T_DistName[],3,FALSE),"")</f>
        <v/>
      </c>
      <c r="J4953" t="str">
        <f t="shared" ref="J4953:J5016" si="78">I4953&amp;F4953</f>
        <v/>
      </c>
    </row>
    <row r="4954" spans="9:10">
      <c r="I4954" t="str">
        <f>_xlfn.IFNA(VLOOKUP(B4954,T_DistName[],3,FALSE),"")</f>
        <v/>
      </c>
      <c r="J4954" t="str">
        <f t="shared" si="78"/>
        <v/>
      </c>
    </row>
    <row r="4955" spans="9:10">
      <c r="I4955" t="str">
        <f>_xlfn.IFNA(VLOOKUP(B4955,T_DistName[],3,FALSE),"")</f>
        <v/>
      </c>
      <c r="J4955" t="str">
        <f t="shared" si="78"/>
        <v/>
      </c>
    </row>
    <row r="4956" spans="9:10">
      <c r="I4956" t="str">
        <f>_xlfn.IFNA(VLOOKUP(B4956,T_DistName[],3,FALSE),"")</f>
        <v/>
      </c>
      <c r="J4956" t="str">
        <f t="shared" si="78"/>
        <v/>
      </c>
    </row>
    <row r="4957" spans="9:10">
      <c r="I4957" t="str">
        <f>_xlfn.IFNA(VLOOKUP(B4957,T_DistName[],3,FALSE),"")</f>
        <v/>
      </c>
      <c r="J4957" t="str">
        <f t="shared" si="78"/>
        <v/>
      </c>
    </row>
    <row r="4958" spans="9:10">
      <c r="I4958" t="str">
        <f>_xlfn.IFNA(VLOOKUP(B4958,T_DistName[],3,FALSE),"")</f>
        <v/>
      </c>
      <c r="J4958" t="str">
        <f t="shared" si="78"/>
        <v/>
      </c>
    </row>
    <row r="4959" spans="9:10">
      <c r="I4959" t="str">
        <f>_xlfn.IFNA(VLOOKUP(B4959,T_DistName[],3,FALSE),"")</f>
        <v/>
      </c>
      <c r="J4959" t="str">
        <f t="shared" si="78"/>
        <v/>
      </c>
    </row>
    <row r="4960" spans="9:10">
      <c r="I4960" t="str">
        <f>_xlfn.IFNA(VLOOKUP(B4960,T_DistName[],3,FALSE),"")</f>
        <v/>
      </c>
      <c r="J4960" t="str">
        <f t="shared" si="78"/>
        <v/>
      </c>
    </row>
    <row r="4961" spans="9:10">
      <c r="I4961" t="str">
        <f>_xlfn.IFNA(VLOOKUP(B4961,T_DistName[],3,FALSE),"")</f>
        <v/>
      </c>
      <c r="J4961" t="str">
        <f t="shared" si="78"/>
        <v/>
      </c>
    </row>
    <row r="4962" spans="9:10">
      <c r="I4962" t="str">
        <f>_xlfn.IFNA(VLOOKUP(B4962,T_DistName[],3,FALSE),"")</f>
        <v/>
      </c>
      <c r="J4962" t="str">
        <f t="shared" si="78"/>
        <v/>
      </c>
    </row>
    <row r="4963" spans="9:10">
      <c r="I4963" t="str">
        <f>_xlfn.IFNA(VLOOKUP(B4963,T_DistName[],3,FALSE),"")</f>
        <v/>
      </c>
      <c r="J4963" t="str">
        <f t="shared" si="78"/>
        <v/>
      </c>
    </row>
    <row r="4964" spans="9:10">
      <c r="I4964" t="str">
        <f>_xlfn.IFNA(VLOOKUP(B4964,T_DistName[],3,FALSE),"")</f>
        <v/>
      </c>
      <c r="J4964" t="str">
        <f t="shared" si="78"/>
        <v/>
      </c>
    </row>
    <row r="4965" spans="9:10">
      <c r="I4965" t="str">
        <f>_xlfn.IFNA(VLOOKUP(B4965,T_DistName[],3,FALSE),"")</f>
        <v/>
      </c>
      <c r="J4965" t="str">
        <f t="shared" si="78"/>
        <v/>
      </c>
    </row>
    <row r="4966" spans="9:10">
      <c r="I4966" t="str">
        <f>_xlfn.IFNA(VLOOKUP(B4966,T_DistName[],3,FALSE),"")</f>
        <v/>
      </c>
      <c r="J4966" t="str">
        <f t="shared" si="78"/>
        <v/>
      </c>
    </row>
    <row r="4967" spans="9:10">
      <c r="I4967" t="str">
        <f>_xlfn.IFNA(VLOOKUP(B4967,T_DistName[],3,FALSE),"")</f>
        <v/>
      </c>
      <c r="J4967" t="str">
        <f t="shared" si="78"/>
        <v/>
      </c>
    </row>
    <row r="4968" spans="9:10">
      <c r="I4968" t="str">
        <f>_xlfn.IFNA(VLOOKUP(B4968,T_DistName[],3,FALSE),"")</f>
        <v/>
      </c>
      <c r="J4968" t="str">
        <f t="shared" si="78"/>
        <v/>
      </c>
    </row>
    <row r="4969" spans="9:10">
      <c r="I4969" t="str">
        <f>_xlfn.IFNA(VLOOKUP(B4969,T_DistName[],3,FALSE),"")</f>
        <v/>
      </c>
      <c r="J4969" t="str">
        <f t="shared" si="78"/>
        <v/>
      </c>
    </row>
    <row r="4970" spans="9:10">
      <c r="I4970" t="str">
        <f>_xlfn.IFNA(VLOOKUP(B4970,T_DistName[],3,FALSE),"")</f>
        <v/>
      </c>
      <c r="J4970" t="str">
        <f t="shared" si="78"/>
        <v/>
      </c>
    </row>
    <row r="4971" spans="9:10">
      <c r="I4971" t="str">
        <f>_xlfn.IFNA(VLOOKUP(B4971,T_DistName[],3,FALSE),"")</f>
        <v/>
      </c>
      <c r="J4971" t="str">
        <f t="shared" si="78"/>
        <v/>
      </c>
    </row>
    <row r="4972" spans="9:10">
      <c r="I4972" t="str">
        <f>_xlfn.IFNA(VLOOKUP(B4972,T_DistName[],3,FALSE),"")</f>
        <v/>
      </c>
      <c r="J4972" t="str">
        <f t="shared" si="78"/>
        <v/>
      </c>
    </row>
    <row r="4973" spans="9:10">
      <c r="I4973" t="str">
        <f>_xlfn.IFNA(VLOOKUP(B4973,T_DistName[],3,FALSE),"")</f>
        <v/>
      </c>
      <c r="J4973" t="str">
        <f t="shared" si="78"/>
        <v/>
      </c>
    </row>
    <row r="4974" spans="9:10">
      <c r="I4974" t="str">
        <f>_xlfn.IFNA(VLOOKUP(B4974,T_DistName[],3,FALSE),"")</f>
        <v/>
      </c>
      <c r="J4974" t="str">
        <f t="shared" si="78"/>
        <v/>
      </c>
    </row>
    <row r="4975" spans="9:10">
      <c r="I4975" t="str">
        <f>_xlfn.IFNA(VLOOKUP(B4975,T_DistName[],3,FALSE),"")</f>
        <v/>
      </c>
      <c r="J4975" t="str">
        <f t="shared" si="78"/>
        <v/>
      </c>
    </row>
    <row r="4976" spans="9:10">
      <c r="I4976" t="str">
        <f>_xlfn.IFNA(VLOOKUP(B4976,T_DistName[],3,FALSE),"")</f>
        <v/>
      </c>
      <c r="J4976" t="str">
        <f t="shared" si="78"/>
        <v/>
      </c>
    </row>
    <row r="4977" spans="9:10">
      <c r="I4977" t="str">
        <f>_xlfn.IFNA(VLOOKUP(B4977,T_DistName[],3,FALSE),"")</f>
        <v/>
      </c>
      <c r="J4977" t="str">
        <f t="shared" si="78"/>
        <v/>
      </c>
    </row>
    <row r="4978" spans="9:10">
      <c r="I4978" t="str">
        <f>_xlfn.IFNA(VLOOKUP(B4978,T_DistName[],3,FALSE),"")</f>
        <v/>
      </c>
      <c r="J4978" t="str">
        <f t="shared" si="78"/>
        <v/>
      </c>
    </row>
    <row r="4979" spans="9:10">
      <c r="I4979" t="str">
        <f>_xlfn.IFNA(VLOOKUP(B4979,T_DistName[],3,FALSE),"")</f>
        <v/>
      </c>
      <c r="J4979" t="str">
        <f t="shared" si="78"/>
        <v/>
      </c>
    </row>
    <row r="4980" spans="9:10">
      <c r="I4980" t="str">
        <f>_xlfn.IFNA(VLOOKUP(B4980,T_DistName[],3,FALSE),"")</f>
        <v/>
      </c>
      <c r="J4980" t="str">
        <f t="shared" si="78"/>
        <v/>
      </c>
    </row>
    <row r="4981" spans="9:10">
      <c r="I4981" t="str">
        <f>_xlfn.IFNA(VLOOKUP(B4981,T_DistName[],3,FALSE),"")</f>
        <v/>
      </c>
      <c r="J4981" t="str">
        <f t="shared" si="78"/>
        <v/>
      </c>
    </row>
    <row r="4982" spans="9:10">
      <c r="I4982" t="str">
        <f>_xlfn.IFNA(VLOOKUP(B4982,T_DistName[],3,FALSE),"")</f>
        <v/>
      </c>
      <c r="J4982" t="str">
        <f t="shared" si="78"/>
        <v/>
      </c>
    </row>
    <row r="4983" spans="9:10">
      <c r="I4983" t="str">
        <f>_xlfn.IFNA(VLOOKUP(B4983,T_DistName[],3,FALSE),"")</f>
        <v/>
      </c>
      <c r="J4983" t="str">
        <f t="shared" si="78"/>
        <v/>
      </c>
    </row>
    <row r="4984" spans="9:10">
      <c r="I4984" t="str">
        <f>_xlfn.IFNA(VLOOKUP(B4984,T_DistName[],3,FALSE),"")</f>
        <v/>
      </c>
      <c r="J4984" t="str">
        <f t="shared" si="78"/>
        <v/>
      </c>
    </row>
    <row r="4985" spans="9:10">
      <c r="I4985" t="str">
        <f>_xlfn.IFNA(VLOOKUP(B4985,T_DistName[],3,FALSE),"")</f>
        <v/>
      </c>
      <c r="J4985" t="str">
        <f t="shared" si="78"/>
        <v/>
      </c>
    </row>
    <row r="4986" spans="9:10">
      <c r="I4986" t="str">
        <f>_xlfn.IFNA(VLOOKUP(B4986,T_DistName[],3,FALSE),"")</f>
        <v/>
      </c>
      <c r="J4986" t="str">
        <f t="shared" si="78"/>
        <v/>
      </c>
    </row>
    <row r="4987" spans="9:10">
      <c r="I4987" t="str">
        <f>_xlfn.IFNA(VLOOKUP(B4987,T_DistName[],3,FALSE),"")</f>
        <v/>
      </c>
      <c r="J4987" t="str">
        <f t="shared" si="78"/>
        <v/>
      </c>
    </row>
    <row r="4988" spans="9:10">
      <c r="I4988" t="str">
        <f>_xlfn.IFNA(VLOOKUP(B4988,T_DistName[],3,FALSE),"")</f>
        <v/>
      </c>
      <c r="J4988" t="str">
        <f t="shared" si="78"/>
        <v/>
      </c>
    </row>
    <row r="4989" spans="9:10">
      <c r="I4989" t="str">
        <f>_xlfn.IFNA(VLOOKUP(B4989,T_DistName[],3,FALSE),"")</f>
        <v/>
      </c>
      <c r="J4989" t="str">
        <f t="shared" si="78"/>
        <v/>
      </c>
    </row>
    <row r="4990" spans="9:10">
      <c r="I4990" t="str">
        <f>_xlfn.IFNA(VLOOKUP(B4990,T_DistName[],3,FALSE),"")</f>
        <v/>
      </c>
      <c r="J4990" t="str">
        <f t="shared" si="78"/>
        <v/>
      </c>
    </row>
    <row r="4991" spans="9:10">
      <c r="I4991" t="str">
        <f>_xlfn.IFNA(VLOOKUP(B4991,T_DistName[],3,FALSE),"")</f>
        <v/>
      </c>
      <c r="J4991" t="str">
        <f t="shared" si="78"/>
        <v/>
      </c>
    </row>
    <row r="4992" spans="9:10">
      <c r="I4992" t="str">
        <f>_xlfn.IFNA(VLOOKUP(B4992,T_DistName[],3,FALSE),"")</f>
        <v/>
      </c>
      <c r="J4992" t="str">
        <f t="shared" si="78"/>
        <v/>
      </c>
    </row>
    <row r="4993" spans="9:10">
      <c r="I4993" t="str">
        <f>_xlfn.IFNA(VLOOKUP(B4993,T_DistName[],3,FALSE),"")</f>
        <v/>
      </c>
      <c r="J4993" t="str">
        <f t="shared" si="78"/>
        <v/>
      </c>
    </row>
    <row r="4994" spans="9:10">
      <c r="I4994" t="str">
        <f>_xlfn.IFNA(VLOOKUP(B4994,T_DistName[],3,FALSE),"")</f>
        <v/>
      </c>
      <c r="J4994" t="str">
        <f t="shared" si="78"/>
        <v/>
      </c>
    </row>
    <row r="4995" spans="9:10">
      <c r="I4995" t="str">
        <f>_xlfn.IFNA(VLOOKUP(B4995,T_DistName[],3,FALSE),"")</f>
        <v/>
      </c>
      <c r="J4995" t="str">
        <f t="shared" si="78"/>
        <v/>
      </c>
    </row>
    <row r="4996" spans="9:10">
      <c r="I4996" t="str">
        <f>_xlfn.IFNA(VLOOKUP(B4996,T_DistName[],3,FALSE),"")</f>
        <v/>
      </c>
      <c r="J4996" t="str">
        <f t="shared" si="78"/>
        <v/>
      </c>
    </row>
    <row r="4997" spans="9:10">
      <c r="I4997" t="str">
        <f>_xlfn.IFNA(VLOOKUP(B4997,T_DistName[],3,FALSE),"")</f>
        <v/>
      </c>
      <c r="J4997" t="str">
        <f t="shared" si="78"/>
        <v/>
      </c>
    </row>
    <row r="4998" spans="9:10">
      <c r="I4998" t="str">
        <f>_xlfn.IFNA(VLOOKUP(B4998,T_DistName[],3,FALSE),"")</f>
        <v/>
      </c>
      <c r="J4998" t="str">
        <f t="shared" si="78"/>
        <v/>
      </c>
    </row>
    <row r="4999" spans="9:10">
      <c r="I4999" t="str">
        <f>_xlfn.IFNA(VLOOKUP(B4999,T_DistName[],3,FALSE),"")</f>
        <v/>
      </c>
      <c r="J4999" t="str">
        <f t="shared" si="78"/>
        <v/>
      </c>
    </row>
    <row r="5000" spans="9:10">
      <c r="I5000" t="str">
        <f>_xlfn.IFNA(VLOOKUP(B5000,T_DistName[],3,FALSE),"")</f>
        <v/>
      </c>
      <c r="J5000" t="str">
        <f t="shared" si="78"/>
        <v/>
      </c>
    </row>
    <row r="5001" spans="9:10">
      <c r="I5001" t="str">
        <f>_xlfn.IFNA(VLOOKUP(B5001,T_DistName[],3,FALSE),"")</f>
        <v/>
      </c>
      <c r="J5001" t="str">
        <f t="shared" si="78"/>
        <v/>
      </c>
    </row>
    <row r="5002" spans="9:10">
      <c r="I5002" t="str">
        <f>_xlfn.IFNA(VLOOKUP(B5002,T_DistName[],3,FALSE),"")</f>
        <v/>
      </c>
      <c r="J5002" t="str">
        <f t="shared" si="78"/>
        <v/>
      </c>
    </row>
    <row r="5003" spans="9:10">
      <c r="I5003" t="str">
        <f>_xlfn.IFNA(VLOOKUP(B5003,T_DistName[],3,FALSE),"")</f>
        <v/>
      </c>
      <c r="J5003" t="str">
        <f t="shared" si="78"/>
        <v/>
      </c>
    </row>
    <row r="5004" spans="9:10">
      <c r="I5004" t="str">
        <f>_xlfn.IFNA(VLOOKUP(B5004,T_DistName[],3,FALSE),"")</f>
        <v/>
      </c>
      <c r="J5004" t="str">
        <f t="shared" si="78"/>
        <v/>
      </c>
    </row>
    <row r="5005" spans="9:10">
      <c r="I5005" t="str">
        <f>_xlfn.IFNA(VLOOKUP(B5005,T_DistName[],3,FALSE),"")</f>
        <v/>
      </c>
      <c r="J5005" t="str">
        <f t="shared" si="78"/>
        <v/>
      </c>
    </row>
    <row r="5006" spans="9:10">
      <c r="I5006" t="str">
        <f>_xlfn.IFNA(VLOOKUP(B5006,T_DistName[],3,FALSE),"")</f>
        <v/>
      </c>
      <c r="J5006" t="str">
        <f t="shared" si="78"/>
        <v/>
      </c>
    </row>
    <row r="5007" spans="9:10">
      <c r="I5007" t="str">
        <f>_xlfn.IFNA(VLOOKUP(B5007,T_DistName[],3,FALSE),"")</f>
        <v/>
      </c>
      <c r="J5007" t="str">
        <f t="shared" si="78"/>
        <v/>
      </c>
    </row>
    <row r="5008" spans="9:10">
      <c r="I5008" t="str">
        <f>_xlfn.IFNA(VLOOKUP(B5008,T_DistName[],3,FALSE),"")</f>
        <v/>
      </c>
      <c r="J5008" t="str">
        <f t="shared" si="78"/>
        <v/>
      </c>
    </row>
    <row r="5009" spans="9:10">
      <c r="I5009" t="str">
        <f>_xlfn.IFNA(VLOOKUP(B5009,T_DistName[],3,FALSE),"")</f>
        <v/>
      </c>
      <c r="J5009" t="str">
        <f t="shared" si="78"/>
        <v/>
      </c>
    </row>
    <row r="5010" spans="9:10">
      <c r="I5010" t="str">
        <f>_xlfn.IFNA(VLOOKUP(B5010,T_DistName[],3,FALSE),"")</f>
        <v/>
      </c>
      <c r="J5010" t="str">
        <f t="shared" si="78"/>
        <v/>
      </c>
    </row>
    <row r="5011" spans="9:10">
      <c r="I5011" t="str">
        <f>_xlfn.IFNA(VLOOKUP(B5011,T_DistName[],3,FALSE),"")</f>
        <v/>
      </c>
      <c r="J5011" t="str">
        <f t="shared" si="78"/>
        <v/>
      </c>
    </row>
    <row r="5012" spans="9:10">
      <c r="I5012" t="str">
        <f>_xlfn.IFNA(VLOOKUP(B5012,T_DistName[],3,FALSE),"")</f>
        <v/>
      </c>
      <c r="J5012" t="str">
        <f t="shared" si="78"/>
        <v/>
      </c>
    </row>
    <row r="5013" spans="9:10">
      <c r="I5013" t="str">
        <f>_xlfn.IFNA(VLOOKUP(B5013,T_DistName[],3,FALSE),"")</f>
        <v/>
      </c>
      <c r="J5013" t="str">
        <f t="shared" si="78"/>
        <v/>
      </c>
    </row>
    <row r="5014" spans="9:10">
      <c r="I5014" t="str">
        <f>_xlfn.IFNA(VLOOKUP(B5014,T_DistName[],3,FALSE),"")</f>
        <v/>
      </c>
      <c r="J5014" t="str">
        <f t="shared" si="78"/>
        <v/>
      </c>
    </row>
    <row r="5015" spans="9:10">
      <c r="I5015" t="str">
        <f>_xlfn.IFNA(VLOOKUP(B5015,T_DistName[],3,FALSE),"")</f>
        <v/>
      </c>
      <c r="J5015" t="str">
        <f t="shared" si="78"/>
        <v/>
      </c>
    </row>
    <row r="5016" spans="9:10">
      <c r="I5016" t="str">
        <f>_xlfn.IFNA(VLOOKUP(B5016,T_DistName[],3,FALSE),"")</f>
        <v/>
      </c>
      <c r="J5016" t="str">
        <f t="shared" si="78"/>
        <v/>
      </c>
    </row>
    <row r="5017" spans="9:10">
      <c r="I5017" t="str">
        <f>_xlfn.IFNA(VLOOKUP(B5017,T_DistName[],3,FALSE),"")</f>
        <v/>
      </c>
      <c r="J5017" t="str">
        <f t="shared" ref="J5017:J5080" si="79">I5017&amp;F5017</f>
        <v/>
      </c>
    </row>
    <row r="5018" spans="9:10">
      <c r="I5018" t="str">
        <f>_xlfn.IFNA(VLOOKUP(B5018,T_DistName[],3,FALSE),"")</f>
        <v/>
      </c>
      <c r="J5018" t="str">
        <f t="shared" si="79"/>
        <v/>
      </c>
    </row>
    <row r="5019" spans="9:10">
      <c r="I5019" t="str">
        <f>_xlfn.IFNA(VLOOKUP(B5019,T_DistName[],3,FALSE),"")</f>
        <v/>
      </c>
      <c r="J5019" t="str">
        <f t="shared" si="79"/>
        <v/>
      </c>
    </row>
    <row r="5020" spans="9:10">
      <c r="I5020" t="str">
        <f>_xlfn.IFNA(VLOOKUP(B5020,T_DistName[],3,FALSE),"")</f>
        <v/>
      </c>
      <c r="J5020" t="str">
        <f t="shared" si="79"/>
        <v/>
      </c>
    </row>
    <row r="5021" spans="9:10">
      <c r="I5021" t="str">
        <f>_xlfn.IFNA(VLOOKUP(B5021,T_DistName[],3,FALSE),"")</f>
        <v/>
      </c>
      <c r="J5021" t="str">
        <f t="shared" si="79"/>
        <v/>
      </c>
    </row>
    <row r="5022" spans="9:10">
      <c r="I5022" t="str">
        <f>_xlfn.IFNA(VLOOKUP(B5022,T_DistName[],3,FALSE),"")</f>
        <v/>
      </c>
      <c r="J5022" t="str">
        <f t="shared" si="79"/>
        <v/>
      </c>
    </row>
    <row r="5023" spans="9:10">
      <c r="I5023" t="str">
        <f>_xlfn.IFNA(VLOOKUP(B5023,T_DistName[],3,FALSE),"")</f>
        <v/>
      </c>
      <c r="J5023" t="str">
        <f t="shared" si="79"/>
        <v/>
      </c>
    </row>
    <row r="5024" spans="9:10">
      <c r="I5024" t="str">
        <f>_xlfn.IFNA(VLOOKUP(B5024,T_DistName[],3,FALSE),"")</f>
        <v/>
      </c>
      <c r="J5024" t="str">
        <f t="shared" si="79"/>
        <v/>
      </c>
    </row>
    <row r="5025" spans="9:10">
      <c r="I5025" t="str">
        <f>_xlfn.IFNA(VLOOKUP(B5025,T_DistName[],3,FALSE),"")</f>
        <v/>
      </c>
      <c r="J5025" t="str">
        <f t="shared" si="79"/>
        <v/>
      </c>
    </row>
    <row r="5026" spans="9:10">
      <c r="I5026" t="str">
        <f>_xlfn.IFNA(VLOOKUP(B5026,T_DistName[],3,FALSE),"")</f>
        <v/>
      </c>
      <c r="J5026" t="str">
        <f t="shared" si="79"/>
        <v/>
      </c>
    </row>
    <row r="5027" spans="9:10">
      <c r="I5027" t="str">
        <f>_xlfn.IFNA(VLOOKUP(B5027,T_DistName[],3,FALSE),"")</f>
        <v/>
      </c>
      <c r="J5027" t="str">
        <f t="shared" si="79"/>
        <v/>
      </c>
    </row>
    <row r="5028" spans="9:10">
      <c r="I5028" t="str">
        <f>_xlfn.IFNA(VLOOKUP(B5028,T_DistName[],3,FALSE),"")</f>
        <v/>
      </c>
      <c r="J5028" t="str">
        <f t="shared" si="79"/>
        <v/>
      </c>
    </row>
    <row r="5029" spans="9:10">
      <c r="I5029" t="str">
        <f>_xlfn.IFNA(VLOOKUP(B5029,T_DistName[],3,FALSE),"")</f>
        <v/>
      </c>
      <c r="J5029" t="str">
        <f t="shared" si="79"/>
        <v/>
      </c>
    </row>
    <row r="5030" spans="9:10">
      <c r="I5030" t="str">
        <f>_xlfn.IFNA(VLOOKUP(B5030,T_DistName[],3,FALSE),"")</f>
        <v/>
      </c>
      <c r="J5030" t="str">
        <f t="shared" si="79"/>
        <v/>
      </c>
    </row>
    <row r="5031" spans="9:10">
      <c r="I5031" t="str">
        <f>_xlfn.IFNA(VLOOKUP(B5031,T_DistName[],3,FALSE),"")</f>
        <v/>
      </c>
      <c r="J5031" t="str">
        <f t="shared" si="79"/>
        <v/>
      </c>
    </row>
    <row r="5032" spans="9:10">
      <c r="I5032" t="str">
        <f>_xlfn.IFNA(VLOOKUP(B5032,T_DistName[],3,FALSE),"")</f>
        <v/>
      </c>
      <c r="J5032" t="str">
        <f t="shared" si="79"/>
        <v/>
      </c>
    </row>
    <row r="5033" spans="9:10">
      <c r="I5033" t="str">
        <f>_xlfn.IFNA(VLOOKUP(B5033,T_DistName[],3,FALSE),"")</f>
        <v/>
      </c>
      <c r="J5033" t="str">
        <f t="shared" si="79"/>
        <v/>
      </c>
    </row>
    <row r="5034" spans="9:10">
      <c r="I5034" t="str">
        <f>_xlfn.IFNA(VLOOKUP(B5034,T_DistName[],3,FALSE),"")</f>
        <v/>
      </c>
      <c r="J5034" t="str">
        <f t="shared" si="79"/>
        <v/>
      </c>
    </row>
    <row r="5035" spans="9:10">
      <c r="I5035" t="str">
        <f>_xlfn.IFNA(VLOOKUP(B5035,T_DistName[],3,FALSE),"")</f>
        <v/>
      </c>
      <c r="J5035" t="str">
        <f t="shared" si="79"/>
        <v/>
      </c>
    </row>
    <row r="5036" spans="9:10">
      <c r="I5036" t="str">
        <f>_xlfn.IFNA(VLOOKUP(B5036,T_DistName[],3,FALSE),"")</f>
        <v/>
      </c>
      <c r="J5036" t="str">
        <f t="shared" si="79"/>
        <v/>
      </c>
    </row>
    <row r="5037" spans="9:10">
      <c r="I5037" t="str">
        <f>_xlfn.IFNA(VLOOKUP(B5037,T_DistName[],3,FALSE),"")</f>
        <v/>
      </c>
      <c r="J5037" t="str">
        <f t="shared" si="79"/>
        <v/>
      </c>
    </row>
    <row r="5038" spans="9:10">
      <c r="I5038" t="str">
        <f>_xlfn.IFNA(VLOOKUP(B5038,T_DistName[],3,FALSE),"")</f>
        <v/>
      </c>
      <c r="J5038" t="str">
        <f t="shared" si="79"/>
        <v/>
      </c>
    </row>
    <row r="5039" spans="9:10">
      <c r="I5039" t="str">
        <f>_xlfn.IFNA(VLOOKUP(B5039,T_DistName[],3,FALSE),"")</f>
        <v/>
      </c>
      <c r="J5039" t="str">
        <f t="shared" si="79"/>
        <v/>
      </c>
    </row>
    <row r="5040" spans="9:10">
      <c r="I5040" t="str">
        <f>_xlfn.IFNA(VLOOKUP(B5040,T_DistName[],3,FALSE),"")</f>
        <v/>
      </c>
      <c r="J5040" t="str">
        <f t="shared" si="79"/>
        <v/>
      </c>
    </row>
    <row r="5041" spans="9:10">
      <c r="I5041" t="str">
        <f>_xlfn.IFNA(VLOOKUP(B5041,T_DistName[],3,FALSE),"")</f>
        <v/>
      </c>
      <c r="J5041" t="str">
        <f t="shared" si="79"/>
        <v/>
      </c>
    </row>
    <row r="5042" spans="9:10">
      <c r="I5042" t="str">
        <f>_xlfn.IFNA(VLOOKUP(B5042,T_DistName[],3,FALSE),"")</f>
        <v/>
      </c>
      <c r="J5042" t="str">
        <f t="shared" si="79"/>
        <v/>
      </c>
    </row>
    <row r="5043" spans="9:10">
      <c r="I5043" t="str">
        <f>_xlfn.IFNA(VLOOKUP(B5043,T_DistName[],3,FALSE),"")</f>
        <v/>
      </c>
      <c r="J5043" t="str">
        <f t="shared" si="79"/>
        <v/>
      </c>
    </row>
    <row r="5044" spans="9:10">
      <c r="I5044" t="str">
        <f>_xlfn.IFNA(VLOOKUP(B5044,T_DistName[],3,FALSE),"")</f>
        <v/>
      </c>
      <c r="J5044" t="str">
        <f t="shared" si="79"/>
        <v/>
      </c>
    </row>
    <row r="5045" spans="9:10">
      <c r="I5045" t="str">
        <f>_xlfn.IFNA(VLOOKUP(B5045,T_DistName[],3,FALSE),"")</f>
        <v/>
      </c>
      <c r="J5045" t="str">
        <f t="shared" si="79"/>
        <v/>
      </c>
    </row>
    <row r="5046" spans="9:10">
      <c r="I5046" t="str">
        <f>_xlfn.IFNA(VLOOKUP(B5046,T_DistName[],3,FALSE),"")</f>
        <v/>
      </c>
      <c r="J5046" t="str">
        <f t="shared" si="79"/>
        <v/>
      </c>
    </row>
    <row r="5047" spans="9:10">
      <c r="I5047" t="str">
        <f>_xlfn.IFNA(VLOOKUP(B5047,T_DistName[],3,FALSE),"")</f>
        <v/>
      </c>
      <c r="J5047" t="str">
        <f t="shared" si="79"/>
        <v/>
      </c>
    </row>
    <row r="5048" spans="9:10">
      <c r="I5048" t="str">
        <f>_xlfn.IFNA(VLOOKUP(B5048,T_DistName[],3,FALSE),"")</f>
        <v/>
      </c>
      <c r="J5048" t="str">
        <f t="shared" si="79"/>
        <v/>
      </c>
    </row>
    <row r="5049" spans="9:10">
      <c r="I5049" t="str">
        <f>_xlfn.IFNA(VLOOKUP(B5049,T_DistName[],3,FALSE),"")</f>
        <v/>
      </c>
      <c r="J5049" t="str">
        <f t="shared" si="79"/>
        <v/>
      </c>
    </row>
    <row r="5050" spans="9:10">
      <c r="I5050" t="str">
        <f>_xlfn.IFNA(VLOOKUP(B5050,T_DistName[],3,FALSE),"")</f>
        <v/>
      </c>
      <c r="J5050" t="str">
        <f t="shared" si="79"/>
        <v/>
      </c>
    </row>
    <row r="5051" spans="9:10">
      <c r="I5051" t="str">
        <f>_xlfn.IFNA(VLOOKUP(B5051,T_DistName[],3,FALSE),"")</f>
        <v/>
      </c>
      <c r="J5051" t="str">
        <f t="shared" si="79"/>
        <v/>
      </c>
    </row>
    <row r="5052" spans="9:10">
      <c r="I5052" t="str">
        <f>_xlfn.IFNA(VLOOKUP(B5052,T_DistName[],3,FALSE),"")</f>
        <v/>
      </c>
      <c r="J5052" t="str">
        <f t="shared" si="79"/>
        <v/>
      </c>
    </row>
    <row r="5053" spans="9:10">
      <c r="I5053" t="str">
        <f>_xlfn.IFNA(VLOOKUP(B5053,T_DistName[],3,FALSE),"")</f>
        <v/>
      </c>
      <c r="J5053" t="str">
        <f t="shared" si="79"/>
        <v/>
      </c>
    </row>
    <row r="5054" spans="9:10">
      <c r="I5054" t="str">
        <f>_xlfn.IFNA(VLOOKUP(B5054,T_DistName[],3,FALSE),"")</f>
        <v/>
      </c>
      <c r="J5054" t="str">
        <f t="shared" si="79"/>
        <v/>
      </c>
    </row>
    <row r="5055" spans="9:10">
      <c r="I5055" t="str">
        <f>_xlfn.IFNA(VLOOKUP(B5055,T_DistName[],3,FALSE),"")</f>
        <v/>
      </c>
      <c r="J5055" t="str">
        <f t="shared" si="79"/>
        <v/>
      </c>
    </row>
    <row r="5056" spans="9:10">
      <c r="I5056" t="str">
        <f>_xlfn.IFNA(VLOOKUP(B5056,T_DistName[],3,FALSE),"")</f>
        <v/>
      </c>
      <c r="J5056" t="str">
        <f t="shared" si="79"/>
        <v/>
      </c>
    </row>
    <row r="5057" spans="9:10">
      <c r="I5057" t="str">
        <f>_xlfn.IFNA(VLOOKUP(B5057,T_DistName[],3,FALSE),"")</f>
        <v/>
      </c>
      <c r="J5057" t="str">
        <f t="shared" si="79"/>
        <v/>
      </c>
    </row>
    <row r="5058" spans="9:10">
      <c r="I5058" t="str">
        <f>_xlfn.IFNA(VLOOKUP(B5058,T_DistName[],3,FALSE),"")</f>
        <v/>
      </c>
      <c r="J5058" t="str">
        <f t="shared" si="79"/>
        <v/>
      </c>
    </row>
    <row r="5059" spans="9:10">
      <c r="I5059" t="str">
        <f>_xlfn.IFNA(VLOOKUP(B5059,T_DistName[],3,FALSE),"")</f>
        <v/>
      </c>
      <c r="J5059" t="str">
        <f t="shared" si="79"/>
        <v/>
      </c>
    </row>
    <row r="5060" spans="9:10">
      <c r="I5060" t="str">
        <f>_xlfn.IFNA(VLOOKUP(B5060,T_DistName[],3,FALSE),"")</f>
        <v/>
      </c>
      <c r="J5060" t="str">
        <f t="shared" si="79"/>
        <v/>
      </c>
    </row>
    <row r="5061" spans="9:10">
      <c r="I5061" t="str">
        <f>_xlfn.IFNA(VLOOKUP(B5061,T_DistName[],3,FALSE),"")</f>
        <v/>
      </c>
      <c r="J5061" t="str">
        <f t="shared" si="79"/>
        <v/>
      </c>
    </row>
    <row r="5062" spans="9:10">
      <c r="I5062" t="str">
        <f>_xlfn.IFNA(VLOOKUP(B5062,T_DistName[],3,FALSE),"")</f>
        <v/>
      </c>
      <c r="J5062" t="str">
        <f t="shared" si="79"/>
        <v/>
      </c>
    </row>
    <row r="5063" spans="9:10">
      <c r="I5063" t="str">
        <f>_xlfn.IFNA(VLOOKUP(B5063,T_DistName[],3,FALSE),"")</f>
        <v/>
      </c>
      <c r="J5063" t="str">
        <f t="shared" si="79"/>
        <v/>
      </c>
    </row>
    <row r="5064" spans="9:10">
      <c r="I5064" t="str">
        <f>_xlfn.IFNA(VLOOKUP(B5064,T_DistName[],3,FALSE),"")</f>
        <v/>
      </c>
      <c r="J5064" t="str">
        <f t="shared" si="79"/>
        <v/>
      </c>
    </row>
    <row r="5065" spans="9:10">
      <c r="I5065" t="str">
        <f>_xlfn.IFNA(VLOOKUP(B5065,T_DistName[],3,FALSE),"")</f>
        <v/>
      </c>
      <c r="J5065" t="str">
        <f t="shared" si="79"/>
        <v/>
      </c>
    </row>
    <row r="5066" spans="9:10">
      <c r="I5066" t="str">
        <f>_xlfn.IFNA(VLOOKUP(B5066,T_DistName[],3,FALSE),"")</f>
        <v/>
      </c>
      <c r="J5066" t="str">
        <f t="shared" si="79"/>
        <v/>
      </c>
    </row>
    <row r="5067" spans="9:10">
      <c r="I5067" t="str">
        <f>_xlfn.IFNA(VLOOKUP(B5067,T_DistName[],3,FALSE),"")</f>
        <v/>
      </c>
      <c r="J5067" t="str">
        <f t="shared" si="79"/>
        <v/>
      </c>
    </row>
    <row r="5068" spans="9:10">
      <c r="I5068" t="str">
        <f>_xlfn.IFNA(VLOOKUP(B5068,T_DistName[],3,FALSE),"")</f>
        <v/>
      </c>
      <c r="J5068" t="str">
        <f t="shared" si="79"/>
        <v/>
      </c>
    </row>
    <row r="5069" spans="9:10">
      <c r="I5069" t="str">
        <f>_xlfn.IFNA(VLOOKUP(B5069,T_DistName[],3,FALSE),"")</f>
        <v/>
      </c>
      <c r="J5069" t="str">
        <f t="shared" si="79"/>
        <v/>
      </c>
    </row>
    <row r="5070" spans="9:10">
      <c r="I5070" t="str">
        <f>_xlfn.IFNA(VLOOKUP(B5070,T_DistName[],3,FALSE),"")</f>
        <v/>
      </c>
      <c r="J5070" t="str">
        <f t="shared" si="79"/>
        <v/>
      </c>
    </row>
    <row r="5071" spans="9:10">
      <c r="I5071" t="str">
        <f>_xlfn.IFNA(VLOOKUP(B5071,T_DistName[],3,FALSE),"")</f>
        <v/>
      </c>
      <c r="J5071" t="str">
        <f t="shared" si="79"/>
        <v/>
      </c>
    </row>
    <row r="5072" spans="9:10">
      <c r="I5072" t="str">
        <f>_xlfn.IFNA(VLOOKUP(B5072,T_DistName[],3,FALSE),"")</f>
        <v/>
      </c>
      <c r="J5072" t="str">
        <f t="shared" si="79"/>
        <v/>
      </c>
    </row>
    <row r="5073" spans="9:10">
      <c r="I5073" t="str">
        <f>_xlfn.IFNA(VLOOKUP(B5073,T_DistName[],3,FALSE),"")</f>
        <v/>
      </c>
      <c r="J5073" t="str">
        <f t="shared" si="79"/>
        <v/>
      </c>
    </row>
    <row r="5074" spans="9:10">
      <c r="I5074" t="str">
        <f>_xlfn.IFNA(VLOOKUP(B5074,T_DistName[],3,FALSE),"")</f>
        <v/>
      </c>
      <c r="J5074" t="str">
        <f t="shared" si="79"/>
        <v/>
      </c>
    </row>
    <row r="5075" spans="9:10">
      <c r="I5075" t="str">
        <f>_xlfn.IFNA(VLOOKUP(B5075,T_DistName[],3,FALSE),"")</f>
        <v/>
      </c>
      <c r="J5075" t="str">
        <f t="shared" si="79"/>
        <v/>
      </c>
    </row>
    <row r="5076" spans="9:10">
      <c r="I5076" t="str">
        <f>_xlfn.IFNA(VLOOKUP(B5076,T_DistName[],3,FALSE),"")</f>
        <v/>
      </c>
      <c r="J5076" t="str">
        <f t="shared" si="79"/>
        <v/>
      </c>
    </row>
    <row r="5077" spans="9:10">
      <c r="I5077" t="str">
        <f>_xlfn.IFNA(VLOOKUP(B5077,T_DistName[],3,FALSE),"")</f>
        <v/>
      </c>
      <c r="J5077" t="str">
        <f t="shared" si="79"/>
        <v/>
      </c>
    </row>
    <row r="5078" spans="9:10">
      <c r="I5078" t="str">
        <f>_xlfn.IFNA(VLOOKUP(B5078,T_DistName[],3,FALSE),"")</f>
        <v/>
      </c>
      <c r="J5078" t="str">
        <f t="shared" si="79"/>
        <v/>
      </c>
    </row>
    <row r="5079" spans="9:10">
      <c r="I5079" t="str">
        <f>_xlfn.IFNA(VLOOKUP(B5079,T_DistName[],3,FALSE),"")</f>
        <v/>
      </c>
      <c r="J5079" t="str">
        <f t="shared" si="79"/>
        <v/>
      </c>
    </row>
    <row r="5080" spans="9:10">
      <c r="I5080" t="str">
        <f>_xlfn.IFNA(VLOOKUP(B5080,T_DistName[],3,FALSE),"")</f>
        <v/>
      </c>
      <c r="J5080" t="str">
        <f t="shared" si="79"/>
        <v/>
      </c>
    </row>
    <row r="5081" spans="9:10">
      <c r="I5081" t="str">
        <f>_xlfn.IFNA(VLOOKUP(B5081,T_DistName[],3,FALSE),"")</f>
        <v/>
      </c>
      <c r="J5081" t="str">
        <f t="shared" ref="J5081:J5144" si="80">I5081&amp;F5081</f>
        <v/>
      </c>
    </row>
    <row r="5082" spans="9:10">
      <c r="I5082" t="str">
        <f>_xlfn.IFNA(VLOOKUP(B5082,T_DistName[],3,FALSE),"")</f>
        <v/>
      </c>
      <c r="J5082" t="str">
        <f t="shared" si="80"/>
        <v/>
      </c>
    </row>
    <row r="5083" spans="9:10">
      <c r="I5083" t="str">
        <f>_xlfn.IFNA(VLOOKUP(B5083,T_DistName[],3,FALSE),"")</f>
        <v/>
      </c>
      <c r="J5083" t="str">
        <f t="shared" si="80"/>
        <v/>
      </c>
    </row>
    <row r="5084" spans="9:10">
      <c r="I5084" t="str">
        <f>_xlfn.IFNA(VLOOKUP(B5084,T_DistName[],3,FALSE),"")</f>
        <v/>
      </c>
      <c r="J5084" t="str">
        <f t="shared" si="80"/>
        <v/>
      </c>
    </row>
    <row r="5085" spans="9:10">
      <c r="I5085" t="str">
        <f>_xlfn.IFNA(VLOOKUP(B5085,T_DistName[],3,FALSE),"")</f>
        <v/>
      </c>
      <c r="J5085" t="str">
        <f t="shared" si="80"/>
        <v/>
      </c>
    </row>
    <row r="5086" spans="9:10">
      <c r="I5086" t="str">
        <f>_xlfn.IFNA(VLOOKUP(B5086,T_DistName[],3,FALSE),"")</f>
        <v/>
      </c>
      <c r="J5086" t="str">
        <f t="shared" si="80"/>
        <v/>
      </c>
    </row>
    <row r="5087" spans="9:10">
      <c r="I5087" t="str">
        <f>_xlfn.IFNA(VLOOKUP(B5087,T_DistName[],3,FALSE),"")</f>
        <v/>
      </c>
      <c r="J5087" t="str">
        <f t="shared" si="80"/>
        <v/>
      </c>
    </row>
    <row r="5088" spans="9:10">
      <c r="I5088" t="str">
        <f>_xlfn.IFNA(VLOOKUP(B5088,T_DistName[],3,FALSE),"")</f>
        <v/>
      </c>
      <c r="J5088" t="str">
        <f t="shared" si="80"/>
        <v/>
      </c>
    </row>
    <row r="5089" spans="9:10">
      <c r="I5089" t="str">
        <f>_xlfn.IFNA(VLOOKUP(B5089,T_DistName[],3,FALSE),"")</f>
        <v/>
      </c>
      <c r="J5089" t="str">
        <f t="shared" si="80"/>
        <v/>
      </c>
    </row>
    <row r="5090" spans="9:10">
      <c r="I5090" t="str">
        <f>_xlfn.IFNA(VLOOKUP(B5090,T_DistName[],3,FALSE),"")</f>
        <v/>
      </c>
      <c r="J5090" t="str">
        <f t="shared" si="80"/>
        <v/>
      </c>
    </row>
    <row r="5091" spans="9:10">
      <c r="I5091" t="str">
        <f>_xlfn.IFNA(VLOOKUP(B5091,T_DistName[],3,FALSE),"")</f>
        <v/>
      </c>
      <c r="J5091" t="str">
        <f t="shared" si="80"/>
        <v/>
      </c>
    </row>
    <row r="5092" spans="9:10">
      <c r="I5092" t="str">
        <f>_xlfn.IFNA(VLOOKUP(B5092,T_DistName[],3,FALSE),"")</f>
        <v/>
      </c>
      <c r="J5092" t="str">
        <f t="shared" si="80"/>
        <v/>
      </c>
    </row>
    <row r="5093" spans="9:10">
      <c r="I5093" t="str">
        <f>_xlfn.IFNA(VLOOKUP(B5093,T_DistName[],3,FALSE),"")</f>
        <v/>
      </c>
      <c r="J5093" t="str">
        <f t="shared" si="80"/>
        <v/>
      </c>
    </row>
    <row r="5094" spans="9:10">
      <c r="I5094" t="str">
        <f>_xlfn.IFNA(VLOOKUP(B5094,T_DistName[],3,FALSE),"")</f>
        <v/>
      </c>
      <c r="J5094" t="str">
        <f t="shared" si="80"/>
        <v/>
      </c>
    </row>
    <row r="5095" spans="9:10">
      <c r="I5095" t="str">
        <f>_xlfn.IFNA(VLOOKUP(B5095,T_DistName[],3,FALSE),"")</f>
        <v/>
      </c>
      <c r="J5095" t="str">
        <f t="shared" si="80"/>
        <v/>
      </c>
    </row>
    <row r="5096" spans="9:10">
      <c r="I5096" t="str">
        <f>_xlfn.IFNA(VLOOKUP(B5096,T_DistName[],3,FALSE),"")</f>
        <v/>
      </c>
      <c r="J5096" t="str">
        <f t="shared" si="80"/>
        <v/>
      </c>
    </row>
    <row r="5097" spans="9:10">
      <c r="I5097" t="str">
        <f>_xlfn.IFNA(VLOOKUP(B5097,T_DistName[],3,FALSE),"")</f>
        <v/>
      </c>
      <c r="J5097" t="str">
        <f t="shared" si="80"/>
        <v/>
      </c>
    </row>
    <row r="5098" spans="9:10">
      <c r="I5098" t="str">
        <f>_xlfn.IFNA(VLOOKUP(B5098,T_DistName[],3,FALSE),"")</f>
        <v/>
      </c>
      <c r="J5098" t="str">
        <f t="shared" si="80"/>
        <v/>
      </c>
    </row>
    <row r="5099" spans="9:10">
      <c r="I5099" t="str">
        <f>_xlfn.IFNA(VLOOKUP(B5099,T_DistName[],3,FALSE),"")</f>
        <v/>
      </c>
      <c r="J5099" t="str">
        <f t="shared" si="80"/>
        <v/>
      </c>
    </row>
    <row r="5100" spans="9:10">
      <c r="I5100" t="str">
        <f>_xlfn.IFNA(VLOOKUP(B5100,T_DistName[],3,FALSE),"")</f>
        <v/>
      </c>
      <c r="J5100" t="str">
        <f t="shared" si="80"/>
        <v/>
      </c>
    </row>
    <row r="5101" spans="9:10">
      <c r="I5101" t="str">
        <f>_xlfn.IFNA(VLOOKUP(B5101,T_DistName[],3,FALSE),"")</f>
        <v/>
      </c>
      <c r="J5101" t="str">
        <f t="shared" si="80"/>
        <v/>
      </c>
    </row>
    <row r="5102" spans="9:10">
      <c r="I5102" t="str">
        <f>_xlfn.IFNA(VLOOKUP(B5102,T_DistName[],3,FALSE),"")</f>
        <v/>
      </c>
      <c r="J5102" t="str">
        <f t="shared" si="80"/>
        <v/>
      </c>
    </row>
    <row r="5103" spans="9:10">
      <c r="I5103" t="str">
        <f>_xlfn.IFNA(VLOOKUP(B5103,T_DistName[],3,FALSE),"")</f>
        <v/>
      </c>
      <c r="J5103" t="str">
        <f t="shared" si="80"/>
        <v/>
      </c>
    </row>
    <row r="5104" spans="9:10">
      <c r="I5104" t="str">
        <f>_xlfn.IFNA(VLOOKUP(B5104,T_DistName[],3,FALSE),"")</f>
        <v/>
      </c>
      <c r="J5104" t="str">
        <f t="shared" si="80"/>
        <v/>
      </c>
    </row>
    <row r="5105" spans="9:10">
      <c r="I5105" t="str">
        <f>_xlfn.IFNA(VLOOKUP(B5105,T_DistName[],3,FALSE),"")</f>
        <v/>
      </c>
      <c r="J5105" t="str">
        <f t="shared" si="80"/>
        <v/>
      </c>
    </row>
    <row r="5106" spans="9:10">
      <c r="I5106" t="str">
        <f>_xlfn.IFNA(VLOOKUP(B5106,T_DistName[],3,FALSE),"")</f>
        <v/>
      </c>
      <c r="J5106" t="str">
        <f t="shared" si="80"/>
        <v/>
      </c>
    </row>
    <row r="5107" spans="9:10">
      <c r="I5107" t="str">
        <f>_xlfn.IFNA(VLOOKUP(B5107,T_DistName[],3,FALSE),"")</f>
        <v/>
      </c>
      <c r="J5107" t="str">
        <f t="shared" si="80"/>
        <v/>
      </c>
    </row>
    <row r="5108" spans="9:10">
      <c r="I5108" t="str">
        <f>_xlfn.IFNA(VLOOKUP(B5108,T_DistName[],3,FALSE),"")</f>
        <v/>
      </c>
      <c r="J5108" t="str">
        <f t="shared" si="80"/>
        <v/>
      </c>
    </row>
    <row r="5109" spans="9:10">
      <c r="I5109" t="str">
        <f>_xlfn.IFNA(VLOOKUP(B5109,T_DistName[],3,FALSE),"")</f>
        <v/>
      </c>
      <c r="J5109" t="str">
        <f t="shared" si="80"/>
        <v/>
      </c>
    </row>
    <row r="5110" spans="9:10">
      <c r="I5110" t="str">
        <f>_xlfn.IFNA(VLOOKUP(B5110,T_DistName[],3,FALSE),"")</f>
        <v/>
      </c>
      <c r="J5110" t="str">
        <f t="shared" si="80"/>
        <v/>
      </c>
    </row>
    <row r="5111" spans="9:10">
      <c r="I5111" t="str">
        <f>_xlfn.IFNA(VLOOKUP(B5111,T_DistName[],3,FALSE),"")</f>
        <v/>
      </c>
      <c r="J5111" t="str">
        <f t="shared" si="80"/>
        <v/>
      </c>
    </row>
    <row r="5112" spans="9:10">
      <c r="I5112" t="str">
        <f>_xlfn.IFNA(VLOOKUP(B5112,T_DistName[],3,FALSE),"")</f>
        <v/>
      </c>
      <c r="J5112" t="str">
        <f t="shared" si="80"/>
        <v/>
      </c>
    </row>
    <row r="5113" spans="9:10">
      <c r="I5113" t="str">
        <f>_xlfn.IFNA(VLOOKUP(B5113,T_DistName[],3,FALSE),"")</f>
        <v/>
      </c>
      <c r="J5113" t="str">
        <f t="shared" si="80"/>
        <v/>
      </c>
    </row>
    <row r="5114" spans="9:10">
      <c r="I5114" t="str">
        <f>_xlfn.IFNA(VLOOKUP(B5114,T_DistName[],3,FALSE),"")</f>
        <v/>
      </c>
      <c r="J5114" t="str">
        <f t="shared" si="80"/>
        <v/>
      </c>
    </row>
    <row r="5115" spans="9:10">
      <c r="I5115" t="str">
        <f>_xlfn.IFNA(VLOOKUP(B5115,T_DistName[],3,FALSE),"")</f>
        <v/>
      </c>
      <c r="J5115" t="str">
        <f t="shared" si="80"/>
        <v/>
      </c>
    </row>
    <row r="5116" spans="9:10">
      <c r="I5116" t="str">
        <f>_xlfn.IFNA(VLOOKUP(B5116,T_DistName[],3,FALSE),"")</f>
        <v/>
      </c>
      <c r="J5116" t="str">
        <f t="shared" si="80"/>
        <v/>
      </c>
    </row>
    <row r="5117" spans="9:10">
      <c r="I5117" t="str">
        <f>_xlfn.IFNA(VLOOKUP(B5117,T_DistName[],3,FALSE),"")</f>
        <v/>
      </c>
      <c r="J5117" t="str">
        <f t="shared" si="80"/>
        <v/>
      </c>
    </row>
    <row r="5118" spans="9:10">
      <c r="I5118" t="str">
        <f>_xlfn.IFNA(VLOOKUP(B5118,T_DistName[],3,FALSE),"")</f>
        <v/>
      </c>
      <c r="J5118" t="str">
        <f t="shared" si="80"/>
        <v/>
      </c>
    </row>
    <row r="5119" spans="9:10">
      <c r="I5119" t="str">
        <f>_xlfn.IFNA(VLOOKUP(B5119,T_DistName[],3,FALSE),"")</f>
        <v/>
      </c>
      <c r="J5119" t="str">
        <f t="shared" si="80"/>
        <v/>
      </c>
    </row>
    <row r="5120" spans="9:10">
      <c r="I5120" t="str">
        <f>_xlfn.IFNA(VLOOKUP(B5120,T_DistName[],3,FALSE),"")</f>
        <v/>
      </c>
      <c r="J5120" t="str">
        <f t="shared" si="80"/>
        <v/>
      </c>
    </row>
    <row r="5121" spans="9:10">
      <c r="I5121" t="str">
        <f>_xlfn.IFNA(VLOOKUP(B5121,T_DistName[],3,FALSE),"")</f>
        <v/>
      </c>
      <c r="J5121" t="str">
        <f t="shared" si="80"/>
        <v/>
      </c>
    </row>
    <row r="5122" spans="9:10">
      <c r="I5122" t="str">
        <f>_xlfn.IFNA(VLOOKUP(B5122,T_DistName[],3,FALSE),"")</f>
        <v/>
      </c>
      <c r="J5122" t="str">
        <f t="shared" si="80"/>
        <v/>
      </c>
    </row>
    <row r="5123" spans="9:10">
      <c r="I5123" t="str">
        <f>_xlfn.IFNA(VLOOKUP(B5123,T_DistName[],3,FALSE),"")</f>
        <v/>
      </c>
      <c r="J5123" t="str">
        <f t="shared" si="80"/>
        <v/>
      </c>
    </row>
    <row r="5124" spans="9:10">
      <c r="I5124" t="str">
        <f>_xlfn.IFNA(VLOOKUP(B5124,T_DistName[],3,FALSE),"")</f>
        <v/>
      </c>
      <c r="J5124" t="str">
        <f t="shared" si="80"/>
        <v/>
      </c>
    </row>
    <row r="5125" spans="9:10">
      <c r="I5125" t="str">
        <f>_xlfn.IFNA(VLOOKUP(B5125,T_DistName[],3,FALSE),"")</f>
        <v/>
      </c>
      <c r="J5125" t="str">
        <f t="shared" si="80"/>
        <v/>
      </c>
    </row>
    <row r="5126" spans="9:10">
      <c r="I5126" t="str">
        <f>_xlfn.IFNA(VLOOKUP(B5126,T_DistName[],3,FALSE),"")</f>
        <v/>
      </c>
      <c r="J5126" t="str">
        <f t="shared" si="80"/>
        <v/>
      </c>
    </row>
    <row r="5127" spans="9:10">
      <c r="I5127" t="str">
        <f>_xlfn.IFNA(VLOOKUP(B5127,T_DistName[],3,FALSE),"")</f>
        <v/>
      </c>
      <c r="J5127" t="str">
        <f t="shared" si="80"/>
        <v/>
      </c>
    </row>
    <row r="5128" spans="9:10">
      <c r="I5128" t="str">
        <f>_xlfn.IFNA(VLOOKUP(B5128,T_DistName[],3,FALSE),"")</f>
        <v/>
      </c>
      <c r="J5128" t="str">
        <f t="shared" si="80"/>
        <v/>
      </c>
    </row>
    <row r="5129" spans="9:10">
      <c r="I5129" t="str">
        <f>_xlfn.IFNA(VLOOKUP(B5129,T_DistName[],3,FALSE),"")</f>
        <v/>
      </c>
      <c r="J5129" t="str">
        <f t="shared" si="80"/>
        <v/>
      </c>
    </row>
    <row r="5130" spans="9:10">
      <c r="I5130" t="str">
        <f>_xlfn.IFNA(VLOOKUP(B5130,T_DistName[],3,FALSE),"")</f>
        <v/>
      </c>
      <c r="J5130" t="str">
        <f t="shared" si="80"/>
        <v/>
      </c>
    </row>
    <row r="5131" spans="9:10">
      <c r="I5131" t="str">
        <f>_xlfn.IFNA(VLOOKUP(B5131,T_DistName[],3,FALSE),"")</f>
        <v/>
      </c>
      <c r="J5131" t="str">
        <f t="shared" si="80"/>
        <v/>
      </c>
    </row>
    <row r="5132" spans="9:10">
      <c r="I5132" t="str">
        <f>_xlfn.IFNA(VLOOKUP(B5132,T_DistName[],3,FALSE),"")</f>
        <v/>
      </c>
      <c r="J5132" t="str">
        <f t="shared" si="80"/>
        <v/>
      </c>
    </row>
    <row r="5133" spans="9:10">
      <c r="I5133" t="str">
        <f>_xlfn.IFNA(VLOOKUP(B5133,T_DistName[],3,FALSE),"")</f>
        <v/>
      </c>
      <c r="J5133" t="str">
        <f t="shared" si="80"/>
        <v/>
      </c>
    </row>
    <row r="5134" spans="9:10">
      <c r="I5134" t="str">
        <f>_xlfn.IFNA(VLOOKUP(B5134,T_DistName[],3,FALSE),"")</f>
        <v/>
      </c>
      <c r="J5134" t="str">
        <f t="shared" si="80"/>
        <v/>
      </c>
    </row>
    <row r="5135" spans="9:10">
      <c r="I5135" t="str">
        <f>_xlfn.IFNA(VLOOKUP(B5135,T_DistName[],3,FALSE),"")</f>
        <v/>
      </c>
      <c r="J5135" t="str">
        <f t="shared" si="80"/>
        <v/>
      </c>
    </row>
    <row r="5136" spans="9:10">
      <c r="I5136" t="str">
        <f>_xlfn.IFNA(VLOOKUP(B5136,T_DistName[],3,FALSE),"")</f>
        <v/>
      </c>
      <c r="J5136" t="str">
        <f t="shared" si="80"/>
        <v/>
      </c>
    </row>
    <row r="5137" spans="9:10">
      <c r="I5137" t="str">
        <f>_xlfn.IFNA(VLOOKUP(B5137,T_DistName[],3,FALSE),"")</f>
        <v/>
      </c>
      <c r="J5137" t="str">
        <f t="shared" si="80"/>
        <v/>
      </c>
    </row>
    <row r="5138" spans="9:10">
      <c r="I5138" t="str">
        <f>_xlfn.IFNA(VLOOKUP(B5138,T_DistName[],3,FALSE),"")</f>
        <v/>
      </c>
      <c r="J5138" t="str">
        <f t="shared" si="80"/>
        <v/>
      </c>
    </row>
    <row r="5139" spans="9:10">
      <c r="I5139" t="str">
        <f>_xlfn.IFNA(VLOOKUP(B5139,T_DistName[],3,FALSE),"")</f>
        <v/>
      </c>
      <c r="J5139" t="str">
        <f t="shared" si="80"/>
        <v/>
      </c>
    </row>
    <row r="5140" spans="9:10">
      <c r="I5140" t="str">
        <f>_xlfn.IFNA(VLOOKUP(B5140,T_DistName[],3,FALSE),"")</f>
        <v/>
      </c>
      <c r="J5140" t="str">
        <f t="shared" si="80"/>
        <v/>
      </c>
    </row>
    <row r="5141" spans="9:10">
      <c r="I5141" t="str">
        <f>_xlfn.IFNA(VLOOKUP(B5141,T_DistName[],3,FALSE),"")</f>
        <v/>
      </c>
      <c r="J5141" t="str">
        <f t="shared" si="80"/>
        <v/>
      </c>
    </row>
    <row r="5142" spans="9:10">
      <c r="I5142" t="str">
        <f>_xlfn.IFNA(VLOOKUP(B5142,T_DistName[],3,FALSE),"")</f>
        <v/>
      </c>
      <c r="J5142" t="str">
        <f t="shared" si="80"/>
        <v/>
      </c>
    </row>
    <row r="5143" spans="9:10">
      <c r="I5143" t="str">
        <f>_xlfn.IFNA(VLOOKUP(B5143,T_DistName[],3,FALSE),"")</f>
        <v/>
      </c>
      <c r="J5143" t="str">
        <f t="shared" si="80"/>
        <v/>
      </c>
    </row>
    <row r="5144" spans="9:10">
      <c r="I5144" t="str">
        <f>_xlfn.IFNA(VLOOKUP(B5144,T_DistName[],3,FALSE),"")</f>
        <v/>
      </c>
      <c r="J5144" t="str">
        <f t="shared" si="80"/>
        <v/>
      </c>
    </row>
    <row r="5145" spans="9:10">
      <c r="I5145" t="str">
        <f>_xlfn.IFNA(VLOOKUP(B5145,T_DistName[],3,FALSE),"")</f>
        <v/>
      </c>
      <c r="J5145" t="str">
        <f t="shared" ref="J5145:J5208" si="81">I5145&amp;F5145</f>
        <v/>
      </c>
    </row>
    <row r="5146" spans="9:10">
      <c r="I5146" t="str">
        <f>_xlfn.IFNA(VLOOKUP(B5146,T_DistName[],3,FALSE),"")</f>
        <v/>
      </c>
      <c r="J5146" t="str">
        <f t="shared" si="81"/>
        <v/>
      </c>
    </row>
    <row r="5147" spans="9:10">
      <c r="I5147" t="str">
        <f>_xlfn.IFNA(VLOOKUP(B5147,T_DistName[],3,FALSE),"")</f>
        <v/>
      </c>
      <c r="J5147" t="str">
        <f t="shared" si="81"/>
        <v/>
      </c>
    </row>
    <row r="5148" spans="9:10">
      <c r="I5148" t="str">
        <f>_xlfn.IFNA(VLOOKUP(B5148,T_DistName[],3,FALSE),"")</f>
        <v/>
      </c>
      <c r="J5148" t="str">
        <f t="shared" si="81"/>
        <v/>
      </c>
    </row>
    <row r="5149" spans="9:10">
      <c r="I5149" t="str">
        <f>_xlfn.IFNA(VLOOKUP(B5149,T_DistName[],3,FALSE),"")</f>
        <v/>
      </c>
      <c r="J5149" t="str">
        <f t="shared" si="81"/>
        <v/>
      </c>
    </row>
    <row r="5150" spans="9:10">
      <c r="I5150" t="str">
        <f>_xlfn.IFNA(VLOOKUP(B5150,T_DistName[],3,FALSE),"")</f>
        <v/>
      </c>
      <c r="J5150" t="str">
        <f t="shared" si="81"/>
        <v/>
      </c>
    </row>
    <row r="5151" spans="9:10">
      <c r="I5151" t="str">
        <f>_xlfn.IFNA(VLOOKUP(B5151,T_DistName[],3,FALSE),"")</f>
        <v/>
      </c>
      <c r="J5151" t="str">
        <f t="shared" si="81"/>
        <v/>
      </c>
    </row>
    <row r="5152" spans="9:10">
      <c r="I5152" t="str">
        <f>_xlfn.IFNA(VLOOKUP(B5152,T_DistName[],3,FALSE),"")</f>
        <v/>
      </c>
      <c r="J5152" t="str">
        <f t="shared" si="81"/>
        <v/>
      </c>
    </row>
    <row r="5153" spans="9:10">
      <c r="I5153" t="str">
        <f>_xlfn.IFNA(VLOOKUP(B5153,T_DistName[],3,FALSE),"")</f>
        <v/>
      </c>
      <c r="J5153" t="str">
        <f t="shared" si="81"/>
        <v/>
      </c>
    </row>
    <row r="5154" spans="9:10">
      <c r="I5154" t="str">
        <f>_xlfn.IFNA(VLOOKUP(B5154,T_DistName[],3,FALSE),"")</f>
        <v/>
      </c>
      <c r="J5154" t="str">
        <f t="shared" si="81"/>
        <v/>
      </c>
    </row>
    <row r="5155" spans="9:10">
      <c r="I5155" t="str">
        <f>_xlfn.IFNA(VLOOKUP(B5155,T_DistName[],3,FALSE),"")</f>
        <v/>
      </c>
      <c r="J5155" t="str">
        <f t="shared" si="81"/>
        <v/>
      </c>
    </row>
    <row r="5156" spans="9:10">
      <c r="I5156" t="str">
        <f>_xlfn.IFNA(VLOOKUP(B5156,T_DistName[],3,FALSE),"")</f>
        <v/>
      </c>
      <c r="J5156" t="str">
        <f t="shared" si="81"/>
        <v/>
      </c>
    </row>
    <row r="5157" spans="9:10">
      <c r="I5157" t="str">
        <f>_xlfn.IFNA(VLOOKUP(B5157,T_DistName[],3,FALSE),"")</f>
        <v/>
      </c>
      <c r="J5157" t="str">
        <f t="shared" si="81"/>
        <v/>
      </c>
    </row>
    <row r="5158" spans="9:10">
      <c r="I5158" t="str">
        <f>_xlfn.IFNA(VLOOKUP(B5158,T_DistName[],3,FALSE),"")</f>
        <v/>
      </c>
      <c r="J5158" t="str">
        <f t="shared" si="81"/>
        <v/>
      </c>
    </row>
    <row r="5159" spans="9:10">
      <c r="I5159" t="str">
        <f>_xlfn.IFNA(VLOOKUP(B5159,T_DistName[],3,FALSE),"")</f>
        <v/>
      </c>
      <c r="J5159" t="str">
        <f t="shared" si="81"/>
        <v/>
      </c>
    </row>
    <row r="5160" spans="9:10">
      <c r="I5160" t="str">
        <f>_xlfn.IFNA(VLOOKUP(B5160,T_DistName[],3,FALSE),"")</f>
        <v/>
      </c>
      <c r="J5160" t="str">
        <f t="shared" si="81"/>
        <v/>
      </c>
    </row>
    <row r="5161" spans="9:10">
      <c r="I5161" t="str">
        <f>_xlfn.IFNA(VLOOKUP(B5161,T_DistName[],3,FALSE),"")</f>
        <v/>
      </c>
      <c r="J5161" t="str">
        <f t="shared" si="81"/>
        <v/>
      </c>
    </row>
    <row r="5162" spans="9:10">
      <c r="I5162" t="str">
        <f>_xlfn.IFNA(VLOOKUP(B5162,T_DistName[],3,FALSE),"")</f>
        <v/>
      </c>
      <c r="J5162" t="str">
        <f t="shared" si="81"/>
        <v/>
      </c>
    </row>
    <row r="5163" spans="9:10">
      <c r="I5163" t="str">
        <f>_xlfn.IFNA(VLOOKUP(B5163,T_DistName[],3,FALSE),"")</f>
        <v/>
      </c>
      <c r="J5163" t="str">
        <f t="shared" si="81"/>
        <v/>
      </c>
    </row>
    <row r="5164" spans="9:10">
      <c r="I5164" t="str">
        <f>_xlfn.IFNA(VLOOKUP(B5164,T_DistName[],3,FALSE),"")</f>
        <v/>
      </c>
      <c r="J5164" t="str">
        <f t="shared" si="81"/>
        <v/>
      </c>
    </row>
    <row r="5165" spans="9:10">
      <c r="I5165" t="str">
        <f>_xlfn.IFNA(VLOOKUP(B5165,T_DistName[],3,FALSE),"")</f>
        <v/>
      </c>
      <c r="J5165" t="str">
        <f t="shared" si="81"/>
        <v/>
      </c>
    </row>
    <row r="5166" spans="9:10">
      <c r="I5166" t="str">
        <f>_xlfn.IFNA(VLOOKUP(B5166,T_DistName[],3,FALSE),"")</f>
        <v/>
      </c>
      <c r="J5166" t="str">
        <f t="shared" si="81"/>
        <v/>
      </c>
    </row>
    <row r="5167" spans="9:10">
      <c r="I5167" t="str">
        <f>_xlfn.IFNA(VLOOKUP(B5167,T_DistName[],3,FALSE),"")</f>
        <v/>
      </c>
      <c r="J5167" t="str">
        <f t="shared" si="81"/>
        <v/>
      </c>
    </row>
    <row r="5168" spans="9:10">
      <c r="I5168" t="str">
        <f>_xlfn.IFNA(VLOOKUP(B5168,T_DistName[],3,FALSE),"")</f>
        <v/>
      </c>
      <c r="J5168" t="str">
        <f t="shared" si="81"/>
        <v/>
      </c>
    </row>
    <row r="5169" spans="9:10">
      <c r="I5169" t="str">
        <f>_xlfn.IFNA(VLOOKUP(B5169,T_DistName[],3,FALSE),"")</f>
        <v/>
      </c>
      <c r="J5169" t="str">
        <f t="shared" si="81"/>
        <v/>
      </c>
    </row>
    <row r="5170" spans="9:10">
      <c r="I5170" t="str">
        <f>_xlfn.IFNA(VLOOKUP(B5170,T_DistName[],3,FALSE),"")</f>
        <v/>
      </c>
      <c r="J5170" t="str">
        <f t="shared" si="81"/>
        <v/>
      </c>
    </row>
    <row r="5171" spans="9:10">
      <c r="I5171" t="str">
        <f>_xlfn.IFNA(VLOOKUP(B5171,T_DistName[],3,FALSE),"")</f>
        <v/>
      </c>
      <c r="J5171" t="str">
        <f t="shared" si="81"/>
        <v/>
      </c>
    </row>
    <row r="5172" spans="9:10">
      <c r="I5172" t="str">
        <f>_xlfn.IFNA(VLOOKUP(B5172,T_DistName[],3,FALSE),"")</f>
        <v/>
      </c>
      <c r="J5172" t="str">
        <f t="shared" si="81"/>
        <v/>
      </c>
    </row>
    <row r="5173" spans="9:10">
      <c r="I5173" t="str">
        <f>_xlfn.IFNA(VLOOKUP(B5173,T_DistName[],3,FALSE),"")</f>
        <v/>
      </c>
      <c r="J5173" t="str">
        <f t="shared" si="81"/>
        <v/>
      </c>
    </row>
    <row r="5174" spans="9:10">
      <c r="I5174" t="str">
        <f>_xlfn.IFNA(VLOOKUP(B5174,T_DistName[],3,FALSE),"")</f>
        <v/>
      </c>
      <c r="J5174" t="str">
        <f t="shared" si="81"/>
        <v/>
      </c>
    </row>
    <row r="5175" spans="9:10">
      <c r="I5175" t="str">
        <f>_xlfn.IFNA(VLOOKUP(B5175,T_DistName[],3,FALSE),"")</f>
        <v/>
      </c>
      <c r="J5175" t="str">
        <f t="shared" si="81"/>
        <v/>
      </c>
    </row>
    <row r="5176" spans="9:10">
      <c r="I5176" t="str">
        <f>_xlfn.IFNA(VLOOKUP(B5176,T_DistName[],3,FALSE),"")</f>
        <v/>
      </c>
      <c r="J5176" t="str">
        <f t="shared" si="81"/>
        <v/>
      </c>
    </row>
    <row r="5177" spans="9:10">
      <c r="I5177" t="str">
        <f>_xlfn.IFNA(VLOOKUP(B5177,T_DistName[],3,FALSE),"")</f>
        <v/>
      </c>
      <c r="J5177" t="str">
        <f t="shared" si="81"/>
        <v/>
      </c>
    </row>
    <row r="5178" spans="9:10">
      <c r="I5178" t="str">
        <f>_xlfn.IFNA(VLOOKUP(B5178,T_DistName[],3,FALSE),"")</f>
        <v/>
      </c>
      <c r="J5178" t="str">
        <f t="shared" si="81"/>
        <v/>
      </c>
    </row>
    <row r="5179" spans="9:10">
      <c r="I5179" t="str">
        <f>_xlfn.IFNA(VLOOKUP(B5179,T_DistName[],3,FALSE),"")</f>
        <v/>
      </c>
      <c r="J5179" t="str">
        <f t="shared" si="81"/>
        <v/>
      </c>
    </row>
    <row r="5180" spans="9:10">
      <c r="I5180" t="str">
        <f>_xlfn.IFNA(VLOOKUP(B5180,T_DistName[],3,FALSE),"")</f>
        <v/>
      </c>
      <c r="J5180" t="str">
        <f t="shared" si="81"/>
        <v/>
      </c>
    </row>
    <row r="5181" spans="9:10">
      <c r="I5181" t="str">
        <f>_xlfn.IFNA(VLOOKUP(B5181,T_DistName[],3,FALSE),"")</f>
        <v/>
      </c>
      <c r="J5181" t="str">
        <f t="shared" si="81"/>
        <v/>
      </c>
    </row>
    <row r="5182" spans="9:10">
      <c r="I5182" t="str">
        <f>_xlfn.IFNA(VLOOKUP(B5182,T_DistName[],3,FALSE),"")</f>
        <v/>
      </c>
      <c r="J5182" t="str">
        <f t="shared" si="81"/>
        <v/>
      </c>
    </row>
    <row r="5183" spans="9:10">
      <c r="I5183" t="str">
        <f>_xlfn.IFNA(VLOOKUP(B5183,T_DistName[],3,FALSE),"")</f>
        <v/>
      </c>
      <c r="J5183" t="str">
        <f t="shared" si="81"/>
        <v/>
      </c>
    </row>
    <row r="5184" spans="9:10">
      <c r="I5184" t="str">
        <f>_xlfn.IFNA(VLOOKUP(B5184,T_DistName[],3,FALSE),"")</f>
        <v/>
      </c>
      <c r="J5184" t="str">
        <f t="shared" si="81"/>
        <v/>
      </c>
    </row>
    <row r="5185" spans="9:10">
      <c r="I5185" t="str">
        <f>_xlfn.IFNA(VLOOKUP(B5185,T_DistName[],3,FALSE),"")</f>
        <v/>
      </c>
      <c r="J5185" t="str">
        <f t="shared" si="81"/>
        <v/>
      </c>
    </row>
    <row r="5186" spans="9:10">
      <c r="I5186" t="str">
        <f>_xlfn.IFNA(VLOOKUP(B5186,T_DistName[],3,FALSE),"")</f>
        <v/>
      </c>
      <c r="J5186" t="str">
        <f t="shared" si="81"/>
        <v/>
      </c>
    </row>
    <row r="5187" spans="9:10">
      <c r="I5187" t="str">
        <f>_xlfn.IFNA(VLOOKUP(B5187,T_DistName[],3,FALSE),"")</f>
        <v/>
      </c>
      <c r="J5187" t="str">
        <f t="shared" si="81"/>
        <v/>
      </c>
    </row>
    <row r="5188" spans="9:10">
      <c r="I5188" t="str">
        <f>_xlfn.IFNA(VLOOKUP(B5188,T_DistName[],3,FALSE),"")</f>
        <v/>
      </c>
      <c r="J5188" t="str">
        <f t="shared" si="81"/>
        <v/>
      </c>
    </row>
    <row r="5189" spans="9:10">
      <c r="I5189" t="str">
        <f>_xlfn.IFNA(VLOOKUP(B5189,T_DistName[],3,FALSE),"")</f>
        <v/>
      </c>
      <c r="J5189" t="str">
        <f t="shared" si="81"/>
        <v/>
      </c>
    </row>
    <row r="5190" spans="9:10">
      <c r="I5190" t="str">
        <f>_xlfn.IFNA(VLOOKUP(B5190,T_DistName[],3,FALSE),"")</f>
        <v/>
      </c>
      <c r="J5190" t="str">
        <f t="shared" si="81"/>
        <v/>
      </c>
    </row>
    <row r="5191" spans="9:10">
      <c r="I5191" t="str">
        <f>_xlfn.IFNA(VLOOKUP(B5191,T_DistName[],3,FALSE),"")</f>
        <v/>
      </c>
      <c r="J5191" t="str">
        <f t="shared" si="81"/>
        <v/>
      </c>
    </row>
    <row r="5192" spans="9:10">
      <c r="I5192" t="str">
        <f>_xlfn.IFNA(VLOOKUP(B5192,T_DistName[],3,FALSE),"")</f>
        <v/>
      </c>
      <c r="J5192" t="str">
        <f t="shared" si="81"/>
        <v/>
      </c>
    </row>
    <row r="5193" spans="9:10">
      <c r="I5193" t="str">
        <f>_xlfn.IFNA(VLOOKUP(B5193,T_DistName[],3,FALSE),"")</f>
        <v/>
      </c>
      <c r="J5193" t="str">
        <f t="shared" si="81"/>
        <v/>
      </c>
    </row>
    <row r="5194" spans="9:10">
      <c r="I5194" t="str">
        <f>_xlfn.IFNA(VLOOKUP(B5194,T_DistName[],3,FALSE),"")</f>
        <v/>
      </c>
      <c r="J5194" t="str">
        <f t="shared" si="81"/>
        <v/>
      </c>
    </row>
    <row r="5195" spans="9:10">
      <c r="I5195" t="str">
        <f>_xlfn.IFNA(VLOOKUP(B5195,T_DistName[],3,FALSE),"")</f>
        <v/>
      </c>
      <c r="J5195" t="str">
        <f t="shared" si="81"/>
        <v/>
      </c>
    </row>
    <row r="5196" spans="9:10">
      <c r="I5196" t="str">
        <f>_xlfn.IFNA(VLOOKUP(B5196,T_DistName[],3,FALSE),"")</f>
        <v/>
      </c>
      <c r="J5196" t="str">
        <f t="shared" si="81"/>
        <v/>
      </c>
    </row>
    <row r="5197" spans="9:10">
      <c r="I5197" t="str">
        <f>_xlfn.IFNA(VLOOKUP(B5197,T_DistName[],3,FALSE),"")</f>
        <v/>
      </c>
      <c r="J5197" t="str">
        <f t="shared" si="81"/>
        <v/>
      </c>
    </row>
    <row r="5198" spans="9:10">
      <c r="I5198" t="str">
        <f>_xlfn.IFNA(VLOOKUP(B5198,T_DistName[],3,FALSE),"")</f>
        <v/>
      </c>
      <c r="J5198" t="str">
        <f t="shared" si="81"/>
        <v/>
      </c>
    </row>
    <row r="5199" spans="9:10">
      <c r="I5199" t="str">
        <f>_xlfn.IFNA(VLOOKUP(B5199,T_DistName[],3,FALSE),"")</f>
        <v/>
      </c>
      <c r="J5199" t="str">
        <f t="shared" si="81"/>
        <v/>
      </c>
    </row>
    <row r="5200" spans="9:10">
      <c r="I5200" t="str">
        <f>_xlfn.IFNA(VLOOKUP(B5200,T_DistName[],3,FALSE),"")</f>
        <v/>
      </c>
      <c r="J5200" t="str">
        <f t="shared" si="81"/>
        <v/>
      </c>
    </row>
    <row r="5201" spans="9:10">
      <c r="I5201" t="str">
        <f>_xlfn.IFNA(VLOOKUP(B5201,T_DistName[],3,FALSE),"")</f>
        <v/>
      </c>
      <c r="J5201" t="str">
        <f t="shared" si="81"/>
        <v/>
      </c>
    </row>
    <row r="5202" spans="9:10">
      <c r="I5202" t="str">
        <f>_xlfn.IFNA(VLOOKUP(B5202,T_DistName[],3,FALSE),"")</f>
        <v/>
      </c>
      <c r="J5202" t="str">
        <f t="shared" si="81"/>
        <v/>
      </c>
    </row>
    <row r="5203" spans="9:10">
      <c r="I5203" t="str">
        <f>_xlfn.IFNA(VLOOKUP(B5203,T_DistName[],3,FALSE),"")</f>
        <v/>
      </c>
      <c r="J5203" t="str">
        <f t="shared" si="81"/>
        <v/>
      </c>
    </row>
    <row r="5204" spans="9:10">
      <c r="I5204" t="str">
        <f>_xlfn.IFNA(VLOOKUP(B5204,T_DistName[],3,FALSE),"")</f>
        <v/>
      </c>
      <c r="J5204" t="str">
        <f t="shared" si="81"/>
        <v/>
      </c>
    </row>
    <row r="5205" spans="9:10">
      <c r="I5205" t="str">
        <f>_xlfn.IFNA(VLOOKUP(B5205,T_DistName[],3,FALSE),"")</f>
        <v/>
      </c>
      <c r="J5205" t="str">
        <f t="shared" si="81"/>
        <v/>
      </c>
    </row>
    <row r="5206" spans="9:10">
      <c r="I5206" t="str">
        <f>_xlfn.IFNA(VLOOKUP(B5206,T_DistName[],3,FALSE),"")</f>
        <v/>
      </c>
      <c r="J5206" t="str">
        <f t="shared" si="81"/>
        <v/>
      </c>
    </row>
    <row r="5207" spans="9:10">
      <c r="I5207" t="str">
        <f>_xlfn.IFNA(VLOOKUP(B5207,T_DistName[],3,FALSE),"")</f>
        <v/>
      </c>
      <c r="J5207" t="str">
        <f t="shared" si="81"/>
        <v/>
      </c>
    </row>
    <row r="5208" spans="9:10">
      <c r="I5208" t="str">
        <f>_xlfn.IFNA(VLOOKUP(B5208,T_DistName[],3,FALSE),"")</f>
        <v/>
      </c>
      <c r="J5208" t="str">
        <f t="shared" si="81"/>
        <v/>
      </c>
    </row>
    <row r="5209" spans="9:10">
      <c r="I5209" t="str">
        <f>_xlfn.IFNA(VLOOKUP(B5209,T_DistName[],3,FALSE),"")</f>
        <v/>
      </c>
      <c r="J5209" t="str">
        <f t="shared" ref="J5209:J5272" si="82">I5209&amp;F5209</f>
        <v/>
      </c>
    </row>
    <row r="5210" spans="9:10">
      <c r="I5210" t="str">
        <f>_xlfn.IFNA(VLOOKUP(B5210,T_DistName[],3,FALSE),"")</f>
        <v/>
      </c>
      <c r="J5210" t="str">
        <f t="shared" si="82"/>
        <v/>
      </c>
    </row>
    <row r="5211" spans="9:10">
      <c r="I5211" t="str">
        <f>_xlfn.IFNA(VLOOKUP(B5211,T_DistName[],3,FALSE),"")</f>
        <v/>
      </c>
      <c r="J5211" t="str">
        <f t="shared" si="82"/>
        <v/>
      </c>
    </row>
    <row r="5212" spans="9:10">
      <c r="I5212" t="str">
        <f>_xlfn.IFNA(VLOOKUP(B5212,T_DistName[],3,FALSE),"")</f>
        <v/>
      </c>
      <c r="J5212" t="str">
        <f t="shared" si="82"/>
        <v/>
      </c>
    </row>
    <row r="5213" spans="9:10">
      <c r="I5213" t="str">
        <f>_xlfn.IFNA(VLOOKUP(B5213,T_DistName[],3,FALSE),"")</f>
        <v/>
      </c>
      <c r="J5213" t="str">
        <f t="shared" si="82"/>
        <v/>
      </c>
    </row>
    <row r="5214" spans="9:10">
      <c r="I5214" t="str">
        <f>_xlfn.IFNA(VLOOKUP(B5214,T_DistName[],3,FALSE),"")</f>
        <v/>
      </c>
      <c r="J5214" t="str">
        <f t="shared" si="82"/>
        <v/>
      </c>
    </row>
    <row r="5215" spans="9:10">
      <c r="I5215" t="str">
        <f>_xlfn.IFNA(VLOOKUP(B5215,T_DistName[],3,FALSE),"")</f>
        <v/>
      </c>
      <c r="J5215" t="str">
        <f t="shared" si="82"/>
        <v/>
      </c>
    </row>
    <row r="5216" spans="9:10">
      <c r="I5216" t="str">
        <f>_xlfn.IFNA(VLOOKUP(B5216,T_DistName[],3,FALSE),"")</f>
        <v/>
      </c>
      <c r="J5216" t="str">
        <f t="shared" si="82"/>
        <v/>
      </c>
    </row>
    <row r="5217" spans="9:10">
      <c r="I5217" t="str">
        <f>_xlfn.IFNA(VLOOKUP(B5217,T_DistName[],3,FALSE),"")</f>
        <v/>
      </c>
      <c r="J5217" t="str">
        <f t="shared" si="82"/>
        <v/>
      </c>
    </row>
    <row r="5218" spans="9:10">
      <c r="I5218" t="str">
        <f>_xlfn.IFNA(VLOOKUP(B5218,T_DistName[],3,FALSE),"")</f>
        <v/>
      </c>
      <c r="J5218" t="str">
        <f t="shared" si="82"/>
        <v/>
      </c>
    </row>
    <row r="5219" spans="9:10">
      <c r="I5219" t="str">
        <f>_xlfn.IFNA(VLOOKUP(B5219,T_DistName[],3,FALSE),"")</f>
        <v/>
      </c>
      <c r="J5219" t="str">
        <f t="shared" si="82"/>
        <v/>
      </c>
    </row>
    <row r="5220" spans="9:10">
      <c r="I5220" t="str">
        <f>_xlfn.IFNA(VLOOKUP(B5220,T_DistName[],3,FALSE),"")</f>
        <v/>
      </c>
      <c r="J5220" t="str">
        <f t="shared" si="82"/>
        <v/>
      </c>
    </row>
    <row r="5221" spans="9:10">
      <c r="I5221" t="str">
        <f>_xlfn.IFNA(VLOOKUP(B5221,T_DistName[],3,FALSE),"")</f>
        <v/>
      </c>
      <c r="J5221" t="str">
        <f t="shared" si="82"/>
        <v/>
      </c>
    </row>
    <row r="5222" spans="9:10">
      <c r="I5222" t="str">
        <f>_xlfn.IFNA(VLOOKUP(B5222,T_DistName[],3,FALSE),"")</f>
        <v/>
      </c>
      <c r="J5222" t="str">
        <f t="shared" si="82"/>
        <v/>
      </c>
    </row>
    <row r="5223" spans="9:10">
      <c r="I5223" t="str">
        <f>_xlfn.IFNA(VLOOKUP(B5223,T_DistName[],3,FALSE),"")</f>
        <v/>
      </c>
      <c r="J5223" t="str">
        <f t="shared" si="82"/>
        <v/>
      </c>
    </row>
    <row r="5224" spans="9:10">
      <c r="I5224" t="str">
        <f>_xlfn.IFNA(VLOOKUP(B5224,T_DistName[],3,FALSE),"")</f>
        <v/>
      </c>
      <c r="J5224" t="str">
        <f t="shared" si="82"/>
        <v/>
      </c>
    </row>
    <row r="5225" spans="9:10">
      <c r="I5225" t="str">
        <f>_xlfn.IFNA(VLOOKUP(B5225,T_DistName[],3,FALSE),"")</f>
        <v/>
      </c>
      <c r="J5225" t="str">
        <f t="shared" si="82"/>
        <v/>
      </c>
    </row>
    <row r="5226" spans="9:10">
      <c r="I5226" t="str">
        <f>_xlfn.IFNA(VLOOKUP(B5226,T_DistName[],3,FALSE),"")</f>
        <v/>
      </c>
      <c r="J5226" t="str">
        <f t="shared" si="82"/>
        <v/>
      </c>
    </row>
    <row r="5227" spans="9:10">
      <c r="I5227" t="str">
        <f>_xlfn.IFNA(VLOOKUP(B5227,T_DistName[],3,FALSE),"")</f>
        <v/>
      </c>
      <c r="J5227" t="str">
        <f t="shared" si="82"/>
        <v/>
      </c>
    </row>
    <row r="5228" spans="9:10">
      <c r="I5228" t="str">
        <f>_xlfn.IFNA(VLOOKUP(B5228,T_DistName[],3,FALSE),"")</f>
        <v/>
      </c>
      <c r="J5228" t="str">
        <f t="shared" si="82"/>
        <v/>
      </c>
    </row>
    <row r="5229" spans="9:10">
      <c r="I5229" t="str">
        <f>_xlfn.IFNA(VLOOKUP(B5229,T_DistName[],3,FALSE),"")</f>
        <v/>
      </c>
      <c r="J5229" t="str">
        <f t="shared" si="82"/>
        <v/>
      </c>
    </row>
    <row r="5230" spans="9:10">
      <c r="I5230" t="str">
        <f>_xlfn.IFNA(VLOOKUP(B5230,T_DistName[],3,FALSE),"")</f>
        <v/>
      </c>
      <c r="J5230" t="str">
        <f t="shared" si="82"/>
        <v/>
      </c>
    </row>
    <row r="5231" spans="9:10">
      <c r="I5231" t="str">
        <f>_xlfn.IFNA(VLOOKUP(B5231,T_DistName[],3,FALSE),"")</f>
        <v/>
      </c>
      <c r="J5231" t="str">
        <f t="shared" si="82"/>
        <v/>
      </c>
    </row>
    <row r="5232" spans="9:10">
      <c r="I5232" t="str">
        <f>_xlfn.IFNA(VLOOKUP(B5232,T_DistName[],3,FALSE),"")</f>
        <v/>
      </c>
      <c r="J5232" t="str">
        <f t="shared" si="82"/>
        <v/>
      </c>
    </row>
    <row r="5233" spans="9:10">
      <c r="I5233" t="str">
        <f>_xlfn.IFNA(VLOOKUP(B5233,T_DistName[],3,FALSE),"")</f>
        <v/>
      </c>
      <c r="J5233" t="str">
        <f t="shared" si="82"/>
        <v/>
      </c>
    </row>
    <row r="5234" spans="9:10">
      <c r="I5234" t="str">
        <f>_xlfn.IFNA(VLOOKUP(B5234,T_DistName[],3,FALSE),"")</f>
        <v/>
      </c>
      <c r="J5234" t="str">
        <f t="shared" si="82"/>
        <v/>
      </c>
    </row>
    <row r="5235" spans="9:10">
      <c r="I5235" t="str">
        <f>_xlfn.IFNA(VLOOKUP(B5235,T_DistName[],3,FALSE),"")</f>
        <v/>
      </c>
      <c r="J5235" t="str">
        <f t="shared" si="82"/>
        <v/>
      </c>
    </row>
    <row r="5236" spans="9:10">
      <c r="I5236" t="str">
        <f>_xlfn.IFNA(VLOOKUP(B5236,T_DistName[],3,FALSE),"")</f>
        <v/>
      </c>
      <c r="J5236" t="str">
        <f t="shared" si="82"/>
        <v/>
      </c>
    </row>
    <row r="5237" spans="9:10">
      <c r="I5237" t="str">
        <f>_xlfn.IFNA(VLOOKUP(B5237,T_DistName[],3,FALSE),"")</f>
        <v/>
      </c>
      <c r="J5237" t="str">
        <f t="shared" si="82"/>
        <v/>
      </c>
    </row>
    <row r="5238" spans="9:10">
      <c r="I5238" t="str">
        <f>_xlfn.IFNA(VLOOKUP(B5238,T_DistName[],3,FALSE),"")</f>
        <v/>
      </c>
      <c r="J5238" t="str">
        <f t="shared" si="82"/>
        <v/>
      </c>
    </row>
    <row r="5239" spans="9:10">
      <c r="I5239" t="str">
        <f>_xlfn.IFNA(VLOOKUP(B5239,T_DistName[],3,FALSE),"")</f>
        <v/>
      </c>
      <c r="J5239" t="str">
        <f t="shared" si="82"/>
        <v/>
      </c>
    </row>
    <row r="5240" spans="9:10">
      <c r="I5240" t="str">
        <f>_xlfn.IFNA(VLOOKUP(B5240,T_DistName[],3,FALSE),"")</f>
        <v/>
      </c>
      <c r="J5240" t="str">
        <f t="shared" si="82"/>
        <v/>
      </c>
    </row>
    <row r="5241" spans="9:10">
      <c r="I5241" t="str">
        <f>_xlfn.IFNA(VLOOKUP(B5241,T_DistName[],3,FALSE),"")</f>
        <v/>
      </c>
      <c r="J5241" t="str">
        <f t="shared" si="82"/>
        <v/>
      </c>
    </row>
    <row r="5242" spans="9:10">
      <c r="I5242" t="str">
        <f>_xlfn.IFNA(VLOOKUP(B5242,T_DistName[],3,FALSE),"")</f>
        <v/>
      </c>
      <c r="J5242" t="str">
        <f t="shared" si="82"/>
        <v/>
      </c>
    </row>
    <row r="5243" spans="9:10">
      <c r="I5243" t="str">
        <f>_xlfn.IFNA(VLOOKUP(B5243,T_DistName[],3,FALSE),"")</f>
        <v/>
      </c>
      <c r="J5243" t="str">
        <f t="shared" si="82"/>
        <v/>
      </c>
    </row>
    <row r="5244" spans="9:10">
      <c r="I5244" t="str">
        <f>_xlfn.IFNA(VLOOKUP(B5244,T_DistName[],3,FALSE),"")</f>
        <v/>
      </c>
      <c r="J5244" t="str">
        <f t="shared" si="82"/>
        <v/>
      </c>
    </row>
    <row r="5245" spans="9:10">
      <c r="I5245" t="str">
        <f>_xlfn.IFNA(VLOOKUP(B5245,T_DistName[],3,FALSE),"")</f>
        <v/>
      </c>
      <c r="J5245" t="str">
        <f t="shared" si="82"/>
        <v/>
      </c>
    </row>
    <row r="5246" spans="9:10">
      <c r="I5246" t="str">
        <f>_xlfn.IFNA(VLOOKUP(B5246,T_DistName[],3,FALSE),"")</f>
        <v/>
      </c>
      <c r="J5246" t="str">
        <f t="shared" si="82"/>
        <v/>
      </c>
    </row>
    <row r="5247" spans="9:10">
      <c r="I5247" t="str">
        <f>_xlfn.IFNA(VLOOKUP(B5247,T_DistName[],3,FALSE),"")</f>
        <v/>
      </c>
      <c r="J5247" t="str">
        <f t="shared" si="82"/>
        <v/>
      </c>
    </row>
    <row r="5248" spans="9:10">
      <c r="I5248" t="str">
        <f>_xlfn.IFNA(VLOOKUP(B5248,T_DistName[],3,FALSE),"")</f>
        <v/>
      </c>
      <c r="J5248" t="str">
        <f t="shared" si="82"/>
        <v/>
      </c>
    </row>
    <row r="5249" spans="9:10">
      <c r="I5249" t="str">
        <f>_xlfn.IFNA(VLOOKUP(B5249,T_DistName[],3,FALSE),"")</f>
        <v/>
      </c>
      <c r="J5249" t="str">
        <f t="shared" si="82"/>
        <v/>
      </c>
    </row>
    <row r="5250" spans="9:10">
      <c r="I5250" t="str">
        <f>_xlfn.IFNA(VLOOKUP(B5250,T_DistName[],3,FALSE),"")</f>
        <v/>
      </c>
      <c r="J5250" t="str">
        <f t="shared" si="82"/>
        <v/>
      </c>
    </row>
    <row r="5251" spans="9:10">
      <c r="I5251" t="str">
        <f>_xlfn.IFNA(VLOOKUP(B5251,T_DistName[],3,FALSE),"")</f>
        <v/>
      </c>
      <c r="J5251" t="str">
        <f t="shared" si="82"/>
        <v/>
      </c>
    </row>
    <row r="5252" spans="9:10">
      <c r="I5252" t="str">
        <f>_xlfn.IFNA(VLOOKUP(B5252,T_DistName[],3,FALSE),"")</f>
        <v/>
      </c>
      <c r="J5252" t="str">
        <f t="shared" si="82"/>
        <v/>
      </c>
    </row>
    <row r="5253" spans="9:10">
      <c r="I5253" t="str">
        <f>_xlfn.IFNA(VLOOKUP(B5253,T_DistName[],3,FALSE),"")</f>
        <v/>
      </c>
      <c r="J5253" t="str">
        <f t="shared" si="82"/>
        <v/>
      </c>
    </row>
    <row r="5254" spans="9:10">
      <c r="I5254" t="str">
        <f>_xlfn.IFNA(VLOOKUP(B5254,T_DistName[],3,FALSE),"")</f>
        <v/>
      </c>
      <c r="J5254" t="str">
        <f t="shared" si="82"/>
        <v/>
      </c>
    </row>
    <row r="5255" spans="9:10">
      <c r="I5255" t="str">
        <f>_xlfn.IFNA(VLOOKUP(B5255,T_DistName[],3,FALSE),"")</f>
        <v/>
      </c>
      <c r="J5255" t="str">
        <f t="shared" si="82"/>
        <v/>
      </c>
    </row>
    <row r="5256" spans="9:10">
      <c r="I5256" t="str">
        <f>_xlfn.IFNA(VLOOKUP(B5256,T_DistName[],3,FALSE),"")</f>
        <v/>
      </c>
      <c r="J5256" t="str">
        <f t="shared" si="82"/>
        <v/>
      </c>
    </row>
    <row r="5257" spans="9:10">
      <c r="I5257" t="str">
        <f>_xlfn.IFNA(VLOOKUP(B5257,T_DistName[],3,FALSE),"")</f>
        <v/>
      </c>
      <c r="J5257" t="str">
        <f t="shared" si="82"/>
        <v/>
      </c>
    </row>
    <row r="5258" spans="9:10">
      <c r="I5258" t="str">
        <f>_xlfn.IFNA(VLOOKUP(B5258,T_DistName[],3,FALSE),"")</f>
        <v/>
      </c>
      <c r="J5258" t="str">
        <f t="shared" si="82"/>
        <v/>
      </c>
    </row>
    <row r="5259" spans="9:10">
      <c r="I5259" t="str">
        <f>_xlfn.IFNA(VLOOKUP(B5259,T_DistName[],3,FALSE),"")</f>
        <v/>
      </c>
      <c r="J5259" t="str">
        <f t="shared" si="82"/>
        <v/>
      </c>
    </row>
    <row r="5260" spans="9:10">
      <c r="I5260" t="str">
        <f>_xlfn.IFNA(VLOOKUP(B5260,T_DistName[],3,FALSE),"")</f>
        <v/>
      </c>
      <c r="J5260" t="str">
        <f t="shared" si="82"/>
        <v/>
      </c>
    </row>
    <row r="5261" spans="9:10">
      <c r="I5261" t="str">
        <f>_xlfn.IFNA(VLOOKUP(B5261,T_DistName[],3,FALSE),"")</f>
        <v/>
      </c>
      <c r="J5261" t="str">
        <f t="shared" si="82"/>
        <v/>
      </c>
    </row>
    <row r="5262" spans="9:10">
      <c r="I5262" t="str">
        <f>_xlfn.IFNA(VLOOKUP(B5262,T_DistName[],3,FALSE),"")</f>
        <v/>
      </c>
      <c r="J5262" t="str">
        <f t="shared" si="82"/>
        <v/>
      </c>
    </row>
    <row r="5263" spans="9:10">
      <c r="I5263" t="str">
        <f>_xlfn.IFNA(VLOOKUP(B5263,T_DistName[],3,FALSE),"")</f>
        <v/>
      </c>
      <c r="J5263" t="str">
        <f t="shared" si="82"/>
        <v/>
      </c>
    </row>
    <row r="5264" spans="9:10">
      <c r="I5264" t="str">
        <f>_xlfn.IFNA(VLOOKUP(B5264,T_DistName[],3,FALSE),"")</f>
        <v/>
      </c>
      <c r="J5264" t="str">
        <f t="shared" si="82"/>
        <v/>
      </c>
    </row>
    <row r="5265" spans="9:10">
      <c r="I5265" t="str">
        <f>_xlfn.IFNA(VLOOKUP(B5265,T_DistName[],3,FALSE),"")</f>
        <v/>
      </c>
      <c r="J5265" t="str">
        <f t="shared" si="82"/>
        <v/>
      </c>
    </row>
    <row r="5266" spans="9:10">
      <c r="I5266" t="str">
        <f>_xlfn.IFNA(VLOOKUP(B5266,T_DistName[],3,FALSE),"")</f>
        <v/>
      </c>
      <c r="J5266" t="str">
        <f t="shared" si="82"/>
        <v/>
      </c>
    </row>
    <row r="5267" spans="9:10">
      <c r="I5267" t="str">
        <f>_xlfn.IFNA(VLOOKUP(B5267,T_DistName[],3,FALSE),"")</f>
        <v/>
      </c>
      <c r="J5267" t="str">
        <f t="shared" si="82"/>
        <v/>
      </c>
    </row>
    <row r="5268" spans="9:10">
      <c r="I5268" t="str">
        <f>_xlfn.IFNA(VLOOKUP(B5268,T_DistName[],3,FALSE),"")</f>
        <v/>
      </c>
      <c r="J5268" t="str">
        <f t="shared" si="82"/>
        <v/>
      </c>
    </row>
    <row r="5269" spans="9:10">
      <c r="I5269" t="str">
        <f>_xlfn.IFNA(VLOOKUP(B5269,T_DistName[],3,FALSE),"")</f>
        <v/>
      </c>
      <c r="J5269" t="str">
        <f t="shared" si="82"/>
        <v/>
      </c>
    </row>
    <row r="5270" spans="9:10">
      <c r="I5270" t="str">
        <f>_xlfn.IFNA(VLOOKUP(B5270,T_DistName[],3,FALSE),"")</f>
        <v/>
      </c>
      <c r="J5270" t="str">
        <f t="shared" si="82"/>
        <v/>
      </c>
    </row>
    <row r="5271" spans="9:10">
      <c r="I5271" t="str">
        <f>_xlfn.IFNA(VLOOKUP(B5271,T_DistName[],3,FALSE),"")</f>
        <v/>
      </c>
      <c r="J5271" t="str">
        <f t="shared" si="82"/>
        <v/>
      </c>
    </row>
    <row r="5272" spans="9:10">
      <c r="I5272" t="str">
        <f>_xlfn.IFNA(VLOOKUP(B5272,T_DistName[],3,FALSE),"")</f>
        <v/>
      </c>
      <c r="J5272" t="str">
        <f t="shared" si="82"/>
        <v/>
      </c>
    </row>
    <row r="5273" spans="9:10">
      <c r="I5273" t="str">
        <f>_xlfn.IFNA(VLOOKUP(B5273,T_DistName[],3,FALSE),"")</f>
        <v/>
      </c>
      <c r="J5273" t="str">
        <f t="shared" ref="J5273:J5336" si="83">I5273&amp;F5273</f>
        <v/>
      </c>
    </row>
    <row r="5274" spans="9:10">
      <c r="I5274" t="str">
        <f>_xlfn.IFNA(VLOOKUP(B5274,T_DistName[],3,FALSE),"")</f>
        <v/>
      </c>
      <c r="J5274" t="str">
        <f t="shared" si="83"/>
        <v/>
      </c>
    </row>
    <row r="5275" spans="9:10">
      <c r="I5275" t="str">
        <f>_xlfn.IFNA(VLOOKUP(B5275,T_DistName[],3,FALSE),"")</f>
        <v/>
      </c>
      <c r="J5275" t="str">
        <f t="shared" si="83"/>
        <v/>
      </c>
    </row>
    <row r="5276" spans="9:10">
      <c r="I5276" t="str">
        <f>_xlfn.IFNA(VLOOKUP(B5276,T_DistName[],3,FALSE),"")</f>
        <v/>
      </c>
      <c r="J5276" t="str">
        <f t="shared" si="83"/>
        <v/>
      </c>
    </row>
    <row r="5277" spans="9:10">
      <c r="I5277" t="str">
        <f>_xlfn.IFNA(VLOOKUP(B5277,T_DistName[],3,FALSE),"")</f>
        <v/>
      </c>
      <c r="J5277" t="str">
        <f t="shared" si="83"/>
        <v/>
      </c>
    </row>
    <row r="5278" spans="9:10">
      <c r="I5278" t="str">
        <f>_xlfn.IFNA(VLOOKUP(B5278,T_DistName[],3,FALSE),"")</f>
        <v/>
      </c>
      <c r="J5278" t="str">
        <f t="shared" si="83"/>
        <v/>
      </c>
    </row>
    <row r="5279" spans="9:10">
      <c r="I5279" t="str">
        <f>_xlfn.IFNA(VLOOKUP(B5279,T_DistName[],3,FALSE),"")</f>
        <v/>
      </c>
      <c r="J5279" t="str">
        <f t="shared" si="83"/>
        <v/>
      </c>
    </row>
    <row r="5280" spans="9:10">
      <c r="I5280" t="str">
        <f>_xlfn.IFNA(VLOOKUP(B5280,T_DistName[],3,FALSE),"")</f>
        <v/>
      </c>
      <c r="J5280" t="str">
        <f t="shared" si="83"/>
        <v/>
      </c>
    </row>
    <row r="5281" spans="9:10">
      <c r="I5281" t="str">
        <f>_xlfn.IFNA(VLOOKUP(B5281,T_DistName[],3,FALSE),"")</f>
        <v/>
      </c>
      <c r="J5281" t="str">
        <f t="shared" si="83"/>
        <v/>
      </c>
    </row>
    <row r="5282" spans="9:10">
      <c r="I5282" t="str">
        <f>_xlfn.IFNA(VLOOKUP(B5282,T_DistName[],3,FALSE),"")</f>
        <v/>
      </c>
      <c r="J5282" t="str">
        <f t="shared" si="83"/>
        <v/>
      </c>
    </row>
    <row r="5283" spans="9:10">
      <c r="I5283" t="str">
        <f>_xlfn.IFNA(VLOOKUP(B5283,T_DistName[],3,FALSE),"")</f>
        <v/>
      </c>
      <c r="J5283" t="str">
        <f t="shared" si="83"/>
        <v/>
      </c>
    </row>
    <row r="5284" spans="9:10">
      <c r="I5284" t="str">
        <f>_xlfn.IFNA(VLOOKUP(B5284,T_DistName[],3,FALSE),"")</f>
        <v/>
      </c>
      <c r="J5284" t="str">
        <f t="shared" si="83"/>
        <v/>
      </c>
    </row>
    <row r="5285" spans="9:10">
      <c r="I5285" t="str">
        <f>_xlfn.IFNA(VLOOKUP(B5285,T_DistName[],3,FALSE),"")</f>
        <v/>
      </c>
      <c r="J5285" t="str">
        <f t="shared" si="83"/>
        <v/>
      </c>
    </row>
    <row r="5286" spans="9:10">
      <c r="I5286" t="str">
        <f>_xlfn.IFNA(VLOOKUP(B5286,T_DistName[],3,FALSE),"")</f>
        <v/>
      </c>
      <c r="J5286" t="str">
        <f t="shared" si="83"/>
        <v/>
      </c>
    </row>
    <row r="5287" spans="9:10">
      <c r="I5287" t="str">
        <f>_xlfn.IFNA(VLOOKUP(B5287,T_DistName[],3,FALSE),"")</f>
        <v/>
      </c>
      <c r="J5287" t="str">
        <f t="shared" si="83"/>
        <v/>
      </c>
    </row>
    <row r="5288" spans="9:10">
      <c r="I5288" t="str">
        <f>_xlfn.IFNA(VLOOKUP(B5288,T_DistName[],3,FALSE),"")</f>
        <v/>
      </c>
      <c r="J5288" t="str">
        <f t="shared" si="83"/>
        <v/>
      </c>
    </row>
    <row r="5289" spans="9:10">
      <c r="I5289" t="str">
        <f>_xlfn.IFNA(VLOOKUP(B5289,T_DistName[],3,FALSE),"")</f>
        <v/>
      </c>
      <c r="J5289" t="str">
        <f t="shared" si="83"/>
        <v/>
      </c>
    </row>
    <row r="5290" spans="9:10">
      <c r="I5290" t="str">
        <f>_xlfn.IFNA(VLOOKUP(B5290,T_DistName[],3,FALSE),"")</f>
        <v/>
      </c>
      <c r="J5290" t="str">
        <f t="shared" si="83"/>
        <v/>
      </c>
    </row>
    <row r="5291" spans="9:10">
      <c r="I5291" t="str">
        <f>_xlfn.IFNA(VLOOKUP(B5291,T_DistName[],3,FALSE),"")</f>
        <v/>
      </c>
      <c r="J5291" t="str">
        <f t="shared" si="83"/>
        <v/>
      </c>
    </row>
    <row r="5292" spans="9:10">
      <c r="I5292" t="str">
        <f>_xlfn.IFNA(VLOOKUP(B5292,T_DistName[],3,FALSE),"")</f>
        <v/>
      </c>
      <c r="J5292" t="str">
        <f t="shared" si="83"/>
        <v/>
      </c>
    </row>
    <row r="5293" spans="9:10">
      <c r="I5293" t="str">
        <f>_xlfn.IFNA(VLOOKUP(B5293,T_DistName[],3,FALSE),"")</f>
        <v/>
      </c>
      <c r="J5293" t="str">
        <f t="shared" si="83"/>
        <v/>
      </c>
    </row>
    <row r="5294" spans="9:10">
      <c r="I5294" t="str">
        <f>_xlfn.IFNA(VLOOKUP(B5294,T_DistName[],3,FALSE),"")</f>
        <v/>
      </c>
      <c r="J5294" t="str">
        <f t="shared" si="83"/>
        <v/>
      </c>
    </row>
    <row r="5295" spans="9:10">
      <c r="I5295" t="str">
        <f>_xlfn.IFNA(VLOOKUP(B5295,T_DistName[],3,FALSE),"")</f>
        <v/>
      </c>
      <c r="J5295" t="str">
        <f t="shared" si="83"/>
        <v/>
      </c>
    </row>
    <row r="5296" spans="9:10">
      <c r="I5296" t="str">
        <f>_xlfn.IFNA(VLOOKUP(B5296,T_DistName[],3,FALSE),"")</f>
        <v/>
      </c>
      <c r="J5296" t="str">
        <f t="shared" si="83"/>
        <v/>
      </c>
    </row>
    <row r="5297" spans="9:10">
      <c r="I5297" t="str">
        <f>_xlfn.IFNA(VLOOKUP(B5297,T_DistName[],3,FALSE),"")</f>
        <v/>
      </c>
      <c r="J5297" t="str">
        <f t="shared" si="83"/>
        <v/>
      </c>
    </row>
    <row r="5298" spans="9:10">
      <c r="I5298" t="str">
        <f>_xlfn.IFNA(VLOOKUP(B5298,T_DistName[],3,FALSE),"")</f>
        <v/>
      </c>
      <c r="J5298" t="str">
        <f t="shared" si="83"/>
        <v/>
      </c>
    </row>
    <row r="5299" spans="9:10">
      <c r="I5299" t="str">
        <f>_xlfn.IFNA(VLOOKUP(B5299,T_DistName[],3,FALSE),"")</f>
        <v/>
      </c>
      <c r="J5299" t="str">
        <f t="shared" si="83"/>
        <v/>
      </c>
    </row>
    <row r="5300" spans="9:10">
      <c r="I5300" t="str">
        <f>_xlfn.IFNA(VLOOKUP(B5300,T_DistName[],3,FALSE),"")</f>
        <v/>
      </c>
      <c r="J5300" t="str">
        <f t="shared" si="83"/>
        <v/>
      </c>
    </row>
    <row r="5301" spans="9:10">
      <c r="I5301" t="str">
        <f>_xlfn.IFNA(VLOOKUP(B5301,T_DistName[],3,FALSE),"")</f>
        <v/>
      </c>
      <c r="J5301" t="str">
        <f t="shared" si="83"/>
        <v/>
      </c>
    </row>
    <row r="5302" spans="9:10">
      <c r="I5302" t="str">
        <f>_xlfn.IFNA(VLOOKUP(B5302,T_DistName[],3,FALSE),"")</f>
        <v/>
      </c>
      <c r="J5302" t="str">
        <f t="shared" si="83"/>
        <v/>
      </c>
    </row>
    <row r="5303" spans="9:10">
      <c r="I5303" t="str">
        <f>_xlfn.IFNA(VLOOKUP(B5303,T_DistName[],3,FALSE),"")</f>
        <v/>
      </c>
      <c r="J5303" t="str">
        <f t="shared" si="83"/>
        <v/>
      </c>
    </row>
    <row r="5304" spans="9:10">
      <c r="I5304" t="str">
        <f>_xlfn.IFNA(VLOOKUP(B5304,T_DistName[],3,FALSE),"")</f>
        <v/>
      </c>
      <c r="J5304" t="str">
        <f t="shared" si="83"/>
        <v/>
      </c>
    </row>
    <row r="5305" spans="9:10">
      <c r="I5305" t="str">
        <f>_xlfn.IFNA(VLOOKUP(B5305,T_DistName[],3,FALSE),"")</f>
        <v/>
      </c>
      <c r="J5305" t="str">
        <f t="shared" si="83"/>
        <v/>
      </c>
    </row>
    <row r="5306" spans="9:10">
      <c r="I5306" t="str">
        <f>_xlfn.IFNA(VLOOKUP(B5306,T_DistName[],3,FALSE),"")</f>
        <v/>
      </c>
      <c r="J5306" t="str">
        <f t="shared" si="83"/>
        <v/>
      </c>
    </row>
    <row r="5307" spans="9:10">
      <c r="I5307" t="str">
        <f>_xlfn.IFNA(VLOOKUP(B5307,T_DistName[],3,FALSE),"")</f>
        <v/>
      </c>
      <c r="J5307" t="str">
        <f t="shared" si="83"/>
        <v/>
      </c>
    </row>
    <row r="5308" spans="9:10">
      <c r="I5308" t="str">
        <f>_xlfn.IFNA(VLOOKUP(B5308,T_DistName[],3,FALSE),"")</f>
        <v/>
      </c>
      <c r="J5308" t="str">
        <f t="shared" si="83"/>
        <v/>
      </c>
    </row>
    <row r="5309" spans="9:10">
      <c r="I5309" t="str">
        <f>_xlfn.IFNA(VLOOKUP(B5309,T_DistName[],3,FALSE),"")</f>
        <v/>
      </c>
      <c r="J5309" t="str">
        <f t="shared" si="83"/>
        <v/>
      </c>
    </row>
    <row r="5310" spans="9:10">
      <c r="I5310" t="str">
        <f>_xlfn.IFNA(VLOOKUP(B5310,T_DistName[],3,FALSE),"")</f>
        <v/>
      </c>
      <c r="J5310" t="str">
        <f t="shared" si="83"/>
        <v/>
      </c>
    </row>
    <row r="5311" spans="9:10">
      <c r="I5311" t="str">
        <f>_xlfn.IFNA(VLOOKUP(B5311,T_DistName[],3,FALSE),"")</f>
        <v/>
      </c>
      <c r="J5311" t="str">
        <f t="shared" si="83"/>
        <v/>
      </c>
    </row>
    <row r="5312" spans="9:10">
      <c r="I5312" t="str">
        <f>_xlfn.IFNA(VLOOKUP(B5312,T_DistName[],3,FALSE),"")</f>
        <v/>
      </c>
      <c r="J5312" t="str">
        <f t="shared" si="83"/>
        <v/>
      </c>
    </row>
    <row r="5313" spans="9:10">
      <c r="I5313" t="str">
        <f>_xlfn.IFNA(VLOOKUP(B5313,T_DistName[],3,FALSE),"")</f>
        <v/>
      </c>
      <c r="J5313" t="str">
        <f t="shared" si="83"/>
        <v/>
      </c>
    </row>
    <row r="5314" spans="9:10">
      <c r="I5314" t="str">
        <f>_xlfn.IFNA(VLOOKUP(B5314,T_DistName[],3,FALSE),"")</f>
        <v/>
      </c>
      <c r="J5314" t="str">
        <f t="shared" si="83"/>
        <v/>
      </c>
    </row>
    <row r="5315" spans="9:10">
      <c r="I5315" t="str">
        <f>_xlfn.IFNA(VLOOKUP(B5315,T_DistName[],3,FALSE),"")</f>
        <v/>
      </c>
      <c r="J5315" t="str">
        <f t="shared" si="83"/>
        <v/>
      </c>
    </row>
    <row r="5316" spans="9:10">
      <c r="I5316" t="str">
        <f>_xlfn.IFNA(VLOOKUP(B5316,T_DistName[],3,FALSE),"")</f>
        <v/>
      </c>
      <c r="J5316" t="str">
        <f t="shared" si="83"/>
        <v/>
      </c>
    </row>
    <row r="5317" spans="9:10">
      <c r="I5317" t="str">
        <f>_xlfn.IFNA(VLOOKUP(B5317,T_DistName[],3,FALSE),"")</f>
        <v/>
      </c>
      <c r="J5317" t="str">
        <f t="shared" si="83"/>
        <v/>
      </c>
    </row>
    <row r="5318" spans="9:10">
      <c r="I5318" t="str">
        <f>_xlfn.IFNA(VLOOKUP(B5318,T_DistName[],3,FALSE),"")</f>
        <v/>
      </c>
      <c r="J5318" t="str">
        <f t="shared" si="83"/>
        <v/>
      </c>
    </row>
    <row r="5319" spans="9:10">
      <c r="I5319" t="str">
        <f>_xlfn.IFNA(VLOOKUP(B5319,T_DistName[],3,FALSE),"")</f>
        <v/>
      </c>
      <c r="J5319" t="str">
        <f t="shared" si="83"/>
        <v/>
      </c>
    </row>
    <row r="5320" spans="9:10">
      <c r="I5320" t="str">
        <f>_xlfn.IFNA(VLOOKUP(B5320,T_DistName[],3,FALSE),"")</f>
        <v/>
      </c>
      <c r="J5320" t="str">
        <f t="shared" si="83"/>
        <v/>
      </c>
    </row>
    <row r="5321" spans="9:10">
      <c r="I5321" t="str">
        <f>_xlfn.IFNA(VLOOKUP(B5321,T_DistName[],3,FALSE),"")</f>
        <v/>
      </c>
      <c r="J5321" t="str">
        <f t="shared" si="83"/>
        <v/>
      </c>
    </row>
    <row r="5322" spans="9:10">
      <c r="I5322" t="str">
        <f>_xlfn.IFNA(VLOOKUP(B5322,T_DistName[],3,FALSE),"")</f>
        <v/>
      </c>
      <c r="J5322" t="str">
        <f t="shared" si="83"/>
        <v/>
      </c>
    </row>
    <row r="5323" spans="9:10">
      <c r="I5323" t="str">
        <f>_xlfn.IFNA(VLOOKUP(B5323,T_DistName[],3,FALSE),"")</f>
        <v/>
      </c>
      <c r="J5323" t="str">
        <f t="shared" si="83"/>
        <v/>
      </c>
    </row>
    <row r="5324" spans="9:10">
      <c r="I5324" t="str">
        <f>_xlfn.IFNA(VLOOKUP(B5324,T_DistName[],3,FALSE),"")</f>
        <v/>
      </c>
      <c r="J5324" t="str">
        <f t="shared" si="83"/>
        <v/>
      </c>
    </row>
    <row r="5325" spans="9:10">
      <c r="I5325" t="str">
        <f>_xlfn.IFNA(VLOOKUP(B5325,T_DistName[],3,FALSE),"")</f>
        <v/>
      </c>
      <c r="J5325" t="str">
        <f t="shared" si="83"/>
        <v/>
      </c>
    </row>
    <row r="5326" spans="9:10">
      <c r="I5326" t="str">
        <f>_xlfn.IFNA(VLOOKUP(B5326,T_DistName[],3,FALSE),"")</f>
        <v/>
      </c>
      <c r="J5326" t="str">
        <f t="shared" si="83"/>
        <v/>
      </c>
    </row>
    <row r="5327" spans="9:10">
      <c r="I5327" t="str">
        <f>_xlfn.IFNA(VLOOKUP(B5327,T_DistName[],3,FALSE),"")</f>
        <v/>
      </c>
      <c r="J5327" t="str">
        <f t="shared" si="83"/>
        <v/>
      </c>
    </row>
    <row r="5328" spans="9:10">
      <c r="I5328" t="str">
        <f>_xlfn.IFNA(VLOOKUP(B5328,T_DistName[],3,FALSE),"")</f>
        <v/>
      </c>
      <c r="J5328" t="str">
        <f t="shared" si="83"/>
        <v/>
      </c>
    </row>
    <row r="5329" spans="9:10">
      <c r="I5329" t="str">
        <f>_xlfn.IFNA(VLOOKUP(B5329,T_DistName[],3,FALSE),"")</f>
        <v/>
      </c>
      <c r="J5329" t="str">
        <f t="shared" si="83"/>
        <v/>
      </c>
    </row>
    <row r="5330" spans="9:10">
      <c r="I5330" t="str">
        <f>_xlfn.IFNA(VLOOKUP(B5330,T_DistName[],3,FALSE),"")</f>
        <v/>
      </c>
      <c r="J5330" t="str">
        <f t="shared" si="83"/>
        <v/>
      </c>
    </row>
    <row r="5331" spans="9:10">
      <c r="I5331" t="str">
        <f>_xlfn.IFNA(VLOOKUP(B5331,T_DistName[],3,FALSE),"")</f>
        <v/>
      </c>
      <c r="J5331" t="str">
        <f t="shared" si="83"/>
        <v/>
      </c>
    </row>
    <row r="5332" spans="9:10">
      <c r="I5332" t="str">
        <f>_xlfn.IFNA(VLOOKUP(B5332,T_DistName[],3,FALSE),"")</f>
        <v/>
      </c>
      <c r="J5332" t="str">
        <f t="shared" si="83"/>
        <v/>
      </c>
    </row>
    <row r="5333" spans="9:10">
      <c r="I5333" t="str">
        <f>_xlfn.IFNA(VLOOKUP(B5333,T_DistName[],3,FALSE),"")</f>
        <v/>
      </c>
      <c r="J5333" t="str">
        <f t="shared" si="83"/>
        <v/>
      </c>
    </row>
    <row r="5334" spans="9:10">
      <c r="I5334" t="str">
        <f>_xlfn.IFNA(VLOOKUP(B5334,T_DistName[],3,FALSE),"")</f>
        <v/>
      </c>
      <c r="J5334" t="str">
        <f t="shared" si="83"/>
        <v/>
      </c>
    </row>
    <row r="5335" spans="9:10">
      <c r="I5335" t="str">
        <f>_xlfn.IFNA(VLOOKUP(B5335,T_DistName[],3,FALSE),"")</f>
        <v/>
      </c>
      <c r="J5335" t="str">
        <f t="shared" si="83"/>
        <v/>
      </c>
    </row>
    <row r="5336" spans="9:10">
      <c r="I5336" t="str">
        <f>_xlfn.IFNA(VLOOKUP(B5336,T_DistName[],3,FALSE),"")</f>
        <v/>
      </c>
      <c r="J5336" t="str">
        <f t="shared" si="83"/>
        <v/>
      </c>
    </row>
    <row r="5337" spans="9:10">
      <c r="I5337" t="str">
        <f>_xlfn.IFNA(VLOOKUP(B5337,T_DistName[],3,FALSE),"")</f>
        <v/>
      </c>
      <c r="J5337" t="str">
        <f t="shared" ref="J5337:J5400" si="84">I5337&amp;F5337</f>
        <v/>
      </c>
    </row>
    <row r="5338" spans="9:10">
      <c r="I5338" t="str">
        <f>_xlfn.IFNA(VLOOKUP(B5338,T_DistName[],3,FALSE),"")</f>
        <v/>
      </c>
      <c r="J5338" t="str">
        <f t="shared" si="84"/>
        <v/>
      </c>
    </row>
    <row r="5339" spans="9:10">
      <c r="I5339" t="str">
        <f>_xlfn.IFNA(VLOOKUP(B5339,T_DistName[],3,FALSE),"")</f>
        <v/>
      </c>
      <c r="J5339" t="str">
        <f t="shared" si="84"/>
        <v/>
      </c>
    </row>
    <row r="5340" spans="9:10">
      <c r="I5340" t="str">
        <f>_xlfn.IFNA(VLOOKUP(B5340,T_DistName[],3,FALSE),"")</f>
        <v/>
      </c>
      <c r="J5340" t="str">
        <f t="shared" si="84"/>
        <v/>
      </c>
    </row>
    <row r="5341" spans="9:10">
      <c r="I5341" t="str">
        <f>_xlfn.IFNA(VLOOKUP(B5341,T_DistName[],3,FALSE),"")</f>
        <v/>
      </c>
      <c r="J5341" t="str">
        <f t="shared" si="84"/>
        <v/>
      </c>
    </row>
    <row r="5342" spans="9:10">
      <c r="I5342" t="str">
        <f>_xlfn.IFNA(VLOOKUP(B5342,T_DistName[],3,FALSE),"")</f>
        <v/>
      </c>
      <c r="J5342" t="str">
        <f t="shared" si="84"/>
        <v/>
      </c>
    </row>
    <row r="5343" spans="9:10">
      <c r="I5343" t="str">
        <f>_xlfn.IFNA(VLOOKUP(B5343,T_DistName[],3,FALSE),"")</f>
        <v/>
      </c>
      <c r="J5343" t="str">
        <f t="shared" si="84"/>
        <v/>
      </c>
    </row>
    <row r="5344" spans="9:10">
      <c r="I5344" t="str">
        <f>_xlfn.IFNA(VLOOKUP(B5344,T_DistName[],3,FALSE),"")</f>
        <v/>
      </c>
      <c r="J5344" t="str">
        <f t="shared" si="84"/>
        <v/>
      </c>
    </row>
    <row r="5345" spans="9:10">
      <c r="I5345" t="str">
        <f>_xlfn.IFNA(VLOOKUP(B5345,T_DistName[],3,FALSE),"")</f>
        <v/>
      </c>
      <c r="J5345" t="str">
        <f t="shared" si="84"/>
        <v/>
      </c>
    </row>
    <row r="5346" spans="9:10">
      <c r="I5346" t="str">
        <f>_xlfn.IFNA(VLOOKUP(B5346,T_DistName[],3,FALSE),"")</f>
        <v/>
      </c>
      <c r="J5346" t="str">
        <f t="shared" si="84"/>
        <v/>
      </c>
    </row>
    <row r="5347" spans="9:10">
      <c r="I5347" t="str">
        <f>_xlfn.IFNA(VLOOKUP(B5347,T_DistName[],3,FALSE),"")</f>
        <v/>
      </c>
      <c r="J5347" t="str">
        <f t="shared" si="84"/>
        <v/>
      </c>
    </row>
    <row r="5348" spans="9:10">
      <c r="I5348" t="str">
        <f>_xlfn.IFNA(VLOOKUP(B5348,T_DistName[],3,FALSE),"")</f>
        <v/>
      </c>
      <c r="J5348" t="str">
        <f t="shared" si="84"/>
        <v/>
      </c>
    </row>
    <row r="5349" spans="9:10">
      <c r="I5349" t="str">
        <f>_xlfn.IFNA(VLOOKUP(B5349,T_DistName[],3,FALSE),"")</f>
        <v/>
      </c>
      <c r="J5349" t="str">
        <f t="shared" si="84"/>
        <v/>
      </c>
    </row>
    <row r="5350" spans="9:10">
      <c r="I5350" t="str">
        <f>_xlfn.IFNA(VLOOKUP(B5350,T_DistName[],3,FALSE),"")</f>
        <v/>
      </c>
      <c r="J5350" t="str">
        <f t="shared" si="84"/>
        <v/>
      </c>
    </row>
    <row r="5351" spans="9:10">
      <c r="I5351" t="str">
        <f>_xlfn.IFNA(VLOOKUP(B5351,T_DistName[],3,FALSE),"")</f>
        <v/>
      </c>
      <c r="J5351" t="str">
        <f t="shared" si="84"/>
        <v/>
      </c>
    </row>
    <row r="5352" spans="9:10">
      <c r="I5352" t="str">
        <f>_xlfn.IFNA(VLOOKUP(B5352,T_DistName[],3,FALSE),"")</f>
        <v/>
      </c>
      <c r="J5352" t="str">
        <f t="shared" si="84"/>
        <v/>
      </c>
    </row>
    <row r="5353" spans="9:10">
      <c r="I5353" t="str">
        <f>_xlfn.IFNA(VLOOKUP(B5353,T_DistName[],3,FALSE),"")</f>
        <v/>
      </c>
      <c r="J5353" t="str">
        <f t="shared" si="84"/>
        <v/>
      </c>
    </row>
    <row r="5354" spans="9:10">
      <c r="I5354" t="str">
        <f>_xlfn.IFNA(VLOOKUP(B5354,T_DistName[],3,FALSE),"")</f>
        <v/>
      </c>
      <c r="J5354" t="str">
        <f t="shared" si="84"/>
        <v/>
      </c>
    </row>
    <row r="5355" spans="9:10">
      <c r="I5355" t="str">
        <f>_xlfn.IFNA(VLOOKUP(B5355,T_DistName[],3,FALSE),"")</f>
        <v/>
      </c>
      <c r="J5355" t="str">
        <f t="shared" si="84"/>
        <v/>
      </c>
    </row>
    <row r="5356" spans="9:10">
      <c r="I5356" t="str">
        <f>_xlfn.IFNA(VLOOKUP(B5356,T_DistName[],3,FALSE),"")</f>
        <v/>
      </c>
      <c r="J5356" t="str">
        <f t="shared" si="84"/>
        <v/>
      </c>
    </row>
    <row r="5357" spans="9:10">
      <c r="I5357" t="str">
        <f>_xlfn.IFNA(VLOOKUP(B5357,T_DistName[],3,FALSE),"")</f>
        <v/>
      </c>
      <c r="J5357" t="str">
        <f t="shared" si="84"/>
        <v/>
      </c>
    </row>
    <row r="5358" spans="9:10">
      <c r="I5358" t="str">
        <f>_xlfn.IFNA(VLOOKUP(B5358,T_DistName[],3,FALSE),"")</f>
        <v/>
      </c>
      <c r="J5358" t="str">
        <f t="shared" si="84"/>
        <v/>
      </c>
    </row>
    <row r="5359" spans="9:10">
      <c r="I5359" t="str">
        <f>_xlfn.IFNA(VLOOKUP(B5359,T_DistName[],3,FALSE),"")</f>
        <v/>
      </c>
      <c r="J5359" t="str">
        <f t="shared" si="84"/>
        <v/>
      </c>
    </row>
    <row r="5360" spans="9:10">
      <c r="I5360" t="str">
        <f>_xlfn.IFNA(VLOOKUP(B5360,T_DistName[],3,FALSE),"")</f>
        <v/>
      </c>
      <c r="J5360" t="str">
        <f t="shared" si="84"/>
        <v/>
      </c>
    </row>
    <row r="5361" spans="9:10">
      <c r="I5361" t="str">
        <f>_xlfn.IFNA(VLOOKUP(B5361,T_DistName[],3,FALSE),"")</f>
        <v/>
      </c>
      <c r="J5361" t="str">
        <f t="shared" si="84"/>
        <v/>
      </c>
    </row>
    <row r="5362" spans="9:10">
      <c r="I5362" t="str">
        <f>_xlfn.IFNA(VLOOKUP(B5362,T_DistName[],3,FALSE),"")</f>
        <v/>
      </c>
      <c r="J5362" t="str">
        <f t="shared" si="84"/>
        <v/>
      </c>
    </row>
    <row r="5363" spans="9:10">
      <c r="I5363" t="str">
        <f>_xlfn.IFNA(VLOOKUP(B5363,T_DistName[],3,FALSE),"")</f>
        <v/>
      </c>
      <c r="J5363" t="str">
        <f t="shared" si="84"/>
        <v/>
      </c>
    </row>
    <row r="5364" spans="9:10">
      <c r="I5364" t="str">
        <f>_xlfn.IFNA(VLOOKUP(B5364,T_DistName[],3,FALSE),"")</f>
        <v/>
      </c>
      <c r="J5364" t="str">
        <f t="shared" si="84"/>
        <v/>
      </c>
    </row>
    <row r="5365" spans="9:10">
      <c r="I5365" t="str">
        <f>_xlfn.IFNA(VLOOKUP(B5365,T_DistName[],3,FALSE),"")</f>
        <v/>
      </c>
      <c r="J5365" t="str">
        <f t="shared" si="84"/>
        <v/>
      </c>
    </row>
    <row r="5366" spans="9:10">
      <c r="I5366" t="str">
        <f>_xlfn.IFNA(VLOOKUP(B5366,T_DistName[],3,FALSE),"")</f>
        <v/>
      </c>
      <c r="J5366" t="str">
        <f t="shared" si="84"/>
        <v/>
      </c>
    </row>
    <row r="5367" spans="9:10">
      <c r="I5367" t="str">
        <f>_xlfn.IFNA(VLOOKUP(B5367,T_DistName[],3,FALSE),"")</f>
        <v/>
      </c>
      <c r="J5367" t="str">
        <f t="shared" si="84"/>
        <v/>
      </c>
    </row>
    <row r="5368" spans="9:10">
      <c r="I5368" t="str">
        <f>_xlfn.IFNA(VLOOKUP(B5368,T_DistName[],3,FALSE),"")</f>
        <v/>
      </c>
      <c r="J5368" t="str">
        <f t="shared" si="84"/>
        <v/>
      </c>
    </row>
    <row r="5369" spans="9:10">
      <c r="I5369" t="str">
        <f>_xlfn.IFNA(VLOOKUP(B5369,T_DistName[],3,FALSE),"")</f>
        <v/>
      </c>
      <c r="J5369" t="str">
        <f t="shared" si="84"/>
        <v/>
      </c>
    </row>
    <row r="5370" spans="9:10">
      <c r="I5370" t="str">
        <f>_xlfn.IFNA(VLOOKUP(B5370,T_DistName[],3,FALSE),"")</f>
        <v/>
      </c>
      <c r="J5370" t="str">
        <f t="shared" si="84"/>
        <v/>
      </c>
    </row>
    <row r="5371" spans="9:10">
      <c r="I5371" t="str">
        <f>_xlfn.IFNA(VLOOKUP(B5371,T_DistName[],3,FALSE),"")</f>
        <v/>
      </c>
      <c r="J5371" t="str">
        <f t="shared" si="84"/>
        <v/>
      </c>
    </row>
    <row r="5372" spans="9:10">
      <c r="I5372" t="str">
        <f>_xlfn.IFNA(VLOOKUP(B5372,T_DistName[],3,FALSE),"")</f>
        <v/>
      </c>
      <c r="J5372" t="str">
        <f t="shared" si="84"/>
        <v/>
      </c>
    </row>
    <row r="5373" spans="9:10">
      <c r="I5373" t="str">
        <f>_xlfn.IFNA(VLOOKUP(B5373,T_DistName[],3,FALSE),"")</f>
        <v/>
      </c>
      <c r="J5373" t="str">
        <f t="shared" si="84"/>
        <v/>
      </c>
    </row>
    <row r="5374" spans="9:10">
      <c r="I5374" t="str">
        <f>_xlfn.IFNA(VLOOKUP(B5374,T_DistName[],3,FALSE),"")</f>
        <v/>
      </c>
      <c r="J5374" t="str">
        <f t="shared" si="84"/>
        <v/>
      </c>
    </row>
    <row r="5375" spans="9:10">
      <c r="I5375" t="str">
        <f>_xlfn.IFNA(VLOOKUP(B5375,T_DistName[],3,FALSE),"")</f>
        <v/>
      </c>
      <c r="J5375" t="str">
        <f t="shared" si="84"/>
        <v/>
      </c>
    </row>
    <row r="5376" spans="9:10">
      <c r="I5376" t="str">
        <f>_xlfn.IFNA(VLOOKUP(B5376,T_DistName[],3,FALSE),"")</f>
        <v/>
      </c>
      <c r="J5376" t="str">
        <f t="shared" si="84"/>
        <v/>
      </c>
    </row>
    <row r="5377" spans="9:10">
      <c r="I5377" t="str">
        <f>_xlfn.IFNA(VLOOKUP(B5377,T_DistName[],3,FALSE),"")</f>
        <v/>
      </c>
      <c r="J5377" t="str">
        <f t="shared" si="84"/>
        <v/>
      </c>
    </row>
    <row r="5378" spans="9:10">
      <c r="I5378" t="str">
        <f>_xlfn.IFNA(VLOOKUP(B5378,T_DistName[],3,FALSE),"")</f>
        <v/>
      </c>
      <c r="J5378" t="str">
        <f t="shared" si="84"/>
        <v/>
      </c>
    </row>
    <row r="5379" spans="9:10">
      <c r="I5379" t="str">
        <f>_xlfn.IFNA(VLOOKUP(B5379,T_DistName[],3,FALSE),"")</f>
        <v/>
      </c>
      <c r="J5379" t="str">
        <f t="shared" si="84"/>
        <v/>
      </c>
    </row>
    <row r="5380" spans="9:10">
      <c r="I5380" t="str">
        <f>_xlfn.IFNA(VLOOKUP(B5380,T_DistName[],3,FALSE),"")</f>
        <v/>
      </c>
      <c r="J5380" t="str">
        <f t="shared" si="84"/>
        <v/>
      </c>
    </row>
    <row r="5381" spans="9:10">
      <c r="I5381" t="str">
        <f>_xlfn.IFNA(VLOOKUP(B5381,T_DistName[],3,FALSE),"")</f>
        <v/>
      </c>
      <c r="J5381" t="str">
        <f t="shared" si="84"/>
        <v/>
      </c>
    </row>
    <row r="5382" spans="9:10">
      <c r="I5382" t="str">
        <f>_xlfn.IFNA(VLOOKUP(B5382,T_DistName[],3,FALSE),"")</f>
        <v/>
      </c>
      <c r="J5382" t="str">
        <f t="shared" si="84"/>
        <v/>
      </c>
    </row>
    <row r="5383" spans="9:10">
      <c r="I5383" t="str">
        <f>_xlfn.IFNA(VLOOKUP(B5383,T_DistName[],3,FALSE),"")</f>
        <v/>
      </c>
      <c r="J5383" t="str">
        <f t="shared" si="84"/>
        <v/>
      </c>
    </row>
    <row r="5384" spans="9:10">
      <c r="I5384" t="str">
        <f>_xlfn.IFNA(VLOOKUP(B5384,T_DistName[],3,FALSE),"")</f>
        <v/>
      </c>
      <c r="J5384" t="str">
        <f t="shared" si="84"/>
        <v/>
      </c>
    </row>
    <row r="5385" spans="9:10">
      <c r="I5385" t="str">
        <f>_xlfn.IFNA(VLOOKUP(B5385,T_DistName[],3,FALSE),"")</f>
        <v/>
      </c>
      <c r="J5385" t="str">
        <f t="shared" si="84"/>
        <v/>
      </c>
    </row>
    <row r="5386" spans="9:10">
      <c r="I5386" t="str">
        <f>_xlfn.IFNA(VLOOKUP(B5386,T_DistName[],3,FALSE),"")</f>
        <v/>
      </c>
      <c r="J5386" t="str">
        <f t="shared" si="84"/>
        <v/>
      </c>
    </row>
    <row r="5387" spans="9:10">
      <c r="I5387" t="str">
        <f>_xlfn.IFNA(VLOOKUP(B5387,T_DistName[],3,FALSE),"")</f>
        <v/>
      </c>
      <c r="J5387" t="str">
        <f t="shared" si="84"/>
        <v/>
      </c>
    </row>
    <row r="5388" spans="9:10">
      <c r="I5388" t="str">
        <f>_xlfn.IFNA(VLOOKUP(B5388,T_DistName[],3,FALSE),"")</f>
        <v/>
      </c>
      <c r="J5388" t="str">
        <f t="shared" si="84"/>
        <v/>
      </c>
    </row>
    <row r="5389" spans="9:10">
      <c r="I5389" t="str">
        <f>_xlfn.IFNA(VLOOKUP(B5389,T_DistName[],3,FALSE),"")</f>
        <v/>
      </c>
      <c r="J5389" t="str">
        <f t="shared" si="84"/>
        <v/>
      </c>
    </row>
    <row r="5390" spans="9:10">
      <c r="I5390" t="str">
        <f>_xlfn.IFNA(VLOOKUP(B5390,T_DistName[],3,FALSE),"")</f>
        <v/>
      </c>
      <c r="J5390" t="str">
        <f t="shared" si="84"/>
        <v/>
      </c>
    </row>
    <row r="5391" spans="9:10">
      <c r="I5391" t="str">
        <f>_xlfn.IFNA(VLOOKUP(B5391,T_DistName[],3,FALSE),"")</f>
        <v/>
      </c>
      <c r="J5391" t="str">
        <f t="shared" si="84"/>
        <v/>
      </c>
    </row>
    <row r="5392" spans="9:10">
      <c r="I5392" t="str">
        <f>_xlfn.IFNA(VLOOKUP(B5392,T_DistName[],3,FALSE),"")</f>
        <v/>
      </c>
      <c r="J5392" t="str">
        <f t="shared" si="84"/>
        <v/>
      </c>
    </row>
    <row r="5393" spans="9:10">
      <c r="I5393" t="str">
        <f>_xlfn.IFNA(VLOOKUP(B5393,T_DistName[],3,FALSE),"")</f>
        <v/>
      </c>
      <c r="J5393" t="str">
        <f t="shared" si="84"/>
        <v/>
      </c>
    </row>
    <row r="5394" spans="9:10">
      <c r="I5394" t="str">
        <f>_xlfn.IFNA(VLOOKUP(B5394,T_DistName[],3,FALSE),"")</f>
        <v/>
      </c>
      <c r="J5394" t="str">
        <f t="shared" si="84"/>
        <v/>
      </c>
    </row>
    <row r="5395" spans="9:10">
      <c r="I5395" t="str">
        <f>_xlfn.IFNA(VLOOKUP(B5395,T_DistName[],3,FALSE),"")</f>
        <v/>
      </c>
      <c r="J5395" t="str">
        <f t="shared" si="84"/>
        <v/>
      </c>
    </row>
    <row r="5396" spans="9:10">
      <c r="I5396" t="str">
        <f>_xlfn.IFNA(VLOOKUP(B5396,T_DistName[],3,FALSE),"")</f>
        <v/>
      </c>
      <c r="J5396" t="str">
        <f t="shared" si="84"/>
        <v/>
      </c>
    </row>
    <row r="5397" spans="9:10">
      <c r="I5397" t="str">
        <f>_xlfn.IFNA(VLOOKUP(B5397,T_DistName[],3,FALSE),"")</f>
        <v/>
      </c>
      <c r="J5397" t="str">
        <f t="shared" si="84"/>
        <v/>
      </c>
    </row>
    <row r="5398" spans="9:10">
      <c r="I5398" t="str">
        <f>_xlfn.IFNA(VLOOKUP(B5398,T_DistName[],3,FALSE),"")</f>
        <v/>
      </c>
      <c r="J5398" t="str">
        <f t="shared" si="84"/>
        <v/>
      </c>
    </row>
    <row r="5399" spans="9:10">
      <c r="I5399" t="str">
        <f>_xlfn.IFNA(VLOOKUP(B5399,T_DistName[],3,FALSE),"")</f>
        <v/>
      </c>
      <c r="J5399" t="str">
        <f t="shared" si="84"/>
        <v/>
      </c>
    </row>
    <row r="5400" spans="9:10">
      <c r="I5400" t="str">
        <f>_xlfn.IFNA(VLOOKUP(B5400,T_DistName[],3,FALSE),"")</f>
        <v/>
      </c>
      <c r="J5400" t="str">
        <f t="shared" si="84"/>
        <v/>
      </c>
    </row>
    <row r="5401" spans="9:10">
      <c r="I5401" t="str">
        <f>_xlfn.IFNA(VLOOKUP(B5401,T_DistName[],3,FALSE),"")</f>
        <v/>
      </c>
      <c r="J5401" t="str">
        <f t="shared" ref="J5401:J5464" si="85">I5401&amp;F5401</f>
        <v/>
      </c>
    </row>
    <row r="5402" spans="9:10">
      <c r="I5402" t="str">
        <f>_xlfn.IFNA(VLOOKUP(B5402,T_DistName[],3,FALSE),"")</f>
        <v/>
      </c>
      <c r="J5402" t="str">
        <f t="shared" si="85"/>
        <v/>
      </c>
    </row>
    <row r="5403" spans="9:10">
      <c r="I5403" t="str">
        <f>_xlfn.IFNA(VLOOKUP(B5403,T_DistName[],3,FALSE),"")</f>
        <v/>
      </c>
      <c r="J5403" t="str">
        <f t="shared" si="85"/>
        <v/>
      </c>
    </row>
    <row r="5404" spans="9:10">
      <c r="I5404" t="str">
        <f>_xlfn.IFNA(VLOOKUP(B5404,T_DistName[],3,FALSE),"")</f>
        <v/>
      </c>
      <c r="J5404" t="str">
        <f t="shared" si="85"/>
        <v/>
      </c>
    </row>
    <row r="5405" spans="9:10">
      <c r="I5405" t="str">
        <f>_xlfn.IFNA(VLOOKUP(B5405,T_DistName[],3,FALSE),"")</f>
        <v/>
      </c>
      <c r="J5405" t="str">
        <f t="shared" si="85"/>
        <v/>
      </c>
    </row>
    <row r="5406" spans="9:10">
      <c r="I5406" t="str">
        <f>_xlfn.IFNA(VLOOKUP(B5406,T_DistName[],3,FALSE),"")</f>
        <v/>
      </c>
      <c r="J5406" t="str">
        <f t="shared" si="85"/>
        <v/>
      </c>
    </row>
    <row r="5407" spans="9:10">
      <c r="I5407" t="str">
        <f>_xlfn.IFNA(VLOOKUP(B5407,T_DistName[],3,FALSE),"")</f>
        <v/>
      </c>
      <c r="J5407" t="str">
        <f t="shared" si="85"/>
        <v/>
      </c>
    </row>
    <row r="5408" spans="9:10">
      <c r="I5408" t="str">
        <f>_xlfn.IFNA(VLOOKUP(B5408,T_DistName[],3,FALSE),"")</f>
        <v/>
      </c>
      <c r="J5408" t="str">
        <f t="shared" si="85"/>
        <v/>
      </c>
    </row>
    <row r="5409" spans="9:10">
      <c r="I5409" t="str">
        <f>_xlfn.IFNA(VLOOKUP(B5409,T_DistName[],3,FALSE),"")</f>
        <v/>
      </c>
      <c r="J5409" t="str">
        <f t="shared" si="85"/>
        <v/>
      </c>
    </row>
    <row r="5410" spans="9:10">
      <c r="I5410" t="str">
        <f>_xlfn.IFNA(VLOOKUP(B5410,T_DistName[],3,FALSE),"")</f>
        <v/>
      </c>
      <c r="J5410" t="str">
        <f t="shared" si="85"/>
        <v/>
      </c>
    </row>
    <row r="5411" spans="9:10">
      <c r="I5411" t="str">
        <f>_xlfn.IFNA(VLOOKUP(B5411,T_DistName[],3,FALSE),"")</f>
        <v/>
      </c>
      <c r="J5411" t="str">
        <f t="shared" si="85"/>
        <v/>
      </c>
    </row>
    <row r="5412" spans="9:10">
      <c r="I5412" t="str">
        <f>_xlfn.IFNA(VLOOKUP(B5412,T_DistName[],3,FALSE),"")</f>
        <v/>
      </c>
      <c r="J5412" t="str">
        <f t="shared" si="85"/>
        <v/>
      </c>
    </row>
    <row r="5413" spans="9:10">
      <c r="I5413" t="str">
        <f>_xlfn.IFNA(VLOOKUP(B5413,T_DistName[],3,FALSE),"")</f>
        <v/>
      </c>
      <c r="J5413" t="str">
        <f t="shared" si="85"/>
        <v/>
      </c>
    </row>
    <row r="5414" spans="9:10">
      <c r="I5414" t="str">
        <f>_xlfn.IFNA(VLOOKUP(B5414,T_DistName[],3,FALSE),"")</f>
        <v/>
      </c>
      <c r="J5414" t="str">
        <f t="shared" si="85"/>
        <v/>
      </c>
    </row>
    <row r="5415" spans="9:10">
      <c r="I5415" t="str">
        <f>_xlfn.IFNA(VLOOKUP(B5415,T_DistName[],3,FALSE),"")</f>
        <v/>
      </c>
      <c r="J5415" t="str">
        <f t="shared" si="85"/>
        <v/>
      </c>
    </row>
    <row r="5416" spans="9:10">
      <c r="I5416" t="str">
        <f>_xlfn.IFNA(VLOOKUP(B5416,T_DistName[],3,FALSE),"")</f>
        <v/>
      </c>
      <c r="J5416" t="str">
        <f t="shared" si="85"/>
        <v/>
      </c>
    </row>
    <row r="5417" spans="9:10">
      <c r="I5417" t="str">
        <f>_xlfn.IFNA(VLOOKUP(B5417,T_DistName[],3,FALSE),"")</f>
        <v/>
      </c>
      <c r="J5417" t="str">
        <f t="shared" si="85"/>
        <v/>
      </c>
    </row>
    <row r="5418" spans="9:10">
      <c r="I5418" t="str">
        <f>_xlfn.IFNA(VLOOKUP(B5418,T_DistName[],3,FALSE),"")</f>
        <v/>
      </c>
      <c r="J5418" t="str">
        <f t="shared" si="85"/>
        <v/>
      </c>
    </row>
    <row r="5419" spans="9:10">
      <c r="I5419" t="str">
        <f>_xlfn.IFNA(VLOOKUP(B5419,T_DistName[],3,FALSE),"")</f>
        <v/>
      </c>
      <c r="J5419" t="str">
        <f t="shared" si="85"/>
        <v/>
      </c>
    </row>
    <row r="5420" spans="9:10">
      <c r="I5420" t="str">
        <f>_xlfn.IFNA(VLOOKUP(B5420,T_DistName[],3,FALSE),"")</f>
        <v/>
      </c>
      <c r="J5420" t="str">
        <f t="shared" si="85"/>
        <v/>
      </c>
    </row>
    <row r="5421" spans="9:10">
      <c r="I5421" t="str">
        <f>_xlfn.IFNA(VLOOKUP(B5421,T_DistName[],3,FALSE),"")</f>
        <v/>
      </c>
      <c r="J5421" t="str">
        <f t="shared" si="85"/>
        <v/>
      </c>
    </row>
    <row r="5422" spans="9:10">
      <c r="I5422" t="str">
        <f>_xlfn.IFNA(VLOOKUP(B5422,T_DistName[],3,FALSE),"")</f>
        <v/>
      </c>
      <c r="J5422" t="str">
        <f t="shared" si="85"/>
        <v/>
      </c>
    </row>
    <row r="5423" spans="9:10">
      <c r="I5423" t="str">
        <f>_xlfn.IFNA(VLOOKUP(B5423,T_DistName[],3,FALSE),"")</f>
        <v/>
      </c>
      <c r="J5423" t="str">
        <f t="shared" si="85"/>
        <v/>
      </c>
    </row>
    <row r="5424" spans="9:10">
      <c r="I5424" t="str">
        <f>_xlfn.IFNA(VLOOKUP(B5424,T_DistName[],3,FALSE),"")</f>
        <v/>
      </c>
      <c r="J5424" t="str">
        <f t="shared" si="85"/>
        <v/>
      </c>
    </row>
    <row r="5425" spans="9:10">
      <c r="I5425" t="str">
        <f>_xlfn.IFNA(VLOOKUP(B5425,T_DistName[],3,FALSE),"")</f>
        <v/>
      </c>
      <c r="J5425" t="str">
        <f t="shared" si="85"/>
        <v/>
      </c>
    </row>
    <row r="5426" spans="9:10">
      <c r="I5426" t="str">
        <f>_xlfn.IFNA(VLOOKUP(B5426,T_DistName[],3,FALSE),"")</f>
        <v/>
      </c>
      <c r="J5426" t="str">
        <f t="shared" si="85"/>
        <v/>
      </c>
    </row>
    <row r="5427" spans="9:10">
      <c r="I5427" t="str">
        <f>_xlfn.IFNA(VLOOKUP(B5427,T_DistName[],3,FALSE),"")</f>
        <v/>
      </c>
      <c r="J5427" t="str">
        <f t="shared" si="85"/>
        <v/>
      </c>
    </row>
    <row r="5428" spans="9:10">
      <c r="I5428" t="str">
        <f>_xlfn.IFNA(VLOOKUP(B5428,T_DistName[],3,FALSE),"")</f>
        <v/>
      </c>
      <c r="J5428" t="str">
        <f t="shared" si="85"/>
        <v/>
      </c>
    </row>
    <row r="5429" spans="9:10">
      <c r="I5429" t="str">
        <f>_xlfn.IFNA(VLOOKUP(B5429,T_DistName[],3,FALSE),"")</f>
        <v/>
      </c>
      <c r="J5429" t="str">
        <f t="shared" si="85"/>
        <v/>
      </c>
    </row>
    <row r="5430" spans="9:10">
      <c r="I5430" t="str">
        <f>_xlfn.IFNA(VLOOKUP(B5430,T_DistName[],3,FALSE),"")</f>
        <v/>
      </c>
      <c r="J5430" t="str">
        <f t="shared" si="85"/>
        <v/>
      </c>
    </row>
    <row r="5431" spans="9:10">
      <c r="I5431" t="str">
        <f>_xlfn.IFNA(VLOOKUP(B5431,T_DistName[],3,FALSE),"")</f>
        <v/>
      </c>
      <c r="J5431" t="str">
        <f t="shared" si="85"/>
        <v/>
      </c>
    </row>
    <row r="5432" spans="9:10">
      <c r="I5432" t="str">
        <f>_xlfn.IFNA(VLOOKUP(B5432,T_DistName[],3,FALSE),"")</f>
        <v/>
      </c>
      <c r="J5432" t="str">
        <f t="shared" si="85"/>
        <v/>
      </c>
    </row>
    <row r="5433" spans="9:10">
      <c r="I5433" t="str">
        <f>_xlfn.IFNA(VLOOKUP(B5433,T_DistName[],3,FALSE),"")</f>
        <v/>
      </c>
      <c r="J5433" t="str">
        <f t="shared" si="85"/>
        <v/>
      </c>
    </row>
    <row r="5434" spans="9:10">
      <c r="I5434" t="str">
        <f>_xlfn.IFNA(VLOOKUP(B5434,T_DistName[],3,FALSE),"")</f>
        <v/>
      </c>
      <c r="J5434" t="str">
        <f t="shared" si="85"/>
        <v/>
      </c>
    </row>
    <row r="5435" spans="9:10">
      <c r="I5435" t="str">
        <f>_xlfn.IFNA(VLOOKUP(B5435,T_DistName[],3,FALSE),"")</f>
        <v/>
      </c>
      <c r="J5435" t="str">
        <f t="shared" si="85"/>
        <v/>
      </c>
    </row>
    <row r="5436" spans="9:10">
      <c r="I5436" t="str">
        <f>_xlfn.IFNA(VLOOKUP(B5436,T_DistName[],3,FALSE),"")</f>
        <v/>
      </c>
      <c r="J5436" t="str">
        <f t="shared" si="85"/>
        <v/>
      </c>
    </row>
    <row r="5437" spans="9:10">
      <c r="I5437" t="str">
        <f>_xlfn.IFNA(VLOOKUP(B5437,T_DistName[],3,FALSE),"")</f>
        <v/>
      </c>
      <c r="J5437" t="str">
        <f t="shared" si="85"/>
        <v/>
      </c>
    </row>
    <row r="5438" spans="9:10">
      <c r="I5438" t="str">
        <f>_xlfn.IFNA(VLOOKUP(B5438,T_DistName[],3,FALSE),"")</f>
        <v/>
      </c>
      <c r="J5438" t="str">
        <f t="shared" si="85"/>
        <v/>
      </c>
    </row>
    <row r="5439" spans="9:10">
      <c r="I5439" t="str">
        <f>_xlfn.IFNA(VLOOKUP(B5439,T_DistName[],3,FALSE),"")</f>
        <v/>
      </c>
      <c r="J5439" t="str">
        <f t="shared" si="85"/>
        <v/>
      </c>
    </row>
    <row r="5440" spans="9:10">
      <c r="I5440" t="str">
        <f>_xlfn.IFNA(VLOOKUP(B5440,T_DistName[],3,FALSE),"")</f>
        <v/>
      </c>
      <c r="J5440" t="str">
        <f t="shared" si="85"/>
        <v/>
      </c>
    </row>
    <row r="5441" spans="9:10">
      <c r="I5441" t="str">
        <f>_xlfn.IFNA(VLOOKUP(B5441,T_DistName[],3,FALSE),"")</f>
        <v/>
      </c>
      <c r="J5441" t="str">
        <f t="shared" si="85"/>
        <v/>
      </c>
    </row>
    <row r="5442" spans="9:10">
      <c r="I5442" t="str">
        <f>_xlfn.IFNA(VLOOKUP(B5442,T_DistName[],3,FALSE),"")</f>
        <v/>
      </c>
      <c r="J5442" t="str">
        <f t="shared" si="85"/>
        <v/>
      </c>
    </row>
    <row r="5443" spans="9:10">
      <c r="I5443" t="str">
        <f>_xlfn.IFNA(VLOOKUP(B5443,T_DistName[],3,FALSE),"")</f>
        <v/>
      </c>
      <c r="J5443" t="str">
        <f t="shared" si="85"/>
        <v/>
      </c>
    </row>
    <row r="5444" spans="9:10">
      <c r="I5444" t="str">
        <f>_xlfn.IFNA(VLOOKUP(B5444,T_DistName[],3,FALSE),"")</f>
        <v/>
      </c>
      <c r="J5444" t="str">
        <f t="shared" si="85"/>
        <v/>
      </c>
    </row>
    <row r="5445" spans="9:10">
      <c r="I5445" t="str">
        <f>_xlfn.IFNA(VLOOKUP(B5445,T_DistName[],3,FALSE),"")</f>
        <v/>
      </c>
      <c r="J5445" t="str">
        <f t="shared" si="85"/>
        <v/>
      </c>
    </row>
    <row r="5446" spans="9:10">
      <c r="I5446" t="str">
        <f>_xlfn.IFNA(VLOOKUP(B5446,T_DistName[],3,FALSE),"")</f>
        <v/>
      </c>
      <c r="J5446" t="str">
        <f t="shared" si="85"/>
        <v/>
      </c>
    </row>
    <row r="5447" spans="9:10">
      <c r="I5447" t="str">
        <f>_xlfn.IFNA(VLOOKUP(B5447,T_DistName[],3,FALSE),"")</f>
        <v/>
      </c>
      <c r="J5447" t="str">
        <f t="shared" si="85"/>
        <v/>
      </c>
    </row>
    <row r="5448" spans="9:10">
      <c r="I5448" t="str">
        <f>_xlfn.IFNA(VLOOKUP(B5448,T_DistName[],3,FALSE),"")</f>
        <v/>
      </c>
      <c r="J5448" t="str">
        <f t="shared" si="85"/>
        <v/>
      </c>
    </row>
    <row r="5449" spans="9:10">
      <c r="I5449" t="str">
        <f>_xlfn.IFNA(VLOOKUP(B5449,T_DistName[],3,FALSE),"")</f>
        <v/>
      </c>
      <c r="J5449" t="str">
        <f t="shared" si="85"/>
        <v/>
      </c>
    </row>
    <row r="5450" spans="9:10">
      <c r="I5450" t="str">
        <f>_xlfn.IFNA(VLOOKUP(B5450,T_DistName[],3,FALSE),"")</f>
        <v/>
      </c>
      <c r="J5450" t="str">
        <f t="shared" si="85"/>
        <v/>
      </c>
    </row>
    <row r="5451" spans="9:10">
      <c r="I5451" t="str">
        <f>_xlfn.IFNA(VLOOKUP(B5451,T_DistName[],3,FALSE),"")</f>
        <v/>
      </c>
      <c r="J5451" t="str">
        <f t="shared" si="85"/>
        <v/>
      </c>
    </row>
    <row r="5452" spans="9:10">
      <c r="I5452" t="str">
        <f>_xlfn.IFNA(VLOOKUP(B5452,T_DistName[],3,FALSE),"")</f>
        <v/>
      </c>
      <c r="J5452" t="str">
        <f t="shared" si="85"/>
        <v/>
      </c>
    </row>
    <row r="5453" spans="9:10">
      <c r="I5453" t="str">
        <f>_xlfn.IFNA(VLOOKUP(B5453,T_DistName[],3,FALSE),"")</f>
        <v/>
      </c>
      <c r="J5453" t="str">
        <f t="shared" si="85"/>
        <v/>
      </c>
    </row>
    <row r="5454" spans="9:10">
      <c r="I5454" t="str">
        <f>_xlfn.IFNA(VLOOKUP(B5454,T_DistName[],3,FALSE),"")</f>
        <v/>
      </c>
      <c r="J5454" t="str">
        <f t="shared" si="85"/>
        <v/>
      </c>
    </row>
    <row r="5455" spans="9:10">
      <c r="I5455" t="str">
        <f>_xlfn.IFNA(VLOOKUP(B5455,T_DistName[],3,FALSE),"")</f>
        <v/>
      </c>
      <c r="J5455" t="str">
        <f t="shared" si="85"/>
        <v/>
      </c>
    </row>
    <row r="5456" spans="9:10">
      <c r="I5456" t="str">
        <f>_xlfn.IFNA(VLOOKUP(B5456,T_DistName[],3,FALSE),"")</f>
        <v/>
      </c>
      <c r="J5456" t="str">
        <f t="shared" si="85"/>
        <v/>
      </c>
    </row>
    <row r="5457" spans="9:10">
      <c r="I5457" t="str">
        <f>_xlfn.IFNA(VLOOKUP(B5457,T_DistName[],3,FALSE),"")</f>
        <v/>
      </c>
      <c r="J5457" t="str">
        <f t="shared" si="85"/>
        <v/>
      </c>
    </row>
    <row r="5458" spans="9:10">
      <c r="I5458" t="str">
        <f>_xlfn.IFNA(VLOOKUP(B5458,T_DistName[],3,FALSE),"")</f>
        <v/>
      </c>
      <c r="J5458" t="str">
        <f t="shared" si="85"/>
        <v/>
      </c>
    </row>
    <row r="5459" spans="9:10">
      <c r="I5459" t="str">
        <f>_xlfn.IFNA(VLOOKUP(B5459,T_DistName[],3,FALSE),"")</f>
        <v/>
      </c>
      <c r="J5459" t="str">
        <f t="shared" si="85"/>
        <v/>
      </c>
    </row>
    <row r="5460" spans="9:10">
      <c r="I5460" t="str">
        <f>_xlfn.IFNA(VLOOKUP(B5460,T_DistName[],3,FALSE),"")</f>
        <v/>
      </c>
      <c r="J5460" t="str">
        <f t="shared" si="85"/>
        <v/>
      </c>
    </row>
    <row r="5461" spans="9:10">
      <c r="I5461" t="str">
        <f>_xlfn.IFNA(VLOOKUP(B5461,T_DistName[],3,FALSE),"")</f>
        <v/>
      </c>
      <c r="J5461" t="str">
        <f t="shared" si="85"/>
        <v/>
      </c>
    </row>
    <row r="5462" spans="9:10">
      <c r="I5462" t="str">
        <f>_xlfn.IFNA(VLOOKUP(B5462,T_DistName[],3,FALSE),"")</f>
        <v/>
      </c>
      <c r="J5462" t="str">
        <f t="shared" si="85"/>
        <v/>
      </c>
    </row>
    <row r="5463" spans="9:10">
      <c r="I5463" t="str">
        <f>_xlfn.IFNA(VLOOKUP(B5463,T_DistName[],3,FALSE),"")</f>
        <v/>
      </c>
      <c r="J5463" t="str">
        <f t="shared" si="85"/>
        <v/>
      </c>
    </row>
    <row r="5464" spans="9:10">
      <c r="I5464" t="str">
        <f>_xlfn.IFNA(VLOOKUP(B5464,T_DistName[],3,FALSE),"")</f>
        <v/>
      </c>
      <c r="J5464" t="str">
        <f t="shared" si="85"/>
        <v/>
      </c>
    </row>
    <row r="5465" spans="9:10">
      <c r="I5465" t="str">
        <f>_xlfn.IFNA(VLOOKUP(B5465,T_DistName[],3,FALSE),"")</f>
        <v/>
      </c>
      <c r="J5465" t="str">
        <f t="shared" ref="J5465:J5528" si="86">I5465&amp;F5465</f>
        <v/>
      </c>
    </row>
    <row r="5466" spans="9:10">
      <c r="I5466" t="str">
        <f>_xlfn.IFNA(VLOOKUP(B5466,T_DistName[],3,FALSE),"")</f>
        <v/>
      </c>
      <c r="J5466" t="str">
        <f t="shared" si="86"/>
        <v/>
      </c>
    </row>
    <row r="5467" spans="9:10">
      <c r="I5467" t="str">
        <f>_xlfn.IFNA(VLOOKUP(B5467,T_DistName[],3,FALSE),"")</f>
        <v/>
      </c>
      <c r="J5467" t="str">
        <f t="shared" si="86"/>
        <v/>
      </c>
    </row>
    <row r="5468" spans="9:10">
      <c r="I5468" t="str">
        <f>_xlfn.IFNA(VLOOKUP(B5468,T_DistName[],3,FALSE),"")</f>
        <v/>
      </c>
      <c r="J5468" t="str">
        <f t="shared" si="86"/>
        <v/>
      </c>
    </row>
    <row r="5469" spans="9:10">
      <c r="I5469" t="str">
        <f>_xlfn.IFNA(VLOOKUP(B5469,T_DistName[],3,FALSE),"")</f>
        <v/>
      </c>
      <c r="J5469" t="str">
        <f t="shared" si="86"/>
        <v/>
      </c>
    </row>
    <row r="5470" spans="9:10">
      <c r="I5470" t="str">
        <f>_xlfn.IFNA(VLOOKUP(B5470,T_DistName[],3,FALSE),"")</f>
        <v/>
      </c>
      <c r="J5470" t="str">
        <f t="shared" si="86"/>
        <v/>
      </c>
    </row>
    <row r="5471" spans="9:10">
      <c r="I5471" t="str">
        <f>_xlfn.IFNA(VLOOKUP(B5471,T_DistName[],3,FALSE),"")</f>
        <v/>
      </c>
      <c r="J5471" t="str">
        <f t="shared" si="86"/>
        <v/>
      </c>
    </row>
    <row r="5472" spans="9:10">
      <c r="I5472" t="str">
        <f>_xlfn.IFNA(VLOOKUP(B5472,T_DistName[],3,FALSE),"")</f>
        <v/>
      </c>
      <c r="J5472" t="str">
        <f t="shared" si="86"/>
        <v/>
      </c>
    </row>
    <row r="5473" spans="9:10">
      <c r="I5473" t="str">
        <f>_xlfn.IFNA(VLOOKUP(B5473,T_DistName[],3,FALSE),"")</f>
        <v/>
      </c>
      <c r="J5473" t="str">
        <f t="shared" si="86"/>
        <v/>
      </c>
    </row>
    <row r="5474" spans="9:10">
      <c r="I5474" t="str">
        <f>_xlfn.IFNA(VLOOKUP(B5474,T_DistName[],3,FALSE),"")</f>
        <v/>
      </c>
      <c r="J5474" t="str">
        <f t="shared" si="86"/>
        <v/>
      </c>
    </row>
    <row r="5475" spans="9:10">
      <c r="I5475" t="str">
        <f>_xlfn.IFNA(VLOOKUP(B5475,T_DistName[],3,FALSE),"")</f>
        <v/>
      </c>
      <c r="J5475" t="str">
        <f t="shared" si="86"/>
        <v/>
      </c>
    </row>
    <row r="5476" spans="9:10">
      <c r="I5476" t="str">
        <f>_xlfn.IFNA(VLOOKUP(B5476,T_DistName[],3,FALSE),"")</f>
        <v/>
      </c>
      <c r="J5476" t="str">
        <f t="shared" si="86"/>
        <v/>
      </c>
    </row>
    <row r="5477" spans="9:10">
      <c r="I5477" t="str">
        <f>_xlfn.IFNA(VLOOKUP(B5477,T_DistName[],3,FALSE),"")</f>
        <v/>
      </c>
      <c r="J5477" t="str">
        <f t="shared" si="86"/>
        <v/>
      </c>
    </row>
    <row r="5478" spans="9:10">
      <c r="I5478" t="str">
        <f>_xlfn.IFNA(VLOOKUP(B5478,T_DistName[],3,FALSE),"")</f>
        <v/>
      </c>
      <c r="J5478" t="str">
        <f t="shared" si="86"/>
        <v/>
      </c>
    </row>
    <row r="5479" spans="9:10">
      <c r="I5479" t="str">
        <f>_xlfn.IFNA(VLOOKUP(B5479,T_DistName[],3,FALSE),"")</f>
        <v/>
      </c>
      <c r="J5479" t="str">
        <f t="shared" si="86"/>
        <v/>
      </c>
    </row>
    <row r="5480" spans="9:10">
      <c r="I5480" t="str">
        <f>_xlfn.IFNA(VLOOKUP(B5480,T_DistName[],3,FALSE),"")</f>
        <v/>
      </c>
      <c r="J5480" t="str">
        <f t="shared" si="86"/>
        <v/>
      </c>
    </row>
    <row r="5481" spans="9:10">
      <c r="I5481" t="str">
        <f>_xlfn.IFNA(VLOOKUP(B5481,T_DistName[],3,FALSE),"")</f>
        <v/>
      </c>
      <c r="J5481" t="str">
        <f t="shared" si="86"/>
        <v/>
      </c>
    </row>
    <row r="5482" spans="9:10">
      <c r="I5482" t="str">
        <f>_xlfn.IFNA(VLOOKUP(B5482,T_DistName[],3,FALSE),"")</f>
        <v/>
      </c>
      <c r="J5482" t="str">
        <f t="shared" si="86"/>
        <v/>
      </c>
    </row>
    <row r="5483" spans="9:10">
      <c r="I5483" t="str">
        <f>_xlfn.IFNA(VLOOKUP(B5483,T_DistName[],3,FALSE),"")</f>
        <v/>
      </c>
      <c r="J5483" t="str">
        <f t="shared" si="86"/>
        <v/>
      </c>
    </row>
    <row r="5484" spans="9:10">
      <c r="I5484" t="str">
        <f>_xlfn.IFNA(VLOOKUP(B5484,T_DistName[],3,FALSE),"")</f>
        <v/>
      </c>
      <c r="J5484" t="str">
        <f t="shared" si="86"/>
        <v/>
      </c>
    </row>
    <row r="5485" spans="9:10">
      <c r="I5485" t="str">
        <f>_xlfn.IFNA(VLOOKUP(B5485,T_DistName[],3,FALSE),"")</f>
        <v/>
      </c>
      <c r="J5485" t="str">
        <f t="shared" si="86"/>
        <v/>
      </c>
    </row>
    <row r="5486" spans="9:10">
      <c r="I5486" t="str">
        <f>_xlfn.IFNA(VLOOKUP(B5486,T_DistName[],3,FALSE),"")</f>
        <v/>
      </c>
      <c r="J5486" t="str">
        <f t="shared" si="86"/>
        <v/>
      </c>
    </row>
    <row r="5487" spans="9:10">
      <c r="I5487" t="str">
        <f>_xlfn.IFNA(VLOOKUP(B5487,T_DistName[],3,FALSE),"")</f>
        <v/>
      </c>
      <c r="J5487" t="str">
        <f t="shared" si="86"/>
        <v/>
      </c>
    </row>
    <row r="5488" spans="9:10">
      <c r="I5488" t="str">
        <f>_xlfn.IFNA(VLOOKUP(B5488,T_DistName[],3,FALSE),"")</f>
        <v/>
      </c>
      <c r="J5488" t="str">
        <f t="shared" si="86"/>
        <v/>
      </c>
    </row>
    <row r="5489" spans="9:10">
      <c r="I5489" t="str">
        <f>_xlfn.IFNA(VLOOKUP(B5489,T_DistName[],3,FALSE),"")</f>
        <v/>
      </c>
      <c r="J5489" t="str">
        <f t="shared" si="86"/>
        <v/>
      </c>
    </row>
    <row r="5490" spans="9:10">
      <c r="I5490" t="str">
        <f>_xlfn.IFNA(VLOOKUP(B5490,T_DistName[],3,FALSE),"")</f>
        <v/>
      </c>
      <c r="J5490" t="str">
        <f t="shared" si="86"/>
        <v/>
      </c>
    </row>
    <row r="5491" spans="9:10">
      <c r="I5491" t="str">
        <f>_xlfn.IFNA(VLOOKUP(B5491,T_DistName[],3,FALSE),"")</f>
        <v/>
      </c>
      <c r="J5491" t="str">
        <f t="shared" si="86"/>
        <v/>
      </c>
    </row>
    <row r="5492" spans="9:10">
      <c r="I5492" t="str">
        <f>_xlfn.IFNA(VLOOKUP(B5492,T_DistName[],3,FALSE),"")</f>
        <v/>
      </c>
      <c r="J5492" t="str">
        <f t="shared" si="86"/>
        <v/>
      </c>
    </row>
    <row r="5493" spans="9:10">
      <c r="I5493" t="str">
        <f>_xlfn.IFNA(VLOOKUP(B5493,T_DistName[],3,FALSE),"")</f>
        <v/>
      </c>
      <c r="J5493" t="str">
        <f t="shared" si="86"/>
        <v/>
      </c>
    </row>
    <row r="5494" spans="9:10">
      <c r="I5494" t="str">
        <f>_xlfn.IFNA(VLOOKUP(B5494,T_DistName[],3,FALSE),"")</f>
        <v/>
      </c>
      <c r="J5494" t="str">
        <f t="shared" si="86"/>
        <v/>
      </c>
    </row>
    <row r="5495" spans="9:10">
      <c r="I5495" t="str">
        <f>_xlfn.IFNA(VLOOKUP(B5495,T_DistName[],3,FALSE),"")</f>
        <v/>
      </c>
      <c r="J5495" t="str">
        <f t="shared" si="86"/>
        <v/>
      </c>
    </row>
    <row r="5496" spans="9:10">
      <c r="I5496" t="str">
        <f>_xlfn.IFNA(VLOOKUP(B5496,T_DistName[],3,FALSE),"")</f>
        <v/>
      </c>
      <c r="J5496" t="str">
        <f t="shared" si="86"/>
        <v/>
      </c>
    </row>
    <row r="5497" spans="9:10">
      <c r="I5497" t="str">
        <f>_xlfn.IFNA(VLOOKUP(B5497,T_DistName[],3,FALSE),"")</f>
        <v/>
      </c>
      <c r="J5497" t="str">
        <f t="shared" si="86"/>
        <v/>
      </c>
    </row>
    <row r="5498" spans="9:10">
      <c r="I5498" t="str">
        <f>_xlfn.IFNA(VLOOKUP(B5498,T_DistName[],3,FALSE),"")</f>
        <v/>
      </c>
      <c r="J5498" t="str">
        <f t="shared" si="86"/>
        <v/>
      </c>
    </row>
    <row r="5499" spans="9:10">
      <c r="I5499" t="str">
        <f>_xlfn.IFNA(VLOOKUP(B5499,T_DistName[],3,FALSE),"")</f>
        <v/>
      </c>
      <c r="J5499" t="str">
        <f t="shared" si="86"/>
        <v/>
      </c>
    </row>
    <row r="5500" spans="9:10">
      <c r="I5500" t="str">
        <f>_xlfn.IFNA(VLOOKUP(B5500,T_DistName[],3,FALSE),"")</f>
        <v/>
      </c>
      <c r="J5500" t="str">
        <f t="shared" si="86"/>
        <v/>
      </c>
    </row>
    <row r="5501" spans="9:10">
      <c r="I5501" t="str">
        <f>_xlfn.IFNA(VLOOKUP(B5501,T_DistName[],3,FALSE),"")</f>
        <v/>
      </c>
      <c r="J5501" t="str">
        <f t="shared" si="86"/>
        <v/>
      </c>
    </row>
    <row r="5502" spans="9:10">
      <c r="I5502" t="str">
        <f>_xlfn.IFNA(VLOOKUP(B5502,T_DistName[],3,FALSE),"")</f>
        <v/>
      </c>
      <c r="J5502" t="str">
        <f t="shared" si="86"/>
        <v/>
      </c>
    </row>
    <row r="5503" spans="9:10">
      <c r="I5503" t="str">
        <f>_xlfn.IFNA(VLOOKUP(B5503,T_DistName[],3,FALSE),"")</f>
        <v/>
      </c>
      <c r="J5503" t="str">
        <f t="shared" si="86"/>
        <v/>
      </c>
    </row>
    <row r="5504" spans="9:10">
      <c r="I5504" t="str">
        <f>_xlfn.IFNA(VLOOKUP(B5504,T_DistName[],3,FALSE),"")</f>
        <v/>
      </c>
      <c r="J5504" t="str">
        <f t="shared" si="86"/>
        <v/>
      </c>
    </row>
    <row r="5505" spans="9:10">
      <c r="I5505" t="str">
        <f>_xlfn.IFNA(VLOOKUP(B5505,T_DistName[],3,FALSE),"")</f>
        <v/>
      </c>
      <c r="J5505" t="str">
        <f t="shared" si="86"/>
        <v/>
      </c>
    </row>
    <row r="5506" spans="9:10">
      <c r="I5506" t="str">
        <f>_xlfn.IFNA(VLOOKUP(B5506,T_DistName[],3,FALSE),"")</f>
        <v/>
      </c>
      <c r="J5506" t="str">
        <f t="shared" si="86"/>
        <v/>
      </c>
    </row>
    <row r="5507" spans="9:10">
      <c r="I5507" t="str">
        <f>_xlfn.IFNA(VLOOKUP(B5507,T_DistName[],3,FALSE),"")</f>
        <v/>
      </c>
      <c r="J5507" t="str">
        <f t="shared" si="86"/>
        <v/>
      </c>
    </row>
    <row r="5508" spans="9:10">
      <c r="I5508" t="str">
        <f>_xlfn.IFNA(VLOOKUP(B5508,T_DistName[],3,FALSE),"")</f>
        <v/>
      </c>
      <c r="J5508" t="str">
        <f t="shared" si="86"/>
        <v/>
      </c>
    </row>
    <row r="5509" spans="9:10">
      <c r="I5509" t="str">
        <f>_xlfn.IFNA(VLOOKUP(B5509,T_DistName[],3,FALSE),"")</f>
        <v/>
      </c>
      <c r="J5509" t="str">
        <f t="shared" si="86"/>
        <v/>
      </c>
    </row>
    <row r="5510" spans="9:10">
      <c r="I5510" t="str">
        <f>_xlfn.IFNA(VLOOKUP(B5510,T_DistName[],3,FALSE),"")</f>
        <v/>
      </c>
      <c r="J5510" t="str">
        <f t="shared" si="86"/>
        <v/>
      </c>
    </row>
    <row r="5511" spans="9:10">
      <c r="I5511" t="str">
        <f>_xlfn.IFNA(VLOOKUP(B5511,T_DistName[],3,FALSE),"")</f>
        <v/>
      </c>
      <c r="J5511" t="str">
        <f t="shared" si="86"/>
        <v/>
      </c>
    </row>
    <row r="5512" spans="9:10">
      <c r="I5512" t="str">
        <f>_xlfn.IFNA(VLOOKUP(B5512,T_DistName[],3,FALSE),"")</f>
        <v/>
      </c>
      <c r="J5512" t="str">
        <f t="shared" si="86"/>
        <v/>
      </c>
    </row>
    <row r="5513" spans="9:10">
      <c r="I5513" t="str">
        <f>_xlfn.IFNA(VLOOKUP(B5513,T_DistName[],3,FALSE),"")</f>
        <v/>
      </c>
      <c r="J5513" t="str">
        <f t="shared" si="86"/>
        <v/>
      </c>
    </row>
    <row r="5514" spans="9:10">
      <c r="I5514" t="str">
        <f>_xlfn.IFNA(VLOOKUP(B5514,T_DistName[],3,FALSE),"")</f>
        <v/>
      </c>
      <c r="J5514" t="str">
        <f t="shared" si="86"/>
        <v/>
      </c>
    </row>
    <row r="5515" spans="9:10">
      <c r="I5515" t="str">
        <f>_xlfn.IFNA(VLOOKUP(B5515,T_DistName[],3,FALSE),"")</f>
        <v/>
      </c>
      <c r="J5515" t="str">
        <f t="shared" si="86"/>
        <v/>
      </c>
    </row>
    <row r="5516" spans="9:10">
      <c r="I5516" t="str">
        <f>_xlfn.IFNA(VLOOKUP(B5516,T_DistName[],3,FALSE),"")</f>
        <v/>
      </c>
      <c r="J5516" t="str">
        <f t="shared" si="86"/>
        <v/>
      </c>
    </row>
    <row r="5517" spans="9:10">
      <c r="I5517" t="str">
        <f>_xlfn.IFNA(VLOOKUP(B5517,T_DistName[],3,FALSE),"")</f>
        <v/>
      </c>
      <c r="J5517" t="str">
        <f t="shared" si="86"/>
        <v/>
      </c>
    </row>
    <row r="5518" spans="9:10">
      <c r="I5518" t="str">
        <f>_xlfn.IFNA(VLOOKUP(B5518,T_DistName[],3,FALSE),"")</f>
        <v/>
      </c>
      <c r="J5518" t="str">
        <f t="shared" si="86"/>
        <v/>
      </c>
    </row>
    <row r="5519" spans="9:10">
      <c r="I5519" t="str">
        <f>_xlfn.IFNA(VLOOKUP(B5519,T_DistName[],3,FALSE),"")</f>
        <v/>
      </c>
      <c r="J5519" t="str">
        <f t="shared" si="86"/>
        <v/>
      </c>
    </row>
    <row r="5520" spans="9:10">
      <c r="I5520" t="str">
        <f>_xlfn.IFNA(VLOOKUP(B5520,T_DistName[],3,FALSE),"")</f>
        <v/>
      </c>
      <c r="J5520" t="str">
        <f t="shared" si="86"/>
        <v/>
      </c>
    </row>
    <row r="5521" spans="9:10">
      <c r="I5521" t="str">
        <f>_xlfn.IFNA(VLOOKUP(B5521,T_DistName[],3,FALSE),"")</f>
        <v/>
      </c>
      <c r="J5521" t="str">
        <f t="shared" si="86"/>
        <v/>
      </c>
    </row>
    <row r="5522" spans="9:10">
      <c r="I5522" t="str">
        <f>_xlfn.IFNA(VLOOKUP(B5522,T_DistName[],3,FALSE),"")</f>
        <v/>
      </c>
      <c r="J5522" t="str">
        <f t="shared" si="86"/>
        <v/>
      </c>
    </row>
    <row r="5523" spans="9:10">
      <c r="I5523" t="str">
        <f>_xlfn.IFNA(VLOOKUP(B5523,T_DistName[],3,FALSE),"")</f>
        <v/>
      </c>
      <c r="J5523" t="str">
        <f t="shared" si="86"/>
        <v/>
      </c>
    </row>
    <row r="5524" spans="9:10">
      <c r="I5524" t="str">
        <f>_xlfn.IFNA(VLOOKUP(B5524,T_DistName[],3,FALSE),"")</f>
        <v/>
      </c>
      <c r="J5524" t="str">
        <f t="shared" si="86"/>
        <v/>
      </c>
    </row>
    <row r="5525" spans="9:10">
      <c r="I5525" t="str">
        <f>_xlfn.IFNA(VLOOKUP(B5525,T_DistName[],3,FALSE),"")</f>
        <v/>
      </c>
      <c r="J5525" t="str">
        <f t="shared" si="86"/>
        <v/>
      </c>
    </row>
    <row r="5526" spans="9:10">
      <c r="I5526" t="str">
        <f>_xlfn.IFNA(VLOOKUP(B5526,T_DistName[],3,FALSE),"")</f>
        <v/>
      </c>
      <c r="J5526" t="str">
        <f t="shared" si="86"/>
        <v/>
      </c>
    </row>
    <row r="5527" spans="9:10">
      <c r="I5527" t="str">
        <f>_xlfn.IFNA(VLOOKUP(B5527,T_DistName[],3,FALSE),"")</f>
        <v/>
      </c>
      <c r="J5527" t="str">
        <f t="shared" si="86"/>
        <v/>
      </c>
    </row>
    <row r="5528" spans="9:10">
      <c r="I5528" t="str">
        <f>_xlfn.IFNA(VLOOKUP(B5528,T_DistName[],3,FALSE),"")</f>
        <v/>
      </c>
      <c r="J5528" t="str">
        <f t="shared" si="86"/>
        <v/>
      </c>
    </row>
    <row r="5529" spans="9:10">
      <c r="I5529" t="str">
        <f>_xlfn.IFNA(VLOOKUP(B5529,T_DistName[],3,FALSE),"")</f>
        <v/>
      </c>
      <c r="J5529" t="str">
        <f t="shared" ref="J5529:J5592" si="87">I5529&amp;F5529</f>
        <v/>
      </c>
    </row>
    <row r="5530" spans="9:10">
      <c r="I5530" t="str">
        <f>_xlfn.IFNA(VLOOKUP(B5530,T_DistName[],3,FALSE),"")</f>
        <v/>
      </c>
      <c r="J5530" t="str">
        <f t="shared" si="87"/>
        <v/>
      </c>
    </row>
    <row r="5531" spans="9:10">
      <c r="I5531" t="str">
        <f>_xlfn.IFNA(VLOOKUP(B5531,T_DistName[],3,FALSE),"")</f>
        <v/>
      </c>
      <c r="J5531" t="str">
        <f t="shared" si="87"/>
        <v/>
      </c>
    </row>
    <row r="5532" spans="9:10">
      <c r="I5532" t="str">
        <f>_xlfn.IFNA(VLOOKUP(B5532,T_DistName[],3,FALSE),"")</f>
        <v/>
      </c>
      <c r="J5532" t="str">
        <f t="shared" si="87"/>
        <v/>
      </c>
    </row>
    <row r="5533" spans="9:10">
      <c r="I5533" t="str">
        <f>_xlfn.IFNA(VLOOKUP(B5533,T_DistName[],3,FALSE),"")</f>
        <v/>
      </c>
      <c r="J5533" t="str">
        <f t="shared" si="87"/>
        <v/>
      </c>
    </row>
    <row r="5534" spans="9:10">
      <c r="I5534" t="str">
        <f>_xlfn.IFNA(VLOOKUP(B5534,T_DistName[],3,FALSE),"")</f>
        <v/>
      </c>
      <c r="J5534" t="str">
        <f t="shared" si="87"/>
        <v/>
      </c>
    </row>
    <row r="5535" spans="9:10">
      <c r="I5535" t="str">
        <f>_xlfn.IFNA(VLOOKUP(B5535,T_DistName[],3,FALSE),"")</f>
        <v/>
      </c>
      <c r="J5535" t="str">
        <f t="shared" si="87"/>
        <v/>
      </c>
    </row>
    <row r="5536" spans="9:10">
      <c r="I5536" t="str">
        <f>_xlfn.IFNA(VLOOKUP(B5536,T_DistName[],3,FALSE),"")</f>
        <v/>
      </c>
      <c r="J5536" t="str">
        <f t="shared" si="87"/>
        <v/>
      </c>
    </row>
    <row r="5537" spans="9:10">
      <c r="I5537" t="str">
        <f>_xlfn.IFNA(VLOOKUP(B5537,T_DistName[],3,FALSE),"")</f>
        <v/>
      </c>
      <c r="J5537" t="str">
        <f t="shared" si="87"/>
        <v/>
      </c>
    </row>
    <row r="5538" spans="9:10">
      <c r="I5538" t="str">
        <f>_xlfn.IFNA(VLOOKUP(B5538,T_DistName[],3,FALSE),"")</f>
        <v/>
      </c>
      <c r="J5538" t="str">
        <f t="shared" si="87"/>
        <v/>
      </c>
    </row>
    <row r="5539" spans="9:10">
      <c r="I5539" t="str">
        <f>_xlfn.IFNA(VLOOKUP(B5539,T_DistName[],3,FALSE),"")</f>
        <v/>
      </c>
      <c r="J5539" t="str">
        <f t="shared" si="87"/>
        <v/>
      </c>
    </row>
    <row r="5540" spans="9:10">
      <c r="I5540" t="str">
        <f>_xlfn.IFNA(VLOOKUP(B5540,T_DistName[],3,FALSE),"")</f>
        <v/>
      </c>
      <c r="J5540" t="str">
        <f t="shared" si="87"/>
        <v/>
      </c>
    </row>
    <row r="5541" spans="9:10">
      <c r="I5541" t="str">
        <f>_xlfn.IFNA(VLOOKUP(B5541,T_DistName[],3,FALSE),"")</f>
        <v/>
      </c>
      <c r="J5541" t="str">
        <f t="shared" si="87"/>
        <v/>
      </c>
    </row>
    <row r="5542" spans="9:10">
      <c r="I5542" t="str">
        <f>_xlfn.IFNA(VLOOKUP(B5542,T_DistName[],3,FALSE),"")</f>
        <v/>
      </c>
      <c r="J5542" t="str">
        <f t="shared" si="87"/>
        <v/>
      </c>
    </row>
    <row r="5543" spans="9:10">
      <c r="I5543" t="str">
        <f>_xlfn.IFNA(VLOOKUP(B5543,T_DistName[],3,FALSE),"")</f>
        <v/>
      </c>
      <c r="J5543" t="str">
        <f t="shared" si="87"/>
        <v/>
      </c>
    </row>
    <row r="5544" spans="9:10">
      <c r="I5544" t="str">
        <f>_xlfn.IFNA(VLOOKUP(B5544,T_DistName[],3,FALSE),"")</f>
        <v/>
      </c>
      <c r="J5544" t="str">
        <f t="shared" si="87"/>
        <v/>
      </c>
    </row>
    <row r="5545" spans="9:10">
      <c r="I5545" t="str">
        <f>_xlfn.IFNA(VLOOKUP(B5545,T_DistName[],3,FALSE),"")</f>
        <v/>
      </c>
      <c r="J5545" t="str">
        <f t="shared" si="87"/>
        <v/>
      </c>
    </row>
    <row r="5546" spans="9:10">
      <c r="I5546" t="str">
        <f>_xlfn.IFNA(VLOOKUP(B5546,T_DistName[],3,FALSE),"")</f>
        <v/>
      </c>
      <c r="J5546" t="str">
        <f t="shared" si="87"/>
        <v/>
      </c>
    </row>
    <row r="5547" spans="9:10">
      <c r="I5547" t="str">
        <f>_xlfn.IFNA(VLOOKUP(B5547,T_DistName[],3,FALSE),"")</f>
        <v/>
      </c>
      <c r="J5547" t="str">
        <f t="shared" si="87"/>
        <v/>
      </c>
    </row>
    <row r="5548" spans="9:10">
      <c r="I5548" t="str">
        <f>_xlfn.IFNA(VLOOKUP(B5548,T_DistName[],3,FALSE),"")</f>
        <v/>
      </c>
      <c r="J5548" t="str">
        <f t="shared" si="87"/>
        <v/>
      </c>
    </row>
    <row r="5549" spans="9:10">
      <c r="I5549" t="str">
        <f>_xlfn.IFNA(VLOOKUP(B5549,T_DistName[],3,FALSE),"")</f>
        <v/>
      </c>
      <c r="J5549" t="str">
        <f t="shared" si="87"/>
        <v/>
      </c>
    </row>
    <row r="5550" spans="9:10">
      <c r="I5550" t="str">
        <f>_xlfn.IFNA(VLOOKUP(B5550,T_DistName[],3,FALSE),"")</f>
        <v/>
      </c>
      <c r="J5550" t="str">
        <f t="shared" si="87"/>
        <v/>
      </c>
    </row>
    <row r="5551" spans="9:10">
      <c r="I5551" t="str">
        <f>_xlfn.IFNA(VLOOKUP(B5551,T_DistName[],3,FALSE),"")</f>
        <v/>
      </c>
      <c r="J5551" t="str">
        <f t="shared" si="87"/>
        <v/>
      </c>
    </row>
    <row r="5552" spans="9:10">
      <c r="I5552" t="str">
        <f>_xlfn.IFNA(VLOOKUP(B5552,T_DistName[],3,FALSE),"")</f>
        <v/>
      </c>
      <c r="J5552" t="str">
        <f t="shared" si="87"/>
        <v/>
      </c>
    </row>
    <row r="5553" spans="9:10">
      <c r="I5553" t="str">
        <f>_xlfn.IFNA(VLOOKUP(B5553,T_DistName[],3,FALSE),"")</f>
        <v/>
      </c>
      <c r="J5553" t="str">
        <f t="shared" si="87"/>
        <v/>
      </c>
    </row>
    <row r="5554" spans="9:10">
      <c r="I5554" t="str">
        <f>_xlfn.IFNA(VLOOKUP(B5554,T_DistName[],3,FALSE),"")</f>
        <v/>
      </c>
      <c r="J5554" t="str">
        <f t="shared" si="87"/>
        <v/>
      </c>
    </row>
    <row r="5555" spans="9:10">
      <c r="I5555" t="str">
        <f>_xlfn.IFNA(VLOOKUP(B5555,T_DistName[],3,FALSE),"")</f>
        <v/>
      </c>
      <c r="J5555" t="str">
        <f t="shared" si="87"/>
        <v/>
      </c>
    </row>
    <row r="5556" spans="9:10">
      <c r="I5556" t="str">
        <f>_xlfn.IFNA(VLOOKUP(B5556,T_DistName[],3,FALSE),"")</f>
        <v/>
      </c>
      <c r="J5556" t="str">
        <f t="shared" si="87"/>
        <v/>
      </c>
    </row>
    <row r="5557" spans="9:10">
      <c r="I5557" t="str">
        <f>_xlfn.IFNA(VLOOKUP(B5557,T_DistName[],3,FALSE),"")</f>
        <v/>
      </c>
      <c r="J5557" t="str">
        <f t="shared" si="87"/>
        <v/>
      </c>
    </row>
    <row r="5558" spans="9:10">
      <c r="I5558" t="str">
        <f>_xlfn.IFNA(VLOOKUP(B5558,T_DistName[],3,FALSE),"")</f>
        <v/>
      </c>
      <c r="J5558" t="str">
        <f t="shared" si="87"/>
        <v/>
      </c>
    </row>
    <row r="5559" spans="9:10">
      <c r="I5559" t="str">
        <f>_xlfn.IFNA(VLOOKUP(B5559,T_DistName[],3,FALSE),"")</f>
        <v/>
      </c>
      <c r="J5559" t="str">
        <f t="shared" si="87"/>
        <v/>
      </c>
    </row>
    <row r="5560" spans="9:10">
      <c r="I5560" t="str">
        <f>_xlfn.IFNA(VLOOKUP(B5560,T_DistName[],3,FALSE),"")</f>
        <v/>
      </c>
      <c r="J5560" t="str">
        <f t="shared" si="87"/>
        <v/>
      </c>
    </row>
    <row r="5561" spans="9:10">
      <c r="I5561" t="str">
        <f>_xlfn.IFNA(VLOOKUP(B5561,T_DistName[],3,FALSE),"")</f>
        <v/>
      </c>
      <c r="J5561" t="str">
        <f t="shared" si="87"/>
        <v/>
      </c>
    </row>
    <row r="5562" spans="9:10">
      <c r="I5562" t="str">
        <f>_xlfn.IFNA(VLOOKUP(B5562,T_DistName[],3,FALSE),"")</f>
        <v/>
      </c>
      <c r="J5562" t="str">
        <f t="shared" si="87"/>
        <v/>
      </c>
    </row>
    <row r="5563" spans="9:10">
      <c r="I5563" t="str">
        <f>_xlfn.IFNA(VLOOKUP(B5563,T_DistName[],3,FALSE),"")</f>
        <v/>
      </c>
      <c r="J5563" t="str">
        <f t="shared" si="87"/>
        <v/>
      </c>
    </row>
    <row r="5564" spans="9:10">
      <c r="I5564" t="str">
        <f>_xlfn.IFNA(VLOOKUP(B5564,T_DistName[],3,FALSE),"")</f>
        <v/>
      </c>
      <c r="J5564" t="str">
        <f t="shared" si="87"/>
        <v/>
      </c>
    </row>
    <row r="5565" spans="9:10">
      <c r="I5565" t="str">
        <f>_xlfn.IFNA(VLOOKUP(B5565,T_DistName[],3,FALSE),"")</f>
        <v/>
      </c>
      <c r="J5565" t="str">
        <f t="shared" si="87"/>
        <v/>
      </c>
    </row>
    <row r="5566" spans="9:10">
      <c r="I5566" t="str">
        <f>_xlfn.IFNA(VLOOKUP(B5566,T_DistName[],3,FALSE),"")</f>
        <v/>
      </c>
      <c r="J5566" t="str">
        <f t="shared" si="87"/>
        <v/>
      </c>
    </row>
    <row r="5567" spans="9:10">
      <c r="I5567" t="str">
        <f>_xlfn.IFNA(VLOOKUP(B5567,T_DistName[],3,FALSE),"")</f>
        <v/>
      </c>
      <c r="J5567" t="str">
        <f t="shared" si="87"/>
        <v/>
      </c>
    </row>
    <row r="5568" spans="9:10">
      <c r="I5568" t="str">
        <f>_xlfn.IFNA(VLOOKUP(B5568,T_DistName[],3,FALSE),"")</f>
        <v/>
      </c>
      <c r="J5568" t="str">
        <f t="shared" si="87"/>
        <v/>
      </c>
    </row>
    <row r="5569" spans="9:10">
      <c r="I5569" t="str">
        <f>_xlfn.IFNA(VLOOKUP(B5569,T_DistName[],3,FALSE),"")</f>
        <v/>
      </c>
      <c r="J5569" t="str">
        <f t="shared" si="87"/>
        <v/>
      </c>
    </row>
    <row r="5570" spans="9:10">
      <c r="I5570" t="str">
        <f>_xlfn.IFNA(VLOOKUP(B5570,T_DistName[],3,FALSE),"")</f>
        <v/>
      </c>
      <c r="J5570" t="str">
        <f t="shared" si="87"/>
        <v/>
      </c>
    </row>
    <row r="5571" spans="9:10">
      <c r="I5571" t="str">
        <f>_xlfn.IFNA(VLOOKUP(B5571,T_DistName[],3,FALSE),"")</f>
        <v/>
      </c>
      <c r="J5571" t="str">
        <f t="shared" si="87"/>
        <v/>
      </c>
    </row>
    <row r="5572" spans="9:10">
      <c r="I5572" t="str">
        <f>_xlfn.IFNA(VLOOKUP(B5572,T_DistName[],3,FALSE),"")</f>
        <v/>
      </c>
      <c r="J5572" t="str">
        <f t="shared" si="87"/>
        <v/>
      </c>
    </row>
    <row r="5573" spans="9:10">
      <c r="I5573" t="str">
        <f>_xlfn.IFNA(VLOOKUP(B5573,T_DistName[],3,FALSE),"")</f>
        <v/>
      </c>
      <c r="J5573" t="str">
        <f t="shared" si="87"/>
        <v/>
      </c>
    </row>
    <row r="5574" spans="9:10">
      <c r="I5574" t="str">
        <f>_xlfn.IFNA(VLOOKUP(B5574,T_DistName[],3,FALSE),"")</f>
        <v/>
      </c>
      <c r="J5574" t="str">
        <f t="shared" si="87"/>
        <v/>
      </c>
    </row>
    <row r="5575" spans="9:10">
      <c r="I5575" t="str">
        <f>_xlfn.IFNA(VLOOKUP(B5575,T_DistName[],3,FALSE),"")</f>
        <v/>
      </c>
      <c r="J5575" t="str">
        <f t="shared" si="87"/>
        <v/>
      </c>
    </row>
    <row r="5576" spans="9:10">
      <c r="I5576" t="str">
        <f>_xlfn.IFNA(VLOOKUP(B5576,T_DistName[],3,FALSE),"")</f>
        <v/>
      </c>
      <c r="J5576" t="str">
        <f t="shared" si="87"/>
        <v/>
      </c>
    </row>
    <row r="5577" spans="9:10">
      <c r="I5577" t="str">
        <f>_xlfn.IFNA(VLOOKUP(B5577,T_DistName[],3,FALSE),"")</f>
        <v/>
      </c>
      <c r="J5577" t="str">
        <f t="shared" si="87"/>
        <v/>
      </c>
    </row>
    <row r="5578" spans="9:10">
      <c r="I5578" t="str">
        <f>_xlfn.IFNA(VLOOKUP(B5578,T_DistName[],3,FALSE),"")</f>
        <v/>
      </c>
      <c r="J5578" t="str">
        <f t="shared" si="87"/>
        <v/>
      </c>
    </row>
    <row r="5579" spans="9:10">
      <c r="I5579" t="str">
        <f>_xlfn.IFNA(VLOOKUP(B5579,T_DistName[],3,FALSE),"")</f>
        <v/>
      </c>
      <c r="J5579" t="str">
        <f t="shared" si="87"/>
        <v/>
      </c>
    </row>
    <row r="5580" spans="9:10">
      <c r="I5580" t="str">
        <f>_xlfn.IFNA(VLOOKUP(B5580,T_DistName[],3,FALSE),"")</f>
        <v/>
      </c>
      <c r="J5580" t="str">
        <f t="shared" si="87"/>
        <v/>
      </c>
    </row>
    <row r="5581" spans="9:10">
      <c r="I5581" t="str">
        <f>_xlfn.IFNA(VLOOKUP(B5581,T_DistName[],3,FALSE),"")</f>
        <v/>
      </c>
      <c r="J5581" t="str">
        <f t="shared" si="87"/>
        <v/>
      </c>
    </row>
    <row r="5582" spans="9:10">
      <c r="I5582" t="str">
        <f>_xlfn.IFNA(VLOOKUP(B5582,T_DistName[],3,FALSE),"")</f>
        <v/>
      </c>
      <c r="J5582" t="str">
        <f t="shared" si="87"/>
        <v/>
      </c>
    </row>
    <row r="5583" spans="9:10">
      <c r="I5583" t="str">
        <f>_xlfn.IFNA(VLOOKUP(B5583,T_DistName[],3,FALSE),"")</f>
        <v/>
      </c>
      <c r="J5583" t="str">
        <f t="shared" si="87"/>
        <v/>
      </c>
    </row>
    <row r="5584" spans="9:10">
      <c r="I5584" t="str">
        <f>_xlfn.IFNA(VLOOKUP(B5584,T_DistName[],3,FALSE),"")</f>
        <v/>
      </c>
      <c r="J5584" t="str">
        <f t="shared" si="87"/>
        <v/>
      </c>
    </row>
    <row r="5585" spans="9:10">
      <c r="I5585" t="str">
        <f>_xlfn.IFNA(VLOOKUP(B5585,T_DistName[],3,FALSE),"")</f>
        <v/>
      </c>
      <c r="J5585" t="str">
        <f t="shared" si="87"/>
        <v/>
      </c>
    </row>
    <row r="5586" spans="9:10">
      <c r="I5586" t="str">
        <f>_xlfn.IFNA(VLOOKUP(B5586,T_DistName[],3,FALSE),"")</f>
        <v/>
      </c>
      <c r="J5586" t="str">
        <f t="shared" si="87"/>
        <v/>
      </c>
    </row>
    <row r="5587" spans="9:10">
      <c r="I5587" t="str">
        <f>_xlfn.IFNA(VLOOKUP(B5587,T_DistName[],3,FALSE),"")</f>
        <v/>
      </c>
      <c r="J5587" t="str">
        <f t="shared" si="87"/>
        <v/>
      </c>
    </row>
    <row r="5588" spans="9:10">
      <c r="I5588" t="str">
        <f>_xlfn.IFNA(VLOOKUP(B5588,T_DistName[],3,FALSE),"")</f>
        <v/>
      </c>
      <c r="J5588" t="str">
        <f t="shared" si="87"/>
        <v/>
      </c>
    </row>
    <row r="5589" spans="9:10">
      <c r="I5589" t="str">
        <f>_xlfn.IFNA(VLOOKUP(B5589,T_DistName[],3,FALSE),"")</f>
        <v/>
      </c>
      <c r="J5589" t="str">
        <f t="shared" si="87"/>
        <v/>
      </c>
    </row>
    <row r="5590" spans="9:10">
      <c r="I5590" t="str">
        <f>_xlfn.IFNA(VLOOKUP(B5590,T_DistName[],3,FALSE),"")</f>
        <v/>
      </c>
      <c r="J5590" t="str">
        <f t="shared" si="87"/>
        <v/>
      </c>
    </row>
    <row r="5591" spans="9:10">
      <c r="I5591" t="str">
        <f>_xlfn.IFNA(VLOOKUP(B5591,T_DistName[],3,FALSE),"")</f>
        <v/>
      </c>
      <c r="J5591" t="str">
        <f t="shared" si="87"/>
        <v/>
      </c>
    </row>
    <row r="5592" spans="9:10">
      <c r="I5592" t="str">
        <f>_xlfn.IFNA(VLOOKUP(B5592,T_DistName[],3,FALSE),"")</f>
        <v/>
      </c>
      <c r="J5592" t="str">
        <f t="shared" si="87"/>
        <v/>
      </c>
    </row>
    <row r="5593" spans="9:10">
      <c r="I5593" t="str">
        <f>_xlfn.IFNA(VLOOKUP(B5593,T_DistName[],3,FALSE),"")</f>
        <v/>
      </c>
      <c r="J5593" t="str">
        <f t="shared" ref="J5593:J5656" si="88">I5593&amp;F5593</f>
        <v/>
      </c>
    </row>
    <row r="5594" spans="9:10">
      <c r="I5594" t="str">
        <f>_xlfn.IFNA(VLOOKUP(B5594,T_DistName[],3,FALSE),"")</f>
        <v/>
      </c>
      <c r="J5594" t="str">
        <f t="shared" si="88"/>
        <v/>
      </c>
    </row>
    <row r="5595" spans="9:10">
      <c r="I5595" t="str">
        <f>_xlfn.IFNA(VLOOKUP(B5595,T_DistName[],3,FALSE),"")</f>
        <v/>
      </c>
      <c r="J5595" t="str">
        <f t="shared" si="88"/>
        <v/>
      </c>
    </row>
    <row r="5596" spans="9:10">
      <c r="I5596" t="str">
        <f>_xlfn.IFNA(VLOOKUP(B5596,T_DistName[],3,FALSE),"")</f>
        <v/>
      </c>
      <c r="J5596" t="str">
        <f t="shared" si="88"/>
        <v/>
      </c>
    </row>
    <row r="5597" spans="9:10">
      <c r="I5597" t="str">
        <f>_xlfn.IFNA(VLOOKUP(B5597,T_DistName[],3,FALSE),"")</f>
        <v/>
      </c>
      <c r="J5597" t="str">
        <f t="shared" si="88"/>
        <v/>
      </c>
    </row>
    <row r="5598" spans="9:10">
      <c r="I5598" t="str">
        <f>_xlfn.IFNA(VLOOKUP(B5598,T_DistName[],3,FALSE),"")</f>
        <v/>
      </c>
      <c r="J5598" t="str">
        <f t="shared" si="88"/>
        <v/>
      </c>
    </row>
    <row r="5599" spans="9:10">
      <c r="I5599" t="str">
        <f>_xlfn.IFNA(VLOOKUP(B5599,T_DistName[],3,FALSE),"")</f>
        <v/>
      </c>
      <c r="J5599" t="str">
        <f t="shared" si="88"/>
        <v/>
      </c>
    </row>
    <row r="5600" spans="9:10">
      <c r="I5600" t="str">
        <f>_xlfn.IFNA(VLOOKUP(B5600,T_DistName[],3,FALSE),"")</f>
        <v/>
      </c>
      <c r="J5600" t="str">
        <f t="shared" si="88"/>
        <v/>
      </c>
    </row>
    <row r="5601" spans="9:10">
      <c r="I5601" t="str">
        <f>_xlfn.IFNA(VLOOKUP(B5601,T_DistName[],3,FALSE),"")</f>
        <v/>
      </c>
      <c r="J5601" t="str">
        <f t="shared" si="88"/>
        <v/>
      </c>
    </row>
    <row r="5602" spans="9:10">
      <c r="I5602" t="str">
        <f>_xlfn.IFNA(VLOOKUP(B5602,T_DistName[],3,FALSE),"")</f>
        <v/>
      </c>
      <c r="J5602" t="str">
        <f t="shared" si="88"/>
        <v/>
      </c>
    </row>
    <row r="5603" spans="9:10">
      <c r="I5603" t="str">
        <f>_xlfn.IFNA(VLOOKUP(B5603,T_DistName[],3,FALSE),"")</f>
        <v/>
      </c>
      <c r="J5603" t="str">
        <f t="shared" si="88"/>
        <v/>
      </c>
    </row>
    <row r="5604" spans="9:10">
      <c r="I5604" t="str">
        <f>_xlfn.IFNA(VLOOKUP(B5604,T_DistName[],3,FALSE),"")</f>
        <v/>
      </c>
      <c r="J5604" t="str">
        <f t="shared" si="88"/>
        <v/>
      </c>
    </row>
    <row r="5605" spans="9:10">
      <c r="I5605" t="str">
        <f>_xlfn.IFNA(VLOOKUP(B5605,T_DistName[],3,FALSE),"")</f>
        <v/>
      </c>
      <c r="J5605" t="str">
        <f t="shared" si="88"/>
        <v/>
      </c>
    </row>
    <row r="5606" spans="9:10">
      <c r="I5606" t="str">
        <f>_xlfn.IFNA(VLOOKUP(B5606,T_DistName[],3,FALSE),"")</f>
        <v/>
      </c>
      <c r="J5606" t="str">
        <f t="shared" si="88"/>
        <v/>
      </c>
    </row>
    <row r="5607" spans="9:10">
      <c r="I5607" t="str">
        <f>_xlfn.IFNA(VLOOKUP(B5607,T_DistName[],3,FALSE),"")</f>
        <v/>
      </c>
      <c r="J5607" t="str">
        <f t="shared" si="88"/>
        <v/>
      </c>
    </row>
    <row r="5608" spans="9:10">
      <c r="I5608" t="str">
        <f>_xlfn.IFNA(VLOOKUP(B5608,T_DistName[],3,FALSE),"")</f>
        <v/>
      </c>
      <c r="J5608" t="str">
        <f t="shared" si="88"/>
        <v/>
      </c>
    </row>
    <row r="5609" spans="9:10">
      <c r="I5609" t="str">
        <f>_xlfn.IFNA(VLOOKUP(B5609,T_DistName[],3,FALSE),"")</f>
        <v/>
      </c>
      <c r="J5609" t="str">
        <f t="shared" si="88"/>
        <v/>
      </c>
    </row>
    <row r="5610" spans="9:10">
      <c r="I5610" t="str">
        <f>_xlfn.IFNA(VLOOKUP(B5610,T_DistName[],3,FALSE),"")</f>
        <v/>
      </c>
      <c r="J5610" t="str">
        <f t="shared" si="88"/>
        <v/>
      </c>
    </row>
    <row r="5611" spans="9:10">
      <c r="I5611" t="str">
        <f>_xlfn.IFNA(VLOOKUP(B5611,T_DistName[],3,FALSE),"")</f>
        <v/>
      </c>
      <c r="J5611" t="str">
        <f t="shared" si="88"/>
        <v/>
      </c>
    </row>
    <row r="5612" spans="9:10">
      <c r="I5612" t="str">
        <f>_xlfn.IFNA(VLOOKUP(B5612,T_DistName[],3,FALSE),"")</f>
        <v/>
      </c>
      <c r="J5612" t="str">
        <f t="shared" si="88"/>
        <v/>
      </c>
    </row>
    <row r="5613" spans="9:10">
      <c r="I5613" t="str">
        <f>_xlfn.IFNA(VLOOKUP(B5613,T_DistName[],3,FALSE),"")</f>
        <v/>
      </c>
      <c r="J5613" t="str">
        <f t="shared" si="88"/>
        <v/>
      </c>
    </row>
    <row r="5614" spans="9:10">
      <c r="I5614" t="str">
        <f>_xlfn.IFNA(VLOOKUP(B5614,T_DistName[],3,FALSE),"")</f>
        <v/>
      </c>
      <c r="J5614" t="str">
        <f t="shared" si="88"/>
        <v/>
      </c>
    </row>
    <row r="5615" spans="9:10">
      <c r="I5615" t="str">
        <f>_xlfn.IFNA(VLOOKUP(B5615,T_DistName[],3,FALSE),"")</f>
        <v/>
      </c>
      <c r="J5615" t="str">
        <f t="shared" si="88"/>
        <v/>
      </c>
    </row>
    <row r="5616" spans="9:10">
      <c r="I5616" t="str">
        <f>_xlfn.IFNA(VLOOKUP(B5616,T_DistName[],3,FALSE),"")</f>
        <v/>
      </c>
      <c r="J5616" t="str">
        <f t="shared" si="88"/>
        <v/>
      </c>
    </row>
    <row r="5617" spans="9:10">
      <c r="I5617" t="str">
        <f>_xlfn.IFNA(VLOOKUP(B5617,T_DistName[],3,FALSE),"")</f>
        <v/>
      </c>
      <c r="J5617" t="str">
        <f t="shared" si="88"/>
        <v/>
      </c>
    </row>
    <row r="5618" spans="9:10">
      <c r="I5618" t="str">
        <f>_xlfn.IFNA(VLOOKUP(B5618,T_DistName[],3,FALSE),"")</f>
        <v/>
      </c>
      <c r="J5618" t="str">
        <f t="shared" si="88"/>
        <v/>
      </c>
    </row>
    <row r="5619" spans="9:10">
      <c r="I5619" t="str">
        <f>_xlfn.IFNA(VLOOKUP(B5619,T_DistName[],3,FALSE),"")</f>
        <v/>
      </c>
      <c r="J5619" t="str">
        <f t="shared" si="88"/>
        <v/>
      </c>
    </row>
    <row r="5620" spans="9:10">
      <c r="I5620" t="str">
        <f>_xlfn.IFNA(VLOOKUP(B5620,T_DistName[],3,FALSE),"")</f>
        <v/>
      </c>
      <c r="J5620" t="str">
        <f t="shared" si="88"/>
        <v/>
      </c>
    </row>
    <row r="5621" spans="9:10">
      <c r="I5621" t="str">
        <f>_xlfn.IFNA(VLOOKUP(B5621,T_DistName[],3,FALSE),"")</f>
        <v/>
      </c>
      <c r="J5621" t="str">
        <f t="shared" si="88"/>
        <v/>
      </c>
    </row>
    <row r="5622" spans="9:10">
      <c r="I5622" t="str">
        <f>_xlfn.IFNA(VLOOKUP(B5622,T_DistName[],3,FALSE),"")</f>
        <v/>
      </c>
      <c r="J5622" t="str">
        <f t="shared" si="88"/>
        <v/>
      </c>
    </row>
    <row r="5623" spans="9:10">
      <c r="I5623" t="str">
        <f>_xlfn.IFNA(VLOOKUP(B5623,T_DistName[],3,FALSE),"")</f>
        <v/>
      </c>
      <c r="J5623" t="str">
        <f t="shared" si="88"/>
        <v/>
      </c>
    </row>
    <row r="5624" spans="9:10">
      <c r="I5624" t="str">
        <f>_xlfn.IFNA(VLOOKUP(B5624,T_DistName[],3,FALSE),"")</f>
        <v/>
      </c>
      <c r="J5624" t="str">
        <f t="shared" si="88"/>
        <v/>
      </c>
    </row>
    <row r="5625" spans="9:10">
      <c r="I5625" t="str">
        <f>_xlfn.IFNA(VLOOKUP(B5625,T_DistName[],3,FALSE),"")</f>
        <v/>
      </c>
      <c r="J5625" t="str">
        <f t="shared" si="88"/>
        <v/>
      </c>
    </row>
    <row r="5626" spans="9:10">
      <c r="I5626" t="str">
        <f>_xlfn.IFNA(VLOOKUP(B5626,T_DistName[],3,FALSE),"")</f>
        <v/>
      </c>
      <c r="J5626" t="str">
        <f t="shared" si="88"/>
        <v/>
      </c>
    </row>
    <row r="5627" spans="9:10">
      <c r="I5627" t="str">
        <f>_xlfn.IFNA(VLOOKUP(B5627,T_DistName[],3,FALSE),"")</f>
        <v/>
      </c>
      <c r="J5627" t="str">
        <f t="shared" si="88"/>
        <v/>
      </c>
    </row>
    <row r="5628" spans="9:10">
      <c r="I5628" t="str">
        <f>_xlfn.IFNA(VLOOKUP(B5628,T_DistName[],3,FALSE),"")</f>
        <v/>
      </c>
      <c r="J5628" t="str">
        <f t="shared" si="88"/>
        <v/>
      </c>
    </row>
    <row r="5629" spans="9:10">
      <c r="I5629" t="str">
        <f>_xlfn.IFNA(VLOOKUP(B5629,T_DistName[],3,FALSE),"")</f>
        <v/>
      </c>
      <c r="J5629" t="str">
        <f t="shared" si="88"/>
        <v/>
      </c>
    </row>
    <row r="5630" spans="9:10">
      <c r="I5630" t="str">
        <f>_xlfn.IFNA(VLOOKUP(B5630,T_DistName[],3,FALSE),"")</f>
        <v/>
      </c>
      <c r="J5630" t="str">
        <f t="shared" si="88"/>
        <v/>
      </c>
    </row>
    <row r="5631" spans="9:10">
      <c r="I5631" t="str">
        <f>_xlfn.IFNA(VLOOKUP(B5631,T_DistName[],3,FALSE),"")</f>
        <v/>
      </c>
      <c r="J5631" t="str">
        <f t="shared" si="88"/>
        <v/>
      </c>
    </row>
    <row r="5632" spans="9:10">
      <c r="I5632" t="str">
        <f>_xlfn.IFNA(VLOOKUP(B5632,T_DistName[],3,FALSE),"")</f>
        <v/>
      </c>
      <c r="J5632" t="str">
        <f t="shared" si="88"/>
        <v/>
      </c>
    </row>
    <row r="5633" spans="9:10">
      <c r="I5633" t="str">
        <f>_xlfn.IFNA(VLOOKUP(B5633,T_DistName[],3,FALSE),"")</f>
        <v/>
      </c>
      <c r="J5633" t="str">
        <f t="shared" si="88"/>
        <v/>
      </c>
    </row>
    <row r="5634" spans="9:10">
      <c r="I5634" t="str">
        <f>_xlfn.IFNA(VLOOKUP(B5634,T_DistName[],3,FALSE),"")</f>
        <v/>
      </c>
      <c r="J5634" t="str">
        <f t="shared" si="88"/>
        <v/>
      </c>
    </row>
    <row r="5635" spans="9:10">
      <c r="I5635" t="str">
        <f>_xlfn.IFNA(VLOOKUP(B5635,T_DistName[],3,FALSE),"")</f>
        <v/>
      </c>
      <c r="J5635" t="str">
        <f t="shared" si="88"/>
        <v/>
      </c>
    </row>
    <row r="5636" spans="9:10">
      <c r="I5636" t="str">
        <f>_xlfn.IFNA(VLOOKUP(B5636,T_DistName[],3,FALSE),"")</f>
        <v/>
      </c>
      <c r="J5636" t="str">
        <f t="shared" si="88"/>
        <v/>
      </c>
    </row>
    <row r="5637" spans="9:10">
      <c r="I5637" t="str">
        <f>_xlfn.IFNA(VLOOKUP(B5637,T_DistName[],3,FALSE),"")</f>
        <v/>
      </c>
      <c r="J5637" t="str">
        <f t="shared" si="88"/>
        <v/>
      </c>
    </row>
    <row r="5638" spans="9:10">
      <c r="I5638" t="str">
        <f>_xlfn.IFNA(VLOOKUP(B5638,T_DistName[],3,FALSE),"")</f>
        <v/>
      </c>
      <c r="J5638" t="str">
        <f t="shared" si="88"/>
        <v/>
      </c>
    </row>
    <row r="5639" spans="9:10">
      <c r="I5639" t="str">
        <f>_xlfn.IFNA(VLOOKUP(B5639,T_DistName[],3,FALSE),"")</f>
        <v/>
      </c>
      <c r="J5639" t="str">
        <f t="shared" si="88"/>
        <v/>
      </c>
    </row>
    <row r="5640" spans="9:10">
      <c r="I5640" t="str">
        <f>_xlfn.IFNA(VLOOKUP(B5640,T_DistName[],3,FALSE),"")</f>
        <v/>
      </c>
      <c r="J5640" t="str">
        <f t="shared" si="88"/>
        <v/>
      </c>
    </row>
    <row r="5641" spans="9:10">
      <c r="I5641" t="str">
        <f>_xlfn.IFNA(VLOOKUP(B5641,T_DistName[],3,FALSE),"")</f>
        <v/>
      </c>
      <c r="J5641" t="str">
        <f t="shared" si="88"/>
        <v/>
      </c>
    </row>
    <row r="5642" spans="9:10">
      <c r="I5642" t="str">
        <f>_xlfn.IFNA(VLOOKUP(B5642,T_DistName[],3,FALSE),"")</f>
        <v/>
      </c>
      <c r="J5642" t="str">
        <f t="shared" si="88"/>
        <v/>
      </c>
    </row>
    <row r="5643" spans="9:10">
      <c r="I5643" t="str">
        <f>_xlfn.IFNA(VLOOKUP(B5643,T_DistName[],3,FALSE),"")</f>
        <v/>
      </c>
      <c r="J5643" t="str">
        <f t="shared" si="88"/>
        <v/>
      </c>
    </row>
    <row r="5644" spans="9:10">
      <c r="I5644" t="str">
        <f>_xlfn.IFNA(VLOOKUP(B5644,T_DistName[],3,FALSE),"")</f>
        <v/>
      </c>
      <c r="J5644" t="str">
        <f t="shared" si="88"/>
        <v/>
      </c>
    </row>
    <row r="5645" spans="9:10">
      <c r="I5645" t="str">
        <f>_xlfn.IFNA(VLOOKUP(B5645,T_DistName[],3,FALSE),"")</f>
        <v/>
      </c>
      <c r="J5645" t="str">
        <f t="shared" si="88"/>
        <v/>
      </c>
    </row>
    <row r="5646" spans="9:10">
      <c r="I5646" t="str">
        <f>_xlfn.IFNA(VLOOKUP(B5646,T_DistName[],3,FALSE),"")</f>
        <v/>
      </c>
      <c r="J5646" t="str">
        <f t="shared" si="88"/>
        <v/>
      </c>
    </row>
    <row r="5647" spans="9:10">
      <c r="I5647" t="str">
        <f>_xlfn.IFNA(VLOOKUP(B5647,T_DistName[],3,FALSE),"")</f>
        <v/>
      </c>
      <c r="J5647" t="str">
        <f t="shared" si="88"/>
        <v/>
      </c>
    </row>
    <row r="5648" spans="9:10">
      <c r="I5648" t="str">
        <f>_xlfn.IFNA(VLOOKUP(B5648,T_DistName[],3,FALSE),"")</f>
        <v/>
      </c>
      <c r="J5648" t="str">
        <f t="shared" si="88"/>
        <v/>
      </c>
    </row>
    <row r="5649" spans="9:10">
      <c r="I5649" t="str">
        <f>_xlfn.IFNA(VLOOKUP(B5649,T_DistName[],3,FALSE),"")</f>
        <v/>
      </c>
      <c r="J5649" t="str">
        <f t="shared" si="88"/>
        <v/>
      </c>
    </row>
    <row r="5650" spans="9:10">
      <c r="I5650" t="str">
        <f>_xlfn.IFNA(VLOOKUP(B5650,T_DistName[],3,FALSE),"")</f>
        <v/>
      </c>
      <c r="J5650" t="str">
        <f t="shared" si="88"/>
        <v/>
      </c>
    </row>
    <row r="5651" spans="9:10">
      <c r="I5651" t="str">
        <f>_xlfn.IFNA(VLOOKUP(B5651,T_DistName[],3,FALSE),"")</f>
        <v/>
      </c>
      <c r="J5651" t="str">
        <f t="shared" si="88"/>
        <v/>
      </c>
    </row>
    <row r="5652" spans="9:10">
      <c r="I5652" t="str">
        <f>_xlfn.IFNA(VLOOKUP(B5652,T_DistName[],3,FALSE),"")</f>
        <v/>
      </c>
      <c r="J5652" t="str">
        <f t="shared" si="88"/>
        <v/>
      </c>
    </row>
    <row r="5653" spans="9:10">
      <c r="I5653" t="str">
        <f>_xlfn.IFNA(VLOOKUP(B5653,T_DistName[],3,FALSE),"")</f>
        <v/>
      </c>
      <c r="J5653" t="str">
        <f t="shared" si="88"/>
        <v/>
      </c>
    </row>
    <row r="5654" spans="9:10">
      <c r="I5654" t="str">
        <f>_xlfn.IFNA(VLOOKUP(B5654,T_DistName[],3,FALSE),"")</f>
        <v/>
      </c>
      <c r="J5654" t="str">
        <f t="shared" si="88"/>
        <v/>
      </c>
    </row>
    <row r="5655" spans="9:10">
      <c r="I5655" t="str">
        <f>_xlfn.IFNA(VLOOKUP(B5655,T_DistName[],3,FALSE),"")</f>
        <v/>
      </c>
      <c r="J5655" t="str">
        <f t="shared" si="88"/>
        <v/>
      </c>
    </row>
    <row r="5656" spans="9:10">
      <c r="I5656" t="str">
        <f>_xlfn.IFNA(VLOOKUP(B5656,T_DistName[],3,FALSE),"")</f>
        <v/>
      </c>
      <c r="J5656" t="str">
        <f t="shared" si="88"/>
        <v/>
      </c>
    </row>
    <row r="5657" spans="9:10">
      <c r="I5657" t="str">
        <f>_xlfn.IFNA(VLOOKUP(B5657,T_DistName[],3,FALSE),"")</f>
        <v/>
      </c>
      <c r="J5657" t="str">
        <f t="shared" ref="J5657:J5720" si="89">I5657&amp;F5657</f>
        <v/>
      </c>
    </row>
    <row r="5658" spans="9:10">
      <c r="I5658" t="str">
        <f>_xlfn.IFNA(VLOOKUP(B5658,T_DistName[],3,FALSE),"")</f>
        <v/>
      </c>
      <c r="J5658" t="str">
        <f t="shared" si="89"/>
        <v/>
      </c>
    </row>
    <row r="5659" spans="9:10">
      <c r="I5659" t="str">
        <f>_xlfn.IFNA(VLOOKUP(B5659,T_DistName[],3,FALSE),"")</f>
        <v/>
      </c>
      <c r="J5659" t="str">
        <f t="shared" si="89"/>
        <v/>
      </c>
    </row>
    <row r="5660" spans="9:10">
      <c r="I5660" t="str">
        <f>_xlfn.IFNA(VLOOKUP(B5660,T_DistName[],3,FALSE),"")</f>
        <v/>
      </c>
      <c r="J5660" t="str">
        <f t="shared" si="89"/>
        <v/>
      </c>
    </row>
    <row r="5661" spans="9:10">
      <c r="I5661" t="str">
        <f>_xlfn.IFNA(VLOOKUP(B5661,T_DistName[],3,FALSE),"")</f>
        <v/>
      </c>
      <c r="J5661" t="str">
        <f t="shared" si="89"/>
        <v/>
      </c>
    </row>
    <row r="5662" spans="9:10">
      <c r="I5662" t="str">
        <f>_xlfn.IFNA(VLOOKUP(B5662,T_DistName[],3,FALSE),"")</f>
        <v/>
      </c>
      <c r="J5662" t="str">
        <f t="shared" si="89"/>
        <v/>
      </c>
    </row>
    <row r="5663" spans="9:10">
      <c r="I5663" t="str">
        <f>_xlfn.IFNA(VLOOKUP(B5663,T_DistName[],3,FALSE),"")</f>
        <v/>
      </c>
      <c r="J5663" t="str">
        <f t="shared" si="89"/>
        <v/>
      </c>
    </row>
    <row r="5664" spans="9:10">
      <c r="I5664" t="str">
        <f>_xlfn.IFNA(VLOOKUP(B5664,T_DistName[],3,FALSE),"")</f>
        <v/>
      </c>
      <c r="J5664" t="str">
        <f t="shared" si="89"/>
        <v/>
      </c>
    </row>
    <row r="5665" spans="9:10">
      <c r="I5665" t="str">
        <f>_xlfn.IFNA(VLOOKUP(B5665,T_DistName[],3,FALSE),"")</f>
        <v/>
      </c>
      <c r="J5665" t="str">
        <f t="shared" si="89"/>
        <v/>
      </c>
    </row>
    <row r="5666" spans="9:10">
      <c r="I5666" t="str">
        <f>_xlfn.IFNA(VLOOKUP(B5666,T_DistName[],3,FALSE),"")</f>
        <v/>
      </c>
      <c r="J5666" t="str">
        <f t="shared" si="89"/>
        <v/>
      </c>
    </row>
    <row r="5667" spans="9:10">
      <c r="I5667" t="str">
        <f>_xlfn.IFNA(VLOOKUP(B5667,T_DistName[],3,FALSE),"")</f>
        <v/>
      </c>
      <c r="J5667" t="str">
        <f t="shared" si="89"/>
        <v/>
      </c>
    </row>
    <row r="5668" spans="9:10">
      <c r="I5668" t="str">
        <f>_xlfn.IFNA(VLOOKUP(B5668,T_DistName[],3,FALSE),"")</f>
        <v/>
      </c>
      <c r="J5668" t="str">
        <f t="shared" si="89"/>
        <v/>
      </c>
    </row>
    <row r="5669" spans="9:10">
      <c r="I5669" t="str">
        <f>_xlfn.IFNA(VLOOKUP(B5669,T_DistName[],3,FALSE),"")</f>
        <v/>
      </c>
      <c r="J5669" t="str">
        <f t="shared" si="89"/>
        <v/>
      </c>
    </row>
    <row r="5670" spans="9:10">
      <c r="I5670" t="str">
        <f>_xlfn.IFNA(VLOOKUP(B5670,T_DistName[],3,FALSE),"")</f>
        <v/>
      </c>
      <c r="J5670" t="str">
        <f t="shared" si="89"/>
        <v/>
      </c>
    </row>
    <row r="5671" spans="9:10">
      <c r="I5671" t="str">
        <f>_xlfn.IFNA(VLOOKUP(B5671,T_DistName[],3,FALSE),"")</f>
        <v/>
      </c>
      <c r="J5671" t="str">
        <f t="shared" si="89"/>
        <v/>
      </c>
    </row>
    <row r="5672" spans="9:10">
      <c r="I5672" t="str">
        <f>_xlfn.IFNA(VLOOKUP(B5672,T_DistName[],3,FALSE),"")</f>
        <v/>
      </c>
      <c r="J5672" t="str">
        <f t="shared" si="89"/>
        <v/>
      </c>
    </row>
    <row r="5673" spans="9:10">
      <c r="I5673" t="str">
        <f>_xlfn.IFNA(VLOOKUP(B5673,T_DistName[],3,FALSE),"")</f>
        <v/>
      </c>
      <c r="J5673" t="str">
        <f t="shared" si="89"/>
        <v/>
      </c>
    </row>
    <row r="5674" spans="9:10">
      <c r="I5674" t="str">
        <f>_xlfn.IFNA(VLOOKUP(B5674,T_DistName[],3,FALSE),"")</f>
        <v/>
      </c>
      <c r="J5674" t="str">
        <f t="shared" si="89"/>
        <v/>
      </c>
    </row>
    <row r="5675" spans="9:10">
      <c r="I5675" t="str">
        <f>_xlfn.IFNA(VLOOKUP(B5675,T_DistName[],3,FALSE),"")</f>
        <v/>
      </c>
      <c r="J5675" t="str">
        <f t="shared" si="89"/>
        <v/>
      </c>
    </row>
    <row r="5676" spans="9:10">
      <c r="I5676" t="str">
        <f>_xlfn.IFNA(VLOOKUP(B5676,T_DistName[],3,FALSE),"")</f>
        <v/>
      </c>
      <c r="J5676" t="str">
        <f t="shared" si="89"/>
        <v/>
      </c>
    </row>
    <row r="5677" spans="9:10">
      <c r="I5677" t="str">
        <f>_xlfn.IFNA(VLOOKUP(B5677,T_DistName[],3,FALSE),"")</f>
        <v/>
      </c>
      <c r="J5677" t="str">
        <f t="shared" si="89"/>
        <v/>
      </c>
    </row>
    <row r="5678" spans="9:10">
      <c r="I5678" t="str">
        <f>_xlfn.IFNA(VLOOKUP(B5678,T_DistName[],3,FALSE),"")</f>
        <v/>
      </c>
      <c r="J5678" t="str">
        <f t="shared" si="89"/>
        <v/>
      </c>
    </row>
    <row r="5679" spans="9:10">
      <c r="I5679" t="str">
        <f>_xlfn.IFNA(VLOOKUP(B5679,T_DistName[],3,FALSE),"")</f>
        <v/>
      </c>
      <c r="J5679" t="str">
        <f t="shared" si="89"/>
        <v/>
      </c>
    </row>
    <row r="5680" spans="9:10">
      <c r="I5680" t="str">
        <f>_xlfn.IFNA(VLOOKUP(B5680,T_DistName[],3,FALSE),"")</f>
        <v/>
      </c>
      <c r="J5680" t="str">
        <f t="shared" si="89"/>
        <v/>
      </c>
    </row>
    <row r="5681" spans="9:10">
      <c r="I5681" t="str">
        <f>_xlfn.IFNA(VLOOKUP(B5681,T_DistName[],3,FALSE),"")</f>
        <v/>
      </c>
      <c r="J5681" t="str">
        <f t="shared" si="89"/>
        <v/>
      </c>
    </row>
    <row r="5682" spans="9:10">
      <c r="I5682" t="str">
        <f>_xlfn.IFNA(VLOOKUP(B5682,T_DistName[],3,FALSE),"")</f>
        <v/>
      </c>
      <c r="J5682" t="str">
        <f t="shared" si="89"/>
        <v/>
      </c>
    </row>
    <row r="5683" spans="9:10">
      <c r="I5683" t="str">
        <f>_xlfn.IFNA(VLOOKUP(B5683,T_DistName[],3,FALSE),"")</f>
        <v/>
      </c>
      <c r="J5683" t="str">
        <f t="shared" si="89"/>
        <v/>
      </c>
    </row>
    <row r="5684" spans="9:10">
      <c r="I5684" t="str">
        <f>_xlfn.IFNA(VLOOKUP(B5684,T_DistName[],3,FALSE),"")</f>
        <v/>
      </c>
      <c r="J5684" t="str">
        <f t="shared" si="89"/>
        <v/>
      </c>
    </row>
    <row r="5685" spans="9:10">
      <c r="I5685" t="str">
        <f>_xlfn.IFNA(VLOOKUP(B5685,T_DistName[],3,FALSE),"")</f>
        <v/>
      </c>
      <c r="J5685" t="str">
        <f t="shared" si="89"/>
        <v/>
      </c>
    </row>
    <row r="5686" spans="9:10">
      <c r="I5686" t="str">
        <f>_xlfn.IFNA(VLOOKUP(B5686,T_DistName[],3,FALSE),"")</f>
        <v/>
      </c>
      <c r="J5686" t="str">
        <f t="shared" si="89"/>
        <v/>
      </c>
    </row>
    <row r="5687" spans="9:10">
      <c r="I5687" t="str">
        <f>_xlfn.IFNA(VLOOKUP(B5687,T_DistName[],3,FALSE),"")</f>
        <v/>
      </c>
      <c r="J5687" t="str">
        <f t="shared" si="89"/>
        <v/>
      </c>
    </row>
    <row r="5688" spans="9:10">
      <c r="I5688" t="str">
        <f>_xlfn.IFNA(VLOOKUP(B5688,T_DistName[],3,FALSE),"")</f>
        <v/>
      </c>
      <c r="J5688" t="str">
        <f t="shared" si="89"/>
        <v/>
      </c>
    </row>
    <row r="5689" spans="9:10">
      <c r="I5689" t="str">
        <f>_xlfn.IFNA(VLOOKUP(B5689,T_DistName[],3,FALSE),"")</f>
        <v/>
      </c>
      <c r="J5689" t="str">
        <f t="shared" si="89"/>
        <v/>
      </c>
    </row>
    <row r="5690" spans="9:10">
      <c r="I5690" t="str">
        <f>_xlfn.IFNA(VLOOKUP(B5690,T_DistName[],3,FALSE),"")</f>
        <v/>
      </c>
      <c r="J5690" t="str">
        <f t="shared" si="89"/>
        <v/>
      </c>
    </row>
    <row r="5691" spans="9:10">
      <c r="I5691" t="str">
        <f>_xlfn.IFNA(VLOOKUP(B5691,T_DistName[],3,FALSE),"")</f>
        <v/>
      </c>
      <c r="J5691" t="str">
        <f t="shared" si="89"/>
        <v/>
      </c>
    </row>
    <row r="5692" spans="9:10">
      <c r="I5692" t="str">
        <f>_xlfn.IFNA(VLOOKUP(B5692,T_DistName[],3,FALSE),"")</f>
        <v/>
      </c>
      <c r="J5692" t="str">
        <f t="shared" si="89"/>
        <v/>
      </c>
    </row>
    <row r="5693" spans="9:10">
      <c r="I5693" t="str">
        <f>_xlfn.IFNA(VLOOKUP(B5693,T_DistName[],3,FALSE),"")</f>
        <v/>
      </c>
      <c r="J5693" t="str">
        <f t="shared" si="89"/>
        <v/>
      </c>
    </row>
    <row r="5694" spans="9:10">
      <c r="I5694" t="str">
        <f>_xlfn.IFNA(VLOOKUP(B5694,T_DistName[],3,FALSE),"")</f>
        <v/>
      </c>
      <c r="J5694" t="str">
        <f t="shared" si="89"/>
        <v/>
      </c>
    </row>
    <row r="5695" spans="9:10">
      <c r="I5695" t="str">
        <f>_xlfn.IFNA(VLOOKUP(B5695,T_DistName[],3,FALSE),"")</f>
        <v/>
      </c>
      <c r="J5695" t="str">
        <f t="shared" si="89"/>
        <v/>
      </c>
    </row>
    <row r="5696" spans="9:10">
      <c r="I5696" t="str">
        <f>_xlfn.IFNA(VLOOKUP(B5696,T_DistName[],3,FALSE),"")</f>
        <v/>
      </c>
      <c r="J5696" t="str">
        <f t="shared" si="89"/>
        <v/>
      </c>
    </row>
    <row r="5697" spans="9:10">
      <c r="I5697" t="str">
        <f>_xlfn.IFNA(VLOOKUP(B5697,T_DistName[],3,FALSE),"")</f>
        <v/>
      </c>
      <c r="J5697" t="str">
        <f t="shared" si="89"/>
        <v/>
      </c>
    </row>
    <row r="5698" spans="9:10">
      <c r="I5698" t="str">
        <f>_xlfn.IFNA(VLOOKUP(B5698,T_DistName[],3,FALSE),"")</f>
        <v/>
      </c>
      <c r="J5698" t="str">
        <f t="shared" si="89"/>
        <v/>
      </c>
    </row>
    <row r="5699" spans="9:10">
      <c r="I5699" t="str">
        <f>_xlfn.IFNA(VLOOKUP(B5699,T_DistName[],3,FALSE),"")</f>
        <v/>
      </c>
      <c r="J5699" t="str">
        <f t="shared" si="89"/>
        <v/>
      </c>
    </row>
    <row r="5700" spans="9:10">
      <c r="I5700" t="str">
        <f>_xlfn.IFNA(VLOOKUP(B5700,T_DistName[],3,FALSE),"")</f>
        <v/>
      </c>
      <c r="J5700" t="str">
        <f t="shared" si="89"/>
        <v/>
      </c>
    </row>
    <row r="5701" spans="9:10">
      <c r="I5701" t="str">
        <f>_xlfn.IFNA(VLOOKUP(B5701,T_DistName[],3,FALSE),"")</f>
        <v/>
      </c>
      <c r="J5701" t="str">
        <f t="shared" si="89"/>
        <v/>
      </c>
    </row>
    <row r="5702" spans="9:10">
      <c r="I5702" t="str">
        <f>_xlfn.IFNA(VLOOKUP(B5702,T_DistName[],3,FALSE),"")</f>
        <v/>
      </c>
      <c r="J5702" t="str">
        <f t="shared" si="89"/>
        <v/>
      </c>
    </row>
    <row r="5703" spans="9:10">
      <c r="I5703" t="str">
        <f>_xlfn.IFNA(VLOOKUP(B5703,T_DistName[],3,FALSE),"")</f>
        <v/>
      </c>
      <c r="J5703" t="str">
        <f t="shared" si="89"/>
        <v/>
      </c>
    </row>
    <row r="5704" spans="9:10">
      <c r="I5704" t="str">
        <f>_xlfn.IFNA(VLOOKUP(B5704,T_DistName[],3,FALSE),"")</f>
        <v/>
      </c>
      <c r="J5704" t="str">
        <f t="shared" si="89"/>
        <v/>
      </c>
    </row>
    <row r="5705" spans="9:10">
      <c r="I5705" t="str">
        <f>_xlfn.IFNA(VLOOKUP(B5705,T_DistName[],3,FALSE),"")</f>
        <v/>
      </c>
      <c r="J5705" t="str">
        <f t="shared" si="89"/>
        <v/>
      </c>
    </row>
    <row r="5706" spans="9:10">
      <c r="I5706" t="str">
        <f>_xlfn.IFNA(VLOOKUP(B5706,T_DistName[],3,FALSE),"")</f>
        <v/>
      </c>
      <c r="J5706" t="str">
        <f t="shared" si="89"/>
        <v/>
      </c>
    </row>
    <row r="5707" spans="9:10">
      <c r="I5707" t="str">
        <f>_xlfn.IFNA(VLOOKUP(B5707,T_DistName[],3,FALSE),"")</f>
        <v/>
      </c>
      <c r="J5707" t="str">
        <f t="shared" si="89"/>
        <v/>
      </c>
    </row>
    <row r="5708" spans="9:10">
      <c r="I5708" t="str">
        <f>_xlfn.IFNA(VLOOKUP(B5708,T_DistName[],3,FALSE),"")</f>
        <v/>
      </c>
      <c r="J5708" t="str">
        <f t="shared" si="89"/>
        <v/>
      </c>
    </row>
    <row r="5709" spans="9:10">
      <c r="I5709" t="str">
        <f>_xlfn.IFNA(VLOOKUP(B5709,T_DistName[],3,FALSE),"")</f>
        <v/>
      </c>
      <c r="J5709" t="str">
        <f t="shared" si="89"/>
        <v/>
      </c>
    </row>
    <row r="5710" spans="9:10">
      <c r="I5710" t="str">
        <f>_xlfn.IFNA(VLOOKUP(B5710,T_DistName[],3,FALSE),"")</f>
        <v/>
      </c>
      <c r="J5710" t="str">
        <f t="shared" si="89"/>
        <v/>
      </c>
    </row>
    <row r="5711" spans="9:10">
      <c r="I5711" t="str">
        <f>_xlfn.IFNA(VLOOKUP(B5711,T_DistName[],3,FALSE),"")</f>
        <v/>
      </c>
      <c r="J5711" t="str">
        <f t="shared" si="89"/>
        <v/>
      </c>
    </row>
    <row r="5712" spans="9:10">
      <c r="I5712" t="str">
        <f>_xlfn.IFNA(VLOOKUP(B5712,T_DistName[],3,FALSE),"")</f>
        <v/>
      </c>
      <c r="J5712" t="str">
        <f t="shared" si="89"/>
        <v/>
      </c>
    </row>
    <row r="5713" spans="9:10">
      <c r="I5713" t="str">
        <f>_xlfn.IFNA(VLOOKUP(B5713,T_DistName[],3,FALSE),"")</f>
        <v/>
      </c>
      <c r="J5713" t="str">
        <f t="shared" si="89"/>
        <v/>
      </c>
    </row>
    <row r="5714" spans="9:10">
      <c r="I5714" t="str">
        <f>_xlfn.IFNA(VLOOKUP(B5714,T_DistName[],3,FALSE),"")</f>
        <v/>
      </c>
      <c r="J5714" t="str">
        <f t="shared" si="89"/>
        <v/>
      </c>
    </row>
    <row r="5715" spans="9:10">
      <c r="I5715" t="str">
        <f>_xlfn.IFNA(VLOOKUP(B5715,T_DistName[],3,FALSE),"")</f>
        <v/>
      </c>
      <c r="J5715" t="str">
        <f t="shared" si="89"/>
        <v/>
      </c>
    </row>
    <row r="5716" spans="9:10">
      <c r="I5716" t="str">
        <f>_xlfn.IFNA(VLOOKUP(B5716,T_DistName[],3,FALSE),"")</f>
        <v/>
      </c>
      <c r="J5716" t="str">
        <f t="shared" si="89"/>
        <v/>
      </c>
    </row>
    <row r="5717" spans="9:10">
      <c r="I5717" t="str">
        <f>_xlfn.IFNA(VLOOKUP(B5717,T_DistName[],3,FALSE),"")</f>
        <v/>
      </c>
      <c r="J5717" t="str">
        <f t="shared" si="89"/>
        <v/>
      </c>
    </row>
    <row r="5718" spans="9:10">
      <c r="I5718" t="str">
        <f>_xlfn.IFNA(VLOOKUP(B5718,T_DistName[],3,FALSE),"")</f>
        <v/>
      </c>
      <c r="J5718" t="str">
        <f t="shared" si="89"/>
        <v/>
      </c>
    </row>
    <row r="5719" spans="9:10">
      <c r="I5719" t="str">
        <f>_xlfn.IFNA(VLOOKUP(B5719,T_DistName[],3,FALSE),"")</f>
        <v/>
      </c>
      <c r="J5719" t="str">
        <f t="shared" si="89"/>
        <v/>
      </c>
    </row>
    <row r="5720" spans="9:10">
      <c r="I5720" t="str">
        <f>_xlfn.IFNA(VLOOKUP(B5720,T_DistName[],3,FALSE),"")</f>
        <v/>
      </c>
      <c r="J5720" t="str">
        <f t="shared" si="89"/>
        <v/>
      </c>
    </row>
    <row r="5721" spans="9:10">
      <c r="I5721" t="str">
        <f>_xlfn.IFNA(VLOOKUP(B5721,T_DistName[],3,FALSE),"")</f>
        <v/>
      </c>
      <c r="J5721" t="str">
        <f t="shared" ref="J5721:J5784" si="90">I5721&amp;F5721</f>
        <v/>
      </c>
    </row>
    <row r="5722" spans="9:10">
      <c r="I5722" t="str">
        <f>_xlfn.IFNA(VLOOKUP(B5722,T_DistName[],3,FALSE),"")</f>
        <v/>
      </c>
      <c r="J5722" t="str">
        <f t="shared" si="90"/>
        <v/>
      </c>
    </row>
    <row r="5723" spans="9:10">
      <c r="I5723" t="str">
        <f>_xlfn.IFNA(VLOOKUP(B5723,T_DistName[],3,FALSE),"")</f>
        <v/>
      </c>
      <c r="J5723" t="str">
        <f t="shared" si="90"/>
        <v/>
      </c>
    </row>
    <row r="5724" spans="9:10">
      <c r="I5724" t="str">
        <f>_xlfn.IFNA(VLOOKUP(B5724,T_DistName[],3,FALSE),"")</f>
        <v/>
      </c>
      <c r="J5724" t="str">
        <f t="shared" si="90"/>
        <v/>
      </c>
    </row>
    <row r="5725" spans="9:10">
      <c r="I5725" t="str">
        <f>_xlfn.IFNA(VLOOKUP(B5725,T_DistName[],3,FALSE),"")</f>
        <v/>
      </c>
      <c r="J5725" t="str">
        <f t="shared" si="90"/>
        <v/>
      </c>
    </row>
    <row r="5726" spans="9:10">
      <c r="I5726" t="str">
        <f>_xlfn.IFNA(VLOOKUP(B5726,T_DistName[],3,FALSE),"")</f>
        <v/>
      </c>
      <c r="J5726" t="str">
        <f t="shared" si="90"/>
        <v/>
      </c>
    </row>
    <row r="5727" spans="9:10">
      <c r="I5727" t="str">
        <f>_xlfn.IFNA(VLOOKUP(B5727,T_DistName[],3,FALSE),"")</f>
        <v/>
      </c>
      <c r="J5727" t="str">
        <f t="shared" si="90"/>
        <v/>
      </c>
    </row>
    <row r="5728" spans="9:10">
      <c r="I5728" t="str">
        <f>_xlfn.IFNA(VLOOKUP(B5728,T_DistName[],3,FALSE),"")</f>
        <v/>
      </c>
      <c r="J5728" t="str">
        <f t="shared" si="90"/>
        <v/>
      </c>
    </row>
    <row r="5729" spans="9:10">
      <c r="I5729" t="str">
        <f>_xlfn.IFNA(VLOOKUP(B5729,T_DistName[],3,FALSE),"")</f>
        <v/>
      </c>
      <c r="J5729" t="str">
        <f t="shared" si="90"/>
        <v/>
      </c>
    </row>
    <row r="5730" spans="9:10">
      <c r="I5730" t="str">
        <f>_xlfn.IFNA(VLOOKUP(B5730,T_DistName[],3,FALSE),"")</f>
        <v/>
      </c>
      <c r="J5730" t="str">
        <f t="shared" si="90"/>
        <v/>
      </c>
    </row>
    <row r="5731" spans="9:10">
      <c r="I5731" t="str">
        <f>_xlfn.IFNA(VLOOKUP(B5731,T_DistName[],3,FALSE),"")</f>
        <v/>
      </c>
      <c r="J5731" t="str">
        <f t="shared" si="90"/>
        <v/>
      </c>
    </row>
    <row r="5732" spans="9:10">
      <c r="I5732" t="str">
        <f>_xlfn.IFNA(VLOOKUP(B5732,T_DistName[],3,FALSE),"")</f>
        <v/>
      </c>
      <c r="J5732" t="str">
        <f t="shared" si="90"/>
        <v/>
      </c>
    </row>
    <row r="5733" spans="9:10">
      <c r="I5733" t="str">
        <f>_xlfn.IFNA(VLOOKUP(B5733,T_DistName[],3,FALSE),"")</f>
        <v/>
      </c>
      <c r="J5733" t="str">
        <f t="shared" si="90"/>
        <v/>
      </c>
    </row>
    <row r="5734" spans="9:10">
      <c r="I5734" t="str">
        <f>_xlfn.IFNA(VLOOKUP(B5734,T_DistName[],3,FALSE),"")</f>
        <v/>
      </c>
      <c r="J5734" t="str">
        <f t="shared" si="90"/>
        <v/>
      </c>
    </row>
    <row r="5735" spans="9:10">
      <c r="I5735" t="str">
        <f>_xlfn.IFNA(VLOOKUP(B5735,T_DistName[],3,FALSE),"")</f>
        <v/>
      </c>
      <c r="J5735" t="str">
        <f t="shared" si="90"/>
        <v/>
      </c>
    </row>
    <row r="5736" spans="9:10">
      <c r="I5736" t="str">
        <f>_xlfn.IFNA(VLOOKUP(B5736,T_DistName[],3,FALSE),"")</f>
        <v/>
      </c>
      <c r="J5736" t="str">
        <f t="shared" si="90"/>
        <v/>
      </c>
    </row>
    <row r="5737" spans="9:10">
      <c r="I5737" t="str">
        <f>_xlfn.IFNA(VLOOKUP(B5737,T_DistName[],3,FALSE),"")</f>
        <v/>
      </c>
      <c r="J5737" t="str">
        <f t="shared" si="90"/>
        <v/>
      </c>
    </row>
    <row r="5738" spans="9:10">
      <c r="I5738" t="str">
        <f>_xlfn.IFNA(VLOOKUP(B5738,T_DistName[],3,FALSE),"")</f>
        <v/>
      </c>
      <c r="J5738" t="str">
        <f t="shared" si="90"/>
        <v/>
      </c>
    </row>
    <row r="5739" spans="9:10">
      <c r="I5739" t="str">
        <f>_xlfn.IFNA(VLOOKUP(B5739,T_DistName[],3,FALSE),"")</f>
        <v/>
      </c>
      <c r="J5739" t="str">
        <f t="shared" si="90"/>
        <v/>
      </c>
    </row>
    <row r="5740" spans="9:10">
      <c r="I5740" t="str">
        <f>_xlfn.IFNA(VLOOKUP(B5740,T_DistName[],3,FALSE),"")</f>
        <v/>
      </c>
      <c r="J5740" t="str">
        <f t="shared" si="90"/>
        <v/>
      </c>
    </row>
    <row r="5741" spans="9:10">
      <c r="I5741" t="str">
        <f>_xlfn.IFNA(VLOOKUP(B5741,T_DistName[],3,FALSE),"")</f>
        <v/>
      </c>
      <c r="J5741" t="str">
        <f t="shared" si="90"/>
        <v/>
      </c>
    </row>
    <row r="5742" spans="9:10">
      <c r="I5742" t="str">
        <f>_xlfn.IFNA(VLOOKUP(B5742,T_DistName[],3,FALSE),"")</f>
        <v/>
      </c>
      <c r="J5742" t="str">
        <f t="shared" si="90"/>
        <v/>
      </c>
    </row>
    <row r="5743" spans="9:10">
      <c r="I5743" t="str">
        <f>_xlfn.IFNA(VLOOKUP(B5743,T_DistName[],3,FALSE),"")</f>
        <v/>
      </c>
      <c r="J5743" t="str">
        <f t="shared" si="90"/>
        <v/>
      </c>
    </row>
    <row r="5744" spans="9:10">
      <c r="I5744" t="str">
        <f>_xlfn.IFNA(VLOOKUP(B5744,T_DistName[],3,FALSE),"")</f>
        <v/>
      </c>
      <c r="J5744" t="str">
        <f t="shared" si="90"/>
        <v/>
      </c>
    </row>
    <row r="5745" spans="9:10">
      <c r="I5745" t="str">
        <f>_xlfn.IFNA(VLOOKUP(B5745,T_DistName[],3,FALSE),"")</f>
        <v/>
      </c>
      <c r="J5745" t="str">
        <f t="shared" si="90"/>
        <v/>
      </c>
    </row>
    <row r="5746" spans="9:10">
      <c r="I5746" t="str">
        <f>_xlfn.IFNA(VLOOKUP(B5746,T_DistName[],3,FALSE),"")</f>
        <v/>
      </c>
      <c r="J5746" t="str">
        <f t="shared" si="90"/>
        <v/>
      </c>
    </row>
    <row r="5747" spans="9:10">
      <c r="I5747" t="str">
        <f>_xlfn.IFNA(VLOOKUP(B5747,T_DistName[],3,FALSE),"")</f>
        <v/>
      </c>
      <c r="J5747" t="str">
        <f t="shared" si="90"/>
        <v/>
      </c>
    </row>
    <row r="5748" spans="9:10">
      <c r="I5748" t="str">
        <f>_xlfn.IFNA(VLOOKUP(B5748,T_DistName[],3,FALSE),"")</f>
        <v/>
      </c>
      <c r="J5748" t="str">
        <f t="shared" si="90"/>
        <v/>
      </c>
    </row>
    <row r="5749" spans="9:10">
      <c r="I5749" t="str">
        <f>_xlfn.IFNA(VLOOKUP(B5749,T_DistName[],3,FALSE),"")</f>
        <v/>
      </c>
      <c r="J5749" t="str">
        <f t="shared" si="90"/>
        <v/>
      </c>
    </row>
    <row r="5750" spans="9:10">
      <c r="I5750" t="str">
        <f>_xlfn.IFNA(VLOOKUP(B5750,T_DistName[],3,FALSE),"")</f>
        <v/>
      </c>
      <c r="J5750" t="str">
        <f t="shared" si="90"/>
        <v/>
      </c>
    </row>
    <row r="5751" spans="9:10">
      <c r="I5751" t="str">
        <f>_xlfn.IFNA(VLOOKUP(B5751,T_DistName[],3,FALSE),"")</f>
        <v/>
      </c>
      <c r="J5751" t="str">
        <f t="shared" si="90"/>
        <v/>
      </c>
    </row>
    <row r="5752" spans="9:10">
      <c r="I5752" t="str">
        <f>_xlfn.IFNA(VLOOKUP(B5752,T_DistName[],3,FALSE),"")</f>
        <v/>
      </c>
      <c r="J5752" t="str">
        <f t="shared" si="90"/>
        <v/>
      </c>
    </row>
    <row r="5753" spans="9:10">
      <c r="I5753" t="str">
        <f>_xlfn.IFNA(VLOOKUP(B5753,T_DistName[],3,FALSE),"")</f>
        <v/>
      </c>
      <c r="J5753" t="str">
        <f t="shared" si="90"/>
        <v/>
      </c>
    </row>
    <row r="5754" spans="9:10">
      <c r="I5754" t="str">
        <f>_xlfn.IFNA(VLOOKUP(B5754,T_DistName[],3,FALSE),"")</f>
        <v/>
      </c>
      <c r="J5754" t="str">
        <f t="shared" si="90"/>
        <v/>
      </c>
    </row>
    <row r="5755" spans="9:10">
      <c r="I5755" t="str">
        <f>_xlfn.IFNA(VLOOKUP(B5755,T_DistName[],3,FALSE),"")</f>
        <v/>
      </c>
      <c r="J5755" t="str">
        <f t="shared" si="90"/>
        <v/>
      </c>
    </row>
    <row r="5756" spans="9:10">
      <c r="I5756" t="str">
        <f>_xlfn.IFNA(VLOOKUP(B5756,T_DistName[],3,FALSE),"")</f>
        <v/>
      </c>
      <c r="J5756" t="str">
        <f t="shared" si="90"/>
        <v/>
      </c>
    </row>
    <row r="5757" spans="9:10">
      <c r="I5757" t="str">
        <f>_xlfn.IFNA(VLOOKUP(B5757,T_DistName[],3,FALSE),"")</f>
        <v/>
      </c>
      <c r="J5757" t="str">
        <f t="shared" si="90"/>
        <v/>
      </c>
    </row>
    <row r="5758" spans="9:10">
      <c r="I5758" t="str">
        <f>_xlfn.IFNA(VLOOKUP(B5758,T_DistName[],3,FALSE),"")</f>
        <v/>
      </c>
      <c r="J5758" t="str">
        <f t="shared" si="90"/>
        <v/>
      </c>
    </row>
    <row r="5759" spans="9:10">
      <c r="I5759" t="str">
        <f>_xlfn.IFNA(VLOOKUP(B5759,T_DistName[],3,FALSE),"")</f>
        <v/>
      </c>
      <c r="J5759" t="str">
        <f t="shared" si="90"/>
        <v/>
      </c>
    </row>
    <row r="5760" spans="9:10">
      <c r="I5760" t="str">
        <f>_xlfn.IFNA(VLOOKUP(B5760,T_DistName[],3,FALSE),"")</f>
        <v/>
      </c>
      <c r="J5760" t="str">
        <f t="shared" si="90"/>
        <v/>
      </c>
    </row>
    <row r="5761" spans="9:10">
      <c r="I5761" t="str">
        <f>_xlfn.IFNA(VLOOKUP(B5761,T_DistName[],3,FALSE),"")</f>
        <v/>
      </c>
      <c r="J5761" t="str">
        <f t="shared" si="90"/>
        <v/>
      </c>
    </row>
    <row r="5762" spans="9:10">
      <c r="I5762" t="str">
        <f>_xlfn.IFNA(VLOOKUP(B5762,T_DistName[],3,FALSE),"")</f>
        <v/>
      </c>
      <c r="J5762" t="str">
        <f t="shared" si="90"/>
        <v/>
      </c>
    </row>
    <row r="5763" spans="9:10">
      <c r="I5763" t="str">
        <f>_xlfn.IFNA(VLOOKUP(B5763,T_DistName[],3,FALSE),"")</f>
        <v/>
      </c>
      <c r="J5763" t="str">
        <f t="shared" si="90"/>
        <v/>
      </c>
    </row>
    <row r="5764" spans="9:10">
      <c r="I5764" t="str">
        <f>_xlfn.IFNA(VLOOKUP(B5764,T_DistName[],3,FALSE),"")</f>
        <v/>
      </c>
      <c r="J5764" t="str">
        <f t="shared" si="90"/>
        <v/>
      </c>
    </row>
    <row r="5765" spans="9:10">
      <c r="I5765" t="str">
        <f>_xlfn.IFNA(VLOOKUP(B5765,T_DistName[],3,FALSE),"")</f>
        <v/>
      </c>
      <c r="J5765" t="str">
        <f t="shared" si="90"/>
        <v/>
      </c>
    </row>
    <row r="5766" spans="9:10">
      <c r="I5766" t="str">
        <f>_xlfn.IFNA(VLOOKUP(B5766,T_DistName[],3,FALSE),"")</f>
        <v/>
      </c>
      <c r="J5766" t="str">
        <f t="shared" si="90"/>
        <v/>
      </c>
    </row>
    <row r="5767" spans="9:10">
      <c r="I5767" t="str">
        <f>_xlfn.IFNA(VLOOKUP(B5767,T_DistName[],3,FALSE),"")</f>
        <v/>
      </c>
      <c r="J5767" t="str">
        <f t="shared" si="90"/>
        <v/>
      </c>
    </row>
    <row r="5768" spans="9:10">
      <c r="I5768" t="str">
        <f>_xlfn.IFNA(VLOOKUP(B5768,T_DistName[],3,FALSE),"")</f>
        <v/>
      </c>
      <c r="J5768" t="str">
        <f t="shared" si="90"/>
        <v/>
      </c>
    </row>
    <row r="5769" spans="9:10">
      <c r="I5769" t="str">
        <f>_xlfn.IFNA(VLOOKUP(B5769,T_DistName[],3,FALSE),"")</f>
        <v/>
      </c>
      <c r="J5769" t="str">
        <f t="shared" si="90"/>
        <v/>
      </c>
    </row>
    <row r="5770" spans="9:10">
      <c r="I5770" t="str">
        <f>_xlfn.IFNA(VLOOKUP(B5770,T_DistName[],3,FALSE),"")</f>
        <v/>
      </c>
      <c r="J5770" t="str">
        <f t="shared" si="90"/>
        <v/>
      </c>
    </row>
    <row r="5771" spans="9:10">
      <c r="I5771" t="str">
        <f>_xlfn.IFNA(VLOOKUP(B5771,T_DistName[],3,FALSE),"")</f>
        <v/>
      </c>
      <c r="J5771" t="str">
        <f t="shared" si="90"/>
        <v/>
      </c>
    </row>
    <row r="5772" spans="9:10">
      <c r="I5772" t="str">
        <f>_xlfn.IFNA(VLOOKUP(B5772,T_DistName[],3,FALSE),"")</f>
        <v/>
      </c>
      <c r="J5772" t="str">
        <f t="shared" si="90"/>
        <v/>
      </c>
    </row>
    <row r="5773" spans="9:10">
      <c r="I5773" t="str">
        <f>_xlfn.IFNA(VLOOKUP(B5773,T_DistName[],3,FALSE),"")</f>
        <v/>
      </c>
      <c r="J5773" t="str">
        <f t="shared" si="90"/>
        <v/>
      </c>
    </row>
    <row r="5774" spans="9:10">
      <c r="I5774" t="str">
        <f>_xlfn.IFNA(VLOOKUP(B5774,T_DistName[],3,FALSE),"")</f>
        <v/>
      </c>
      <c r="J5774" t="str">
        <f t="shared" si="90"/>
        <v/>
      </c>
    </row>
    <row r="5775" spans="9:10">
      <c r="I5775" t="str">
        <f>_xlfn.IFNA(VLOOKUP(B5775,T_DistName[],3,FALSE),"")</f>
        <v/>
      </c>
      <c r="J5775" t="str">
        <f t="shared" si="90"/>
        <v/>
      </c>
    </row>
    <row r="5776" spans="9:10">
      <c r="I5776" t="str">
        <f>_xlfn.IFNA(VLOOKUP(B5776,T_DistName[],3,FALSE),"")</f>
        <v/>
      </c>
      <c r="J5776" t="str">
        <f t="shared" si="90"/>
        <v/>
      </c>
    </row>
    <row r="5777" spans="9:10">
      <c r="I5777" t="str">
        <f>_xlfn.IFNA(VLOOKUP(B5777,T_DistName[],3,FALSE),"")</f>
        <v/>
      </c>
      <c r="J5777" t="str">
        <f t="shared" si="90"/>
        <v/>
      </c>
    </row>
    <row r="5778" spans="9:10">
      <c r="I5778" t="str">
        <f>_xlfn.IFNA(VLOOKUP(B5778,T_DistName[],3,FALSE),"")</f>
        <v/>
      </c>
      <c r="J5778" t="str">
        <f t="shared" si="90"/>
        <v/>
      </c>
    </row>
    <row r="5779" spans="9:10">
      <c r="I5779" t="str">
        <f>_xlfn.IFNA(VLOOKUP(B5779,T_DistName[],3,FALSE),"")</f>
        <v/>
      </c>
      <c r="J5779" t="str">
        <f t="shared" si="90"/>
        <v/>
      </c>
    </row>
    <row r="5780" spans="9:10">
      <c r="I5780" t="str">
        <f>_xlfn.IFNA(VLOOKUP(B5780,T_DistName[],3,FALSE),"")</f>
        <v/>
      </c>
      <c r="J5780" t="str">
        <f t="shared" si="90"/>
        <v/>
      </c>
    </row>
    <row r="5781" spans="9:10">
      <c r="I5781" t="str">
        <f>_xlfn.IFNA(VLOOKUP(B5781,T_DistName[],3,FALSE),"")</f>
        <v/>
      </c>
      <c r="J5781" t="str">
        <f t="shared" si="90"/>
        <v/>
      </c>
    </row>
    <row r="5782" spans="9:10">
      <c r="I5782" t="str">
        <f>_xlfn.IFNA(VLOOKUP(B5782,T_DistName[],3,FALSE),"")</f>
        <v/>
      </c>
      <c r="J5782" t="str">
        <f t="shared" si="90"/>
        <v/>
      </c>
    </row>
    <row r="5783" spans="9:10">
      <c r="I5783" t="str">
        <f>_xlfn.IFNA(VLOOKUP(B5783,T_DistName[],3,FALSE),"")</f>
        <v/>
      </c>
      <c r="J5783" t="str">
        <f t="shared" si="90"/>
        <v/>
      </c>
    </row>
    <row r="5784" spans="9:10">
      <c r="I5784" t="str">
        <f>_xlfn.IFNA(VLOOKUP(B5784,T_DistName[],3,FALSE),"")</f>
        <v/>
      </c>
      <c r="J5784" t="str">
        <f t="shared" si="90"/>
        <v/>
      </c>
    </row>
    <row r="5785" spans="9:10">
      <c r="I5785" t="str">
        <f>_xlfn.IFNA(VLOOKUP(B5785,T_DistName[],3,FALSE),"")</f>
        <v/>
      </c>
      <c r="J5785" t="str">
        <f t="shared" ref="J5785:J5848" si="91">I5785&amp;F5785</f>
        <v/>
      </c>
    </row>
    <row r="5786" spans="9:10">
      <c r="I5786" t="str">
        <f>_xlfn.IFNA(VLOOKUP(B5786,T_DistName[],3,FALSE),"")</f>
        <v/>
      </c>
      <c r="J5786" t="str">
        <f t="shared" si="91"/>
        <v/>
      </c>
    </row>
    <row r="5787" spans="9:10">
      <c r="I5787" t="str">
        <f>_xlfn.IFNA(VLOOKUP(B5787,T_DistName[],3,FALSE),"")</f>
        <v/>
      </c>
      <c r="J5787" t="str">
        <f t="shared" si="91"/>
        <v/>
      </c>
    </row>
    <row r="5788" spans="9:10">
      <c r="I5788" t="str">
        <f>_xlfn.IFNA(VLOOKUP(B5788,T_DistName[],3,FALSE),"")</f>
        <v/>
      </c>
      <c r="J5788" t="str">
        <f t="shared" si="91"/>
        <v/>
      </c>
    </row>
    <row r="5789" spans="9:10">
      <c r="I5789" t="str">
        <f>_xlfn.IFNA(VLOOKUP(B5789,T_DistName[],3,FALSE),"")</f>
        <v/>
      </c>
      <c r="J5789" t="str">
        <f t="shared" si="91"/>
        <v/>
      </c>
    </row>
    <row r="5790" spans="9:10">
      <c r="I5790" t="str">
        <f>_xlfn.IFNA(VLOOKUP(B5790,T_DistName[],3,FALSE),"")</f>
        <v/>
      </c>
      <c r="J5790" t="str">
        <f t="shared" si="91"/>
        <v/>
      </c>
    </row>
    <row r="5791" spans="9:10">
      <c r="I5791" t="str">
        <f>_xlfn.IFNA(VLOOKUP(B5791,T_DistName[],3,FALSE),"")</f>
        <v/>
      </c>
      <c r="J5791" t="str">
        <f t="shared" si="91"/>
        <v/>
      </c>
    </row>
    <row r="5792" spans="9:10">
      <c r="I5792" t="str">
        <f>_xlfn.IFNA(VLOOKUP(B5792,T_DistName[],3,FALSE),"")</f>
        <v/>
      </c>
      <c r="J5792" t="str">
        <f t="shared" si="91"/>
        <v/>
      </c>
    </row>
    <row r="5793" spans="9:10">
      <c r="I5793" t="str">
        <f>_xlfn.IFNA(VLOOKUP(B5793,T_DistName[],3,FALSE),"")</f>
        <v/>
      </c>
      <c r="J5793" t="str">
        <f t="shared" si="91"/>
        <v/>
      </c>
    </row>
    <row r="5794" spans="9:10">
      <c r="I5794" t="str">
        <f>_xlfn.IFNA(VLOOKUP(B5794,T_DistName[],3,FALSE),"")</f>
        <v/>
      </c>
      <c r="J5794" t="str">
        <f t="shared" si="91"/>
        <v/>
      </c>
    </row>
    <row r="5795" spans="9:10">
      <c r="I5795" t="str">
        <f>_xlfn.IFNA(VLOOKUP(B5795,T_DistName[],3,FALSE),"")</f>
        <v/>
      </c>
      <c r="J5795" t="str">
        <f t="shared" si="91"/>
        <v/>
      </c>
    </row>
    <row r="5796" spans="9:10">
      <c r="I5796" t="str">
        <f>_xlfn.IFNA(VLOOKUP(B5796,T_DistName[],3,FALSE),"")</f>
        <v/>
      </c>
      <c r="J5796" t="str">
        <f t="shared" si="91"/>
        <v/>
      </c>
    </row>
    <row r="5797" spans="9:10">
      <c r="I5797" t="str">
        <f>_xlfn.IFNA(VLOOKUP(B5797,T_DistName[],3,FALSE),"")</f>
        <v/>
      </c>
      <c r="J5797" t="str">
        <f t="shared" si="91"/>
        <v/>
      </c>
    </row>
    <row r="5798" spans="9:10">
      <c r="I5798" t="str">
        <f>_xlfn.IFNA(VLOOKUP(B5798,T_DistName[],3,FALSE),"")</f>
        <v/>
      </c>
      <c r="J5798" t="str">
        <f t="shared" si="91"/>
        <v/>
      </c>
    </row>
    <row r="5799" spans="9:10">
      <c r="I5799" t="str">
        <f>_xlfn.IFNA(VLOOKUP(B5799,T_DistName[],3,FALSE),"")</f>
        <v/>
      </c>
      <c r="J5799" t="str">
        <f t="shared" si="91"/>
        <v/>
      </c>
    </row>
    <row r="5800" spans="9:10">
      <c r="I5800" t="str">
        <f>_xlfn.IFNA(VLOOKUP(B5800,T_DistName[],3,FALSE),"")</f>
        <v/>
      </c>
      <c r="J5800" t="str">
        <f t="shared" si="91"/>
        <v/>
      </c>
    </row>
    <row r="5801" spans="9:10">
      <c r="I5801" t="str">
        <f>_xlfn.IFNA(VLOOKUP(B5801,T_DistName[],3,FALSE),"")</f>
        <v/>
      </c>
      <c r="J5801" t="str">
        <f t="shared" si="91"/>
        <v/>
      </c>
    </row>
    <row r="5802" spans="9:10">
      <c r="I5802" t="str">
        <f>_xlfn.IFNA(VLOOKUP(B5802,T_DistName[],3,FALSE),"")</f>
        <v/>
      </c>
      <c r="J5802" t="str">
        <f t="shared" si="91"/>
        <v/>
      </c>
    </row>
    <row r="5803" spans="9:10">
      <c r="I5803" t="str">
        <f>_xlfn.IFNA(VLOOKUP(B5803,T_DistName[],3,FALSE),"")</f>
        <v/>
      </c>
      <c r="J5803" t="str">
        <f t="shared" si="91"/>
        <v/>
      </c>
    </row>
    <row r="5804" spans="9:10">
      <c r="I5804" t="str">
        <f>_xlfn.IFNA(VLOOKUP(B5804,T_DistName[],3,FALSE),"")</f>
        <v/>
      </c>
      <c r="J5804" t="str">
        <f t="shared" si="91"/>
        <v/>
      </c>
    </row>
    <row r="5805" spans="9:10">
      <c r="I5805" t="str">
        <f>_xlfn.IFNA(VLOOKUP(B5805,T_DistName[],3,FALSE),"")</f>
        <v/>
      </c>
      <c r="J5805" t="str">
        <f t="shared" si="91"/>
        <v/>
      </c>
    </row>
    <row r="5806" spans="9:10">
      <c r="I5806" t="str">
        <f>_xlfn.IFNA(VLOOKUP(B5806,T_DistName[],3,FALSE),"")</f>
        <v/>
      </c>
      <c r="J5806" t="str">
        <f t="shared" si="91"/>
        <v/>
      </c>
    </row>
    <row r="5807" spans="9:10">
      <c r="I5807" t="str">
        <f>_xlfn.IFNA(VLOOKUP(B5807,T_DistName[],3,FALSE),"")</f>
        <v/>
      </c>
      <c r="J5807" t="str">
        <f t="shared" si="91"/>
        <v/>
      </c>
    </row>
    <row r="5808" spans="9:10">
      <c r="I5808" t="str">
        <f>_xlfn.IFNA(VLOOKUP(B5808,T_DistName[],3,FALSE),"")</f>
        <v/>
      </c>
      <c r="J5808" t="str">
        <f t="shared" si="91"/>
        <v/>
      </c>
    </row>
    <row r="5809" spans="9:10">
      <c r="I5809" t="str">
        <f>_xlfn.IFNA(VLOOKUP(B5809,T_DistName[],3,FALSE),"")</f>
        <v/>
      </c>
      <c r="J5809" t="str">
        <f t="shared" si="91"/>
        <v/>
      </c>
    </row>
    <row r="5810" spans="9:10">
      <c r="I5810" t="str">
        <f>_xlfn.IFNA(VLOOKUP(B5810,T_DistName[],3,FALSE),"")</f>
        <v/>
      </c>
      <c r="J5810" t="str">
        <f t="shared" si="91"/>
        <v/>
      </c>
    </row>
    <row r="5811" spans="9:10">
      <c r="I5811" t="str">
        <f>_xlfn.IFNA(VLOOKUP(B5811,T_DistName[],3,FALSE),"")</f>
        <v/>
      </c>
      <c r="J5811" t="str">
        <f t="shared" si="91"/>
        <v/>
      </c>
    </row>
    <row r="5812" spans="9:10">
      <c r="I5812" t="str">
        <f>_xlfn.IFNA(VLOOKUP(B5812,T_DistName[],3,FALSE),"")</f>
        <v/>
      </c>
      <c r="J5812" t="str">
        <f t="shared" si="91"/>
        <v/>
      </c>
    </row>
    <row r="5813" spans="9:10">
      <c r="I5813" t="str">
        <f>_xlfn.IFNA(VLOOKUP(B5813,T_DistName[],3,FALSE),"")</f>
        <v/>
      </c>
      <c r="J5813" t="str">
        <f t="shared" si="91"/>
        <v/>
      </c>
    </row>
    <row r="5814" spans="9:10">
      <c r="I5814" t="str">
        <f>_xlfn.IFNA(VLOOKUP(B5814,T_DistName[],3,FALSE),"")</f>
        <v/>
      </c>
      <c r="J5814" t="str">
        <f t="shared" si="91"/>
        <v/>
      </c>
    </row>
    <row r="5815" spans="9:10">
      <c r="I5815" t="str">
        <f>_xlfn.IFNA(VLOOKUP(B5815,T_DistName[],3,FALSE),"")</f>
        <v/>
      </c>
      <c r="J5815" t="str">
        <f t="shared" si="91"/>
        <v/>
      </c>
    </row>
    <row r="5816" spans="9:10">
      <c r="I5816" t="str">
        <f>_xlfn.IFNA(VLOOKUP(B5816,T_DistName[],3,FALSE),"")</f>
        <v/>
      </c>
      <c r="J5816" t="str">
        <f t="shared" si="91"/>
        <v/>
      </c>
    </row>
    <row r="5817" spans="9:10">
      <c r="I5817" t="str">
        <f>_xlfn.IFNA(VLOOKUP(B5817,T_DistName[],3,FALSE),"")</f>
        <v/>
      </c>
      <c r="J5817" t="str">
        <f t="shared" si="91"/>
        <v/>
      </c>
    </row>
    <row r="5818" spans="9:10">
      <c r="I5818" t="str">
        <f>_xlfn.IFNA(VLOOKUP(B5818,T_DistName[],3,FALSE),"")</f>
        <v/>
      </c>
      <c r="J5818" t="str">
        <f t="shared" si="91"/>
        <v/>
      </c>
    </row>
    <row r="5819" spans="9:10">
      <c r="I5819" t="str">
        <f>_xlfn.IFNA(VLOOKUP(B5819,T_DistName[],3,FALSE),"")</f>
        <v/>
      </c>
      <c r="J5819" t="str">
        <f t="shared" si="91"/>
        <v/>
      </c>
    </row>
    <row r="5820" spans="9:10">
      <c r="I5820" t="str">
        <f>_xlfn.IFNA(VLOOKUP(B5820,T_DistName[],3,FALSE),"")</f>
        <v/>
      </c>
      <c r="J5820" t="str">
        <f t="shared" si="91"/>
        <v/>
      </c>
    </row>
    <row r="5821" spans="9:10">
      <c r="I5821" t="str">
        <f>_xlfn.IFNA(VLOOKUP(B5821,T_DistName[],3,FALSE),"")</f>
        <v/>
      </c>
      <c r="J5821" t="str">
        <f t="shared" si="91"/>
        <v/>
      </c>
    </row>
    <row r="5822" spans="9:10">
      <c r="I5822" t="str">
        <f>_xlfn.IFNA(VLOOKUP(B5822,T_DistName[],3,FALSE),"")</f>
        <v/>
      </c>
      <c r="J5822" t="str">
        <f t="shared" si="91"/>
        <v/>
      </c>
    </row>
    <row r="5823" spans="9:10">
      <c r="I5823" t="str">
        <f>_xlfn.IFNA(VLOOKUP(B5823,T_DistName[],3,FALSE),"")</f>
        <v/>
      </c>
      <c r="J5823" t="str">
        <f t="shared" si="91"/>
        <v/>
      </c>
    </row>
    <row r="5824" spans="9:10">
      <c r="I5824" t="str">
        <f>_xlfn.IFNA(VLOOKUP(B5824,T_DistName[],3,FALSE),"")</f>
        <v/>
      </c>
      <c r="J5824" t="str">
        <f t="shared" si="91"/>
        <v/>
      </c>
    </row>
    <row r="5825" spans="9:10">
      <c r="I5825" t="str">
        <f>_xlfn.IFNA(VLOOKUP(B5825,T_DistName[],3,FALSE),"")</f>
        <v/>
      </c>
      <c r="J5825" t="str">
        <f t="shared" si="91"/>
        <v/>
      </c>
    </row>
    <row r="5826" spans="9:10">
      <c r="I5826" t="str">
        <f>_xlfn.IFNA(VLOOKUP(B5826,T_DistName[],3,FALSE),"")</f>
        <v/>
      </c>
      <c r="J5826" t="str">
        <f t="shared" si="91"/>
        <v/>
      </c>
    </row>
    <row r="5827" spans="9:10">
      <c r="I5827" t="str">
        <f>_xlfn.IFNA(VLOOKUP(B5827,T_DistName[],3,FALSE),"")</f>
        <v/>
      </c>
      <c r="J5827" t="str">
        <f t="shared" si="91"/>
        <v/>
      </c>
    </row>
    <row r="5828" spans="9:10">
      <c r="I5828" t="str">
        <f>_xlfn.IFNA(VLOOKUP(B5828,T_DistName[],3,FALSE),"")</f>
        <v/>
      </c>
      <c r="J5828" t="str">
        <f t="shared" si="91"/>
        <v/>
      </c>
    </row>
    <row r="5829" spans="9:10">
      <c r="I5829" t="str">
        <f>_xlfn.IFNA(VLOOKUP(B5829,T_DistName[],3,FALSE),"")</f>
        <v/>
      </c>
      <c r="J5829" t="str">
        <f t="shared" si="91"/>
        <v/>
      </c>
    </row>
    <row r="5830" spans="9:10">
      <c r="I5830" t="str">
        <f>_xlfn.IFNA(VLOOKUP(B5830,T_DistName[],3,FALSE),"")</f>
        <v/>
      </c>
      <c r="J5830" t="str">
        <f t="shared" si="91"/>
        <v/>
      </c>
    </row>
    <row r="5831" spans="9:10">
      <c r="I5831" t="str">
        <f>_xlfn.IFNA(VLOOKUP(B5831,T_DistName[],3,FALSE),"")</f>
        <v/>
      </c>
      <c r="J5831" t="str">
        <f t="shared" si="91"/>
        <v/>
      </c>
    </row>
    <row r="5832" spans="9:10">
      <c r="I5832" t="str">
        <f>_xlfn.IFNA(VLOOKUP(B5832,T_DistName[],3,FALSE),"")</f>
        <v/>
      </c>
      <c r="J5832" t="str">
        <f t="shared" si="91"/>
        <v/>
      </c>
    </row>
    <row r="5833" spans="9:10">
      <c r="I5833" t="str">
        <f>_xlfn.IFNA(VLOOKUP(B5833,T_DistName[],3,FALSE),"")</f>
        <v/>
      </c>
      <c r="J5833" t="str">
        <f t="shared" si="91"/>
        <v/>
      </c>
    </row>
    <row r="5834" spans="9:10">
      <c r="I5834" t="str">
        <f>_xlfn.IFNA(VLOOKUP(B5834,T_DistName[],3,FALSE),"")</f>
        <v/>
      </c>
      <c r="J5834" t="str">
        <f t="shared" si="91"/>
        <v/>
      </c>
    </row>
    <row r="5835" spans="9:10">
      <c r="I5835" t="str">
        <f>_xlfn.IFNA(VLOOKUP(B5835,T_DistName[],3,FALSE),"")</f>
        <v/>
      </c>
      <c r="J5835" t="str">
        <f t="shared" si="91"/>
        <v/>
      </c>
    </row>
    <row r="5836" spans="9:10">
      <c r="I5836" t="str">
        <f>_xlfn.IFNA(VLOOKUP(B5836,T_DistName[],3,FALSE),"")</f>
        <v/>
      </c>
      <c r="J5836" t="str">
        <f t="shared" si="91"/>
        <v/>
      </c>
    </row>
    <row r="5837" spans="9:10">
      <c r="I5837" t="str">
        <f>_xlfn.IFNA(VLOOKUP(B5837,T_DistName[],3,FALSE),"")</f>
        <v/>
      </c>
      <c r="J5837" t="str">
        <f t="shared" si="91"/>
        <v/>
      </c>
    </row>
    <row r="5838" spans="9:10">
      <c r="I5838" t="str">
        <f>_xlfn.IFNA(VLOOKUP(B5838,T_DistName[],3,FALSE),"")</f>
        <v/>
      </c>
      <c r="J5838" t="str">
        <f t="shared" si="91"/>
        <v/>
      </c>
    </row>
    <row r="5839" spans="9:10">
      <c r="I5839" t="str">
        <f>_xlfn.IFNA(VLOOKUP(B5839,T_DistName[],3,FALSE),"")</f>
        <v/>
      </c>
      <c r="J5839" t="str">
        <f t="shared" si="91"/>
        <v/>
      </c>
    </row>
    <row r="5840" spans="9:10">
      <c r="I5840" t="str">
        <f>_xlfn.IFNA(VLOOKUP(B5840,T_DistName[],3,FALSE),"")</f>
        <v/>
      </c>
      <c r="J5840" t="str">
        <f t="shared" si="91"/>
        <v/>
      </c>
    </row>
    <row r="5841" spans="9:10">
      <c r="I5841" t="str">
        <f>_xlfn.IFNA(VLOOKUP(B5841,T_DistName[],3,FALSE),"")</f>
        <v/>
      </c>
      <c r="J5841" t="str">
        <f t="shared" si="91"/>
        <v/>
      </c>
    </row>
    <row r="5842" spans="9:10">
      <c r="I5842" t="str">
        <f>_xlfn.IFNA(VLOOKUP(B5842,T_DistName[],3,FALSE),"")</f>
        <v/>
      </c>
      <c r="J5842" t="str">
        <f t="shared" si="91"/>
        <v/>
      </c>
    </row>
    <row r="5843" spans="9:10">
      <c r="I5843" t="str">
        <f>_xlfn.IFNA(VLOOKUP(B5843,T_DistName[],3,FALSE),"")</f>
        <v/>
      </c>
      <c r="J5843" t="str">
        <f t="shared" si="91"/>
        <v/>
      </c>
    </row>
    <row r="5844" spans="9:10">
      <c r="I5844" t="str">
        <f>_xlfn.IFNA(VLOOKUP(B5844,T_DistName[],3,FALSE),"")</f>
        <v/>
      </c>
      <c r="J5844" t="str">
        <f t="shared" si="91"/>
        <v/>
      </c>
    </row>
    <row r="5845" spans="9:10">
      <c r="I5845" t="str">
        <f>_xlfn.IFNA(VLOOKUP(B5845,T_DistName[],3,FALSE),"")</f>
        <v/>
      </c>
      <c r="J5845" t="str">
        <f t="shared" si="91"/>
        <v/>
      </c>
    </row>
    <row r="5846" spans="9:10">
      <c r="I5846" t="str">
        <f>_xlfn.IFNA(VLOOKUP(B5846,T_DistName[],3,FALSE),"")</f>
        <v/>
      </c>
      <c r="J5846" t="str">
        <f t="shared" si="91"/>
        <v/>
      </c>
    </row>
    <row r="5847" spans="9:10">
      <c r="I5847" t="str">
        <f>_xlfn.IFNA(VLOOKUP(B5847,T_DistName[],3,FALSE),"")</f>
        <v/>
      </c>
      <c r="J5847" t="str">
        <f t="shared" si="91"/>
        <v/>
      </c>
    </row>
    <row r="5848" spans="9:10">
      <c r="I5848" t="str">
        <f>_xlfn.IFNA(VLOOKUP(B5848,T_DistName[],3,FALSE),"")</f>
        <v/>
      </c>
      <c r="J5848" t="str">
        <f t="shared" si="91"/>
        <v/>
      </c>
    </row>
    <row r="5849" spans="9:10">
      <c r="I5849" t="str">
        <f>_xlfn.IFNA(VLOOKUP(B5849,T_DistName[],3,FALSE),"")</f>
        <v/>
      </c>
      <c r="J5849" t="str">
        <f t="shared" ref="J5849:J5912" si="92">I5849&amp;F5849</f>
        <v/>
      </c>
    </row>
    <row r="5850" spans="9:10">
      <c r="I5850" t="str">
        <f>_xlfn.IFNA(VLOOKUP(B5850,T_DistName[],3,FALSE),"")</f>
        <v/>
      </c>
      <c r="J5850" t="str">
        <f t="shared" si="92"/>
        <v/>
      </c>
    </row>
    <row r="5851" spans="9:10">
      <c r="I5851" t="str">
        <f>_xlfn.IFNA(VLOOKUP(B5851,T_DistName[],3,FALSE),"")</f>
        <v/>
      </c>
      <c r="J5851" t="str">
        <f t="shared" si="92"/>
        <v/>
      </c>
    </row>
    <row r="5852" spans="9:10">
      <c r="I5852" t="str">
        <f>_xlfn.IFNA(VLOOKUP(B5852,T_DistName[],3,FALSE),"")</f>
        <v/>
      </c>
      <c r="J5852" t="str">
        <f t="shared" si="92"/>
        <v/>
      </c>
    </row>
    <row r="5853" spans="9:10">
      <c r="I5853" t="str">
        <f>_xlfn.IFNA(VLOOKUP(B5853,T_DistName[],3,FALSE),"")</f>
        <v/>
      </c>
      <c r="J5853" t="str">
        <f t="shared" si="92"/>
        <v/>
      </c>
    </row>
    <row r="5854" spans="9:10">
      <c r="I5854" t="str">
        <f>_xlfn.IFNA(VLOOKUP(B5854,T_DistName[],3,FALSE),"")</f>
        <v/>
      </c>
      <c r="J5854" t="str">
        <f t="shared" si="92"/>
        <v/>
      </c>
    </row>
    <row r="5855" spans="9:10">
      <c r="I5855" t="str">
        <f>_xlfn.IFNA(VLOOKUP(B5855,T_DistName[],3,FALSE),"")</f>
        <v/>
      </c>
      <c r="J5855" t="str">
        <f t="shared" si="92"/>
        <v/>
      </c>
    </row>
    <row r="5856" spans="9:10">
      <c r="I5856" t="str">
        <f>_xlfn.IFNA(VLOOKUP(B5856,T_DistName[],3,FALSE),"")</f>
        <v/>
      </c>
      <c r="J5856" t="str">
        <f t="shared" si="92"/>
        <v/>
      </c>
    </row>
    <row r="5857" spans="9:10">
      <c r="I5857" t="str">
        <f>_xlfn.IFNA(VLOOKUP(B5857,T_DistName[],3,FALSE),"")</f>
        <v/>
      </c>
      <c r="J5857" t="str">
        <f t="shared" si="92"/>
        <v/>
      </c>
    </row>
    <row r="5858" spans="9:10">
      <c r="I5858" t="str">
        <f>_xlfn.IFNA(VLOOKUP(B5858,T_DistName[],3,FALSE),"")</f>
        <v/>
      </c>
      <c r="J5858" t="str">
        <f t="shared" si="92"/>
        <v/>
      </c>
    </row>
    <row r="5859" spans="9:10">
      <c r="I5859" t="str">
        <f>_xlfn.IFNA(VLOOKUP(B5859,T_DistName[],3,FALSE),"")</f>
        <v/>
      </c>
      <c r="J5859" t="str">
        <f t="shared" si="92"/>
        <v/>
      </c>
    </row>
    <row r="5860" spans="9:10">
      <c r="I5860" t="str">
        <f>_xlfn.IFNA(VLOOKUP(B5860,T_DistName[],3,FALSE),"")</f>
        <v/>
      </c>
      <c r="J5860" t="str">
        <f t="shared" si="92"/>
        <v/>
      </c>
    </row>
    <row r="5861" spans="9:10">
      <c r="I5861" t="str">
        <f>_xlfn.IFNA(VLOOKUP(B5861,T_DistName[],3,FALSE),"")</f>
        <v/>
      </c>
      <c r="J5861" t="str">
        <f t="shared" si="92"/>
        <v/>
      </c>
    </row>
    <row r="5862" spans="9:10">
      <c r="I5862" t="str">
        <f>_xlfn.IFNA(VLOOKUP(B5862,T_DistName[],3,FALSE),"")</f>
        <v/>
      </c>
      <c r="J5862" t="str">
        <f t="shared" si="92"/>
        <v/>
      </c>
    </row>
    <row r="5863" spans="9:10">
      <c r="I5863" t="str">
        <f>_xlfn.IFNA(VLOOKUP(B5863,T_DistName[],3,FALSE),"")</f>
        <v/>
      </c>
      <c r="J5863" t="str">
        <f t="shared" si="92"/>
        <v/>
      </c>
    </row>
    <row r="5864" spans="9:10">
      <c r="I5864" t="str">
        <f>_xlfn.IFNA(VLOOKUP(B5864,T_DistName[],3,FALSE),"")</f>
        <v/>
      </c>
      <c r="J5864" t="str">
        <f t="shared" si="92"/>
        <v/>
      </c>
    </row>
    <row r="5865" spans="9:10">
      <c r="I5865" t="str">
        <f>_xlfn.IFNA(VLOOKUP(B5865,T_DistName[],3,FALSE),"")</f>
        <v/>
      </c>
      <c r="J5865" t="str">
        <f t="shared" si="92"/>
        <v/>
      </c>
    </row>
    <row r="5866" spans="9:10">
      <c r="I5866" t="str">
        <f>_xlfn.IFNA(VLOOKUP(B5866,T_DistName[],3,FALSE),"")</f>
        <v/>
      </c>
      <c r="J5866" t="str">
        <f t="shared" si="92"/>
        <v/>
      </c>
    </row>
    <row r="5867" spans="9:10">
      <c r="I5867" t="str">
        <f>_xlfn.IFNA(VLOOKUP(B5867,T_DistName[],3,FALSE),"")</f>
        <v/>
      </c>
      <c r="J5867" t="str">
        <f t="shared" si="92"/>
        <v/>
      </c>
    </row>
    <row r="5868" spans="9:10">
      <c r="I5868" t="str">
        <f>_xlfn.IFNA(VLOOKUP(B5868,T_DistName[],3,FALSE),"")</f>
        <v/>
      </c>
      <c r="J5868" t="str">
        <f t="shared" si="92"/>
        <v/>
      </c>
    </row>
    <row r="5869" spans="9:10">
      <c r="I5869" t="str">
        <f>_xlfn.IFNA(VLOOKUP(B5869,T_DistName[],3,FALSE),"")</f>
        <v/>
      </c>
      <c r="J5869" t="str">
        <f t="shared" si="92"/>
        <v/>
      </c>
    </row>
    <row r="5870" spans="9:10">
      <c r="I5870" t="str">
        <f>_xlfn.IFNA(VLOOKUP(B5870,T_DistName[],3,FALSE),"")</f>
        <v/>
      </c>
      <c r="J5870" t="str">
        <f t="shared" si="92"/>
        <v/>
      </c>
    </row>
    <row r="5871" spans="9:10">
      <c r="I5871" t="str">
        <f>_xlfn.IFNA(VLOOKUP(B5871,T_DistName[],3,FALSE),"")</f>
        <v/>
      </c>
      <c r="J5871" t="str">
        <f t="shared" si="92"/>
        <v/>
      </c>
    </row>
    <row r="5872" spans="9:10">
      <c r="I5872" t="str">
        <f>_xlfn.IFNA(VLOOKUP(B5872,T_DistName[],3,FALSE),"")</f>
        <v/>
      </c>
      <c r="J5872" t="str">
        <f t="shared" si="92"/>
        <v/>
      </c>
    </row>
    <row r="5873" spans="9:10">
      <c r="I5873" t="str">
        <f>_xlfn.IFNA(VLOOKUP(B5873,T_DistName[],3,FALSE),"")</f>
        <v/>
      </c>
      <c r="J5873" t="str">
        <f t="shared" si="92"/>
        <v/>
      </c>
    </row>
    <row r="5874" spans="9:10">
      <c r="I5874" t="str">
        <f>_xlfn.IFNA(VLOOKUP(B5874,T_DistName[],3,FALSE),"")</f>
        <v/>
      </c>
      <c r="J5874" t="str">
        <f t="shared" si="92"/>
        <v/>
      </c>
    </row>
    <row r="5875" spans="9:10">
      <c r="I5875" t="str">
        <f>_xlfn.IFNA(VLOOKUP(B5875,T_DistName[],3,FALSE),"")</f>
        <v/>
      </c>
      <c r="J5875" t="str">
        <f t="shared" si="92"/>
        <v/>
      </c>
    </row>
    <row r="5876" spans="9:10">
      <c r="I5876" t="str">
        <f>_xlfn.IFNA(VLOOKUP(B5876,T_DistName[],3,FALSE),"")</f>
        <v/>
      </c>
      <c r="J5876" t="str">
        <f t="shared" si="92"/>
        <v/>
      </c>
    </row>
    <row r="5877" spans="9:10">
      <c r="I5877" t="str">
        <f>_xlfn.IFNA(VLOOKUP(B5877,T_DistName[],3,FALSE),"")</f>
        <v/>
      </c>
      <c r="J5877" t="str">
        <f t="shared" si="92"/>
        <v/>
      </c>
    </row>
    <row r="5878" spans="9:10">
      <c r="I5878" t="str">
        <f>_xlfn.IFNA(VLOOKUP(B5878,T_DistName[],3,FALSE),"")</f>
        <v/>
      </c>
      <c r="J5878" t="str">
        <f t="shared" si="92"/>
        <v/>
      </c>
    </row>
    <row r="5879" spans="9:10">
      <c r="I5879" t="str">
        <f>_xlfn.IFNA(VLOOKUP(B5879,T_DistName[],3,FALSE),"")</f>
        <v/>
      </c>
      <c r="J5879" t="str">
        <f t="shared" si="92"/>
        <v/>
      </c>
    </row>
    <row r="5880" spans="9:10">
      <c r="I5880" t="str">
        <f>_xlfn.IFNA(VLOOKUP(B5880,T_DistName[],3,FALSE),"")</f>
        <v/>
      </c>
      <c r="J5880" t="str">
        <f t="shared" si="92"/>
        <v/>
      </c>
    </row>
    <row r="5881" spans="9:10">
      <c r="I5881" t="str">
        <f>_xlfn.IFNA(VLOOKUP(B5881,T_DistName[],3,FALSE),"")</f>
        <v/>
      </c>
      <c r="J5881" t="str">
        <f t="shared" si="92"/>
        <v/>
      </c>
    </row>
    <row r="5882" spans="9:10">
      <c r="I5882" t="str">
        <f>_xlfn.IFNA(VLOOKUP(B5882,T_DistName[],3,FALSE),"")</f>
        <v/>
      </c>
      <c r="J5882" t="str">
        <f t="shared" si="92"/>
        <v/>
      </c>
    </row>
    <row r="5883" spans="9:10">
      <c r="I5883" t="str">
        <f>_xlfn.IFNA(VLOOKUP(B5883,T_DistName[],3,FALSE),"")</f>
        <v/>
      </c>
      <c r="J5883" t="str">
        <f t="shared" si="92"/>
        <v/>
      </c>
    </row>
    <row r="5884" spans="9:10">
      <c r="I5884" t="str">
        <f>_xlfn.IFNA(VLOOKUP(B5884,T_DistName[],3,FALSE),"")</f>
        <v/>
      </c>
      <c r="J5884" t="str">
        <f t="shared" si="92"/>
        <v/>
      </c>
    </row>
    <row r="5885" spans="9:10">
      <c r="I5885" t="str">
        <f>_xlfn.IFNA(VLOOKUP(B5885,T_DistName[],3,FALSE),"")</f>
        <v/>
      </c>
      <c r="J5885" t="str">
        <f t="shared" si="92"/>
        <v/>
      </c>
    </row>
    <row r="5886" spans="9:10">
      <c r="I5886" t="str">
        <f>_xlfn.IFNA(VLOOKUP(B5886,T_DistName[],3,FALSE),"")</f>
        <v/>
      </c>
      <c r="J5886" t="str">
        <f t="shared" si="92"/>
        <v/>
      </c>
    </row>
    <row r="5887" spans="9:10">
      <c r="I5887" t="str">
        <f>_xlfn.IFNA(VLOOKUP(B5887,T_DistName[],3,FALSE),"")</f>
        <v/>
      </c>
      <c r="J5887" t="str">
        <f t="shared" si="92"/>
        <v/>
      </c>
    </row>
    <row r="5888" spans="9:10">
      <c r="I5888" t="str">
        <f>_xlfn.IFNA(VLOOKUP(B5888,T_DistName[],3,FALSE),"")</f>
        <v/>
      </c>
      <c r="J5888" t="str">
        <f t="shared" si="92"/>
        <v/>
      </c>
    </row>
    <row r="5889" spans="9:10">
      <c r="I5889" t="str">
        <f>_xlfn.IFNA(VLOOKUP(B5889,T_DistName[],3,FALSE),"")</f>
        <v/>
      </c>
      <c r="J5889" t="str">
        <f t="shared" si="92"/>
        <v/>
      </c>
    </row>
    <row r="5890" spans="9:10">
      <c r="I5890" t="str">
        <f>_xlfn.IFNA(VLOOKUP(B5890,T_DistName[],3,FALSE),"")</f>
        <v/>
      </c>
      <c r="J5890" t="str">
        <f t="shared" si="92"/>
        <v/>
      </c>
    </row>
    <row r="5891" spans="9:10">
      <c r="I5891" t="str">
        <f>_xlfn.IFNA(VLOOKUP(B5891,T_DistName[],3,FALSE),"")</f>
        <v/>
      </c>
      <c r="J5891" t="str">
        <f t="shared" si="92"/>
        <v/>
      </c>
    </row>
    <row r="5892" spans="9:10">
      <c r="I5892" t="str">
        <f>_xlfn.IFNA(VLOOKUP(B5892,T_DistName[],3,FALSE),"")</f>
        <v/>
      </c>
      <c r="J5892" t="str">
        <f t="shared" si="92"/>
        <v/>
      </c>
    </row>
    <row r="5893" spans="9:10">
      <c r="I5893" t="str">
        <f>_xlfn.IFNA(VLOOKUP(B5893,T_DistName[],3,FALSE),"")</f>
        <v/>
      </c>
      <c r="J5893" t="str">
        <f t="shared" si="92"/>
        <v/>
      </c>
    </row>
    <row r="5894" spans="9:10">
      <c r="I5894" t="str">
        <f>_xlfn.IFNA(VLOOKUP(B5894,T_DistName[],3,FALSE),"")</f>
        <v/>
      </c>
      <c r="J5894" t="str">
        <f t="shared" si="92"/>
        <v/>
      </c>
    </row>
    <row r="5895" spans="9:10">
      <c r="I5895" t="str">
        <f>_xlfn.IFNA(VLOOKUP(B5895,T_DistName[],3,FALSE),"")</f>
        <v/>
      </c>
      <c r="J5895" t="str">
        <f t="shared" si="92"/>
        <v/>
      </c>
    </row>
    <row r="5896" spans="9:10">
      <c r="I5896" t="str">
        <f>_xlfn.IFNA(VLOOKUP(B5896,T_DistName[],3,FALSE),"")</f>
        <v/>
      </c>
      <c r="J5896" t="str">
        <f t="shared" si="92"/>
        <v/>
      </c>
    </row>
    <row r="5897" spans="9:10">
      <c r="I5897" t="str">
        <f>_xlfn.IFNA(VLOOKUP(B5897,T_DistName[],3,FALSE),"")</f>
        <v/>
      </c>
      <c r="J5897" t="str">
        <f t="shared" si="92"/>
        <v/>
      </c>
    </row>
    <row r="5898" spans="9:10">
      <c r="I5898" t="str">
        <f>_xlfn.IFNA(VLOOKUP(B5898,T_DistName[],3,FALSE),"")</f>
        <v/>
      </c>
      <c r="J5898" t="str">
        <f t="shared" si="92"/>
        <v/>
      </c>
    </row>
    <row r="5899" spans="9:10">
      <c r="I5899" t="str">
        <f>_xlfn.IFNA(VLOOKUP(B5899,T_DistName[],3,FALSE),"")</f>
        <v/>
      </c>
      <c r="J5899" t="str">
        <f t="shared" si="92"/>
        <v/>
      </c>
    </row>
    <row r="5900" spans="9:10">
      <c r="I5900" t="str">
        <f>_xlfn.IFNA(VLOOKUP(B5900,T_DistName[],3,FALSE),"")</f>
        <v/>
      </c>
      <c r="J5900" t="str">
        <f t="shared" si="92"/>
        <v/>
      </c>
    </row>
    <row r="5901" spans="9:10">
      <c r="I5901" t="str">
        <f>_xlfn.IFNA(VLOOKUP(B5901,T_DistName[],3,FALSE),"")</f>
        <v/>
      </c>
      <c r="J5901" t="str">
        <f t="shared" si="92"/>
        <v/>
      </c>
    </row>
    <row r="5902" spans="9:10">
      <c r="I5902" t="str">
        <f>_xlfn.IFNA(VLOOKUP(B5902,T_DistName[],3,FALSE),"")</f>
        <v/>
      </c>
      <c r="J5902" t="str">
        <f t="shared" si="92"/>
        <v/>
      </c>
    </row>
    <row r="5903" spans="9:10">
      <c r="I5903" t="str">
        <f>_xlfn.IFNA(VLOOKUP(B5903,T_DistName[],3,FALSE),"")</f>
        <v/>
      </c>
      <c r="J5903" t="str">
        <f t="shared" si="92"/>
        <v/>
      </c>
    </row>
    <row r="5904" spans="9:10">
      <c r="I5904" t="str">
        <f>_xlfn.IFNA(VLOOKUP(B5904,T_DistName[],3,FALSE),"")</f>
        <v/>
      </c>
      <c r="J5904" t="str">
        <f t="shared" si="92"/>
        <v/>
      </c>
    </row>
    <row r="5905" spans="9:10">
      <c r="I5905" t="str">
        <f>_xlfn.IFNA(VLOOKUP(B5905,T_DistName[],3,FALSE),"")</f>
        <v/>
      </c>
      <c r="J5905" t="str">
        <f t="shared" si="92"/>
        <v/>
      </c>
    </row>
    <row r="5906" spans="9:10">
      <c r="I5906" t="str">
        <f>_xlfn.IFNA(VLOOKUP(B5906,T_DistName[],3,FALSE),"")</f>
        <v/>
      </c>
      <c r="J5906" t="str">
        <f t="shared" si="92"/>
        <v/>
      </c>
    </row>
    <row r="5907" spans="9:10">
      <c r="I5907" t="str">
        <f>_xlfn.IFNA(VLOOKUP(B5907,T_DistName[],3,FALSE),"")</f>
        <v/>
      </c>
      <c r="J5907" t="str">
        <f t="shared" si="92"/>
        <v/>
      </c>
    </row>
    <row r="5908" spans="9:10">
      <c r="I5908" t="str">
        <f>_xlfn.IFNA(VLOOKUP(B5908,T_DistName[],3,FALSE),"")</f>
        <v/>
      </c>
      <c r="J5908" t="str">
        <f t="shared" si="92"/>
        <v/>
      </c>
    </row>
    <row r="5909" spans="9:10">
      <c r="I5909" t="str">
        <f>_xlfn.IFNA(VLOOKUP(B5909,T_DistName[],3,FALSE),"")</f>
        <v/>
      </c>
      <c r="J5909" t="str">
        <f t="shared" si="92"/>
        <v/>
      </c>
    </row>
    <row r="5910" spans="9:10">
      <c r="I5910" t="str">
        <f>_xlfn.IFNA(VLOOKUP(B5910,T_DistName[],3,FALSE),"")</f>
        <v/>
      </c>
      <c r="J5910" t="str">
        <f t="shared" si="92"/>
        <v/>
      </c>
    </row>
    <row r="5911" spans="9:10">
      <c r="I5911" t="str">
        <f>_xlfn.IFNA(VLOOKUP(B5911,T_DistName[],3,FALSE),"")</f>
        <v/>
      </c>
      <c r="J5911" t="str">
        <f t="shared" si="92"/>
        <v/>
      </c>
    </row>
    <row r="5912" spans="9:10">
      <c r="I5912" t="str">
        <f>_xlfn.IFNA(VLOOKUP(B5912,T_DistName[],3,FALSE),"")</f>
        <v/>
      </c>
      <c r="J5912" t="str">
        <f t="shared" si="92"/>
        <v/>
      </c>
    </row>
    <row r="5913" spans="9:10">
      <c r="I5913" t="str">
        <f>_xlfn.IFNA(VLOOKUP(B5913,T_DistName[],3,FALSE),"")</f>
        <v/>
      </c>
      <c r="J5913" t="str">
        <f t="shared" ref="J5913:J5976" si="93">I5913&amp;F5913</f>
        <v/>
      </c>
    </row>
    <row r="5914" spans="9:10">
      <c r="I5914" t="str">
        <f>_xlfn.IFNA(VLOOKUP(B5914,T_DistName[],3,FALSE),"")</f>
        <v/>
      </c>
      <c r="J5914" t="str">
        <f t="shared" si="93"/>
        <v/>
      </c>
    </row>
    <row r="5915" spans="9:10">
      <c r="I5915" t="str">
        <f>_xlfn.IFNA(VLOOKUP(B5915,T_DistName[],3,FALSE),"")</f>
        <v/>
      </c>
      <c r="J5915" t="str">
        <f t="shared" si="93"/>
        <v/>
      </c>
    </row>
    <row r="5916" spans="9:10">
      <c r="I5916" t="str">
        <f>_xlfn.IFNA(VLOOKUP(B5916,T_DistName[],3,FALSE),"")</f>
        <v/>
      </c>
      <c r="J5916" t="str">
        <f t="shared" si="93"/>
        <v/>
      </c>
    </row>
    <row r="5917" spans="9:10">
      <c r="I5917" t="str">
        <f>_xlfn.IFNA(VLOOKUP(B5917,T_DistName[],3,FALSE),"")</f>
        <v/>
      </c>
      <c r="J5917" t="str">
        <f t="shared" si="93"/>
        <v/>
      </c>
    </row>
    <row r="5918" spans="9:10">
      <c r="I5918" t="str">
        <f>_xlfn.IFNA(VLOOKUP(B5918,T_DistName[],3,FALSE),"")</f>
        <v/>
      </c>
      <c r="J5918" t="str">
        <f t="shared" si="93"/>
        <v/>
      </c>
    </row>
    <row r="5919" spans="9:10">
      <c r="I5919" t="str">
        <f>_xlfn.IFNA(VLOOKUP(B5919,T_DistName[],3,FALSE),"")</f>
        <v/>
      </c>
      <c r="J5919" t="str">
        <f t="shared" si="93"/>
        <v/>
      </c>
    </row>
    <row r="5920" spans="9:10">
      <c r="I5920" t="str">
        <f>_xlfn.IFNA(VLOOKUP(B5920,T_DistName[],3,FALSE),"")</f>
        <v/>
      </c>
      <c r="J5920" t="str">
        <f t="shared" si="93"/>
        <v/>
      </c>
    </row>
    <row r="5921" spans="9:10">
      <c r="I5921" t="str">
        <f>_xlfn.IFNA(VLOOKUP(B5921,T_DistName[],3,FALSE),"")</f>
        <v/>
      </c>
      <c r="J5921" t="str">
        <f t="shared" si="93"/>
        <v/>
      </c>
    </row>
    <row r="5922" spans="9:10">
      <c r="I5922" t="str">
        <f>_xlfn.IFNA(VLOOKUP(B5922,T_DistName[],3,FALSE),"")</f>
        <v/>
      </c>
      <c r="J5922" t="str">
        <f t="shared" si="93"/>
        <v/>
      </c>
    </row>
    <row r="5923" spans="9:10">
      <c r="I5923" t="str">
        <f>_xlfn.IFNA(VLOOKUP(B5923,T_DistName[],3,FALSE),"")</f>
        <v/>
      </c>
      <c r="J5923" t="str">
        <f t="shared" si="93"/>
        <v/>
      </c>
    </row>
    <row r="5924" spans="9:10">
      <c r="I5924" t="str">
        <f>_xlfn.IFNA(VLOOKUP(B5924,T_DistName[],3,FALSE),"")</f>
        <v/>
      </c>
      <c r="J5924" t="str">
        <f t="shared" si="93"/>
        <v/>
      </c>
    </row>
    <row r="5925" spans="9:10">
      <c r="I5925" t="str">
        <f>_xlfn.IFNA(VLOOKUP(B5925,T_DistName[],3,FALSE),"")</f>
        <v/>
      </c>
      <c r="J5925" t="str">
        <f t="shared" si="93"/>
        <v/>
      </c>
    </row>
    <row r="5926" spans="9:10">
      <c r="I5926" t="str">
        <f>_xlfn.IFNA(VLOOKUP(B5926,T_DistName[],3,FALSE),"")</f>
        <v/>
      </c>
      <c r="J5926" t="str">
        <f t="shared" si="93"/>
        <v/>
      </c>
    </row>
    <row r="5927" spans="9:10">
      <c r="I5927" t="str">
        <f>_xlfn.IFNA(VLOOKUP(B5927,T_DistName[],3,FALSE),"")</f>
        <v/>
      </c>
      <c r="J5927" t="str">
        <f t="shared" si="93"/>
        <v/>
      </c>
    </row>
    <row r="5928" spans="9:10">
      <c r="I5928" t="str">
        <f>_xlfn.IFNA(VLOOKUP(B5928,T_DistName[],3,FALSE),"")</f>
        <v/>
      </c>
      <c r="J5928" t="str">
        <f t="shared" si="93"/>
        <v/>
      </c>
    </row>
    <row r="5929" spans="9:10">
      <c r="I5929" t="str">
        <f>_xlfn.IFNA(VLOOKUP(B5929,T_DistName[],3,FALSE),"")</f>
        <v/>
      </c>
      <c r="J5929" t="str">
        <f t="shared" si="93"/>
        <v/>
      </c>
    </row>
    <row r="5930" spans="9:10">
      <c r="I5930" t="str">
        <f>_xlfn.IFNA(VLOOKUP(B5930,T_DistName[],3,FALSE),"")</f>
        <v/>
      </c>
      <c r="J5930" t="str">
        <f t="shared" si="93"/>
        <v/>
      </c>
    </row>
    <row r="5931" spans="9:10">
      <c r="I5931" t="str">
        <f>_xlfn.IFNA(VLOOKUP(B5931,T_DistName[],3,FALSE),"")</f>
        <v/>
      </c>
      <c r="J5931" t="str">
        <f t="shared" si="93"/>
        <v/>
      </c>
    </row>
    <row r="5932" spans="9:10">
      <c r="I5932" t="str">
        <f>_xlfn.IFNA(VLOOKUP(B5932,T_DistName[],3,FALSE),"")</f>
        <v/>
      </c>
      <c r="J5932" t="str">
        <f t="shared" si="93"/>
        <v/>
      </c>
    </row>
    <row r="5933" spans="9:10">
      <c r="I5933" t="str">
        <f>_xlfn.IFNA(VLOOKUP(B5933,T_DistName[],3,FALSE),"")</f>
        <v/>
      </c>
      <c r="J5933" t="str">
        <f t="shared" si="93"/>
        <v/>
      </c>
    </row>
    <row r="5934" spans="9:10">
      <c r="I5934" t="str">
        <f>_xlfn.IFNA(VLOOKUP(B5934,T_DistName[],3,FALSE),"")</f>
        <v/>
      </c>
      <c r="J5934" t="str">
        <f t="shared" si="93"/>
        <v/>
      </c>
    </row>
    <row r="5935" spans="9:10">
      <c r="I5935" t="str">
        <f>_xlfn.IFNA(VLOOKUP(B5935,T_DistName[],3,FALSE),"")</f>
        <v/>
      </c>
      <c r="J5935" t="str">
        <f t="shared" si="93"/>
        <v/>
      </c>
    </row>
    <row r="5936" spans="9:10">
      <c r="I5936" t="str">
        <f>_xlfn.IFNA(VLOOKUP(B5936,T_DistName[],3,FALSE),"")</f>
        <v/>
      </c>
      <c r="J5936" t="str">
        <f t="shared" si="93"/>
        <v/>
      </c>
    </row>
    <row r="5937" spans="9:10">
      <c r="I5937" t="str">
        <f>_xlfn.IFNA(VLOOKUP(B5937,T_DistName[],3,FALSE),"")</f>
        <v/>
      </c>
      <c r="J5937" t="str">
        <f t="shared" si="93"/>
        <v/>
      </c>
    </row>
    <row r="5938" spans="9:10">
      <c r="I5938" t="str">
        <f>_xlfn.IFNA(VLOOKUP(B5938,T_DistName[],3,FALSE),"")</f>
        <v/>
      </c>
      <c r="J5938" t="str">
        <f t="shared" si="93"/>
        <v/>
      </c>
    </row>
    <row r="5939" spans="9:10">
      <c r="I5939" t="str">
        <f>_xlfn.IFNA(VLOOKUP(B5939,T_DistName[],3,FALSE),"")</f>
        <v/>
      </c>
      <c r="J5939" t="str">
        <f t="shared" si="93"/>
        <v/>
      </c>
    </row>
    <row r="5940" spans="9:10">
      <c r="I5940" t="str">
        <f>_xlfn.IFNA(VLOOKUP(B5940,T_DistName[],3,FALSE),"")</f>
        <v/>
      </c>
      <c r="J5940" t="str">
        <f t="shared" si="93"/>
        <v/>
      </c>
    </row>
    <row r="5941" spans="9:10">
      <c r="I5941" t="str">
        <f>_xlfn.IFNA(VLOOKUP(B5941,T_DistName[],3,FALSE),"")</f>
        <v/>
      </c>
      <c r="J5941" t="str">
        <f t="shared" si="93"/>
        <v/>
      </c>
    </row>
    <row r="5942" spans="9:10">
      <c r="I5942" t="str">
        <f>_xlfn.IFNA(VLOOKUP(B5942,T_DistName[],3,FALSE),"")</f>
        <v/>
      </c>
      <c r="J5942" t="str">
        <f t="shared" si="93"/>
        <v/>
      </c>
    </row>
    <row r="5943" spans="9:10">
      <c r="I5943" t="str">
        <f>_xlfn.IFNA(VLOOKUP(B5943,T_DistName[],3,FALSE),"")</f>
        <v/>
      </c>
      <c r="J5943" t="str">
        <f t="shared" si="93"/>
        <v/>
      </c>
    </row>
    <row r="5944" spans="9:10">
      <c r="I5944" t="str">
        <f>_xlfn.IFNA(VLOOKUP(B5944,T_DistName[],3,FALSE),"")</f>
        <v/>
      </c>
      <c r="J5944" t="str">
        <f t="shared" si="93"/>
        <v/>
      </c>
    </row>
    <row r="5945" spans="9:10">
      <c r="I5945" t="str">
        <f>_xlfn.IFNA(VLOOKUP(B5945,T_DistName[],3,FALSE),"")</f>
        <v/>
      </c>
      <c r="J5945" t="str">
        <f t="shared" si="93"/>
        <v/>
      </c>
    </row>
    <row r="5946" spans="9:10">
      <c r="I5946" t="str">
        <f>_xlfn.IFNA(VLOOKUP(B5946,T_DistName[],3,FALSE),"")</f>
        <v/>
      </c>
      <c r="J5946" t="str">
        <f t="shared" si="93"/>
        <v/>
      </c>
    </row>
    <row r="5947" spans="9:10">
      <c r="I5947" t="str">
        <f>_xlfn.IFNA(VLOOKUP(B5947,T_DistName[],3,FALSE),"")</f>
        <v/>
      </c>
      <c r="J5947" t="str">
        <f t="shared" si="93"/>
        <v/>
      </c>
    </row>
    <row r="5948" spans="9:10">
      <c r="I5948" t="str">
        <f>_xlfn.IFNA(VLOOKUP(B5948,T_DistName[],3,FALSE),"")</f>
        <v/>
      </c>
      <c r="J5948" t="str">
        <f t="shared" si="93"/>
        <v/>
      </c>
    </row>
    <row r="5949" spans="9:10">
      <c r="I5949" t="str">
        <f>_xlfn.IFNA(VLOOKUP(B5949,T_DistName[],3,FALSE),"")</f>
        <v/>
      </c>
      <c r="J5949" t="str">
        <f t="shared" si="93"/>
        <v/>
      </c>
    </row>
    <row r="5950" spans="9:10">
      <c r="I5950" t="str">
        <f>_xlfn.IFNA(VLOOKUP(B5950,T_DistName[],3,FALSE),"")</f>
        <v/>
      </c>
      <c r="J5950" t="str">
        <f t="shared" si="93"/>
        <v/>
      </c>
    </row>
    <row r="5951" spans="9:10">
      <c r="I5951" t="str">
        <f>_xlfn.IFNA(VLOOKUP(B5951,T_DistName[],3,FALSE),"")</f>
        <v/>
      </c>
      <c r="J5951" t="str">
        <f t="shared" si="93"/>
        <v/>
      </c>
    </row>
    <row r="5952" spans="9:10">
      <c r="I5952" t="str">
        <f>_xlfn.IFNA(VLOOKUP(B5952,T_DistName[],3,FALSE),"")</f>
        <v/>
      </c>
      <c r="J5952" t="str">
        <f t="shared" si="93"/>
        <v/>
      </c>
    </row>
    <row r="5953" spans="9:10">
      <c r="I5953" t="str">
        <f>_xlfn.IFNA(VLOOKUP(B5953,T_DistName[],3,FALSE),"")</f>
        <v/>
      </c>
      <c r="J5953" t="str">
        <f t="shared" si="93"/>
        <v/>
      </c>
    </row>
    <row r="5954" spans="9:10">
      <c r="I5954" t="str">
        <f>_xlfn.IFNA(VLOOKUP(B5954,T_DistName[],3,FALSE),"")</f>
        <v/>
      </c>
      <c r="J5954" t="str">
        <f t="shared" si="93"/>
        <v/>
      </c>
    </row>
    <row r="5955" spans="9:10">
      <c r="I5955" t="str">
        <f>_xlfn.IFNA(VLOOKUP(B5955,T_DistName[],3,FALSE),"")</f>
        <v/>
      </c>
      <c r="J5955" t="str">
        <f t="shared" si="93"/>
        <v/>
      </c>
    </row>
    <row r="5956" spans="9:10">
      <c r="I5956" t="str">
        <f>_xlfn.IFNA(VLOOKUP(B5956,T_DistName[],3,FALSE),"")</f>
        <v/>
      </c>
      <c r="J5956" t="str">
        <f t="shared" si="93"/>
        <v/>
      </c>
    </row>
    <row r="5957" spans="9:10">
      <c r="I5957" t="str">
        <f>_xlfn.IFNA(VLOOKUP(B5957,T_DistName[],3,FALSE),"")</f>
        <v/>
      </c>
      <c r="J5957" t="str">
        <f t="shared" si="93"/>
        <v/>
      </c>
    </row>
    <row r="5958" spans="9:10">
      <c r="I5958" t="str">
        <f>_xlfn.IFNA(VLOOKUP(B5958,T_DistName[],3,FALSE),"")</f>
        <v/>
      </c>
      <c r="J5958" t="str">
        <f t="shared" si="93"/>
        <v/>
      </c>
    </row>
    <row r="5959" spans="9:10">
      <c r="I5959" t="str">
        <f>_xlfn.IFNA(VLOOKUP(B5959,T_DistName[],3,FALSE),"")</f>
        <v/>
      </c>
      <c r="J5959" t="str">
        <f t="shared" si="93"/>
        <v/>
      </c>
    </row>
    <row r="5960" spans="9:10">
      <c r="I5960" t="str">
        <f>_xlfn.IFNA(VLOOKUP(B5960,T_DistName[],3,FALSE),"")</f>
        <v/>
      </c>
      <c r="J5960" t="str">
        <f t="shared" si="93"/>
        <v/>
      </c>
    </row>
    <row r="5961" spans="9:10">
      <c r="I5961" t="str">
        <f>_xlfn.IFNA(VLOOKUP(B5961,T_DistName[],3,FALSE),"")</f>
        <v/>
      </c>
      <c r="J5961" t="str">
        <f t="shared" si="93"/>
        <v/>
      </c>
    </row>
    <row r="5962" spans="9:10">
      <c r="I5962" t="str">
        <f>_xlfn.IFNA(VLOOKUP(B5962,T_DistName[],3,FALSE),"")</f>
        <v/>
      </c>
      <c r="J5962" t="str">
        <f t="shared" si="93"/>
        <v/>
      </c>
    </row>
    <row r="5963" spans="9:10">
      <c r="I5963" t="str">
        <f>_xlfn.IFNA(VLOOKUP(B5963,T_DistName[],3,FALSE),"")</f>
        <v/>
      </c>
      <c r="J5963" t="str">
        <f t="shared" si="93"/>
        <v/>
      </c>
    </row>
    <row r="5964" spans="9:10">
      <c r="I5964" t="str">
        <f>_xlfn.IFNA(VLOOKUP(B5964,T_DistName[],3,FALSE),"")</f>
        <v/>
      </c>
      <c r="J5964" t="str">
        <f t="shared" si="93"/>
        <v/>
      </c>
    </row>
    <row r="5965" spans="9:10">
      <c r="I5965" t="str">
        <f>_xlfn.IFNA(VLOOKUP(B5965,T_DistName[],3,FALSE),"")</f>
        <v/>
      </c>
      <c r="J5965" t="str">
        <f t="shared" si="93"/>
        <v/>
      </c>
    </row>
    <row r="5966" spans="9:10">
      <c r="I5966" t="str">
        <f>_xlfn.IFNA(VLOOKUP(B5966,T_DistName[],3,FALSE),"")</f>
        <v/>
      </c>
      <c r="J5966" t="str">
        <f t="shared" si="93"/>
        <v/>
      </c>
    </row>
    <row r="5967" spans="9:10">
      <c r="I5967" t="str">
        <f>_xlfn.IFNA(VLOOKUP(B5967,T_DistName[],3,FALSE),"")</f>
        <v/>
      </c>
      <c r="J5967" t="str">
        <f t="shared" si="93"/>
        <v/>
      </c>
    </row>
    <row r="5968" spans="9:10">
      <c r="I5968" t="str">
        <f>_xlfn.IFNA(VLOOKUP(B5968,T_DistName[],3,FALSE),"")</f>
        <v/>
      </c>
      <c r="J5968" t="str">
        <f t="shared" si="93"/>
        <v/>
      </c>
    </row>
    <row r="5969" spans="9:10">
      <c r="I5969" t="str">
        <f>_xlfn.IFNA(VLOOKUP(B5969,T_DistName[],3,FALSE),"")</f>
        <v/>
      </c>
      <c r="J5969" t="str">
        <f t="shared" si="93"/>
        <v/>
      </c>
    </row>
    <row r="5970" spans="9:10">
      <c r="I5970" t="str">
        <f>_xlfn.IFNA(VLOOKUP(B5970,T_DistName[],3,FALSE),"")</f>
        <v/>
      </c>
      <c r="J5970" t="str">
        <f t="shared" si="93"/>
        <v/>
      </c>
    </row>
    <row r="5971" spans="9:10">
      <c r="I5971" t="str">
        <f>_xlfn.IFNA(VLOOKUP(B5971,T_DistName[],3,FALSE),"")</f>
        <v/>
      </c>
      <c r="J5971" t="str">
        <f t="shared" si="93"/>
        <v/>
      </c>
    </row>
    <row r="5972" spans="9:10">
      <c r="I5972" t="str">
        <f>_xlfn.IFNA(VLOOKUP(B5972,T_DistName[],3,FALSE),"")</f>
        <v/>
      </c>
      <c r="J5972" t="str">
        <f t="shared" si="93"/>
        <v/>
      </c>
    </row>
    <row r="5973" spans="9:10">
      <c r="I5973" t="str">
        <f>_xlfn.IFNA(VLOOKUP(B5973,T_DistName[],3,FALSE),"")</f>
        <v/>
      </c>
      <c r="J5973" t="str">
        <f t="shared" si="93"/>
        <v/>
      </c>
    </row>
    <row r="5974" spans="9:10">
      <c r="I5974" t="str">
        <f>_xlfn.IFNA(VLOOKUP(B5974,T_DistName[],3,FALSE),"")</f>
        <v/>
      </c>
      <c r="J5974" t="str">
        <f t="shared" si="93"/>
        <v/>
      </c>
    </row>
    <row r="5975" spans="9:10">
      <c r="I5975" t="str">
        <f>_xlfn.IFNA(VLOOKUP(B5975,T_DistName[],3,FALSE),"")</f>
        <v/>
      </c>
      <c r="J5975" t="str">
        <f t="shared" si="93"/>
        <v/>
      </c>
    </row>
    <row r="5976" spans="9:10">
      <c r="I5976" t="str">
        <f>_xlfn.IFNA(VLOOKUP(B5976,T_DistName[],3,FALSE),"")</f>
        <v/>
      </c>
      <c r="J5976" t="str">
        <f t="shared" si="93"/>
        <v/>
      </c>
    </row>
    <row r="5977" spans="9:10">
      <c r="I5977" t="str">
        <f>_xlfn.IFNA(VLOOKUP(B5977,T_DistName[],3,FALSE),"")</f>
        <v/>
      </c>
      <c r="J5977" t="str">
        <f t="shared" ref="J5977:J6018" si="94">I5977&amp;F5977</f>
        <v/>
      </c>
    </row>
    <row r="5978" spans="9:10">
      <c r="I5978" t="str">
        <f>_xlfn.IFNA(VLOOKUP(B5978,T_DistName[],3,FALSE),"")</f>
        <v/>
      </c>
      <c r="J5978" t="str">
        <f t="shared" si="94"/>
        <v/>
      </c>
    </row>
    <row r="5979" spans="9:10">
      <c r="I5979" t="str">
        <f>_xlfn.IFNA(VLOOKUP(B5979,T_DistName[],3,FALSE),"")</f>
        <v/>
      </c>
      <c r="J5979" t="str">
        <f t="shared" si="94"/>
        <v/>
      </c>
    </row>
    <row r="5980" spans="9:10">
      <c r="I5980" t="str">
        <f>_xlfn.IFNA(VLOOKUP(B5980,T_DistName[],3,FALSE),"")</f>
        <v/>
      </c>
      <c r="J5980" t="str">
        <f t="shared" si="94"/>
        <v/>
      </c>
    </row>
    <row r="5981" spans="9:10">
      <c r="I5981" t="str">
        <f>_xlfn.IFNA(VLOOKUP(B5981,T_DistName[],3,FALSE),"")</f>
        <v/>
      </c>
      <c r="J5981" t="str">
        <f t="shared" si="94"/>
        <v/>
      </c>
    </row>
    <row r="5982" spans="9:10">
      <c r="I5982" t="str">
        <f>_xlfn.IFNA(VLOOKUP(B5982,T_DistName[],3,FALSE),"")</f>
        <v/>
      </c>
      <c r="J5982" t="str">
        <f t="shared" si="94"/>
        <v/>
      </c>
    </row>
    <row r="5983" spans="9:10">
      <c r="I5983" t="str">
        <f>_xlfn.IFNA(VLOOKUP(B5983,T_DistName[],3,FALSE),"")</f>
        <v/>
      </c>
      <c r="J5983" t="str">
        <f t="shared" si="94"/>
        <v/>
      </c>
    </row>
    <row r="5984" spans="9:10">
      <c r="I5984" t="str">
        <f>_xlfn.IFNA(VLOOKUP(B5984,T_DistName[],3,FALSE),"")</f>
        <v/>
      </c>
      <c r="J5984" t="str">
        <f t="shared" si="94"/>
        <v/>
      </c>
    </row>
    <row r="5985" spans="9:10">
      <c r="I5985" t="str">
        <f>_xlfn.IFNA(VLOOKUP(B5985,T_DistName[],3,FALSE),"")</f>
        <v/>
      </c>
      <c r="J5985" t="str">
        <f t="shared" si="94"/>
        <v/>
      </c>
    </row>
    <row r="5986" spans="9:10">
      <c r="I5986" t="str">
        <f>_xlfn.IFNA(VLOOKUP(B5986,T_DistName[],3,FALSE),"")</f>
        <v/>
      </c>
      <c r="J5986" t="str">
        <f t="shared" si="94"/>
        <v/>
      </c>
    </row>
    <row r="5987" spans="9:10">
      <c r="I5987" t="str">
        <f>_xlfn.IFNA(VLOOKUP(B5987,T_DistName[],3,FALSE),"")</f>
        <v/>
      </c>
      <c r="J5987" t="str">
        <f t="shared" si="94"/>
        <v/>
      </c>
    </row>
    <row r="5988" spans="9:10">
      <c r="I5988" t="str">
        <f>_xlfn.IFNA(VLOOKUP(B5988,T_DistName[],3,FALSE),"")</f>
        <v/>
      </c>
      <c r="J5988" t="str">
        <f t="shared" si="94"/>
        <v/>
      </c>
    </row>
    <row r="5989" spans="9:10">
      <c r="I5989" t="str">
        <f>_xlfn.IFNA(VLOOKUP(B5989,T_DistName[],3,FALSE),"")</f>
        <v/>
      </c>
      <c r="J5989" t="str">
        <f t="shared" si="94"/>
        <v/>
      </c>
    </row>
    <row r="5990" spans="9:10">
      <c r="I5990" t="str">
        <f>_xlfn.IFNA(VLOOKUP(B5990,T_DistName[],3,FALSE),"")</f>
        <v/>
      </c>
      <c r="J5990" t="str">
        <f t="shared" si="94"/>
        <v/>
      </c>
    </row>
    <row r="5991" spans="9:10">
      <c r="I5991" t="str">
        <f>_xlfn.IFNA(VLOOKUP(B5991,T_DistName[],3,FALSE),"")</f>
        <v/>
      </c>
      <c r="J5991" t="str">
        <f t="shared" si="94"/>
        <v/>
      </c>
    </row>
    <row r="5992" spans="9:10">
      <c r="I5992" t="str">
        <f>_xlfn.IFNA(VLOOKUP(B5992,T_DistName[],3,FALSE),"")</f>
        <v/>
      </c>
      <c r="J5992" t="str">
        <f t="shared" si="94"/>
        <v/>
      </c>
    </row>
    <row r="5993" spans="9:10">
      <c r="I5993" t="str">
        <f>_xlfn.IFNA(VLOOKUP(B5993,T_DistName[],3,FALSE),"")</f>
        <v/>
      </c>
      <c r="J5993" t="str">
        <f t="shared" si="94"/>
        <v/>
      </c>
    </row>
    <row r="5994" spans="9:10">
      <c r="I5994" t="str">
        <f>_xlfn.IFNA(VLOOKUP(B5994,T_DistName[],3,FALSE),"")</f>
        <v/>
      </c>
      <c r="J5994" t="str">
        <f t="shared" si="94"/>
        <v/>
      </c>
    </row>
    <row r="5995" spans="9:10">
      <c r="I5995" t="str">
        <f>_xlfn.IFNA(VLOOKUP(B5995,T_DistName[],3,FALSE),"")</f>
        <v/>
      </c>
      <c r="J5995" t="str">
        <f t="shared" si="94"/>
        <v/>
      </c>
    </row>
    <row r="5996" spans="9:10">
      <c r="I5996" t="str">
        <f>_xlfn.IFNA(VLOOKUP(B5996,T_DistName[],3,FALSE),"")</f>
        <v/>
      </c>
      <c r="J5996" t="str">
        <f t="shared" si="94"/>
        <v/>
      </c>
    </row>
    <row r="5997" spans="9:10">
      <c r="I5997" t="str">
        <f>_xlfn.IFNA(VLOOKUP(B5997,T_DistName[],3,FALSE),"")</f>
        <v/>
      </c>
      <c r="J5997" t="str">
        <f t="shared" si="94"/>
        <v/>
      </c>
    </row>
    <row r="5998" spans="9:10">
      <c r="I5998" t="str">
        <f>_xlfn.IFNA(VLOOKUP(B5998,T_DistName[],3,FALSE),"")</f>
        <v/>
      </c>
      <c r="J5998" t="str">
        <f t="shared" si="94"/>
        <v/>
      </c>
    </row>
    <row r="5999" spans="9:10">
      <c r="I5999" t="str">
        <f>_xlfn.IFNA(VLOOKUP(B5999,T_DistName[],3,FALSE),"")</f>
        <v/>
      </c>
      <c r="J5999" t="str">
        <f t="shared" si="94"/>
        <v/>
      </c>
    </row>
    <row r="6000" spans="9:10">
      <c r="I6000" t="str">
        <f>_xlfn.IFNA(VLOOKUP(B6000,T_DistName[],3,FALSE),"")</f>
        <v/>
      </c>
      <c r="J6000" t="str">
        <f t="shared" si="94"/>
        <v/>
      </c>
    </row>
    <row r="6001" spans="9:10">
      <c r="I6001" t="str">
        <f>_xlfn.IFNA(VLOOKUP(B6001,T_DistName[],3,FALSE),"")</f>
        <v/>
      </c>
      <c r="J6001" t="str">
        <f t="shared" si="94"/>
        <v/>
      </c>
    </row>
    <row r="6002" spans="9:10">
      <c r="I6002" t="str">
        <f>_xlfn.IFNA(VLOOKUP(B6002,T_DistName[],3,FALSE),"")</f>
        <v/>
      </c>
      <c r="J6002" t="str">
        <f t="shared" si="94"/>
        <v/>
      </c>
    </row>
    <row r="6003" spans="9:10">
      <c r="I6003" t="str">
        <f>_xlfn.IFNA(VLOOKUP(B6003,T_DistName[],3,FALSE),"")</f>
        <v/>
      </c>
      <c r="J6003" t="str">
        <f t="shared" si="94"/>
        <v/>
      </c>
    </row>
    <row r="6004" spans="9:10">
      <c r="I6004" t="str">
        <f>_xlfn.IFNA(VLOOKUP(B6004,T_DistName[],3,FALSE),"")</f>
        <v/>
      </c>
      <c r="J6004" t="str">
        <f t="shared" si="94"/>
        <v/>
      </c>
    </row>
    <row r="6005" spans="9:10">
      <c r="I6005" t="str">
        <f>_xlfn.IFNA(VLOOKUP(B6005,T_DistName[],3,FALSE),"")</f>
        <v/>
      </c>
      <c r="J6005" t="str">
        <f t="shared" si="94"/>
        <v/>
      </c>
    </row>
    <row r="6006" spans="9:10">
      <c r="I6006" t="str">
        <f>_xlfn.IFNA(VLOOKUP(B6006,T_DistName[],3,FALSE),"")</f>
        <v/>
      </c>
      <c r="J6006" t="str">
        <f t="shared" si="94"/>
        <v/>
      </c>
    </row>
    <row r="6007" spans="9:10">
      <c r="I6007" t="str">
        <f>_xlfn.IFNA(VLOOKUP(B6007,T_DistName[],3,FALSE),"")</f>
        <v/>
      </c>
      <c r="J6007" t="str">
        <f t="shared" si="94"/>
        <v/>
      </c>
    </row>
    <row r="6008" spans="9:10">
      <c r="I6008" t="str">
        <f>_xlfn.IFNA(VLOOKUP(B6008,T_DistName[],3,FALSE),"")</f>
        <v/>
      </c>
      <c r="J6008" t="str">
        <f t="shared" si="94"/>
        <v/>
      </c>
    </row>
    <row r="6009" spans="9:10">
      <c r="I6009" t="str">
        <f>_xlfn.IFNA(VLOOKUP(B6009,T_DistName[],3,FALSE),"")</f>
        <v/>
      </c>
      <c r="J6009" t="str">
        <f t="shared" si="94"/>
        <v/>
      </c>
    </row>
    <row r="6010" spans="9:10">
      <c r="I6010" t="str">
        <f>_xlfn.IFNA(VLOOKUP(B6010,T_DistName[],3,FALSE),"")</f>
        <v/>
      </c>
      <c r="J6010" t="str">
        <f t="shared" si="94"/>
        <v/>
      </c>
    </row>
    <row r="6011" spans="9:10">
      <c r="I6011" t="str">
        <f>_xlfn.IFNA(VLOOKUP(B6011,T_DistName[],3,FALSE),"")</f>
        <v/>
      </c>
      <c r="J6011" t="str">
        <f t="shared" si="94"/>
        <v/>
      </c>
    </row>
    <row r="6012" spans="9:10">
      <c r="I6012" t="str">
        <f>_xlfn.IFNA(VLOOKUP(B6012,T_DistName[],3,FALSE),"")</f>
        <v/>
      </c>
      <c r="J6012" t="str">
        <f t="shared" si="94"/>
        <v/>
      </c>
    </row>
    <row r="6013" spans="9:10">
      <c r="I6013" t="str">
        <f>_xlfn.IFNA(VLOOKUP(B6013,T_DistName[],3,FALSE),"")</f>
        <v/>
      </c>
      <c r="J6013" t="str">
        <f t="shared" si="94"/>
        <v/>
      </c>
    </row>
    <row r="6014" spans="9:10">
      <c r="I6014" t="str">
        <f>_xlfn.IFNA(VLOOKUP(B6014,T_DistName[],3,FALSE),"")</f>
        <v/>
      </c>
      <c r="J6014" t="str">
        <f t="shared" si="94"/>
        <v/>
      </c>
    </row>
    <row r="6015" spans="9:10">
      <c r="I6015" t="str">
        <f>_xlfn.IFNA(VLOOKUP(B6015,T_DistName[],3,FALSE),"")</f>
        <v/>
      </c>
      <c r="J6015" t="str">
        <f t="shared" si="94"/>
        <v/>
      </c>
    </row>
    <row r="6016" spans="9:10">
      <c r="I6016" t="str">
        <f>_xlfn.IFNA(VLOOKUP(B6016,T_DistName[],3,FALSE),"")</f>
        <v/>
      </c>
      <c r="J6016" t="str">
        <f t="shared" si="94"/>
        <v/>
      </c>
    </row>
    <row r="6017" spans="9:10">
      <c r="I6017" t="str">
        <f>_xlfn.IFNA(VLOOKUP(B6017,T_DistName[],3,FALSE),"")</f>
        <v/>
      </c>
      <c r="J6017" t="str">
        <f t="shared" si="94"/>
        <v/>
      </c>
    </row>
    <row r="6018" spans="9:10">
      <c r="I6018" t="str">
        <f>_xlfn.IFNA(VLOOKUP(B6018,T_DistName[],3,FALSE),"")</f>
        <v/>
      </c>
      <c r="J6018" t="str">
        <f t="shared" si="94"/>
        <v/>
      </c>
    </row>
  </sheetData>
  <autoFilter ref="A2:J6018" xr:uid="{93FBD051-BE36-4448-8367-E59B39143DFF}"/>
  <pageMargins left="0.7" right="0.7" top="0.75" bottom="0.75" header="0.3" footer="0.3"/>
  <pageSetup paperSize="9" orientation="portrait" r:id="rId1"/>
  <customProperties>
    <customPr name="_pios_id" r:id="rId2"/>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A6AE7-6AD2-4590-9DAD-D6A6464D2AEE}">
  <sheetPr codeName="Sheet21"/>
  <dimension ref="A1:D21"/>
  <sheetViews>
    <sheetView zoomScale="80" zoomScaleNormal="80" workbookViewId="0">
      <selection activeCell="F31" sqref="F31"/>
    </sheetView>
  </sheetViews>
  <sheetFormatPr defaultRowHeight="15"/>
  <cols>
    <col min="1" max="1" width="34.140625" bestFit="1" customWidth="1"/>
    <col min="3" max="3" width="17.140625" bestFit="1" customWidth="1"/>
    <col min="4" max="4" width="40.28515625" customWidth="1"/>
    <col min="5" max="5" width="16.7109375" customWidth="1"/>
    <col min="6" max="6" width="62.42578125" bestFit="1" customWidth="1"/>
  </cols>
  <sheetData>
    <row r="1" spans="1:4">
      <c r="A1" t="s">
        <v>575</v>
      </c>
      <c r="B1" t="s">
        <v>119</v>
      </c>
      <c r="C1" t="s">
        <v>576</v>
      </c>
      <c r="D1" s="438" t="s">
        <v>577</v>
      </c>
    </row>
    <row r="2" spans="1:4">
      <c r="A2" t="s">
        <v>578</v>
      </c>
      <c r="B2" t="s">
        <v>124</v>
      </c>
      <c r="C2" t="s">
        <v>336</v>
      </c>
      <c r="D2" t="s">
        <v>579</v>
      </c>
    </row>
    <row r="3" spans="1:4">
      <c r="A3" t="s">
        <v>580</v>
      </c>
      <c r="B3" t="s">
        <v>124</v>
      </c>
      <c r="C3" t="s">
        <v>336</v>
      </c>
      <c r="D3" t="s">
        <v>581</v>
      </c>
    </row>
    <row r="4" spans="1:4">
      <c r="A4" t="s">
        <v>445</v>
      </c>
      <c r="B4" t="s">
        <v>124</v>
      </c>
      <c r="C4" t="s">
        <v>336</v>
      </c>
      <c r="D4" t="s">
        <v>582</v>
      </c>
    </row>
    <row r="5" spans="1:4">
      <c r="A5" t="s">
        <v>444</v>
      </c>
      <c r="B5" t="s">
        <v>124</v>
      </c>
      <c r="C5" t="s">
        <v>338</v>
      </c>
      <c r="D5" t="s">
        <v>339</v>
      </c>
    </row>
    <row r="6" spans="1:4">
      <c r="A6" t="s">
        <v>458</v>
      </c>
      <c r="B6" t="s">
        <v>124</v>
      </c>
      <c r="C6" t="s">
        <v>340</v>
      </c>
      <c r="D6" t="s">
        <v>341</v>
      </c>
    </row>
    <row r="7" spans="1:4">
      <c r="A7" t="s">
        <v>583</v>
      </c>
      <c r="B7" t="s">
        <v>124</v>
      </c>
      <c r="C7" t="s">
        <v>584</v>
      </c>
      <c r="D7" t="s">
        <v>585</v>
      </c>
    </row>
    <row r="8" spans="1:4">
      <c r="A8" t="s">
        <v>450</v>
      </c>
      <c r="B8" t="s">
        <v>194</v>
      </c>
      <c r="C8" t="s">
        <v>343</v>
      </c>
      <c r="D8" t="s">
        <v>344</v>
      </c>
    </row>
    <row r="9" spans="1:4">
      <c r="A9" t="s">
        <v>451</v>
      </c>
      <c r="B9" t="s">
        <v>194</v>
      </c>
      <c r="C9" t="s">
        <v>345</v>
      </c>
      <c r="D9" t="s">
        <v>346</v>
      </c>
    </row>
    <row r="10" spans="1:4">
      <c r="A10" t="s">
        <v>586</v>
      </c>
      <c r="B10" t="s">
        <v>194</v>
      </c>
      <c r="C10" t="s">
        <v>348</v>
      </c>
      <c r="D10" t="s">
        <v>349</v>
      </c>
    </row>
    <row r="11" spans="1:4">
      <c r="A11" t="s">
        <v>587</v>
      </c>
      <c r="B11" t="s">
        <v>194</v>
      </c>
      <c r="C11" t="s">
        <v>588</v>
      </c>
      <c r="D11" t="s">
        <v>589</v>
      </c>
    </row>
    <row r="12" spans="1:4">
      <c r="A12" t="s">
        <v>442</v>
      </c>
      <c r="B12" t="s">
        <v>197</v>
      </c>
      <c r="C12" t="s">
        <v>351</v>
      </c>
      <c r="D12" t="s">
        <v>352</v>
      </c>
    </row>
    <row r="13" spans="1:4">
      <c r="A13" t="s">
        <v>448</v>
      </c>
      <c r="B13" t="s">
        <v>197</v>
      </c>
      <c r="C13" t="s">
        <v>353</v>
      </c>
      <c r="D13" t="s">
        <v>448</v>
      </c>
    </row>
    <row r="14" spans="1:4">
      <c r="A14" t="s">
        <v>590</v>
      </c>
      <c r="B14" t="s">
        <v>197</v>
      </c>
      <c r="C14" t="s">
        <v>353</v>
      </c>
      <c r="D14" t="s">
        <v>590</v>
      </c>
    </row>
    <row r="15" spans="1:4">
      <c r="A15" t="s">
        <v>452</v>
      </c>
      <c r="B15" t="s">
        <v>200</v>
      </c>
      <c r="C15" t="s">
        <v>356</v>
      </c>
      <c r="D15" t="s">
        <v>357</v>
      </c>
    </row>
    <row r="16" spans="1:4">
      <c r="A16" t="s">
        <v>591</v>
      </c>
      <c r="B16" t="s">
        <v>200</v>
      </c>
      <c r="C16" t="s">
        <v>592</v>
      </c>
      <c r="D16" t="s">
        <v>593</v>
      </c>
    </row>
    <row r="17" spans="1:4">
      <c r="A17" t="s">
        <v>594</v>
      </c>
      <c r="B17" t="s">
        <v>200</v>
      </c>
      <c r="C17" t="s">
        <v>595</v>
      </c>
      <c r="D17" t="s">
        <v>596</v>
      </c>
    </row>
    <row r="18" spans="1:4">
      <c r="A18" t="s">
        <v>597</v>
      </c>
      <c r="B18" t="s">
        <v>204</v>
      </c>
      <c r="C18" t="s">
        <v>598</v>
      </c>
      <c r="D18" t="s">
        <v>599</v>
      </c>
    </row>
    <row r="19" spans="1:4">
      <c r="A19" t="s">
        <v>600</v>
      </c>
      <c r="B19" t="s">
        <v>204</v>
      </c>
      <c r="C19" t="s">
        <v>601</v>
      </c>
      <c r="D19" t="s">
        <v>602</v>
      </c>
    </row>
    <row r="20" spans="1:4">
      <c r="A20" t="s">
        <v>603</v>
      </c>
      <c r="B20" t="s">
        <v>204</v>
      </c>
      <c r="C20" t="s">
        <v>604</v>
      </c>
      <c r="D20" t="s">
        <v>605</v>
      </c>
    </row>
    <row r="21" spans="1:4">
      <c r="A21" t="s">
        <v>449</v>
      </c>
      <c r="B21" t="s">
        <v>204</v>
      </c>
      <c r="C21" t="s">
        <v>359</v>
      </c>
      <c r="D21" t="s">
        <v>360</v>
      </c>
    </row>
  </sheetData>
  <pageMargins left="0.7" right="0.7" top="0.75" bottom="0.75" header="0.3" footer="0.3"/>
  <pageSetup paperSize="9" orientation="portrait" r:id="rId1"/>
  <customProperties>
    <customPr name="_pios_id" r:id="rId2"/>
  </customProperties>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L65"/>
  <sheetViews>
    <sheetView workbookViewId="0">
      <selection activeCell="C10" sqref="C10"/>
    </sheetView>
  </sheetViews>
  <sheetFormatPr defaultRowHeight="15"/>
  <cols>
    <col min="1" max="1" width="16.140625" customWidth="1"/>
    <col min="2" max="2" width="33.28515625" bestFit="1" customWidth="1"/>
    <col min="3" max="3" width="44.7109375" customWidth="1"/>
    <col min="4" max="4" width="18.42578125" customWidth="1"/>
    <col min="5" max="5" width="13.28515625" customWidth="1"/>
    <col min="6" max="6" width="12.5703125" bestFit="1" customWidth="1"/>
    <col min="7" max="7" width="14.42578125" customWidth="1"/>
    <col min="8" max="8" width="12.5703125" bestFit="1" customWidth="1"/>
    <col min="9" max="9" width="16" bestFit="1" customWidth="1"/>
  </cols>
  <sheetData>
    <row r="1" spans="1:12">
      <c r="A1" s="1" t="s">
        <v>606</v>
      </c>
      <c r="B1" s="1" t="s">
        <v>607</v>
      </c>
      <c r="C1" s="1" t="s">
        <v>608</v>
      </c>
      <c r="D1" s="1" t="s">
        <v>609</v>
      </c>
      <c r="E1" s="1" t="s">
        <v>610</v>
      </c>
      <c r="F1" s="1" t="s">
        <v>334</v>
      </c>
      <c r="G1" s="1" t="s">
        <v>611</v>
      </c>
      <c r="H1" s="1" t="s">
        <v>612</v>
      </c>
      <c r="I1" s="1" t="s">
        <v>613</v>
      </c>
    </row>
    <row r="2" spans="1:12">
      <c r="A2">
        <v>1014394</v>
      </c>
      <c r="B2" t="s">
        <v>211</v>
      </c>
      <c r="C2" t="s">
        <v>211</v>
      </c>
      <c r="D2" t="s">
        <v>209</v>
      </c>
      <c r="E2" s="119" t="s">
        <v>614</v>
      </c>
    </row>
    <row r="3" spans="1:12">
      <c r="A3" t="s">
        <v>615</v>
      </c>
      <c r="B3" t="s">
        <v>616</v>
      </c>
      <c r="C3" t="s">
        <v>616</v>
      </c>
      <c r="D3" t="s">
        <v>616</v>
      </c>
      <c r="E3" t="s">
        <v>617</v>
      </c>
      <c r="F3" t="s">
        <v>618</v>
      </c>
      <c r="G3" t="s">
        <v>619</v>
      </c>
      <c r="H3" t="s">
        <v>620</v>
      </c>
      <c r="I3" t="s">
        <v>621</v>
      </c>
    </row>
    <row r="4" spans="1:12">
      <c r="A4" t="s">
        <v>622</v>
      </c>
      <c r="B4" t="s">
        <v>456</v>
      </c>
      <c r="C4" t="s">
        <v>456</v>
      </c>
      <c r="D4" t="s">
        <v>209</v>
      </c>
      <c r="E4" t="s">
        <v>617</v>
      </c>
      <c r="F4" t="s">
        <v>618</v>
      </c>
      <c r="G4" t="s">
        <v>623</v>
      </c>
      <c r="H4" t="s">
        <v>620</v>
      </c>
      <c r="I4" t="s">
        <v>621</v>
      </c>
    </row>
    <row r="5" spans="1:12">
      <c r="A5" t="s">
        <v>624</v>
      </c>
      <c r="B5" t="s">
        <v>456</v>
      </c>
      <c r="C5" t="s">
        <v>456</v>
      </c>
      <c r="D5" t="s">
        <v>209</v>
      </c>
      <c r="E5" t="s">
        <v>617</v>
      </c>
      <c r="F5" t="s">
        <v>618</v>
      </c>
      <c r="G5" t="s">
        <v>623</v>
      </c>
      <c r="H5" t="s">
        <v>620</v>
      </c>
      <c r="I5" t="s">
        <v>621</v>
      </c>
    </row>
    <row r="6" spans="1:12">
      <c r="A6" t="s">
        <v>625</v>
      </c>
      <c r="B6" t="s">
        <v>441</v>
      </c>
      <c r="C6" t="s">
        <v>441</v>
      </c>
      <c r="D6" t="s">
        <v>209</v>
      </c>
      <c r="E6" t="s">
        <v>617</v>
      </c>
      <c r="F6" t="s">
        <v>618</v>
      </c>
      <c r="G6" t="s">
        <v>623</v>
      </c>
      <c r="H6" t="s">
        <v>620</v>
      </c>
      <c r="I6" t="s">
        <v>621</v>
      </c>
    </row>
    <row r="7" spans="1:12">
      <c r="A7" t="s">
        <v>626</v>
      </c>
      <c r="B7" t="s">
        <v>627</v>
      </c>
      <c r="C7" t="s">
        <v>627</v>
      </c>
      <c r="D7" t="s">
        <v>209</v>
      </c>
      <c r="E7" s="119" t="s">
        <v>614</v>
      </c>
    </row>
    <row r="8" spans="1:12">
      <c r="A8" t="s">
        <v>628</v>
      </c>
      <c r="B8" t="s">
        <v>439</v>
      </c>
      <c r="C8" t="s">
        <v>439</v>
      </c>
      <c r="D8" t="s">
        <v>209</v>
      </c>
      <c r="E8" s="119" t="s">
        <v>614</v>
      </c>
    </row>
    <row r="9" spans="1:12">
      <c r="A9" s="621">
        <v>1490725</v>
      </c>
      <c r="B9" t="s">
        <v>439</v>
      </c>
      <c r="C9" t="s">
        <v>439</v>
      </c>
      <c r="D9" t="s">
        <v>209</v>
      </c>
      <c r="E9" s="119" t="s">
        <v>614</v>
      </c>
    </row>
    <row r="10" spans="1:12">
      <c r="A10" s="621">
        <v>1490726</v>
      </c>
      <c r="B10" t="s">
        <v>439</v>
      </c>
      <c r="C10" t="s">
        <v>439</v>
      </c>
      <c r="D10" t="s">
        <v>209</v>
      </c>
      <c r="E10" s="119" t="s">
        <v>614</v>
      </c>
    </row>
    <row r="11" spans="1:12">
      <c r="A11" s="637" t="s">
        <v>629</v>
      </c>
      <c r="B11" t="s">
        <v>439</v>
      </c>
      <c r="C11" t="s">
        <v>439</v>
      </c>
      <c r="D11" t="s">
        <v>209</v>
      </c>
      <c r="E11" s="119" t="s">
        <v>614</v>
      </c>
      <c r="L11" s="621"/>
    </row>
    <row r="12" spans="1:12">
      <c r="A12" t="s">
        <v>630</v>
      </c>
      <c r="B12" t="s">
        <v>631</v>
      </c>
      <c r="C12" t="s">
        <v>631</v>
      </c>
      <c r="D12" t="s">
        <v>209</v>
      </c>
      <c r="E12" t="s">
        <v>617</v>
      </c>
      <c r="F12" t="s">
        <v>618</v>
      </c>
      <c r="G12" t="s">
        <v>623</v>
      </c>
      <c r="H12" t="s">
        <v>620</v>
      </c>
      <c r="I12" t="s">
        <v>621</v>
      </c>
    </row>
    <row r="13" spans="1:12">
      <c r="A13" t="s">
        <v>632</v>
      </c>
      <c r="B13" t="s">
        <v>633</v>
      </c>
      <c r="C13" t="s">
        <v>633</v>
      </c>
      <c r="D13" t="s">
        <v>209</v>
      </c>
      <c r="E13" t="s">
        <v>617</v>
      </c>
      <c r="F13" t="s">
        <v>618</v>
      </c>
      <c r="G13" t="s">
        <v>623</v>
      </c>
      <c r="H13" t="s">
        <v>620</v>
      </c>
      <c r="I13" t="s">
        <v>621</v>
      </c>
    </row>
    <row r="14" spans="1:12">
      <c r="A14" t="s">
        <v>634</v>
      </c>
      <c r="B14" t="s">
        <v>447</v>
      </c>
      <c r="C14" t="s">
        <v>447</v>
      </c>
      <c r="D14" t="s">
        <v>209</v>
      </c>
      <c r="E14" s="119" t="s">
        <v>614</v>
      </c>
    </row>
    <row r="15" spans="1:12">
      <c r="A15" t="s">
        <v>635</v>
      </c>
      <c r="B15" t="s">
        <v>636</v>
      </c>
      <c r="C15" t="s">
        <v>636</v>
      </c>
      <c r="D15" t="s">
        <v>209</v>
      </c>
      <c r="E15" t="s">
        <v>617</v>
      </c>
      <c r="F15" t="s">
        <v>618</v>
      </c>
      <c r="G15" t="s">
        <v>623</v>
      </c>
      <c r="H15" t="s">
        <v>620</v>
      </c>
      <c r="I15" t="s">
        <v>621</v>
      </c>
    </row>
    <row r="16" spans="1:12">
      <c r="A16" t="s">
        <v>637</v>
      </c>
      <c r="B16" t="s">
        <v>456</v>
      </c>
      <c r="C16" t="s">
        <v>456</v>
      </c>
      <c r="D16" t="s">
        <v>209</v>
      </c>
      <c r="E16" t="s">
        <v>617</v>
      </c>
      <c r="F16" t="s">
        <v>618</v>
      </c>
      <c r="G16" t="s">
        <v>623</v>
      </c>
      <c r="H16" t="s">
        <v>620</v>
      </c>
      <c r="I16" t="s">
        <v>621</v>
      </c>
    </row>
    <row r="17" spans="1:9">
      <c r="A17" t="s">
        <v>638</v>
      </c>
      <c r="B17" s="2" t="s">
        <v>639</v>
      </c>
      <c r="C17" t="s">
        <v>640</v>
      </c>
      <c r="D17" t="s">
        <v>209</v>
      </c>
      <c r="E17" t="s">
        <v>617</v>
      </c>
      <c r="F17" t="s">
        <v>618</v>
      </c>
      <c r="G17" t="s">
        <v>623</v>
      </c>
      <c r="H17" t="s">
        <v>620</v>
      </c>
      <c r="I17" t="s">
        <v>621</v>
      </c>
    </row>
    <row r="18" spans="1:9">
      <c r="A18" t="s">
        <v>641</v>
      </c>
      <c r="B18" s="2" t="s">
        <v>639</v>
      </c>
      <c r="C18" t="s">
        <v>640</v>
      </c>
      <c r="D18" t="s">
        <v>209</v>
      </c>
      <c r="E18" t="s">
        <v>617</v>
      </c>
      <c r="F18" t="s">
        <v>618</v>
      </c>
      <c r="G18" t="s">
        <v>623</v>
      </c>
      <c r="H18" t="s">
        <v>620</v>
      </c>
      <c r="I18" t="s">
        <v>621</v>
      </c>
    </row>
    <row r="19" spans="1:9">
      <c r="A19" t="s">
        <v>642</v>
      </c>
      <c r="B19" s="2" t="s">
        <v>643</v>
      </c>
      <c r="C19" t="s">
        <v>640</v>
      </c>
      <c r="D19" t="s">
        <v>209</v>
      </c>
      <c r="E19" t="s">
        <v>617</v>
      </c>
      <c r="F19" t="s">
        <v>618</v>
      </c>
      <c r="G19" t="s">
        <v>623</v>
      </c>
      <c r="H19" t="s">
        <v>620</v>
      </c>
      <c r="I19" t="s">
        <v>621</v>
      </c>
    </row>
    <row r="20" spans="1:9">
      <c r="A20" t="s">
        <v>644</v>
      </c>
      <c r="B20" s="2" t="s">
        <v>639</v>
      </c>
      <c r="C20" t="s">
        <v>640</v>
      </c>
      <c r="D20" t="s">
        <v>209</v>
      </c>
      <c r="E20" t="s">
        <v>617</v>
      </c>
      <c r="F20" t="s">
        <v>618</v>
      </c>
      <c r="G20" t="s">
        <v>623</v>
      </c>
      <c r="H20" t="s">
        <v>620</v>
      </c>
      <c r="I20" t="s">
        <v>621</v>
      </c>
    </row>
    <row r="21" spans="1:9">
      <c r="A21" t="s">
        <v>645</v>
      </c>
      <c r="B21" s="2" t="s">
        <v>639</v>
      </c>
      <c r="C21" t="s">
        <v>640</v>
      </c>
      <c r="D21" t="s">
        <v>209</v>
      </c>
      <c r="E21" t="s">
        <v>617</v>
      </c>
      <c r="F21" t="s">
        <v>618</v>
      </c>
      <c r="G21" t="s">
        <v>623</v>
      </c>
      <c r="H21" t="s">
        <v>620</v>
      </c>
      <c r="I21" t="s">
        <v>621</v>
      </c>
    </row>
    <row r="22" spans="1:9">
      <c r="A22" t="s">
        <v>646</v>
      </c>
      <c r="B22" s="2" t="s">
        <v>639</v>
      </c>
      <c r="C22" t="s">
        <v>640</v>
      </c>
      <c r="D22" t="s">
        <v>209</v>
      </c>
      <c r="E22" t="s">
        <v>617</v>
      </c>
      <c r="F22" t="s">
        <v>618</v>
      </c>
      <c r="G22" t="s">
        <v>623</v>
      </c>
      <c r="H22" t="s">
        <v>620</v>
      </c>
      <c r="I22" t="s">
        <v>621</v>
      </c>
    </row>
    <row r="23" spans="1:9">
      <c r="A23" t="s">
        <v>647</v>
      </c>
      <c r="B23" s="2" t="s">
        <v>648</v>
      </c>
      <c r="C23" t="s">
        <v>640</v>
      </c>
      <c r="D23" t="s">
        <v>209</v>
      </c>
      <c r="E23" t="s">
        <v>617</v>
      </c>
      <c r="F23" t="s">
        <v>618</v>
      </c>
      <c r="G23" t="s">
        <v>623</v>
      </c>
      <c r="H23" t="s">
        <v>620</v>
      </c>
      <c r="I23" t="s">
        <v>621</v>
      </c>
    </row>
    <row r="24" spans="1:9">
      <c r="A24" t="s">
        <v>649</v>
      </c>
      <c r="B24" s="2" t="s">
        <v>648</v>
      </c>
      <c r="C24" t="s">
        <v>640</v>
      </c>
      <c r="D24" t="s">
        <v>209</v>
      </c>
      <c r="E24" t="s">
        <v>617</v>
      </c>
      <c r="F24" t="s">
        <v>618</v>
      </c>
      <c r="G24" t="s">
        <v>623</v>
      </c>
      <c r="H24" t="s">
        <v>620</v>
      </c>
      <c r="I24" t="s">
        <v>621</v>
      </c>
    </row>
    <row r="25" spans="1:9">
      <c r="A25" t="s">
        <v>650</v>
      </c>
      <c r="B25" s="2" t="s">
        <v>639</v>
      </c>
      <c r="C25" t="s">
        <v>640</v>
      </c>
      <c r="D25" t="s">
        <v>209</v>
      </c>
      <c r="E25" t="s">
        <v>617</v>
      </c>
      <c r="F25" t="s">
        <v>618</v>
      </c>
      <c r="G25" t="s">
        <v>623</v>
      </c>
      <c r="H25" t="s">
        <v>620</v>
      </c>
      <c r="I25" t="s">
        <v>621</v>
      </c>
    </row>
    <row r="26" spans="1:9">
      <c r="A26" t="s">
        <v>651</v>
      </c>
      <c r="B26" s="2" t="s">
        <v>652</v>
      </c>
      <c r="C26" t="s">
        <v>640</v>
      </c>
      <c r="D26" t="s">
        <v>209</v>
      </c>
      <c r="E26" t="s">
        <v>617</v>
      </c>
      <c r="F26" t="s">
        <v>618</v>
      </c>
      <c r="G26" t="s">
        <v>623</v>
      </c>
      <c r="H26" t="s">
        <v>620</v>
      </c>
      <c r="I26" t="s">
        <v>621</v>
      </c>
    </row>
    <row r="27" spans="1:9">
      <c r="A27" t="s">
        <v>653</v>
      </c>
      <c r="B27" s="2" t="s">
        <v>654</v>
      </c>
      <c r="C27" t="s">
        <v>640</v>
      </c>
      <c r="D27" t="s">
        <v>209</v>
      </c>
      <c r="E27" t="s">
        <v>617</v>
      </c>
      <c r="F27" t="s">
        <v>618</v>
      </c>
      <c r="G27" t="s">
        <v>623</v>
      </c>
      <c r="H27" t="s">
        <v>620</v>
      </c>
      <c r="I27" t="s">
        <v>621</v>
      </c>
    </row>
    <row r="28" spans="1:9">
      <c r="A28" t="s">
        <v>655</v>
      </c>
      <c r="B28" s="2" t="s">
        <v>654</v>
      </c>
      <c r="C28" t="s">
        <v>640</v>
      </c>
      <c r="D28" t="s">
        <v>209</v>
      </c>
      <c r="E28" t="s">
        <v>617</v>
      </c>
      <c r="F28" t="s">
        <v>618</v>
      </c>
      <c r="G28" t="s">
        <v>623</v>
      </c>
      <c r="H28" t="s">
        <v>620</v>
      </c>
      <c r="I28" t="s">
        <v>621</v>
      </c>
    </row>
    <row r="29" spans="1:9">
      <c r="A29" t="s">
        <v>656</v>
      </c>
      <c r="B29" s="2" t="s">
        <v>657</v>
      </c>
      <c r="C29" t="s">
        <v>640</v>
      </c>
      <c r="D29" t="s">
        <v>209</v>
      </c>
      <c r="E29" t="s">
        <v>617</v>
      </c>
      <c r="F29" t="s">
        <v>618</v>
      </c>
      <c r="G29" t="s">
        <v>623</v>
      </c>
      <c r="H29" t="s">
        <v>620</v>
      </c>
      <c r="I29" t="s">
        <v>621</v>
      </c>
    </row>
    <row r="30" spans="1:9">
      <c r="A30" t="s">
        <v>658</v>
      </c>
      <c r="B30" s="2" t="s">
        <v>659</v>
      </c>
      <c r="C30" t="s">
        <v>640</v>
      </c>
      <c r="D30" t="s">
        <v>209</v>
      </c>
      <c r="E30" t="s">
        <v>617</v>
      </c>
      <c r="F30" t="s">
        <v>618</v>
      </c>
      <c r="G30" t="s">
        <v>623</v>
      </c>
      <c r="H30" t="s">
        <v>620</v>
      </c>
      <c r="I30" t="s">
        <v>621</v>
      </c>
    </row>
    <row r="31" spans="1:9">
      <c r="A31" t="s">
        <v>660</v>
      </c>
      <c r="B31" s="2" t="s">
        <v>639</v>
      </c>
      <c r="C31" t="s">
        <v>640</v>
      </c>
      <c r="D31" t="s">
        <v>209</v>
      </c>
      <c r="E31" t="s">
        <v>617</v>
      </c>
      <c r="F31" t="s">
        <v>618</v>
      </c>
      <c r="G31" t="s">
        <v>623</v>
      </c>
      <c r="H31" t="s">
        <v>620</v>
      </c>
      <c r="I31" t="s">
        <v>621</v>
      </c>
    </row>
    <row r="32" spans="1:9">
      <c r="A32" t="s">
        <v>661</v>
      </c>
      <c r="B32" s="2" t="s">
        <v>662</v>
      </c>
      <c r="C32" t="s">
        <v>640</v>
      </c>
      <c r="D32" t="s">
        <v>209</v>
      </c>
      <c r="E32" t="s">
        <v>617</v>
      </c>
      <c r="F32" t="s">
        <v>618</v>
      </c>
      <c r="G32" t="s">
        <v>623</v>
      </c>
      <c r="H32" t="s">
        <v>620</v>
      </c>
      <c r="I32" t="s">
        <v>621</v>
      </c>
    </row>
    <row r="33" spans="1:5">
      <c r="A33" s="10">
        <v>1014781</v>
      </c>
      <c r="B33" s="9" t="s">
        <v>437</v>
      </c>
      <c r="C33" t="s">
        <v>437</v>
      </c>
      <c r="D33" t="s">
        <v>663</v>
      </c>
      <c r="E33" t="s">
        <v>614</v>
      </c>
    </row>
    <row r="34" spans="1:5">
      <c r="A34" s="10">
        <v>1118080</v>
      </c>
      <c r="B34" s="9" t="s">
        <v>440</v>
      </c>
      <c r="C34" t="s">
        <v>440</v>
      </c>
      <c r="D34" t="s">
        <v>274</v>
      </c>
      <c r="E34" t="s">
        <v>614</v>
      </c>
    </row>
    <row r="35" spans="1:5">
      <c r="A35" s="10">
        <v>1069910</v>
      </c>
      <c r="B35" s="9" t="s">
        <v>664</v>
      </c>
      <c r="C35" t="s">
        <v>664</v>
      </c>
      <c r="D35" t="s">
        <v>130</v>
      </c>
      <c r="E35" t="s">
        <v>614</v>
      </c>
    </row>
    <row r="36" spans="1:5">
      <c r="A36" t="s">
        <v>665</v>
      </c>
      <c r="B36" s="2" t="s">
        <v>600</v>
      </c>
      <c r="C36" s="2" t="s">
        <v>317</v>
      </c>
      <c r="D36" t="s">
        <v>317</v>
      </c>
      <c r="E36" t="s">
        <v>617</v>
      </c>
    </row>
    <row r="37" spans="1:5">
      <c r="A37" t="s">
        <v>666</v>
      </c>
      <c r="B37" s="2" t="s">
        <v>667</v>
      </c>
      <c r="C37" s="2" t="s">
        <v>315</v>
      </c>
      <c r="D37" t="s">
        <v>315</v>
      </c>
      <c r="E37" t="s">
        <v>617</v>
      </c>
    </row>
    <row r="38" spans="1:5">
      <c r="A38" t="s">
        <v>668</v>
      </c>
      <c r="B38" s="2" t="s">
        <v>603</v>
      </c>
      <c r="C38" t="s">
        <v>319</v>
      </c>
      <c r="D38" t="s">
        <v>319</v>
      </c>
      <c r="E38" t="s">
        <v>617</v>
      </c>
    </row>
    <row r="39" spans="1:5">
      <c r="A39" s="281" t="s">
        <v>669</v>
      </c>
      <c r="B39" s="2" t="s">
        <v>451</v>
      </c>
      <c r="C39" t="s">
        <v>222</v>
      </c>
      <c r="D39" t="s">
        <v>222</v>
      </c>
      <c r="E39" t="s">
        <v>617</v>
      </c>
    </row>
    <row r="40" spans="1:5">
      <c r="A40" s="281" t="s">
        <v>670</v>
      </c>
      <c r="B40" s="2" t="s">
        <v>451</v>
      </c>
      <c r="C40" t="s">
        <v>222</v>
      </c>
      <c r="D40" t="s">
        <v>222</v>
      </c>
      <c r="E40" t="s">
        <v>617</v>
      </c>
    </row>
    <row r="41" spans="1:5">
      <c r="A41" t="s">
        <v>671</v>
      </c>
      <c r="B41" s="2" t="s">
        <v>672</v>
      </c>
      <c r="C41" t="s">
        <v>298</v>
      </c>
      <c r="D41" t="s">
        <v>298</v>
      </c>
      <c r="E41" t="s">
        <v>617</v>
      </c>
    </row>
    <row r="42" spans="1:5">
      <c r="A42" t="s">
        <v>673</v>
      </c>
      <c r="B42" s="2" t="s">
        <v>435</v>
      </c>
      <c r="C42" t="s">
        <v>435</v>
      </c>
      <c r="D42" t="s">
        <v>133</v>
      </c>
      <c r="E42" t="s">
        <v>614</v>
      </c>
    </row>
    <row r="43" spans="1:5">
      <c r="A43" t="s">
        <v>674</v>
      </c>
      <c r="B43" s="2" t="s">
        <v>446</v>
      </c>
      <c r="C43" t="s">
        <v>446</v>
      </c>
      <c r="D43" t="s">
        <v>203</v>
      </c>
      <c r="E43" t="s">
        <v>614</v>
      </c>
    </row>
    <row r="44" spans="1:5">
      <c r="A44" t="s">
        <v>675</v>
      </c>
      <c r="B44" s="2" t="s">
        <v>444</v>
      </c>
      <c r="C44" t="s">
        <v>216</v>
      </c>
      <c r="D44" t="s">
        <v>216</v>
      </c>
      <c r="E44" t="s">
        <v>617</v>
      </c>
    </row>
    <row r="45" spans="1:5">
      <c r="A45" s="281" t="s">
        <v>676</v>
      </c>
      <c r="B45" s="2" t="s">
        <v>458</v>
      </c>
      <c r="C45" t="s">
        <v>219</v>
      </c>
      <c r="D45" t="s">
        <v>219</v>
      </c>
      <c r="E45" t="s">
        <v>617</v>
      </c>
    </row>
    <row r="46" spans="1:5">
      <c r="A46" s="281" t="s">
        <v>677</v>
      </c>
      <c r="B46" s="2" t="s">
        <v>586</v>
      </c>
      <c r="C46" t="s">
        <v>225</v>
      </c>
      <c r="D46" t="s">
        <v>225</v>
      </c>
      <c r="E46" t="s">
        <v>617</v>
      </c>
    </row>
    <row r="47" spans="1:5">
      <c r="A47" s="281" t="s">
        <v>678</v>
      </c>
      <c r="B47" t="s">
        <v>679</v>
      </c>
      <c r="C47" t="s">
        <v>234</v>
      </c>
      <c r="D47" t="s">
        <v>234</v>
      </c>
      <c r="E47" t="s">
        <v>617</v>
      </c>
    </row>
    <row r="48" spans="1:5">
      <c r="A48" s="281" t="s">
        <v>680</v>
      </c>
      <c r="B48" s="2" t="s">
        <v>681</v>
      </c>
      <c r="C48" t="s">
        <v>237</v>
      </c>
      <c r="D48" t="s">
        <v>237</v>
      </c>
      <c r="E48" t="s">
        <v>617</v>
      </c>
    </row>
    <row r="49" spans="1:5">
      <c r="A49" s="281" t="s">
        <v>682</v>
      </c>
      <c r="B49" s="2" t="s">
        <v>450</v>
      </c>
      <c r="C49" t="s">
        <v>228</v>
      </c>
      <c r="D49" t="s">
        <v>228</v>
      </c>
      <c r="E49" t="s">
        <v>617</v>
      </c>
    </row>
    <row r="50" spans="1:5">
      <c r="A50" s="281" t="s">
        <v>683</v>
      </c>
      <c r="B50" s="2" t="s">
        <v>583</v>
      </c>
      <c r="C50" t="s">
        <v>302</v>
      </c>
      <c r="D50" t="s">
        <v>302</v>
      </c>
      <c r="E50" t="s">
        <v>617</v>
      </c>
    </row>
    <row r="51" spans="1:5">
      <c r="A51" s="281" t="s">
        <v>684</v>
      </c>
      <c r="B51" s="2" t="s">
        <v>591</v>
      </c>
      <c r="C51" t="s">
        <v>311</v>
      </c>
      <c r="D51" t="s">
        <v>311</v>
      </c>
      <c r="E51" t="s">
        <v>617</v>
      </c>
    </row>
    <row r="52" spans="1:5">
      <c r="A52" s="281" t="s">
        <v>685</v>
      </c>
      <c r="B52" s="2" t="s">
        <v>587</v>
      </c>
      <c r="C52" t="s">
        <v>307</v>
      </c>
      <c r="D52" t="s">
        <v>307</v>
      </c>
      <c r="E52" t="s">
        <v>617</v>
      </c>
    </row>
    <row r="53" spans="1:5">
      <c r="A53" s="281" t="s">
        <v>686</v>
      </c>
      <c r="B53" s="2" t="s">
        <v>594</v>
      </c>
      <c r="C53" t="s">
        <v>313</v>
      </c>
      <c r="D53" t="s">
        <v>313</v>
      </c>
      <c r="E53" t="s">
        <v>617</v>
      </c>
    </row>
    <row r="54" spans="1:5">
      <c r="A54" s="281" t="s">
        <v>687</v>
      </c>
      <c r="B54" s="2" t="s">
        <v>449</v>
      </c>
      <c r="C54" t="s">
        <v>240</v>
      </c>
      <c r="D54" t="s">
        <v>240</v>
      </c>
      <c r="E54" t="s">
        <v>617</v>
      </c>
    </row>
    <row r="55" spans="1:5">
      <c r="A55" s="281" t="s">
        <v>688</v>
      </c>
      <c r="B55" s="649" t="s">
        <v>580</v>
      </c>
      <c r="C55" t="s">
        <v>213</v>
      </c>
      <c r="D55" t="s">
        <v>213</v>
      </c>
      <c r="E55" t="s">
        <v>617</v>
      </c>
    </row>
    <row r="56" spans="1:5">
      <c r="A56" s="281" t="s">
        <v>689</v>
      </c>
      <c r="B56" s="2" t="s">
        <v>590</v>
      </c>
      <c r="C56" t="s">
        <v>690</v>
      </c>
      <c r="D56" t="s">
        <v>690</v>
      </c>
      <c r="E56" t="s">
        <v>617</v>
      </c>
    </row>
    <row r="57" spans="1:5">
      <c r="A57" s="281" t="s">
        <v>691</v>
      </c>
      <c r="B57" s="2" t="s">
        <v>590</v>
      </c>
      <c r="C57" t="s">
        <v>690</v>
      </c>
      <c r="D57" t="s">
        <v>690</v>
      </c>
      <c r="E57" t="s">
        <v>617</v>
      </c>
    </row>
    <row r="58" spans="1:5">
      <c r="A58" s="281" t="s">
        <v>692</v>
      </c>
      <c r="B58" s="2" t="s">
        <v>693</v>
      </c>
      <c r="C58" t="s">
        <v>231</v>
      </c>
      <c r="D58" t="s">
        <v>231</v>
      </c>
      <c r="E58" t="s">
        <v>617</v>
      </c>
    </row>
    <row r="59" spans="1:5">
      <c r="A59" s="281" t="s">
        <v>694</v>
      </c>
      <c r="B59" s="2" t="s">
        <v>693</v>
      </c>
      <c r="C59" t="s">
        <v>231</v>
      </c>
      <c r="D59" t="s">
        <v>231</v>
      </c>
      <c r="E59" t="s">
        <v>617</v>
      </c>
    </row>
    <row r="60" spans="1:5">
      <c r="A60" s="281" t="s">
        <v>695</v>
      </c>
      <c r="B60" s="2" t="s">
        <v>449</v>
      </c>
      <c r="C60" t="s">
        <v>240</v>
      </c>
      <c r="D60" t="s">
        <v>240</v>
      </c>
      <c r="E60" t="s">
        <v>617</v>
      </c>
    </row>
    <row r="61" spans="1:5">
      <c r="A61" s="281" t="s">
        <v>696</v>
      </c>
      <c r="B61" s="2" t="s">
        <v>449</v>
      </c>
      <c r="C61" t="s">
        <v>240</v>
      </c>
      <c r="D61" t="s">
        <v>240</v>
      </c>
      <c r="E61" t="s">
        <v>617</v>
      </c>
    </row>
    <row r="62" spans="1:5">
      <c r="A62" s="636">
        <v>1434133</v>
      </c>
      <c r="B62" s="2" t="s">
        <v>580</v>
      </c>
      <c r="C62" t="s">
        <v>697</v>
      </c>
      <c r="D62" t="s">
        <v>697</v>
      </c>
      <c r="E62" t="s">
        <v>617</v>
      </c>
    </row>
    <row r="63" spans="1:5">
      <c r="A63" s="281" t="s">
        <v>698</v>
      </c>
      <c r="B63" s="2" t="s">
        <v>449</v>
      </c>
      <c r="C63" t="s">
        <v>240</v>
      </c>
      <c r="D63" t="s">
        <v>240</v>
      </c>
      <c r="E63" t="s">
        <v>617</v>
      </c>
    </row>
    <row r="64" spans="1:5">
      <c r="A64" s="281" t="s">
        <v>699</v>
      </c>
      <c r="B64" s="2" t="s">
        <v>440</v>
      </c>
      <c r="C64" t="s">
        <v>440</v>
      </c>
      <c r="D64" t="s">
        <v>274</v>
      </c>
      <c r="E64" t="s">
        <v>614</v>
      </c>
    </row>
    <row r="65" spans="1:5">
      <c r="A65" s="281" t="s">
        <v>700</v>
      </c>
      <c r="B65" s="2" t="s">
        <v>440</v>
      </c>
      <c r="C65" t="s">
        <v>440</v>
      </c>
      <c r="D65" t="s">
        <v>274</v>
      </c>
      <c r="E65" t="s">
        <v>614</v>
      </c>
    </row>
  </sheetData>
  <pageMargins left="0.7" right="0.7" top="0.75" bottom="0.75" header="0.3" footer="0.3"/>
  <pageSetup paperSize="9" orientation="portrait" r:id="rId1"/>
  <customProperties>
    <customPr name="_pios_id" r:id="rId2"/>
  </customProperties>
  <tableParts count="1">
    <tablePart r:id="rId3"/>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C28"/>
  <sheetViews>
    <sheetView topLeftCell="A19" workbookViewId="0">
      <selection activeCell="H31" sqref="H31"/>
    </sheetView>
  </sheetViews>
  <sheetFormatPr defaultRowHeight="15"/>
  <cols>
    <col min="1" max="1" width="18.7109375" bestFit="1" customWidth="1"/>
    <col min="2" max="2" width="14.42578125" bestFit="1" customWidth="1"/>
    <col min="3" max="3" width="12.85546875" bestFit="1" customWidth="1"/>
  </cols>
  <sheetData>
    <row r="1" spans="1:3">
      <c r="A1" s="3" t="s">
        <v>701</v>
      </c>
      <c r="B1" s="3" t="s">
        <v>416</v>
      </c>
      <c r="C1" s="3" t="s">
        <v>417</v>
      </c>
    </row>
    <row r="2" spans="1:3">
      <c r="A2" s="4" t="s">
        <v>419</v>
      </c>
      <c r="B2" s="5" t="s">
        <v>44</v>
      </c>
      <c r="C2" s="5" t="s">
        <v>83</v>
      </c>
    </row>
    <row r="3" spans="1:3">
      <c r="A3" s="4" t="s">
        <v>418</v>
      </c>
      <c r="B3" s="5" t="s">
        <v>44</v>
      </c>
      <c r="C3" s="4" t="s">
        <v>85</v>
      </c>
    </row>
    <row r="4" spans="1:3">
      <c r="A4" s="4" t="s">
        <v>702</v>
      </c>
      <c r="B4" s="5" t="s">
        <v>44</v>
      </c>
      <c r="C4" s="4" t="s">
        <v>86</v>
      </c>
    </row>
    <row r="5" spans="1:3">
      <c r="A5" s="4" t="s">
        <v>703</v>
      </c>
      <c r="B5" s="5" t="s">
        <v>44</v>
      </c>
      <c r="C5" s="4" t="s">
        <v>82</v>
      </c>
    </row>
    <row r="6" spans="1:3">
      <c r="A6" s="4" t="s">
        <v>420</v>
      </c>
      <c r="B6" s="5" t="s">
        <v>44</v>
      </c>
      <c r="C6" s="4" t="s">
        <v>84</v>
      </c>
    </row>
    <row r="7" spans="1:3">
      <c r="A7" s="4" t="s">
        <v>704</v>
      </c>
      <c r="B7" s="5" t="s">
        <v>44</v>
      </c>
      <c r="C7" s="4" t="s">
        <v>81</v>
      </c>
    </row>
    <row r="8" spans="1:3">
      <c r="A8" s="4" t="s">
        <v>705</v>
      </c>
      <c r="B8" s="4" t="s">
        <v>45</v>
      </c>
      <c r="C8" s="4" t="s">
        <v>90</v>
      </c>
    </row>
    <row r="9" spans="1:3">
      <c r="A9" s="4" t="s">
        <v>421</v>
      </c>
      <c r="B9" s="4" t="s">
        <v>45</v>
      </c>
      <c r="C9" s="4" t="s">
        <v>88</v>
      </c>
    </row>
    <row r="10" spans="1:3">
      <c r="A10" s="4" t="s">
        <v>706</v>
      </c>
      <c r="B10" s="4" t="s">
        <v>45</v>
      </c>
      <c r="C10" s="4" t="s">
        <v>89</v>
      </c>
    </row>
    <row r="11" spans="1:3">
      <c r="A11" s="6" t="s">
        <v>707</v>
      </c>
      <c r="B11" s="4" t="s">
        <v>45</v>
      </c>
      <c r="C11" s="4" t="s">
        <v>708</v>
      </c>
    </row>
    <row r="12" spans="1:3">
      <c r="A12" s="4" t="s">
        <v>422</v>
      </c>
      <c r="B12" s="4" t="s">
        <v>46</v>
      </c>
      <c r="C12" s="4" t="s">
        <v>94</v>
      </c>
    </row>
    <row r="13" spans="1:3">
      <c r="A13" s="4" t="s">
        <v>423</v>
      </c>
      <c r="B13" s="4" t="s">
        <v>46</v>
      </c>
      <c r="C13" s="4" t="s">
        <v>92</v>
      </c>
    </row>
    <row r="14" spans="1:3">
      <c r="A14" s="4" t="s">
        <v>424</v>
      </c>
      <c r="B14" s="4" t="s">
        <v>46</v>
      </c>
      <c r="C14" s="4" t="s">
        <v>93</v>
      </c>
    </row>
    <row r="15" spans="1:3">
      <c r="A15" s="4" t="s">
        <v>709</v>
      </c>
      <c r="B15" s="4" t="s">
        <v>263</v>
      </c>
      <c r="C15" s="4" t="s">
        <v>710</v>
      </c>
    </row>
    <row r="16" spans="1:3">
      <c r="A16" s="4" t="s">
        <v>425</v>
      </c>
      <c r="B16" s="4" t="s">
        <v>263</v>
      </c>
      <c r="C16" s="4" t="s">
        <v>186</v>
      </c>
    </row>
    <row r="17" spans="1:3">
      <c r="A17" s="4" t="s">
        <v>426</v>
      </c>
      <c r="B17" s="4" t="s">
        <v>263</v>
      </c>
      <c r="C17" s="4" t="s">
        <v>184</v>
      </c>
    </row>
    <row r="18" spans="1:3">
      <c r="A18" s="4" t="s">
        <v>427</v>
      </c>
      <c r="B18" s="4" t="s">
        <v>263</v>
      </c>
      <c r="C18" s="4" t="s">
        <v>187</v>
      </c>
    </row>
    <row r="19" spans="1:3">
      <c r="A19" s="7" t="s">
        <v>711</v>
      </c>
      <c r="B19" s="4" t="s">
        <v>263</v>
      </c>
      <c r="C19" s="7" t="s">
        <v>185</v>
      </c>
    </row>
    <row r="20" spans="1:3">
      <c r="A20" s="4" t="s">
        <v>712</v>
      </c>
      <c r="B20" s="4" t="s">
        <v>713</v>
      </c>
      <c r="C20" s="4" t="s">
        <v>714</v>
      </c>
    </row>
    <row r="21" spans="1:3">
      <c r="A21" s="4" t="s">
        <v>715</v>
      </c>
      <c r="B21" s="4" t="s">
        <v>713</v>
      </c>
      <c r="C21" s="4" t="s">
        <v>716</v>
      </c>
    </row>
    <row r="22" spans="1:3">
      <c r="A22" s="7" t="s">
        <v>717</v>
      </c>
      <c r="B22" s="4" t="s">
        <v>713</v>
      </c>
      <c r="C22" s="4" t="s">
        <v>718</v>
      </c>
    </row>
    <row r="23" spans="1:3">
      <c r="A23" s="4" t="s">
        <v>719</v>
      </c>
      <c r="B23" s="4" t="s">
        <v>46</v>
      </c>
      <c r="C23" s="4" t="s">
        <v>91</v>
      </c>
    </row>
    <row r="24" spans="1:3">
      <c r="A24" s="7" t="s">
        <v>720</v>
      </c>
      <c r="B24" s="7" t="s">
        <v>44</v>
      </c>
      <c r="C24" s="7" t="s">
        <v>721</v>
      </c>
    </row>
    <row r="25" spans="1:3">
      <c r="A25" s="4" t="s">
        <v>428</v>
      </c>
      <c r="B25" s="4" t="s">
        <v>264</v>
      </c>
      <c r="C25" s="4" t="s">
        <v>188</v>
      </c>
    </row>
    <row r="26" spans="1:3">
      <c r="A26" s="4" t="s">
        <v>429</v>
      </c>
      <c r="B26" s="4" t="s">
        <v>264</v>
      </c>
      <c r="C26" s="4" t="s">
        <v>189</v>
      </c>
    </row>
    <row r="27" spans="1:3">
      <c r="A27" s="4" t="s">
        <v>722</v>
      </c>
      <c r="B27" s="4" t="s">
        <v>264</v>
      </c>
      <c r="C27" s="4" t="s">
        <v>190</v>
      </c>
    </row>
    <row r="28" spans="1:3">
      <c r="A28" s="7" t="s">
        <v>723</v>
      </c>
      <c r="B28" s="7" t="s">
        <v>44</v>
      </c>
      <c r="C28" s="7" t="s">
        <v>87</v>
      </c>
    </row>
  </sheetData>
  <pageMargins left="0.7" right="0.7" top="0.75" bottom="0.75" header="0.3" footer="0.3"/>
  <pageSetup orientation="portrait" r:id="rId1"/>
  <customProperties>
    <customPr name="_pios_id" r:id="rId2"/>
  </customProperties>
  <tableParts count="1">
    <tablePart r:id="rId3"/>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H488"/>
  <sheetViews>
    <sheetView workbookViewId="0">
      <selection activeCell="G6" sqref="G6"/>
    </sheetView>
  </sheetViews>
  <sheetFormatPr defaultRowHeight="15"/>
  <cols>
    <col min="1" max="1" width="13.85546875" customWidth="1"/>
    <col min="2" max="2" width="15.28515625" customWidth="1"/>
    <col min="3" max="3" width="12.5703125" customWidth="1"/>
    <col min="4" max="4" width="13.7109375" style="12" customWidth="1"/>
    <col min="5" max="5" width="22.28515625" customWidth="1"/>
    <col min="8" max="8" width="24.5703125" bestFit="1" customWidth="1"/>
  </cols>
  <sheetData>
    <row r="1" spans="1:5">
      <c r="A1" t="s">
        <v>724</v>
      </c>
      <c r="B1" t="s">
        <v>725</v>
      </c>
      <c r="C1" t="s">
        <v>726</v>
      </c>
      <c r="D1" s="12" t="s">
        <v>727</v>
      </c>
      <c r="E1" t="s">
        <v>728</v>
      </c>
    </row>
    <row r="2" spans="1:5">
      <c r="A2" s="8">
        <v>43344</v>
      </c>
      <c r="B2">
        <f>DAY(Table_Date_Dim[[#This Row],[Date_all_Day]])</f>
        <v>1</v>
      </c>
      <c r="C2">
        <v>1</v>
      </c>
      <c r="D2" s="12" t="str">
        <f>TEXT(Table_Date_Dim[[#This Row],[Date_all_Day]],"dddd")</f>
        <v>Saturday</v>
      </c>
      <c r="E2" t="str">
        <f>CONCATENATE(YEAR(Table_Date_Dim[[#This Row],[Date_all_Day]]),RIGHT("0"&amp;MONTH(Table_Date_Dim[[#This Row],[Date_all_Day]]),2))</f>
        <v>201809</v>
      </c>
    </row>
    <row r="3" spans="1:5">
      <c r="A3" s="8">
        <v>43345</v>
      </c>
      <c r="B3">
        <f>DAY(Table_Date_Dim[[#This Row],[Date_all_Day]])</f>
        <v>2</v>
      </c>
      <c r="C3">
        <v>1</v>
      </c>
      <c r="D3" s="12" t="str">
        <f>TEXT(Table_Date_Dim[[#This Row],[Date_all_Day]],"dddd")</f>
        <v>Sunday</v>
      </c>
      <c r="E3" t="str">
        <f>CONCATENATE(YEAR(Table_Date_Dim[[#This Row],[Date_all_Day]]),RIGHT("0"&amp;MONTH(Table_Date_Dim[[#This Row],[Date_all_Day]]),2))</f>
        <v>201809</v>
      </c>
    </row>
    <row r="4" spans="1:5">
      <c r="A4" s="8">
        <v>43346</v>
      </c>
      <c r="B4">
        <f>DAY(Table_Date_Dim[[#This Row],[Date_all_Day]])</f>
        <v>3</v>
      </c>
      <c r="C4">
        <v>2</v>
      </c>
      <c r="D4" s="12" t="str">
        <f>TEXT(Table_Date_Dim[[#This Row],[Date_all_Day]],"dddd")</f>
        <v>Monday</v>
      </c>
      <c r="E4" t="str">
        <f>CONCATENATE(YEAR(Table_Date_Dim[[#This Row],[Date_all_Day]]),RIGHT("0"&amp;MONTH(Table_Date_Dim[[#This Row],[Date_all_Day]]),2))</f>
        <v>201809</v>
      </c>
    </row>
    <row r="5" spans="1:5">
      <c r="A5" s="8">
        <v>43347</v>
      </c>
      <c r="B5">
        <f>DAY(Table_Date_Dim[[#This Row],[Date_all_Day]])</f>
        <v>4</v>
      </c>
      <c r="C5">
        <v>2</v>
      </c>
      <c r="D5" s="12" t="str">
        <f>TEXT(Table_Date_Dim[[#This Row],[Date_all_Day]],"dddd")</f>
        <v>Tuesday</v>
      </c>
      <c r="E5" t="str">
        <f>CONCATENATE(YEAR(Table_Date_Dim[[#This Row],[Date_all_Day]]),RIGHT("0"&amp;MONTH(Table_Date_Dim[[#This Row],[Date_all_Day]]),2))</f>
        <v>201809</v>
      </c>
    </row>
    <row r="6" spans="1:5">
      <c r="A6" s="8">
        <v>43348</v>
      </c>
      <c r="B6">
        <f>DAY(Table_Date_Dim[[#This Row],[Date_all_Day]])</f>
        <v>5</v>
      </c>
      <c r="C6">
        <v>2</v>
      </c>
      <c r="D6" s="12" t="str">
        <f>TEXT(Table_Date_Dim[[#This Row],[Date_all_Day]],"dddd")</f>
        <v>Wednesday</v>
      </c>
      <c r="E6" t="str">
        <f>CONCATENATE(YEAR(Table_Date_Dim[[#This Row],[Date_all_Day]]),RIGHT("0"&amp;MONTH(Table_Date_Dim[[#This Row],[Date_all_Day]]),2))</f>
        <v>201809</v>
      </c>
    </row>
    <row r="7" spans="1:5">
      <c r="A7" s="8">
        <v>43349</v>
      </c>
      <c r="B7">
        <f>DAY(Table_Date_Dim[[#This Row],[Date_all_Day]])</f>
        <v>6</v>
      </c>
      <c r="C7">
        <v>2</v>
      </c>
      <c r="D7" s="12" t="str">
        <f>TEXT(Table_Date_Dim[[#This Row],[Date_all_Day]],"dddd")</f>
        <v>Thursday</v>
      </c>
      <c r="E7" t="str">
        <f>CONCATENATE(YEAR(Table_Date_Dim[[#This Row],[Date_all_Day]]),RIGHT("0"&amp;MONTH(Table_Date_Dim[[#This Row],[Date_all_Day]]),2))</f>
        <v>201809</v>
      </c>
    </row>
    <row r="8" spans="1:5">
      <c r="A8" s="8">
        <v>43350</v>
      </c>
      <c r="B8">
        <f>DAY(Table_Date_Dim[[#This Row],[Date_all_Day]])</f>
        <v>7</v>
      </c>
      <c r="C8">
        <v>2</v>
      </c>
      <c r="D8" s="12" t="str">
        <f>TEXT(Table_Date_Dim[[#This Row],[Date_all_Day]],"dddd")</f>
        <v>Friday</v>
      </c>
      <c r="E8" t="str">
        <f>CONCATENATE(YEAR(Table_Date_Dim[[#This Row],[Date_all_Day]]),RIGHT("0"&amp;MONTH(Table_Date_Dim[[#This Row],[Date_all_Day]]),2))</f>
        <v>201809</v>
      </c>
    </row>
    <row r="9" spans="1:5">
      <c r="A9" s="8">
        <v>43351</v>
      </c>
      <c r="B9">
        <f>DAY(Table_Date_Dim[[#This Row],[Date_all_Day]])</f>
        <v>8</v>
      </c>
      <c r="C9">
        <v>2</v>
      </c>
      <c r="D9" s="12" t="str">
        <f>TEXT(Table_Date_Dim[[#This Row],[Date_all_Day]],"dddd")</f>
        <v>Saturday</v>
      </c>
      <c r="E9" t="str">
        <f>CONCATENATE(YEAR(Table_Date_Dim[[#This Row],[Date_all_Day]]),RIGHT("0"&amp;MONTH(Table_Date_Dim[[#This Row],[Date_all_Day]]),2))</f>
        <v>201809</v>
      </c>
    </row>
    <row r="10" spans="1:5">
      <c r="A10" s="8">
        <v>43352</v>
      </c>
      <c r="B10">
        <f>DAY(Table_Date_Dim[[#This Row],[Date_all_Day]])</f>
        <v>9</v>
      </c>
      <c r="C10">
        <v>2</v>
      </c>
      <c r="D10" s="12" t="str">
        <f>TEXT(Table_Date_Dim[[#This Row],[Date_all_Day]],"dddd")</f>
        <v>Sunday</v>
      </c>
      <c r="E10" t="str">
        <f>CONCATENATE(YEAR(Table_Date_Dim[[#This Row],[Date_all_Day]]),RIGHT("0"&amp;MONTH(Table_Date_Dim[[#This Row],[Date_all_Day]]),2))</f>
        <v>201809</v>
      </c>
    </row>
    <row r="11" spans="1:5">
      <c r="A11" s="8">
        <v>43353</v>
      </c>
      <c r="B11">
        <f>DAY(Table_Date_Dim[[#This Row],[Date_all_Day]])</f>
        <v>10</v>
      </c>
      <c r="C11">
        <v>3</v>
      </c>
      <c r="D11" s="12" t="str">
        <f>TEXT(Table_Date_Dim[[#This Row],[Date_all_Day]],"dddd")</f>
        <v>Monday</v>
      </c>
      <c r="E11" t="str">
        <f>CONCATENATE(YEAR(Table_Date_Dim[[#This Row],[Date_all_Day]]),RIGHT("0"&amp;MONTH(Table_Date_Dim[[#This Row],[Date_all_Day]]),2))</f>
        <v>201809</v>
      </c>
    </row>
    <row r="12" spans="1:5">
      <c r="A12" s="8">
        <v>43354</v>
      </c>
      <c r="B12">
        <f>DAY(Table_Date_Dim[[#This Row],[Date_all_Day]])</f>
        <v>11</v>
      </c>
      <c r="C12">
        <v>3</v>
      </c>
      <c r="D12" s="12" t="str">
        <f>TEXT(Table_Date_Dim[[#This Row],[Date_all_Day]],"dddd")</f>
        <v>Tuesday</v>
      </c>
      <c r="E12" t="str">
        <f>CONCATENATE(YEAR(Table_Date_Dim[[#This Row],[Date_all_Day]]),RIGHT("0"&amp;MONTH(Table_Date_Dim[[#This Row],[Date_all_Day]]),2))</f>
        <v>201809</v>
      </c>
    </row>
    <row r="13" spans="1:5">
      <c r="A13" s="8">
        <v>43355</v>
      </c>
      <c r="B13">
        <f>DAY(Table_Date_Dim[[#This Row],[Date_all_Day]])</f>
        <v>12</v>
      </c>
      <c r="C13">
        <v>3</v>
      </c>
      <c r="D13" s="12" t="str">
        <f>TEXT(Table_Date_Dim[[#This Row],[Date_all_Day]],"dddd")</f>
        <v>Wednesday</v>
      </c>
      <c r="E13" t="str">
        <f>CONCATENATE(YEAR(Table_Date_Dim[[#This Row],[Date_all_Day]]),RIGHT("0"&amp;MONTH(Table_Date_Dim[[#This Row],[Date_all_Day]]),2))</f>
        <v>201809</v>
      </c>
    </row>
    <row r="14" spans="1:5">
      <c r="A14" s="8">
        <v>43356</v>
      </c>
      <c r="B14">
        <f>DAY(Table_Date_Dim[[#This Row],[Date_all_Day]])</f>
        <v>13</v>
      </c>
      <c r="C14">
        <v>3</v>
      </c>
      <c r="D14" s="12" t="str">
        <f>TEXT(Table_Date_Dim[[#This Row],[Date_all_Day]],"dddd")</f>
        <v>Thursday</v>
      </c>
      <c r="E14" t="str">
        <f>CONCATENATE(YEAR(Table_Date_Dim[[#This Row],[Date_all_Day]]),RIGHT("0"&amp;MONTH(Table_Date_Dim[[#This Row],[Date_all_Day]]),2))</f>
        <v>201809</v>
      </c>
    </row>
    <row r="15" spans="1:5">
      <c r="A15" s="8">
        <v>43357</v>
      </c>
      <c r="B15">
        <f>DAY(Table_Date_Dim[[#This Row],[Date_all_Day]])</f>
        <v>14</v>
      </c>
      <c r="C15">
        <v>3</v>
      </c>
      <c r="D15" s="12" t="str">
        <f>TEXT(Table_Date_Dim[[#This Row],[Date_all_Day]],"dddd")</f>
        <v>Friday</v>
      </c>
      <c r="E15" t="str">
        <f>CONCATENATE(YEAR(Table_Date_Dim[[#This Row],[Date_all_Day]]),RIGHT("0"&amp;MONTH(Table_Date_Dim[[#This Row],[Date_all_Day]]),2))</f>
        <v>201809</v>
      </c>
    </row>
    <row r="16" spans="1:5">
      <c r="A16" s="8">
        <v>43358</v>
      </c>
      <c r="B16">
        <f>DAY(Table_Date_Dim[[#This Row],[Date_all_Day]])</f>
        <v>15</v>
      </c>
      <c r="C16">
        <v>3</v>
      </c>
      <c r="D16" s="12" t="str">
        <f>TEXT(Table_Date_Dim[[#This Row],[Date_all_Day]],"dddd")</f>
        <v>Saturday</v>
      </c>
      <c r="E16" t="str">
        <f>CONCATENATE(YEAR(Table_Date_Dim[[#This Row],[Date_all_Day]]),RIGHT("0"&amp;MONTH(Table_Date_Dim[[#This Row],[Date_all_Day]]),2))</f>
        <v>201809</v>
      </c>
    </row>
    <row r="17" spans="1:5">
      <c r="A17" s="8">
        <v>43359</v>
      </c>
      <c r="B17">
        <f>DAY(Table_Date_Dim[[#This Row],[Date_all_Day]])</f>
        <v>16</v>
      </c>
      <c r="C17">
        <v>3</v>
      </c>
      <c r="D17" s="12" t="str">
        <f>TEXT(Table_Date_Dim[[#This Row],[Date_all_Day]],"dddd")</f>
        <v>Sunday</v>
      </c>
      <c r="E17" t="str">
        <f>CONCATENATE(YEAR(Table_Date_Dim[[#This Row],[Date_all_Day]]),RIGHT("0"&amp;MONTH(Table_Date_Dim[[#This Row],[Date_all_Day]]),2))</f>
        <v>201809</v>
      </c>
    </row>
    <row r="18" spans="1:5">
      <c r="A18" s="8">
        <v>43360</v>
      </c>
      <c r="B18">
        <f>DAY(Table_Date_Dim[[#This Row],[Date_all_Day]])</f>
        <v>17</v>
      </c>
      <c r="C18">
        <v>4</v>
      </c>
      <c r="D18" s="12" t="str">
        <f>TEXT(Table_Date_Dim[[#This Row],[Date_all_Day]],"dddd")</f>
        <v>Monday</v>
      </c>
      <c r="E18" t="str">
        <f>CONCATENATE(YEAR(Table_Date_Dim[[#This Row],[Date_all_Day]]),RIGHT("0"&amp;MONTH(Table_Date_Dim[[#This Row],[Date_all_Day]]),2))</f>
        <v>201809</v>
      </c>
    </row>
    <row r="19" spans="1:5">
      <c r="A19" s="8">
        <v>43361</v>
      </c>
      <c r="B19">
        <f>DAY(Table_Date_Dim[[#This Row],[Date_all_Day]])</f>
        <v>18</v>
      </c>
      <c r="C19">
        <v>4</v>
      </c>
      <c r="D19" s="12" t="str">
        <f>TEXT(Table_Date_Dim[[#This Row],[Date_all_Day]],"dddd")</f>
        <v>Tuesday</v>
      </c>
      <c r="E19" t="str">
        <f>CONCATENATE(YEAR(Table_Date_Dim[[#This Row],[Date_all_Day]]),RIGHT("0"&amp;MONTH(Table_Date_Dim[[#This Row],[Date_all_Day]]),2))</f>
        <v>201809</v>
      </c>
    </row>
    <row r="20" spans="1:5">
      <c r="A20" s="8">
        <v>43362</v>
      </c>
      <c r="B20">
        <f>DAY(Table_Date_Dim[[#This Row],[Date_all_Day]])</f>
        <v>19</v>
      </c>
      <c r="C20">
        <v>4</v>
      </c>
      <c r="D20" s="12" t="str">
        <f>TEXT(Table_Date_Dim[[#This Row],[Date_all_Day]],"dddd")</f>
        <v>Wednesday</v>
      </c>
      <c r="E20" t="str">
        <f>CONCATENATE(YEAR(Table_Date_Dim[[#This Row],[Date_all_Day]]),RIGHT("0"&amp;MONTH(Table_Date_Dim[[#This Row],[Date_all_Day]]),2))</f>
        <v>201809</v>
      </c>
    </row>
    <row r="21" spans="1:5">
      <c r="A21" s="8">
        <v>43363</v>
      </c>
      <c r="B21">
        <f>DAY(Table_Date_Dim[[#This Row],[Date_all_Day]])</f>
        <v>20</v>
      </c>
      <c r="C21">
        <v>4</v>
      </c>
      <c r="D21" s="12" t="str">
        <f>TEXT(Table_Date_Dim[[#This Row],[Date_all_Day]],"dddd")</f>
        <v>Thursday</v>
      </c>
      <c r="E21" t="str">
        <f>CONCATENATE(YEAR(Table_Date_Dim[[#This Row],[Date_all_Day]]),RIGHT("0"&amp;MONTH(Table_Date_Dim[[#This Row],[Date_all_Day]]),2))</f>
        <v>201809</v>
      </c>
    </row>
    <row r="22" spans="1:5">
      <c r="A22" s="8">
        <v>43364</v>
      </c>
      <c r="B22">
        <f>DAY(Table_Date_Dim[[#This Row],[Date_all_Day]])</f>
        <v>21</v>
      </c>
      <c r="C22">
        <v>4</v>
      </c>
      <c r="D22" s="12" t="str">
        <f>TEXT(Table_Date_Dim[[#This Row],[Date_all_Day]],"dddd")</f>
        <v>Friday</v>
      </c>
      <c r="E22" t="str">
        <f>CONCATENATE(YEAR(Table_Date_Dim[[#This Row],[Date_all_Day]]),RIGHT("0"&amp;MONTH(Table_Date_Dim[[#This Row],[Date_all_Day]]),2))</f>
        <v>201809</v>
      </c>
    </row>
    <row r="23" spans="1:5">
      <c r="A23" s="8">
        <v>43365</v>
      </c>
      <c r="B23">
        <f>DAY(Table_Date_Dim[[#This Row],[Date_all_Day]])</f>
        <v>22</v>
      </c>
      <c r="C23">
        <v>4</v>
      </c>
      <c r="D23" s="12" t="str">
        <f>TEXT(Table_Date_Dim[[#This Row],[Date_all_Day]],"dddd")</f>
        <v>Saturday</v>
      </c>
      <c r="E23" t="str">
        <f>CONCATENATE(YEAR(Table_Date_Dim[[#This Row],[Date_all_Day]]),RIGHT("0"&amp;MONTH(Table_Date_Dim[[#This Row],[Date_all_Day]]),2))</f>
        <v>201809</v>
      </c>
    </row>
    <row r="24" spans="1:5">
      <c r="A24" s="8">
        <v>43366</v>
      </c>
      <c r="B24">
        <f>DAY(Table_Date_Dim[[#This Row],[Date_all_Day]])</f>
        <v>23</v>
      </c>
      <c r="C24">
        <v>4</v>
      </c>
      <c r="D24" s="12" t="str">
        <f>TEXT(Table_Date_Dim[[#This Row],[Date_all_Day]],"dddd")</f>
        <v>Sunday</v>
      </c>
      <c r="E24" t="str">
        <f>CONCATENATE(YEAR(Table_Date_Dim[[#This Row],[Date_all_Day]]),RIGHT("0"&amp;MONTH(Table_Date_Dim[[#This Row],[Date_all_Day]]),2))</f>
        <v>201809</v>
      </c>
    </row>
    <row r="25" spans="1:5">
      <c r="A25" s="8">
        <v>43367</v>
      </c>
      <c r="B25">
        <f>DAY(Table_Date_Dim[[#This Row],[Date_all_Day]])</f>
        <v>24</v>
      </c>
      <c r="C25">
        <v>5</v>
      </c>
      <c r="D25" s="12" t="str">
        <f>TEXT(Table_Date_Dim[[#This Row],[Date_all_Day]],"dddd")</f>
        <v>Monday</v>
      </c>
      <c r="E25" t="str">
        <f>CONCATENATE(YEAR(Table_Date_Dim[[#This Row],[Date_all_Day]]),RIGHT("0"&amp;MONTH(Table_Date_Dim[[#This Row],[Date_all_Day]]),2))</f>
        <v>201809</v>
      </c>
    </row>
    <row r="26" spans="1:5">
      <c r="A26" s="8">
        <v>43368</v>
      </c>
      <c r="B26">
        <f>DAY(Table_Date_Dim[[#This Row],[Date_all_Day]])</f>
        <v>25</v>
      </c>
      <c r="C26">
        <v>5</v>
      </c>
      <c r="D26" s="12" t="str">
        <f>TEXT(Table_Date_Dim[[#This Row],[Date_all_Day]],"dddd")</f>
        <v>Tuesday</v>
      </c>
      <c r="E26" t="str">
        <f>CONCATENATE(YEAR(Table_Date_Dim[[#This Row],[Date_all_Day]]),RIGHT("0"&amp;MONTH(Table_Date_Dim[[#This Row],[Date_all_Day]]),2))</f>
        <v>201809</v>
      </c>
    </row>
    <row r="27" spans="1:5">
      <c r="A27" s="8">
        <v>43369</v>
      </c>
      <c r="B27">
        <f>DAY(Table_Date_Dim[[#This Row],[Date_all_Day]])</f>
        <v>26</v>
      </c>
      <c r="C27">
        <v>5</v>
      </c>
      <c r="D27" s="12" t="str">
        <f>TEXT(Table_Date_Dim[[#This Row],[Date_all_Day]],"dddd")</f>
        <v>Wednesday</v>
      </c>
      <c r="E27" t="str">
        <f>CONCATENATE(YEAR(Table_Date_Dim[[#This Row],[Date_all_Day]]),RIGHT("0"&amp;MONTH(Table_Date_Dim[[#This Row],[Date_all_Day]]),2))</f>
        <v>201809</v>
      </c>
    </row>
    <row r="28" spans="1:5">
      <c r="A28" s="8">
        <v>43370</v>
      </c>
      <c r="B28">
        <f>DAY(Table_Date_Dim[[#This Row],[Date_all_Day]])</f>
        <v>27</v>
      </c>
      <c r="C28">
        <v>5</v>
      </c>
      <c r="D28" s="12" t="str">
        <f>TEXT(Table_Date_Dim[[#This Row],[Date_all_Day]],"dddd")</f>
        <v>Thursday</v>
      </c>
      <c r="E28" t="str">
        <f>CONCATENATE(YEAR(Table_Date_Dim[[#This Row],[Date_all_Day]]),RIGHT("0"&amp;MONTH(Table_Date_Dim[[#This Row],[Date_all_Day]]),2))</f>
        <v>201809</v>
      </c>
    </row>
    <row r="29" spans="1:5">
      <c r="A29" s="8">
        <v>43371</v>
      </c>
      <c r="B29">
        <f>DAY(Table_Date_Dim[[#This Row],[Date_all_Day]])</f>
        <v>28</v>
      </c>
      <c r="C29">
        <v>5</v>
      </c>
      <c r="D29" s="12" t="str">
        <f>TEXT(Table_Date_Dim[[#This Row],[Date_all_Day]],"dddd")</f>
        <v>Friday</v>
      </c>
      <c r="E29" t="str">
        <f>CONCATENATE(YEAR(Table_Date_Dim[[#This Row],[Date_all_Day]]),RIGHT("0"&amp;MONTH(Table_Date_Dim[[#This Row],[Date_all_Day]]),2))</f>
        <v>201809</v>
      </c>
    </row>
    <row r="30" spans="1:5">
      <c r="A30" s="8">
        <v>43372</v>
      </c>
      <c r="B30">
        <f>DAY(Table_Date_Dim[[#This Row],[Date_all_Day]])</f>
        <v>29</v>
      </c>
      <c r="C30">
        <v>5</v>
      </c>
      <c r="D30" s="12" t="str">
        <f>TEXT(Table_Date_Dim[[#This Row],[Date_all_Day]],"dddd")</f>
        <v>Saturday</v>
      </c>
      <c r="E30" t="str">
        <f>CONCATENATE(YEAR(Table_Date_Dim[[#This Row],[Date_all_Day]]),RIGHT("0"&amp;MONTH(Table_Date_Dim[[#This Row],[Date_all_Day]]),2))</f>
        <v>201809</v>
      </c>
    </row>
    <row r="31" spans="1:5">
      <c r="A31" s="8">
        <v>43373</v>
      </c>
      <c r="B31">
        <f>DAY(Table_Date_Dim[[#This Row],[Date_all_Day]])</f>
        <v>30</v>
      </c>
      <c r="C31">
        <v>5</v>
      </c>
      <c r="D31" s="12" t="str">
        <f>TEXT(Table_Date_Dim[[#This Row],[Date_all_Day]],"dddd")</f>
        <v>Sunday</v>
      </c>
      <c r="E31" t="str">
        <f>CONCATENATE(YEAR(Table_Date_Dim[[#This Row],[Date_all_Day]]),RIGHT("0"&amp;MONTH(Table_Date_Dim[[#This Row],[Date_all_Day]]),2))</f>
        <v>201809</v>
      </c>
    </row>
    <row r="32" spans="1:5">
      <c r="A32" s="8">
        <v>43374</v>
      </c>
      <c r="B32">
        <f>DAY(Table_Date_Dim[[#This Row],[Date_all_Day]])</f>
        <v>1</v>
      </c>
      <c r="C32">
        <v>1</v>
      </c>
      <c r="D32" s="12" t="str">
        <f>TEXT(Table_Date_Dim[[#This Row],[Date_all_Day]],"dddd")</f>
        <v>Monday</v>
      </c>
      <c r="E32" t="str">
        <f>CONCATENATE(YEAR(Table_Date_Dim[[#This Row],[Date_all_Day]]),RIGHT("0"&amp;MONTH(Table_Date_Dim[[#This Row],[Date_all_Day]]),2))</f>
        <v>201810</v>
      </c>
    </row>
    <row r="33" spans="1:5">
      <c r="A33" s="8">
        <v>43375</v>
      </c>
      <c r="B33">
        <f>DAY(Table_Date_Dim[[#This Row],[Date_all_Day]])</f>
        <v>2</v>
      </c>
      <c r="C33">
        <v>1</v>
      </c>
      <c r="D33" s="12" t="str">
        <f>TEXT(Table_Date_Dim[[#This Row],[Date_all_Day]],"dddd")</f>
        <v>Tuesday</v>
      </c>
      <c r="E33" t="str">
        <f>CONCATENATE(YEAR(Table_Date_Dim[[#This Row],[Date_all_Day]]),RIGHT("0"&amp;MONTH(Table_Date_Dim[[#This Row],[Date_all_Day]]),2))</f>
        <v>201810</v>
      </c>
    </row>
    <row r="34" spans="1:5">
      <c r="A34" s="8">
        <v>43376</v>
      </c>
      <c r="B34">
        <f>DAY(Table_Date_Dim[[#This Row],[Date_all_Day]])</f>
        <v>3</v>
      </c>
      <c r="C34">
        <v>1</v>
      </c>
      <c r="D34" s="12" t="str">
        <f>TEXT(Table_Date_Dim[[#This Row],[Date_all_Day]],"dddd")</f>
        <v>Wednesday</v>
      </c>
      <c r="E34" t="str">
        <f>CONCATENATE(YEAR(Table_Date_Dim[[#This Row],[Date_all_Day]]),RIGHT("0"&amp;MONTH(Table_Date_Dim[[#This Row],[Date_all_Day]]),2))</f>
        <v>201810</v>
      </c>
    </row>
    <row r="35" spans="1:5">
      <c r="A35" s="8">
        <v>43377</v>
      </c>
      <c r="B35">
        <f>DAY(Table_Date_Dim[[#This Row],[Date_all_Day]])</f>
        <v>4</v>
      </c>
      <c r="C35">
        <v>1</v>
      </c>
      <c r="D35" s="12" t="str">
        <f>TEXT(Table_Date_Dim[[#This Row],[Date_all_Day]],"dddd")</f>
        <v>Thursday</v>
      </c>
      <c r="E35" t="str">
        <f>CONCATENATE(YEAR(Table_Date_Dim[[#This Row],[Date_all_Day]]),RIGHT("0"&amp;MONTH(Table_Date_Dim[[#This Row],[Date_all_Day]]),2))</f>
        <v>201810</v>
      </c>
    </row>
    <row r="36" spans="1:5">
      <c r="A36" s="8">
        <v>43378</v>
      </c>
      <c r="B36">
        <f>DAY(Table_Date_Dim[[#This Row],[Date_all_Day]])</f>
        <v>5</v>
      </c>
      <c r="C36">
        <v>1</v>
      </c>
      <c r="D36" s="12" t="str">
        <f>TEXT(Table_Date_Dim[[#This Row],[Date_all_Day]],"dddd")</f>
        <v>Friday</v>
      </c>
      <c r="E36" t="str">
        <f>CONCATENATE(YEAR(Table_Date_Dim[[#This Row],[Date_all_Day]]),RIGHT("0"&amp;MONTH(Table_Date_Dim[[#This Row],[Date_all_Day]]),2))</f>
        <v>201810</v>
      </c>
    </row>
    <row r="37" spans="1:5">
      <c r="A37" s="8">
        <v>43379</v>
      </c>
      <c r="B37">
        <f>DAY(Table_Date_Dim[[#This Row],[Date_all_Day]])</f>
        <v>6</v>
      </c>
      <c r="C37">
        <v>1</v>
      </c>
      <c r="D37" s="12" t="str">
        <f>TEXT(Table_Date_Dim[[#This Row],[Date_all_Day]],"dddd")</f>
        <v>Saturday</v>
      </c>
      <c r="E37" t="str">
        <f>CONCATENATE(YEAR(Table_Date_Dim[[#This Row],[Date_all_Day]]),RIGHT("0"&amp;MONTH(Table_Date_Dim[[#This Row],[Date_all_Day]]),2))</f>
        <v>201810</v>
      </c>
    </row>
    <row r="38" spans="1:5">
      <c r="A38" s="8">
        <v>43380</v>
      </c>
      <c r="B38">
        <f>DAY(Table_Date_Dim[[#This Row],[Date_all_Day]])</f>
        <v>7</v>
      </c>
      <c r="C38">
        <v>1</v>
      </c>
      <c r="D38" s="12" t="str">
        <f>TEXT(Table_Date_Dim[[#This Row],[Date_all_Day]],"dddd")</f>
        <v>Sunday</v>
      </c>
      <c r="E38" t="str">
        <f>CONCATENATE(YEAR(Table_Date_Dim[[#This Row],[Date_all_Day]]),RIGHT("0"&amp;MONTH(Table_Date_Dim[[#This Row],[Date_all_Day]]),2))</f>
        <v>201810</v>
      </c>
    </row>
    <row r="39" spans="1:5">
      <c r="A39" s="8">
        <v>43381</v>
      </c>
      <c r="B39">
        <f>DAY(Table_Date_Dim[[#This Row],[Date_all_Day]])</f>
        <v>8</v>
      </c>
      <c r="C39">
        <v>2</v>
      </c>
      <c r="D39" s="12" t="str">
        <f>TEXT(Table_Date_Dim[[#This Row],[Date_all_Day]],"dddd")</f>
        <v>Monday</v>
      </c>
      <c r="E39" t="str">
        <f>CONCATENATE(YEAR(Table_Date_Dim[[#This Row],[Date_all_Day]]),RIGHT("0"&amp;MONTH(Table_Date_Dim[[#This Row],[Date_all_Day]]),2))</f>
        <v>201810</v>
      </c>
    </row>
    <row r="40" spans="1:5">
      <c r="A40" s="8">
        <v>43382</v>
      </c>
      <c r="B40">
        <f>DAY(Table_Date_Dim[[#This Row],[Date_all_Day]])</f>
        <v>9</v>
      </c>
      <c r="C40">
        <v>2</v>
      </c>
      <c r="D40" s="12" t="str">
        <f>TEXT(Table_Date_Dim[[#This Row],[Date_all_Day]],"dddd")</f>
        <v>Tuesday</v>
      </c>
      <c r="E40" t="str">
        <f>CONCATENATE(YEAR(Table_Date_Dim[[#This Row],[Date_all_Day]]),RIGHT("0"&amp;MONTH(Table_Date_Dim[[#This Row],[Date_all_Day]]),2))</f>
        <v>201810</v>
      </c>
    </row>
    <row r="41" spans="1:5">
      <c r="A41" s="8">
        <v>43383</v>
      </c>
      <c r="B41">
        <f>DAY(Table_Date_Dim[[#This Row],[Date_all_Day]])</f>
        <v>10</v>
      </c>
      <c r="C41">
        <v>2</v>
      </c>
      <c r="D41" s="12" t="str">
        <f>TEXT(Table_Date_Dim[[#This Row],[Date_all_Day]],"dddd")</f>
        <v>Wednesday</v>
      </c>
      <c r="E41" t="str">
        <f>CONCATENATE(YEAR(Table_Date_Dim[[#This Row],[Date_all_Day]]),RIGHT("0"&amp;MONTH(Table_Date_Dim[[#This Row],[Date_all_Day]]),2))</f>
        <v>201810</v>
      </c>
    </row>
    <row r="42" spans="1:5">
      <c r="A42" s="8">
        <v>43384</v>
      </c>
      <c r="B42">
        <f>DAY(Table_Date_Dim[[#This Row],[Date_all_Day]])</f>
        <v>11</v>
      </c>
      <c r="C42">
        <v>2</v>
      </c>
      <c r="D42" s="12" t="str">
        <f>TEXT(Table_Date_Dim[[#This Row],[Date_all_Day]],"dddd")</f>
        <v>Thursday</v>
      </c>
      <c r="E42" t="str">
        <f>CONCATENATE(YEAR(Table_Date_Dim[[#This Row],[Date_all_Day]]),RIGHT("0"&amp;MONTH(Table_Date_Dim[[#This Row],[Date_all_Day]]),2))</f>
        <v>201810</v>
      </c>
    </row>
    <row r="43" spans="1:5">
      <c r="A43" s="8">
        <v>43385</v>
      </c>
      <c r="B43">
        <f>DAY(Table_Date_Dim[[#This Row],[Date_all_Day]])</f>
        <v>12</v>
      </c>
      <c r="C43">
        <v>2</v>
      </c>
      <c r="D43" s="12" t="str">
        <f>TEXT(Table_Date_Dim[[#This Row],[Date_all_Day]],"dddd")</f>
        <v>Friday</v>
      </c>
      <c r="E43" t="str">
        <f>CONCATENATE(YEAR(Table_Date_Dim[[#This Row],[Date_all_Day]]),RIGHT("0"&amp;MONTH(Table_Date_Dim[[#This Row],[Date_all_Day]]),2))</f>
        <v>201810</v>
      </c>
    </row>
    <row r="44" spans="1:5">
      <c r="A44" s="8">
        <v>43386</v>
      </c>
      <c r="B44">
        <f>DAY(Table_Date_Dim[[#This Row],[Date_all_Day]])</f>
        <v>13</v>
      </c>
      <c r="C44">
        <v>2</v>
      </c>
      <c r="D44" s="12" t="str">
        <f>TEXT(Table_Date_Dim[[#This Row],[Date_all_Day]],"dddd")</f>
        <v>Saturday</v>
      </c>
      <c r="E44" t="str">
        <f>CONCATENATE(YEAR(Table_Date_Dim[[#This Row],[Date_all_Day]]),RIGHT("0"&amp;MONTH(Table_Date_Dim[[#This Row],[Date_all_Day]]),2))</f>
        <v>201810</v>
      </c>
    </row>
    <row r="45" spans="1:5">
      <c r="A45" s="8">
        <v>43387</v>
      </c>
      <c r="B45">
        <f>DAY(Table_Date_Dim[[#This Row],[Date_all_Day]])</f>
        <v>14</v>
      </c>
      <c r="C45">
        <v>2</v>
      </c>
      <c r="D45" s="12" t="str">
        <f>TEXT(Table_Date_Dim[[#This Row],[Date_all_Day]],"dddd")</f>
        <v>Sunday</v>
      </c>
      <c r="E45" t="str">
        <f>CONCATENATE(YEAR(Table_Date_Dim[[#This Row],[Date_all_Day]]),RIGHT("0"&amp;MONTH(Table_Date_Dim[[#This Row],[Date_all_Day]]),2))</f>
        <v>201810</v>
      </c>
    </row>
    <row r="46" spans="1:5">
      <c r="A46" s="8">
        <v>43388</v>
      </c>
      <c r="B46">
        <f>DAY(Table_Date_Dim[[#This Row],[Date_all_Day]])</f>
        <v>15</v>
      </c>
      <c r="C46">
        <v>3</v>
      </c>
      <c r="D46" s="12" t="str">
        <f>TEXT(Table_Date_Dim[[#This Row],[Date_all_Day]],"dddd")</f>
        <v>Monday</v>
      </c>
      <c r="E46" t="str">
        <f>CONCATENATE(YEAR(Table_Date_Dim[[#This Row],[Date_all_Day]]),RIGHT("0"&amp;MONTH(Table_Date_Dim[[#This Row],[Date_all_Day]]),2))</f>
        <v>201810</v>
      </c>
    </row>
    <row r="47" spans="1:5">
      <c r="A47" s="8">
        <v>43389</v>
      </c>
      <c r="B47">
        <f>DAY(Table_Date_Dim[[#This Row],[Date_all_Day]])</f>
        <v>16</v>
      </c>
      <c r="C47">
        <v>3</v>
      </c>
      <c r="D47" s="12" t="str">
        <f>TEXT(Table_Date_Dim[[#This Row],[Date_all_Day]],"dddd")</f>
        <v>Tuesday</v>
      </c>
      <c r="E47" t="str">
        <f>CONCATENATE(YEAR(Table_Date_Dim[[#This Row],[Date_all_Day]]),RIGHT("0"&amp;MONTH(Table_Date_Dim[[#This Row],[Date_all_Day]]),2))</f>
        <v>201810</v>
      </c>
    </row>
    <row r="48" spans="1:5">
      <c r="A48" s="8">
        <v>43390</v>
      </c>
      <c r="B48">
        <f>DAY(Table_Date_Dim[[#This Row],[Date_all_Day]])</f>
        <v>17</v>
      </c>
      <c r="C48">
        <v>3</v>
      </c>
      <c r="D48" s="12" t="str">
        <f>TEXT(Table_Date_Dim[[#This Row],[Date_all_Day]],"dddd")</f>
        <v>Wednesday</v>
      </c>
      <c r="E48" t="str">
        <f>CONCATENATE(YEAR(Table_Date_Dim[[#This Row],[Date_all_Day]]),RIGHT("0"&amp;MONTH(Table_Date_Dim[[#This Row],[Date_all_Day]]),2))</f>
        <v>201810</v>
      </c>
    </row>
    <row r="49" spans="1:5">
      <c r="A49" s="8">
        <v>43391</v>
      </c>
      <c r="B49">
        <f>DAY(Table_Date_Dim[[#This Row],[Date_all_Day]])</f>
        <v>18</v>
      </c>
      <c r="C49">
        <v>3</v>
      </c>
      <c r="D49" s="12" t="str">
        <f>TEXT(Table_Date_Dim[[#This Row],[Date_all_Day]],"dddd")</f>
        <v>Thursday</v>
      </c>
      <c r="E49" t="str">
        <f>CONCATENATE(YEAR(Table_Date_Dim[[#This Row],[Date_all_Day]]),RIGHT("0"&amp;MONTH(Table_Date_Dim[[#This Row],[Date_all_Day]]),2))</f>
        <v>201810</v>
      </c>
    </row>
    <row r="50" spans="1:5">
      <c r="A50" s="8">
        <v>43392</v>
      </c>
      <c r="B50">
        <f>DAY(Table_Date_Dim[[#This Row],[Date_all_Day]])</f>
        <v>19</v>
      </c>
      <c r="C50">
        <v>3</v>
      </c>
      <c r="D50" s="12" t="str">
        <f>TEXT(Table_Date_Dim[[#This Row],[Date_all_Day]],"dddd")</f>
        <v>Friday</v>
      </c>
      <c r="E50" t="str">
        <f>CONCATENATE(YEAR(Table_Date_Dim[[#This Row],[Date_all_Day]]),RIGHT("0"&amp;MONTH(Table_Date_Dim[[#This Row],[Date_all_Day]]),2))</f>
        <v>201810</v>
      </c>
    </row>
    <row r="51" spans="1:5">
      <c r="A51" s="8">
        <v>43393</v>
      </c>
      <c r="B51">
        <f>DAY(Table_Date_Dim[[#This Row],[Date_all_Day]])</f>
        <v>20</v>
      </c>
      <c r="C51">
        <v>3</v>
      </c>
      <c r="D51" s="12" t="str">
        <f>TEXT(Table_Date_Dim[[#This Row],[Date_all_Day]],"dddd")</f>
        <v>Saturday</v>
      </c>
      <c r="E51" t="str">
        <f>CONCATENATE(YEAR(Table_Date_Dim[[#This Row],[Date_all_Day]]),RIGHT("0"&amp;MONTH(Table_Date_Dim[[#This Row],[Date_all_Day]]),2))</f>
        <v>201810</v>
      </c>
    </row>
    <row r="52" spans="1:5">
      <c r="A52" s="8">
        <v>43394</v>
      </c>
      <c r="B52">
        <f>DAY(Table_Date_Dim[[#This Row],[Date_all_Day]])</f>
        <v>21</v>
      </c>
      <c r="C52">
        <v>3</v>
      </c>
      <c r="D52" s="12" t="str">
        <f>TEXT(Table_Date_Dim[[#This Row],[Date_all_Day]],"dddd")</f>
        <v>Sunday</v>
      </c>
      <c r="E52" t="str">
        <f>CONCATENATE(YEAR(Table_Date_Dim[[#This Row],[Date_all_Day]]),RIGHT("0"&amp;MONTH(Table_Date_Dim[[#This Row],[Date_all_Day]]),2))</f>
        <v>201810</v>
      </c>
    </row>
    <row r="53" spans="1:5">
      <c r="A53" s="8">
        <v>43395</v>
      </c>
      <c r="B53">
        <f>DAY(Table_Date_Dim[[#This Row],[Date_all_Day]])</f>
        <v>22</v>
      </c>
      <c r="C53">
        <v>4</v>
      </c>
      <c r="D53" s="12" t="str">
        <f>TEXT(Table_Date_Dim[[#This Row],[Date_all_Day]],"dddd")</f>
        <v>Monday</v>
      </c>
      <c r="E53" t="str">
        <f>CONCATENATE(YEAR(Table_Date_Dim[[#This Row],[Date_all_Day]]),RIGHT("0"&amp;MONTH(Table_Date_Dim[[#This Row],[Date_all_Day]]),2))</f>
        <v>201810</v>
      </c>
    </row>
    <row r="54" spans="1:5">
      <c r="A54" s="8">
        <v>43396</v>
      </c>
      <c r="B54">
        <f>DAY(Table_Date_Dim[[#This Row],[Date_all_Day]])</f>
        <v>23</v>
      </c>
      <c r="C54">
        <v>4</v>
      </c>
      <c r="D54" s="12" t="str">
        <f>TEXT(Table_Date_Dim[[#This Row],[Date_all_Day]],"dddd")</f>
        <v>Tuesday</v>
      </c>
      <c r="E54" t="str">
        <f>CONCATENATE(YEAR(Table_Date_Dim[[#This Row],[Date_all_Day]]),RIGHT("0"&amp;MONTH(Table_Date_Dim[[#This Row],[Date_all_Day]]),2))</f>
        <v>201810</v>
      </c>
    </row>
    <row r="55" spans="1:5">
      <c r="A55" s="8">
        <v>43397</v>
      </c>
      <c r="B55">
        <f>DAY(Table_Date_Dim[[#This Row],[Date_all_Day]])</f>
        <v>24</v>
      </c>
      <c r="C55">
        <v>4</v>
      </c>
      <c r="D55" s="12" t="str">
        <f>TEXT(Table_Date_Dim[[#This Row],[Date_all_Day]],"dddd")</f>
        <v>Wednesday</v>
      </c>
      <c r="E55" t="str">
        <f>CONCATENATE(YEAR(Table_Date_Dim[[#This Row],[Date_all_Day]]),RIGHT("0"&amp;MONTH(Table_Date_Dim[[#This Row],[Date_all_Day]]),2))</f>
        <v>201810</v>
      </c>
    </row>
    <row r="56" spans="1:5">
      <c r="A56" s="8">
        <v>43398</v>
      </c>
      <c r="B56">
        <f>DAY(Table_Date_Dim[[#This Row],[Date_all_Day]])</f>
        <v>25</v>
      </c>
      <c r="C56">
        <v>4</v>
      </c>
      <c r="D56" s="12" t="str">
        <f>TEXT(Table_Date_Dim[[#This Row],[Date_all_Day]],"dddd")</f>
        <v>Thursday</v>
      </c>
      <c r="E56" t="str">
        <f>CONCATENATE(YEAR(Table_Date_Dim[[#This Row],[Date_all_Day]]),RIGHT("0"&amp;MONTH(Table_Date_Dim[[#This Row],[Date_all_Day]]),2))</f>
        <v>201810</v>
      </c>
    </row>
    <row r="57" spans="1:5">
      <c r="A57" s="8">
        <v>43399</v>
      </c>
      <c r="B57">
        <f>DAY(Table_Date_Dim[[#This Row],[Date_all_Day]])</f>
        <v>26</v>
      </c>
      <c r="C57">
        <v>4</v>
      </c>
      <c r="D57" s="12" t="str">
        <f>TEXT(Table_Date_Dim[[#This Row],[Date_all_Day]],"dddd")</f>
        <v>Friday</v>
      </c>
      <c r="E57" t="str">
        <f>CONCATENATE(YEAR(Table_Date_Dim[[#This Row],[Date_all_Day]]),RIGHT("0"&amp;MONTH(Table_Date_Dim[[#This Row],[Date_all_Day]]),2))</f>
        <v>201810</v>
      </c>
    </row>
    <row r="58" spans="1:5">
      <c r="A58" s="8">
        <v>43400</v>
      </c>
      <c r="B58">
        <f>DAY(Table_Date_Dim[[#This Row],[Date_all_Day]])</f>
        <v>27</v>
      </c>
      <c r="C58">
        <v>4</v>
      </c>
      <c r="D58" s="12" t="str">
        <f>TEXT(Table_Date_Dim[[#This Row],[Date_all_Day]],"dddd")</f>
        <v>Saturday</v>
      </c>
      <c r="E58" t="str">
        <f>CONCATENATE(YEAR(Table_Date_Dim[[#This Row],[Date_all_Day]]),RIGHT("0"&amp;MONTH(Table_Date_Dim[[#This Row],[Date_all_Day]]),2))</f>
        <v>201810</v>
      </c>
    </row>
    <row r="59" spans="1:5">
      <c r="A59" s="8">
        <v>43401</v>
      </c>
      <c r="B59">
        <f>DAY(Table_Date_Dim[[#This Row],[Date_all_Day]])</f>
        <v>28</v>
      </c>
      <c r="C59">
        <v>4</v>
      </c>
      <c r="D59" s="12" t="str">
        <f>TEXT(Table_Date_Dim[[#This Row],[Date_all_Day]],"dddd")</f>
        <v>Sunday</v>
      </c>
      <c r="E59" t="str">
        <f>CONCATENATE(YEAR(Table_Date_Dim[[#This Row],[Date_all_Day]]),RIGHT("0"&amp;MONTH(Table_Date_Dim[[#This Row],[Date_all_Day]]),2))</f>
        <v>201810</v>
      </c>
    </row>
    <row r="60" spans="1:5">
      <c r="A60" s="8">
        <v>43402</v>
      </c>
      <c r="B60">
        <f>DAY(Table_Date_Dim[[#This Row],[Date_all_Day]])</f>
        <v>29</v>
      </c>
      <c r="C60">
        <v>5</v>
      </c>
      <c r="D60" s="12" t="str">
        <f>TEXT(Table_Date_Dim[[#This Row],[Date_all_Day]],"dddd")</f>
        <v>Monday</v>
      </c>
      <c r="E60" t="str">
        <f>CONCATENATE(YEAR(Table_Date_Dim[[#This Row],[Date_all_Day]]),RIGHT("0"&amp;MONTH(Table_Date_Dim[[#This Row],[Date_all_Day]]),2))</f>
        <v>201810</v>
      </c>
    </row>
    <row r="61" spans="1:5">
      <c r="A61" s="8">
        <v>43403</v>
      </c>
      <c r="B61">
        <f>DAY(Table_Date_Dim[[#This Row],[Date_all_Day]])</f>
        <v>30</v>
      </c>
      <c r="C61">
        <v>5</v>
      </c>
      <c r="D61" s="12" t="str">
        <f>TEXT(Table_Date_Dim[[#This Row],[Date_all_Day]],"dddd")</f>
        <v>Tuesday</v>
      </c>
      <c r="E61" t="str">
        <f>CONCATENATE(YEAR(Table_Date_Dim[[#This Row],[Date_all_Day]]),RIGHT("0"&amp;MONTH(Table_Date_Dim[[#This Row],[Date_all_Day]]),2))</f>
        <v>201810</v>
      </c>
    </row>
    <row r="62" spans="1:5">
      <c r="A62" s="8">
        <v>43404</v>
      </c>
      <c r="B62">
        <f>DAY(Table_Date_Dim[[#This Row],[Date_all_Day]])</f>
        <v>31</v>
      </c>
      <c r="C62">
        <v>5</v>
      </c>
      <c r="D62" s="12" t="str">
        <f>TEXT(Table_Date_Dim[[#This Row],[Date_all_Day]],"dddd")</f>
        <v>Wednesday</v>
      </c>
      <c r="E62" t="str">
        <f>CONCATENATE(YEAR(Table_Date_Dim[[#This Row],[Date_all_Day]]),RIGHT("0"&amp;MONTH(Table_Date_Dim[[#This Row],[Date_all_Day]]),2))</f>
        <v>201810</v>
      </c>
    </row>
    <row r="63" spans="1:5">
      <c r="A63" s="8">
        <v>43405</v>
      </c>
      <c r="B63">
        <f>DAY(Table_Date_Dim[[#This Row],[Date_all_Day]])</f>
        <v>1</v>
      </c>
      <c r="C63">
        <v>1</v>
      </c>
      <c r="D63" s="12" t="str">
        <f>TEXT(Table_Date_Dim[[#This Row],[Date_all_Day]],"dddd")</f>
        <v>Thursday</v>
      </c>
      <c r="E63" t="str">
        <f>CONCATENATE(YEAR(Table_Date_Dim[[#This Row],[Date_all_Day]]),RIGHT("0"&amp;MONTH(Table_Date_Dim[[#This Row],[Date_all_Day]]),2))</f>
        <v>201811</v>
      </c>
    </row>
    <row r="64" spans="1:5">
      <c r="A64" s="8">
        <v>43406</v>
      </c>
      <c r="B64">
        <f>DAY(Table_Date_Dim[[#This Row],[Date_all_Day]])</f>
        <v>2</v>
      </c>
      <c r="C64">
        <v>1</v>
      </c>
      <c r="D64" s="12" t="str">
        <f>TEXT(Table_Date_Dim[[#This Row],[Date_all_Day]],"dddd")</f>
        <v>Friday</v>
      </c>
      <c r="E64" t="str">
        <f>CONCATENATE(YEAR(Table_Date_Dim[[#This Row],[Date_all_Day]]),RIGHT("0"&amp;MONTH(Table_Date_Dim[[#This Row],[Date_all_Day]]),2))</f>
        <v>201811</v>
      </c>
    </row>
    <row r="65" spans="1:5">
      <c r="A65" s="8">
        <v>43407</v>
      </c>
      <c r="B65">
        <f>DAY(Table_Date_Dim[[#This Row],[Date_all_Day]])</f>
        <v>3</v>
      </c>
      <c r="C65">
        <v>1</v>
      </c>
      <c r="D65" s="12" t="str">
        <f>TEXT(Table_Date_Dim[[#This Row],[Date_all_Day]],"dddd")</f>
        <v>Saturday</v>
      </c>
      <c r="E65" t="str">
        <f>CONCATENATE(YEAR(Table_Date_Dim[[#This Row],[Date_all_Day]]),RIGHT("0"&amp;MONTH(Table_Date_Dim[[#This Row],[Date_all_Day]]),2))</f>
        <v>201811</v>
      </c>
    </row>
    <row r="66" spans="1:5">
      <c r="A66" s="8">
        <v>43408</v>
      </c>
      <c r="B66">
        <f>DAY(Table_Date_Dim[[#This Row],[Date_all_Day]])</f>
        <v>4</v>
      </c>
      <c r="C66">
        <v>1</v>
      </c>
      <c r="D66" s="12" t="str">
        <f>TEXT(Table_Date_Dim[[#This Row],[Date_all_Day]],"dddd")</f>
        <v>Sunday</v>
      </c>
      <c r="E66" t="str">
        <f>CONCATENATE(YEAR(Table_Date_Dim[[#This Row],[Date_all_Day]]),RIGHT("0"&amp;MONTH(Table_Date_Dim[[#This Row],[Date_all_Day]]),2))</f>
        <v>201811</v>
      </c>
    </row>
    <row r="67" spans="1:5">
      <c r="A67" s="8">
        <v>43409</v>
      </c>
      <c r="B67">
        <f>DAY(Table_Date_Dim[[#This Row],[Date_all_Day]])</f>
        <v>5</v>
      </c>
      <c r="C67">
        <v>2</v>
      </c>
      <c r="D67" s="12" t="str">
        <f>TEXT(Table_Date_Dim[[#This Row],[Date_all_Day]],"dddd")</f>
        <v>Monday</v>
      </c>
      <c r="E67" t="str">
        <f>CONCATENATE(YEAR(Table_Date_Dim[[#This Row],[Date_all_Day]]),RIGHT("0"&amp;MONTH(Table_Date_Dim[[#This Row],[Date_all_Day]]),2))</f>
        <v>201811</v>
      </c>
    </row>
    <row r="68" spans="1:5">
      <c r="A68" s="8">
        <v>43410</v>
      </c>
      <c r="B68">
        <f>DAY(Table_Date_Dim[[#This Row],[Date_all_Day]])</f>
        <v>6</v>
      </c>
      <c r="C68">
        <v>2</v>
      </c>
      <c r="D68" s="12" t="str">
        <f>TEXT(Table_Date_Dim[[#This Row],[Date_all_Day]],"dddd")</f>
        <v>Tuesday</v>
      </c>
      <c r="E68" t="str">
        <f>CONCATENATE(YEAR(Table_Date_Dim[[#This Row],[Date_all_Day]]),RIGHT("0"&amp;MONTH(Table_Date_Dim[[#This Row],[Date_all_Day]]),2))</f>
        <v>201811</v>
      </c>
    </row>
    <row r="69" spans="1:5">
      <c r="A69" s="8">
        <v>43411</v>
      </c>
      <c r="B69">
        <f>DAY(Table_Date_Dim[[#This Row],[Date_all_Day]])</f>
        <v>7</v>
      </c>
      <c r="C69">
        <v>2</v>
      </c>
      <c r="D69" s="12" t="str">
        <f>TEXT(Table_Date_Dim[[#This Row],[Date_all_Day]],"dddd")</f>
        <v>Wednesday</v>
      </c>
      <c r="E69" t="str">
        <f>CONCATENATE(YEAR(Table_Date_Dim[[#This Row],[Date_all_Day]]),RIGHT("0"&amp;MONTH(Table_Date_Dim[[#This Row],[Date_all_Day]]),2))</f>
        <v>201811</v>
      </c>
    </row>
    <row r="70" spans="1:5">
      <c r="A70" s="8">
        <v>43412</v>
      </c>
      <c r="B70">
        <f>DAY(Table_Date_Dim[[#This Row],[Date_all_Day]])</f>
        <v>8</v>
      </c>
      <c r="C70">
        <v>2</v>
      </c>
      <c r="D70" s="12" t="str">
        <f>TEXT(Table_Date_Dim[[#This Row],[Date_all_Day]],"dddd")</f>
        <v>Thursday</v>
      </c>
      <c r="E70" t="str">
        <f>CONCATENATE(YEAR(Table_Date_Dim[[#This Row],[Date_all_Day]]),RIGHT("0"&amp;MONTH(Table_Date_Dim[[#This Row],[Date_all_Day]]),2))</f>
        <v>201811</v>
      </c>
    </row>
    <row r="71" spans="1:5">
      <c r="A71" s="8">
        <v>43413</v>
      </c>
      <c r="B71">
        <f>DAY(Table_Date_Dim[[#This Row],[Date_all_Day]])</f>
        <v>9</v>
      </c>
      <c r="C71">
        <v>2</v>
      </c>
      <c r="D71" s="12" t="str">
        <f>TEXT(Table_Date_Dim[[#This Row],[Date_all_Day]],"dddd")</f>
        <v>Friday</v>
      </c>
      <c r="E71" t="str">
        <f>CONCATENATE(YEAR(Table_Date_Dim[[#This Row],[Date_all_Day]]),RIGHT("0"&amp;MONTH(Table_Date_Dim[[#This Row],[Date_all_Day]]),2))</f>
        <v>201811</v>
      </c>
    </row>
    <row r="72" spans="1:5">
      <c r="A72" s="8">
        <v>43414</v>
      </c>
      <c r="B72">
        <f>DAY(Table_Date_Dim[[#This Row],[Date_all_Day]])</f>
        <v>10</v>
      </c>
      <c r="C72">
        <v>2</v>
      </c>
      <c r="D72" s="12" t="str">
        <f>TEXT(Table_Date_Dim[[#This Row],[Date_all_Day]],"dddd")</f>
        <v>Saturday</v>
      </c>
      <c r="E72" t="str">
        <f>CONCATENATE(YEAR(Table_Date_Dim[[#This Row],[Date_all_Day]]),RIGHT("0"&amp;MONTH(Table_Date_Dim[[#This Row],[Date_all_Day]]),2))</f>
        <v>201811</v>
      </c>
    </row>
    <row r="73" spans="1:5">
      <c r="A73" s="8">
        <v>43415</v>
      </c>
      <c r="B73">
        <f>DAY(Table_Date_Dim[[#This Row],[Date_all_Day]])</f>
        <v>11</v>
      </c>
      <c r="C73">
        <v>2</v>
      </c>
      <c r="D73" s="12" t="str">
        <f>TEXT(Table_Date_Dim[[#This Row],[Date_all_Day]],"dddd")</f>
        <v>Sunday</v>
      </c>
      <c r="E73" t="str">
        <f>CONCATENATE(YEAR(Table_Date_Dim[[#This Row],[Date_all_Day]]),RIGHT("0"&amp;MONTH(Table_Date_Dim[[#This Row],[Date_all_Day]]),2))</f>
        <v>201811</v>
      </c>
    </row>
    <row r="74" spans="1:5">
      <c r="A74" s="8">
        <v>43416</v>
      </c>
      <c r="B74">
        <f>DAY(Table_Date_Dim[[#This Row],[Date_all_Day]])</f>
        <v>12</v>
      </c>
      <c r="C74">
        <v>3</v>
      </c>
      <c r="D74" s="12" t="str">
        <f>TEXT(Table_Date_Dim[[#This Row],[Date_all_Day]],"dddd")</f>
        <v>Monday</v>
      </c>
      <c r="E74" t="str">
        <f>CONCATENATE(YEAR(Table_Date_Dim[[#This Row],[Date_all_Day]]),RIGHT("0"&amp;MONTH(Table_Date_Dim[[#This Row],[Date_all_Day]]),2))</f>
        <v>201811</v>
      </c>
    </row>
    <row r="75" spans="1:5">
      <c r="A75" s="8">
        <v>43417</v>
      </c>
      <c r="B75">
        <f>DAY(Table_Date_Dim[[#This Row],[Date_all_Day]])</f>
        <v>13</v>
      </c>
      <c r="C75">
        <v>3</v>
      </c>
      <c r="D75" s="12" t="str">
        <f>TEXT(Table_Date_Dim[[#This Row],[Date_all_Day]],"dddd")</f>
        <v>Tuesday</v>
      </c>
      <c r="E75" t="str">
        <f>CONCATENATE(YEAR(Table_Date_Dim[[#This Row],[Date_all_Day]]),RIGHT("0"&amp;MONTH(Table_Date_Dim[[#This Row],[Date_all_Day]]),2))</f>
        <v>201811</v>
      </c>
    </row>
    <row r="76" spans="1:5">
      <c r="A76" s="8">
        <v>43418</v>
      </c>
      <c r="B76">
        <f>DAY(Table_Date_Dim[[#This Row],[Date_all_Day]])</f>
        <v>14</v>
      </c>
      <c r="C76">
        <v>3</v>
      </c>
      <c r="D76" s="12" t="str">
        <f>TEXT(Table_Date_Dim[[#This Row],[Date_all_Day]],"dddd")</f>
        <v>Wednesday</v>
      </c>
      <c r="E76" t="str">
        <f>CONCATENATE(YEAR(Table_Date_Dim[[#This Row],[Date_all_Day]]),RIGHT("0"&amp;MONTH(Table_Date_Dim[[#This Row],[Date_all_Day]]),2))</f>
        <v>201811</v>
      </c>
    </row>
    <row r="77" spans="1:5">
      <c r="A77" s="8">
        <v>43419</v>
      </c>
      <c r="B77">
        <f>DAY(Table_Date_Dim[[#This Row],[Date_all_Day]])</f>
        <v>15</v>
      </c>
      <c r="C77">
        <v>3</v>
      </c>
      <c r="D77" s="12" t="str">
        <f>TEXT(Table_Date_Dim[[#This Row],[Date_all_Day]],"dddd")</f>
        <v>Thursday</v>
      </c>
      <c r="E77" t="str">
        <f>CONCATENATE(YEAR(Table_Date_Dim[[#This Row],[Date_all_Day]]),RIGHT("0"&amp;MONTH(Table_Date_Dim[[#This Row],[Date_all_Day]]),2))</f>
        <v>201811</v>
      </c>
    </row>
    <row r="78" spans="1:5">
      <c r="A78" s="8">
        <v>43420</v>
      </c>
      <c r="B78">
        <f>DAY(Table_Date_Dim[[#This Row],[Date_all_Day]])</f>
        <v>16</v>
      </c>
      <c r="C78">
        <v>3</v>
      </c>
      <c r="D78" s="12" t="str">
        <f>TEXT(Table_Date_Dim[[#This Row],[Date_all_Day]],"dddd")</f>
        <v>Friday</v>
      </c>
      <c r="E78" t="str">
        <f>CONCATENATE(YEAR(Table_Date_Dim[[#This Row],[Date_all_Day]]),RIGHT("0"&amp;MONTH(Table_Date_Dim[[#This Row],[Date_all_Day]]),2))</f>
        <v>201811</v>
      </c>
    </row>
    <row r="79" spans="1:5">
      <c r="A79" s="8">
        <v>43421</v>
      </c>
      <c r="B79">
        <f>DAY(Table_Date_Dim[[#This Row],[Date_all_Day]])</f>
        <v>17</v>
      </c>
      <c r="C79">
        <v>3</v>
      </c>
      <c r="D79" s="12" t="str">
        <f>TEXT(Table_Date_Dim[[#This Row],[Date_all_Day]],"dddd")</f>
        <v>Saturday</v>
      </c>
      <c r="E79" t="str">
        <f>CONCATENATE(YEAR(Table_Date_Dim[[#This Row],[Date_all_Day]]),RIGHT("0"&amp;MONTH(Table_Date_Dim[[#This Row],[Date_all_Day]]),2))</f>
        <v>201811</v>
      </c>
    </row>
    <row r="80" spans="1:5">
      <c r="A80" s="8">
        <v>43422</v>
      </c>
      <c r="B80">
        <f>DAY(Table_Date_Dim[[#This Row],[Date_all_Day]])</f>
        <v>18</v>
      </c>
      <c r="C80">
        <v>3</v>
      </c>
      <c r="D80" s="12" t="str">
        <f>TEXT(Table_Date_Dim[[#This Row],[Date_all_Day]],"dddd")</f>
        <v>Sunday</v>
      </c>
      <c r="E80" t="str">
        <f>CONCATENATE(YEAR(Table_Date_Dim[[#This Row],[Date_all_Day]]),RIGHT("0"&amp;MONTH(Table_Date_Dim[[#This Row],[Date_all_Day]]),2))</f>
        <v>201811</v>
      </c>
    </row>
    <row r="81" spans="1:5">
      <c r="A81" s="8">
        <v>43423</v>
      </c>
      <c r="B81">
        <f>DAY(Table_Date_Dim[[#This Row],[Date_all_Day]])</f>
        <v>19</v>
      </c>
      <c r="C81">
        <v>4</v>
      </c>
      <c r="D81" s="12" t="str">
        <f>TEXT(Table_Date_Dim[[#This Row],[Date_all_Day]],"dddd")</f>
        <v>Monday</v>
      </c>
      <c r="E81" t="str">
        <f>CONCATENATE(YEAR(Table_Date_Dim[[#This Row],[Date_all_Day]]),RIGHT("0"&amp;MONTH(Table_Date_Dim[[#This Row],[Date_all_Day]]),2))</f>
        <v>201811</v>
      </c>
    </row>
    <row r="82" spans="1:5">
      <c r="A82" s="8">
        <v>43424</v>
      </c>
      <c r="B82">
        <f>DAY(Table_Date_Dim[[#This Row],[Date_all_Day]])</f>
        <v>20</v>
      </c>
      <c r="C82">
        <v>4</v>
      </c>
      <c r="D82" s="12" t="str">
        <f>TEXT(Table_Date_Dim[[#This Row],[Date_all_Day]],"dddd")</f>
        <v>Tuesday</v>
      </c>
      <c r="E82" t="str">
        <f>CONCATENATE(YEAR(Table_Date_Dim[[#This Row],[Date_all_Day]]),RIGHT("0"&amp;MONTH(Table_Date_Dim[[#This Row],[Date_all_Day]]),2))</f>
        <v>201811</v>
      </c>
    </row>
    <row r="83" spans="1:5">
      <c r="A83" s="8">
        <v>43425</v>
      </c>
      <c r="B83">
        <f>DAY(Table_Date_Dim[[#This Row],[Date_all_Day]])</f>
        <v>21</v>
      </c>
      <c r="C83">
        <v>4</v>
      </c>
      <c r="D83" s="12" t="str">
        <f>TEXT(Table_Date_Dim[[#This Row],[Date_all_Day]],"dddd")</f>
        <v>Wednesday</v>
      </c>
      <c r="E83" t="str">
        <f>CONCATENATE(YEAR(Table_Date_Dim[[#This Row],[Date_all_Day]]),RIGHT("0"&amp;MONTH(Table_Date_Dim[[#This Row],[Date_all_Day]]),2))</f>
        <v>201811</v>
      </c>
    </row>
    <row r="84" spans="1:5">
      <c r="A84" s="8">
        <v>43426</v>
      </c>
      <c r="B84">
        <f>DAY(Table_Date_Dim[[#This Row],[Date_all_Day]])</f>
        <v>22</v>
      </c>
      <c r="C84">
        <v>4</v>
      </c>
      <c r="D84" s="12" t="str">
        <f>TEXT(Table_Date_Dim[[#This Row],[Date_all_Day]],"dddd")</f>
        <v>Thursday</v>
      </c>
      <c r="E84" t="str">
        <f>CONCATENATE(YEAR(Table_Date_Dim[[#This Row],[Date_all_Day]]),RIGHT("0"&amp;MONTH(Table_Date_Dim[[#This Row],[Date_all_Day]]),2))</f>
        <v>201811</v>
      </c>
    </row>
    <row r="85" spans="1:5">
      <c r="A85" s="8">
        <v>43427</v>
      </c>
      <c r="B85">
        <f>DAY(Table_Date_Dim[[#This Row],[Date_all_Day]])</f>
        <v>23</v>
      </c>
      <c r="C85">
        <v>4</v>
      </c>
      <c r="D85" s="12" t="str">
        <f>TEXT(Table_Date_Dim[[#This Row],[Date_all_Day]],"dddd")</f>
        <v>Friday</v>
      </c>
      <c r="E85" t="str">
        <f>CONCATENATE(YEAR(Table_Date_Dim[[#This Row],[Date_all_Day]]),RIGHT("0"&amp;MONTH(Table_Date_Dim[[#This Row],[Date_all_Day]]),2))</f>
        <v>201811</v>
      </c>
    </row>
    <row r="86" spans="1:5">
      <c r="A86" s="8">
        <v>43428</v>
      </c>
      <c r="B86">
        <f>DAY(Table_Date_Dim[[#This Row],[Date_all_Day]])</f>
        <v>24</v>
      </c>
      <c r="C86">
        <v>4</v>
      </c>
      <c r="D86" s="12" t="str">
        <f>TEXT(Table_Date_Dim[[#This Row],[Date_all_Day]],"dddd")</f>
        <v>Saturday</v>
      </c>
      <c r="E86" t="str">
        <f>CONCATENATE(YEAR(Table_Date_Dim[[#This Row],[Date_all_Day]]),RIGHT("0"&amp;MONTH(Table_Date_Dim[[#This Row],[Date_all_Day]]),2))</f>
        <v>201811</v>
      </c>
    </row>
    <row r="87" spans="1:5">
      <c r="A87" s="8">
        <v>43429</v>
      </c>
      <c r="B87">
        <f>DAY(Table_Date_Dim[[#This Row],[Date_all_Day]])</f>
        <v>25</v>
      </c>
      <c r="C87">
        <v>4</v>
      </c>
      <c r="D87" s="12" t="str">
        <f>TEXT(Table_Date_Dim[[#This Row],[Date_all_Day]],"dddd")</f>
        <v>Sunday</v>
      </c>
      <c r="E87" t="str">
        <f>CONCATENATE(YEAR(Table_Date_Dim[[#This Row],[Date_all_Day]]),RIGHT("0"&amp;MONTH(Table_Date_Dim[[#This Row],[Date_all_Day]]),2))</f>
        <v>201811</v>
      </c>
    </row>
    <row r="88" spans="1:5">
      <c r="A88" s="8">
        <v>43430</v>
      </c>
      <c r="B88">
        <f>DAY(Table_Date_Dim[[#This Row],[Date_all_Day]])</f>
        <v>26</v>
      </c>
      <c r="C88">
        <v>5</v>
      </c>
      <c r="D88" s="12" t="str">
        <f>TEXT(Table_Date_Dim[[#This Row],[Date_all_Day]],"dddd")</f>
        <v>Monday</v>
      </c>
      <c r="E88" t="str">
        <f>CONCATENATE(YEAR(Table_Date_Dim[[#This Row],[Date_all_Day]]),RIGHT("0"&amp;MONTH(Table_Date_Dim[[#This Row],[Date_all_Day]]),2))</f>
        <v>201811</v>
      </c>
    </row>
    <row r="89" spans="1:5">
      <c r="A89" s="8">
        <v>43431</v>
      </c>
      <c r="B89">
        <f>DAY(Table_Date_Dim[[#This Row],[Date_all_Day]])</f>
        <v>27</v>
      </c>
      <c r="C89">
        <v>5</v>
      </c>
      <c r="D89" s="12" t="str">
        <f>TEXT(Table_Date_Dim[[#This Row],[Date_all_Day]],"dddd")</f>
        <v>Tuesday</v>
      </c>
      <c r="E89" t="str">
        <f>CONCATENATE(YEAR(Table_Date_Dim[[#This Row],[Date_all_Day]]),RIGHT("0"&amp;MONTH(Table_Date_Dim[[#This Row],[Date_all_Day]]),2))</f>
        <v>201811</v>
      </c>
    </row>
    <row r="90" spans="1:5">
      <c r="A90" s="8">
        <v>43432</v>
      </c>
      <c r="B90">
        <f>DAY(Table_Date_Dim[[#This Row],[Date_all_Day]])</f>
        <v>28</v>
      </c>
      <c r="C90">
        <v>5</v>
      </c>
      <c r="D90" s="12" t="str">
        <f>TEXT(Table_Date_Dim[[#This Row],[Date_all_Day]],"dddd")</f>
        <v>Wednesday</v>
      </c>
      <c r="E90" t="str">
        <f>CONCATENATE(YEAR(Table_Date_Dim[[#This Row],[Date_all_Day]]),RIGHT("0"&amp;MONTH(Table_Date_Dim[[#This Row],[Date_all_Day]]),2))</f>
        <v>201811</v>
      </c>
    </row>
    <row r="91" spans="1:5">
      <c r="A91" s="8">
        <v>43433</v>
      </c>
      <c r="B91">
        <f>DAY(Table_Date_Dim[[#This Row],[Date_all_Day]])</f>
        <v>29</v>
      </c>
      <c r="C91">
        <v>5</v>
      </c>
      <c r="D91" s="12" t="str">
        <f>TEXT(Table_Date_Dim[[#This Row],[Date_all_Day]],"dddd")</f>
        <v>Thursday</v>
      </c>
      <c r="E91" t="str">
        <f>CONCATENATE(YEAR(Table_Date_Dim[[#This Row],[Date_all_Day]]),RIGHT("0"&amp;MONTH(Table_Date_Dim[[#This Row],[Date_all_Day]]),2))</f>
        <v>201811</v>
      </c>
    </row>
    <row r="92" spans="1:5">
      <c r="A92" s="8">
        <v>43434</v>
      </c>
      <c r="B92">
        <f>DAY(Table_Date_Dim[[#This Row],[Date_all_Day]])</f>
        <v>30</v>
      </c>
      <c r="C92">
        <v>5</v>
      </c>
      <c r="D92" s="12" t="str">
        <f>TEXT(Table_Date_Dim[[#This Row],[Date_all_Day]],"dddd")</f>
        <v>Friday</v>
      </c>
      <c r="E92" t="str">
        <f>CONCATENATE(YEAR(Table_Date_Dim[[#This Row],[Date_all_Day]]),RIGHT("0"&amp;MONTH(Table_Date_Dim[[#This Row],[Date_all_Day]]),2))</f>
        <v>201811</v>
      </c>
    </row>
    <row r="93" spans="1:5">
      <c r="A93" s="8">
        <v>43435</v>
      </c>
      <c r="B93">
        <f>DAY(Table_Date_Dim[[#This Row],[Date_all_Day]])</f>
        <v>1</v>
      </c>
      <c r="C93">
        <v>1</v>
      </c>
      <c r="D93" s="12" t="str">
        <f>TEXT(Table_Date_Dim[[#This Row],[Date_all_Day]],"dddd")</f>
        <v>Saturday</v>
      </c>
      <c r="E93" t="str">
        <f>CONCATENATE(YEAR(Table_Date_Dim[[#This Row],[Date_all_Day]]),RIGHT("0"&amp;MONTH(Table_Date_Dim[[#This Row],[Date_all_Day]]),2))</f>
        <v>201812</v>
      </c>
    </row>
    <row r="94" spans="1:5">
      <c r="A94" s="8">
        <v>43436</v>
      </c>
      <c r="B94">
        <f>DAY(Table_Date_Dim[[#This Row],[Date_all_Day]])</f>
        <v>2</v>
      </c>
      <c r="C94">
        <v>1</v>
      </c>
      <c r="D94" s="12" t="str">
        <f>TEXT(Table_Date_Dim[[#This Row],[Date_all_Day]],"dddd")</f>
        <v>Sunday</v>
      </c>
      <c r="E94" t="str">
        <f>CONCATENATE(YEAR(Table_Date_Dim[[#This Row],[Date_all_Day]]),RIGHT("0"&amp;MONTH(Table_Date_Dim[[#This Row],[Date_all_Day]]),2))</f>
        <v>201812</v>
      </c>
    </row>
    <row r="95" spans="1:5">
      <c r="A95" s="8">
        <v>43437</v>
      </c>
      <c r="B95">
        <f>DAY(Table_Date_Dim[[#This Row],[Date_all_Day]])</f>
        <v>3</v>
      </c>
      <c r="C95">
        <v>2</v>
      </c>
      <c r="D95" s="12" t="str">
        <f>TEXT(Table_Date_Dim[[#This Row],[Date_all_Day]],"dddd")</f>
        <v>Monday</v>
      </c>
      <c r="E95" t="str">
        <f>CONCATENATE(YEAR(Table_Date_Dim[[#This Row],[Date_all_Day]]),RIGHT("0"&amp;MONTH(Table_Date_Dim[[#This Row],[Date_all_Day]]),2))</f>
        <v>201812</v>
      </c>
    </row>
    <row r="96" spans="1:5">
      <c r="A96" s="8">
        <v>43438</v>
      </c>
      <c r="B96">
        <f>DAY(Table_Date_Dim[[#This Row],[Date_all_Day]])</f>
        <v>4</v>
      </c>
      <c r="C96">
        <v>2</v>
      </c>
      <c r="D96" s="12" t="str">
        <f>TEXT(Table_Date_Dim[[#This Row],[Date_all_Day]],"dddd")</f>
        <v>Tuesday</v>
      </c>
      <c r="E96" t="str">
        <f>CONCATENATE(YEAR(Table_Date_Dim[[#This Row],[Date_all_Day]]),RIGHT("0"&amp;MONTH(Table_Date_Dim[[#This Row],[Date_all_Day]]),2))</f>
        <v>201812</v>
      </c>
    </row>
    <row r="97" spans="1:5">
      <c r="A97" s="8">
        <v>43439</v>
      </c>
      <c r="B97">
        <f>DAY(Table_Date_Dim[[#This Row],[Date_all_Day]])</f>
        <v>5</v>
      </c>
      <c r="C97">
        <v>2</v>
      </c>
      <c r="D97" s="12" t="str">
        <f>TEXT(Table_Date_Dim[[#This Row],[Date_all_Day]],"dddd")</f>
        <v>Wednesday</v>
      </c>
      <c r="E97" t="str">
        <f>CONCATENATE(YEAR(Table_Date_Dim[[#This Row],[Date_all_Day]]),RIGHT("0"&amp;MONTH(Table_Date_Dim[[#This Row],[Date_all_Day]]),2))</f>
        <v>201812</v>
      </c>
    </row>
    <row r="98" spans="1:5">
      <c r="A98" s="8">
        <v>43440</v>
      </c>
      <c r="B98">
        <f>DAY(Table_Date_Dim[[#This Row],[Date_all_Day]])</f>
        <v>6</v>
      </c>
      <c r="C98">
        <v>2</v>
      </c>
      <c r="D98" s="12" t="str">
        <f>TEXT(Table_Date_Dim[[#This Row],[Date_all_Day]],"dddd")</f>
        <v>Thursday</v>
      </c>
      <c r="E98" t="str">
        <f>CONCATENATE(YEAR(Table_Date_Dim[[#This Row],[Date_all_Day]]),RIGHT("0"&amp;MONTH(Table_Date_Dim[[#This Row],[Date_all_Day]]),2))</f>
        <v>201812</v>
      </c>
    </row>
    <row r="99" spans="1:5">
      <c r="A99" s="8">
        <v>43441</v>
      </c>
      <c r="B99">
        <f>DAY(Table_Date_Dim[[#This Row],[Date_all_Day]])</f>
        <v>7</v>
      </c>
      <c r="C99">
        <v>2</v>
      </c>
      <c r="D99" s="12" t="str">
        <f>TEXT(Table_Date_Dim[[#This Row],[Date_all_Day]],"dddd")</f>
        <v>Friday</v>
      </c>
      <c r="E99" t="str">
        <f>CONCATENATE(YEAR(Table_Date_Dim[[#This Row],[Date_all_Day]]),RIGHT("0"&amp;MONTH(Table_Date_Dim[[#This Row],[Date_all_Day]]),2))</f>
        <v>201812</v>
      </c>
    </row>
    <row r="100" spans="1:5">
      <c r="A100" s="8">
        <v>43442</v>
      </c>
      <c r="B100">
        <f>DAY(Table_Date_Dim[[#This Row],[Date_all_Day]])</f>
        <v>8</v>
      </c>
      <c r="C100">
        <v>2</v>
      </c>
      <c r="D100" s="12" t="str">
        <f>TEXT(Table_Date_Dim[[#This Row],[Date_all_Day]],"dddd")</f>
        <v>Saturday</v>
      </c>
      <c r="E100" t="str">
        <f>CONCATENATE(YEAR(Table_Date_Dim[[#This Row],[Date_all_Day]]),RIGHT("0"&amp;MONTH(Table_Date_Dim[[#This Row],[Date_all_Day]]),2))</f>
        <v>201812</v>
      </c>
    </row>
    <row r="101" spans="1:5">
      <c r="A101" s="8">
        <v>43443</v>
      </c>
      <c r="B101">
        <f>DAY(Table_Date_Dim[[#This Row],[Date_all_Day]])</f>
        <v>9</v>
      </c>
      <c r="C101">
        <v>2</v>
      </c>
      <c r="D101" s="12" t="str">
        <f>TEXT(Table_Date_Dim[[#This Row],[Date_all_Day]],"dddd")</f>
        <v>Sunday</v>
      </c>
      <c r="E101" t="str">
        <f>CONCATENATE(YEAR(Table_Date_Dim[[#This Row],[Date_all_Day]]),RIGHT("0"&amp;MONTH(Table_Date_Dim[[#This Row],[Date_all_Day]]),2))</f>
        <v>201812</v>
      </c>
    </row>
    <row r="102" spans="1:5">
      <c r="A102" s="8">
        <v>43444</v>
      </c>
      <c r="B102">
        <f>DAY(Table_Date_Dim[[#This Row],[Date_all_Day]])</f>
        <v>10</v>
      </c>
      <c r="C102">
        <v>3</v>
      </c>
      <c r="D102" s="12" t="str">
        <f>TEXT(Table_Date_Dim[[#This Row],[Date_all_Day]],"dddd")</f>
        <v>Monday</v>
      </c>
      <c r="E102" t="str">
        <f>CONCATENATE(YEAR(Table_Date_Dim[[#This Row],[Date_all_Day]]),RIGHT("0"&amp;MONTH(Table_Date_Dim[[#This Row],[Date_all_Day]]),2))</f>
        <v>201812</v>
      </c>
    </row>
    <row r="103" spans="1:5">
      <c r="A103" s="8">
        <v>43445</v>
      </c>
      <c r="B103">
        <f>DAY(Table_Date_Dim[[#This Row],[Date_all_Day]])</f>
        <v>11</v>
      </c>
      <c r="C103">
        <v>3</v>
      </c>
      <c r="D103" s="12" t="str">
        <f>TEXT(Table_Date_Dim[[#This Row],[Date_all_Day]],"dddd")</f>
        <v>Tuesday</v>
      </c>
      <c r="E103" t="str">
        <f>CONCATENATE(YEAR(Table_Date_Dim[[#This Row],[Date_all_Day]]),RIGHT("0"&amp;MONTH(Table_Date_Dim[[#This Row],[Date_all_Day]]),2))</f>
        <v>201812</v>
      </c>
    </row>
    <row r="104" spans="1:5">
      <c r="A104" s="8">
        <v>43446</v>
      </c>
      <c r="B104">
        <f>DAY(Table_Date_Dim[[#This Row],[Date_all_Day]])</f>
        <v>12</v>
      </c>
      <c r="C104">
        <v>3</v>
      </c>
      <c r="D104" s="12" t="str">
        <f>TEXT(Table_Date_Dim[[#This Row],[Date_all_Day]],"dddd")</f>
        <v>Wednesday</v>
      </c>
      <c r="E104" t="str">
        <f>CONCATENATE(YEAR(Table_Date_Dim[[#This Row],[Date_all_Day]]),RIGHT("0"&amp;MONTH(Table_Date_Dim[[#This Row],[Date_all_Day]]),2))</f>
        <v>201812</v>
      </c>
    </row>
    <row r="105" spans="1:5">
      <c r="A105" s="8">
        <v>43447</v>
      </c>
      <c r="B105">
        <f>DAY(Table_Date_Dim[[#This Row],[Date_all_Day]])</f>
        <v>13</v>
      </c>
      <c r="C105">
        <v>3</v>
      </c>
      <c r="D105" s="12" t="str">
        <f>TEXT(Table_Date_Dim[[#This Row],[Date_all_Day]],"dddd")</f>
        <v>Thursday</v>
      </c>
      <c r="E105" t="str">
        <f>CONCATENATE(YEAR(Table_Date_Dim[[#This Row],[Date_all_Day]]),RIGHT("0"&amp;MONTH(Table_Date_Dim[[#This Row],[Date_all_Day]]),2))</f>
        <v>201812</v>
      </c>
    </row>
    <row r="106" spans="1:5">
      <c r="A106" s="8">
        <v>43448</v>
      </c>
      <c r="B106">
        <f>DAY(Table_Date_Dim[[#This Row],[Date_all_Day]])</f>
        <v>14</v>
      </c>
      <c r="C106">
        <v>3</v>
      </c>
      <c r="D106" s="12" t="str">
        <f>TEXT(Table_Date_Dim[[#This Row],[Date_all_Day]],"dddd")</f>
        <v>Friday</v>
      </c>
      <c r="E106" t="str">
        <f>CONCATENATE(YEAR(Table_Date_Dim[[#This Row],[Date_all_Day]]),RIGHT("0"&amp;MONTH(Table_Date_Dim[[#This Row],[Date_all_Day]]),2))</f>
        <v>201812</v>
      </c>
    </row>
    <row r="107" spans="1:5">
      <c r="A107" s="8">
        <v>43449</v>
      </c>
      <c r="B107">
        <f>DAY(Table_Date_Dim[[#This Row],[Date_all_Day]])</f>
        <v>15</v>
      </c>
      <c r="C107">
        <v>3</v>
      </c>
      <c r="D107" s="12" t="str">
        <f>TEXT(Table_Date_Dim[[#This Row],[Date_all_Day]],"dddd")</f>
        <v>Saturday</v>
      </c>
      <c r="E107" t="str">
        <f>CONCATENATE(YEAR(Table_Date_Dim[[#This Row],[Date_all_Day]]),RIGHT("0"&amp;MONTH(Table_Date_Dim[[#This Row],[Date_all_Day]]),2))</f>
        <v>201812</v>
      </c>
    </row>
    <row r="108" spans="1:5">
      <c r="A108" s="8">
        <v>43450</v>
      </c>
      <c r="B108">
        <f>DAY(Table_Date_Dim[[#This Row],[Date_all_Day]])</f>
        <v>16</v>
      </c>
      <c r="C108">
        <v>3</v>
      </c>
      <c r="D108" s="12" t="str">
        <f>TEXT(Table_Date_Dim[[#This Row],[Date_all_Day]],"dddd")</f>
        <v>Sunday</v>
      </c>
      <c r="E108" t="str">
        <f>CONCATENATE(YEAR(Table_Date_Dim[[#This Row],[Date_all_Day]]),RIGHT("0"&amp;MONTH(Table_Date_Dim[[#This Row],[Date_all_Day]]),2))</f>
        <v>201812</v>
      </c>
    </row>
    <row r="109" spans="1:5">
      <c r="A109" s="8">
        <v>43451</v>
      </c>
      <c r="B109">
        <f>DAY(Table_Date_Dim[[#This Row],[Date_all_Day]])</f>
        <v>17</v>
      </c>
      <c r="C109">
        <v>4</v>
      </c>
      <c r="D109" s="12" t="str">
        <f>TEXT(Table_Date_Dim[[#This Row],[Date_all_Day]],"dddd")</f>
        <v>Monday</v>
      </c>
      <c r="E109" t="str">
        <f>CONCATENATE(YEAR(Table_Date_Dim[[#This Row],[Date_all_Day]]),RIGHT("0"&amp;MONTH(Table_Date_Dim[[#This Row],[Date_all_Day]]),2))</f>
        <v>201812</v>
      </c>
    </row>
    <row r="110" spans="1:5">
      <c r="A110" s="8">
        <v>43452</v>
      </c>
      <c r="B110">
        <f>DAY(Table_Date_Dim[[#This Row],[Date_all_Day]])</f>
        <v>18</v>
      </c>
      <c r="C110">
        <v>4</v>
      </c>
      <c r="D110" s="12" t="str">
        <f>TEXT(Table_Date_Dim[[#This Row],[Date_all_Day]],"dddd")</f>
        <v>Tuesday</v>
      </c>
      <c r="E110" t="str">
        <f>CONCATENATE(YEAR(Table_Date_Dim[[#This Row],[Date_all_Day]]),RIGHT("0"&amp;MONTH(Table_Date_Dim[[#This Row],[Date_all_Day]]),2))</f>
        <v>201812</v>
      </c>
    </row>
    <row r="111" spans="1:5">
      <c r="A111" s="8">
        <v>43453</v>
      </c>
      <c r="B111">
        <f>DAY(Table_Date_Dim[[#This Row],[Date_all_Day]])</f>
        <v>19</v>
      </c>
      <c r="C111">
        <v>4</v>
      </c>
      <c r="D111" s="12" t="str">
        <f>TEXT(Table_Date_Dim[[#This Row],[Date_all_Day]],"dddd")</f>
        <v>Wednesday</v>
      </c>
      <c r="E111" t="str">
        <f>CONCATENATE(YEAR(Table_Date_Dim[[#This Row],[Date_all_Day]]),RIGHT("0"&amp;MONTH(Table_Date_Dim[[#This Row],[Date_all_Day]]),2))</f>
        <v>201812</v>
      </c>
    </row>
    <row r="112" spans="1:5">
      <c r="A112" s="8">
        <v>43454</v>
      </c>
      <c r="B112">
        <f>DAY(Table_Date_Dim[[#This Row],[Date_all_Day]])</f>
        <v>20</v>
      </c>
      <c r="C112">
        <v>4</v>
      </c>
      <c r="D112" s="12" t="str">
        <f>TEXT(Table_Date_Dim[[#This Row],[Date_all_Day]],"dddd")</f>
        <v>Thursday</v>
      </c>
      <c r="E112" t="str">
        <f>CONCATENATE(YEAR(Table_Date_Dim[[#This Row],[Date_all_Day]]),RIGHT("0"&amp;MONTH(Table_Date_Dim[[#This Row],[Date_all_Day]]),2))</f>
        <v>201812</v>
      </c>
    </row>
    <row r="113" spans="1:8">
      <c r="A113" s="8">
        <v>43455</v>
      </c>
      <c r="B113">
        <f>DAY(Table_Date_Dim[[#This Row],[Date_all_Day]])</f>
        <v>21</v>
      </c>
      <c r="C113">
        <v>4</v>
      </c>
      <c r="D113" s="12" t="str">
        <f>TEXT(Table_Date_Dim[[#This Row],[Date_all_Day]],"dddd")</f>
        <v>Friday</v>
      </c>
      <c r="E113" t="str">
        <f>CONCATENATE(YEAR(Table_Date_Dim[[#This Row],[Date_all_Day]]),RIGHT("0"&amp;MONTH(Table_Date_Dim[[#This Row],[Date_all_Day]]),2))</f>
        <v>201812</v>
      </c>
    </row>
    <row r="114" spans="1:8">
      <c r="A114" s="8">
        <v>43456</v>
      </c>
      <c r="B114">
        <f>DAY(Table_Date_Dim[[#This Row],[Date_all_Day]])</f>
        <v>22</v>
      </c>
      <c r="C114">
        <v>4</v>
      </c>
      <c r="D114" s="12" t="str">
        <f>TEXT(Table_Date_Dim[[#This Row],[Date_all_Day]],"dddd")</f>
        <v>Saturday</v>
      </c>
      <c r="E114" t="str">
        <f>CONCATENATE(YEAR(Table_Date_Dim[[#This Row],[Date_all_Day]]),RIGHT("0"&amp;MONTH(Table_Date_Dim[[#This Row],[Date_all_Day]]),2))</f>
        <v>201812</v>
      </c>
    </row>
    <row r="115" spans="1:8">
      <c r="A115" s="8">
        <v>43457</v>
      </c>
      <c r="B115">
        <f>DAY(Table_Date_Dim[[#This Row],[Date_all_Day]])</f>
        <v>23</v>
      </c>
      <c r="C115">
        <v>4</v>
      </c>
      <c r="D115" s="12" t="str">
        <f>TEXT(Table_Date_Dim[[#This Row],[Date_all_Day]],"dddd")</f>
        <v>Sunday</v>
      </c>
      <c r="E115" t="str">
        <f>CONCATENATE(YEAR(Table_Date_Dim[[#This Row],[Date_all_Day]]),RIGHT("0"&amp;MONTH(Table_Date_Dim[[#This Row],[Date_all_Day]]),2))</f>
        <v>201812</v>
      </c>
    </row>
    <row r="116" spans="1:8">
      <c r="A116" s="8">
        <v>43458</v>
      </c>
      <c r="B116">
        <f>DAY(Table_Date_Dim[[#This Row],[Date_all_Day]])</f>
        <v>24</v>
      </c>
      <c r="C116">
        <v>5</v>
      </c>
      <c r="D116" s="12" t="str">
        <f>TEXT(Table_Date_Dim[[#This Row],[Date_all_Day]],"dddd")</f>
        <v>Monday</v>
      </c>
      <c r="E116" t="str">
        <f>CONCATENATE(YEAR(Table_Date_Dim[[#This Row],[Date_all_Day]]),RIGHT("0"&amp;MONTH(Table_Date_Dim[[#This Row],[Date_all_Day]]),2))</f>
        <v>201812</v>
      </c>
    </row>
    <row r="117" spans="1:8">
      <c r="A117" s="8">
        <v>43459</v>
      </c>
      <c r="B117">
        <f>DAY(Table_Date_Dim[[#This Row],[Date_all_Day]])</f>
        <v>25</v>
      </c>
      <c r="C117">
        <v>5</v>
      </c>
      <c r="D117" s="12" t="str">
        <f>TEXT(Table_Date_Dim[[#This Row],[Date_all_Day]],"dddd")</f>
        <v>Tuesday</v>
      </c>
      <c r="E117" t="str">
        <f>CONCATENATE(YEAR(Table_Date_Dim[[#This Row],[Date_all_Day]]),RIGHT("0"&amp;MONTH(Table_Date_Dim[[#This Row],[Date_all_Day]]),2))</f>
        <v>201812</v>
      </c>
    </row>
    <row r="118" spans="1:8">
      <c r="A118" s="8">
        <v>43460</v>
      </c>
      <c r="B118">
        <f>DAY(Table_Date_Dim[[#This Row],[Date_all_Day]])</f>
        <v>26</v>
      </c>
      <c r="C118">
        <v>5</v>
      </c>
      <c r="D118" s="12" t="str">
        <f>TEXT(Table_Date_Dim[[#This Row],[Date_all_Day]],"dddd")</f>
        <v>Wednesday</v>
      </c>
      <c r="E118" t="str">
        <f>CONCATENATE(YEAR(Table_Date_Dim[[#This Row],[Date_all_Day]]),RIGHT("0"&amp;MONTH(Table_Date_Dim[[#This Row],[Date_all_Day]]),2))</f>
        <v>201812</v>
      </c>
    </row>
    <row r="119" spans="1:8">
      <c r="A119" s="8">
        <v>43461</v>
      </c>
      <c r="B119">
        <f>DAY(Table_Date_Dim[[#This Row],[Date_all_Day]])</f>
        <v>27</v>
      </c>
      <c r="C119">
        <v>5</v>
      </c>
      <c r="D119" s="12" t="str">
        <f>TEXT(Table_Date_Dim[[#This Row],[Date_all_Day]],"dddd")</f>
        <v>Thursday</v>
      </c>
      <c r="E119" t="str">
        <f>CONCATENATE(YEAR(Table_Date_Dim[[#This Row],[Date_all_Day]]),RIGHT("0"&amp;MONTH(Table_Date_Dim[[#This Row],[Date_all_Day]]),2))</f>
        <v>201812</v>
      </c>
    </row>
    <row r="120" spans="1:8">
      <c r="A120" s="8">
        <v>43462</v>
      </c>
      <c r="B120">
        <f>DAY(Table_Date_Dim[[#This Row],[Date_all_Day]])</f>
        <v>28</v>
      </c>
      <c r="C120">
        <v>5</v>
      </c>
      <c r="D120" s="12" t="str">
        <f>TEXT(Table_Date_Dim[[#This Row],[Date_all_Day]],"dddd")</f>
        <v>Friday</v>
      </c>
      <c r="E120" t="str">
        <f>CONCATENATE(YEAR(Table_Date_Dim[[#This Row],[Date_all_Day]]),RIGHT("0"&amp;MONTH(Table_Date_Dim[[#This Row],[Date_all_Day]]),2))</f>
        <v>201812</v>
      </c>
    </row>
    <row r="121" spans="1:8">
      <c r="A121" s="8">
        <v>43463</v>
      </c>
      <c r="B121">
        <f>DAY(Table_Date_Dim[[#This Row],[Date_all_Day]])</f>
        <v>29</v>
      </c>
      <c r="C121">
        <v>5</v>
      </c>
      <c r="D121" s="12" t="str">
        <f>TEXT(Table_Date_Dim[[#This Row],[Date_all_Day]],"dddd")</f>
        <v>Saturday</v>
      </c>
      <c r="E121" t="str">
        <f>CONCATENATE(YEAR(Table_Date_Dim[[#This Row],[Date_all_Day]]),RIGHT("0"&amp;MONTH(Table_Date_Dim[[#This Row],[Date_all_Day]]),2))</f>
        <v>201812</v>
      </c>
    </row>
    <row r="122" spans="1:8">
      <c r="A122" s="8">
        <v>43464</v>
      </c>
      <c r="B122">
        <f>DAY(Table_Date_Dim[[#This Row],[Date_all_Day]])</f>
        <v>30</v>
      </c>
      <c r="C122">
        <v>5</v>
      </c>
      <c r="D122" s="12" t="str">
        <f>TEXT(Table_Date_Dim[[#This Row],[Date_all_Day]],"dddd")</f>
        <v>Sunday</v>
      </c>
      <c r="E122" t="str">
        <f>CONCATENATE(YEAR(Table_Date_Dim[[#This Row],[Date_all_Day]]),RIGHT("0"&amp;MONTH(Table_Date_Dim[[#This Row],[Date_all_Day]]),2))</f>
        <v>201812</v>
      </c>
    </row>
    <row r="123" spans="1:8">
      <c r="A123" s="8">
        <v>43465</v>
      </c>
      <c r="B123">
        <f>DAY(Table_Date_Dim[[#This Row],[Date_all_Day]])</f>
        <v>31</v>
      </c>
      <c r="C123">
        <v>5</v>
      </c>
      <c r="D123" s="12" t="str">
        <f>TEXT(Table_Date_Dim[[#This Row],[Date_all_Day]],"dddd")</f>
        <v>Monday</v>
      </c>
      <c r="E123" t="str">
        <f>CONCATENATE(YEAR(Table_Date_Dim[[#This Row],[Date_all_Day]]),RIGHT("0"&amp;MONTH(Table_Date_Dim[[#This Row],[Date_all_Day]]),2))</f>
        <v>201812</v>
      </c>
      <c r="H123" s="11"/>
    </row>
    <row r="124" spans="1:8">
      <c r="A124" s="8">
        <v>43466</v>
      </c>
      <c r="B124">
        <f>DAY(Table_Date_Dim[[#This Row],[Date_all_Day]])</f>
        <v>1</v>
      </c>
      <c r="C124">
        <v>1</v>
      </c>
      <c r="D124" s="12" t="str">
        <f>TEXT(Table_Date_Dim[[#This Row],[Date_all_Day]],"dddd")</f>
        <v>Tuesday</v>
      </c>
      <c r="E124" t="str">
        <f>CONCATENATE(YEAR(Table_Date_Dim[[#This Row],[Date_all_Day]]),RIGHT("0"&amp;MONTH(Table_Date_Dim[[#This Row],[Date_all_Day]]),2))</f>
        <v>201901</v>
      </c>
    </row>
    <row r="125" spans="1:8">
      <c r="A125" s="8">
        <v>43467</v>
      </c>
      <c r="B125">
        <f>DAY(Table_Date_Dim[[#This Row],[Date_all_Day]])</f>
        <v>2</v>
      </c>
      <c r="C125">
        <v>1</v>
      </c>
      <c r="D125" s="12" t="str">
        <f>TEXT(Table_Date_Dim[[#This Row],[Date_all_Day]],"dddd")</f>
        <v>Wednesday</v>
      </c>
      <c r="E125" t="str">
        <f>CONCATENATE(YEAR(Table_Date_Dim[[#This Row],[Date_all_Day]]),RIGHT("0"&amp;MONTH(Table_Date_Dim[[#This Row],[Date_all_Day]]),2))</f>
        <v>201901</v>
      </c>
    </row>
    <row r="126" spans="1:8">
      <c r="A126" s="8">
        <v>43468</v>
      </c>
      <c r="B126">
        <f>DAY(Table_Date_Dim[[#This Row],[Date_all_Day]])</f>
        <v>3</v>
      </c>
      <c r="C126">
        <v>1</v>
      </c>
      <c r="D126" s="12" t="str">
        <f>TEXT(Table_Date_Dim[[#This Row],[Date_all_Day]],"dddd")</f>
        <v>Thursday</v>
      </c>
      <c r="E126" t="str">
        <f>CONCATENATE(YEAR(Table_Date_Dim[[#This Row],[Date_all_Day]]),RIGHT("0"&amp;MONTH(Table_Date_Dim[[#This Row],[Date_all_Day]]),2))</f>
        <v>201901</v>
      </c>
    </row>
    <row r="127" spans="1:8">
      <c r="A127" s="8">
        <v>43469</v>
      </c>
      <c r="B127">
        <f>DAY(Table_Date_Dim[[#This Row],[Date_all_Day]])</f>
        <v>4</v>
      </c>
      <c r="C127">
        <v>1</v>
      </c>
      <c r="D127" s="12" t="str">
        <f>TEXT(Table_Date_Dim[[#This Row],[Date_all_Day]],"dddd")</f>
        <v>Friday</v>
      </c>
      <c r="E127" t="str">
        <f>CONCATENATE(YEAR(Table_Date_Dim[[#This Row],[Date_all_Day]]),RIGHT("0"&amp;MONTH(Table_Date_Dim[[#This Row],[Date_all_Day]]),2))</f>
        <v>201901</v>
      </c>
    </row>
    <row r="128" spans="1:8">
      <c r="A128" s="8">
        <v>43470</v>
      </c>
      <c r="B128">
        <f>DAY(Table_Date_Dim[[#This Row],[Date_all_Day]])</f>
        <v>5</v>
      </c>
      <c r="C128">
        <v>1</v>
      </c>
      <c r="D128" s="12" t="str">
        <f>TEXT(Table_Date_Dim[[#This Row],[Date_all_Day]],"dddd")</f>
        <v>Saturday</v>
      </c>
      <c r="E128" t="str">
        <f>CONCATENATE(YEAR(Table_Date_Dim[[#This Row],[Date_all_Day]]),RIGHT("0"&amp;MONTH(Table_Date_Dim[[#This Row],[Date_all_Day]]),2))</f>
        <v>201901</v>
      </c>
    </row>
    <row r="129" spans="1:5">
      <c r="A129" s="8">
        <v>43471</v>
      </c>
      <c r="B129">
        <f>DAY(Table_Date_Dim[[#This Row],[Date_all_Day]])</f>
        <v>6</v>
      </c>
      <c r="C129">
        <v>1</v>
      </c>
      <c r="D129" s="12" t="str">
        <f>TEXT(Table_Date_Dim[[#This Row],[Date_all_Day]],"dddd")</f>
        <v>Sunday</v>
      </c>
      <c r="E129" t="str">
        <f>CONCATENATE(YEAR(Table_Date_Dim[[#This Row],[Date_all_Day]]),RIGHT("0"&amp;MONTH(Table_Date_Dim[[#This Row],[Date_all_Day]]),2))</f>
        <v>201901</v>
      </c>
    </row>
    <row r="130" spans="1:5">
      <c r="A130" s="8">
        <v>43472</v>
      </c>
      <c r="B130">
        <f>DAY(Table_Date_Dim[[#This Row],[Date_all_Day]])</f>
        <v>7</v>
      </c>
      <c r="C130">
        <v>2</v>
      </c>
      <c r="D130" s="12" t="str">
        <f>TEXT(Table_Date_Dim[[#This Row],[Date_all_Day]],"dddd")</f>
        <v>Monday</v>
      </c>
      <c r="E130" t="str">
        <f>CONCATENATE(YEAR(Table_Date_Dim[[#This Row],[Date_all_Day]]),RIGHT("0"&amp;MONTH(Table_Date_Dim[[#This Row],[Date_all_Day]]),2))</f>
        <v>201901</v>
      </c>
    </row>
    <row r="131" spans="1:5">
      <c r="A131" s="8">
        <v>43473</v>
      </c>
      <c r="B131">
        <f>DAY(Table_Date_Dim[[#This Row],[Date_all_Day]])</f>
        <v>8</v>
      </c>
      <c r="C131">
        <v>2</v>
      </c>
      <c r="D131" s="12" t="str">
        <f>TEXT(Table_Date_Dim[[#This Row],[Date_all_Day]],"dddd")</f>
        <v>Tuesday</v>
      </c>
      <c r="E131" t="str">
        <f>CONCATENATE(YEAR(Table_Date_Dim[[#This Row],[Date_all_Day]]),RIGHT("0"&amp;MONTH(Table_Date_Dim[[#This Row],[Date_all_Day]]),2))</f>
        <v>201901</v>
      </c>
    </row>
    <row r="132" spans="1:5">
      <c r="A132" s="8">
        <v>43474</v>
      </c>
      <c r="B132">
        <f>DAY(Table_Date_Dim[[#This Row],[Date_all_Day]])</f>
        <v>9</v>
      </c>
      <c r="C132">
        <v>2</v>
      </c>
      <c r="D132" s="12" t="str">
        <f>TEXT(Table_Date_Dim[[#This Row],[Date_all_Day]],"dddd")</f>
        <v>Wednesday</v>
      </c>
      <c r="E132" t="str">
        <f>CONCATENATE(YEAR(Table_Date_Dim[[#This Row],[Date_all_Day]]),RIGHT("0"&amp;MONTH(Table_Date_Dim[[#This Row],[Date_all_Day]]),2))</f>
        <v>201901</v>
      </c>
    </row>
    <row r="133" spans="1:5">
      <c r="A133" s="8">
        <v>43475</v>
      </c>
      <c r="B133">
        <f>DAY(Table_Date_Dim[[#This Row],[Date_all_Day]])</f>
        <v>10</v>
      </c>
      <c r="C133">
        <v>2</v>
      </c>
      <c r="D133" s="12" t="str">
        <f>TEXT(Table_Date_Dim[[#This Row],[Date_all_Day]],"dddd")</f>
        <v>Thursday</v>
      </c>
      <c r="E133" t="str">
        <f>CONCATENATE(YEAR(Table_Date_Dim[[#This Row],[Date_all_Day]]),RIGHT("0"&amp;MONTH(Table_Date_Dim[[#This Row],[Date_all_Day]]),2))</f>
        <v>201901</v>
      </c>
    </row>
    <row r="134" spans="1:5">
      <c r="A134" s="8">
        <v>43476</v>
      </c>
      <c r="B134">
        <f>DAY(Table_Date_Dim[[#This Row],[Date_all_Day]])</f>
        <v>11</v>
      </c>
      <c r="C134">
        <v>2</v>
      </c>
      <c r="D134" s="12" t="str">
        <f>TEXT(Table_Date_Dim[[#This Row],[Date_all_Day]],"dddd")</f>
        <v>Friday</v>
      </c>
      <c r="E134" t="str">
        <f>CONCATENATE(YEAR(Table_Date_Dim[[#This Row],[Date_all_Day]]),RIGHT("0"&amp;MONTH(Table_Date_Dim[[#This Row],[Date_all_Day]]),2))</f>
        <v>201901</v>
      </c>
    </row>
    <row r="135" spans="1:5">
      <c r="A135" s="8">
        <v>43477</v>
      </c>
      <c r="B135">
        <f>DAY(Table_Date_Dim[[#This Row],[Date_all_Day]])</f>
        <v>12</v>
      </c>
      <c r="C135">
        <v>2</v>
      </c>
      <c r="D135" s="12" t="str">
        <f>TEXT(Table_Date_Dim[[#This Row],[Date_all_Day]],"dddd")</f>
        <v>Saturday</v>
      </c>
      <c r="E135" t="str">
        <f>CONCATENATE(YEAR(Table_Date_Dim[[#This Row],[Date_all_Day]]),RIGHT("0"&amp;MONTH(Table_Date_Dim[[#This Row],[Date_all_Day]]),2))</f>
        <v>201901</v>
      </c>
    </row>
    <row r="136" spans="1:5">
      <c r="A136" s="8">
        <v>43478</v>
      </c>
      <c r="B136">
        <f>DAY(Table_Date_Dim[[#This Row],[Date_all_Day]])</f>
        <v>13</v>
      </c>
      <c r="C136">
        <v>2</v>
      </c>
      <c r="D136" s="12" t="str">
        <f>TEXT(Table_Date_Dim[[#This Row],[Date_all_Day]],"dddd")</f>
        <v>Sunday</v>
      </c>
      <c r="E136" t="str">
        <f>CONCATENATE(YEAR(Table_Date_Dim[[#This Row],[Date_all_Day]]),RIGHT("0"&amp;MONTH(Table_Date_Dim[[#This Row],[Date_all_Day]]),2))</f>
        <v>201901</v>
      </c>
    </row>
    <row r="137" spans="1:5">
      <c r="A137" s="8">
        <v>43479</v>
      </c>
      <c r="B137">
        <f>DAY(Table_Date_Dim[[#This Row],[Date_all_Day]])</f>
        <v>14</v>
      </c>
      <c r="C137">
        <v>3</v>
      </c>
      <c r="D137" s="12" t="str">
        <f>TEXT(Table_Date_Dim[[#This Row],[Date_all_Day]],"dddd")</f>
        <v>Monday</v>
      </c>
      <c r="E137" t="str">
        <f>CONCATENATE(YEAR(Table_Date_Dim[[#This Row],[Date_all_Day]]),RIGHT("0"&amp;MONTH(Table_Date_Dim[[#This Row],[Date_all_Day]]),2))</f>
        <v>201901</v>
      </c>
    </row>
    <row r="138" spans="1:5">
      <c r="A138" s="8">
        <v>43480</v>
      </c>
      <c r="B138">
        <f>DAY(Table_Date_Dim[[#This Row],[Date_all_Day]])</f>
        <v>15</v>
      </c>
      <c r="C138">
        <v>3</v>
      </c>
      <c r="D138" s="12" t="str">
        <f>TEXT(Table_Date_Dim[[#This Row],[Date_all_Day]],"dddd")</f>
        <v>Tuesday</v>
      </c>
      <c r="E138" t="str">
        <f>CONCATENATE(YEAR(Table_Date_Dim[[#This Row],[Date_all_Day]]),RIGHT("0"&amp;MONTH(Table_Date_Dim[[#This Row],[Date_all_Day]]),2))</f>
        <v>201901</v>
      </c>
    </row>
    <row r="139" spans="1:5">
      <c r="A139" s="8">
        <v>43481</v>
      </c>
      <c r="B139">
        <f>DAY(Table_Date_Dim[[#This Row],[Date_all_Day]])</f>
        <v>16</v>
      </c>
      <c r="C139">
        <v>3</v>
      </c>
      <c r="D139" s="12" t="str">
        <f>TEXT(Table_Date_Dim[[#This Row],[Date_all_Day]],"dddd")</f>
        <v>Wednesday</v>
      </c>
      <c r="E139" t="str">
        <f>CONCATENATE(YEAR(Table_Date_Dim[[#This Row],[Date_all_Day]]),RIGHT("0"&amp;MONTH(Table_Date_Dim[[#This Row],[Date_all_Day]]),2))</f>
        <v>201901</v>
      </c>
    </row>
    <row r="140" spans="1:5">
      <c r="A140" s="8">
        <v>43482</v>
      </c>
      <c r="B140">
        <f>DAY(Table_Date_Dim[[#This Row],[Date_all_Day]])</f>
        <v>17</v>
      </c>
      <c r="C140">
        <v>3</v>
      </c>
      <c r="D140" s="12" t="str">
        <f>TEXT(Table_Date_Dim[[#This Row],[Date_all_Day]],"dddd")</f>
        <v>Thursday</v>
      </c>
      <c r="E140" t="str">
        <f>CONCATENATE(YEAR(Table_Date_Dim[[#This Row],[Date_all_Day]]),RIGHT("0"&amp;MONTH(Table_Date_Dim[[#This Row],[Date_all_Day]]),2))</f>
        <v>201901</v>
      </c>
    </row>
    <row r="141" spans="1:5">
      <c r="A141" s="8">
        <v>43483</v>
      </c>
      <c r="B141">
        <f>DAY(Table_Date_Dim[[#This Row],[Date_all_Day]])</f>
        <v>18</v>
      </c>
      <c r="C141">
        <v>3</v>
      </c>
      <c r="D141" s="12" t="str">
        <f>TEXT(Table_Date_Dim[[#This Row],[Date_all_Day]],"dddd")</f>
        <v>Friday</v>
      </c>
      <c r="E141" t="str">
        <f>CONCATENATE(YEAR(Table_Date_Dim[[#This Row],[Date_all_Day]]),RIGHT("0"&amp;MONTH(Table_Date_Dim[[#This Row],[Date_all_Day]]),2))</f>
        <v>201901</v>
      </c>
    </row>
    <row r="142" spans="1:5">
      <c r="A142" s="8">
        <v>43484</v>
      </c>
      <c r="B142">
        <f>DAY(Table_Date_Dim[[#This Row],[Date_all_Day]])</f>
        <v>19</v>
      </c>
      <c r="C142">
        <v>3</v>
      </c>
      <c r="D142" s="12" t="str">
        <f>TEXT(Table_Date_Dim[[#This Row],[Date_all_Day]],"dddd")</f>
        <v>Saturday</v>
      </c>
      <c r="E142" t="str">
        <f>CONCATENATE(YEAR(Table_Date_Dim[[#This Row],[Date_all_Day]]),RIGHT("0"&amp;MONTH(Table_Date_Dim[[#This Row],[Date_all_Day]]),2))</f>
        <v>201901</v>
      </c>
    </row>
    <row r="143" spans="1:5">
      <c r="A143" s="8">
        <v>43485</v>
      </c>
      <c r="B143">
        <f>DAY(Table_Date_Dim[[#This Row],[Date_all_Day]])</f>
        <v>20</v>
      </c>
      <c r="C143">
        <v>3</v>
      </c>
      <c r="D143" s="12" t="str">
        <f>TEXT(Table_Date_Dim[[#This Row],[Date_all_Day]],"dddd")</f>
        <v>Sunday</v>
      </c>
      <c r="E143" t="str">
        <f>CONCATENATE(YEAR(Table_Date_Dim[[#This Row],[Date_all_Day]]),RIGHT("0"&amp;MONTH(Table_Date_Dim[[#This Row],[Date_all_Day]]),2))</f>
        <v>201901</v>
      </c>
    </row>
    <row r="144" spans="1:5">
      <c r="A144" s="8">
        <v>43486</v>
      </c>
      <c r="B144">
        <f>DAY(Table_Date_Dim[[#This Row],[Date_all_Day]])</f>
        <v>21</v>
      </c>
      <c r="C144">
        <v>4</v>
      </c>
      <c r="D144" s="12" t="str">
        <f>TEXT(Table_Date_Dim[[#This Row],[Date_all_Day]],"dddd")</f>
        <v>Monday</v>
      </c>
      <c r="E144" t="str">
        <f>CONCATENATE(YEAR(Table_Date_Dim[[#This Row],[Date_all_Day]]),RIGHT("0"&amp;MONTH(Table_Date_Dim[[#This Row],[Date_all_Day]]),2))</f>
        <v>201901</v>
      </c>
    </row>
    <row r="145" spans="1:5">
      <c r="A145" s="8">
        <v>43487</v>
      </c>
      <c r="B145">
        <f>DAY(Table_Date_Dim[[#This Row],[Date_all_Day]])</f>
        <v>22</v>
      </c>
      <c r="C145">
        <v>4</v>
      </c>
      <c r="D145" s="12" t="str">
        <f>TEXT(Table_Date_Dim[[#This Row],[Date_all_Day]],"dddd")</f>
        <v>Tuesday</v>
      </c>
      <c r="E145" t="str">
        <f>CONCATENATE(YEAR(Table_Date_Dim[[#This Row],[Date_all_Day]]),RIGHT("0"&amp;MONTH(Table_Date_Dim[[#This Row],[Date_all_Day]]),2))</f>
        <v>201901</v>
      </c>
    </row>
    <row r="146" spans="1:5">
      <c r="A146" s="8">
        <v>43488</v>
      </c>
      <c r="B146">
        <f>DAY(Table_Date_Dim[[#This Row],[Date_all_Day]])</f>
        <v>23</v>
      </c>
      <c r="C146">
        <v>4</v>
      </c>
      <c r="D146" s="12" t="str">
        <f>TEXT(Table_Date_Dim[[#This Row],[Date_all_Day]],"dddd")</f>
        <v>Wednesday</v>
      </c>
      <c r="E146" t="str">
        <f>CONCATENATE(YEAR(Table_Date_Dim[[#This Row],[Date_all_Day]]),RIGHT("0"&amp;MONTH(Table_Date_Dim[[#This Row],[Date_all_Day]]),2))</f>
        <v>201901</v>
      </c>
    </row>
    <row r="147" spans="1:5">
      <c r="A147" s="8">
        <v>43489</v>
      </c>
      <c r="B147">
        <f>DAY(Table_Date_Dim[[#This Row],[Date_all_Day]])</f>
        <v>24</v>
      </c>
      <c r="C147">
        <v>4</v>
      </c>
      <c r="D147" s="12" t="str">
        <f>TEXT(Table_Date_Dim[[#This Row],[Date_all_Day]],"dddd")</f>
        <v>Thursday</v>
      </c>
      <c r="E147" t="str">
        <f>CONCATENATE(YEAR(Table_Date_Dim[[#This Row],[Date_all_Day]]),RIGHT("0"&amp;MONTH(Table_Date_Dim[[#This Row],[Date_all_Day]]),2))</f>
        <v>201901</v>
      </c>
    </row>
    <row r="148" spans="1:5">
      <c r="A148" s="8">
        <v>43490</v>
      </c>
      <c r="B148">
        <f>DAY(Table_Date_Dim[[#This Row],[Date_all_Day]])</f>
        <v>25</v>
      </c>
      <c r="C148">
        <v>4</v>
      </c>
      <c r="D148" s="12" t="str">
        <f>TEXT(Table_Date_Dim[[#This Row],[Date_all_Day]],"dddd")</f>
        <v>Friday</v>
      </c>
      <c r="E148" t="str">
        <f>CONCATENATE(YEAR(Table_Date_Dim[[#This Row],[Date_all_Day]]),RIGHT("0"&amp;MONTH(Table_Date_Dim[[#This Row],[Date_all_Day]]),2))</f>
        <v>201901</v>
      </c>
    </row>
    <row r="149" spans="1:5">
      <c r="A149" s="8">
        <v>43491</v>
      </c>
      <c r="B149">
        <f>DAY(Table_Date_Dim[[#This Row],[Date_all_Day]])</f>
        <v>26</v>
      </c>
      <c r="C149">
        <v>4</v>
      </c>
      <c r="D149" s="12" t="str">
        <f>TEXT(Table_Date_Dim[[#This Row],[Date_all_Day]],"dddd")</f>
        <v>Saturday</v>
      </c>
      <c r="E149" t="str">
        <f>CONCATENATE(YEAR(Table_Date_Dim[[#This Row],[Date_all_Day]]),RIGHT("0"&amp;MONTH(Table_Date_Dim[[#This Row],[Date_all_Day]]),2))</f>
        <v>201901</v>
      </c>
    </row>
    <row r="150" spans="1:5">
      <c r="A150" s="8">
        <v>43492</v>
      </c>
      <c r="B150">
        <f>DAY(Table_Date_Dim[[#This Row],[Date_all_Day]])</f>
        <v>27</v>
      </c>
      <c r="C150">
        <v>4</v>
      </c>
      <c r="D150" s="12" t="str">
        <f>TEXT(Table_Date_Dim[[#This Row],[Date_all_Day]],"dddd")</f>
        <v>Sunday</v>
      </c>
      <c r="E150" t="str">
        <f>CONCATENATE(YEAR(Table_Date_Dim[[#This Row],[Date_all_Day]]),RIGHT("0"&amp;MONTH(Table_Date_Dim[[#This Row],[Date_all_Day]]),2))</f>
        <v>201901</v>
      </c>
    </row>
    <row r="151" spans="1:5">
      <c r="A151" s="8">
        <v>43493</v>
      </c>
      <c r="B151">
        <f>DAY(Table_Date_Dim[[#This Row],[Date_all_Day]])</f>
        <v>28</v>
      </c>
      <c r="C151">
        <v>5</v>
      </c>
      <c r="D151" s="12" t="str">
        <f>TEXT(Table_Date_Dim[[#This Row],[Date_all_Day]],"dddd")</f>
        <v>Monday</v>
      </c>
      <c r="E151" t="str">
        <f>CONCATENATE(YEAR(Table_Date_Dim[[#This Row],[Date_all_Day]]),RIGHT("0"&amp;MONTH(Table_Date_Dim[[#This Row],[Date_all_Day]]),2))</f>
        <v>201901</v>
      </c>
    </row>
    <row r="152" spans="1:5">
      <c r="A152" s="8">
        <v>43494</v>
      </c>
      <c r="B152">
        <f>DAY(Table_Date_Dim[[#This Row],[Date_all_Day]])</f>
        <v>29</v>
      </c>
      <c r="C152">
        <v>5</v>
      </c>
      <c r="D152" s="12" t="str">
        <f>TEXT(Table_Date_Dim[[#This Row],[Date_all_Day]],"dddd")</f>
        <v>Tuesday</v>
      </c>
      <c r="E152" t="str">
        <f>CONCATENATE(YEAR(Table_Date_Dim[[#This Row],[Date_all_Day]]),RIGHT("0"&amp;MONTH(Table_Date_Dim[[#This Row],[Date_all_Day]]),2))</f>
        <v>201901</v>
      </c>
    </row>
    <row r="153" spans="1:5">
      <c r="A153" s="8">
        <v>43495</v>
      </c>
      <c r="B153">
        <f>DAY(Table_Date_Dim[[#This Row],[Date_all_Day]])</f>
        <v>30</v>
      </c>
      <c r="C153">
        <v>5</v>
      </c>
      <c r="D153" s="12" t="str">
        <f>TEXT(Table_Date_Dim[[#This Row],[Date_all_Day]],"dddd")</f>
        <v>Wednesday</v>
      </c>
      <c r="E153" t="str">
        <f>CONCATENATE(YEAR(Table_Date_Dim[[#This Row],[Date_all_Day]]),RIGHT("0"&amp;MONTH(Table_Date_Dim[[#This Row],[Date_all_Day]]),2))</f>
        <v>201901</v>
      </c>
    </row>
    <row r="154" spans="1:5">
      <c r="A154" s="8">
        <v>43496</v>
      </c>
      <c r="B154">
        <f>DAY(Table_Date_Dim[[#This Row],[Date_all_Day]])</f>
        <v>31</v>
      </c>
      <c r="C154">
        <v>5</v>
      </c>
      <c r="D154" s="12" t="str">
        <f>TEXT(Table_Date_Dim[[#This Row],[Date_all_Day]],"dddd")</f>
        <v>Thursday</v>
      </c>
      <c r="E154" t="str">
        <f>CONCATENATE(YEAR(Table_Date_Dim[[#This Row],[Date_all_Day]]),RIGHT("0"&amp;MONTH(Table_Date_Dim[[#This Row],[Date_all_Day]]),2))</f>
        <v>201901</v>
      </c>
    </row>
    <row r="155" spans="1:5">
      <c r="A155" s="8">
        <v>43497</v>
      </c>
      <c r="B155">
        <f>DAY(Table_Date_Dim[[#This Row],[Date_all_Day]])</f>
        <v>1</v>
      </c>
      <c r="C155">
        <v>1</v>
      </c>
      <c r="D155" s="12" t="str">
        <f>TEXT(Table_Date_Dim[[#This Row],[Date_all_Day]],"dddd")</f>
        <v>Friday</v>
      </c>
      <c r="E155" t="str">
        <f>CONCATENATE(YEAR(Table_Date_Dim[[#This Row],[Date_all_Day]]),RIGHT("0"&amp;MONTH(Table_Date_Dim[[#This Row],[Date_all_Day]]),2))</f>
        <v>201902</v>
      </c>
    </row>
    <row r="156" spans="1:5">
      <c r="A156" s="8">
        <v>43498</v>
      </c>
      <c r="B156">
        <f>DAY(Table_Date_Dim[[#This Row],[Date_all_Day]])</f>
        <v>2</v>
      </c>
      <c r="C156">
        <v>1</v>
      </c>
      <c r="D156" s="12" t="str">
        <f>TEXT(Table_Date_Dim[[#This Row],[Date_all_Day]],"dddd")</f>
        <v>Saturday</v>
      </c>
      <c r="E156" t="str">
        <f>CONCATENATE(YEAR(Table_Date_Dim[[#This Row],[Date_all_Day]]),RIGHT("0"&amp;MONTH(Table_Date_Dim[[#This Row],[Date_all_Day]]),2))</f>
        <v>201902</v>
      </c>
    </row>
    <row r="157" spans="1:5">
      <c r="A157" s="8">
        <v>43499</v>
      </c>
      <c r="B157">
        <f>DAY(Table_Date_Dim[[#This Row],[Date_all_Day]])</f>
        <v>3</v>
      </c>
      <c r="C157">
        <v>1</v>
      </c>
      <c r="D157" s="12" t="str">
        <f>TEXT(Table_Date_Dim[[#This Row],[Date_all_Day]],"dddd")</f>
        <v>Sunday</v>
      </c>
      <c r="E157" t="str">
        <f>CONCATENATE(YEAR(Table_Date_Dim[[#This Row],[Date_all_Day]]),RIGHT("0"&amp;MONTH(Table_Date_Dim[[#This Row],[Date_all_Day]]),2))</f>
        <v>201902</v>
      </c>
    </row>
    <row r="158" spans="1:5">
      <c r="A158" s="8">
        <v>43500</v>
      </c>
      <c r="B158">
        <f>DAY(Table_Date_Dim[[#This Row],[Date_all_Day]])</f>
        <v>4</v>
      </c>
      <c r="C158">
        <v>2</v>
      </c>
      <c r="D158" s="12" t="str">
        <f>TEXT(Table_Date_Dim[[#This Row],[Date_all_Day]],"dddd")</f>
        <v>Monday</v>
      </c>
      <c r="E158" t="str">
        <f>CONCATENATE(YEAR(Table_Date_Dim[[#This Row],[Date_all_Day]]),RIGHT("0"&amp;MONTH(Table_Date_Dim[[#This Row],[Date_all_Day]]),2))</f>
        <v>201902</v>
      </c>
    </row>
    <row r="159" spans="1:5">
      <c r="A159" s="8">
        <v>43501</v>
      </c>
      <c r="B159">
        <f>DAY(Table_Date_Dim[[#This Row],[Date_all_Day]])</f>
        <v>5</v>
      </c>
      <c r="C159">
        <v>2</v>
      </c>
      <c r="D159" s="12" t="str">
        <f>TEXT(Table_Date_Dim[[#This Row],[Date_all_Day]],"dddd")</f>
        <v>Tuesday</v>
      </c>
      <c r="E159" t="str">
        <f>CONCATENATE(YEAR(Table_Date_Dim[[#This Row],[Date_all_Day]]),RIGHT("0"&amp;MONTH(Table_Date_Dim[[#This Row],[Date_all_Day]]),2))</f>
        <v>201902</v>
      </c>
    </row>
    <row r="160" spans="1:5">
      <c r="A160" s="8">
        <v>43502</v>
      </c>
      <c r="B160">
        <f>DAY(Table_Date_Dim[[#This Row],[Date_all_Day]])</f>
        <v>6</v>
      </c>
      <c r="C160">
        <v>2</v>
      </c>
      <c r="D160" s="12" t="str">
        <f>TEXT(Table_Date_Dim[[#This Row],[Date_all_Day]],"dddd")</f>
        <v>Wednesday</v>
      </c>
      <c r="E160" t="str">
        <f>CONCATENATE(YEAR(Table_Date_Dim[[#This Row],[Date_all_Day]]),RIGHT("0"&amp;MONTH(Table_Date_Dim[[#This Row],[Date_all_Day]]),2))</f>
        <v>201902</v>
      </c>
    </row>
    <row r="161" spans="1:5">
      <c r="A161" s="8">
        <v>43503</v>
      </c>
      <c r="B161">
        <f>DAY(Table_Date_Dim[[#This Row],[Date_all_Day]])</f>
        <v>7</v>
      </c>
      <c r="C161">
        <v>2</v>
      </c>
      <c r="D161" s="12" t="str">
        <f>TEXT(Table_Date_Dim[[#This Row],[Date_all_Day]],"dddd")</f>
        <v>Thursday</v>
      </c>
      <c r="E161" t="str">
        <f>CONCATENATE(YEAR(Table_Date_Dim[[#This Row],[Date_all_Day]]),RIGHT("0"&amp;MONTH(Table_Date_Dim[[#This Row],[Date_all_Day]]),2))</f>
        <v>201902</v>
      </c>
    </row>
    <row r="162" spans="1:5">
      <c r="A162" s="8">
        <v>43504</v>
      </c>
      <c r="B162">
        <f>DAY(Table_Date_Dim[[#This Row],[Date_all_Day]])</f>
        <v>8</v>
      </c>
      <c r="C162">
        <v>2</v>
      </c>
      <c r="D162" s="12" t="str">
        <f>TEXT(Table_Date_Dim[[#This Row],[Date_all_Day]],"dddd")</f>
        <v>Friday</v>
      </c>
      <c r="E162" t="str">
        <f>CONCATENATE(YEAR(Table_Date_Dim[[#This Row],[Date_all_Day]]),RIGHT("0"&amp;MONTH(Table_Date_Dim[[#This Row],[Date_all_Day]]),2))</f>
        <v>201902</v>
      </c>
    </row>
    <row r="163" spans="1:5">
      <c r="A163" s="8">
        <v>43505</v>
      </c>
      <c r="B163">
        <f>DAY(Table_Date_Dim[[#This Row],[Date_all_Day]])</f>
        <v>9</v>
      </c>
      <c r="C163">
        <v>2</v>
      </c>
      <c r="D163" s="12" t="str">
        <f>TEXT(Table_Date_Dim[[#This Row],[Date_all_Day]],"dddd")</f>
        <v>Saturday</v>
      </c>
      <c r="E163" t="str">
        <f>CONCATENATE(YEAR(Table_Date_Dim[[#This Row],[Date_all_Day]]),RIGHT("0"&amp;MONTH(Table_Date_Dim[[#This Row],[Date_all_Day]]),2))</f>
        <v>201902</v>
      </c>
    </row>
    <row r="164" spans="1:5">
      <c r="A164" s="8">
        <v>43506</v>
      </c>
      <c r="B164">
        <f>DAY(Table_Date_Dim[[#This Row],[Date_all_Day]])</f>
        <v>10</v>
      </c>
      <c r="C164">
        <v>2</v>
      </c>
      <c r="D164" s="12" t="str">
        <f>TEXT(Table_Date_Dim[[#This Row],[Date_all_Day]],"dddd")</f>
        <v>Sunday</v>
      </c>
      <c r="E164" t="str">
        <f>CONCATENATE(YEAR(Table_Date_Dim[[#This Row],[Date_all_Day]]),RIGHT("0"&amp;MONTH(Table_Date_Dim[[#This Row],[Date_all_Day]]),2))</f>
        <v>201902</v>
      </c>
    </row>
    <row r="165" spans="1:5">
      <c r="A165" s="8">
        <v>43507</v>
      </c>
      <c r="B165">
        <f>DAY(Table_Date_Dim[[#This Row],[Date_all_Day]])</f>
        <v>11</v>
      </c>
      <c r="C165">
        <v>3</v>
      </c>
      <c r="D165" s="12" t="str">
        <f>TEXT(Table_Date_Dim[[#This Row],[Date_all_Day]],"dddd")</f>
        <v>Monday</v>
      </c>
      <c r="E165" t="str">
        <f>CONCATENATE(YEAR(Table_Date_Dim[[#This Row],[Date_all_Day]]),RIGHT("0"&amp;MONTH(Table_Date_Dim[[#This Row],[Date_all_Day]]),2))</f>
        <v>201902</v>
      </c>
    </row>
    <row r="166" spans="1:5">
      <c r="A166" s="8">
        <v>43508</v>
      </c>
      <c r="B166">
        <f>DAY(Table_Date_Dim[[#This Row],[Date_all_Day]])</f>
        <v>12</v>
      </c>
      <c r="C166">
        <v>3</v>
      </c>
      <c r="D166" s="12" t="str">
        <f>TEXT(Table_Date_Dim[[#This Row],[Date_all_Day]],"dddd")</f>
        <v>Tuesday</v>
      </c>
      <c r="E166" t="str">
        <f>CONCATENATE(YEAR(Table_Date_Dim[[#This Row],[Date_all_Day]]),RIGHT("0"&amp;MONTH(Table_Date_Dim[[#This Row],[Date_all_Day]]),2))</f>
        <v>201902</v>
      </c>
    </row>
    <row r="167" spans="1:5">
      <c r="A167" s="8">
        <v>43509</v>
      </c>
      <c r="B167">
        <f>DAY(Table_Date_Dim[[#This Row],[Date_all_Day]])</f>
        <v>13</v>
      </c>
      <c r="C167">
        <v>3</v>
      </c>
      <c r="D167" s="12" t="str">
        <f>TEXT(Table_Date_Dim[[#This Row],[Date_all_Day]],"dddd")</f>
        <v>Wednesday</v>
      </c>
      <c r="E167" t="str">
        <f>CONCATENATE(YEAR(Table_Date_Dim[[#This Row],[Date_all_Day]]),RIGHT("0"&amp;MONTH(Table_Date_Dim[[#This Row],[Date_all_Day]]),2))</f>
        <v>201902</v>
      </c>
    </row>
    <row r="168" spans="1:5">
      <c r="A168" s="8">
        <v>43510</v>
      </c>
      <c r="B168">
        <f>DAY(Table_Date_Dim[[#This Row],[Date_all_Day]])</f>
        <v>14</v>
      </c>
      <c r="C168">
        <v>3</v>
      </c>
      <c r="D168" s="12" t="str">
        <f>TEXT(Table_Date_Dim[[#This Row],[Date_all_Day]],"dddd")</f>
        <v>Thursday</v>
      </c>
      <c r="E168" t="str">
        <f>CONCATENATE(YEAR(Table_Date_Dim[[#This Row],[Date_all_Day]]),RIGHT("0"&amp;MONTH(Table_Date_Dim[[#This Row],[Date_all_Day]]),2))</f>
        <v>201902</v>
      </c>
    </row>
    <row r="169" spans="1:5">
      <c r="A169" s="8">
        <v>43511</v>
      </c>
      <c r="B169">
        <f>DAY(Table_Date_Dim[[#This Row],[Date_all_Day]])</f>
        <v>15</v>
      </c>
      <c r="C169">
        <v>3</v>
      </c>
      <c r="D169" s="12" t="str">
        <f>TEXT(Table_Date_Dim[[#This Row],[Date_all_Day]],"dddd")</f>
        <v>Friday</v>
      </c>
      <c r="E169" t="str">
        <f>CONCATENATE(YEAR(Table_Date_Dim[[#This Row],[Date_all_Day]]),RIGHT("0"&amp;MONTH(Table_Date_Dim[[#This Row],[Date_all_Day]]),2))</f>
        <v>201902</v>
      </c>
    </row>
    <row r="170" spans="1:5">
      <c r="A170" s="8">
        <v>43512</v>
      </c>
      <c r="B170">
        <f>DAY(Table_Date_Dim[[#This Row],[Date_all_Day]])</f>
        <v>16</v>
      </c>
      <c r="C170">
        <v>3</v>
      </c>
      <c r="D170" s="12" t="str">
        <f>TEXT(Table_Date_Dim[[#This Row],[Date_all_Day]],"dddd")</f>
        <v>Saturday</v>
      </c>
      <c r="E170" t="str">
        <f>CONCATENATE(YEAR(Table_Date_Dim[[#This Row],[Date_all_Day]]),RIGHT("0"&amp;MONTH(Table_Date_Dim[[#This Row],[Date_all_Day]]),2))</f>
        <v>201902</v>
      </c>
    </row>
    <row r="171" spans="1:5">
      <c r="A171" s="8">
        <v>43513</v>
      </c>
      <c r="B171">
        <f>DAY(Table_Date_Dim[[#This Row],[Date_all_Day]])</f>
        <v>17</v>
      </c>
      <c r="C171">
        <v>3</v>
      </c>
      <c r="D171" s="12" t="str">
        <f>TEXT(Table_Date_Dim[[#This Row],[Date_all_Day]],"dddd")</f>
        <v>Sunday</v>
      </c>
      <c r="E171" t="str">
        <f>CONCATENATE(YEAR(Table_Date_Dim[[#This Row],[Date_all_Day]]),RIGHT("0"&amp;MONTH(Table_Date_Dim[[#This Row],[Date_all_Day]]),2))</f>
        <v>201902</v>
      </c>
    </row>
    <row r="172" spans="1:5">
      <c r="A172" s="8">
        <v>43514</v>
      </c>
      <c r="B172">
        <f>DAY(Table_Date_Dim[[#This Row],[Date_all_Day]])</f>
        <v>18</v>
      </c>
      <c r="C172">
        <v>4</v>
      </c>
      <c r="D172" s="12" t="str">
        <f>TEXT(Table_Date_Dim[[#This Row],[Date_all_Day]],"dddd")</f>
        <v>Monday</v>
      </c>
      <c r="E172" t="str">
        <f>CONCATENATE(YEAR(Table_Date_Dim[[#This Row],[Date_all_Day]]),RIGHT("0"&amp;MONTH(Table_Date_Dim[[#This Row],[Date_all_Day]]),2))</f>
        <v>201902</v>
      </c>
    </row>
    <row r="173" spans="1:5">
      <c r="A173" s="8">
        <v>43515</v>
      </c>
      <c r="B173">
        <f>DAY(Table_Date_Dim[[#This Row],[Date_all_Day]])</f>
        <v>19</v>
      </c>
      <c r="C173">
        <v>4</v>
      </c>
      <c r="D173" s="12" t="str">
        <f>TEXT(Table_Date_Dim[[#This Row],[Date_all_Day]],"dddd")</f>
        <v>Tuesday</v>
      </c>
      <c r="E173" t="str">
        <f>CONCATENATE(YEAR(Table_Date_Dim[[#This Row],[Date_all_Day]]),RIGHT("0"&amp;MONTH(Table_Date_Dim[[#This Row],[Date_all_Day]]),2))</f>
        <v>201902</v>
      </c>
    </row>
    <row r="174" spans="1:5">
      <c r="A174" s="8">
        <v>43516</v>
      </c>
      <c r="B174">
        <f>DAY(Table_Date_Dim[[#This Row],[Date_all_Day]])</f>
        <v>20</v>
      </c>
      <c r="C174">
        <v>4</v>
      </c>
      <c r="D174" s="12" t="str">
        <f>TEXT(Table_Date_Dim[[#This Row],[Date_all_Day]],"dddd")</f>
        <v>Wednesday</v>
      </c>
      <c r="E174" t="str">
        <f>CONCATENATE(YEAR(Table_Date_Dim[[#This Row],[Date_all_Day]]),RIGHT("0"&amp;MONTH(Table_Date_Dim[[#This Row],[Date_all_Day]]),2))</f>
        <v>201902</v>
      </c>
    </row>
    <row r="175" spans="1:5">
      <c r="A175" s="8">
        <v>43517</v>
      </c>
      <c r="B175">
        <f>DAY(Table_Date_Dim[[#This Row],[Date_all_Day]])</f>
        <v>21</v>
      </c>
      <c r="C175">
        <v>4</v>
      </c>
      <c r="D175" s="12" t="str">
        <f>TEXT(Table_Date_Dim[[#This Row],[Date_all_Day]],"dddd")</f>
        <v>Thursday</v>
      </c>
      <c r="E175" t="str">
        <f>CONCATENATE(YEAR(Table_Date_Dim[[#This Row],[Date_all_Day]]),RIGHT("0"&amp;MONTH(Table_Date_Dim[[#This Row],[Date_all_Day]]),2))</f>
        <v>201902</v>
      </c>
    </row>
    <row r="176" spans="1:5">
      <c r="A176" s="8">
        <v>43518</v>
      </c>
      <c r="B176">
        <f>DAY(Table_Date_Dim[[#This Row],[Date_all_Day]])</f>
        <v>22</v>
      </c>
      <c r="C176">
        <v>4</v>
      </c>
      <c r="D176" s="12" t="str">
        <f>TEXT(Table_Date_Dim[[#This Row],[Date_all_Day]],"dddd")</f>
        <v>Friday</v>
      </c>
      <c r="E176" t="str">
        <f>CONCATENATE(YEAR(Table_Date_Dim[[#This Row],[Date_all_Day]]),RIGHT("0"&amp;MONTH(Table_Date_Dim[[#This Row],[Date_all_Day]]),2))</f>
        <v>201902</v>
      </c>
    </row>
    <row r="177" spans="1:5">
      <c r="A177" s="8">
        <v>43519</v>
      </c>
      <c r="B177">
        <f>DAY(Table_Date_Dim[[#This Row],[Date_all_Day]])</f>
        <v>23</v>
      </c>
      <c r="C177">
        <v>4</v>
      </c>
      <c r="D177" s="12" t="str">
        <f>TEXT(Table_Date_Dim[[#This Row],[Date_all_Day]],"dddd")</f>
        <v>Saturday</v>
      </c>
      <c r="E177" t="str">
        <f>CONCATENATE(YEAR(Table_Date_Dim[[#This Row],[Date_all_Day]]),RIGHT("0"&amp;MONTH(Table_Date_Dim[[#This Row],[Date_all_Day]]),2))</f>
        <v>201902</v>
      </c>
    </row>
    <row r="178" spans="1:5">
      <c r="A178" s="8">
        <v>43520</v>
      </c>
      <c r="B178">
        <f>DAY(Table_Date_Dim[[#This Row],[Date_all_Day]])</f>
        <v>24</v>
      </c>
      <c r="C178">
        <v>4</v>
      </c>
      <c r="D178" s="12" t="str">
        <f>TEXT(Table_Date_Dim[[#This Row],[Date_all_Day]],"dddd")</f>
        <v>Sunday</v>
      </c>
      <c r="E178" t="str">
        <f>CONCATENATE(YEAR(Table_Date_Dim[[#This Row],[Date_all_Day]]),RIGHT("0"&amp;MONTH(Table_Date_Dim[[#This Row],[Date_all_Day]]),2))</f>
        <v>201902</v>
      </c>
    </row>
    <row r="179" spans="1:5">
      <c r="A179" s="8">
        <v>43521</v>
      </c>
      <c r="B179">
        <f>DAY(Table_Date_Dim[[#This Row],[Date_all_Day]])</f>
        <v>25</v>
      </c>
      <c r="C179">
        <v>5</v>
      </c>
      <c r="D179" s="12" t="str">
        <f>TEXT(Table_Date_Dim[[#This Row],[Date_all_Day]],"dddd")</f>
        <v>Monday</v>
      </c>
      <c r="E179" t="str">
        <f>CONCATENATE(YEAR(Table_Date_Dim[[#This Row],[Date_all_Day]]),RIGHT("0"&amp;MONTH(Table_Date_Dim[[#This Row],[Date_all_Day]]),2))</f>
        <v>201902</v>
      </c>
    </row>
    <row r="180" spans="1:5">
      <c r="A180" s="8">
        <v>43522</v>
      </c>
      <c r="B180">
        <f>DAY(Table_Date_Dim[[#This Row],[Date_all_Day]])</f>
        <v>26</v>
      </c>
      <c r="C180">
        <v>5</v>
      </c>
      <c r="D180" s="12" t="str">
        <f>TEXT(Table_Date_Dim[[#This Row],[Date_all_Day]],"dddd")</f>
        <v>Tuesday</v>
      </c>
      <c r="E180" t="str">
        <f>CONCATENATE(YEAR(Table_Date_Dim[[#This Row],[Date_all_Day]]),RIGHT("0"&amp;MONTH(Table_Date_Dim[[#This Row],[Date_all_Day]]),2))</f>
        <v>201902</v>
      </c>
    </row>
    <row r="181" spans="1:5">
      <c r="A181" s="8">
        <v>43523</v>
      </c>
      <c r="B181">
        <f>DAY(Table_Date_Dim[[#This Row],[Date_all_Day]])</f>
        <v>27</v>
      </c>
      <c r="C181">
        <v>5</v>
      </c>
      <c r="D181" s="12" t="str">
        <f>TEXT(Table_Date_Dim[[#This Row],[Date_all_Day]],"dddd")</f>
        <v>Wednesday</v>
      </c>
      <c r="E181" t="str">
        <f>CONCATENATE(YEAR(Table_Date_Dim[[#This Row],[Date_all_Day]]),RIGHT("0"&amp;MONTH(Table_Date_Dim[[#This Row],[Date_all_Day]]),2))</f>
        <v>201902</v>
      </c>
    </row>
    <row r="182" spans="1:5">
      <c r="A182" s="8">
        <v>43524</v>
      </c>
      <c r="B182">
        <f>DAY(Table_Date_Dim[[#This Row],[Date_all_Day]])</f>
        <v>28</v>
      </c>
      <c r="C182">
        <v>5</v>
      </c>
      <c r="D182" s="12" t="str">
        <f>TEXT(Table_Date_Dim[[#This Row],[Date_all_Day]],"dddd")</f>
        <v>Thursday</v>
      </c>
      <c r="E182" t="str">
        <f>CONCATENATE(YEAR(Table_Date_Dim[[#This Row],[Date_all_Day]]),RIGHT("0"&amp;MONTH(Table_Date_Dim[[#This Row],[Date_all_Day]]),2))</f>
        <v>201902</v>
      </c>
    </row>
    <row r="183" spans="1:5">
      <c r="A183" s="8">
        <v>43525</v>
      </c>
      <c r="B183">
        <f>DAY(Table_Date_Dim[[#This Row],[Date_all_Day]])</f>
        <v>1</v>
      </c>
      <c r="C183">
        <v>1</v>
      </c>
      <c r="D183" s="12" t="str">
        <f>TEXT(Table_Date_Dim[[#This Row],[Date_all_Day]],"dddd")</f>
        <v>Friday</v>
      </c>
      <c r="E183" t="str">
        <f>CONCATENATE(YEAR(Table_Date_Dim[[#This Row],[Date_all_Day]]),RIGHT("0"&amp;MONTH(Table_Date_Dim[[#This Row],[Date_all_Day]]),2))</f>
        <v>201903</v>
      </c>
    </row>
    <row r="184" spans="1:5">
      <c r="A184" s="8">
        <v>43526</v>
      </c>
      <c r="B184">
        <f>DAY(Table_Date_Dim[[#This Row],[Date_all_Day]])</f>
        <v>2</v>
      </c>
      <c r="C184">
        <v>1</v>
      </c>
      <c r="D184" s="12" t="str">
        <f>TEXT(Table_Date_Dim[[#This Row],[Date_all_Day]],"dddd")</f>
        <v>Saturday</v>
      </c>
      <c r="E184" t="str">
        <f>CONCATENATE(YEAR(Table_Date_Dim[[#This Row],[Date_all_Day]]),RIGHT("0"&amp;MONTH(Table_Date_Dim[[#This Row],[Date_all_Day]]),2))</f>
        <v>201903</v>
      </c>
    </row>
    <row r="185" spans="1:5">
      <c r="A185" s="8">
        <v>43527</v>
      </c>
      <c r="B185">
        <f>DAY(Table_Date_Dim[[#This Row],[Date_all_Day]])</f>
        <v>3</v>
      </c>
      <c r="C185">
        <v>1</v>
      </c>
      <c r="D185" s="12" t="str">
        <f>TEXT(Table_Date_Dim[[#This Row],[Date_all_Day]],"dddd")</f>
        <v>Sunday</v>
      </c>
      <c r="E185" t="str">
        <f>CONCATENATE(YEAR(Table_Date_Dim[[#This Row],[Date_all_Day]]),RIGHT("0"&amp;MONTH(Table_Date_Dim[[#This Row],[Date_all_Day]]),2))</f>
        <v>201903</v>
      </c>
    </row>
    <row r="186" spans="1:5">
      <c r="A186" s="8">
        <v>43528</v>
      </c>
      <c r="B186">
        <f>DAY(Table_Date_Dim[[#This Row],[Date_all_Day]])</f>
        <v>4</v>
      </c>
      <c r="C186">
        <v>2</v>
      </c>
      <c r="D186" s="12" t="str">
        <f>TEXT(Table_Date_Dim[[#This Row],[Date_all_Day]],"dddd")</f>
        <v>Monday</v>
      </c>
      <c r="E186" t="str">
        <f>CONCATENATE(YEAR(Table_Date_Dim[[#This Row],[Date_all_Day]]),RIGHT("0"&amp;MONTH(Table_Date_Dim[[#This Row],[Date_all_Day]]),2))</f>
        <v>201903</v>
      </c>
    </row>
    <row r="187" spans="1:5">
      <c r="A187" s="8">
        <v>43529</v>
      </c>
      <c r="B187">
        <f>DAY(Table_Date_Dim[[#This Row],[Date_all_Day]])</f>
        <v>5</v>
      </c>
      <c r="C187">
        <v>2</v>
      </c>
      <c r="D187" s="12" t="str">
        <f>TEXT(Table_Date_Dim[[#This Row],[Date_all_Day]],"dddd")</f>
        <v>Tuesday</v>
      </c>
      <c r="E187" t="str">
        <f>CONCATENATE(YEAR(Table_Date_Dim[[#This Row],[Date_all_Day]]),RIGHT("0"&amp;MONTH(Table_Date_Dim[[#This Row],[Date_all_Day]]),2))</f>
        <v>201903</v>
      </c>
    </row>
    <row r="188" spans="1:5">
      <c r="A188" s="8">
        <v>43530</v>
      </c>
      <c r="B188">
        <f>DAY(Table_Date_Dim[[#This Row],[Date_all_Day]])</f>
        <v>6</v>
      </c>
      <c r="C188">
        <v>2</v>
      </c>
      <c r="D188" s="12" t="str">
        <f>TEXT(Table_Date_Dim[[#This Row],[Date_all_Day]],"dddd")</f>
        <v>Wednesday</v>
      </c>
      <c r="E188" t="str">
        <f>CONCATENATE(YEAR(Table_Date_Dim[[#This Row],[Date_all_Day]]),RIGHT("0"&amp;MONTH(Table_Date_Dim[[#This Row],[Date_all_Day]]),2))</f>
        <v>201903</v>
      </c>
    </row>
    <row r="189" spans="1:5">
      <c r="A189" s="8">
        <v>43531</v>
      </c>
      <c r="B189">
        <f>DAY(Table_Date_Dim[[#This Row],[Date_all_Day]])</f>
        <v>7</v>
      </c>
      <c r="C189">
        <v>2</v>
      </c>
      <c r="D189" s="12" t="str">
        <f>TEXT(Table_Date_Dim[[#This Row],[Date_all_Day]],"dddd")</f>
        <v>Thursday</v>
      </c>
      <c r="E189" t="str">
        <f>CONCATENATE(YEAR(Table_Date_Dim[[#This Row],[Date_all_Day]]),RIGHT("0"&amp;MONTH(Table_Date_Dim[[#This Row],[Date_all_Day]]),2))</f>
        <v>201903</v>
      </c>
    </row>
    <row r="190" spans="1:5">
      <c r="A190" s="8">
        <v>43532</v>
      </c>
      <c r="B190">
        <f>DAY(Table_Date_Dim[[#This Row],[Date_all_Day]])</f>
        <v>8</v>
      </c>
      <c r="C190">
        <v>2</v>
      </c>
      <c r="D190" s="12" t="str">
        <f>TEXT(Table_Date_Dim[[#This Row],[Date_all_Day]],"dddd")</f>
        <v>Friday</v>
      </c>
      <c r="E190" t="str">
        <f>CONCATENATE(YEAR(Table_Date_Dim[[#This Row],[Date_all_Day]]),RIGHT("0"&amp;MONTH(Table_Date_Dim[[#This Row],[Date_all_Day]]),2))</f>
        <v>201903</v>
      </c>
    </row>
    <row r="191" spans="1:5">
      <c r="A191" s="8">
        <v>43533</v>
      </c>
      <c r="B191">
        <f>DAY(Table_Date_Dim[[#This Row],[Date_all_Day]])</f>
        <v>9</v>
      </c>
      <c r="C191">
        <v>2</v>
      </c>
      <c r="D191" s="12" t="str">
        <f>TEXT(Table_Date_Dim[[#This Row],[Date_all_Day]],"dddd")</f>
        <v>Saturday</v>
      </c>
      <c r="E191" t="str">
        <f>CONCATENATE(YEAR(Table_Date_Dim[[#This Row],[Date_all_Day]]),RIGHT("0"&amp;MONTH(Table_Date_Dim[[#This Row],[Date_all_Day]]),2))</f>
        <v>201903</v>
      </c>
    </row>
    <row r="192" spans="1:5">
      <c r="A192" s="8">
        <v>43534</v>
      </c>
      <c r="B192">
        <f>DAY(Table_Date_Dim[[#This Row],[Date_all_Day]])</f>
        <v>10</v>
      </c>
      <c r="C192">
        <v>2</v>
      </c>
      <c r="D192" s="12" t="str">
        <f>TEXT(Table_Date_Dim[[#This Row],[Date_all_Day]],"dddd")</f>
        <v>Sunday</v>
      </c>
      <c r="E192" t="str">
        <f>CONCATENATE(YEAR(Table_Date_Dim[[#This Row],[Date_all_Day]]),RIGHT("0"&amp;MONTH(Table_Date_Dim[[#This Row],[Date_all_Day]]),2))</f>
        <v>201903</v>
      </c>
    </row>
    <row r="193" spans="1:5">
      <c r="A193" s="8">
        <v>43535</v>
      </c>
      <c r="B193">
        <f>DAY(Table_Date_Dim[[#This Row],[Date_all_Day]])</f>
        <v>11</v>
      </c>
      <c r="C193">
        <v>3</v>
      </c>
      <c r="D193" s="12" t="str">
        <f>TEXT(Table_Date_Dim[[#This Row],[Date_all_Day]],"dddd")</f>
        <v>Monday</v>
      </c>
      <c r="E193" t="str">
        <f>CONCATENATE(YEAR(Table_Date_Dim[[#This Row],[Date_all_Day]]),RIGHT("0"&amp;MONTH(Table_Date_Dim[[#This Row],[Date_all_Day]]),2))</f>
        <v>201903</v>
      </c>
    </row>
    <row r="194" spans="1:5">
      <c r="A194" s="8">
        <v>43536</v>
      </c>
      <c r="B194">
        <f>DAY(Table_Date_Dim[[#This Row],[Date_all_Day]])</f>
        <v>12</v>
      </c>
      <c r="C194">
        <v>3</v>
      </c>
      <c r="D194" s="12" t="str">
        <f>TEXT(Table_Date_Dim[[#This Row],[Date_all_Day]],"dddd")</f>
        <v>Tuesday</v>
      </c>
      <c r="E194" t="str">
        <f>CONCATENATE(YEAR(Table_Date_Dim[[#This Row],[Date_all_Day]]),RIGHT("0"&amp;MONTH(Table_Date_Dim[[#This Row],[Date_all_Day]]),2))</f>
        <v>201903</v>
      </c>
    </row>
    <row r="195" spans="1:5">
      <c r="A195" s="8">
        <v>43537</v>
      </c>
      <c r="B195">
        <f>DAY(Table_Date_Dim[[#This Row],[Date_all_Day]])</f>
        <v>13</v>
      </c>
      <c r="C195">
        <v>3</v>
      </c>
      <c r="D195" s="12" t="str">
        <f>TEXT(Table_Date_Dim[[#This Row],[Date_all_Day]],"dddd")</f>
        <v>Wednesday</v>
      </c>
      <c r="E195" t="str">
        <f>CONCATENATE(YEAR(Table_Date_Dim[[#This Row],[Date_all_Day]]),RIGHT("0"&amp;MONTH(Table_Date_Dim[[#This Row],[Date_all_Day]]),2))</f>
        <v>201903</v>
      </c>
    </row>
    <row r="196" spans="1:5">
      <c r="A196" s="8">
        <v>43538</v>
      </c>
      <c r="B196">
        <f>DAY(Table_Date_Dim[[#This Row],[Date_all_Day]])</f>
        <v>14</v>
      </c>
      <c r="C196">
        <v>3</v>
      </c>
      <c r="D196" s="12" t="str">
        <f>TEXT(Table_Date_Dim[[#This Row],[Date_all_Day]],"dddd")</f>
        <v>Thursday</v>
      </c>
      <c r="E196" t="str">
        <f>CONCATENATE(YEAR(Table_Date_Dim[[#This Row],[Date_all_Day]]),RIGHT("0"&amp;MONTH(Table_Date_Dim[[#This Row],[Date_all_Day]]),2))</f>
        <v>201903</v>
      </c>
    </row>
    <row r="197" spans="1:5">
      <c r="A197" s="8">
        <v>43539</v>
      </c>
      <c r="B197">
        <f>DAY(Table_Date_Dim[[#This Row],[Date_all_Day]])</f>
        <v>15</v>
      </c>
      <c r="C197">
        <v>3</v>
      </c>
      <c r="D197" s="12" t="str">
        <f>TEXT(Table_Date_Dim[[#This Row],[Date_all_Day]],"dddd")</f>
        <v>Friday</v>
      </c>
      <c r="E197" t="str">
        <f>CONCATENATE(YEAR(Table_Date_Dim[[#This Row],[Date_all_Day]]),RIGHT("0"&amp;MONTH(Table_Date_Dim[[#This Row],[Date_all_Day]]),2))</f>
        <v>201903</v>
      </c>
    </row>
    <row r="198" spans="1:5">
      <c r="A198" s="8">
        <v>43540</v>
      </c>
      <c r="B198">
        <f>DAY(Table_Date_Dim[[#This Row],[Date_all_Day]])</f>
        <v>16</v>
      </c>
      <c r="C198">
        <v>3</v>
      </c>
      <c r="D198" s="12" t="str">
        <f>TEXT(Table_Date_Dim[[#This Row],[Date_all_Day]],"dddd")</f>
        <v>Saturday</v>
      </c>
      <c r="E198" t="str">
        <f>CONCATENATE(YEAR(Table_Date_Dim[[#This Row],[Date_all_Day]]),RIGHT("0"&amp;MONTH(Table_Date_Dim[[#This Row],[Date_all_Day]]),2))</f>
        <v>201903</v>
      </c>
    </row>
    <row r="199" spans="1:5">
      <c r="A199" s="8">
        <v>43541</v>
      </c>
      <c r="B199">
        <f>DAY(Table_Date_Dim[[#This Row],[Date_all_Day]])</f>
        <v>17</v>
      </c>
      <c r="C199">
        <v>3</v>
      </c>
      <c r="D199" s="12" t="str">
        <f>TEXT(Table_Date_Dim[[#This Row],[Date_all_Day]],"dddd")</f>
        <v>Sunday</v>
      </c>
      <c r="E199" t="str">
        <f>CONCATENATE(YEAR(Table_Date_Dim[[#This Row],[Date_all_Day]]),RIGHT("0"&amp;MONTH(Table_Date_Dim[[#This Row],[Date_all_Day]]),2))</f>
        <v>201903</v>
      </c>
    </row>
    <row r="200" spans="1:5">
      <c r="A200" s="8">
        <v>43542</v>
      </c>
      <c r="B200">
        <f>DAY(Table_Date_Dim[[#This Row],[Date_all_Day]])</f>
        <v>18</v>
      </c>
      <c r="C200">
        <v>4</v>
      </c>
      <c r="D200" s="12" t="str">
        <f>TEXT(Table_Date_Dim[[#This Row],[Date_all_Day]],"dddd")</f>
        <v>Monday</v>
      </c>
      <c r="E200" t="str">
        <f>CONCATENATE(YEAR(Table_Date_Dim[[#This Row],[Date_all_Day]]),RIGHT("0"&amp;MONTH(Table_Date_Dim[[#This Row],[Date_all_Day]]),2))</f>
        <v>201903</v>
      </c>
    </row>
    <row r="201" spans="1:5">
      <c r="A201" s="8">
        <v>43543</v>
      </c>
      <c r="B201">
        <f>DAY(Table_Date_Dim[[#This Row],[Date_all_Day]])</f>
        <v>19</v>
      </c>
      <c r="C201">
        <v>4</v>
      </c>
      <c r="D201" s="12" t="str">
        <f>TEXT(Table_Date_Dim[[#This Row],[Date_all_Day]],"dddd")</f>
        <v>Tuesday</v>
      </c>
      <c r="E201" t="str">
        <f>CONCATENATE(YEAR(Table_Date_Dim[[#This Row],[Date_all_Day]]),RIGHT("0"&amp;MONTH(Table_Date_Dim[[#This Row],[Date_all_Day]]),2))</f>
        <v>201903</v>
      </c>
    </row>
    <row r="202" spans="1:5">
      <c r="A202" s="8">
        <v>43544</v>
      </c>
      <c r="B202">
        <f>DAY(Table_Date_Dim[[#This Row],[Date_all_Day]])</f>
        <v>20</v>
      </c>
      <c r="C202">
        <v>4</v>
      </c>
      <c r="D202" s="12" t="str">
        <f>TEXT(Table_Date_Dim[[#This Row],[Date_all_Day]],"dddd")</f>
        <v>Wednesday</v>
      </c>
      <c r="E202" t="str">
        <f>CONCATENATE(YEAR(Table_Date_Dim[[#This Row],[Date_all_Day]]),RIGHT("0"&amp;MONTH(Table_Date_Dim[[#This Row],[Date_all_Day]]),2))</f>
        <v>201903</v>
      </c>
    </row>
    <row r="203" spans="1:5">
      <c r="A203" s="8">
        <v>43545</v>
      </c>
      <c r="B203">
        <f>DAY(Table_Date_Dim[[#This Row],[Date_all_Day]])</f>
        <v>21</v>
      </c>
      <c r="C203">
        <v>4</v>
      </c>
      <c r="D203" s="12" t="str">
        <f>TEXT(Table_Date_Dim[[#This Row],[Date_all_Day]],"dddd")</f>
        <v>Thursday</v>
      </c>
      <c r="E203" t="str">
        <f>CONCATENATE(YEAR(Table_Date_Dim[[#This Row],[Date_all_Day]]),RIGHT("0"&amp;MONTH(Table_Date_Dim[[#This Row],[Date_all_Day]]),2))</f>
        <v>201903</v>
      </c>
    </row>
    <row r="204" spans="1:5">
      <c r="A204" s="8">
        <v>43546</v>
      </c>
      <c r="B204">
        <f>DAY(Table_Date_Dim[[#This Row],[Date_all_Day]])</f>
        <v>22</v>
      </c>
      <c r="C204">
        <v>4</v>
      </c>
      <c r="D204" s="12" t="str">
        <f>TEXT(Table_Date_Dim[[#This Row],[Date_all_Day]],"dddd")</f>
        <v>Friday</v>
      </c>
      <c r="E204" t="str">
        <f>CONCATENATE(YEAR(Table_Date_Dim[[#This Row],[Date_all_Day]]),RIGHT("0"&amp;MONTH(Table_Date_Dim[[#This Row],[Date_all_Day]]),2))</f>
        <v>201903</v>
      </c>
    </row>
    <row r="205" spans="1:5">
      <c r="A205" s="8">
        <v>43547</v>
      </c>
      <c r="B205">
        <f>DAY(Table_Date_Dim[[#This Row],[Date_all_Day]])</f>
        <v>23</v>
      </c>
      <c r="C205">
        <v>4</v>
      </c>
      <c r="D205" s="12" t="str">
        <f>TEXT(Table_Date_Dim[[#This Row],[Date_all_Day]],"dddd")</f>
        <v>Saturday</v>
      </c>
      <c r="E205" t="str">
        <f>CONCATENATE(YEAR(Table_Date_Dim[[#This Row],[Date_all_Day]]),RIGHT("0"&amp;MONTH(Table_Date_Dim[[#This Row],[Date_all_Day]]),2))</f>
        <v>201903</v>
      </c>
    </row>
    <row r="206" spans="1:5">
      <c r="A206" s="8">
        <v>43548</v>
      </c>
      <c r="B206">
        <f>DAY(Table_Date_Dim[[#This Row],[Date_all_Day]])</f>
        <v>24</v>
      </c>
      <c r="C206">
        <v>4</v>
      </c>
      <c r="D206" s="12" t="str">
        <f>TEXT(Table_Date_Dim[[#This Row],[Date_all_Day]],"dddd")</f>
        <v>Sunday</v>
      </c>
      <c r="E206" t="str">
        <f>CONCATENATE(YEAR(Table_Date_Dim[[#This Row],[Date_all_Day]]),RIGHT("0"&amp;MONTH(Table_Date_Dim[[#This Row],[Date_all_Day]]),2))</f>
        <v>201903</v>
      </c>
    </row>
    <row r="207" spans="1:5">
      <c r="A207" s="8">
        <v>43549</v>
      </c>
      <c r="B207">
        <f>DAY(Table_Date_Dim[[#This Row],[Date_all_Day]])</f>
        <v>25</v>
      </c>
      <c r="C207">
        <v>5</v>
      </c>
      <c r="D207" s="12" t="str">
        <f>TEXT(Table_Date_Dim[[#This Row],[Date_all_Day]],"dddd")</f>
        <v>Monday</v>
      </c>
      <c r="E207" t="str">
        <f>CONCATENATE(YEAR(Table_Date_Dim[[#This Row],[Date_all_Day]]),RIGHT("0"&amp;MONTH(Table_Date_Dim[[#This Row],[Date_all_Day]]),2))</f>
        <v>201903</v>
      </c>
    </row>
    <row r="208" spans="1:5">
      <c r="A208" s="8">
        <v>43550</v>
      </c>
      <c r="B208">
        <f>DAY(Table_Date_Dim[[#This Row],[Date_all_Day]])</f>
        <v>26</v>
      </c>
      <c r="C208">
        <v>5</v>
      </c>
      <c r="D208" s="12" t="str">
        <f>TEXT(Table_Date_Dim[[#This Row],[Date_all_Day]],"dddd")</f>
        <v>Tuesday</v>
      </c>
      <c r="E208" t="str">
        <f>CONCATENATE(YEAR(Table_Date_Dim[[#This Row],[Date_all_Day]]),RIGHT("0"&amp;MONTH(Table_Date_Dim[[#This Row],[Date_all_Day]]),2))</f>
        <v>201903</v>
      </c>
    </row>
    <row r="209" spans="1:5">
      <c r="A209" s="8">
        <v>43551</v>
      </c>
      <c r="B209">
        <f>DAY(Table_Date_Dim[[#This Row],[Date_all_Day]])</f>
        <v>27</v>
      </c>
      <c r="C209">
        <v>5</v>
      </c>
      <c r="D209" s="12" t="str">
        <f>TEXT(Table_Date_Dim[[#This Row],[Date_all_Day]],"dddd")</f>
        <v>Wednesday</v>
      </c>
      <c r="E209" t="str">
        <f>CONCATENATE(YEAR(Table_Date_Dim[[#This Row],[Date_all_Day]]),RIGHT("0"&amp;MONTH(Table_Date_Dim[[#This Row],[Date_all_Day]]),2))</f>
        <v>201903</v>
      </c>
    </row>
    <row r="210" spans="1:5">
      <c r="A210" s="8">
        <v>43552</v>
      </c>
      <c r="B210">
        <f>DAY(Table_Date_Dim[[#This Row],[Date_all_Day]])</f>
        <v>28</v>
      </c>
      <c r="C210">
        <v>5</v>
      </c>
      <c r="D210" s="12" t="str">
        <f>TEXT(Table_Date_Dim[[#This Row],[Date_all_Day]],"dddd")</f>
        <v>Thursday</v>
      </c>
      <c r="E210" t="str">
        <f>CONCATENATE(YEAR(Table_Date_Dim[[#This Row],[Date_all_Day]]),RIGHT("0"&amp;MONTH(Table_Date_Dim[[#This Row],[Date_all_Day]]),2))</f>
        <v>201903</v>
      </c>
    </row>
    <row r="211" spans="1:5">
      <c r="A211" s="8">
        <v>43553</v>
      </c>
      <c r="B211">
        <f>DAY(Table_Date_Dim[[#This Row],[Date_all_Day]])</f>
        <v>29</v>
      </c>
      <c r="C211">
        <v>5</v>
      </c>
      <c r="D211" s="12" t="str">
        <f>TEXT(Table_Date_Dim[[#This Row],[Date_all_Day]],"dddd")</f>
        <v>Friday</v>
      </c>
      <c r="E211" t="str">
        <f>CONCATENATE(YEAR(Table_Date_Dim[[#This Row],[Date_all_Day]]),RIGHT("0"&amp;MONTH(Table_Date_Dim[[#This Row],[Date_all_Day]]),2))</f>
        <v>201903</v>
      </c>
    </row>
    <row r="212" spans="1:5">
      <c r="A212" s="8">
        <v>43554</v>
      </c>
      <c r="B212">
        <f>DAY(Table_Date_Dim[[#This Row],[Date_all_Day]])</f>
        <v>30</v>
      </c>
      <c r="C212">
        <v>5</v>
      </c>
      <c r="D212" s="12" t="str">
        <f>TEXT(Table_Date_Dim[[#This Row],[Date_all_Day]],"dddd")</f>
        <v>Saturday</v>
      </c>
      <c r="E212" t="str">
        <f>CONCATENATE(YEAR(Table_Date_Dim[[#This Row],[Date_all_Day]]),RIGHT("0"&amp;MONTH(Table_Date_Dim[[#This Row],[Date_all_Day]]),2))</f>
        <v>201903</v>
      </c>
    </row>
    <row r="213" spans="1:5">
      <c r="A213" s="8">
        <v>43555</v>
      </c>
      <c r="B213">
        <f>DAY(Table_Date_Dim[[#This Row],[Date_all_Day]])</f>
        <v>31</v>
      </c>
      <c r="C213">
        <v>5</v>
      </c>
      <c r="D213" s="12" t="str">
        <f>TEXT(Table_Date_Dim[[#This Row],[Date_all_Day]],"dddd")</f>
        <v>Sunday</v>
      </c>
      <c r="E213" t="str">
        <f>CONCATENATE(YEAR(Table_Date_Dim[[#This Row],[Date_all_Day]]),RIGHT("0"&amp;MONTH(Table_Date_Dim[[#This Row],[Date_all_Day]]),2))</f>
        <v>201903</v>
      </c>
    </row>
    <row r="214" spans="1:5">
      <c r="A214" s="8">
        <v>43556</v>
      </c>
      <c r="B214">
        <f>DAY(Table_Date_Dim[[#This Row],[Date_all_Day]])</f>
        <v>1</v>
      </c>
      <c r="C214">
        <v>1</v>
      </c>
      <c r="D214" s="12" t="str">
        <f>TEXT(Table_Date_Dim[[#This Row],[Date_all_Day]],"dddd")</f>
        <v>Monday</v>
      </c>
      <c r="E214" t="str">
        <f>CONCATENATE(YEAR(Table_Date_Dim[[#This Row],[Date_all_Day]]),RIGHT("0"&amp;MONTH(Table_Date_Dim[[#This Row],[Date_all_Day]]),2))</f>
        <v>201904</v>
      </c>
    </row>
    <row r="215" spans="1:5">
      <c r="A215" s="8">
        <v>43557</v>
      </c>
      <c r="B215">
        <f>DAY(Table_Date_Dim[[#This Row],[Date_all_Day]])</f>
        <v>2</v>
      </c>
      <c r="C215">
        <v>1</v>
      </c>
      <c r="D215" s="12" t="str">
        <f>TEXT(Table_Date_Dim[[#This Row],[Date_all_Day]],"dddd")</f>
        <v>Tuesday</v>
      </c>
      <c r="E215" t="str">
        <f>CONCATENATE(YEAR(Table_Date_Dim[[#This Row],[Date_all_Day]]),RIGHT("0"&amp;MONTH(Table_Date_Dim[[#This Row],[Date_all_Day]]),2))</f>
        <v>201904</v>
      </c>
    </row>
    <row r="216" spans="1:5">
      <c r="A216" s="8">
        <v>43558</v>
      </c>
      <c r="B216">
        <f>DAY(Table_Date_Dim[[#This Row],[Date_all_Day]])</f>
        <v>3</v>
      </c>
      <c r="C216">
        <v>1</v>
      </c>
      <c r="D216" s="12" t="str">
        <f>TEXT(Table_Date_Dim[[#This Row],[Date_all_Day]],"dddd")</f>
        <v>Wednesday</v>
      </c>
      <c r="E216" t="str">
        <f>CONCATENATE(YEAR(Table_Date_Dim[[#This Row],[Date_all_Day]]),RIGHT("0"&amp;MONTH(Table_Date_Dim[[#This Row],[Date_all_Day]]),2))</f>
        <v>201904</v>
      </c>
    </row>
    <row r="217" spans="1:5">
      <c r="A217" s="8">
        <v>43559</v>
      </c>
      <c r="B217">
        <f>DAY(Table_Date_Dim[[#This Row],[Date_all_Day]])</f>
        <v>4</v>
      </c>
      <c r="C217">
        <v>1</v>
      </c>
      <c r="D217" s="12" t="str">
        <f>TEXT(Table_Date_Dim[[#This Row],[Date_all_Day]],"dddd")</f>
        <v>Thursday</v>
      </c>
      <c r="E217" t="str">
        <f>CONCATENATE(YEAR(Table_Date_Dim[[#This Row],[Date_all_Day]]),RIGHT("0"&amp;MONTH(Table_Date_Dim[[#This Row],[Date_all_Day]]),2))</f>
        <v>201904</v>
      </c>
    </row>
    <row r="218" spans="1:5">
      <c r="A218" s="8">
        <v>43560</v>
      </c>
      <c r="B218">
        <f>DAY(Table_Date_Dim[[#This Row],[Date_all_Day]])</f>
        <v>5</v>
      </c>
      <c r="C218">
        <v>1</v>
      </c>
      <c r="D218" s="12" t="str">
        <f>TEXT(Table_Date_Dim[[#This Row],[Date_all_Day]],"dddd")</f>
        <v>Friday</v>
      </c>
      <c r="E218" t="str">
        <f>CONCATENATE(YEAR(Table_Date_Dim[[#This Row],[Date_all_Day]]),RIGHT("0"&amp;MONTH(Table_Date_Dim[[#This Row],[Date_all_Day]]),2))</f>
        <v>201904</v>
      </c>
    </row>
    <row r="219" spans="1:5">
      <c r="A219" s="8">
        <v>43561</v>
      </c>
      <c r="B219">
        <f>DAY(Table_Date_Dim[[#This Row],[Date_all_Day]])</f>
        <v>6</v>
      </c>
      <c r="C219">
        <v>1</v>
      </c>
      <c r="D219" s="12" t="str">
        <f>TEXT(Table_Date_Dim[[#This Row],[Date_all_Day]],"dddd")</f>
        <v>Saturday</v>
      </c>
      <c r="E219" t="str">
        <f>CONCATENATE(YEAR(Table_Date_Dim[[#This Row],[Date_all_Day]]),RIGHT("0"&amp;MONTH(Table_Date_Dim[[#This Row],[Date_all_Day]]),2))</f>
        <v>201904</v>
      </c>
    </row>
    <row r="220" spans="1:5">
      <c r="A220" s="8">
        <v>43562</v>
      </c>
      <c r="B220">
        <f>DAY(Table_Date_Dim[[#This Row],[Date_all_Day]])</f>
        <v>7</v>
      </c>
      <c r="C220">
        <v>1</v>
      </c>
      <c r="D220" s="12" t="str">
        <f>TEXT(Table_Date_Dim[[#This Row],[Date_all_Day]],"dddd")</f>
        <v>Sunday</v>
      </c>
      <c r="E220" t="str">
        <f>CONCATENATE(YEAR(Table_Date_Dim[[#This Row],[Date_all_Day]]),RIGHT("0"&amp;MONTH(Table_Date_Dim[[#This Row],[Date_all_Day]]),2))</f>
        <v>201904</v>
      </c>
    </row>
    <row r="221" spans="1:5">
      <c r="A221" s="8">
        <v>43563</v>
      </c>
      <c r="B221">
        <f>DAY(Table_Date_Dim[[#This Row],[Date_all_Day]])</f>
        <v>8</v>
      </c>
      <c r="C221">
        <v>2</v>
      </c>
      <c r="D221" s="12" t="str">
        <f>TEXT(Table_Date_Dim[[#This Row],[Date_all_Day]],"dddd")</f>
        <v>Monday</v>
      </c>
      <c r="E221" t="str">
        <f>CONCATENATE(YEAR(Table_Date_Dim[[#This Row],[Date_all_Day]]),RIGHT("0"&amp;MONTH(Table_Date_Dim[[#This Row],[Date_all_Day]]),2))</f>
        <v>201904</v>
      </c>
    </row>
    <row r="222" spans="1:5">
      <c r="A222" s="8">
        <v>43564</v>
      </c>
      <c r="B222">
        <f>DAY(Table_Date_Dim[[#This Row],[Date_all_Day]])</f>
        <v>9</v>
      </c>
      <c r="C222">
        <v>2</v>
      </c>
      <c r="D222" s="12" t="str">
        <f>TEXT(Table_Date_Dim[[#This Row],[Date_all_Day]],"dddd")</f>
        <v>Tuesday</v>
      </c>
      <c r="E222" t="str">
        <f>CONCATENATE(YEAR(Table_Date_Dim[[#This Row],[Date_all_Day]]),RIGHT("0"&amp;MONTH(Table_Date_Dim[[#This Row],[Date_all_Day]]),2))</f>
        <v>201904</v>
      </c>
    </row>
    <row r="223" spans="1:5">
      <c r="A223" s="8">
        <v>43565</v>
      </c>
      <c r="B223">
        <f>DAY(Table_Date_Dim[[#This Row],[Date_all_Day]])</f>
        <v>10</v>
      </c>
      <c r="C223">
        <v>2</v>
      </c>
      <c r="D223" s="12" t="str">
        <f>TEXT(Table_Date_Dim[[#This Row],[Date_all_Day]],"dddd")</f>
        <v>Wednesday</v>
      </c>
      <c r="E223" t="str">
        <f>CONCATENATE(YEAR(Table_Date_Dim[[#This Row],[Date_all_Day]]),RIGHT("0"&amp;MONTH(Table_Date_Dim[[#This Row],[Date_all_Day]]),2))</f>
        <v>201904</v>
      </c>
    </row>
    <row r="224" spans="1:5">
      <c r="A224" s="8">
        <v>43566</v>
      </c>
      <c r="B224">
        <f>DAY(Table_Date_Dim[[#This Row],[Date_all_Day]])</f>
        <v>11</v>
      </c>
      <c r="C224">
        <v>2</v>
      </c>
      <c r="D224" s="12" t="str">
        <f>TEXT(Table_Date_Dim[[#This Row],[Date_all_Day]],"dddd")</f>
        <v>Thursday</v>
      </c>
      <c r="E224" t="str">
        <f>CONCATENATE(YEAR(Table_Date_Dim[[#This Row],[Date_all_Day]]),RIGHT("0"&amp;MONTH(Table_Date_Dim[[#This Row],[Date_all_Day]]),2))</f>
        <v>201904</v>
      </c>
    </row>
    <row r="225" spans="1:5">
      <c r="A225" s="8">
        <v>43567</v>
      </c>
      <c r="B225">
        <f>DAY(Table_Date_Dim[[#This Row],[Date_all_Day]])</f>
        <v>12</v>
      </c>
      <c r="C225">
        <v>2</v>
      </c>
      <c r="D225" s="12" t="str">
        <f>TEXT(Table_Date_Dim[[#This Row],[Date_all_Day]],"dddd")</f>
        <v>Friday</v>
      </c>
      <c r="E225" t="str">
        <f>CONCATENATE(YEAR(Table_Date_Dim[[#This Row],[Date_all_Day]]),RIGHT("0"&amp;MONTH(Table_Date_Dim[[#This Row],[Date_all_Day]]),2))</f>
        <v>201904</v>
      </c>
    </row>
    <row r="226" spans="1:5">
      <c r="A226" s="8">
        <v>43568</v>
      </c>
      <c r="B226">
        <f>DAY(Table_Date_Dim[[#This Row],[Date_all_Day]])</f>
        <v>13</v>
      </c>
      <c r="C226">
        <v>2</v>
      </c>
      <c r="D226" s="12" t="str">
        <f>TEXT(Table_Date_Dim[[#This Row],[Date_all_Day]],"dddd")</f>
        <v>Saturday</v>
      </c>
      <c r="E226" t="str">
        <f>CONCATENATE(YEAR(Table_Date_Dim[[#This Row],[Date_all_Day]]),RIGHT("0"&amp;MONTH(Table_Date_Dim[[#This Row],[Date_all_Day]]),2))</f>
        <v>201904</v>
      </c>
    </row>
    <row r="227" spans="1:5">
      <c r="A227" s="8">
        <v>43569</v>
      </c>
      <c r="B227">
        <f>DAY(Table_Date_Dim[[#This Row],[Date_all_Day]])</f>
        <v>14</v>
      </c>
      <c r="C227">
        <v>2</v>
      </c>
      <c r="D227" s="12" t="str">
        <f>TEXT(Table_Date_Dim[[#This Row],[Date_all_Day]],"dddd")</f>
        <v>Sunday</v>
      </c>
      <c r="E227" t="str">
        <f>CONCATENATE(YEAR(Table_Date_Dim[[#This Row],[Date_all_Day]]),RIGHT("0"&amp;MONTH(Table_Date_Dim[[#This Row],[Date_all_Day]]),2))</f>
        <v>201904</v>
      </c>
    </row>
    <row r="228" spans="1:5">
      <c r="A228" s="8">
        <v>43570</v>
      </c>
      <c r="B228">
        <f>DAY(Table_Date_Dim[[#This Row],[Date_all_Day]])</f>
        <v>15</v>
      </c>
      <c r="C228">
        <v>3</v>
      </c>
      <c r="D228" s="12" t="str">
        <f>TEXT(Table_Date_Dim[[#This Row],[Date_all_Day]],"dddd")</f>
        <v>Monday</v>
      </c>
      <c r="E228" t="str">
        <f>CONCATENATE(YEAR(Table_Date_Dim[[#This Row],[Date_all_Day]]),RIGHT("0"&amp;MONTH(Table_Date_Dim[[#This Row],[Date_all_Day]]),2))</f>
        <v>201904</v>
      </c>
    </row>
    <row r="229" spans="1:5">
      <c r="A229" s="8">
        <v>43571</v>
      </c>
      <c r="B229">
        <f>DAY(Table_Date_Dim[[#This Row],[Date_all_Day]])</f>
        <v>16</v>
      </c>
      <c r="C229">
        <v>3</v>
      </c>
      <c r="D229" s="12" t="str">
        <f>TEXT(Table_Date_Dim[[#This Row],[Date_all_Day]],"dddd")</f>
        <v>Tuesday</v>
      </c>
      <c r="E229" t="str">
        <f>CONCATENATE(YEAR(Table_Date_Dim[[#This Row],[Date_all_Day]]),RIGHT("0"&amp;MONTH(Table_Date_Dim[[#This Row],[Date_all_Day]]),2))</f>
        <v>201904</v>
      </c>
    </row>
    <row r="230" spans="1:5">
      <c r="A230" s="8">
        <v>43572</v>
      </c>
      <c r="B230">
        <f>DAY(Table_Date_Dim[[#This Row],[Date_all_Day]])</f>
        <v>17</v>
      </c>
      <c r="C230">
        <v>3</v>
      </c>
      <c r="D230" s="12" t="str">
        <f>TEXT(Table_Date_Dim[[#This Row],[Date_all_Day]],"dddd")</f>
        <v>Wednesday</v>
      </c>
      <c r="E230" t="str">
        <f>CONCATENATE(YEAR(Table_Date_Dim[[#This Row],[Date_all_Day]]),RIGHT("0"&amp;MONTH(Table_Date_Dim[[#This Row],[Date_all_Day]]),2))</f>
        <v>201904</v>
      </c>
    </row>
    <row r="231" spans="1:5">
      <c r="A231" s="8">
        <v>43573</v>
      </c>
      <c r="B231">
        <f>DAY(Table_Date_Dim[[#This Row],[Date_all_Day]])</f>
        <v>18</v>
      </c>
      <c r="C231">
        <v>3</v>
      </c>
      <c r="D231" s="12" t="str">
        <f>TEXT(Table_Date_Dim[[#This Row],[Date_all_Day]],"dddd")</f>
        <v>Thursday</v>
      </c>
      <c r="E231" t="str">
        <f>CONCATENATE(YEAR(Table_Date_Dim[[#This Row],[Date_all_Day]]),RIGHT("0"&amp;MONTH(Table_Date_Dim[[#This Row],[Date_all_Day]]),2))</f>
        <v>201904</v>
      </c>
    </row>
    <row r="232" spans="1:5">
      <c r="A232" s="8">
        <v>43574</v>
      </c>
      <c r="B232">
        <f>DAY(Table_Date_Dim[[#This Row],[Date_all_Day]])</f>
        <v>19</v>
      </c>
      <c r="C232">
        <v>3</v>
      </c>
      <c r="D232" s="12" t="str">
        <f>TEXT(Table_Date_Dim[[#This Row],[Date_all_Day]],"dddd")</f>
        <v>Friday</v>
      </c>
      <c r="E232" t="str">
        <f>CONCATENATE(YEAR(Table_Date_Dim[[#This Row],[Date_all_Day]]),RIGHT("0"&amp;MONTH(Table_Date_Dim[[#This Row],[Date_all_Day]]),2))</f>
        <v>201904</v>
      </c>
    </row>
    <row r="233" spans="1:5">
      <c r="A233" s="8">
        <v>43575</v>
      </c>
      <c r="B233">
        <f>DAY(Table_Date_Dim[[#This Row],[Date_all_Day]])</f>
        <v>20</v>
      </c>
      <c r="C233">
        <v>3</v>
      </c>
      <c r="D233" s="12" t="str">
        <f>TEXT(Table_Date_Dim[[#This Row],[Date_all_Day]],"dddd")</f>
        <v>Saturday</v>
      </c>
      <c r="E233" t="str">
        <f>CONCATENATE(YEAR(Table_Date_Dim[[#This Row],[Date_all_Day]]),RIGHT("0"&amp;MONTH(Table_Date_Dim[[#This Row],[Date_all_Day]]),2))</f>
        <v>201904</v>
      </c>
    </row>
    <row r="234" spans="1:5">
      <c r="A234" s="8">
        <v>43576</v>
      </c>
      <c r="B234">
        <f>DAY(Table_Date_Dim[[#This Row],[Date_all_Day]])</f>
        <v>21</v>
      </c>
      <c r="C234">
        <v>3</v>
      </c>
      <c r="D234" s="12" t="str">
        <f>TEXT(Table_Date_Dim[[#This Row],[Date_all_Day]],"dddd")</f>
        <v>Sunday</v>
      </c>
      <c r="E234" t="str">
        <f>CONCATENATE(YEAR(Table_Date_Dim[[#This Row],[Date_all_Day]]),RIGHT("0"&amp;MONTH(Table_Date_Dim[[#This Row],[Date_all_Day]]),2))</f>
        <v>201904</v>
      </c>
    </row>
    <row r="235" spans="1:5">
      <c r="A235" s="8">
        <v>43577</v>
      </c>
      <c r="B235">
        <f>DAY(Table_Date_Dim[[#This Row],[Date_all_Day]])</f>
        <v>22</v>
      </c>
      <c r="C235">
        <v>4</v>
      </c>
      <c r="D235" s="12" t="str">
        <f>TEXT(Table_Date_Dim[[#This Row],[Date_all_Day]],"dddd")</f>
        <v>Monday</v>
      </c>
      <c r="E235" t="str">
        <f>CONCATENATE(YEAR(Table_Date_Dim[[#This Row],[Date_all_Day]]),RIGHT("0"&amp;MONTH(Table_Date_Dim[[#This Row],[Date_all_Day]]),2))</f>
        <v>201904</v>
      </c>
    </row>
    <row r="236" spans="1:5">
      <c r="A236" s="8">
        <v>43578</v>
      </c>
      <c r="B236">
        <f>DAY(Table_Date_Dim[[#This Row],[Date_all_Day]])</f>
        <v>23</v>
      </c>
      <c r="C236">
        <v>4</v>
      </c>
      <c r="D236" s="12" t="str">
        <f>TEXT(Table_Date_Dim[[#This Row],[Date_all_Day]],"dddd")</f>
        <v>Tuesday</v>
      </c>
      <c r="E236" t="str">
        <f>CONCATENATE(YEAR(Table_Date_Dim[[#This Row],[Date_all_Day]]),RIGHT("0"&amp;MONTH(Table_Date_Dim[[#This Row],[Date_all_Day]]),2))</f>
        <v>201904</v>
      </c>
    </row>
    <row r="237" spans="1:5">
      <c r="A237" s="8">
        <v>43579</v>
      </c>
      <c r="B237">
        <f>DAY(Table_Date_Dim[[#This Row],[Date_all_Day]])</f>
        <v>24</v>
      </c>
      <c r="C237">
        <v>4</v>
      </c>
      <c r="D237" s="12" t="str">
        <f>TEXT(Table_Date_Dim[[#This Row],[Date_all_Day]],"dddd")</f>
        <v>Wednesday</v>
      </c>
      <c r="E237" t="str">
        <f>CONCATENATE(YEAR(Table_Date_Dim[[#This Row],[Date_all_Day]]),RIGHT("0"&amp;MONTH(Table_Date_Dim[[#This Row],[Date_all_Day]]),2))</f>
        <v>201904</v>
      </c>
    </row>
    <row r="238" spans="1:5">
      <c r="A238" s="8">
        <v>43580</v>
      </c>
      <c r="B238">
        <f>DAY(Table_Date_Dim[[#This Row],[Date_all_Day]])</f>
        <v>25</v>
      </c>
      <c r="C238">
        <v>4</v>
      </c>
      <c r="D238" s="12" t="str">
        <f>TEXT(Table_Date_Dim[[#This Row],[Date_all_Day]],"dddd")</f>
        <v>Thursday</v>
      </c>
      <c r="E238" t="str">
        <f>CONCATENATE(YEAR(Table_Date_Dim[[#This Row],[Date_all_Day]]),RIGHT("0"&amp;MONTH(Table_Date_Dim[[#This Row],[Date_all_Day]]),2))</f>
        <v>201904</v>
      </c>
    </row>
    <row r="239" spans="1:5">
      <c r="A239" s="8">
        <v>43581</v>
      </c>
      <c r="B239">
        <f>DAY(Table_Date_Dim[[#This Row],[Date_all_Day]])</f>
        <v>26</v>
      </c>
      <c r="C239">
        <v>4</v>
      </c>
      <c r="D239" s="12" t="str">
        <f>TEXT(Table_Date_Dim[[#This Row],[Date_all_Day]],"dddd")</f>
        <v>Friday</v>
      </c>
      <c r="E239" t="str">
        <f>CONCATENATE(YEAR(Table_Date_Dim[[#This Row],[Date_all_Day]]),RIGHT("0"&amp;MONTH(Table_Date_Dim[[#This Row],[Date_all_Day]]),2))</f>
        <v>201904</v>
      </c>
    </row>
    <row r="240" spans="1:5">
      <c r="A240" s="8">
        <v>43582</v>
      </c>
      <c r="B240">
        <f>DAY(Table_Date_Dim[[#This Row],[Date_all_Day]])</f>
        <v>27</v>
      </c>
      <c r="C240">
        <v>4</v>
      </c>
      <c r="D240" s="12" t="str">
        <f>TEXT(Table_Date_Dim[[#This Row],[Date_all_Day]],"dddd")</f>
        <v>Saturday</v>
      </c>
      <c r="E240" t="str">
        <f>CONCATENATE(YEAR(Table_Date_Dim[[#This Row],[Date_all_Day]]),RIGHT("0"&amp;MONTH(Table_Date_Dim[[#This Row],[Date_all_Day]]),2))</f>
        <v>201904</v>
      </c>
    </row>
    <row r="241" spans="1:5">
      <c r="A241" s="8">
        <v>43583</v>
      </c>
      <c r="B241">
        <f>DAY(Table_Date_Dim[[#This Row],[Date_all_Day]])</f>
        <v>28</v>
      </c>
      <c r="C241">
        <v>4</v>
      </c>
      <c r="D241" s="12" t="str">
        <f>TEXT(Table_Date_Dim[[#This Row],[Date_all_Day]],"dddd")</f>
        <v>Sunday</v>
      </c>
      <c r="E241" t="str">
        <f>CONCATENATE(YEAR(Table_Date_Dim[[#This Row],[Date_all_Day]]),RIGHT("0"&amp;MONTH(Table_Date_Dim[[#This Row],[Date_all_Day]]),2))</f>
        <v>201904</v>
      </c>
    </row>
    <row r="242" spans="1:5">
      <c r="A242" s="8">
        <v>43584</v>
      </c>
      <c r="B242">
        <f>DAY(Table_Date_Dim[[#This Row],[Date_all_Day]])</f>
        <v>29</v>
      </c>
      <c r="C242">
        <v>5</v>
      </c>
      <c r="D242" s="12" t="str">
        <f>TEXT(Table_Date_Dim[[#This Row],[Date_all_Day]],"dddd")</f>
        <v>Monday</v>
      </c>
      <c r="E242" t="str">
        <f>CONCATENATE(YEAR(Table_Date_Dim[[#This Row],[Date_all_Day]]),RIGHT("0"&amp;MONTH(Table_Date_Dim[[#This Row],[Date_all_Day]]),2))</f>
        <v>201904</v>
      </c>
    </row>
    <row r="243" spans="1:5">
      <c r="A243" s="8">
        <v>43585</v>
      </c>
      <c r="B243">
        <f>DAY(Table_Date_Dim[[#This Row],[Date_all_Day]])</f>
        <v>30</v>
      </c>
      <c r="C243">
        <v>5</v>
      </c>
      <c r="D243" s="12" t="str">
        <f>TEXT(Table_Date_Dim[[#This Row],[Date_all_Day]],"dddd")</f>
        <v>Tuesday</v>
      </c>
      <c r="E243" t="str">
        <f>CONCATENATE(YEAR(Table_Date_Dim[[#This Row],[Date_all_Day]]),RIGHT("0"&amp;MONTH(Table_Date_Dim[[#This Row],[Date_all_Day]]),2))</f>
        <v>201904</v>
      </c>
    </row>
    <row r="244" spans="1:5">
      <c r="A244" s="8">
        <v>43586</v>
      </c>
      <c r="B244">
        <f>DAY(Table_Date_Dim[[#This Row],[Date_all_Day]])</f>
        <v>1</v>
      </c>
      <c r="C244">
        <v>1</v>
      </c>
      <c r="D244" s="12" t="str">
        <f>TEXT(Table_Date_Dim[[#This Row],[Date_all_Day]],"dddd")</f>
        <v>Wednesday</v>
      </c>
      <c r="E244" t="str">
        <f>CONCATENATE(YEAR(Table_Date_Dim[[#This Row],[Date_all_Day]]),RIGHT("0"&amp;MONTH(Table_Date_Dim[[#This Row],[Date_all_Day]]),2))</f>
        <v>201905</v>
      </c>
    </row>
    <row r="245" spans="1:5">
      <c r="A245" s="8">
        <v>43587</v>
      </c>
      <c r="B245">
        <f>DAY(Table_Date_Dim[[#This Row],[Date_all_Day]])</f>
        <v>2</v>
      </c>
      <c r="C245">
        <v>1</v>
      </c>
      <c r="D245" s="12" t="str">
        <f>TEXT(Table_Date_Dim[[#This Row],[Date_all_Day]],"dddd")</f>
        <v>Thursday</v>
      </c>
      <c r="E245" t="str">
        <f>CONCATENATE(YEAR(Table_Date_Dim[[#This Row],[Date_all_Day]]),RIGHT("0"&amp;MONTH(Table_Date_Dim[[#This Row],[Date_all_Day]]),2))</f>
        <v>201905</v>
      </c>
    </row>
    <row r="246" spans="1:5">
      <c r="A246" s="8">
        <v>43588</v>
      </c>
      <c r="B246">
        <f>DAY(Table_Date_Dim[[#This Row],[Date_all_Day]])</f>
        <v>3</v>
      </c>
      <c r="C246">
        <v>1</v>
      </c>
      <c r="D246" s="12" t="str">
        <f>TEXT(Table_Date_Dim[[#This Row],[Date_all_Day]],"dddd")</f>
        <v>Friday</v>
      </c>
      <c r="E246" t="str">
        <f>CONCATENATE(YEAR(Table_Date_Dim[[#This Row],[Date_all_Day]]),RIGHT("0"&amp;MONTH(Table_Date_Dim[[#This Row],[Date_all_Day]]),2))</f>
        <v>201905</v>
      </c>
    </row>
    <row r="247" spans="1:5">
      <c r="A247" s="8">
        <v>43589</v>
      </c>
      <c r="B247">
        <f>DAY(Table_Date_Dim[[#This Row],[Date_all_Day]])</f>
        <v>4</v>
      </c>
      <c r="C247">
        <v>1</v>
      </c>
      <c r="D247" s="12" t="str">
        <f>TEXT(Table_Date_Dim[[#This Row],[Date_all_Day]],"dddd")</f>
        <v>Saturday</v>
      </c>
      <c r="E247" t="str">
        <f>CONCATENATE(YEAR(Table_Date_Dim[[#This Row],[Date_all_Day]]),RIGHT("0"&amp;MONTH(Table_Date_Dim[[#This Row],[Date_all_Day]]),2))</f>
        <v>201905</v>
      </c>
    </row>
    <row r="248" spans="1:5">
      <c r="A248" s="8">
        <v>43590</v>
      </c>
      <c r="B248">
        <f>DAY(Table_Date_Dim[[#This Row],[Date_all_Day]])</f>
        <v>5</v>
      </c>
      <c r="C248">
        <v>1</v>
      </c>
      <c r="D248" s="12" t="str">
        <f>TEXT(Table_Date_Dim[[#This Row],[Date_all_Day]],"dddd")</f>
        <v>Sunday</v>
      </c>
      <c r="E248" t="str">
        <f>CONCATENATE(YEAR(Table_Date_Dim[[#This Row],[Date_all_Day]]),RIGHT("0"&amp;MONTH(Table_Date_Dim[[#This Row],[Date_all_Day]]),2))</f>
        <v>201905</v>
      </c>
    </row>
    <row r="249" spans="1:5">
      <c r="A249" s="8">
        <v>43591</v>
      </c>
      <c r="B249">
        <f>DAY(Table_Date_Dim[[#This Row],[Date_all_Day]])</f>
        <v>6</v>
      </c>
      <c r="C249">
        <v>2</v>
      </c>
      <c r="D249" s="12" t="str">
        <f>TEXT(Table_Date_Dim[[#This Row],[Date_all_Day]],"dddd")</f>
        <v>Monday</v>
      </c>
      <c r="E249" t="str">
        <f>CONCATENATE(YEAR(Table_Date_Dim[[#This Row],[Date_all_Day]]),RIGHT("0"&amp;MONTH(Table_Date_Dim[[#This Row],[Date_all_Day]]),2))</f>
        <v>201905</v>
      </c>
    </row>
    <row r="250" spans="1:5">
      <c r="A250" s="8">
        <v>43592</v>
      </c>
      <c r="B250">
        <f>DAY(Table_Date_Dim[[#This Row],[Date_all_Day]])</f>
        <v>7</v>
      </c>
      <c r="C250">
        <v>2</v>
      </c>
      <c r="D250" s="12" t="str">
        <f>TEXT(Table_Date_Dim[[#This Row],[Date_all_Day]],"dddd")</f>
        <v>Tuesday</v>
      </c>
      <c r="E250" t="str">
        <f>CONCATENATE(YEAR(Table_Date_Dim[[#This Row],[Date_all_Day]]),RIGHT("0"&amp;MONTH(Table_Date_Dim[[#This Row],[Date_all_Day]]),2))</f>
        <v>201905</v>
      </c>
    </row>
    <row r="251" spans="1:5">
      <c r="A251" s="8">
        <v>43593</v>
      </c>
      <c r="B251">
        <f>DAY(Table_Date_Dim[[#This Row],[Date_all_Day]])</f>
        <v>8</v>
      </c>
      <c r="C251">
        <v>2</v>
      </c>
      <c r="D251" s="12" t="str">
        <f>TEXT(Table_Date_Dim[[#This Row],[Date_all_Day]],"dddd")</f>
        <v>Wednesday</v>
      </c>
      <c r="E251" t="str">
        <f>CONCATENATE(YEAR(Table_Date_Dim[[#This Row],[Date_all_Day]]),RIGHT("0"&amp;MONTH(Table_Date_Dim[[#This Row],[Date_all_Day]]),2))</f>
        <v>201905</v>
      </c>
    </row>
    <row r="252" spans="1:5">
      <c r="A252" s="8">
        <v>43594</v>
      </c>
      <c r="B252">
        <f>DAY(Table_Date_Dim[[#This Row],[Date_all_Day]])</f>
        <v>9</v>
      </c>
      <c r="C252">
        <v>2</v>
      </c>
      <c r="D252" s="12" t="str">
        <f>TEXT(Table_Date_Dim[[#This Row],[Date_all_Day]],"dddd")</f>
        <v>Thursday</v>
      </c>
      <c r="E252" t="str">
        <f>CONCATENATE(YEAR(Table_Date_Dim[[#This Row],[Date_all_Day]]),RIGHT("0"&amp;MONTH(Table_Date_Dim[[#This Row],[Date_all_Day]]),2))</f>
        <v>201905</v>
      </c>
    </row>
    <row r="253" spans="1:5">
      <c r="A253" s="8">
        <v>43595</v>
      </c>
      <c r="B253">
        <f>DAY(Table_Date_Dim[[#This Row],[Date_all_Day]])</f>
        <v>10</v>
      </c>
      <c r="C253">
        <v>2</v>
      </c>
      <c r="D253" s="12" t="str">
        <f>TEXT(Table_Date_Dim[[#This Row],[Date_all_Day]],"dddd")</f>
        <v>Friday</v>
      </c>
      <c r="E253" t="str">
        <f>CONCATENATE(YEAR(Table_Date_Dim[[#This Row],[Date_all_Day]]),RIGHT("0"&amp;MONTH(Table_Date_Dim[[#This Row],[Date_all_Day]]),2))</f>
        <v>201905</v>
      </c>
    </row>
    <row r="254" spans="1:5">
      <c r="A254" s="8">
        <v>43596</v>
      </c>
      <c r="B254">
        <f>DAY(Table_Date_Dim[[#This Row],[Date_all_Day]])</f>
        <v>11</v>
      </c>
      <c r="C254">
        <v>2</v>
      </c>
      <c r="D254" s="12" t="str">
        <f>TEXT(Table_Date_Dim[[#This Row],[Date_all_Day]],"dddd")</f>
        <v>Saturday</v>
      </c>
      <c r="E254" t="str">
        <f>CONCATENATE(YEAR(Table_Date_Dim[[#This Row],[Date_all_Day]]),RIGHT("0"&amp;MONTH(Table_Date_Dim[[#This Row],[Date_all_Day]]),2))</f>
        <v>201905</v>
      </c>
    </row>
    <row r="255" spans="1:5">
      <c r="A255" s="8">
        <v>43597</v>
      </c>
      <c r="B255">
        <f>DAY(Table_Date_Dim[[#This Row],[Date_all_Day]])</f>
        <v>12</v>
      </c>
      <c r="C255">
        <v>2</v>
      </c>
      <c r="D255" s="12" t="str">
        <f>TEXT(Table_Date_Dim[[#This Row],[Date_all_Day]],"dddd")</f>
        <v>Sunday</v>
      </c>
      <c r="E255" t="str">
        <f>CONCATENATE(YEAR(Table_Date_Dim[[#This Row],[Date_all_Day]]),RIGHT("0"&amp;MONTH(Table_Date_Dim[[#This Row],[Date_all_Day]]),2))</f>
        <v>201905</v>
      </c>
    </row>
    <row r="256" spans="1:5">
      <c r="A256" s="8">
        <v>43598</v>
      </c>
      <c r="B256">
        <f>DAY(Table_Date_Dim[[#This Row],[Date_all_Day]])</f>
        <v>13</v>
      </c>
      <c r="C256">
        <v>3</v>
      </c>
      <c r="D256" s="12" t="str">
        <f>TEXT(Table_Date_Dim[[#This Row],[Date_all_Day]],"dddd")</f>
        <v>Monday</v>
      </c>
      <c r="E256" t="str">
        <f>CONCATENATE(YEAR(Table_Date_Dim[[#This Row],[Date_all_Day]]),RIGHT("0"&amp;MONTH(Table_Date_Dim[[#This Row],[Date_all_Day]]),2))</f>
        <v>201905</v>
      </c>
    </row>
    <row r="257" spans="1:5">
      <c r="A257" s="8">
        <v>43599</v>
      </c>
      <c r="B257">
        <f>DAY(Table_Date_Dim[[#This Row],[Date_all_Day]])</f>
        <v>14</v>
      </c>
      <c r="C257">
        <v>3</v>
      </c>
      <c r="D257" s="12" t="str">
        <f>TEXT(Table_Date_Dim[[#This Row],[Date_all_Day]],"dddd")</f>
        <v>Tuesday</v>
      </c>
      <c r="E257" t="str">
        <f>CONCATENATE(YEAR(Table_Date_Dim[[#This Row],[Date_all_Day]]),RIGHT("0"&amp;MONTH(Table_Date_Dim[[#This Row],[Date_all_Day]]),2))</f>
        <v>201905</v>
      </c>
    </row>
    <row r="258" spans="1:5">
      <c r="A258" s="8">
        <v>43600</v>
      </c>
      <c r="B258">
        <f>DAY(Table_Date_Dim[[#This Row],[Date_all_Day]])</f>
        <v>15</v>
      </c>
      <c r="C258">
        <v>3</v>
      </c>
      <c r="D258" s="12" t="str">
        <f>TEXT(Table_Date_Dim[[#This Row],[Date_all_Day]],"dddd")</f>
        <v>Wednesday</v>
      </c>
      <c r="E258" t="str">
        <f>CONCATENATE(YEAR(Table_Date_Dim[[#This Row],[Date_all_Day]]),RIGHT("0"&amp;MONTH(Table_Date_Dim[[#This Row],[Date_all_Day]]),2))</f>
        <v>201905</v>
      </c>
    </row>
    <row r="259" spans="1:5">
      <c r="A259" s="8">
        <v>43601</v>
      </c>
      <c r="B259">
        <f>DAY(Table_Date_Dim[[#This Row],[Date_all_Day]])</f>
        <v>16</v>
      </c>
      <c r="C259">
        <v>3</v>
      </c>
      <c r="D259" s="12" t="str">
        <f>TEXT(Table_Date_Dim[[#This Row],[Date_all_Day]],"dddd")</f>
        <v>Thursday</v>
      </c>
      <c r="E259" t="str">
        <f>CONCATENATE(YEAR(Table_Date_Dim[[#This Row],[Date_all_Day]]),RIGHT("0"&amp;MONTH(Table_Date_Dim[[#This Row],[Date_all_Day]]),2))</f>
        <v>201905</v>
      </c>
    </row>
    <row r="260" spans="1:5">
      <c r="A260" s="8">
        <v>43602</v>
      </c>
      <c r="B260">
        <f>DAY(Table_Date_Dim[[#This Row],[Date_all_Day]])</f>
        <v>17</v>
      </c>
      <c r="C260">
        <v>3</v>
      </c>
      <c r="D260" s="12" t="str">
        <f>TEXT(Table_Date_Dim[[#This Row],[Date_all_Day]],"dddd")</f>
        <v>Friday</v>
      </c>
      <c r="E260" t="str">
        <f>CONCATENATE(YEAR(Table_Date_Dim[[#This Row],[Date_all_Day]]),RIGHT("0"&amp;MONTH(Table_Date_Dim[[#This Row],[Date_all_Day]]),2))</f>
        <v>201905</v>
      </c>
    </row>
    <row r="261" spans="1:5">
      <c r="A261" s="8">
        <v>43603</v>
      </c>
      <c r="B261">
        <f>DAY(Table_Date_Dim[[#This Row],[Date_all_Day]])</f>
        <v>18</v>
      </c>
      <c r="C261">
        <v>3</v>
      </c>
      <c r="D261" s="12" t="str">
        <f>TEXT(Table_Date_Dim[[#This Row],[Date_all_Day]],"dddd")</f>
        <v>Saturday</v>
      </c>
      <c r="E261" t="str">
        <f>CONCATENATE(YEAR(Table_Date_Dim[[#This Row],[Date_all_Day]]),RIGHT("0"&amp;MONTH(Table_Date_Dim[[#This Row],[Date_all_Day]]),2))</f>
        <v>201905</v>
      </c>
    </row>
    <row r="262" spans="1:5">
      <c r="A262" s="8">
        <v>43604</v>
      </c>
      <c r="B262">
        <f>DAY(Table_Date_Dim[[#This Row],[Date_all_Day]])</f>
        <v>19</v>
      </c>
      <c r="C262">
        <v>3</v>
      </c>
      <c r="D262" s="12" t="str">
        <f>TEXT(Table_Date_Dim[[#This Row],[Date_all_Day]],"dddd")</f>
        <v>Sunday</v>
      </c>
      <c r="E262" t="str">
        <f>CONCATENATE(YEAR(Table_Date_Dim[[#This Row],[Date_all_Day]]),RIGHT("0"&amp;MONTH(Table_Date_Dim[[#This Row],[Date_all_Day]]),2))</f>
        <v>201905</v>
      </c>
    </row>
    <row r="263" spans="1:5">
      <c r="A263" s="8">
        <v>43605</v>
      </c>
      <c r="B263">
        <f>DAY(Table_Date_Dim[[#This Row],[Date_all_Day]])</f>
        <v>20</v>
      </c>
      <c r="C263">
        <v>4</v>
      </c>
      <c r="D263" s="12" t="str">
        <f>TEXT(Table_Date_Dim[[#This Row],[Date_all_Day]],"dddd")</f>
        <v>Monday</v>
      </c>
      <c r="E263" t="str">
        <f>CONCATENATE(YEAR(Table_Date_Dim[[#This Row],[Date_all_Day]]),RIGHT("0"&amp;MONTH(Table_Date_Dim[[#This Row],[Date_all_Day]]),2))</f>
        <v>201905</v>
      </c>
    </row>
    <row r="264" spans="1:5">
      <c r="A264" s="8">
        <v>43606</v>
      </c>
      <c r="B264">
        <f>DAY(Table_Date_Dim[[#This Row],[Date_all_Day]])</f>
        <v>21</v>
      </c>
      <c r="C264">
        <v>4</v>
      </c>
      <c r="D264" s="12" t="str">
        <f>TEXT(Table_Date_Dim[[#This Row],[Date_all_Day]],"dddd")</f>
        <v>Tuesday</v>
      </c>
      <c r="E264" t="str">
        <f>CONCATENATE(YEAR(Table_Date_Dim[[#This Row],[Date_all_Day]]),RIGHT("0"&amp;MONTH(Table_Date_Dim[[#This Row],[Date_all_Day]]),2))</f>
        <v>201905</v>
      </c>
    </row>
    <row r="265" spans="1:5">
      <c r="A265" s="8">
        <v>43607</v>
      </c>
      <c r="B265">
        <f>DAY(Table_Date_Dim[[#This Row],[Date_all_Day]])</f>
        <v>22</v>
      </c>
      <c r="C265">
        <v>4</v>
      </c>
      <c r="D265" s="12" t="str">
        <f>TEXT(Table_Date_Dim[[#This Row],[Date_all_Day]],"dddd")</f>
        <v>Wednesday</v>
      </c>
      <c r="E265" t="str">
        <f>CONCATENATE(YEAR(Table_Date_Dim[[#This Row],[Date_all_Day]]),RIGHT("0"&amp;MONTH(Table_Date_Dim[[#This Row],[Date_all_Day]]),2))</f>
        <v>201905</v>
      </c>
    </row>
    <row r="266" spans="1:5">
      <c r="A266" s="8">
        <v>43608</v>
      </c>
      <c r="B266">
        <f>DAY(Table_Date_Dim[[#This Row],[Date_all_Day]])</f>
        <v>23</v>
      </c>
      <c r="C266">
        <v>4</v>
      </c>
      <c r="D266" s="12" t="str">
        <f>TEXT(Table_Date_Dim[[#This Row],[Date_all_Day]],"dddd")</f>
        <v>Thursday</v>
      </c>
      <c r="E266" t="str">
        <f>CONCATENATE(YEAR(Table_Date_Dim[[#This Row],[Date_all_Day]]),RIGHT("0"&amp;MONTH(Table_Date_Dim[[#This Row],[Date_all_Day]]),2))</f>
        <v>201905</v>
      </c>
    </row>
    <row r="267" spans="1:5">
      <c r="A267" s="8">
        <v>43609</v>
      </c>
      <c r="B267">
        <f>DAY(Table_Date_Dim[[#This Row],[Date_all_Day]])</f>
        <v>24</v>
      </c>
      <c r="C267">
        <v>4</v>
      </c>
      <c r="D267" s="12" t="str">
        <f>TEXT(Table_Date_Dim[[#This Row],[Date_all_Day]],"dddd")</f>
        <v>Friday</v>
      </c>
      <c r="E267" t="str">
        <f>CONCATENATE(YEAR(Table_Date_Dim[[#This Row],[Date_all_Day]]),RIGHT("0"&amp;MONTH(Table_Date_Dim[[#This Row],[Date_all_Day]]),2))</f>
        <v>201905</v>
      </c>
    </row>
    <row r="268" spans="1:5">
      <c r="A268" s="8">
        <v>43610</v>
      </c>
      <c r="B268">
        <f>DAY(Table_Date_Dim[[#This Row],[Date_all_Day]])</f>
        <v>25</v>
      </c>
      <c r="C268">
        <v>4</v>
      </c>
      <c r="D268" s="12" t="str">
        <f>TEXT(Table_Date_Dim[[#This Row],[Date_all_Day]],"dddd")</f>
        <v>Saturday</v>
      </c>
      <c r="E268" t="str">
        <f>CONCATENATE(YEAR(Table_Date_Dim[[#This Row],[Date_all_Day]]),RIGHT("0"&amp;MONTH(Table_Date_Dim[[#This Row],[Date_all_Day]]),2))</f>
        <v>201905</v>
      </c>
    </row>
    <row r="269" spans="1:5">
      <c r="A269" s="8">
        <v>43611</v>
      </c>
      <c r="B269">
        <f>DAY(Table_Date_Dim[[#This Row],[Date_all_Day]])</f>
        <v>26</v>
      </c>
      <c r="C269">
        <v>4</v>
      </c>
      <c r="D269" s="12" t="str">
        <f>TEXT(Table_Date_Dim[[#This Row],[Date_all_Day]],"dddd")</f>
        <v>Sunday</v>
      </c>
      <c r="E269" t="str">
        <f>CONCATENATE(YEAR(Table_Date_Dim[[#This Row],[Date_all_Day]]),RIGHT("0"&amp;MONTH(Table_Date_Dim[[#This Row],[Date_all_Day]]),2))</f>
        <v>201905</v>
      </c>
    </row>
    <row r="270" spans="1:5">
      <c r="A270" s="8">
        <v>43612</v>
      </c>
      <c r="B270">
        <f>DAY(Table_Date_Dim[[#This Row],[Date_all_Day]])</f>
        <v>27</v>
      </c>
      <c r="C270">
        <v>5</v>
      </c>
      <c r="D270" s="12" t="str">
        <f>TEXT(Table_Date_Dim[[#This Row],[Date_all_Day]],"dddd")</f>
        <v>Monday</v>
      </c>
      <c r="E270" t="str">
        <f>CONCATENATE(YEAR(Table_Date_Dim[[#This Row],[Date_all_Day]]),RIGHT("0"&amp;MONTH(Table_Date_Dim[[#This Row],[Date_all_Day]]),2))</f>
        <v>201905</v>
      </c>
    </row>
    <row r="271" spans="1:5">
      <c r="A271" s="8">
        <v>43613</v>
      </c>
      <c r="B271">
        <f>DAY(Table_Date_Dim[[#This Row],[Date_all_Day]])</f>
        <v>28</v>
      </c>
      <c r="C271">
        <v>5</v>
      </c>
      <c r="D271" s="12" t="str">
        <f>TEXT(Table_Date_Dim[[#This Row],[Date_all_Day]],"dddd")</f>
        <v>Tuesday</v>
      </c>
      <c r="E271" t="str">
        <f>CONCATENATE(YEAR(Table_Date_Dim[[#This Row],[Date_all_Day]]),RIGHT("0"&amp;MONTH(Table_Date_Dim[[#This Row],[Date_all_Day]]),2))</f>
        <v>201905</v>
      </c>
    </row>
    <row r="272" spans="1:5">
      <c r="A272" s="8">
        <v>43614</v>
      </c>
      <c r="B272">
        <f>DAY(Table_Date_Dim[[#This Row],[Date_all_Day]])</f>
        <v>29</v>
      </c>
      <c r="C272">
        <v>5</v>
      </c>
      <c r="D272" s="12" t="str">
        <f>TEXT(Table_Date_Dim[[#This Row],[Date_all_Day]],"dddd")</f>
        <v>Wednesday</v>
      </c>
      <c r="E272" t="str">
        <f>CONCATENATE(YEAR(Table_Date_Dim[[#This Row],[Date_all_Day]]),RIGHT("0"&amp;MONTH(Table_Date_Dim[[#This Row],[Date_all_Day]]),2))</f>
        <v>201905</v>
      </c>
    </row>
    <row r="273" spans="1:5">
      <c r="A273" s="8">
        <v>43615</v>
      </c>
      <c r="B273">
        <f>DAY(Table_Date_Dim[[#This Row],[Date_all_Day]])</f>
        <v>30</v>
      </c>
      <c r="C273">
        <v>5</v>
      </c>
      <c r="D273" s="12" t="str">
        <f>TEXT(Table_Date_Dim[[#This Row],[Date_all_Day]],"dddd")</f>
        <v>Thursday</v>
      </c>
      <c r="E273" t="str">
        <f>CONCATENATE(YEAR(Table_Date_Dim[[#This Row],[Date_all_Day]]),RIGHT("0"&amp;MONTH(Table_Date_Dim[[#This Row],[Date_all_Day]]),2))</f>
        <v>201905</v>
      </c>
    </row>
    <row r="274" spans="1:5">
      <c r="A274" s="8">
        <v>43616</v>
      </c>
      <c r="B274">
        <f>DAY(Table_Date_Dim[[#This Row],[Date_all_Day]])</f>
        <v>31</v>
      </c>
      <c r="C274">
        <v>5</v>
      </c>
      <c r="D274" s="12" t="str">
        <f>TEXT(Table_Date_Dim[[#This Row],[Date_all_Day]],"dddd")</f>
        <v>Friday</v>
      </c>
      <c r="E274" t="str">
        <f>CONCATENATE(YEAR(Table_Date_Dim[[#This Row],[Date_all_Day]]),RIGHT("0"&amp;MONTH(Table_Date_Dim[[#This Row],[Date_all_Day]]),2))</f>
        <v>201905</v>
      </c>
    </row>
    <row r="275" spans="1:5">
      <c r="A275" s="8">
        <v>43617</v>
      </c>
      <c r="B275">
        <f>DAY(Table_Date_Dim[[#This Row],[Date_all_Day]])</f>
        <v>1</v>
      </c>
      <c r="C275">
        <v>1</v>
      </c>
      <c r="D275" s="12" t="str">
        <f>TEXT(Table_Date_Dim[[#This Row],[Date_all_Day]],"dddd")</f>
        <v>Saturday</v>
      </c>
      <c r="E275" t="str">
        <f>CONCATENATE(YEAR(Table_Date_Dim[[#This Row],[Date_all_Day]]),RIGHT("0"&amp;MONTH(Table_Date_Dim[[#This Row],[Date_all_Day]]),2))</f>
        <v>201906</v>
      </c>
    </row>
    <row r="276" spans="1:5">
      <c r="A276" s="8">
        <v>43618</v>
      </c>
      <c r="B276">
        <f>DAY(Table_Date_Dim[[#This Row],[Date_all_Day]])</f>
        <v>2</v>
      </c>
      <c r="C276">
        <v>1</v>
      </c>
      <c r="D276" s="12" t="str">
        <f>TEXT(Table_Date_Dim[[#This Row],[Date_all_Day]],"dddd")</f>
        <v>Sunday</v>
      </c>
      <c r="E276" t="str">
        <f>CONCATENATE(YEAR(Table_Date_Dim[[#This Row],[Date_all_Day]]),RIGHT("0"&amp;MONTH(Table_Date_Dim[[#This Row],[Date_all_Day]]),2))</f>
        <v>201906</v>
      </c>
    </row>
    <row r="277" spans="1:5">
      <c r="A277" s="8">
        <v>43619</v>
      </c>
      <c r="B277">
        <f>DAY(Table_Date_Dim[[#This Row],[Date_all_Day]])</f>
        <v>3</v>
      </c>
      <c r="C277">
        <v>2</v>
      </c>
      <c r="D277" s="12" t="str">
        <f>TEXT(Table_Date_Dim[[#This Row],[Date_all_Day]],"dddd")</f>
        <v>Monday</v>
      </c>
      <c r="E277" t="str">
        <f>CONCATENATE(YEAR(Table_Date_Dim[[#This Row],[Date_all_Day]]),RIGHT("0"&amp;MONTH(Table_Date_Dim[[#This Row],[Date_all_Day]]),2))</f>
        <v>201906</v>
      </c>
    </row>
    <row r="278" spans="1:5">
      <c r="A278" s="8">
        <v>43620</v>
      </c>
      <c r="B278">
        <f>DAY(Table_Date_Dim[[#This Row],[Date_all_Day]])</f>
        <v>4</v>
      </c>
      <c r="C278">
        <v>2</v>
      </c>
      <c r="D278" s="12" t="str">
        <f>TEXT(Table_Date_Dim[[#This Row],[Date_all_Day]],"dddd")</f>
        <v>Tuesday</v>
      </c>
      <c r="E278" t="str">
        <f>CONCATENATE(YEAR(Table_Date_Dim[[#This Row],[Date_all_Day]]),RIGHT("0"&amp;MONTH(Table_Date_Dim[[#This Row],[Date_all_Day]]),2))</f>
        <v>201906</v>
      </c>
    </row>
    <row r="279" spans="1:5">
      <c r="A279" s="8">
        <v>43621</v>
      </c>
      <c r="B279">
        <f>DAY(Table_Date_Dim[[#This Row],[Date_all_Day]])</f>
        <v>5</v>
      </c>
      <c r="C279">
        <v>2</v>
      </c>
      <c r="D279" s="12" t="str">
        <f>TEXT(Table_Date_Dim[[#This Row],[Date_all_Day]],"dddd")</f>
        <v>Wednesday</v>
      </c>
      <c r="E279" t="str">
        <f>CONCATENATE(YEAR(Table_Date_Dim[[#This Row],[Date_all_Day]]),RIGHT("0"&amp;MONTH(Table_Date_Dim[[#This Row],[Date_all_Day]]),2))</f>
        <v>201906</v>
      </c>
    </row>
    <row r="280" spans="1:5">
      <c r="A280" s="8">
        <v>43622</v>
      </c>
      <c r="B280">
        <f>DAY(Table_Date_Dim[[#This Row],[Date_all_Day]])</f>
        <v>6</v>
      </c>
      <c r="C280">
        <v>2</v>
      </c>
      <c r="D280" s="12" t="str">
        <f>TEXT(Table_Date_Dim[[#This Row],[Date_all_Day]],"dddd")</f>
        <v>Thursday</v>
      </c>
      <c r="E280" t="str">
        <f>CONCATENATE(YEAR(Table_Date_Dim[[#This Row],[Date_all_Day]]),RIGHT("0"&amp;MONTH(Table_Date_Dim[[#This Row],[Date_all_Day]]),2))</f>
        <v>201906</v>
      </c>
    </row>
    <row r="281" spans="1:5">
      <c r="A281" s="8">
        <v>43623</v>
      </c>
      <c r="B281">
        <f>DAY(Table_Date_Dim[[#This Row],[Date_all_Day]])</f>
        <v>7</v>
      </c>
      <c r="C281">
        <v>2</v>
      </c>
      <c r="D281" s="12" t="str">
        <f>TEXT(Table_Date_Dim[[#This Row],[Date_all_Day]],"dddd")</f>
        <v>Friday</v>
      </c>
      <c r="E281" t="str">
        <f>CONCATENATE(YEAR(Table_Date_Dim[[#This Row],[Date_all_Day]]),RIGHT("0"&amp;MONTH(Table_Date_Dim[[#This Row],[Date_all_Day]]),2))</f>
        <v>201906</v>
      </c>
    </row>
    <row r="282" spans="1:5">
      <c r="A282" s="8">
        <v>43624</v>
      </c>
      <c r="B282">
        <f>DAY(Table_Date_Dim[[#This Row],[Date_all_Day]])</f>
        <v>8</v>
      </c>
      <c r="C282">
        <v>2</v>
      </c>
      <c r="D282" s="12" t="str">
        <f>TEXT(Table_Date_Dim[[#This Row],[Date_all_Day]],"dddd")</f>
        <v>Saturday</v>
      </c>
      <c r="E282" t="str">
        <f>CONCATENATE(YEAR(Table_Date_Dim[[#This Row],[Date_all_Day]]),RIGHT("0"&amp;MONTH(Table_Date_Dim[[#This Row],[Date_all_Day]]),2))</f>
        <v>201906</v>
      </c>
    </row>
    <row r="283" spans="1:5">
      <c r="A283" s="8">
        <v>43625</v>
      </c>
      <c r="B283">
        <f>DAY(Table_Date_Dim[[#This Row],[Date_all_Day]])</f>
        <v>9</v>
      </c>
      <c r="C283">
        <v>2</v>
      </c>
      <c r="D283" s="12" t="str">
        <f>TEXT(Table_Date_Dim[[#This Row],[Date_all_Day]],"dddd")</f>
        <v>Sunday</v>
      </c>
      <c r="E283" t="str">
        <f>CONCATENATE(YEAR(Table_Date_Dim[[#This Row],[Date_all_Day]]),RIGHT("0"&amp;MONTH(Table_Date_Dim[[#This Row],[Date_all_Day]]),2))</f>
        <v>201906</v>
      </c>
    </row>
    <row r="284" spans="1:5">
      <c r="A284" s="8">
        <v>43626</v>
      </c>
      <c r="B284">
        <f>DAY(Table_Date_Dim[[#This Row],[Date_all_Day]])</f>
        <v>10</v>
      </c>
      <c r="C284">
        <v>3</v>
      </c>
      <c r="D284" s="12" t="str">
        <f>TEXT(Table_Date_Dim[[#This Row],[Date_all_Day]],"dddd")</f>
        <v>Monday</v>
      </c>
      <c r="E284" t="str">
        <f>CONCATENATE(YEAR(Table_Date_Dim[[#This Row],[Date_all_Day]]),RIGHT("0"&amp;MONTH(Table_Date_Dim[[#This Row],[Date_all_Day]]),2))</f>
        <v>201906</v>
      </c>
    </row>
    <row r="285" spans="1:5">
      <c r="A285" s="8">
        <v>43627</v>
      </c>
      <c r="B285">
        <f>DAY(Table_Date_Dim[[#This Row],[Date_all_Day]])</f>
        <v>11</v>
      </c>
      <c r="C285">
        <v>3</v>
      </c>
      <c r="D285" s="12" t="str">
        <f>TEXT(Table_Date_Dim[[#This Row],[Date_all_Day]],"dddd")</f>
        <v>Tuesday</v>
      </c>
      <c r="E285" t="str">
        <f>CONCATENATE(YEAR(Table_Date_Dim[[#This Row],[Date_all_Day]]),RIGHT("0"&amp;MONTH(Table_Date_Dim[[#This Row],[Date_all_Day]]),2))</f>
        <v>201906</v>
      </c>
    </row>
    <row r="286" spans="1:5">
      <c r="A286" s="8">
        <v>43628</v>
      </c>
      <c r="B286">
        <f>DAY(Table_Date_Dim[[#This Row],[Date_all_Day]])</f>
        <v>12</v>
      </c>
      <c r="C286">
        <v>3</v>
      </c>
      <c r="D286" s="12" t="str">
        <f>TEXT(Table_Date_Dim[[#This Row],[Date_all_Day]],"dddd")</f>
        <v>Wednesday</v>
      </c>
      <c r="E286" t="str">
        <f>CONCATENATE(YEAR(Table_Date_Dim[[#This Row],[Date_all_Day]]),RIGHT("0"&amp;MONTH(Table_Date_Dim[[#This Row],[Date_all_Day]]),2))</f>
        <v>201906</v>
      </c>
    </row>
    <row r="287" spans="1:5">
      <c r="A287" s="8">
        <v>43629</v>
      </c>
      <c r="B287">
        <f>DAY(Table_Date_Dim[[#This Row],[Date_all_Day]])</f>
        <v>13</v>
      </c>
      <c r="C287">
        <v>3</v>
      </c>
      <c r="D287" s="12" t="str">
        <f>TEXT(Table_Date_Dim[[#This Row],[Date_all_Day]],"dddd")</f>
        <v>Thursday</v>
      </c>
      <c r="E287" t="str">
        <f>CONCATENATE(YEAR(Table_Date_Dim[[#This Row],[Date_all_Day]]),RIGHT("0"&amp;MONTH(Table_Date_Dim[[#This Row],[Date_all_Day]]),2))</f>
        <v>201906</v>
      </c>
    </row>
    <row r="288" spans="1:5">
      <c r="A288" s="8">
        <v>43630</v>
      </c>
      <c r="B288">
        <f>DAY(Table_Date_Dim[[#This Row],[Date_all_Day]])</f>
        <v>14</v>
      </c>
      <c r="C288">
        <v>3</v>
      </c>
      <c r="D288" s="12" t="str">
        <f>TEXT(Table_Date_Dim[[#This Row],[Date_all_Day]],"dddd")</f>
        <v>Friday</v>
      </c>
      <c r="E288" t="str">
        <f>CONCATENATE(YEAR(Table_Date_Dim[[#This Row],[Date_all_Day]]),RIGHT("0"&amp;MONTH(Table_Date_Dim[[#This Row],[Date_all_Day]]),2))</f>
        <v>201906</v>
      </c>
    </row>
    <row r="289" spans="1:5">
      <c r="A289" s="8">
        <v>43631</v>
      </c>
      <c r="B289">
        <f>DAY(Table_Date_Dim[[#This Row],[Date_all_Day]])</f>
        <v>15</v>
      </c>
      <c r="C289">
        <v>3</v>
      </c>
      <c r="D289" s="12" t="str">
        <f>TEXT(Table_Date_Dim[[#This Row],[Date_all_Day]],"dddd")</f>
        <v>Saturday</v>
      </c>
      <c r="E289" t="str">
        <f>CONCATENATE(YEAR(Table_Date_Dim[[#This Row],[Date_all_Day]]),RIGHT("0"&amp;MONTH(Table_Date_Dim[[#This Row],[Date_all_Day]]),2))</f>
        <v>201906</v>
      </c>
    </row>
    <row r="290" spans="1:5">
      <c r="A290" s="8">
        <v>43632</v>
      </c>
      <c r="B290">
        <f>DAY(Table_Date_Dim[[#This Row],[Date_all_Day]])</f>
        <v>16</v>
      </c>
      <c r="C290">
        <v>3</v>
      </c>
      <c r="D290" s="12" t="str">
        <f>TEXT(Table_Date_Dim[[#This Row],[Date_all_Day]],"dddd")</f>
        <v>Sunday</v>
      </c>
      <c r="E290" t="str">
        <f>CONCATENATE(YEAR(Table_Date_Dim[[#This Row],[Date_all_Day]]),RIGHT("0"&amp;MONTH(Table_Date_Dim[[#This Row],[Date_all_Day]]),2))</f>
        <v>201906</v>
      </c>
    </row>
    <row r="291" spans="1:5">
      <c r="A291" s="8">
        <v>43633</v>
      </c>
      <c r="B291">
        <f>DAY(Table_Date_Dim[[#This Row],[Date_all_Day]])</f>
        <v>17</v>
      </c>
      <c r="C291">
        <v>4</v>
      </c>
      <c r="D291" s="12" t="str">
        <f>TEXT(Table_Date_Dim[[#This Row],[Date_all_Day]],"dddd")</f>
        <v>Monday</v>
      </c>
      <c r="E291" t="str">
        <f>CONCATENATE(YEAR(Table_Date_Dim[[#This Row],[Date_all_Day]]),RIGHT("0"&amp;MONTH(Table_Date_Dim[[#This Row],[Date_all_Day]]),2))</f>
        <v>201906</v>
      </c>
    </row>
    <row r="292" spans="1:5">
      <c r="A292" s="8">
        <v>43634</v>
      </c>
      <c r="B292">
        <f>DAY(Table_Date_Dim[[#This Row],[Date_all_Day]])</f>
        <v>18</v>
      </c>
      <c r="C292">
        <v>4</v>
      </c>
      <c r="D292" s="12" t="str">
        <f>TEXT(Table_Date_Dim[[#This Row],[Date_all_Day]],"dddd")</f>
        <v>Tuesday</v>
      </c>
      <c r="E292" t="str">
        <f>CONCATENATE(YEAR(Table_Date_Dim[[#This Row],[Date_all_Day]]),RIGHT("0"&amp;MONTH(Table_Date_Dim[[#This Row],[Date_all_Day]]),2))</f>
        <v>201906</v>
      </c>
    </row>
    <row r="293" spans="1:5">
      <c r="A293" s="8">
        <v>43635</v>
      </c>
      <c r="B293">
        <f>DAY(Table_Date_Dim[[#This Row],[Date_all_Day]])</f>
        <v>19</v>
      </c>
      <c r="C293">
        <v>4</v>
      </c>
      <c r="D293" s="12" t="str">
        <f>TEXT(Table_Date_Dim[[#This Row],[Date_all_Day]],"dddd")</f>
        <v>Wednesday</v>
      </c>
      <c r="E293" t="str">
        <f>CONCATENATE(YEAR(Table_Date_Dim[[#This Row],[Date_all_Day]]),RIGHT("0"&amp;MONTH(Table_Date_Dim[[#This Row],[Date_all_Day]]),2))</f>
        <v>201906</v>
      </c>
    </row>
    <row r="294" spans="1:5">
      <c r="A294" s="8">
        <v>43636</v>
      </c>
      <c r="B294">
        <f>DAY(Table_Date_Dim[[#This Row],[Date_all_Day]])</f>
        <v>20</v>
      </c>
      <c r="C294">
        <v>4</v>
      </c>
      <c r="D294" s="12" t="str">
        <f>TEXT(Table_Date_Dim[[#This Row],[Date_all_Day]],"dddd")</f>
        <v>Thursday</v>
      </c>
      <c r="E294" t="str">
        <f>CONCATENATE(YEAR(Table_Date_Dim[[#This Row],[Date_all_Day]]),RIGHT("0"&amp;MONTH(Table_Date_Dim[[#This Row],[Date_all_Day]]),2))</f>
        <v>201906</v>
      </c>
    </row>
    <row r="295" spans="1:5">
      <c r="A295" s="8">
        <v>43637</v>
      </c>
      <c r="B295">
        <f>DAY(Table_Date_Dim[[#This Row],[Date_all_Day]])</f>
        <v>21</v>
      </c>
      <c r="C295">
        <v>4</v>
      </c>
      <c r="D295" s="12" t="str">
        <f>TEXT(Table_Date_Dim[[#This Row],[Date_all_Day]],"dddd")</f>
        <v>Friday</v>
      </c>
      <c r="E295" t="str">
        <f>CONCATENATE(YEAR(Table_Date_Dim[[#This Row],[Date_all_Day]]),RIGHT("0"&amp;MONTH(Table_Date_Dim[[#This Row],[Date_all_Day]]),2))</f>
        <v>201906</v>
      </c>
    </row>
    <row r="296" spans="1:5">
      <c r="A296" s="8">
        <v>43638</v>
      </c>
      <c r="B296">
        <f>DAY(Table_Date_Dim[[#This Row],[Date_all_Day]])</f>
        <v>22</v>
      </c>
      <c r="C296">
        <v>4</v>
      </c>
      <c r="D296" s="12" t="str">
        <f>TEXT(Table_Date_Dim[[#This Row],[Date_all_Day]],"dddd")</f>
        <v>Saturday</v>
      </c>
      <c r="E296" t="str">
        <f>CONCATENATE(YEAR(Table_Date_Dim[[#This Row],[Date_all_Day]]),RIGHT("0"&amp;MONTH(Table_Date_Dim[[#This Row],[Date_all_Day]]),2))</f>
        <v>201906</v>
      </c>
    </row>
    <row r="297" spans="1:5">
      <c r="A297" s="8">
        <v>43639</v>
      </c>
      <c r="B297">
        <f>DAY(Table_Date_Dim[[#This Row],[Date_all_Day]])</f>
        <v>23</v>
      </c>
      <c r="C297">
        <v>4</v>
      </c>
      <c r="D297" s="12" t="str">
        <f>TEXT(Table_Date_Dim[[#This Row],[Date_all_Day]],"dddd")</f>
        <v>Sunday</v>
      </c>
      <c r="E297" t="str">
        <f>CONCATENATE(YEAR(Table_Date_Dim[[#This Row],[Date_all_Day]]),RIGHT("0"&amp;MONTH(Table_Date_Dim[[#This Row],[Date_all_Day]]),2))</f>
        <v>201906</v>
      </c>
    </row>
    <row r="298" spans="1:5">
      <c r="A298" s="8">
        <v>43640</v>
      </c>
      <c r="B298">
        <f>DAY(Table_Date_Dim[[#This Row],[Date_all_Day]])</f>
        <v>24</v>
      </c>
      <c r="C298">
        <v>5</v>
      </c>
      <c r="D298" s="12" t="str">
        <f>TEXT(Table_Date_Dim[[#This Row],[Date_all_Day]],"dddd")</f>
        <v>Monday</v>
      </c>
      <c r="E298" t="str">
        <f>CONCATENATE(YEAR(Table_Date_Dim[[#This Row],[Date_all_Day]]),RIGHT("0"&amp;MONTH(Table_Date_Dim[[#This Row],[Date_all_Day]]),2))</f>
        <v>201906</v>
      </c>
    </row>
    <row r="299" spans="1:5">
      <c r="A299" s="8">
        <v>43641</v>
      </c>
      <c r="B299">
        <f>DAY(Table_Date_Dim[[#This Row],[Date_all_Day]])</f>
        <v>25</v>
      </c>
      <c r="C299">
        <v>5</v>
      </c>
      <c r="D299" s="12" t="str">
        <f>TEXT(Table_Date_Dim[[#This Row],[Date_all_Day]],"dddd")</f>
        <v>Tuesday</v>
      </c>
      <c r="E299" t="str">
        <f>CONCATENATE(YEAR(Table_Date_Dim[[#This Row],[Date_all_Day]]),RIGHT("0"&amp;MONTH(Table_Date_Dim[[#This Row],[Date_all_Day]]),2))</f>
        <v>201906</v>
      </c>
    </row>
    <row r="300" spans="1:5">
      <c r="A300" s="8">
        <v>43642</v>
      </c>
      <c r="B300">
        <f>DAY(Table_Date_Dim[[#This Row],[Date_all_Day]])</f>
        <v>26</v>
      </c>
      <c r="C300">
        <v>5</v>
      </c>
      <c r="D300" s="12" t="str">
        <f>TEXT(Table_Date_Dim[[#This Row],[Date_all_Day]],"dddd")</f>
        <v>Wednesday</v>
      </c>
      <c r="E300" t="str">
        <f>CONCATENATE(YEAR(Table_Date_Dim[[#This Row],[Date_all_Day]]),RIGHT("0"&amp;MONTH(Table_Date_Dim[[#This Row],[Date_all_Day]]),2))</f>
        <v>201906</v>
      </c>
    </row>
    <row r="301" spans="1:5">
      <c r="A301" s="8">
        <v>43643</v>
      </c>
      <c r="B301">
        <f>DAY(Table_Date_Dim[[#This Row],[Date_all_Day]])</f>
        <v>27</v>
      </c>
      <c r="C301">
        <v>5</v>
      </c>
      <c r="D301" s="12" t="str">
        <f>TEXT(Table_Date_Dim[[#This Row],[Date_all_Day]],"dddd")</f>
        <v>Thursday</v>
      </c>
      <c r="E301" t="str">
        <f>CONCATENATE(YEAR(Table_Date_Dim[[#This Row],[Date_all_Day]]),RIGHT("0"&amp;MONTH(Table_Date_Dim[[#This Row],[Date_all_Day]]),2))</f>
        <v>201906</v>
      </c>
    </row>
    <row r="302" spans="1:5">
      <c r="A302" s="8">
        <v>43644</v>
      </c>
      <c r="B302">
        <f>DAY(Table_Date_Dim[[#This Row],[Date_all_Day]])</f>
        <v>28</v>
      </c>
      <c r="C302">
        <v>5</v>
      </c>
      <c r="D302" s="12" t="str">
        <f>TEXT(Table_Date_Dim[[#This Row],[Date_all_Day]],"dddd")</f>
        <v>Friday</v>
      </c>
      <c r="E302" t="str">
        <f>CONCATENATE(YEAR(Table_Date_Dim[[#This Row],[Date_all_Day]]),RIGHT("0"&amp;MONTH(Table_Date_Dim[[#This Row],[Date_all_Day]]),2))</f>
        <v>201906</v>
      </c>
    </row>
    <row r="303" spans="1:5">
      <c r="A303" s="8">
        <v>43645</v>
      </c>
      <c r="B303">
        <f>DAY(Table_Date_Dim[[#This Row],[Date_all_Day]])</f>
        <v>29</v>
      </c>
      <c r="C303">
        <v>5</v>
      </c>
      <c r="D303" s="12" t="str">
        <f>TEXT(Table_Date_Dim[[#This Row],[Date_all_Day]],"dddd")</f>
        <v>Saturday</v>
      </c>
      <c r="E303" t="str">
        <f>CONCATENATE(YEAR(Table_Date_Dim[[#This Row],[Date_all_Day]]),RIGHT("0"&amp;MONTH(Table_Date_Dim[[#This Row],[Date_all_Day]]),2))</f>
        <v>201906</v>
      </c>
    </row>
    <row r="304" spans="1:5">
      <c r="A304" s="8">
        <v>43646</v>
      </c>
      <c r="B304">
        <f>DAY(Table_Date_Dim[[#This Row],[Date_all_Day]])</f>
        <v>30</v>
      </c>
      <c r="C304">
        <v>5</v>
      </c>
      <c r="D304" s="12" t="str">
        <f>TEXT(Table_Date_Dim[[#This Row],[Date_all_Day]],"dddd")</f>
        <v>Sunday</v>
      </c>
      <c r="E304" t="str">
        <f>CONCATENATE(YEAR(Table_Date_Dim[[#This Row],[Date_all_Day]]),RIGHT("0"&amp;MONTH(Table_Date_Dim[[#This Row],[Date_all_Day]]),2))</f>
        <v>201906</v>
      </c>
    </row>
    <row r="305" spans="1:5">
      <c r="A305" s="8">
        <v>43647</v>
      </c>
      <c r="B305">
        <f>DAY(Table_Date_Dim[[#This Row],[Date_all_Day]])</f>
        <v>1</v>
      </c>
      <c r="D305" s="12" t="str">
        <f>TEXT(Table_Date_Dim[[#This Row],[Date_all_Day]],"dddd")</f>
        <v>Monday</v>
      </c>
      <c r="E305" t="str">
        <f>CONCATENATE(YEAR(Table_Date_Dim[[#This Row],[Date_all_Day]]),RIGHT("0"&amp;MONTH(Table_Date_Dim[[#This Row],[Date_all_Day]]),2))</f>
        <v>201907</v>
      </c>
    </row>
    <row r="306" spans="1:5">
      <c r="A306" s="8">
        <v>43648</v>
      </c>
      <c r="B306">
        <f>DAY(Table_Date_Dim[[#This Row],[Date_all_Day]])</f>
        <v>2</v>
      </c>
      <c r="C306">
        <v>1</v>
      </c>
      <c r="D306" s="12" t="str">
        <f>TEXT(Table_Date_Dim[[#This Row],[Date_all_Day]],"dddd")</f>
        <v>Tuesday</v>
      </c>
      <c r="E306" t="str">
        <f>CONCATENATE(YEAR(Table_Date_Dim[[#This Row],[Date_all_Day]]),RIGHT("0"&amp;MONTH(Table_Date_Dim[[#This Row],[Date_all_Day]]),2))</f>
        <v>201907</v>
      </c>
    </row>
    <row r="307" spans="1:5">
      <c r="A307" s="8">
        <v>43649</v>
      </c>
      <c r="B307">
        <f>DAY(Table_Date_Dim[[#This Row],[Date_all_Day]])</f>
        <v>3</v>
      </c>
      <c r="C307">
        <v>1</v>
      </c>
      <c r="D307" s="12" t="str">
        <f>TEXT(Table_Date_Dim[[#This Row],[Date_all_Day]],"dddd")</f>
        <v>Wednesday</v>
      </c>
      <c r="E307" t="str">
        <f>CONCATENATE(YEAR(Table_Date_Dim[[#This Row],[Date_all_Day]]),RIGHT("0"&amp;MONTH(Table_Date_Dim[[#This Row],[Date_all_Day]]),2))</f>
        <v>201907</v>
      </c>
    </row>
    <row r="308" spans="1:5">
      <c r="A308" s="8">
        <v>43650</v>
      </c>
      <c r="B308">
        <f>DAY(Table_Date_Dim[[#This Row],[Date_all_Day]])</f>
        <v>4</v>
      </c>
      <c r="C308">
        <v>1</v>
      </c>
      <c r="D308" s="12" t="str">
        <f>TEXT(Table_Date_Dim[[#This Row],[Date_all_Day]],"dddd")</f>
        <v>Thursday</v>
      </c>
      <c r="E308" t="str">
        <f>CONCATENATE(YEAR(Table_Date_Dim[[#This Row],[Date_all_Day]]),RIGHT("0"&amp;MONTH(Table_Date_Dim[[#This Row],[Date_all_Day]]),2))</f>
        <v>201907</v>
      </c>
    </row>
    <row r="309" spans="1:5">
      <c r="A309" s="8">
        <v>43651</v>
      </c>
      <c r="B309">
        <f>DAY(Table_Date_Dim[[#This Row],[Date_all_Day]])</f>
        <v>5</v>
      </c>
      <c r="C309">
        <v>1</v>
      </c>
      <c r="D309" s="12" t="str">
        <f>TEXT(Table_Date_Dim[[#This Row],[Date_all_Day]],"dddd")</f>
        <v>Friday</v>
      </c>
      <c r="E309" t="str">
        <f>CONCATENATE(YEAR(Table_Date_Dim[[#This Row],[Date_all_Day]]),RIGHT("0"&amp;MONTH(Table_Date_Dim[[#This Row],[Date_all_Day]]),2))</f>
        <v>201907</v>
      </c>
    </row>
    <row r="310" spans="1:5">
      <c r="A310" s="8">
        <v>43652</v>
      </c>
      <c r="B310">
        <f>DAY(Table_Date_Dim[[#This Row],[Date_all_Day]])</f>
        <v>6</v>
      </c>
      <c r="C310">
        <v>1</v>
      </c>
      <c r="D310" s="12" t="str">
        <f>TEXT(Table_Date_Dim[[#This Row],[Date_all_Day]],"dddd")</f>
        <v>Saturday</v>
      </c>
      <c r="E310" t="str">
        <f>CONCATENATE(YEAR(Table_Date_Dim[[#This Row],[Date_all_Day]]),RIGHT("0"&amp;MONTH(Table_Date_Dim[[#This Row],[Date_all_Day]]),2))</f>
        <v>201907</v>
      </c>
    </row>
    <row r="311" spans="1:5">
      <c r="A311" s="8">
        <v>43653</v>
      </c>
      <c r="B311">
        <f>DAY(Table_Date_Dim[[#This Row],[Date_all_Day]])</f>
        <v>7</v>
      </c>
      <c r="C311">
        <v>1</v>
      </c>
      <c r="D311" s="12" t="str">
        <f>TEXT(Table_Date_Dim[[#This Row],[Date_all_Day]],"dddd")</f>
        <v>Sunday</v>
      </c>
      <c r="E311" t="str">
        <f>CONCATENATE(YEAR(Table_Date_Dim[[#This Row],[Date_all_Day]]),RIGHT("0"&amp;MONTH(Table_Date_Dim[[#This Row],[Date_all_Day]]),2))</f>
        <v>201907</v>
      </c>
    </row>
    <row r="312" spans="1:5">
      <c r="A312" s="8">
        <v>43654</v>
      </c>
      <c r="B312">
        <f>DAY(Table_Date_Dim[[#This Row],[Date_all_Day]])</f>
        <v>8</v>
      </c>
      <c r="C312">
        <v>2</v>
      </c>
      <c r="D312" s="12" t="str">
        <f>TEXT(Table_Date_Dim[[#This Row],[Date_all_Day]],"dddd")</f>
        <v>Monday</v>
      </c>
      <c r="E312" t="str">
        <f>CONCATENATE(YEAR(Table_Date_Dim[[#This Row],[Date_all_Day]]),RIGHT("0"&amp;MONTH(Table_Date_Dim[[#This Row],[Date_all_Day]]),2))</f>
        <v>201907</v>
      </c>
    </row>
    <row r="313" spans="1:5">
      <c r="A313" s="8">
        <v>43655</v>
      </c>
      <c r="B313">
        <f>DAY(Table_Date_Dim[[#This Row],[Date_all_Day]])</f>
        <v>9</v>
      </c>
      <c r="C313">
        <v>2</v>
      </c>
      <c r="D313" s="12" t="str">
        <f>TEXT(Table_Date_Dim[[#This Row],[Date_all_Day]],"dddd")</f>
        <v>Tuesday</v>
      </c>
      <c r="E313" t="str">
        <f>CONCATENATE(YEAR(Table_Date_Dim[[#This Row],[Date_all_Day]]),RIGHT("0"&amp;MONTH(Table_Date_Dim[[#This Row],[Date_all_Day]]),2))</f>
        <v>201907</v>
      </c>
    </row>
    <row r="314" spans="1:5">
      <c r="A314" s="8">
        <v>43656</v>
      </c>
      <c r="B314">
        <f>DAY(Table_Date_Dim[[#This Row],[Date_all_Day]])</f>
        <v>10</v>
      </c>
      <c r="C314">
        <v>2</v>
      </c>
      <c r="D314" s="12" t="str">
        <f>TEXT(Table_Date_Dim[[#This Row],[Date_all_Day]],"dddd")</f>
        <v>Wednesday</v>
      </c>
      <c r="E314" t="str">
        <f>CONCATENATE(YEAR(Table_Date_Dim[[#This Row],[Date_all_Day]]),RIGHT("0"&amp;MONTH(Table_Date_Dim[[#This Row],[Date_all_Day]]),2))</f>
        <v>201907</v>
      </c>
    </row>
    <row r="315" spans="1:5">
      <c r="A315" s="8">
        <v>43657</v>
      </c>
      <c r="B315">
        <f>DAY(Table_Date_Dim[[#This Row],[Date_all_Day]])</f>
        <v>11</v>
      </c>
      <c r="C315">
        <v>2</v>
      </c>
      <c r="D315" s="12" t="str">
        <f>TEXT(Table_Date_Dim[[#This Row],[Date_all_Day]],"dddd")</f>
        <v>Thursday</v>
      </c>
      <c r="E315" t="str">
        <f>CONCATENATE(YEAR(Table_Date_Dim[[#This Row],[Date_all_Day]]),RIGHT("0"&amp;MONTH(Table_Date_Dim[[#This Row],[Date_all_Day]]),2))</f>
        <v>201907</v>
      </c>
    </row>
    <row r="316" spans="1:5">
      <c r="A316" s="8">
        <v>43658</v>
      </c>
      <c r="B316">
        <f>DAY(Table_Date_Dim[[#This Row],[Date_all_Day]])</f>
        <v>12</v>
      </c>
      <c r="C316">
        <v>2</v>
      </c>
      <c r="D316" s="12" t="str">
        <f>TEXT(Table_Date_Dim[[#This Row],[Date_all_Day]],"dddd")</f>
        <v>Friday</v>
      </c>
      <c r="E316" t="str">
        <f>CONCATENATE(YEAR(Table_Date_Dim[[#This Row],[Date_all_Day]]),RIGHT("0"&amp;MONTH(Table_Date_Dim[[#This Row],[Date_all_Day]]),2))</f>
        <v>201907</v>
      </c>
    </row>
    <row r="317" spans="1:5">
      <c r="A317" s="8">
        <v>43659</v>
      </c>
      <c r="B317">
        <f>DAY(Table_Date_Dim[[#This Row],[Date_all_Day]])</f>
        <v>13</v>
      </c>
      <c r="C317">
        <v>2</v>
      </c>
      <c r="D317" s="12" t="str">
        <f>TEXT(Table_Date_Dim[[#This Row],[Date_all_Day]],"dddd")</f>
        <v>Saturday</v>
      </c>
      <c r="E317" t="str">
        <f>CONCATENATE(YEAR(Table_Date_Dim[[#This Row],[Date_all_Day]]),RIGHT("0"&amp;MONTH(Table_Date_Dim[[#This Row],[Date_all_Day]]),2))</f>
        <v>201907</v>
      </c>
    </row>
    <row r="318" spans="1:5">
      <c r="A318" s="8">
        <v>43660</v>
      </c>
      <c r="B318">
        <f>DAY(Table_Date_Dim[[#This Row],[Date_all_Day]])</f>
        <v>14</v>
      </c>
      <c r="C318">
        <v>2</v>
      </c>
      <c r="D318" s="12" t="str">
        <f>TEXT(Table_Date_Dim[[#This Row],[Date_all_Day]],"dddd")</f>
        <v>Sunday</v>
      </c>
      <c r="E318" t="str">
        <f>CONCATENATE(YEAR(Table_Date_Dim[[#This Row],[Date_all_Day]]),RIGHT("0"&amp;MONTH(Table_Date_Dim[[#This Row],[Date_all_Day]]),2))</f>
        <v>201907</v>
      </c>
    </row>
    <row r="319" spans="1:5">
      <c r="A319" s="8">
        <v>43661</v>
      </c>
      <c r="B319">
        <f>DAY(Table_Date_Dim[[#This Row],[Date_all_Day]])</f>
        <v>15</v>
      </c>
      <c r="C319">
        <v>3</v>
      </c>
      <c r="D319" s="12" t="str">
        <f>TEXT(Table_Date_Dim[[#This Row],[Date_all_Day]],"dddd")</f>
        <v>Monday</v>
      </c>
      <c r="E319" t="str">
        <f>CONCATENATE(YEAR(Table_Date_Dim[[#This Row],[Date_all_Day]]),RIGHT("0"&amp;MONTH(Table_Date_Dim[[#This Row],[Date_all_Day]]),2))</f>
        <v>201907</v>
      </c>
    </row>
    <row r="320" spans="1:5">
      <c r="A320" s="8">
        <v>43662</v>
      </c>
      <c r="B320">
        <f>DAY(Table_Date_Dim[[#This Row],[Date_all_Day]])</f>
        <v>16</v>
      </c>
      <c r="C320">
        <v>3</v>
      </c>
      <c r="D320" s="12" t="str">
        <f>TEXT(Table_Date_Dim[[#This Row],[Date_all_Day]],"dddd")</f>
        <v>Tuesday</v>
      </c>
      <c r="E320" t="str">
        <f>CONCATENATE(YEAR(Table_Date_Dim[[#This Row],[Date_all_Day]]),RIGHT("0"&amp;MONTH(Table_Date_Dim[[#This Row],[Date_all_Day]]),2))</f>
        <v>201907</v>
      </c>
    </row>
    <row r="321" spans="1:5">
      <c r="A321" s="8">
        <v>43663</v>
      </c>
      <c r="B321">
        <f>DAY(Table_Date_Dim[[#This Row],[Date_all_Day]])</f>
        <v>17</v>
      </c>
      <c r="C321">
        <v>3</v>
      </c>
      <c r="D321" s="12" t="str">
        <f>TEXT(Table_Date_Dim[[#This Row],[Date_all_Day]],"dddd")</f>
        <v>Wednesday</v>
      </c>
      <c r="E321" t="str">
        <f>CONCATENATE(YEAR(Table_Date_Dim[[#This Row],[Date_all_Day]]),RIGHT("0"&amp;MONTH(Table_Date_Dim[[#This Row],[Date_all_Day]]),2))</f>
        <v>201907</v>
      </c>
    </row>
    <row r="322" spans="1:5">
      <c r="A322" s="8">
        <v>43664</v>
      </c>
      <c r="B322">
        <f>DAY(Table_Date_Dim[[#This Row],[Date_all_Day]])</f>
        <v>18</v>
      </c>
      <c r="C322">
        <v>3</v>
      </c>
      <c r="D322" s="12" t="str">
        <f>TEXT(Table_Date_Dim[[#This Row],[Date_all_Day]],"dddd")</f>
        <v>Thursday</v>
      </c>
      <c r="E322" t="str">
        <f>CONCATENATE(YEAR(Table_Date_Dim[[#This Row],[Date_all_Day]]),RIGHT("0"&amp;MONTH(Table_Date_Dim[[#This Row],[Date_all_Day]]),2))</f>
        <v>201907</v>
      </c>
    </row>
    <row r="323" spans="1:5">
      <c r="A323" s="8">
        <v>43665</v>
      </c>
      <c r="B323">
        <f>DAY(Table_Date_Dim[[#This Row],[Date_all_Day]])</f>
        <v>19</v>
      </c>
      <c r="C323">
        <v>3</v>
      </c>
      <c r="D323" s="12" t="str">
        <f>TEXT(Table_Date_Dim[[#This Row],[Date_all_Day]],"dddd")</f>
        <v>Friday</v>
      </c>
      <c r="E323" t="str">
        <f>CONCATENATE(YEAR(Table_Date_Dim[[#This Row],[Date_all_Day]]),RIGHT("0"&amp;MONTH(Table_Date_Dim[[#This Row],[Date_all_Day]]),2))</f>
        <v>201907</v>
      </c>
    </row>
    <row r="324" spans="1:5">
      <c r="A324" s="8">
        <v>43666</v>
      </c>
      <c r="B324">
        <f>DAY(Table_Date_Dim[[#This Row],[Date_all_Day]])</f>
        <v>20</v>
      </c>
      <c r="C324">
        <v>3</v>
      </c>
      <c r="D324" s="12" t="str">
        <f>TEXT(Table_Date_Dim[[#This Row],[Date_all_Day]],"dddd")</f>
        <v>Saturday</v>
      </c>
      <c r="E324" t="str">
        <f>CONCATENATE(YEAR(Table_Date_Dim[[#This Row],[Date_all_Day]]),RIGHT("0"&amp;MONTH(Table_Date_Dim[[#This Row],[Date_all_Day]]),2))</f>
        <v>201907</v>
      </c>
    </row>
    <row r="325" spans="1:5">
      <c r="A325" s="8">
        <v>43667</v>
      </c>
      <c r="B325">
        <f>DAY(Table_Date_Dim[[#This Row],[Date_all_Day]])</f>
        <v>21</v>
      </c>
      <c r="C325">
        <v>3</v>
      </c>
      <c r="D325" s="12" t="str">
        <f>TEXT(Table_Date_Dim[[#This Row],[Date_all_Day]],"dddd")</f>
        <v>Sunday</v>
      </c>
      <c r="E325" t="str">
        <f>CONCATENATE(YEAR(Table_Date_Dim[[#This Row],[Date_all_Day]]),RIGHT("0"&amp;MONTH(Table_Date_Dim[[#This Row],[Date_all_Day]]),2))</f>
        <v>201907</v>
      </c>
    </row>
    <row r="326" spans="1:5">
      <c r="A326" s="8">
        <v>43668</v>
      </c>
      <c r="B326">
        <f>DAY(Table_Date_Dim[[#This Row],[Date_all_Day]])</f>
        <v>22</v>
      </c>
      <c r="C326">
        <v>4</v>
      </c>
      <c r="D326" s="12" t="str">
        <f>TEXT(Table_Date_Dim[[#This Row],[Date_all_Day]],"dddd")</f>
        <v>Monday</v>
      </c>
      <c r="E326" t="str">
        <f>CONCATENATE(YEAR(Table_Date_Dim[[#This Row],[Date_all_Day]]),RIGHT("0"&amp;MONTH(Table_Date_Dim[[#This Row],[Date_all_Day]]),2))</f>
        <v>201907</v>
      </c>
    </row>
    <row r="327" spans="1:5">
      <c r="A327" s="8">
        <v>43669</v>
      </c>
      <c r="B327">
        <f>DAY(Table_Date_Dim[[#This Row],[Date_all_Day]])</f>
        <v>23</v>
      </c>
      <c r="C327">
        <v>4</v>
      </c>
      <c r="D327" s="12" t="str">
        <f>TEXT(Table_Date_Dim[[#This Row],[Date_all_Day]],"dddd")</f>
        <v>Tuesday</v>
      </c>
      <c r="E327" t="str">
        <f>CONCATENATE(YEAR(Table_Date_Dim[[#This Row],[Date_all_Day]]),RIGHT("0"&amp;MONTH(Table_Date_Dim[[#This Row],[Date_all_Day]]),2))</f>
        <v>201907</v>
      </c>
    </row>
    <row r="328" spans="1:5">
      <c r="A328" s="8">
        <v>43670</v>
      </c>
      <c r="B328">
        <f>DAY(Table_Date_Dim[[#This Row],[Date_all_Day]])</f>
        <v>24</v>
      </c>
      <c r="C328">
        <v>4</v>
      </c>
      <c r="D328" s="12" t="str">
        <f>TEXT(Table_Date_Dim[[#This Row],[Date_all_Day]],"dddd")</f>
        <v>Wednesday</v>
      </c>
      <c r="E328" t="str">
        <f>CONCATENATE(YEAR(Table_Date_Dim[[#This Row],[Date_all_Day]]),RIGHT("0"&amp;MONTH(Table_Date_Dim[[#This Row],[Date_all_Day]]),2))</f>
        <v>201907</v>
      </c>
    </row>
    <row r="329" spans="1:5">
      <c r="A329" s="8">
        <v>43671</v>
      </c>
      <c r="B329">
        <f>DAY(Table_Date_Dim[[#This Row],[Date_all_Day]])</f>
        <v>25</v>
      </c>
      <c r="C329">
        <v>4</v>
      </c>
      <c r="D329" s="12" t="str">
        <f>TEXT(Table_Date_Dim[[#This Row],[Date_all_Day]],"dddd")</f>
        <v>Thursday</v>
      </c>
      <c r="E329" t="str">
        <f>CONCATENATE(YEAR(Table_Date_Dim[[#This Row],[Date_all_Day]]),RIGHT("0"&amp;MONTH(Table_Date_Dim[[#This Row],[Date_all_Day]]),2))</f>
        <v>201907</v>
      </c>
    </row>
    <row r="330" spans="1:5">
      <c r="A330" s="8">
        <v>43672</v>
      </c>
      <c r="B330">
        <f>DAY(Table_Date_Dim[[#This Row],[Date_all_Day]])</f>
        <v>26</v>
      </c>
      <c r="C330">
        <v>4</v>
      </c>
      <c r="D330" s="12" t="str">
        <f>TEXT(Table_Date_Dim[[#This Row],[Date_all_Day]],"dddd")</f>
        <v>Friday</v>
      </c>
      <c r="E330" t="str">
        <f>CONCATENATE(YEAR(Table_Date_Dim[[#This Row],[Date_all_Day]]),RIGHT("0"&amp;MONTH(Table_Date_Dim[[#This Row],[Date_all_Day]]),2))</f>
        <v>201907</v>
      </c>
    </row>
    <row r="331" spans="1:5">
      <c r="A331" s="8">
        <v>43673</v>
      </c>
      <c r="B331">
        <f>DAY(Table_Date_Dim[[#This Row],[Date_all_Day]])</f>
        <v>27</v>
      </c>
      <c r="C331">
        <v>4</v>
      </c>
      <c r="D331" s="12" t="str">
        <f>TEXT(Table_Date_Dim[[#This Row],[Date_all_Day]],"dddd")</f>
        <v>Saturday</v>
      </c>
      <c r="E331" t="str">
        <f>CONCATENATE(YEAR(Table_Date_Dim[[#This Row],[Date_all_Day]]),RIGHT("0"&amp;MONTH(Table_Date_Dim[[#This Row],[Date_all_Day]]),2))</f>
        <v>201907</v>
      </c>
    </row>
    <row r="332" spans="1:5">
      <c r="A332" s="8">
        <v>43674</v>
      </c>
      <c r="B332">
        <f>DAY(Table_Date_Dim[[#This Row],[Date_all_Day]])</f>
        <v>28</v>
      </c>
      <c r="C332">
        <v>4</v>
      </c>
      <c r="D332" s="12" t="str">
        <f>TEXT(Table_Date_Dim[[#This Row],[Date_all_Day]],"dddd")</f>
        <v>Sunday</v>
      </c>
      <c r="E332" t="str">
        <f>CONCATENATE(YEAR(Table_Date_Dim[[#This Row],[Date_all_Day]]),RIGHT("0"&amp;MONTH(Table_Date_Dim[[#This Row],[Date_all_Day]]),2))</f>
        <v>201907</v>
      </c>
    </row>
    <row r="333" spans="1:5">
      <c r="A333" s="8">
        <v>43675</v>
      </c>
      <c r="B333">
        <f>DAY(Table_Date_Dim[[#This Row],[Date_all_Day]])</f>
        <v>29</v>
      </c>
      <c r="C333">
        <v>5</v>
      </c>
      <c r="D333" s="12" t="str">
        <f>TEXT(Table_Date_Dim[[#This Row],[Date_all_Day]],"dddd")</f>
        <v>Monday</v>
      </c>
      <c r="E333" t="str">
        <f>CONCATENATE(YEAR(Table_Date_Dim[[#This Row],[Date_all_Day]]),RIGHT("0"&amp;MONTH(Table_Date_Dim[[#This Row],[Date_all_Day]]),2))</f>
        <v>201907</v>
      </c>
    </row>
    <row r="334" spans="1:5">
      <c r="A334" s="8">
        <v>43676</v>
      </c>
      <c r="B334">
        <f>DAY(Table_Date_Dim[[#This Row],[Date_all_Day]])</f>
        <v>30</v>
      </c>
      <c r="C334">
        <v>5</v>
      </c>
      <c r="D334" s="12" t="str">
        <f>TEXT(Table_Date_Dim[[#This Row],[Date_all_Day]],"dddd")</f>
        <v>Tuesday</v>
      </c>
      <c r="E334" t="str">
        <f>CONCATENATE(YEAR(Table_Date_Dim[[#This Row],[Date_all_Day]]),RIGHT("0"&amp;MONTH(Table_Date_Dim[[#This Row],[Date_all_Day]]),2))</f>
        <v>201907</v>
      </c>
    </row>
    <row r="335" spans="1:5">
      <c r="A335" s="8">
        <v>43677</v>
      </c>
      <c r="B335">
        <f>DAY(Table_Date_Dim[[#This Row],[Date_all_Day]])</f>
        <v>31</v>
      </c>
      <c r="C335">
        <v>5</v>
      </c>
      <c r="D335" s="12" t="str">
        <f>TEXT(Table_Date_Dim[[#This Row],[Date_all_Day]],"dddd")</f>
        <v>Wednesday</v>
      </c>
      <c r="E335" t="str">
        <f>CONCATENATE(YEAR(Table_Date_Dim[[#This Row],[Date_all_Day]]),RIGHT("0"&amp;MONTH(Table_Date_Dim[[#This Row],[Date_all_Day]]),2))</f>
        <v>201907</v>
      </c>
    </row>
    <row r="336" spans="1:5">
      <c r="A336" s="8">
        <v>43678</v>
      </c>
      <c r="B336">
        <f>DAY(Table_Date_Dim[[#This Row],[Date_all_Day]])</f>
        <v>1</v>
      </c>
      <c r="C336">
        <v>1</v>
      </c>
      <c r="D336" s="12" t="str">
        <f>TEXT(Table_Date_Dim[[#This Row],[Date_all_Day]],"dddd")</f>
        <v>Thursday</v>
      </c>
      <c r="E336" t="str">
        <f>CONCATENATE(YEAR(Table_Date_Dim[[#This Row],[Date_all_Day]]),RIGHT("0"&amp;MONTH(Table_Date_Dim[[#This Row],[Date_all_Day]]),2))</f>
        <v>201908</v>
      </c>
    </row>
    <row r="337" spans="1:5">
      <c r="A337" s="8">
        <v>43679</v>
      </c>
      <c r="B337">
        <f>DAY(Table_Date_Dim[[#This Row],[Date_all_Day]])</f>
        <v>2</v>
      </c>
      <c r="C337">
        <v>1</v>
      </c>
      <c r="D337" s="12" t="str">
        <f>TEXT(Table_Date_Dim[[#This Row],[Date_all_Day]],"dddd")</f>
        <v>Friday</v>
      </c>
      <c r="E337" t="str">
        <f>CONCATENATE(YEAR(Table_Date_Dim[[#This Row],[Date_all_Day]]),RIGHT("0"&amp;MONTH(Table_Date_Dim[[#This Row],[Date_all_Day]]),2))</f>
        <v>201908</v>
      </c>
    </row>
    <row r="338" spans="1:5">
      <c r="A338" s="8">
        <v>43680</v>
      </c>
      <c r="B338">
        <f>DAY(Table_Date_Dim[[#This Row],[Date_all_Day]])</f>
        <v>3</v>
      </c>
      <c r="C338">
        <v>1</v>
      </c>
      <c r="D338" s="12" t="str">
        <f>TEXT(Table_Date_Dim[[#This Row],[Date_all_Day]],"dddd")</f>
        <v>Saturday</v>
      </c>
      <c r="E338" t="str">
        <f>CONCATENATE(YEAR(Table_Date_Dim[[#This Row],[Date_all_Day]]),RIGHT("0"&amp;MONTH(Table_Date_Dim[[#This Row],[Date_all_Day]]),2))</f>
        <v>201908</v>
      </c>
    </row>
    <row r="339" spans="1:5">
      <c r="A339" s="8">
        <v>43681</v>
      </c>
      <c r="B339">
        <f>DAY(Table_Date_Dim[[#This Row],[Date_all_Day]])</f>
        <v>4</v>
      </c>
      <c r="C339">
        <v>1</v>
      </c>
      <c r="D339" s="12" t="str">
        <f>TEXT(Table_Date_Dim[[#This Row],[Date_all_Day]],"dddd")</f>
        <v>Sunday</v>
      </c>
      <c r="E339" t="str">
        <f>CONCATENATE(YEAR(Table_Date_Dim[[#This Row],[Date_all_Day]]),RIGHT("0"&amp;MONTH(Table_Date_Dim[[#This Row],[Date_all_Day]]),2))</f>
        <v>201908</v>
      </c>
    </row>
    <row r="340" spans="1:5">
      <c r="A340" s="8">
        <v>43682</v>
      </c>
      <c r="B340">
        <f>DAY(Table_Date_Dim[[#This Row],[Date_all_Day]])</f>
        <v>5</v>
      </c>
      <c r="C340">
        <v>2</v>
      </c>
      <c r="D340" s="12" t="str">
        <f>TEXT(Table_Date_Dim[[#This Row],[Date_all_Day]],"dddd")</f>
        <v>Monday</v>
      </c>
      <c r="E340" t="str">
        <f>CONCATENATE(YEAR(Table_Date_Dim[[#This Row],[Date_all_Day]]),RIGHT("0"&amp;MONTH(Table_Date_Dim[[#This Row],[Date_all_Day]]),2))</f>
        <v>201908</v>
      </c>
    </row>
    <row r="341" spans="1:5">
      <c r="A341" s="8">
        <v>43683</v>
      </c>
      <c r="B341">
        <f>DAY(Table_Date_Dim[[#This Row],[Date_all_Day]])</f>
        <v>6</v>
      </c>
      <c r="C341">
        <v>2</v>
      </c>
      <c r="D341" s="12" t="str">
        <f>TEXT(Table_Date_Dim[[#This Row],[Date_all_Day]],"dddd")</f>
        <v>Tuesday</v>
      </c>
      <c r="E341" t="str">
        <f>CONCATENATE(YEAR(Table_Date_Dim[[#This Row],[Date_all_Day]]),RIGHT("0"&amp;MONTH(Table_Date_Dim[[#This Row],[Date_all_Day]]),2))</f>
        <v>201908</v>
      </c>
    </row>
    <row r="342" spans="1:5">
      <c r="A342" s="8">
        <v>43684</v>
      </c>
      <c r="B342">
        <f>DAY(Table_Date_Dim[[#This Row],[Date_all_Day]])</f>
        <v>7</v>
      </c>
      <c r="C342">
        <v>2</v>
      </c>
      <c r="D342" s="12" t="str">
        <f>TEXT(Table_Date_Dim[[#This Row],[Date_all_Day]],"dddd")</f>
        <v>Wednesday</v>
      </c>
      <c r="E342" t="str">
        <f>CONCATENATE(YEAR(Table_Date_Dim[[#This Row],[Date_all_Day]]),RIGHT("0"&amp;MONTH(Table_Date_Dim[[#This Row],[Date_all_Day]]),2))</f>
        <v>201908</v>
      </c>
    </row>
    <row r="343" spans="1:5">
      <c r="A343" s="8">
        <v>43685</v>
      </c>
      <c r="B343">
        <f>DAY(Table_Date_Dim[[#This Row],[Date_all_Day]])</f>
        <v>8</v>
      </c>
      <c r="C343">
        <v>2</v>
      </c>
      <c r="D343" s="12" t="str">
        <f>TEXT(Table_Date_Dim[[#This Row],[Date_all_Day]],"dddd")</f>
        <v>Thursday</v>
      </c>
      <c r="E343" t="str">
        <f>CONCATENATE(YEAR(Table_Date_Dim[[#This Row],[Date_all_Day]]),RIGHT("0"&amp;MONTH(Table_Date_Dim[[#This Row],[Date_all_Day]]),2))</f>
        <v>201908</v>
      </c>
    </row>
    <row r="344" spans="1:5">
      <c r="A344" s="8">
        <v>43686</v>
      </c>
      <c r="B344">
        <f>DAY(Table_Date_Dim[[#This Row],[Date_all_Day]])</f>
        <v>9</v>
      </c>
      <c r="C344">
        <v>2</v>
      </c>
      <c r="D344" s="12" t="str">
        <f>TEXT(Table_Date_Dim[[#This Row],[Date_all_Day]],"dddd")</f>
        <v>Friday</v>
      </c>
      <c r="E344" t="str">
        <f>CONCATENATE(YEAR(Table_Date_Dim[[#This Row],[Date_all_Day]]),RIGHT("0"&amp;MONTH(Table_Date_Dim[[#This Row],[Date_all_Day]]),2))</f>
        <v>201908</v>
      </c>
    </row>
    <row r="345" spans="1:5">
      <c r="A345" s="8">
        <v>43687</v>
      </c>
      <c r="B345">
        <f>DAY(Table_Date_Dim[[#This Row],[Date_all_Day]])</f>
        <v>10</v>
      </c>
      <c r="C345">
        <v>2</v>
      </c>
      <c r="D345" s="12" t="str">
        <f>TEXT(Table_Date_Dim[[#This Row],[Date_all_Day]],"dddd")</f>
        <v>Saturday</v>
      </c>
      <c r="E345" t="str">
        <f>CONCATENATE(YEAR(Table_Date_Dim[[#This Row],[Date_all_Day]]),RIGHT("0"&amp;MONTH(Table_Date_Dim[[#This Row],[Date_all_Day]]),2))</f>
        <v>201908</v>
      </c>
    </row>
    <row r="346" spans="1:5">
      <c r="A346" s="8">
        <v>43688</v>
      </c>
      <c r="B346">
        <f>DAY(Table_Date_Dim[[#This Row],[Date_all_Day]])</f>
        <v>11</v>
      </c>
      <c r="C346">
        <v>2</v>
      </c>
      <c r="D346" s="12" t="str">
        <f>TEXT(Table_Date_Dim[[#This Row],[Date_all_Day]],"dddd")</f>
        <v>Sunday</v>
      </c>
      <c r="E346" t="str">
        <f>CONCATENATE(YEAR(Table_Date_Dim[[#This Row],[Date_all_Day]]),RIGHT("0"&amp;MONTH(Table_Date_Dim[[#This Row],[Date_all_Day]]),2))</f>
        <v>201908</v>
      </c>
    </row>
    <row r="347" spans="1:5">
      <c r="A347" s="8">
        <v>43689</v>
      </c>
      <c r="B347">
        <f>DAY(Table_Date_Dim[[#This Row],[Date_all_Day]])</f>
        <v>12</v>
      </c>
      <c r="C347">
        <v>3</v>
      </c>
      <c r="D347" s="12" t="str">
        <f>TEXT(Table_Date_Dim[[#This Row],[Date_all_Day]],"dddd")</f>
        <v>Monday</v>
      </c>
      <c r="E347" t="str">
        <f>CONCATENATE(YEAR(Table_Date_Dim[[#This Row],[Date_all_Day]]),RIGHT("0"&amp;MONTH(Table_Date_Dim[[#This Row],[Date_all_Day]]),2))</f>
        <v>201908</v>
      </c>
    </row>
    <row r="348" spans="1:5">
      <c r="A348" s="8">
        <v>43690</v>
      </c>
      <c r="B348">
        <f>DAY(Table_Date_Dim[[#This Row],[Date_all_Day]])</f>
        <v>13</v>
      </c>
      <c r="C348">
        <v>3</v>
      </c>
      <c r="D348" s="12" t="str">
        <f>TEXT(Table_Date_Dim[[#This Row],[Date_all_Day]],"dddd")</f>
        <v>Tuesday</v>
      </c>
      <c r="E348" t="str">
        <f>CONCATENATE(YEAR(Table_Date_Dim[[#This Row],[Date_all_Day]]),RIGHT("0"&amp;MONTH(Table_Date_Dim[[#This Row],[Date_all_Day]]),2))</f>
        <v>201908</v>
      </c>
    </row>
    <row r="349" spans="1:5">
      <c r="A349" s="8">
        <v>43691</v>
      </c>
      <c r="B349">
        <f>DAY(Table_Date_Dim[[#This Row],[Date_all_Day]])</f>
        <v>14</v>
      </c>
      <c r="C349">
        <v>3</v>
      </c>
      <c r="D349" s="12" t="str">
        <f>TEXT(Table_Date_Dim[[#This Row],[Date_all_Day]],"dddd")</f>
        <v>Wednesday</v>
      </c>
      <c r="E349" t="str">
        <f>CONCATENATE(YEAR(Table_Date_Dim[[#This Row],[Date_all_Day]]),RIGHT("0"&amp;MONTH(Table_Date_Dim[[#This Row],[Date_all_Day]]),2))</f>
        <v>201908</v>
      </c>
    </row>
    <row r="350" spans="1:5">
      <c r="A350" s="8">
        <v>43692</v>
      </c>
      <c r="B350">
        <f>DAY(Table_Date_Dim[[#This Row],[Date_all_Day]])</f>
        <v>15</v>
      </c>
      <c r="C350">
        <v>3</v>
      </c>
      <c r="D350" s="12" t="str">
        <f>TEXT(Table_Date_Dim[[#This Row],[Date_all_Day]],"dddd")</f>
        <v>Thursday</v>
      </c>
      <c r="E350" t="str">
        <f>CONCATENATE(YEAR(Table_Date_Dim[[#This Row],[Date_all_Day]]),RIGHT("0"&amp;MONTH(Table_Date_Dim[[#This Row],[Date_all_Day]]),2))</f>
        <v>201908</v>
      </c>
    </row>
    <row r="351" spans="1:5">
      <c r="A351" s="8">
        <v>43693</v>
      </c>
      <c r="B351">
        <f>DAY(Table_Date_Dim[[#This Row],[Date_all_Day]])</f>
        <v>16</v>
      </c>
      <c r="C351">
        <v>3</v>
      </c>
      <c r="D351" s="12" t="str">
        <f>TEXT(Table_Date_Dim[[#This Row],[Date_all_Day]],"dddd")</f>
        <v>Friday</v>
      </c>
      <c r="E351" t="str">
        <f>CONCATENATE(YEAR(Table_Date_Dim[[#This Row],[Date_all_Day]]),RIGHT("0"&amp;MONTH(Table_Date_Dim[[#This Row],[Date_all_Day]]),2))</f>
        <v>201908</v>
      </c>
    </row>
    <row r="352" spans="1:5">
      <c r="A352" s="8">
        <v>43694</v>
      </c>
      <c r="B352">
        <f>DAY(Table_Date_Dim[[#This Row],[Date_all_Day]])</f>
        <v>17</v>
      </c>
      <c r="C352">
        <v>3</v>
      </c>
      <c r="D352" s="12" t="str">
        <f>TEXT(Table_Date_Dim[[#This Row],[Date_all_Day]],"dddd")</f>
        <v>Saturday</v>
      </c>
      <c r="E352" t="str">
        <f>CONCATENATE(YEAR(Table_Date_Dim[[#This Row],[Date_all_Day]]),RIGHT("0"&amp;MONTH(Table_Date_Dim[[#This Row],[Date_all_Day]]),2))</f>
        <v>201908</v>
      </c>
    </row>
    <row r="353" spans="1:5">
      <c r="A353" s="8">
        <v>43695</v>
      </c>
      <c r="B353">
        <f>DAY(Table_Date_Dim[[#This Row],[Date_all_Day]])</f>
        <v>18</v>
      </c>
      <c r="C353">
        <v>3</v>
      </c>
      <c r="D353" s="12" t="str">
        <f>TEXT(Table_Date_Dim[[#This Row],[Date_all_Day]],"dddd")</f>
        <v>Sunday</v>
      </c>
      <c r="E353" t="str">
        <f>CONCATENATE(YEAR(Table_Date_Dim[[#This Row],[Date_all_Day]]),RIGHT("0"&amp;MONTH(Table_Date_Dim[[#This Row],[Date_all_Day]]),2))</f>
        <v>201908</v>
      </c>
    </row>
    <row r="354" spans="1:5">
      <c r="A354" s="8">
        <v>43696</v>
      </c>
      <c r="B354">
        <f>DAY(Table_Date_Dim[[#This Row],[Date_all_Day]])</f>
        <v>19</v>
      </c>
      <c r="C354">
        <v>4</v>
      </c>
      <c r="D354" s="12" t="str">
        <f>TEXT(Table_Date_Dim[[#This Row],[Date_all_Day]],"dddd")</f>
        <v>Monday</v>
      </c>
      <c r="E354" t="str">
        <f>CONCATENATE(YEAR(Table_Date_Dim[[#This Row],[Date_all_Day]]),RIGHT("0"&amp;MONTH(Table_Date_Dim[[#This Row],[Date_all_Day]]),2))</f>
        <v>201908</v>
      </c>
    </row>
    <row r="355" spans="1:5">
      <c r="A355" s="8">
        <v>43697</v>
      </c>
      <c r="B355">
        <f>DAY(Table_Date_Dim[[#This Row],[Date_all_Day]])</f>
        <v>20</v>
      </c>
      <c r="C355">
        <v>4</v>
      </c>
      <c r="D355" s="12" t="str">
        <f>TEXT(Table_Date_Dim[[#This Row],[Date_all_Day]],"dddd")</f>
        <v>Tuesday</v>
      </c>
      <c r="E355" t="str">
        <f>CONCATENATE(YEAR(Table_Date_Dim[[#This Row],[Date_all_Day]]),RIGHT("0"&amp;MONTH(Table_Date_Dim[[#This Row],[Date_all_Day]]),2))</f>
        <v>201908</v>
      </c>
    </row>
    <row r="356" spans="1:5">
      <c r="A356" s="8">
        <v>43698</v>
      </c>
      <c r="B356">
        <f>DAY(Table_Date_Dim[[#This Row],[Date_all_Day]])</f>
        <v>21</v>
      </c>
      <c r="C356">
        <v>4</v>
      </c>
      <c r="D356" s="12" t="str">
        <f>TEXT(Table_Date_Dim[[#This Row],[Date_all_Day]],"dddd")</f>
        <v>Wednesday</v>
      </c>
      <c r="E356" t="str">
        <f>CONCATENATE(YEAR(Table_Date_Dim[[#This Row],[Date_all_Day]]),RIGHT("0"&amp;MONTH(Table_Date_Dim[[#This Row],[Date_all_Day]]),2))</f>
        <v>201908</v>
      </c>
    </row>
    <row r="357" spans="1:5">
      <c r="A357" s="8">
        <v>43699</v>
      </c>
      <c r="B357">
        <f>DAY(Table_Date_Dim[[#This Row],[Date_all_Day]])</f>
        <v>22</v>
      </c>
      <c r="C357">
        <v>4</v>
      </c>
      <c r="D357" s="12" t="str">
        <f>TEXT(Table_Date_Dim[[#This Row],[Date_all_Day]],"dddd")</f>
        <v>Thursday</v>
      </c>
      <c r="E357" t="str">
        <f>CONCATENATE(YEAR(Table_Date_Dim[[#This Row],[Date_all_Day]]),RIGHT("0"&amp;MONTH(Table_Date_Dim[[#This Row],[Date_all_Day]]),2))</f>
        <v>201908</v>
      </c>
    </row>
    <row r="358" spans="1:5">
      <c r="A358" s="8">
        <v>43700</v>
      </c>
      <c r="B358">
        <f>DAY(Table_Date_Dim[[#This Row],[Date_all_Day]])</f>
        <v>23</v>
      </c>
      <c r="C358">
        <v>4</v>
      </c>
      <c r="D358" s="12" t="str">
        <f>TEXT(Table_Date_Dim[[#This Row],[Date_all_Day]],"dddd")</f>
        <v>Friday</v>
      </c>
      <c r="E358" t="str">
        <f>CONCATENATE(YEAR(Table_Date_Dim[[#This Row],[Date_all_Day]]),RIGHT("0"&amp;MONTH(Table_Date_Dim[[#This Row],[Date_all_Day]]),2))</f>
        <v>201908</v>
      </c>
    </row>
    <row r="359" spans="1:5">
      <c r="A359" s="8">
        <v>43701</v>
      </c>
      <c r="B359">
        <f>DAY(Table_Date_Dim[[#This Row],[Date_all_Day]])</f>
        <v>24</v>
      </c>
      <c r="C359">
        <v>4</v>
      </c>
      <c r="D359" s="12" t="str">
        <f>TEXT(Table_Date_Dim[[#This Row],[Date_all_Day]],"dddd")</f>
        <v>Saturday</v>
      </c>
      <c r="E359" t="str">
        <f>CONCATENATE(YEAR(Table_Date_Dim[[#This Row],[Date_all_Day]]),RIGHT("0"&amp;MONTH(Table_Date_Dim[[#This Row],[Date_all_Day]]),2))</f>
        <v>201908</v>
      </c>
    </row>
    <row r="360" spans="1:5">
      <c r="A360" s="8">
        <v>43702</v>
      </c>
      <c r="B360">
        <f>DAY(Table_Date_Dim[[#This Row],[Date_all_Day]])</f>
        <v>25</v>
      </c>
      <c r="C360">
        <v>4</v>
      </c>
      <c r="D360" s="12" t="str">
        <f>TEXT(Table_Date_Dim[[#This Row],[Date_all_Day]],"dddd")</f>
        <v>Sunday</v>
      </c>
      <c r="E360" t="str">
        <f>CONCATENATE(YEAR(Table_Date_Dim[[#This Row],[Date_all_Day]]),RIGHT("0"&amp;MONTH(Table_Date_Dim[[#This Row],[Date_all_Day]]),2))</f>
        <v>201908</v>
      </c>
    </row>
    <row r="361" spans="1:5">
      <c r="A361" s="8">
        <v>43703</v>
      </c>
      <c r="B361">
        <f>DAY(Table_Date_Dim[[#This Row],[Date_all_Day]])</f>
        <v>26</v>
      </c>
      <c r="C361">
        <v>5</v>
      </c>
      <c r="D361" s="12" t="str">
        <f>TEXT(Table_Date_Dim[[#This Row],[Date_all_Day]],"dddd")</f>
        <v>Monday</v>
      </c>
      <c r="E361" t="str">
        <f>CONCATENATE(YEAR(Table_Date_Dim[[#This Row],[Date_all_Day]]),RIGHT("0"&amp;MONTH(Table_Date_Dim[[#This Row],[Date_all_Day]]),2))</f>
        <v>201908</v>
      </c>
    </row>
    <row r="362" spans="1:5">
      <c r="A362" s="8">
        <v>43704</v>
      </c>
      <c r="B362">
        <f>DAY(Table_Date_Dim[[#This Row],[Date_all_Day]])</f>
        <v>27</v>
      </c>
      <c r="C362">
        <v>5</v>
      </c>
      <c r="D362" s="12" t="str">
        <f>TEXT(Table_Date_Dim[[#This Row],[Date_all_Day]],"dddd")</f>
        <v>Tuesday</v>
      </c>
      <c r="E362" t="str">
        <f>CONCATENATE(YEAR(Table_Date_Dim[[#This Row],[Date_all_Day]]),RIGHT("0"&amp;MONTH(Table_Date_Dim[[#This Row],[Date_all_Day]]),2))</f>
        <v>201908</v>
      </c>
    </row>
    <row r="363" spans="1:5">
      <c r="A363" s="8">
        <v>43705</v>
      </c>
      <c r="B363">
        <f>DAY(Table_Date_Dim[[#This Row],[Date_all_Day]])</f>
        <v>28</v>
      </c>
      <c r="C363">
        <v>5</v>
      </c>
      <c r="D363" s="12" t="str">
        <f>TEXT(Table_Date_Dim[[#This Row],[Date_all_Day]],"dddd")</f>
        <v>Wednesday</v>
      </c>
      <c r="E363" t="str">
        <f>CONCATENATE(YEAR(Table_Date_Dim[[#This Row],[Date_all_Day]]),RIGHT("0"&amp;MONTH(Table_Date_Dim[[#This Row],[Date_all_Day]]),2))</f>
        <v>201908</v>
      </c>
    </row>
    <row r="364" spans="1:5">
      <c r="A364" s="8">
        <v>43706</v>
      </c>
      <c r="B364">
        <f>DAY(Table_Date_Dim[[#This Row],[Date_all_Day]])</f>
        <v>29</v>
      </c>
      <c r="C364">
        <v>5</v>
      </c>
      <c r="D364" s="12" t="str">
        <f>TEXT(Table_Date_Dim[[#This Row],[Date_all_Day]],"dddd")</f>
        <v>Thursday</v>
      </c>
      <c r="E364" t="str">
        <f>CONCATENATE(YEAR(Table_Date_Dim[[#This Row],[Date_all_Day]]),RIGHT("0"&amp;MONTH(Table_Date_Dim[[#This Row],[Date_all_Day]]),2))</f>
        <v>201908</v>
      </c>
    </row>
    <row r="365" spans="1:5">
      <c r="A365" s="8">
        <v>43707</v>
      </c>
      <c r="B365">
        <f>DAY(Table_Date_Dim[[#This Row],[Date_all_Day]])</f>
        <v>30</v>
      </c>
      <c r="C365">
        <v>5</v>
      </c>
      <c r="D365" s="12" t="str">
        <f>TEXT(Table_Date_Dim[[#This Row],[Date_all_Day]],"dddd")</f>
        <v>Friday</v>
      </c>
      <c r="E365" t="str">
        <f>CONCATENATE(YEAR(Table_Date_Dim[[#This Row],[Date_all_Day]]),RIGHT("0"&amp;MONTH(Table_Date_Dim[[#This Row],[Date_all_Day]]),2))</f>
        <v>201908</v>
      </c>
    </row>
    <row r="366" spans="1:5">
      <c r="A366" s="8">
        <v>43708</v>
      </c>
      <c r="B366">
        <f>DAY(Table_Date_Dim[[#This Row],[Date_all_Day]])</f>
        <v>31</v>
      </c>
      <c r="C366">
        <v>5</v>
      </c>
      <c r="D366" s="12" t="str">
        <f>TEXT(Table_Date_Dim[[#This Row],[Date_all_Day]],"dddd")</f>
        <v>Saturday</v>
      </c>
      <c r="E366" t="str">
        <f>CONCATENATE(YEAR(Table_Date_Dim[[#This Row],[Date_all_Day]]),RIGHT("0"&amp;MONTH(Table_Date_Dim[[#This Row],[Date_all_Day]]),2))</f>
        <v>201908</v>
      </c>
    </row>
    <row r="367" spans="1:5">
      <c r="A367" s="8">
        <v>43709</v>
      </c>
      <c r="B367">
        <f>DAY(Table_Date_Dim[[#This Row],[Date_all_Day]])</f>
        <v>1</v>
      </c>
      <c r="C367">
        <v>1</v>
      </c>
      <c r="D367" s="12" t="str">
        <f>TEXT(Table_Date_Dim[[#This Row],[Date_all_Day]],"dddd")</f>
        <v>Sunday</v>
      </c>
      <c r="E367" t="str">
        <f>CONCATENATE(YEAR(Table_Date_Dim[[#This Row],[Date_all_Day]]),RIGHT("0"&amp;MONTH(Table_Date_Dim[[#This Row],[Date_all_Day]]),2))</f>
        <v>201909</v>
      </c>
    </row>
    <row r="368" spans="1:5">
      <c r="A368" s="8">
        <v>43710</v>
      </c>
      <c r="B368">
        <f>DAY(Table_Date_Dim[[#This Row],[Date_all_Day]])</f>
        <v>2</v>
      </c>
      <c r="C368">
        <v>2</v>
      </c>
      <c r="D368" s="12" t="str">
        <f>TEXT(Table_Date_Dim[[#This Row],[Date_all_Day]],"dddd")</f>
        <v>Monday</v>
      </c>
      <c r="E368" t="str">
        <f>CONCATENATE(YEAR(Table_Date_Dim[[#This Row],[Date_all_Day]]),RIGHT("0"&amp;MONTH(Table_Date_Dim[[#This Row],[Date_all_Day]]),2))</f>
        <v>201909</v>
      </c>
    </row>
    <row r="369" spans="1:5">
      <c r="A369" s="8">
        <v>43711</v>
      </c>
      <c r="B369">
        <f>DAY(Table_Date_Dim[[#This Row],[Date_all_Day]])</f>
        <v>3</v>
      </c>
      <c r="C369">
        <v>2</v>
      </c>
      <c r="D369" s="12" t="str">
        <f>TEXT(Table_Date_Dim[[#This Row],[Date_all_Day]],"dddd")</f>
        <v>Tuesday</v>
      </c>
      <c r="E369" t="str">
        <f>CONCATENATE(YEAR(Table_Date_Dim[[#This Row],[Date_all_Day]]),RIGHT("0"&amp;MONTH(Table_Date_Dim[[#This Row],[Date_all_Day]]),2))</f>
        <v>201909</v>
      </c>
    </row>
    <row r="370" spans="1:5">
      <c r="A370" s="8">
        <v>43712</v>
      </c>
      <c r="B370">
        <f>DAY(Table_Date_Dim[[#This Row],[Date_all_Day]])</f>
        <v>4</v>
      </c>
      <c r="C370">
        <v>2</v>
      </c>
      <c r="D370" s="12" t="str">
        <f>TEXT(Table_Date_Dim[[#This Row],[Date_all_Day]],"dddd")</f>
        <v>Wednesday</v>
      </c>
      <c r="E370" t="str">
        <f>CONCATENATE(YEAR(Table_Date_Dim[[#This Row],[Date_all_Day]]),RIGHT("0"&amp;MONTH(Table_Date_Dim[[#This Row],[Date_all_Day]]),2))</f>
        <v>201909</v>
      </c>
    </row>
    <row r="371" spans="1:5">
      <c r="A371" s="8">
        <v>43713</v>
      </c>
      <c r="B371">
        <f>DAY(Table_Date_Dim[[#This Row],[Date_all_Day]])</f>
        <v>5</v>
      </c>
      <c r="C371">
        <v>2</v>
      </c>
      <c r="D371" s="12" t="str">
        <f>TEXT(Table_Date_Dim[[#This Row],[Date_all_Day]],"dddd")</f>
        <v>Thursday</v>
      </c>
      <c r="E371" t="str">
        <f>CONCATENATE(YEAR(Table_Date_Dim[[#This Row],[Date_all_Day]]),RIGHT("0"&amp;MONTH(Table_Date_Dim[[#This Row],[Date_all_Day]]),2))</f>
        <v>201909</v>
      </c>
    </row>
    <row r="372" spans="1:5">
      <c r="A372" s="8">
        <v>43714</v>
      </c>
      <c r="B372">
        <f>DAY(Table_Date_Dim[[#This Row],[Date_all_Day]])</f>
        <v>6</v>
      </c>
      <c r="C372">
        <v>2</v>
      </c>
      <c r="D372" s="12" t="str">
        <f>TEXT(Table_Date_Dim[[#This Row],[Date_all_Day]],"dddd")</f>
        <v>Friday</v>
      </c>
      <c r="E372" t="str">
        <f>CONCATENATE(YEAR(Table_Date_Dim[[#This Row],[Date_all_Day]]),RIGHT("0"&amp;MONTH(Table_Date_Dim[[#This Row],[Date_all_Day]]),2))</f>
        <v>201909</v>
      </c>
    </row>
    <row r="373" spans="1:5">
      <c r="A373" s="8">
        <v>43715</v>
      </c>
      <c r="B373">
        <f>DAY(Table_Date_Dim[[#This Row],[Date_all_Day]])</f>
        <v>7</v>
      </c>
      <c r="C373">
        <v>2</v>
      </c>
      <c r="D373" s="12" t="str">
        <f>TEXT(Table_Date_Dim[[#This Row],[Date_all_Day]],"dddd")</f>
        <v>Saturday</v>
      </c>
      <c r="E373" t="str">
        <f>CONCATENATE(YEAR(Table_Date_Dim[[#This Row],[Date_all_Day]]),RIGHT("0"&amp;MONTH(Table_Date_Dim[[#This Row],[Date_all_Day]]),2))</f>
        <v>201909</v>
      </c>
    </row>
    <row r="374" spans="1:5">
      <c r="A374" s="8">
        <v>43716</v>
      </c>
      <c r="B374">
        <f>DAY(Table_Date_Dim[[#This Row],[Date_all_Day]])</f>
        <v>8</v>
      </c>
      <c r="C374">
        <v>2</v>
      </c>
      <c r="D374" s="12" t="str">
        <f>TEXT(Table_Date_Dim[[#This Row],[Date_all_Day]],"dddd")</f>
        <v>Sunday</v>
      </c>
      <c r="E374" t="str">
        <f>CONCATENATE(YEAR(Table_Date_Dim[[#This Row],[Date_all_Day]]),RIGHT("0"&amp;MONTH(Table_Date_Dim[[#This Row],[Date_all_Day]]),2))</f>
        <v>201909</v>
      </c>
    </row>
    <row r="375" spans="1:5">
      <c r="A375" s="8">
        <v>43717</v>
      </c>
      <c r="B375">
        <f>DAY(Table_Date_Dim[[#This Row],[Date_all_Day]])</f>
        <v>9</v>
      </c>
      <c r="C375">
        <v>3</v>
      </c>
      <c r="D375" s="12" t="str">
        <f>TEXT(Table_Date_Dim[[#This Row],[Date_all_Day]],"dddd")</f>
        <v>Monday</v>
      </c>
      <c r="E375" t="str">
        <f>CONCATENATE(YEAR(Table_Date_Dim[[#This Row],[Date_all_Day]]),RIGHT("0"&amp;MONTH(Table_Date_Dim[[#This Row],[Date_all_Day]]),2))</f>
        <v>201909</v>
      </c>
    </row>
    <row r="376" spans="1:5">
      <c r="A376" s="8">
        <v>43718</v>
      </c>
      <c r="B376">
        <f>DAY(Table_Date_Dim[[#This Row],[Date_all_Day]])</f>
        <v>10</v>
      </c>
      <c r="C376">
        <v>3</v>
      </c>
      <c r="D376" s="12" t="str">
        <f>TEXT(Table_Date_Dim[[#This Row],[Date_all_Day]],"dddd")</f>
        <v>Tuesday</v>
      </c>
      <c r="E376" t="str">
        <f>CONCATENATE(YEAR(Table_Date_Dim[[#This Row],[Date_all_Day]]),RIGHT("0"&amp;MONTH(Table_Date_Dim[[#This Row],[Date_all_Day]]),2))</f>
        <v>201909</v>
      </c>
    </row>
    <row r="377" spans="1:5">
      <c r="A377" s="8">
        <v>43719</v>
      </c>
      <c r="B377">
        <f>DAY(Table_Date_Dim[[#This Row],[Date_all_Day]])</f>
        <v>11</v>
      </c>
      <c r="C377">
        <v>3</v>
      </c>
      <c r="D377" s="12" t="str">
        <f>TEXT(Table_Date_Dim[[#This Row],[Date_all_Day]],"dddd")</f>
        <v>Wednesday</v>
      </c>
      <c r="E377" t="str">
        <f>CONCATENATE(YEAR(Table_Date_Dim[[#This Row],[Date_all_Day]]),RIGHT("0"&amp;MONTH(Table_Date_Dim[[#This Row],[Date_all_Day]]),2))</f>
        <v>201909</v>
      </c>
    </row>
    <row r="378" spans="1:5">
      <c r="A378" s="8">
        <v>43720</v>
      </c>
      <c r="B378">
        <f>DAY(Table_Date_Dim[[#This Row],[Date_all_Day]])</f>
        <v>12</v>
      </c>
      <c r="C378">
        <v>3</v>
      </c>
      <c r="D378" s="12" t="str">
        <f>TEXT(Table_Date_Dim[[#This Row],[Date_all_Day]],"dddd")</f>
        <v>Thursday</v>
      </c>
      <c r="E378" t="str">
        <f>CONCATENATE(YEAR(Table_Date_Dim[[#This Row],[Date_all_Day]]),RIGHT("0"&amp;MONTH(Table_Date_Dim[[#This Row],[Date_all_Day]]),2))</f>
        <v>201909</v>
      </c>
    </row>
    <row r="379" spans="1:5">
      <c r="A379" s="8">
        <v>43721</v>
      </c>
      <c r="B379">
        <f>DAY(Table_Date_Dim[[#This Row],[Date_all_Day]])</f>
        <v>13</v>
      </c>
      <c r="C379">
        <v>3</v>
      </c>
      <c r="D379" s="12" t="str">
        <f>TEXT(Table_Date_Dim[[#This Row],[Date_all_Day]],"dddd")</f>
        <v>Friday</v>
      </c>
      <c r="E379" t="str">
        <f>CONCATENATE(YEAR(Table_Date_Dim[[#This Row],[Date_all_Day]]),RIGHT("0"&amp;MONTH(Table_Date_Dim[[#This Row],[Date_all_Day]]),2))</f>
        <v>201909</v>
      </c>
    </row>
    <row r="380" spans="1:5">
      <c r="A380" s="8">
        <v>43722</v>
      </c>
      <c r="B380">
        <f>DAY(Table_Date_Dim[[#This Row],[Date_all_Day]])</f>
        <v>14</v>
      </c>
      <c r="C380">
        <v>3</v>
      </c>
      <c r="D380" s="12" t="str">
        <f>TEXT(Table_Date_Dim[[#This Row],[Date_all_Day]],"dddd")</f>
        <v>Saturday</v>
      </c>
      <c r="E380" t="str">
        <f>CONCATENATE(YEAR(Table_Date_Dim[[#This Row],[Date_all_Day]]),RIGHT("0"&amp;MONTH(Table_Date_Dim[[#This Row],[Date_all_Day]]),2))</f>
        <v>201909</v>
      </c>
    </row>
    <row r="381" spans="1:5">
      <c r="A381" s="8">
        <v>43723</v>
      </c>
      <c r="B381">
        <f>DAY(Table_Date_Dim[[#This Row],[Date_all_Day]])</f>
        <v>15</v>
      </c>
      <c r="C381">
        <v>3</v>
      </c>
      <c r="D381" s="12" t="str">
        <f>TEXT(Table_Date_Dim[[#This Row],[Date_all_Day]],"dddd")</f>
        <v>Sunday</v>
      </c>
      <c r="E381" t="str">
        <f>CONCATENATE(YEAR(Table_Date_Dim[[#This Row],[Date_all_Day]]),RIGHT("0"&amp;MONTH(Table_Date_Dim[[#This Row],[Date_all_Day]]),2))</f>
        <v>201909</v>
      </c>
    </row>
    <row r="382" spans="1:5">
      <c r="A382" s="8">
        <v>43724</v>
      </c>
      <c r="B382">
        <f>DAY(Table_Date_Dim[[#This Row],[Date_all_Day]])</f>
        <v>16</v>
      </c>
      <c r="C382">
        <v>4</v>
      </c>
      <c r="D382" s="12" t="str">
        <f>TEXT(Table_Date_Dim[[#This Row],[Date_all_Day]],"dddd")</f>
        <v>Monday</v>
      </c>
      <c r="E382" t="str">
        <f>CONCATENATE(YEAR(Table_Date_Dim[[#This Row],[Date_all_Day]]),RIGHT("0"&amp;MONTH(Table_Date_Dim[[#This Row],[Date_all_Day]]),2))</f>
        <v>201909</v>
      </c>
    </row>
    <row r="383" spans="1:5">
      <c r="A383" s="8">
        <v>43725</v>
      </c>
      <c r="B383">
        <f>DAY(Table_Date_Dim[[#This Row],[Date_all_Day]])</f>
        <v>17</v>
      </c>
      <c r="C383">
        <v>4</v>
      </c>
      <c r="D383" s="12" t="str">
        <f>TEXT(Table_Date_Dim[[#This Row],[Date_all_Day]],"dddd")</f>
        <v>Tuesday</v>
      </c>
      <c r="E383" t="str">
        <f>CONCATENATE(YEAR(Table_Date_Dim[[#This Row],[Date_all_Day]]),RIGHT("0"&amp;MONTH(Table_Date_Dim[[#This Row],[Date_all_Day]]),2))</f>
        <v>201909</v>
      </c>
    </row>
    <row r="384" spans="1:5">
      <c r="A384" s="8">
        <v>43726</v>
      </c>
      <c r="B384">
        <f>DAY(Table_Date_Dim[[#This Row],[Date_all_Day]])</f>
        <v>18</v>
      </c>
      <c r="C384">
        <v>4</v>
      </c>
      <c r="D384" s="12" t="str">
        <f>TEXT(Table_Date_Dim[[#This Row],[Date_all_Day]],"dddd")</f>
        <v>Wednesday</v>
      </c>
      <c r="E384" t="str">
        <f>CONCATENATE(YEAR(Table_Date_Dim[[#This Row],[Date_all_Day]]),RIGHT("0"&amp;MONTH(Table_Date_Dim[[#This Row],[Date_all_Day]]),2))</f>
        <v>201909</v>
      </c>
    </row>
    <row r="385" spans="1:5">
      <c r="A385" s="8">
        <v>43727</v>
      </c>
      <c r="B385">
        <f>DAY(Table_Date_Dim[[#This Row],[Date_all_Day]])</f>
        <v>19</v>
      </c>
      <c r="C385">
        <v>4</v>
      </c>
      <c r="D385" s="12" t="str">
        <f>TEXT(Table_Date_Dim[[#This Row],[Date_all_Day]],"dddd")</f>
        <v>Thursday</v>
      </c>
      <c r="E385" t="str">
        <f>CONCATENATE(YEAR(Table_Date_Dim[[#This Row],[Date_all_Day]]),RIGHT("0"&amp;MONTH(Table_Date_Dim[[#This Row],[Date_all_Day]]),2))</f>
        <v>201909</v>
      </c>
    </row>
    <row r="386" spans="1:5">
      <c r="A386" s="8">
        <v>43728</v>
      </c>
      <c r="B386">
        <f>DAY(Table_Date_Dim[[#This Row],[Date_all_Day]])</f>
        <v>20</v>
      </c>
      <c r="C386">
        <v>4</v>
      </c>
      <c r="D386" s="12" t="str">
        <f>TEXT(Table_Date_Dim[[#This Row],[Date_all_Day]],"dddd")</f>
        <v>Friday</v>
      </c>
      <c r="E386" t="str">
        <f>CONCATENATE(YEAR(Table_Date_Dim[[#This Row],[Date_all_Day]]),RIGHT("0"&amp;MONTH(Table_Date_Dim[[#This Row],[Date_all_Day]]),2))</f>
        <v>201909</v>
      </c>
    </row>
    <row r="387" spans="1:5">
      <c r="A387" s="8">
        <v>43729</v>
      </c>
      <c r="B387">
        <f>DAY(Table_Date_Dim[[#This Row],[Date_all_Day]])</f>
        <v>21</v>
      </c>
      <c r="C387">
        <v>4</v>
      </c>
      <c r="D387" s="12" t="str">
        <f>TEXT(Table_Date_Dim[[#This Row],[Date_all_Day]],"dddd")</f>
        <v>Saturday</v>
      </c>
      <c r="E387" t="str">
        <f>CONCATENATE(YEAR(Table_Date_Dim[[#This Row],[Date_all_Day]]),RIGHT("0"&amp;MONTH(Table_Date_Dim[[#This Row],[Date_all_Day]]),2))</f>
        <v>201909</v>
      </c>
    </row>
    <row r="388" spans="1:5">
      <c r="A388" s="8">
        <v>43730</v>
      </c>
      <c r="B388">
        <f>DAY(Table_Date_Dim[[#This Row],[Date_all_Day]])</f>
        <v>22</v>
      </c>
      <c r="C388">
        <v>4</v>
      </c>
      <c r="D388" s="12" t="str">
        <f>TEXT(Table_Date_Dim[[#This Row],[Date_all_Day]],"dddd")</f>
        <v>Sunday</v>
      </c>
      <c r="E388" t="str">
        <f>CONCATENATE(YEAR(Table_Date_Dim[[#This Row],[Date_all_Day]]),RIGHT("0"&amp;MONTH(Table_Date_Dim[[#This Row],[Date_all_Day]]),2))</f>
        <v>201909</v>
      </c>
    </row>
    <row r="389" spans="1:5">
      <c r="A389" s="8">
        <v>43731</v>
      </c>
      <c r="B389">
        <f>DAY(Table_Date_Dim[[#This Row],[Date_all_Day]])</f>
        <v>23</v>
      </c>
      <c r="C389">
        <v>5</v>
      </c>
      <c r="D389" s="12" t="str">
        <f>TEXT(Table_Date_Dim[[#This Row],[Date_all_Day]],"dddd")</f>
        <v>Monday</v>
      </c>
      <c r="E389" t="str">
        <f>CONCATENATE(YEAR(Table_Date_Dim[[#This Row],[Date_all_Day]]),RIGHT("0"&amp;MONTH(Table_Date_Dim[[#This Row],[Date_all_Day]]),2))</f>
        <v>201909</v>
      </c>
    </row>
    <row r="390" spans="1:5">
      <c r="A390" s="8">
        <v>43732</v>
      </c>
      <c r="B390">
        <f>DAY(Table_Date_Dim[[#This Row],[Date_all_Day]])</f>
        <v>24</v>
      </c>
      <c r="C390">
        <v>5</v>
      </c>
      <c r="D390" s="12" t="str">
        <f>TEXT(Table_Date_Dim[[#This Row],[Date_all_Day]],"dddd")</f>
        <v>Tuesday</v>
      </c>
      <c r="E390" t="str">
        <f>CONCATENATE(YEAR(Table_Date_Dim[[#This Row],[Date_all_Day]]),RIGHT("0"&amp;MONTH(Table_Date_Dim[[#This Row],[Date_all_Day]]),2))</f>
        <v>201909</v>
      </c>
    </row>
    <row r="391" spans="1:5">
      <c r="A391" s="8">
        <v>43733</v>
      </c>
      <c r="B391">
        <f>DAY(Table_Date_Dim[[#This Row],[Date_all_Day]])</f>
        <v>25</v>
      </c>
      <c r="C391">
        <v>5</v>
      </c>
      <c r="D391" s="12" t="str">
        <f>TEXT(Table_Date_Dim[[#This Row],[Date_all_Day]],"dddd")</f>
        <v>Wednesday</v>
      </c>
      <c r="E391" t="str">
        <f>CONCATENATE(YEAR(Table_Date_Dim[[#This Row],[Date_all_Day]]),RIGHT("0"&amp;MONTH(Table_Date_Dim[[#This Row],[Date_all_Day]]),2))</f>
        <v>201909</v>
      </c>
    </row>
    <row r="392" spans="1:5">
      <c r="A392" s="8">
        <v>43734</v>
      </c>
      <c r="B392">
        <f>DAY(Table_Date_Dim[[#This Row],[Date_all_Day]])</f>
        <v>26</v>
      </c>
      <c r="C392">
        <v>5</v>
      </c>
      <c r="D392" s="12" t="str">
        <f>TEXT(Table_Date_Dim[[#This Row],[Date_all_Day]],"dddd")</f>
        <v>Thursday</v>
      </c>
      <c r="E392" t="str">
        <f>CONCATENATE(YEAR(Table_Date_Dim[[#This Row],[Date_all_Day]]),RIGHT("0"&amp;MONTH(Table_Date_Dim[[#This Row],[Date_all_Day]]),2))</f>
        <v>201909</v>
      </c>
    </row>
    <row r="393" spans="1:5">
      <c r="A393" s="8">
        <v>43735</v>
      </c>
      <c r="B393">
        <f>DAY(Table_Date_Dim[[#This Row],[Date_all_Day]])</f>
        <v>27</v>
      </c>
      <c r="C393">
        <v>5</v>
      </c>
      <c r="D393" s="12" t="str">
        <f>TEXT(Table_Date_Dim[[#This Row],[Date_all_Day]],"dddd")</f>
        <v>Friday</v>
      </c>
      <c r="E393" t="str">
        <f>CONCATENATE(YEAR(Table_Date_Dim[[#This Row],[Date_all_Day]]),RIGHT("0"&amp;MONTH(Table_Date_Dim[[#This Row],[Date_all_Day]]),2))</f>
        <v>201909</v>
      </c>
    </row>
    <row r="394" spans="1:5">
      <c r="A394" s="8">
        <v>43736</v>
      </c>
      <c r="B394">
        <f>DAY(Table_Date_Dim[[#This Row],[Date_all_Day]])</f>
        <v>28</v>
      </c>
      <c r="C394">
        <v>5</v>
      </c>
      <c r="D394" s="12" t="str">
        <f>TEXT(Table_Date_Dim[[#This Row],[Date_all_Day]],"dddd")</f>
        <v>Saturday</v>
      </c>
      <c r="E394" t="str">
        <f>CONCATENATE(YEAR(Table_Date_Dim[[#This Row],[Date_all_Day]]),RIGHT("0"&amp;MONTH(Table_Date_Dim[[#This Row],[Date_all_Day]]),2))</f>
        <v>201909</v>
      </c>
    </row>
    <row r="395" spans="1:5">
      <c r="A395" s="8">
        <v>43737</v>
      </c>
      <c r="B395">
        <f>DAY(Table_Date_Dim[[#This Row],[Date_all_Day]])</f>
        <v>29</v>
      </c>
      <c r="C395">
        <v>6</v>
      </c>
      <c r="D395" s="12" t="str">
        <f>TEXT(Table_Date_Dim[[#This Row],[Date_all_Day]],"dddd")</f>
        <v>Sunday</v>
      </c>
      <c r="E395" t="str">
        <f>CONCATENATE(YEAR(Table_Date_Dim[[#This Row],[Date_all_Day]]),RIGHT("0"&amp;MONTH(Table_Date_Dim[[#This Row],[Date_all_Day]]),2))</f>
        <v>201909</v>
      </c>
    </row>
    <row r="396" spans="1:5">
      <c r="A396" s="8">
        <v>43738</v>
      </c>
      <c r="B396">
        <f>DAY(Table_Date_Dim[[#This Row],[Date_all_Day]])</f>
        <v>30</v>
      </c>
      <c r="C396">
        <v>6</v>
      </c>
      <c r="D396" s="12" t="str">
        <f>TEXT(Table_Date_Dim[[#This Row],[Date_all_Day]],"dddd")</f>
        <v>Monday</v>
      </c>
      <c r="E396" t="str">
        <f>CONCATENATE(YEAR(Table_Date_Dim[[#This Row],[Date_all_Day]]),RIGHT("0"&amp;MONTH(Table_Date_Dim[[#This Row],[Date_all_Day]]),2))</f>
        <v>201909</v>
      </c>
    </row>
    <row r="397" spans="1:5">
      <c r="A397" s="8">
        <v>43739</v>
      </c>
      <c r="B397">
        <f>DAY(Table_Date_Dim[[#This Row],[Date_all_Day]])</f>
        <v>1</v>
      </c>
      <c r="C397">
        <v>1</v>
      </c>
      <c r="D397" s="12" t="str">
        <f>TEXT(Table_Date_Dim[[#This Row],[Date_all_Day]],"dddd")</f>
        <v>Tuesday</v>
      </c>
      <c r="E397" t="str">
        <f>CONCATENATE(YEAR(Table_Date_Dim[[#This Row],[Date_all_Day]]),RIGHT("0"&amp;MONTH(Table_Date_Dim[[#This Row],[Date_all_Day]]),2))</f>
        <v>201910</v>
      </c>
    </row>
    <row r="398" spans="1:5">
      <c r="A398" s="8">
        <v>43740</v>
      </c>
      <c r="B398">
        <f>DAY(Table_Date_Dim[[#This Row],[Date_all_Day]])</f>
        <v>2</v>
      </c>
      <c r="C398">
        <v>1</v>
      </c>
      <c r="D398" s="12" t="str">
        <f>TEXT(Table_Date_Dim[[#This Row],[Date_all_Day]],"dddd")</f>
        <v>Wednesday</v>
      </c>
      <c r="E398" t="str">
        <f>CONCATENATE(YEAR(Table_Date_Dim[[#This Row],[Date_all_Day]]),RIGHT("0"&amp;MONTH(Table_Date_Dim[[#This Row],[Date_all_Day]]),2))</f>
        <v>201910</v>
      </c>
    </row>
    <row r="399" spans="1:5">
      <c r="A399" s="8">
        <v>43741</v>
      </c>
      <c r="B399">
        <f>DAY(Table_Date_Dim[[#This Row],[Date_all_Day]])</f>
        <v>3</v>
      </c>
      <c r="C399">
        <v>1</v>
      </c>
      <c r="D399" s="12" t="str">
        <f>TEXT(Table_Date_Dim[[#This Row],[Date_all_Day]],"dddd")</f>
        <v>Thursday</v>
      </c>
      <c r="E399" t="str">
        <f>CONCATENATE(YEAR(Table_Date_Dim[[#This Row],[Date_all_Day]]),RIGHT("0"&amp;MONTH(Table_Date_Dim[[#This Row],[Date_all_Day]]),2))</f>
        <v>201910</v>
      </c>
    </row>
    <row r="400" spans="1:5">
      <c r="A400" s="8">
        <v>43742</v>
      </c>
      <c r="B400">
        <f>DAY(Table_Date_Dim[[#This Row],[Date_all_Day]])</f>
        <v>4</v>
      </c>
      <c r="C400">
        <v>1</v>
      </c>
      <c r="D400" s="12" t="str">
        <f>TEXT(Table_Date_Dim[[#This Row],[Date_all_Day]],"dddd")</f>
        <v>Friday</v>
      </c>
      <c r="E400" t="str">
        <f>CONCATENATE(YEAR(Table_Date_Dim[[#This Row],[Date_all_Day]]),RIGHT("0"&amp;MONTH(Table_Date_Dim[[#This Row],[Date_all_Day]]),2))</f>
        <v>201910</v>
      </c>
    </row>
    <row r="401" spans="1:5">
      <c r="A401" s="8">
        <v>43743</v>
      </c>
      <c r="B401">
        <f>DAY(Table_Date_Dim[[#This Row],[Date_all_Day]])</f>
        <v>5</v>
      </c>
      <c r="C401">
        <v>1</v>
      </c>
      <c r="D401" s="12" t="str">
        <f>TEXT(Table_Date_Dim[[#This Row],[Date_all_Day]],"dddd")</f>
        <v>Saturday</v>
      </c>
      <c r="E401" t="str">
        <f>CONCATENATE(YEAR(Table_Date_Dim[[#This Row],[Date_all_Day]]),RIGHT("0"&amp;MONTH(Table_Date_Dim[[#This Row],[Date_all_Day]]),2))</f>
        <v>201910</v>
      </c>
    </row>
    <row r="402" spans="1:5">
      <c r="A402" s="8">
        <v>43744</v>
      </c>
      <c r="B402">
        <f>DAY(Table_Date_Dim[[#This Row],[Date_all_Day]])</f>
        <v>6</v>
      </c>
      <c r="C402">
        <v>1</v>
      </c>
      <c r="D402" s="12" t="str">
        <f>TEXT(Table_Date_Dim[[#This Row],[Date_all_Day]],"dddd")</f>
        <v>Sunday</v>
      </c>
      <c r="E402" t="str">
        <f>CONCATENATE(YEAR(Table_Date_Dim[[#This Row],[Date_all_Day]]),RIGHT("0"&amp;MONTH(Table_Date_Dim[[#This Row],[Date_all_Day]]),2))</f>
        <v>201910</v>
      </c>
    </row>
    <row r="403" spans="1:5">
      <c r="A403" s="8">
        <v>43745</v>
      </c>
      <c r="B403">
        <f>DAY(Table_Date_Dim[[#This Row],[Date_all_Day]])</f>
        <v>7</v>
      </c>
      <c r="C403">
        <v>2</v>
      </c>
      <c r="D403" s="12" t="str">
        <f>TEXT(Table_Date_Dim[[#This Row],[Date_all_Day]],"dddd")</f>
        <v>Monday</v>
      </c>
      <c r="E403" t="str">
        <f>CONCATENATE(YEAR(Table_Date_Dim[[#This Row],[Date_all_Day]]),RIGHT("0"&amp;MONTH(Table_Date_Dim[[#This Row],[Date_all_Day]]),2))</f>
        <v>201910</v>
      </c>
    </row>
    <row r="404" spans="1:5">
      <c r="A404" s="8">
        <v>43746</v>
      </c>
      <c r="B404">
        <f>DAY(Table_Date_Dim[[#This Row],[Date_all_Day]])</f>
        <v>8</v>
      </c>
      <c r="C404">
        <v>2</v>
      </c>
      <c r="D404" s="12" t="str">
        <f>TEXT(Table_Date_Dim[[#This Row],[Date_all_Day]],"dddd")</f>
        <v>Tuesday</v>
      </c>
      <c r="E404" t="str">
        <f>CONCATENATE(YEAR(Table_Date_Dim[[#This Row],[Date_all_Day]]),RIGHT("0"&amp;MONTH(Table_Date_Dim[[#This Row],[Date_all_Day]]),2))</f>
        <v>201910</v>
      </c>
    </row>
    <row r="405" spans="1:5">
      <c r="A405" s="8">
        <v>43747</v>
      </c>
      <c r="B405">
        <f>DAY(Table_Date_Dim[[#This Row],[Date_all_Day]])</f>
        <v>9</v>
      </c>
      <c r="C405">
        <v>2</v>
      </c>
      <c r="D405" s="12" t="str">
        <f>TEXT(Table_Date_Dim[[#This Row],[Date_all_Day]],"dddd")</f>
        <v>Wednesday</v>
      </c>
      <c r="E405" t="str">
        <f>CONCATENATE(YEAR(Table_Date_Dim[[#This Row],[Date_all_Day]]),RIGHT("0"&amp;MONTH(Table_Date_Dim[[#This Row],[Date_all_Day]]),2))</f>
        <v>201910</v>
      </c>
    </row>
    <row r="406" spans="1:5">
      <c r="A406" s="8">
        <v>43748</v>
      </c>
      <c r="B406">
        <f>DAY(Table_Date_Dim[[#This Row],[Date_all_Day]])</f>
        <v>10</v>
      </c>
      <c r="C406">
        <v>2</v>
      </c>
      <c r="D406" s="12" t="str">
        <f>TEXT(Table_Date_Dim[[#This Row],[Date_all_Day]],"dddd")</f>
        <v>Thursday</v>
      </c>
      <c r="E406" t="str">
        <f>CONCATENATE(YEAR(Table_Date_Dim[[#This Row],[Date_all_Day]]),RIGHT("0"&amp;MONTH(Table_Date_Dim[[#This Row],[Date_all_Day]]),2))</f>
        <v>201910</v>
      </c>
    </row>
    <row r="407" spans="1:5">
      <c r="A407" s="8">
        <v>43749</v>
      </c>
      <c r="B407">
        <f>DAY(Table_Date_Dim[[#This Row],[Date_all_Day]])</f>
        <v>11</v>
      </c>
      <c r="C407">
        <v>2</v>
      </c>
      <c r="D407" s="12" t="str">
        <f>TEXT(Table_Date_Dim[[#This Row],[Date_all_Day]],"dddd")</f>
        <v>Friday</v>
      </c>
      <c r="E407" t="str">
        <f>CONCATENATE(YEAR(Table_Date_Dim[[#This Row],[Date_all_Day]]),RIGHT("0"&amp;MONTH(Table_Date_Dim[[#This Row],[Date_all_Day]]),2))</f>
        <v>201910</v>
      </c>
    </row>
    <row r="408" spans="1:5">
      <c r="A408" s="8">
        <v>43750</v>
      </c>
      <c r="B408">
        <f>DAY(Table_Date_Dim[[#This Row],[Date_all_Day]])</f>
        <v>12</v>
      </c>
      <c r="C408">
        <v>2</v>
      </c>
      <c r="D408" s="12" t="str">
        <f>TEXT(Table_Date_Dim[[#This Row],[Date_all_Day]],"dddd")</f>
        <v>Saturday</v>
      </c>
      <c r="E408" t="str">
        <f>CONCATENATE(YEAR(Table_Date_Dim[[#This Row],[Date_all_Day]]),RIGHT("0"&amp;MONTH(Table_Date_Dim[[#This Row],[Date_all_Day]]),2))</f>
        <v>201910</v>
      </c>
    </row>
    <row r="409" spans="1:5">
      <c r="A409" s="8">
        <v>43751</v>
      </c>
      <c r="B409">
        <f>DAY(Table_Date_Dim[[#This Row],[Date_all_Day]])</f>
        <v>13</v>
      </c>
      <c r="C409">
        <v>2</v>
      </c>
      <c r="D409" s="12" t="str">
        <f>TEXT(Table_Date_Dim[[#This Row],[Date_all_Day]],"dddd")</f>
        <v>Sunday</v>
      </c>
      <c r="E409" t="str">
        <f>CONCATENATE(YEAR(Table_Date_Dim[[#This Row],[Date_all_Day]]),RIGHT("0"&amp;MONTH(Table_Date_Dim[[#This Row],[Date_all_Day]]),2))</f>
        <v>201910</v>
      </c>
    </row>
    <row r="410" spans="1:5">
      <c r="A410" s="8">
        <v>43752</v>
      </c>
      <c r="B410">
        <f>DAY(Table_Date_Dim[[#This Row],[Date_all_Day]])</f>
        <v>14</v>
      </c>
      <c r="C410">
        <v>3</v>
      </c>
      <c r="D410" s="12" t="str">
        <f>TEXT(Table_Date_Dim[[#This Row],[Date_all_Day]],"dddd")</f>
        <v>Monday</v>
      </c>
      <c r="E410" t="str">
        <f>CONCATENATE(YEAR(Table_Date_Dim[[#This Row],[Date_all_Day]]),RIGHT("0"&amp;MONTH(Table_Date_Dim[[#This Row],[Date_all_Day]]),2))</f>
        <v>201910</v>
      </c>
    </row>
    <row r="411" spans="1:5">
      <c r="A411" s="8">
        <v>43753</v>
      </c>
      <c r="B411">
        <f>DAY(Table_Date_Dim[[#This Row],[Date_all_Day]])</f>
        <v>15</v>
      </c>
      <c r="C411">
        <v>3</v>
      </c>
      <c r="D411" s="12" t="str">
        <f>TEXT(Table_Date_Dim[[#This Row],[Date_all_Day]],"dddd")</f>
        <v>Tuesday</v>
      </c>
      <c r="E411" t="str">
        <f>CONCATENATE(YEAR(Table_Date_Dim[[#This Row],[Date_all_Day]]),RIGHT("0"&amp;MONTH(Table_Date_Dim[[#This Row],[Date_all_Day]]),2))</f>
        <v>201910</v>
      </c>
    </row>
    <row r="412" spans="1:5">
      <c r="A412" s="8">
        <v>43754</v>
      </c>
      <c r="B412">
        <f>DAY(Table_Date_Dim[[#This Row],[Date_all_Day]])</f>
        <v>16</v>
      </c>
      <c r="C412">
        <v>3</v>
      </c>
      <c r="D412" s="12" t="str">
        <f>TEXT(Table_Date_Dim[[#This Row],[Date_all_Day]],"dddd")</f>
        <v>Wednesday</v>
      </c>
      <c r="E412" t="str">
        <f>CONCATENATE(YEAR(Table_Date_Dim[[#This Row],[Date_all_Day]]),RIGHT("0"&amp;MONTH(Table_Date_Dim[[#This Row],[Date_all_Day]]),2))</f>
        <v>201910</v>
      </c>
    </row>
    <row r="413" spans="1:5">
      <c r="A413" s="8">
        <v>43755</v>
      </c>
      <c r="B413">
        <f>DAY(Table_Date_Dim[[#This Row],[Date_all_Day]])</f>
        <v>17</v>
      </c>
      <c r="C413">
        <v>3</v>
      </c>
      <c r="D413" s="12" t="str">
        <f>TEXT(Table_Date_Dim[[#This Row],[Date_all_Day]],"dddd")</f>
        <v>Thursday</v>
      </c>
      <c r="E413" t="str">
        <f>CONCATENATE(YEAR(Table_Date_Dim[[#This Row],[Date_all_Day]]),RIGHT("0"&amp;MONTH(Table_Date_Dim[[#This Row],[Date_all_Day]]),2))</f>
        <v>201910</v>
      </c>
    </row>
    <row r="414" spans="1:5">
      <c r="A414" s="8">
        <v>43756</v>
      </c>
      <c r="B414">
        <f>DAY(Table_Date_Dim[[#This Row],[Date_all_Day]])</f>
        <v>18</v>
      </c>
      <c r="C414">
        <v>3</v>
      </c>
      <c r="D414" s="12" t="str">
        <f>TEXT(Table_Date_Dim[[#This Row],[Date_all_Day]],"dddd")</f>
        <v>Friday</v>
      </c>
      <c r="E414" t="str">
        <f>CONCATENATE(YEAR(Table_Date_Dim[[#This Row],[Date_all_Day]]),RIGHT("0"&amp;MONTH(Table_Date_Dim[[#This Row],[Date_all_Day]]),2))</f>
        <v>201910</v>
      </c>
    </row>
    <row r="415" spans="1:5">
      <c r="A415" s="8">
        <v>43757</v>
      </c>
      <c r="B415">
        <f>DAY(Table_Date_Dim[[#This Row],[Date_all_Day]])</f>
        <v>19</v>
      </c>
      <c r="C415">
        <v>3</v>
      </c>
      <c r="D415" s="12" t="str">
        <f>TEXT(Table_Date_Dim[[#This Row],[Date_all_Day]],"dddd")</f>
        <v>Saturday</v>
      </c>
      <c r="E415" t="str">
        <f>CONCATENATE(YEAR(Table_Date_Dim[[#This Row],[Date_all_Day]]),RIGHT("0"&amp;MONTH(Table_Date_Dim[[#This Row],[Date_all_Day]]),2))</f>
        <v>201910</v>
      </c>
    </row>
    <row r="416" spans="1:5">
      <c r="A416" s="8">
        <v>43758</v>
      </c>
      <c r="B416">
        <f>DAY(Table_Date_Dim[[#This Row],[Date_all_Day]])</f>
        <v>20</v>
      </c>
      <c r="C416">
        <v>3</v>
      </c>
      <c r="D416" s="12" t="str">
        <f>TEXT(Table_Date_Dim[[#This Row],[Date_all_Day]],"dddd")</f>
        <v>Sunday</v>
      </c>
      <c r="E416" t="str">
        <f>CONCATENATE(YEAR(Table_Date_Dim[[#This Row],[Date_all_Day]]),RIGHT("0"&amp;MONTH(Table_Date_Dim[[#This Row],[Date_all_Day]]),2))</f>
        <v>201910</v>
      </c>
    </row>
    <row r="417" spans="1:5">
      <c r="A417" s="8">
        <v>43759</v>
      </c>
      <c r="B417">
        <f>DAY(Table_Date_Dim[[#This Row],[Date_all_Day]])</f>
        <v>21</v>
      </c>
      <c r="C417">
        <v>4</v>
      </c>
      <c r="D417" s="12" t="str">
        <f>TEXT(Table_Date_Dim[[#This Row],[Date_all_Day]],"dddd")</f>
        <v>Monday</v>
      </c>
      <c r="E417" t="str">
        <f>CONCATENATE(YEAR(Table_Date_Dim[[#This Row],[Date_all_Day]]),RIGHT("0"&amp;MONTH(Table_Date_Dim[[#This Row],[Date_all_Day]]),2))</f>
        <v>201910</v>
      </c>
    </row>
    <row r="418" spans="1:5">
      <c r="A418" s="8">
        <v>43760</v>
      </c>
      <c r="B418">
        <f>DAY(Table_Date_Dim[[#This Row],[Date_all_Day]])</f>
        <v>22</v>
      </c>
      <c r="C418">
        <v>4</v>
      </c>
      <c r="D418" s="12" t="str">
        <f>TEXT(Table_Date_Dim[[#This Row],[Date_all_Day]],"dddd")</f>
        <v>Tuesday</v>
      </c>
      <c r="E418" t="str">
        <f>CONCATENATE(YEAR(Table_Date_Dim[[#This Row],[Date_all_Day]]),RIGHT("0"&amp;MONTH(Table_Date_Dim[[#This Row],[Date_all_Day]]),2))</f>
        <v>201910</v>
      </c>
    </row>
    <row r="419" spans="1:5">
      <c r="A419" s="8">
        <v>43761</v>
      </c>
      <c r="B419">
        <f>DAY(Table_Date_Dim[[#This Row],[Date_all_Day]])</f>
        <v>23</v>
      </c>
      <c r="C419">
        <v>4</v>
      </c>
      <c r="D419" s="12" t="str">
        <f>TEXT(Table_Date_Dim[[#This Row],[Date_all_Day]],"dddd")</f>
        <v>Wednesday</v>
      </c>
      <c r="E419" t="str">
        <f>CONCATENATE(YEAR(Table_Date_Dim[[#This Row],[Date_all_Day]]),RIGHT("0"&amp;MONTH(Table_Date_Dim[[#This Row],[Date_all_Day]]),2))</f>
        <v>201910</v>
      </c>
    </row>
    <row r="420" spans="1:5">
      <c r="A420" s="8">
        <v>43762</v>
      </c>
      <c r="B420">
        <f>DAY(Table_Date_Dim[[#This Row],[Date_all_Day]])</f>
        <v>24</v>
      </c>
      <c r="C420">
        <v>4</v>
      </c>
      <c r="D420" s="12" t="str">
        <f>TEXT(Table_Date_Dim[[#This Row],[Date_all_Day]],"dddd")</f>
        <v>Thursday</v>
      </c>
      <c r="E420" t="str">
        <f>CONCATENATE(YEAR(Table_Date_Dim[[#This Row],[Date_all_Day]]),RIGHT("0"&amp;MONTH(Table_Date_Dim[[#This Row],[Date_all_Day]]),2))</f>
        <v>201910</v>
      </c>
    </row>
    <row r="421" spans="1:5">
      <c r="A421" s="8">
        <v>43763</v>
      </c>
      <c r="B421">
        <f>DAY(Table_Date_Dim[[#This Row],[Date_all_Day]])</f>
        <v>25</v>
      </c>
      <c r="C421">
        <v>4</v>
      </c>
      <c r="D421" s="12" t="str">
        <f>TEXT(Table_Date_Dim[[#This Row],[Date_all_Day]],"dddd")</f>
        <v>Friday</v>
      </c>
      <c r="E421" t="str">
        <f>CONCATENATE(YEAR(Table_Date_Dim[[#This Row],[Date_all_Day]]),RIGHT("0"&amp;MONTH(Table_Date_Dim[[#This Row],[Date_all_Day]]),2))</f>
        <v>201910</v>
      </c>
    </row>
    <row r="422" spans="1:5">
      <c r="A422" s="8">
        <v>43764</v>
      </c>
      <c r="B422">
        <f>DAY(Table_Date_Dim[[#This Row],[Date_all_Day]])</f>
        <v>26</v>
      </c>
      <c r="C422">
        <v>4</v>
      </c>
      <c r="D422" s="12" t="str">
        <f>TEXT(Table_Date_Dim[[#This Row],[Date_all_Day]],"dddd")</f>
        <v>Saturday</v>
      </c>
      <c r="E422" t="str">
        <f>CONCATENATE(YEAR(Table_Date_Dim[[#This Row],[Date_all_Day]]),RIGHT("0"&amp;MONTH(Table_Date_Dim[[#This Row],[Date_all_Day]]),2))</f>
        <v>201910</v>
      </c>
    </row>
    <row r="423" spans="1:5">
      <c r="A423" s="8">
        <v>43765</v>
      </c>
      <c r="B423">
        <f>DAY(Table_Date_Dim[[#This Row],[Date_all_Day]])</f>
        <v>27</v>
      </c>
      <c r="C423">
        <v>4</v>
      </c>
      <c r="D423" s="12" t="str">
        <f>TEXT(Table_Date_Dim[[#This Row],[Date_all_Day]],"dddd")</f>
        <v>Sunday</v>
      </c>
      <c r="E423" t="str">
        <f>CONCATENATE(YEAR(Table_Date_Dim[[#This Row],[Date_all_Day]]),RIGHT("0"&amp;MONTH(Table_Date_Dim[[#This Row],[Date_all_Day]]),2))</f>
        <v>201910</v>
      </c>
    </row>
    <row r="424" spans="1:5">
      <c r="A424" s="8">
        <v>43766</v>
      </c>
      <c r="B424">
        <f>DAY(Table_Date_Dim[[#This Row],[Date_all_Day]])</f>
        <v>28</v>
      </c>
      <c r="C424">
        <v>5</v>
      </c>
      <c r="D424" s="12" t="str">
        <f>TEXT(Table_Date_Dim[[#This Row],[Date_all_Day]],"dddd")</f>
        <v>Monday</v>
      </c>
      <c r="E424" t="str">
        <f>CONCATENATE(YEAR(Table_Date_Dim[[#This Row],[Date_all_Day]]),RIGHT("0"&amp;MONTH(Table_Date_Dim[[#This Row],[Date_all_Day]]),2))</f>
        <v>201910</v>
      </c>
    </row>
    <row r="425" spans="1:5">
      <c r="A425" s="8">
        <v>43767</v>
      </c>
      <c r="B425">
        <f>DAY(Table_Date_Dim[[#This Row],[Date_all_Day]])</f>
        <v>29</v>
      </c>
      <c r="C425">
        <v>5</v>
      </c>
      <c r="D425" s="12" t="str">
        <f>TEXT(Table_Date_Dim[[#This Row],[Date_all_Day]],"dddd")</f>
        <v>Tuesday</v>
      </c>
      <c r="E425" t="str">
        <f>CONCATENATE(YEAR(Table_Date_Dim[[#This Row],[Date_all_Day]]),RIGHT("0"&amp;MONTH(Table_Date_Dim[[#This Row],[Date_all_Day]]),2))</f>
        <v>201910</v>
      </c>
    </row>
    <row r="426" spans="1:5">
      <c r="A426" s="8">
        <v>43768</v>
      </c>
      <c r="B426">
        <f>DAY(Table_Date_Dim[[#This Row],[Date_all_Day]])</f>
        <v>30</v>
      </c>
      <c r="C426">
        <v>5</v>
      </c>
      <c r="D426" s="12" t="str">
        <f>TEXT(Table_Date_Dim[[#This Row],[Date_all_Day]],"dddd")</f>
        <v>Wednesday</v>
      </c>
      <c r="E426" t="str">
        <f>CONCATENATE(YEAR(Table_Date_Dim[[#This Row],[Date_all_Day]]),RIGHT("0"&amp;MONTH(Table_Date_Dim[[#This Row],[Date_all_Day]]),2))</f>
        <v>201910</v>
      </c>
    </row>
    <row r="427" spans="1:5">
      <c r="A427" s="8">
        <v>43769</v>
      </c>
      <c r="B427">
        <f>DAY(Table_Date_Dim[[#This Row],[Date_all_Day]])</f>
        <v>31</v>
      </c>
      <c r="C427">
        <v>5</v>
      </c>
      <c r="D427" s="12" t="str">
        <f>TEXT(Table_Date_Dim[[#This Row],[Date_all_Day]],"dddd")</f>
        <v>Thursday</v>
      </c>
      <c r="E427" t="str">
        <f>CONCATENATE(YEAR(Table_Date_Dim[[#This Row],[Date_all_Day]]),RIGHT("0"&amp;MONTH(Table_Date_Dim[[#This Row],[Date_all_Day]]),2))</f>
        <v>201910</v>
      </c>
    </row>
    <row r="428" spans="1:5">
      <c r="A428" s="8">
        <v>43770</v>
      </c>
      <c r="B428">
        <f>DAY(Table_Date_Dim[[#This Row],[Date_all_Day]])</f>
        <v>1</v>
      </c>
      <c r="C428">
        <v>1</v>
      </c>
      <c r="D428" s="12" t="str">
        <f>TEXT(Table_Date_Dim[[#This Row],[Date_all_Day]],"dddd")</f>
        <v>Friday</v>
      </c>
      <c r="E428" t="str">
        <f>CONCATENATE(YEAR(Table_Date_Dim[[#This Row],[Date_all_Day]]),RIGHT("0"&amp;MONTH(Table_Date_Dim[[#This Row],[Date_all_Day]]),2))</f>
        <v>201911</v>
      </c>
    </row>
    <row r="429" spans="1:5">
      <c r="A429" s="8">
        <v>43771</v>
      </c>
      <c r="B429">
        <f>DAY(Table_Date_Dim[[#This Row],[Date_all_Day]])</f>
        <v>2</v>
      </c>
      <c r="C429">
        <v>1</v>
      </c>
      <c r="D429" s="12" t="str">
        <f>TEXT(Table_Date_Dim[[#This Row],[Date_all_Day]],"dddd")</f>
        <v>Saturday</v>
      </c>
      <c r="E429" t="str">
        <f>CONCATENATE(YEAR(Table_Date_Dim[[#This Row],[Date_all_Day]]),RIGHT("0"&amp;MONTH(Table_Date_Dim[[#This Row],[Date_all_Day]]),2))</f>
        <v>201911</v>
      </c>
    </row>
    <row r="430" spans="1:5">
      <c r="A430" s="8">
        <v>43772</v>
      </c>
      <c r="B430">
        <f>DAY(Table_Date_Dim[[#This Row],[Date_all_Day]])</f>
        <v>3</v>
      </c>
      <c r="C430">
        <v>1</v>
      </c>
      <c r="D430" s="12" t="str">
        <f>TEXT(Table_Date_Dim[[#This Row],[Date_all_Day]],"dddd")</f>
        <v>Sunday</v>
      </c>
      <c r="E430" t="str">
        <f>CONCATENATE(YEAR(Table_Date_Dim[[#This Row],[Date_all_Day]]),RIGHT("0"&amp;MONTH(Table_Date_Dim[[#This Row],[Date_all_Day]]),2))</f>
        <v>201911</v>
      </c>
    </row>
    <row r="431" spans="1:5">
      <c r="A431" s="8">
        <v>43773</v>
      </c>
      <c r="B431">
        <f>DAY(Table_Date_Dim[[#This Row],[Date_all_Day]])</f>
        <v>4</v>
      </c>
      <c r="C431">
        <v>2</v>
      </c>
      <c r="D431" s="12" t="str">
        <f>TEXT(Table_Date_Dim[[#This Row],[Date_all_Day]],"dddd")</f>
        <v>Monday</v>
      </c>
      <c r="E431" t="str">
        <f>CONCATENATE(YEAR(Table_Date_Dim[[#This Row],[Date_all_Day]]),RIGHT("0"&amp;MONTH(Table_Date_Dim[[#This Row],[Date_all_Day]]),2))</f>
        <v>201911</v>
      </c>
    </row>
    <row r="432" spans="1:5">
      <c r="A432" s="8">
        <v>43774</v>
      </c>
      <c r="B432">
        <f>DAY(Table_Date_Dim[[#This Row],[Date_all_Day]])</f>
        <v>5</v>
      </c>
      <c r="C432">
        <v>2</v>
      </c>
      <c r="D432" s="12" t="str">
        <f>TEXT(Table_Date_Dim[[#This Row],[Date_all_Day]],"dddd")</f>
        <v>Tuesday</v>
      </c>
      <c r="E432" t="str">
        <f>CONCATENATE(YEAR(Table_Date_Dim[[#This Row],[Date_all_Day]]),RIGHT("0"&amp;MONTH(Table_Date_Dim[[#This Row],[Date_all_Day]]),2))</f>
        <v>201911</v>
      </c>
    </row>
    <row r="433" spans="1:5">
      <c r="A433" s="8">
        <v>43775</v>
      </c>
      <c r="B433">
        <f>DAY(Table_Date_Dim[[#This Row],[Date_all_Day]])</f>
        <v>6</v>
      </c>
      <c r="C433">
        <v>2</v>
      </c>
      <c r="D433" s="12" t="str">
        <f>TEXT(Table_Date_Dim[[#This Row],[Date_all_Day]],"dddd")</f>
        <v>Wednesday</v>
      </c>
      <c r="E433" t="str">
        <f>CONCATENATE(YEAR(Table_Date_Dim[[#This Row],[Date_all_Day]]),RIGHT("0"&amp;MONTH(Table_Date_Dim[[#This Row],[Date_all_Day]]),2))</f>
        <v>201911</v>
      </c>
    </row>
    <row r="434" spans="1:5">
      <c r="A434" s="8">
        <v>43776</v>
      </c>
      <c r="B434">
        <f>DAY(Table_Date_Dim[[#This Row],[Date_all_Day]])</f>
        <v>7</v>
      </c>
      <c r="C434">
        <v>2</v>
      </c>
      <c r="D434" s="12" t="str">
        <f>TEXT(Table_Date_Dim[[#This Row],[Date_all_Day]],"dddd")</f>
        <v>Thursday</v>
      </c>
      <c r="E434" t="str">
        <f>CONCATENATE(YEAR(Table_Date_Dim[[#This Row],[Date_all_Day]]),RIGHT("0"&amp;MONTH(Table_Date_Dim[[#This Row],[Date_all_Day]]),2))</f>
        <v>201911</v>
      </c>
    </row>
    <row r="435" spans="1:5">
      <c r="A435" s="8">
        <v>43777</v>
      </c>
      <c r="B435">
        <f>DAY(Table_Date_Dim[[#This Row],[Date_all_Day]])</f>
        <v>8</v>
      </c>
      <c r="C435">
        <v>2</v>
      </c>
      <c r="D435" s="12" t="str">
        <f>TEXT(Table_Date_Dim[[#This Row],[Date_all_Day]],"dddd")</f>
        <v>Friday</v>
      </c>
      <c r="E435" t="str">
        <f>CONCATENATE(YEAR(Table_Date_Dim[[#This Row],[Date_all_Day]]),RIGHT("0"&amp;MONTH(Table_Date_Dim[[#This Row],[Date_all_Day]]),2))</f>
        <v>201911</v>
      </c>
    </row>
    <row r="436" spans="1:5">
      <c r="A436" s="8">
        <v>43778</v>
      </c>
      <c r="B436">
        <f>DAY(Table_Date_Dim[[#This Row],[Date_all_Day]])</f>
        <v>9</v>
      </c>
      <c r="C436">
        <v>2</v>
      </c>
      <c r="D436" s="12" t="str">
        <f>TEXT(Table_Date_Dim[[#This Row],[Date_all_Day]],"dddd")</f>
        <v>Saturday</v>
      </c>
      <c r="E436" t="str">
        <f>CONCATENATE(YEAR(Table_Date_Dim[[#This Row],[Date_all_Day]]),RIGHT("0"&amp;MONTH(Table_Date_Dim[[#This Row],[Date_all_Day]]),2))</f>
        <v>201911</v>
      </c>
    </row>
    <row r="437" spans="1:5">
      <c r="A437" s="8">
        <v>43779</v>
      </c>
      <c r="B437">
        <f>DAY(Table_Date_Dim[[#This Row],[Date_all_Day]])</f>
        <v>10</v>
      </c>
      <c r="C437">
        <v>2</v>
      </c>
      <c r="D437" s="12" t="str">
        <f>TEXT(Table_Date_Dim[[#This Row],[Date_all_Day]],"dddd")</f>
        <v>Sunday</v>
      </c>
      <c r="E437" t="str">
        <f>CONCATENATE(YEAR(Table_Date_Dim[[#This Row],[Date_all_Day]]),RIGHT("0"&amp;MONTH(Table_Date_Dim[[#This Row],[Date_all_Day]]),2))</f>
        <v>201911</v>
      </c>
    </row>
    <row r="438" spans="1:5">
      <c r="A438" s="8">
        <v>43780</v>
      </c>
      <c r="B438">
        <f>DAY(Table_Date_Dim[[#This Row],[Date_all_Day]])</f>
        <v>11</v>
      </c>
      <c r="C438">
        <v>3</v>
      </c>
      <c r="D438" s="12" t="str">
        <f>TEXT(Table_Date_Dim[[#This Row],[Date_all_Day]],"dddd")</f>
        <v>Monday</v>
      </c>
      <c r="E438" t="str">
        <f>CONCATENATE(YEAR(Table_Date_Dim[[#This Row],[Date_all_Day]]),RIGHT("0"&amp;MONTH(Table_Date_Dim[[#This Row],[Date_all_Day]]),2))</f>
        <v>201911</v>
      </c>
    </row>
    <row r="439" spans="1:5">
      <c r="A439" s="8">
        <v>43781</v>
      </c>
      <c r="B439">
        <f>DAY(Table_Date_Dim[[#This Row],[Date_all_Day]])</f>
        <v>12</v>
      </c>
      <c r="C439">
        <v>3</v>
      </c>
      <c r="D439" s="12" t="str">
        <f>TEXT(Table_Date_Dim[[#This Row],[Date_all_Day]],"dddd")</f>
        <v>Tuesday</v>
      </c>
      <c r="E439" t="str">
        <f>CONCATENATE(YEAR(Table_Date_Dim[[#This Row],[Date_all_Day]]),RIGHT("0"&amp;MONTH(Table_Date_Dim[[#This Row],[Date_all_Day]]),2))</f>
        <v>201911</v>
      </c>
    </row>
    <row r="440" spans="1:5">
      <c r="A440" s="8">
        <v>43782</v>
      </c>
      <c r="B440">
        <f>DAY(Table_Date_Dim[[#This Row],[Date_all_Day]])</f>
        <v>13</v>
      </c>
      <c r="C440">
        <v>3</v>
      </c>
      <c r="D440" s="12" t="str">
        <f>TEXT(Table_Date_Dim[[#This Row],[Date_all_Day]],"dddd")</f>
        <v>Wednesday</v>
      </c>
      <c r="E440" t="str">
        <f>CONCATENATE(YEAR(Table_Date_Dim[[#This Row],[Date_all_Day]]),RIGHT("0"&amp;MONTH(Table_Date_Dim[[#This Row],[Date_all_Day]]),2))</f>
        <v>201911</v>
      </c>
    </row>
    <row r="441" spans="1:5">
      <c r="A441" s="8">
        <v>43783</v>
      </c>
      <c r="B441">
        <f>DAY(Table_Date_Dim[[#This Row],[Date_all_Day]])</f>
        <v>14</v>
      </c>
      <c r="C441">
        <v>3</v>
      </c>
      <c r="D441" s="12" t="str">
        <f>TEXT(Table_Date_Dim[[#This Row],[Date_all_Day]],"dddd")</f>
        <v>Thursday</v>
      </c>
      <c r="E441" t="str">
        <f>CONCATENATE(YEAR(Table_Date_Dim[[#This Row],[Date_all_Day]]),RIGHT("0"&amp;MONTH(Table_Date_Dim[[#This Row],[Date_all_Day]]),2))</f>
        <v>201911</v>
      </c>
    </row>
    <row r="442" spans="1:5">
      <c r="A442" s="8">
        <v>43784</v>
      </c>
      <c r="B442">
        <f>DAY(Table_Date_Dim[[#This Row],[Date_all_Day]])</f>
        <v>15</v>
      </c>
      <c r="C442">
        <v>3</v>
      </c>
      <c r="D442" s="12" t="str">
        <f>TEXT(Table_Date_Dim[[#This Row],[Date_all_Day]],"dddd")</f>
        <v>Friday</v>
      </c>
      <c r="E442" t="str">
        <f>CONCATENATE(YEAR(Table_Date_Dim[[#This Row],[Date_all_Day]]),RIGHT("0"&amp;MONTH(Table_Date_Dim[[#This Row],[Date_all_Day]]),2))</f>
        <v>201911</v>
      </c>
    </row>
    <row r="443" spans="1:5">
      <c r="A443" s="8">
        <v>43785</v>
      </c>
      <c r="B443">
        <f>DAY(Table_Date_Dim[[#This Row],[Date_all_Day]])</f>
        <v>16</v>
      </c>
      <c r="C443">
        <v>3</v>
      </c>
      <c r="D443" s="12" t="str">
        <f>TEXT(Table_Date_Dim[[#This Row],[Date_all_Day]],"dddd")</f>
        <v>Saturday</v>
      </c>
      <c r="E443" t="str">
        <f>CONCATENATE(YEAR(Table_Date_Dim[[#This Row],[Date_all_Day]]),RIGHT("0"&amp;MONTH(Table_Date_Dim[[#This Row],[Date_all_Day]]),2))</f>
        <v>201911</v>
      </c>
    </row>
    <row r="444" spans="1:5">
      <c r="A444" s="8">
        <v>43786</v>
      </c>
      <c r="B444">
        <f>DAY(Table_Date_Dim[[#This Row],[Date_all_Day]])</f>
        <v>17</v>
      </c>
      <c r="C444">
        <v>3</v>
      </c>
      <c r="D444" s="12" t="str">
        <f>TEXT(Table_Date_Dim[[#This Row],[Date_all_Day]],"dddd")</f>
        <v>Sunday</v>
      </c>
      <c r="E444" t="str">
        <f>CONCATENATE(YEAR(Table_Date_Dim[[#This Row],[Date_all_Day]]),RIGHT("0"&amp;MONTH(Table_Date_Dim[[#This Row],[Date_all_Day]]),2))</f>
        <v>201911</v>
      </c>
    </row>
    <row r="445" spans="1:5">
      <c r="A445" s="8">
        <v>43787</v>
      </c>
      <c r="B445">
        <f>DAY(Table_Date_Dim[[#This Row],[Date_all_Day]])</f>
        <v>18</v>
      </c>
      <c r="C445">
        <v>4</v>
      </c>
      <c r="D445" s="12" t="str">
        <f>TEXT(Table_Date_Dim[[#This Row],[Date_all_Day]],"dddd")</f>
        <v>Monday</v>
      </c>
      <c r="E445" t="str">
        <f>CONCATENATE(YEAR(Table_Date_Dim[[#This Row],[Date_all_Day]]),RIGHT("0"&amp;MONTH(Table_Date_Dim[[#This Row],[Date_all_Day]]),2))</f>
        <v>201911</v>
      </c>
    </row>
    <row r="446" spans="1:5">
      <c r="A446" s="8">
        <v>43788</v>
      </c>
      <c r="B446">
        <f>DAY(Table_Date_Dim[[#This Row],[Date_all_Day]])</f>
        <v>19</v>
      </c>
      <c r="C446">
        <v>4</v>
      </c>
      <c r="D446" s="12" t="str">
        <f>TEXT(Table_Date_Dim[[#This Row],[Date_all_Day]],"dddd")</f>
        <v>Tuesday</v>
      </c>
      <c r="E446" t="str">
        <f>CONCATENATE(YEAR(Table_Date_Dim[[#This Row],[Date_all_Day]]),RIGHT("0"&amp;MONTH(Table_Date_Dim[[#This Row],[Date_all_Day]]),2))</f>
        <v>201911</v>
      </c>
    </row>
    <row r="447" spans="1:5">
      <c r="A447" s="8">
        <v>43789</v>
      </c>
      <c r="B447">
        <f>DAY(Table_Date_Dim[[#This Row],[Date_all_Day]])</f>
        <v>20</v>
      </c>
      <c r="C447">
        <v>4</v>
      </c>
      <c r="D447" s="12" t="str">
        <f>TEXT(Table_Date_Dim[[#This Row],[Date_all_Day]],"dddd")</f>
        <v>Wednesday</v>
      </c>
      <c r="E447" t="str">
        <f>CONCATENATE(YEAR(Table_Date_Dim[[#This Row],[Date_all_Day]]),RIGHT("0"&amp;MONTH(Table_Date_Dim[[#This Row],[Date_all_Day]]),2))</f>
        <v>201911</v>
      </c>
    </row>
    <row r="448" spans="1:5">
      <c r="A448" s="8">
        <v>43790</v>
      </c>
      <c r="B448">
        <f>DAY(Table_Date_Dim[[#This Row],[Date_all_Day]])</f>
        <v>21</v>
      </c>
      <c r="C448">
        <v>4</v>
      </c>
      <c r="D448" s="12" t="str">
        <f>TEXT(Table_Date_Dim[[#This Row],[Date_all_Day]],"dddd")</f>
        <v>Thursday</v>
      </c>
      <c r="E448" t="str">
        <f>CONCATENATE(YEAR(Table_Date_Dim[[#This Row],[Date_all_Day]]),RIGHT("0"&amp;MONTH(Table_Date_Dim[[#This Row],[Date_all_Day]]),2))</f>
        <v>201911</v>
      </c>
    </row>
    <row r="449" spans="1:5">
      <c r="A449" s="8">
        <v>43791</v>
      </c>
      <c r="B449">
        <f>DAY(Table_Date_Dim[[#This Row],[Date_all_Day]])</f>
        <v>22</v>
      </c>
      <c r="C449">
        <v>4</v>
      </c>
      <c r="D449" s="12" t="str">
        <f>TEXT(Table_Date_Dim[[#This Row],[Date_all_Day]],"dddd")</f>
        <v>Friday</v>
      </c>
      <c r="E449" t="str">
        <f>CONCATENATE(YEAR(Table_Date_Dim[[#This Row],[Date_all_Day]]),RIGHT("0"&amp;MONTH(Table_Date_Dim[[#This Row],[Date_all_Day]]),2))</f>
        <v>201911</v>
      </c>
    </row>
    <row r="450" spans="1:5">
      <c r="A450" s="8">
        <v>43792</v>
      </c>
      <c r="B450">
        <f>DAY(Table_Date_Dim[[#This Row],[Date_all_Day]])</f>
        <v>23</v>
      </c>
      <c r="C450">
        <v>4</v>
      </c>
      <c r="D450" s="12" t="str">
        <f>TEXT(Table_Date_Dim[[#This Row],[Date_all_Day]],"dddd")</f>
        <v>Saturday</v>
      </c>
      <c r="E450" t="str">
        <f>CONCATENATE(YEAR(Table_Date_Dim[[#This Row],[Date_all_Day]]),RIGHT("0"&amp;MONTH(Table_Date_Dim[[#This Row],[Date_all_Day]]),2))</f>
        <v>201911</v>
      </c>
    </row>
    <row r="451" spans="1:5">
      <c r="A451" s="8">
        <v>43793</v>
      </c>
      <c r="B451">
        <f>DAY(Table_Date_Dim[[#This Row],[Date_all_Day]])</f>
        <v>24</v>
      </c>
      <c r="C451">
        <v>4</v>
      </c>
      <c r="D451" s="12" t="str">
        <f>TEXT(Table_Date_Dim[[#This Row],[Date_all_Day]],"dddd")</f>
        <v>Sunday</v>
      </c>
      <c r="E451" t="str">
        <f>CONCATENATE(YEAR(Table_Date_Dim[[#This Row],[Date_all_Day]]),RIGHT("0"&amp;MONTH(Table_Date_Dim[[#This Row],[Date_all_Day]]),2))</f>
        <v>201911</v>
      </c>
    </row>
    <row r="452" spans="1:5">
      <c r="A452" s="8">
        <v>43794</v>
      </c>
      <c r="B452">
        <f>DAY(Table_Date_Dim[[#This Row],[Date_all_Day]])</f>
        <v>25</v>
      </c>
      <c r="C452">
        <v>5</v>
      </c>
      <c r="D452" s="12" t="str">
        <f>TEXT(Table_Date_Dim[[#This Row],[Date_all_Day]],"dddd")</f>
        <v>Monday</v>
      </c>
      <c r="E452" t="str">
        <f>CONCATENATE(YEAR(Table_Date_Dim[[#This Row],[Date_all_Day]]),RIGHT("0"&amp;MONTH(Table_Date_Dim[[#This Row],[Date_all_Day]]),2))</f>
        <v>201911</v>
      </c>
    </row>
    <row r="453" spans="1:5">
      <c r="A453" s="8">
        <v>43795</v>
      </c>
      <c r="B453">
        <f>DAY(Table_Date_Dim[[#This Row],[Date_all_Day]])</f>
        <v>26</v>
      </c>
      <c r="C453">
        <v>5</v>
      </c>
      <c r="D453" s="12" t="str">
        <f>TEXT(Table_Date_Dim[[#This Row],[Date_all_Day]],"dddd")</f>
        <v>Tuesday</v>
      </c>
      <c r="E453" t="str">
        <f>CONCATENATE(YEAR(Table_Date_Dim[[#This Row],[Date_all_Day]]),RIGHT("0"&amp;MONTH(Table_Date_Dim[[#This Row],[Date_all_Day]]),2))</f>
        <v>201911</v>
      </c>
    </row>
    <row r="454" spans="1:5">
      <c r="A454" s="8">
        <v>43796</v>
      </c>
      <c r="B454">
        <f>DAY(Table_Date_Dim[[#This Row],[Date_all_Day]])</f>
        <v>27</v>
      </c>
      <c r="C454">
        <v>5</v>
      </c>
      <c r="D454" s="12" t="str">
        <f>TEXT(Table_Date_Dim[[#This Row],[Date_all_Day]],"dddd")</f>
        <v>Wednesday</v>
      </c>
      <c r="E454" t="str">
        <f>CONCATENATE(YEAR(Table_Date_Dim[[#This Row],[Date_all_Day]]),RIGHT("0"&amp;MONTH(Table_Date_Dim[[#This Row],[Date_all_Day]]),2))</f>
        <v>201911</v>
      </c>
    </row>
    <row r="455" spans="1:5">
      <c r="A455" s="8">
        <v>43797</v>
      </c>
      <c r="B455">
        <f>DAY(Table_Date_Dim[[#This Row],[Date_all_Day]])</f>
        <v>28</v>
      </c>
      <c r="C455">
        <v>5</v>
      </c>
      <c r="D455" s="12" t="str">
        <f>TEXT(Table_Date_Dim[[#This Row],[Date_all_Day]],"dddd")</f>
        <v>Thursday</v>
      </c>
      <c r="E455" t="str">
        <f>CONCATENATE(YEAR(Table_Date_Dim[[#This Row],[Date_all_Day]]),RIGHT("0"&amp;MONTH(Table_Date_Dim[[#This Row],[Date_all_Day]]),2))</f>
        <v>201911</v>
      </c>
    </row>
    <row r="456" spans="1:5">
      <c r="A456" s="8">
        <v>43798</v>
      </c>
      <c r="B456">
        <f>DAY(Table_Date_Dim[[#This Row],[Date_all_Day]])</f>
        <v>29</v>
      </c>
      <c r="C456">
        <v>5</v>
      </c>
      <c r="D456" s="12" t="str">
        <f>TEXT(Table_Date_Dim[[#This Row],[Date_all_Day]],"dddd")</f>
        <v>Friday</v>
      </c>
      <c r="E456" t="str">
        <f>CONCATENATE(YEAR(Table_Date_Dim[[#This Row],[Date_all_Day]]),RIGHT("0"&amp;MONTH(Table_Date_Dim[[#This Row],[Date_all_Day]]),2))</f>
        <v>201911</v>
      </c>
    </row>
    <row r="457" spans="1:5">
      <c r="A457" s="8">
        <v>43799</v>
      </c>
      <c r="B457">
        <f>DAY(Table_Date_Dim[[#This Row],[Date_all_Day]])</f>
        <v>30</v>
      </c>
      <c r="C457">
        <v>5</v>
      </c>
      <c r="D457" s="12" t="str">
        <f>TEXT(Table_Date_Dim[[#This Row],[Date_all_Day]],"dddd")</f>
        <v>Saturday</v>
      </c>
      <c r="E457" t="str">
        <f>CONCATENATE(YEAR(Table_Date_Dim[[#This Row],[Date_all_Day]]),RIGHT("0"&amp;MONTH(Table_Date_Dim[[#This Row],[Date_all_Day]]),2))</f>
        <v>201911</v>
      </c>
    </row>
    <row r="458" spans="1:5">
      <c r="A458" s="8">
        <v>43800</v>
      </c>
      <c r="B458">
        <f>DAY(Table_Date_Dim[[#This Row],[Date_all_Day]])</f>
        <v>1</v>
      </c>
      <c r="C458">
        <v>1</v>
      </c>
      <c r="D458" s="12" t="str">
        <f>TEXT(Table_Date_Dim[[#This Row],[Date_all_Day]],"dddd")</f>
        <v>Sunday</v>
      </c>
      <c r="E458" t="str">
        <f>CONCATENATE(YEAR(Table_Date_Dim[[#This Row],[Date_all_Day]]),RIGHT("0"&amp;MONTH(Table_Date_Dim[[#This Row],[Date_all_Day]]),2))</f>
        <v>201912</v>
      </c>
    </row>
    <row r="459" spans="1:5">
      <c r="A459" s="8">
        <v>43801</v>
      </c>
      <c r="B459">
        <f>DAY(Table_Date_Dim[[#This Row],[Date_all_Day]])</f>
        <v>2</v>
      </c>
      <c r="C459">
        <v>2</v>
      </c>
      <c r="D459" s="12" t="str">
        <f>TEXT(Table_Date_Dim[[#This Row],[Date_all_Day]],"dddd")</f>
        <v>Monday</v>
      </c>
      <c r="E459" t="str">
        <f>CONCATENATE(YEAR(Table_Date_Dim[[#This Row],[Date_all_Day]]),RIGHT("0"&amp;MONTH(Table_Date_Dim[[#This Row],[Date_all_Day]]),2))</f>
        <v>201912</v>
      </c>
    </row>
    <row r="460" spans="1:5">
      <c r="A460" s="8">
        <v>43802</v>
      </c>
      <c r="B460">
        <f>DAY(Table_Date_Dim[[#This Row],[Date_all_Day]])</f>
        <v>3</v>
      </c>
      <c r="C460">
        <v>2</v>
      </c>
      <c r="D460" s="12" t="str">
        <f>TEXT(Table_Date_Dim[[#This Row],[Date_all_Day]],"dddd")</f>
        <v>Tuesday</v>
      </c>
      <c r="E460" t="str">
        <f>CONCATENATE(YEAR(Table_Date_Dim[[#This Row],[Date_all_Day]]),RIGHT("0"&amp;MONTH(Table_Date_Dim[[#This Row],[Date_all_Day]]),2))</f>
        <v>201912</v>
      </c>
    </row>
    <row r="461" spans="1:5">
      <c r="A461" s="8">
        <v>43803</v>
      </c>
      <c r="B461">
        <f>DAY(Table_Date_Dim[[#This Row],[Date_all_Day]])</f>
        <v>4</v>
      </c>
      <c r="C461">
        <v>2</v>
      </c>
      <c r="D461" s="12" t="str">
        <f>TEXT(Table_Date_Dim[[#This Row],[Date_all_Day]],"dddd")</f>
        <v>Wednesday</v>
      </c>
      <c r="E461" t="str">
        <f>CONCATENATE(YEAR(Table_Date_Dim[[#This Row],[Date_all_Day]]),RIGHT("0"&amp;MONTH(Table_Date_Dim[[#This Row],[Date_all_Day]]),2))</f>
        <v>201912</v>
      </c>
    </row>
    <row r="462" spans="1:5">
      <c r="A462" s="8">
        <v>43804</v>
      </c>
      <c r="B462">
        <f>DAY(Table_Date_Dim[[#This Row],[Date_all_Day]])</f>
        <v>5</v>
      </c>
      <c r="C462">
        <v>2</v>
      </c>
      <c r="D462" s="12" t="str">
        <f>TEXT(Table_Date_Dim[[#This Row],[Date_all_Day]],"dddd")</f>
        <v>Thursday</v>
      </c>
      <c r="E462" t="str">
        <f>CONCATENATE(YEAR(Table_Date_Dim[[#This Row],[Date_all_Day]]),RIGHT("0"&amp;MONTH(Table_Date_Dim[[#This Row],[Date_all_Day]]),2))</f>
        <v>201912</v>
      </c>
    </row>
    <row r="463" spans="1:5">
      <c r="A463" s="8">
        <v>43805</v>
      </c>
      <c r="B463">
        <f>DAY(Table_Date_Dim[[#This Row],[Date_all_Day]])</f>
        <v>6</v>
      </c>
      <c r="C463">
        <v>2</v>
      </c>
      <c r="D463" s="12" t="str">
        <f>TEXT(Table_Date_Dim[[#This Row],[Date_all_Day]],"dddd")</f>
        <v>Friday</v>
      </c>
      <c r="E463" t="str">
        <f>CONCATENATE(YEAR(Table_Date_Dim[[#This Row],[Date_all_Day]]),RIGHT("0"&amp;MONTH(Table_Date_Dim[[#This Row],[Date_all_Day]]),2))</f>
        <v>201912</v>
      </c>
    </row>
    <row r="464" spans="1:5">
      <c r="A464" s="8">
        <v>43806</v>
      </c>
      <c r="B464">
        <f>DAY(Table_Date_Dim[[#This Row],[Date_all_Day]])</f>
        <v>7</v>
      </c>
      <c r="C464">
        <v>2</v>
      </c>
      <c r="D464" s="12" t="str">
        <f>TEXT(Table_Date_Dim[[#This Row],[Date_all_Day]],"dddd")</f>
        <v>Saturday</v>
      </c>
      <c r="E464" t="str">
        <f>CONCATENATE(YEAR(Table_Date_Dim[[#This Row],[Date_all_Day]]),RIGHT("0"&amp;MONTH(Table_Date_Dim[[#This Row],[Date_all_Day]]),2))</f>
        <v>201912</v>
      </c>
    </row>
    <row r="465" spans="1:5">
      <c r="A465" s="8">
        <v>43807</v>
      </c>
      <c r="B465">
        <f>DAY(Table_Date_Dim[[#This Row],[Date_all_Day]])</f>
        <v>8</v>
      </c>
      <c r="C465">
        <v>2</v>
      </c>
      <c r="D465" s="12" t="str">
        <f>TEXT(Table_Date_Dim[[#This Row],[Date_all_Day]],"dddd")</f>
        <v>Sunday</v>
      </c>
      <c r="E465" t="str">
        <f>CONCATENATE(YEAR(Table_Date_Dim[[#This Row],[Date_all_Day]]),RIGHT("0"&amp;MONTH(Table_Date_Dim[[#This Row],[Date_all_Day]]),2))</f>
        <v>201912</v>
      </c>
    </row>
    <row r="466" spans="1:5">
      <c r="A466" s="8">
        <v>43808</v>
      </c>
      <c r="B466">
        <f>DAY(Table_Date_Dim[[#This Row],[Date_all_Day]])</f>
        <v>9</v>
      </c>
      <c r="C466">
        <v>3</v>
      </c>
      <c r="D466" s="12" t="str">
        <f>TEXT(Table_Date_Dim[[#This Row],[Date_all_Day]],"dddd")</f>
        <v>Monday</v>
      </c>
      <c r="E466" t="str">
        <f>CONCATENATE(YEAR(Table_Date_Dim[[#This Row],[Date_all_Day]]),RIGHT("0"&amp;MONTH(Table_Date_Dim[[#This Row],[Date_all_Day]]),2))</f>
        <v>201912</v>
      </c>
    </row>
    <row r="467" spans="1:5">
      <c r="A467" s="8">
        <v>43809</v>
      </c>
      <c r="B467">
        <f>DAY(Table_Date_Dim[[#This Row],[Date_all_Day]])</f>
        <v>10</v>
      </c>
      <c r="C467">
        <v>3</v>
      </c>
      <c r="D467" s="12" t="str">
        <f>TEXT(Table_Date_Dim[[#This Row],[Date_all_Day]],"dddd")</f>
        <v>Tuesday</v>
      </c>
      <c r="E467" t="str">
        <f>CONCATENATE(YEAR(Table_Date_Dim[[#This Row],[Date_all_Day]]),RIGHT("0"&amp;MONTH(Table_Date_Dim[[#This Row],[Date_all_Day]]),2))</f>
        <v>201912</v>
      </c>
    </row>
    <row r="468" spans="1:5">
      <c r="A468" s="8">
        <v>43810</v>
      </c>
      <c r="B468">
        <f>DAY(Table_Date_Dim[[#This Row],[Date_all_Day]])</f>
        <v>11</v>
      </c>
      <c r="C468">
        <v>3</v>
      </c>
      <c r="D468" s="12" t="str">
        <f>TEXT(Table_Date_Dim[[#This Row],[Date_all_Day]],"dddd")</f>
        <v>Wednesday</v>
      </c>
      <c r="E468" t="str">
        <f>CONCATENATE(YEAR(Table_Date_Dim[[#This Row],[Date_all_Day]]),RIGHT("0"&amp;MONTH(Table_Date_Dim[[#This Row],[Date_all_Day]]),2))</f>
        <v>201912</v>
      </c>
    </row>
    <row r="469" spans="1:5">
      <c r="A469" s="8">
        <v>43811</v>
      </c>
      <c r="B469">
        <f>DAY(Table_Date_Dim[[#This Row],[Date_all_Day]])</f>
        <v>12</v>
      </c>
      <c r="C469">
        <v>3</v>
      </c>
      <c r="D469" s="12" t="str">
        <f>TEXT(Table_Date_Dim[[#This Row],[Date_all_Day]],"dddd")</f>
        <v>Thursday</v>
      </c>
      <c r="E469" t="str">
        <f>CONCATENATE(YEAR(Table_Date_Dim[[#This Row],[Date_all_Day]]),RIGHT("0"&amp;MONTH(Table_Date_Dim[[#This Row],[Date_all_Day]]),2))</f>
        <v>201912</v>
      </c>
    </row>
    <row r="470" spans="1:5">
      <c r="A470" s="8">
        <v>43812</v>
      </c>
      <c r="B470">
        <f>DAY(Table_Date_Dim[[#This Row],[Date_all_Day]])</f>
        <v>13</v>
      </c>
      <c r="C470">
        <v>3</v>
      </c>
      <c r="D470" s="12" t="str">
        <f>TEXT(Table_Date_Dim[[#This Row],[Date_all_Day]],"dddd")</f>
        <v>Friday</v>
      </c>
      <c r="E470" t="str">
        <f>CONCATENATE(YEAR(Table_Date_Dim[[#This Row],[Date_all_Day]]),RIGHT("0"&amp;MONTH(Table_Date_Dim[[#This Row],[Date_all_Day]]),2))</f>
        <v>201912</v>
      </c>
    </row>
    <row r="471" spans="1:5">
      <c r="A471" s="8">
        <v>43813</v>
      </c>
      <c r="B471">
        <f>DAY(Table_Date_Dim[[#This Row],[Date_all_Day]])</f>
        <v>14</v>
      </c>
      <c r="C471">
        <v>3</v>
      </c>
      <c r="D471" s="12" t="str">
        <f>TEXT(Table_Date_Dim[[#This Row],[Date_all_Day]],"dddd")</f>
        <v>Saturday</v>
      </c>
      <c r="E471" t="str">
        <f>CONCATENATE(YEAR(Table_Date_Dim[[#This Row],[Date_all_Day]]),RIGHT("0"&amp;MONTH(Table_Date_Dim[[#This Row],[Date_all_Day]]),2))</f>
        <v>201912</v>
      </c>
    </row>
    <row r="472" spans="1:5">
      <c r="A472" s="8">
        <v>43814</v>
      </c>
      <c r="B472">
        <f>DAY(Table_Date_Dim[[#This Row],[Date_all_Day]])</f>
        <v>15</v>
      </c>
      <c r="C472">
        <v>3</v>
      </c>
      <c r="D472" s="12" t="str">
        <f>TEXT(Table_Date_Dim[[#This Row],[Date_all_Day]],"dddd")</f>
        <v>Sunday</v>
      </c>
      <c r="E472" t="str">
        <f>CONCATENATE(YEAR(Table_Date_Dim[[#This Row],[Date_all_Day]]),RIGHT("0"&amp;MONTH(Table_Date_Dim[[#This Row],[Date_all_Day]]),2))</f>
        <v>201912</v>
      </c>
    </row>
    <row r="473" spans="1:5">
      <c r="A473" s="8">
        <v>43815</v>
      </c>
      <c r="B473">
        <f>DAY(Table_Date_Dim[[#This Row],[Date_all_Day]])</f>
        <v>16</v>
      </c>
      <c r="C473">
        <v>4</v>
      </c>
      <c r="D473" s="12" t="str">
        <f>TEXT(Table_Date_Dim[[#This Row],[Date_all_Day]],"dddd")</f>
        <v>Monday</v>
      </c>
      <c r="E473" t="str">
        <f>CONCATENATE(YEAR(Table_Date_Dim[[#This Row],[Date_all_Day]]),RIGHT("0"&amp;MONTH(Table_Date_Dim[[#This Row],[Date_all_Day]]),2))</f>
        <v>201912</v>
      </c>
    </row>
    <row r="474" spans="1:5">
      <c r="A474" s="8">
        <v>43816</v>
      </c>
      <c r="B474">
        <f>DAY(Table_Date_Dim[[#This Row],[Date_all_Day]])</f>
        <v>17</v>
      </c>
      <c r="C474">
        <v>4</v>
      </c>
      <c r="D474" s="12" t="str">
        <f>TEXT(Table_Date_Dim[[#This Row],[Date_all_Day]],"dddd")</f>
        <v>Tuesday</v>
      </c>
      <c r="E474" t="str">
        <f>CONCATENATE(YEAR(Table_Date_Dim[[#This Row],[Date_all_Day]]),RIGHT("0"&amp;MONTH(Table_Date_Dim[[#This Row],[Date_all_Day]]),2))</f>
        <v>201912</v>
      </c>
    </row>
    <row r="475" spans="1:5">
      <c r="A475" s="8">
        <v>43817</v>
      </c>
      <c r="B475">
        <f>DAY(Table_Date_Dim[[#This Row],[Date_all_Day]])</f>
        <v>18</v>
      </c>
      <c r="C475">
        <v>4</v>
      </c>
      <c r="D475" s="12" t="str">
        <f>TEXT(Table_Date_Dim[[#This Row],[Date_all_Day]],"dddd")</f>
        <v>Wednesday</v>
      </c>
      <c r="E475" t="str">
        <f>CONCATENATE(YEAR(Table_Date_Dim[[#This Row],[Date_all_Day]]),RIGHT("0"&amp;MONTH(Table_Date_Dim[[#This Row],[Date_all_Day]]),2))</f>
        <v>201912</v>
      </c>
    </row>
    <row r="476" spans="1:5">
      <c r="A476" s="8">
        <v>43818</v>
      </c>
      <c r="B476">
        <f>DAY(Table_Date_Dim[[#This Row],[Date_all_Day]])</f>
        <v>19</v>
      </c>
      <c r="C476">
        <v>4</v>
      </c>
      <c r="D476" s="12" t="str">
        <f>TEXT(Table_Date_Dim[[#This Row],[Date_all_Day]],"dddd")</f>
        <v>Thursday</v>
      </c>
      <c r="E476" t="str">
        <f>CONCATENATE(YEAR(Table_Date_Dim[[#This Row],[Date_all_Day]]),RIGHT("0"&amp;MONTH(Table_Date_Dim[[#This Row],[Date_all_Day]]),2))</f>
        <v>201912</v>
      </c>
    </row>
    <row r="477" spans="1:5">
      <c r="A477" s="8">
        <v>43819</v>
      </c>
      <c r="B477">
        <f>DAY(Table_Date_Dim[[#This Row],[Date_all_Day]])</f>
        <v>20</v>
      </c>
      <c r="C477">
        <v>4</v>
      </c>
      <c r="D477" s="12" t="str">
        <f>TEXT(Table_Date_Dim[[#This Row],[Date_all_Day]],"dddd")</f>
        <v>Friday</v>
      </c>
      <c r="E477" t="str">
        <f>CONCATENATE(YEAR(Table_Date_Dim[[#This Row],[Date_all_Day]]),RIGHT("0"&amp;MONTH(Table_Date_Dim[[#This Row],[Date_all_Day]]),2))</f>
        <v>201912</v>
      </c>
    </row>
    <row r="478" spans="1:5">
      <c r="A478" s="8">
        <v>43820</v>
      </c>
      <c r="B478">
        <f>DAY(Table_Date_Dim[[#This Row],[Date_all_Day]])</f>
        <v>21</v>
      </c>
      <c r="C478">
        <v>4</v>
      </c>
      <c r="D478" s="12" t="str">
        <f>TEXT(Table_Date_Dim[[#This Row],[Date_all_Day]],"dddd")</f>
        <v>Saturday</v>
      </c>
      <c r="E478" t="str">
        <f>CONCATENATE(YEAR(Table_Date_Dim[[#This Row],[Date_all_Day]]),RIGHT("0"&amp;MONTH(Table_Date_Dim[[#This Row],[Date_all_Day]]),2))</f>
        <v>201912</v>
      </c>
    </row>
    <row r="479" spans="1:5">
      <c r="A479" s="8">
        <v>43821</v>
      </c>
      <c r="B479">
        <f>DAY(Table_Date_Dim[[#This Row],[Date_all_Day]])</f>
        <v>22</v>
      </c>
      <c r="C479">
        <v>4</v>
      </c>
      <c r="D479" s="12" t="str">
        <f>TEXT(Table_Date_Dim[[#This Row],[Date_all_Day]],"dddd")</f>
        <v>Sunday</v>
      </c>
      <c r="E479" t="str">
        <f>CONCATENATE(YEAR(Table_Date_Dim[[#This Row],[Date_all_Day]]),RIGHT("0"&amp;MONTH(Table_Date_Dim[[#This Row],[Date_all_Day]]),2))</f>
        <v>201912</v>
      </c>
    </row>
    <row r="480" spans="1:5">
      <c r="A480" s="8">
        <v>43822</v>
      </c>
      <c r="B480">
        <f>DAY(Table_Date_Dim[[#This Row],[Date_all_Day]])</f>
        <v>23</v>
      </c>
      <c r="C480">
        <v>5</v>
      </c>
      <c r="D480" s="12" t="str">
        <f>TEXT(Table_Date_Dim[[#This Row],[Date_all_Day]],"dddd")</f>
        <v>Monday</v>
      </c>
      <c r="E480" t="str">
        <f>CONCATENATE(YEAR(Table_Date_Dim[[#This Row],[Date_all_Day]]),RIGHT("0"&amp;MONTH(Table_Date_Dim[[#This Row],[Date_all_Day]]),2))</f>
        <v>201912</v>
      </c>
    </row>
    <row r="481" spans="1:5">
      <c r="A481" s="8">
        <v>43823</v>
      </c>
      <c r="B481">
        <f>DAY(Table_Date_Dim[[#This Row],[Date_all_Day]])</f>
        <v>24</v>
      </c>
      <c r="C481">
        <v>5</v>
      </c>
      <c r="D481" s="12" t="str">
        <f>TEXT(Table_Date_Dim[[#This Row],[Date_all_Day]],"dddd")</f>
        <v>Tuesday</v>
      </c>
      <c r="E481" t="str">
        <f>CONCATENATE(YEAR(Table_Date_Dim[[#This Row],[Date_all_Day]]),RIGHT("0"&amp;MONTH(Table_Date_Dim[[#This Row],[Date_all_Day]]),2))</f>
        <v>201912</v>
      </c>
    </row>
    <row r="482" spans="1:5">
      <c r="A482" s="8">
        <v>43824</v>
      </c>
      <c r="B482">
        <f>DAY(Table_Date_Dim[[#This Row],[Date_all_Day]])</f>
        <v>25</v>
      </c>
      <c r="C482">
        <v>5</v>
      </c>
      <c r="D482" s="12" t="str">
        <f>TEXT(Table_Date_Dim[[#This Row],[Date_all_Day]],"dddd")</f>
        <v>Wednesday</v>
      </c>
      <c r="E482" t="str">
        <f>CONCATENATE(YEAR(Table_Date_Dim[[#This Row],[Date_all_Day]]),RIGHT("0"&amp;MONTH(Table_Date_Dim[[#This Row],[Date_all_Day]]),2))</f>
        <v>201912</v>
      </c>
    </row>
    <row r="483" spans="1:5">
      <c r="A483" s="8">
        <v>43825</v>
      </c>
      <c r="B483">
        <f>DAY(Table_Date_Dim[[#This Row],[Date_all_Day]])</f>
        <v>26</v>
      </c>
      <c r="C483">
        <v>5</v>
      </c>
      <c r="D483" s="12" t="str">
        <f>TEXT(Table_Date_Dim[[#This Row],[Date_all_Day]],"dddd")</f>
        <v>Thursday</v>
      </c>
      <c r="E483" t="str">
        <f>CONCATENATE(YEAR(Table_Date_Dim[[#This Row],[Date_all_Day]]),RIGHT("0"&amp;MONTH(Table_Date_Dim[[#This Row],[Date_all_Day]]),2))</f>
        <v>201912</v>
      </c>
    </row>
    <row r="484" spans="1:5">
      <c r="A484" s="8">
        <v>43826</v>
      </c>
      <c r="B484">
        <f>DAY(Table_Date_Dim[[#This Row],[Date_all_Day]])</f>
        <v>27</v>
      </c>
      <c r="C484">
        <v>5</v>
      </c>
      <c r="D484" s="12" t="str">
        <f>TEXT(Table_Date_Dim[[#This Row],[Date_all_Day]],"dddd")</f>
        <v>Friday</v>
      </c>
      <c r="E484" t="str">
        <f>CONCATENATE(YEAR(Table_Date_Dim[[#This Row],[Date_all_Day]]),RIGHT("0"&amp;MONTH(Table_Date_Dim[[#This Row],[Date_all_Day]]),2))</f>
        <v>201912</v>
      </c>
    </row>
    <row r="485" spans="1:5">
      <c r="A485" s="8">
        <v>43827</v>
      </c>
      <c r="B485">
        <f>DAY(Table_Date_Dim[[#This Row],[Date_all_Day]])</f>
        <v>28</v>
      </c>
      <c r="C485">
        <v>5</v>
      </c>
      <c r="D485" s="12" t="str">
        <f>TEXT(Table_Date_Dim[[#This Row],[Date_all_Day]],"dddd")</f>
        <v>Saturday</v>
      </c>
      <c r="E485" t="str">
        <f>CONCATENATE(YEAR(Table_Date_Dim[[#This Row],[Date_all_Day]]),RIGHT("0"&amp;MONTH(Table_Date_Dim[[#This Row],[Date_all_Day]]),2))</f>
        <v>201912</v>
      </c>
    </row>
    <row r="486" spans="1:5">
      <c r="A486" s="8">
        <v>43828</v>
      </c>
      <c r="B486">
        <f>DAY(Table_Date_Dim[[#This Row],[Date_all_Day]])</f>
        <v>29</v>
      </c>
      <c r="C486">
        <v>5</v>
      </c>
      <c r="D486" s="12" t="str">
        <f>TEXT(Table_Date_Dim[[#This Row],[Date_all_Day]],"dddd")</f>
        <v>Sunday</v>
      </c>
      <c r="E486" t="str">
        <f>CONCATENATE(YEAR(Table_Date_Dim[[#This Row],[Date_all_Day]]),RIGHT("0"&amp;MONTH(Table_Date_Dim[[#This Row],[Date_all_Day]]),2))</f>
        <v>201912</v>
      </c>
    </row>
    <row r="487" spans="1:5">
      <c r="A487" s="8">
        <v>43829</v>
      </c>
      <c r="B487">
        <f>DAY(Table_Date_Dim[[#This Row],[Date_all_Day]])</f>
        <v>30</v>
      </c>
      <c r="C487">
        <v>6</v>
      </c>
      <c r="D487" s="12" t="str">
        <f>TEXT(Table_Date_Dim[[#This Row],[Date_all_Day]],"dddd")</f>
        <v>Monday</v>
      </c>
      <c r="E487" t="str">
        <f>CONCATENATE(YEAR(Table_Date_Dim[[#This Row],[Date_all_Day]]),RIGHT("0"&amp;MONTH(Table_Date_Dim[[#This Row],[Date_all_Day]]),2))</f>
        <v>201912</v>
      </c>
    </row>
    <row r="488" spans="1:5">
      <c r="A488" s="8">
        <v>43830</v>
      </c>
      <c r="B488">
        <f>DAY(Table_Date_Dim[[#This Row],[Date_all_Day]])</f>
        <v>31</v>
      </c>
      <c r="C488">
        <v>6</v>
      </c>
      <c r="D488" s="12" t="str">
        <f>TEXT(Table_Date_Dim[[#This Row],[Date_all_Day]],"dddd")</f>
        <v>Tuesday</v>
      </c>
      <c r="E488" t="str">
        <f>CONCATENATE(YEAR(Table_Date_Dim[[#This Row],[Date_all_Day]]),RIGHT("0"&amp;MONTH(Table_Date_Dim[[#This Row],[Date_all_Day]]),2))</f>
        <v>201912</v>
      </c>
    </row>
  </sheetData>
  <conditionalFormatting sqref="D2:D999">
    <cfRule type="cellIs" dxfId="5" priority="2" operator="equal">
      <formula>"Monday"</formula>
    </cfRule>
  </conditionalFormatting>
  <conditionalFormatting sqref="D306:D488">
    <cfRule type="cellIs" dxfId="4" priority="1" operator="equal">
      <formula>"Monday"</formula>
    </cfRule>
  </conditionalFormatting>
  <pageMargins left="0.7" right="0.7" top="0.75" bottom="0.75" header="0.3" footer="0.3"/>
  <pageSetup orientation="portrait" r:id="rId1"/>
  <customProperties>
    <customPr name="_pios_id" r:id="rId2"/>
  </customProperties>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E7E354E5-2D98-447F-9468-8BAE8354D0E1}">
  <ds:schemaRefs>
    <ds:schemaRef ds:uri="http://gemini/pivotcustomization/PowerPivotVersion"/>
  </ds:schemaRefs>
</ds:datastoreItem>
</file>

<file path=customXml/itemProps2.xml><?xml version="1.0" encoding="utf-8"?>
<ds:datastoreItem xmlns:ds="http://schemas.openxmlformats.org/officeDocument/2006/customXml" ds:itemID="{6EE9FED6-368E-4E03-BFE3-2736D21DB477}">
  <ds:schemaRefs>
    <ds:schemaRef ds:uri="http://gemini/pivotcustomization/MeasureGridState"/>
  </ds:schemaRefs>
</ds:datastoreItem>
</file>

<file path=customXml/itemProps3.xml><?xml version="1.0" encoding="utf-8"?>
<ds:datastoreItem xmlns:ds="http://schemas.openxmlformats.org/officeDocument/2006/customXml" ds:itemID="{61379FE2-B550-4D0B-B05A-BA5CF871512D}">
  <ds:schemaRefs>
    <ds:schemaRef ds:uri="http://gemini/pivotcustomization/TableWidget"/>
  </ds:schemaRefs>
</ds:datastoreItem>
</file>

<file path=customXml/itemProps4.xml><?xml version="1.0" encoding="utf-8"?>
<ds:datastoreItem xmlns:ds="http://schemas.openxmlformats.org/officeDocument/2006/customXml" ds:itemID="{5B8DF559-ADCB-4A2C-A5C5-9AD372DD1E77}">
  <ds:schemaRefs>
    <ds:schemaRef ds:uri="http://gemini/pivotcustomization/ClientWindowXML"/>
  </ds:schemaRefs>
</ds:datastoreItem>
</file>

<file path=customXml/itemProps5.xml><?xml version="1.0" encoding="utf-8"?>
<ds:datastoreItem xmlns:ds="http://schemas.openxmlformats.org/officeDocument/2006/customXml" ds:itemID="{DE2B9E57-9892-4A12-9F9D-366DDB63A05A}">
  <ds:schemaRefs>
    <ds:schemaRef ds:uri="http://gemini/pivotcustomization/TableOrder"/>
  </ds:schemaRefs>
</ds:datastoreItem>
</file>

<file path=customXml/itemProps6.xml><?xml version="1.0" encoding="utf-8"?>
<ds:datastoreItem xmlns:ds="http://schemas.openxmlformats.org/officeDocument/2006/customXml" ds:itemID="{EA8433C4-3911-4772-A686-81557928F1F4}">
  <ds:schemaRefs>
    <ds:schemaRef ds:uri="http://gemini/pivotcustomization/ErrorCache"/>
  </ds:schemaRefs>
</ds:datastoreItem>
</file>

<file path=customXml/itemProps7.xml><?xml version="1.0" encoding="utf-8"?>
<ds:datastoreItem xmlns:ds="http://schemas.openxmlformats.org/officeDocument/2006/customXml" ds:itemID="{8FBF0FE6-224E-4B29-9B33-C1815E602FD1}">
  <ds:schemaRefs>
    <ds:schemaRef ds:uri="http://gemini/pivotcustomization/FormulaBarState"/>
  </ds:schemaRefs>
</ds:datastoreItem>
</file>

<file path=customXml/itemProps8.xml><?xml version="1.0" encoding="utf-8"?>
<ds:datastoreItem xmlns:ds="http://schemas.openxmlformats.org/officeDocument/2006/customXml" ds:itemID="{EC1D5E44-D927-4A13-A8D2-8B4A1B7845E9}">
  <ds:schemaRefs>
    <ds:schemaRef ds:uri="http://gemini/pivotcustomization/ManualCalcMode"/>
  </ds:schemaRefs>
</ds:datastoreItem>
</file>

<file path=customXml/itemProps9.xml><?xml version="1.0" encoding="utf-8"?>
<ds:datastoreItem xmlns:ds="http://schemas.openxmlformats.org/officeDocument/2006/customXml" ds:itemID="{98255FA7-A087-4DA1-9734-C63D81383485}">
  <ds:schemaRefs>
    <ds:schemaRef ds:uri="http://gemini/pivotcustomization/ShowImplicitMeasures"/>
  </ds:schemaRefs>
</ds:datastoreItem>
</file>

<file path=customXml/itemProps10.xml><?xml version="1.0" encoding="utf-8"?>
<ds:datastoreItem xmlns:ds="http://schemas.openxmlformats.org/officeDocument/2006/customXml" ds:itemID="{03A899E9-8F6F-41B9-864D-4983D521A680}">
  <ds:schemaRefs>
    <ds:schemaRef ds:uri="http://gemini/pivotcustomization/TableXML_Prod_map"/>
  </ds:schemaRefs>
</ds:datastoreItem>
</file>

<file path=customXml/itemProps11.xml><?xml version="1.0" encoding="utf-8"?>
<ds:datastoreItem xmlns:ds="http://schemas.openxmlformats.org/officeDocument/2006/customXml" ds:itemID="{5795400E-E900-47E1-83DC-16DC7BD2C457}">
  <ds:schemaRefs>
    <ds:schemaRef ds:uri="http://gemini/pivotcustomization/TableCountInSandbox"/>
  </ds:schemaRefs>
</ds:datastoreItem>
</file>

<file path=customXml/itemProps12.xml><?xml version="1.0" encoding="utf-8"?>
<ds:datastoreItem xmlns:ds="http://schemas.openxmlformats.org/officeDocument/2006/customXml" ds:itemID="{351ECB97-5CF6-4E46-A88C-9E940394F8D0}">
  <ds:schemaRefs>
    <ds:schemaRef ds:uri="http://gemini/pivotcustomization/SandboxNonEmpty"/>
  </ds:schemaRefs>
</ds:datastoreItem>
</file>

<file path=customXml/itemProps13.xml><?xml version="1.0" encoding="utf-8"?>
<ds:datastoreItem xmlns:ds="http://schemas.openxmlformats.org/officeDocument/2006/customXml" ds:itemID="{6AA388EB-FAA2-4BEC-98DC-EB12626429C3}">
  <ds:schemaRefs>
    <ds:schemaRef ds:uri="http://gemini/pivotcustomization/TableXML_Cust_map"/>
  </ds:schemaRefs>
</ds:datastoreItem>
</file>

<file path=customXml/itemProps14.xml><?xml version="1.0" encoding="utf-8"?>
<ds:datastoreItem xmlns:ds="http://schemas.openxmlformats.org/officeDocument/2006/customXml" ds:itemID="{8F69C19F-F85F-4012-A8FE-4DE612561BF8}">
  <ds:schemaRefs>
    <ds:schemaRef ds:uri="http://gemini/pivotcustomization/Diagrams"/>
  </ds:schemaRefs>
</ds:datastoreItem>
</file>

<file path=customXml/itemProps15.xml><?xml version="1.0" encoding="utf-8"?>
<ds:datastoreItem xmlns:ds="http://schemas.openxmlformats.org/officeDocument/2006/customXml" ds:itemID="{ADCBC9A9-8BC1-4DC7-BD70-1C11255DC1A9}">
  <ds:schemaRefs>
    <ds:schemaRef ds:uri="http://gemini/pivotcustomization/TableXML_Table_Date_Dim"/>
  </ds:schemaRefs>
</ds:datastoreItem>
</file>

<file path=customXml/itemProps16.xml><?xml version="1.0" encoding="utf-8"?>
<ds:datastoreItem xmlns:ds="http://schemas.openxmlformats.org/officeDocument/2006/customXml" ds:itemID="{E7DA2CD8-B6D3-4640-A453-4816E43998C2}">
  <ds:schemaRefs>
    <ds:schemaRef ds:uri="http://gemini/pivotcustomization/IsSandboxEmbedded"/>
  </ds:schemaRefs>
</ds:datastoreItem>
</file>

<file path=customXml/itemProps17.xml><?xml version="1.0" encoding="utf-8"?>
<ds:datastoreItem xmlns:ds="http://schemas.openxmlformats.org/officeDocument/2006/customXml" ds:itemID="{442F8EFF-3B93-4883-9565-317C2E2DFC73}">
  <ds:schemaRefs>
    <ds:schemaRef ds:uri="http://gemini/pivotcustomization/RelationshipAutoDetectionEnabled"/>
  </ds:schemaRefs>
</ds:datastoreItem>
</file>

<file path=customXml/itemProps18.xml><?xml version="1.0" encoding="utf-8"?>
<ds:datastoreItem xmlns:ds="http://schemas.openxmlformats.org/officeDocument/2006/customXml" ds:itemID="{5C77B0AC-A7F5-4023-8521-1B0173FCFCC3}">
  <ds:schemaRefs>
    <ds:schemaRef ds:uri="http://gemini/pivotcustomization/LinkedTableUpdateMode"/>
  </ds:schemaRefs>
</ds:datastoreItem>
</file>

<file path=customXml/itemProps19.xml><?xml version="1.0" encoding="utf-8"?>
<ds:datastoreItem xmlns:ds="http://schemas.openxmlformats.org/officeDocument/2006/customXml" ds:itemID="{3BA2BADF-277D-4AF3-8418-F2DF6E112EBA}">
  <ds:schemaRefs>
    <ds:schemaRef ds:uri="http://gemini/pivotcustomization/ShowHidden"/>
  </ds:schemaRefs>
</ds:datastoreItem>
</file>

<file path=customXml/itemProps20.xml><?xml version="1.0" encoding="utf-8"?>
<ds:datastoreItem xmlns:ds="http://schemas.openxmlformats.org/officeDocument/2006/customXml" ds:itemID="{8267483A-700F-4424-887E-CAD7156F953A}">
  <ds:schemaRefs>
    <ds:schemaRef ds:uri="http://schemas.microsoft.com/DataMashup"/>
  </ds:schemaRefs>
</ds:datastoreItem>
</file>

<file path=docMetadata/LabelInfo.xml><?xml version="1.0" encoding="utf-8"?>
<clbl:labelList xmlns:clbl="http://schemas.microsoft.com/office/2020/mipLabelMetadata">
  <clbl:label id="{b020b37f-db72-473e-ae54-fb16df408069}" enabled="1" method="Standard" siteId="{705d07a3-2eea-4f3b-ab59-65ca29abeb26}"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Cover</vt:lpstr>
      <vt:lpstr>Daily Sales Volume</vt:lpstr>
      <vt:lpstr>master_Daily</vt:lpstr>
      <vt:lpstr>Sheet1</vt:lpstr>
      <vt:lpstr>Distributor Stock (MMU)</vt:lpstr>
      <vt:lpstr>Distributor Stock (Pack)</vt:lpstr>
      <vt:lpstr>SCD_Rawdata</vt:lpstr>
      <vt:lpstr>Target 2019</vt:lpstr>
      <vt:lpstr>% Growth</vt:lpstr>
      <vt:lpstr>Prod_Dim</vt:lpstr>
      <vt:lpstr>Cust_Cat</vt:lpstr>
      <vt:lpstr>TME_MTD</vt:lpstr>
      <vt:lpstr>TME_Yesterday</vt:lpstr>
      <vt:lpstr>TME_MTD_Dist</vt:lpstr>
      <vt:lpstr>Daily_Vol_yesterday</vt:lpstr>
      <vt:lpstr>Daily_Vol</vt:lpstr>
      <vt:lpstr>Weekly_Vol</vt:lpstr>
      <vt:lpstr>Weekly by Dist</vt:lpstr>
      <vt:lpstr>Weekly_Vol_Dist</vt:lpstr>
      <vt:lpstr>Dist_Name</vt:lpstr>
      <vt:lpstr>Cust_map</vt:lpstr>
      <vt:lpstr>Prod_map</vt:lpstr>
      <vt:lpstr>Date_Dim</vt:lpstr>
    </vt:vector>
  </TitlesOfParts>
  <Manager/>
  <Company>JT International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Noksiri, Samnao</dc:creator>
  <cp:keywords/>
  <dc:description/>
  <cp:lastModifiedBy>Islam, Md Rakibul</cp:lastModifiedBy>
  <cp:revision/>
  <dcterms:created xsi:type="dcterms:W3CDTF">2018-09-19T03:33:18Z</dcterms:created>
  <dcterms:modified xsi:type="dcterms:W3CDTF">2025-09-09T11:38:33Z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020b37f-db72-473e-ae54-fb16df408069_Enabled">
    <vt:lpwstr>true</vt:lpwstr>
  </property>
  <property fmtid="{D5CDD505-2E9C-101B-9397-08002B2CF9AE}" pid="3" name="MSIP_Label_b020b37f-db72-473e-ae54-fb16df408069_SetDate">
    <vt:lpwstr>2020-08-18T06:42:14Z</vt:lpwstr>
  </property>
  <property fmtid="{D5CDD505-2E9C-101B-9397-08002B2CF9AE}" pid="4" name="MSIP_Label_b020b37f-db72-473e-ae54-fb16df408069_Method">
    <vt:lpwstr>Standard</vt:lpwstr>
  </property>
  <property fmtid="{D5CDD505-2E9C-101B-9397-08002B2CF9AE}" pid="5" name="MSIP_Label_b020b37f-db72-473e-ae54-fb16df408069_Name">
    <vt:lpwstr>General</vt:lpwstr>
  </property>
  <property fmtid="{D5CDD505-2E9C-101B-9397-08002B2CF9AE}" pid="6" name="MSIP_Label_b020b37f-db72-473e-ae54-fb16df408069_SiteId">
    <vt:lpwstr>705d07a3-2eea-4f3b-ab59-65ca29abeb26</vt:lpwstr>
  </property>
  <property fmtid="{D5CDD505-2E9C-101B-9397-08002B2CF9AE}" pid="7" name="MSIP_Label_b020b37f-db72-473e-ae54-fb16df408069_ActionId">
    <vt:lpwstr>a8232f8c-4209-4369-9921-73b6218bc242</vt:lpwstr>
  </property>
  <property fmtid="{D5CDD505-2E9C-101B-9397-08002B2CF9AE}" pid="8" name="MSIP_Label_b020b37f-db72-473e-ae54-fb16df408069_ContentBits">
    <vt:lpwstr>0</vt:lpwstr>
  </property>
</Properties>
</file>